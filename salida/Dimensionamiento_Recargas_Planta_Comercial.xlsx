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<sst xmlns="http://schemas.openxmlformats.org/spreadsheetml/2006/main" count="963" uniqueCount="398">
  <si>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</si>
  <si>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</si>
  <si>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</si>
  <si>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</si>
  <si>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</si>
  <si>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</si>
  <si>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</si>
  <si>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</si>
  <si>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</si>
  <si>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</si>
  <si>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B12:M15: perfil mensual de los manuales (1, 2,5, 5 y 10 kg)</t>
  </si>
  <si>
    <t xml:space="preserve">Dimensionamiento Carros</t>
  </si>
  <si>
    <t xml:space="preserve">parametros_carros B12:M15: perfil mensual de los carros (25 a 100 kg)</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</si>
  <si>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</si>
  <si>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</si>
  <si>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</si>
  <si>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</si>
  <si>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</si>
  <si>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</si>
  <si>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</si>
  <si>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</si>
  <si>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</si>
  <si>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</si>
  <si>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</si>
  <si>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</si>
  <si>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</si>
  <si>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</si>
  <si>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</si>
  <si>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</si>
  <si>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</si>
  <si>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</si>
  <si>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</si>
  <si>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</si>
  <si>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</si>
  <si>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</si>
  <si>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</si>
  <si>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</si>
  <si>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</si>
  <si>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</si>
  <si>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</si>
  <si>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</si>
  <si>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</si>
  <si>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</si>
  <si>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</si>
  <si>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</si>
  <si>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</si>
  <si>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</si>
  <si>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</si>
  <si>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</si>
  <si>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</si>
  <si>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</si>
  <si>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</si>
  <si>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</si>
  <si>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</si>
  <si>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</si>
  <si>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</si>
  <si>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</si>
  <si>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</si>
  <si>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</si>
  <si>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</si>
  <si>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</si>
  <si>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</si>
  <si>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</si>
  <si>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</si>
  <si>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</si>
  <si>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</si>
  <si>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</si>
  <si>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</si>
  <si>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</si>
  <si>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</si>
  <si>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</si>
  <si>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</si>
  <si>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</si>
  <si>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</si>
  <si>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zonas de cada planta (hojas PROYECCION &lt;rubro&gt;)</t>
  </si>
  <si>
    <t xml:space="preserve">Planta comercial (sin PBA Interior)</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</si>
  <si>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</si>
  <si>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</si>
  <si>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</si>
  <si>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</si>
  <si>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</si>
  <si>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</si>
  <si>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</si>
  <si>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</si>
  <si>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Planta industrial</t>
  </si>
  <si>
    <t xml:space="preserve">Esta planta</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</si>
  <si>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</si>
  <si>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</si>
  <si>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</si>
  <si>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</si>
  <si>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</si>
  <si>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</si>
  <si>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</si>
  <si>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</si>
  <si>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</si>
  <si>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</si>
  <si>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</si>
  <si>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</si>
  <si>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</si>
  <si>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</si>
  <si>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</si>
  <si>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</si>
  <si>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Traslado en carro, morsa y manipuleo del porte</t>
  </si>
  <si>
    <t xml:space="preserve">Año de inicio del 2° turno (antes: más máquinas)</t>
  </si>
  <si>
    <t xml:space="preserve">Prioridad del aprovechamiento: antes de ese año se agrega máquina u operario; desde ese año, turno</t>
  </si>
  <si>
    <t xml:space="preserve">CRITERIOS DE RUTA — PLANTA COMERCIAL (IRAM 3517-2:2020 y Proyecciones)</t>
  </si>
  <si>
    <t xml:space="preserve">Intervalo máximo de PH — polvos, CO₂ y halogenados (años)</t>
  </si>
  <si>
    <t xml:space="preserve">IRAM 3517-2:2020, Anexo E (IRAM 3523, 3550, 3509, 3565 y 3504)</t>
  </si>
  <si>
    <t xml:space="preserve">Intervalo máximo de PH — agua, AFFF y sales K (años)</t>
  </si>
  <si>
    <t xml:space="preserve">IRAM 3517-2:2020, Anexo E (IRAM 3525, 3527, 3537, 3541, 3693 y 3694)</t>
  </si>
  <si>
    <t xml:space="preserve">% con PH — polvos, CO₂ y halogenados</t>
  </si>
  <si>
    <t xml:space="preserve">En régimen vence la PH de 1 de cada 5 equipos por año</t>
  </si>
  <si>
    <t xml:space="preserve">% con PH — agua, AFFF y sales K</t>
  </si>
  <si>
    <t xml:space="preserve">En régimen vence la PH de 1 de cada 2 equipos por año</t>
  </si>
  <si>
    <t xml:space="preserve">Vida útil — CO₂ (años)</t>
  </si>
  <si>
    <t xml:space="preserve">IRAM 3517-2:2020, Anexo E (IRAM 3509; IRAM 3565 hasta 10 kg)</t>
  </si>
  <si>
    <t xml:space="preserve">Vida útil — resto de los tipos (años)</t>
  </si>
  <si>
    <t xml:space="preserve">IRAM 3517-2:2020, Anexo E</t>
  </si>
  <si>
    <t xml:space="preserve">% fin de vida útil — CO₂</t>
  </si>
  <si>
    <t xml:space="preserve">En régimen llega al fin de su vida 1 de cada 30</t>
  </si>
  <si>
    <t xml:space="preserve">% fin de vida útil — resto</t>
  </si>
  <si>
    <t xml:space="preserve">En régimen llega al fin de su vida 1 de cada 20</t>
  </si>
  <si>
    <t xml:space="preserve">% que no pasan la PH</t>
  </si>
  <si>
    <t xml:space="preserve">Proyecciones (Mat PH). La norma manda inutilizarlos (9.12) pero no fija el %</t>
  </si>
  <si>
    <t xml:space="preserve">% rotos</t>
  </si>
  <si>
    <t xml:space="preserve">Proyecciones (Mat Rot)</t>
  </si>
  <si>
    <t xml:space="preserve">% inutilizados — CO₂</t>
  </si>
  <si>
    <t xml:space="preserve">Fin de vida útil + no pasan la PH + rotos</t>
  </si>
  <si>
    <t xml:space="preserve">% inutilizados — resto</t>
  </si>
  <si>
    <t xml:space="preserve">% que llegan descargados por uso</t>
  </si>
  <si>
    <t xml:space="preserve">Proyecciones (Mat Usados). 9.2.2: se recarga después de usarlo; la norma no fija el %</t>
  </si>
  <si>
    <t xml:space="preserve">Dígitos posibles del año de fabricación</t>
  </si>
  <si>
    <t xml:space="preserve">9.9.4 a): se cambia el polvo ABC cuando el último dígito del año de fabricación coincide con el del año del mantenimiento</t>
  </si>
  <si>
    <t xml:space="preserve">% ABC con cambio de polvo (a descarte)</t>
  </si>
  <si>
    <t xml:space="preserve">1 de cada 10 equipos por año</t>
  </si>
  <si>
    <t xml:space="preserve">% agua, AFFF y sales K que se vacían y recargan</t>
  </si>
  <si>
    <t xml:space="preserve">Anexo E: el agente se cambia cada año; 9.9.1.9 (sales K) y 9.9.1.10 (AFFF)</t>
  </si>
  <si>
    <t xml:space="preserve">% CO₂ que se abren por daño o cambio de piezas</t>
  </si>
  <si>
    <t xml:space="preserve">9.7.1.2: el dañado se examina y va a PH</t>
  </si>
  <si>
    <t xml:space="preserve">% que se pintan</t>
  </si>
  <si>
    <t xml:space="preserve">9.10 pide pintar los deteriorados; no fija %</t>
  </si>
  <si>
    <t xml:space="preserve">% polvos con humedad en el desarme (secado extra)</t>
  </si>
  <si>
    <t xml:space="preserve">Ensayos de laboratorio por recipiente de polvo</t>
  </si>
  <si>
    <t xml:space="preserve">Criterio. 9.9.3.1: el ensayo se hace cuando hay dudas sobre el polvo</t>
  </si>
  <si>
    <t xml:space="preserve">PERFIL MENSUAL POR AÑO (plano, 1/12 por mes)</t>
  </si>
  <si>
    <t xml:space="preserve">IRAM 3517-2:2020 9.2.1 (mantenimiento como mínimo anual) y 9.4.14 a) (la etiqueta fija el mes y año del próximo): cada equipo vuelve en su mes y la norma no fija ningún mes del calendario. El crecimiento se toma entre años (Proyecciones es anual).</t>
  </si>
  <si>
    <t xml:space="preserve">Año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</si>
  <si>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</si>
  <si>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</si>
  <si>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</si>
  <si>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</si>
  <si>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</si>
  <si>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</si>
  <si>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</si>
  <si>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</si>
  <si>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</si>
  <si>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</si>
  <si>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</si>
  <si>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</si>
  <si>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TIPOS DE MATAFUEGO</t>
  </si>
  <si>
    <t xml:space="preserve">Tipo</t>
  </si>
  <si>
    <t xml:space="preserve">Agente (ruta)</t>
  </si>
  <si>
    <t xml:space="preserve">u. equivalentes por recipiente</t>
  </si>
  <si>
    <t xml:space="preserve">Manguera con PH anual (1 = sí)</t>
  </si>
  <si>
    <t xml:space="preserve">Fuente de la manguera</t>
  </si>
  <si>
    <t xml:space="preserve">ABC</t>
  </si>
  <si>
    <t xml:space="preserve">No: tobera sin manguera</t>
  </si>
  <si>
    <t xml:space="preserve">No: la manguera no tiene cierre en el extremo</t>
  </si>
  <si>
    <t xml:space="preserve">Agua</t>
  </si>
  <si>
    <t xml:space="preserve">AFFF</t>
  </si>
  <si>
    <t xml:space="preserve">Sí, 9.7.1.4 a): lanza con cierre (rodante, IRAM 3541)</t>
  </si>
  <si>
    <t xml:space="preserve">BC</t>
  </si>
  <si>
    <t xml:space="preserve">Sales K</t>
  </si>
  <si>
    <t xml:space="preserve">CO₂</t>
  </si>
  <si>
    <t xml:space="preserve">No: difusor de brazo, sin manguera (catálogo FLAMA)</t>
  </si>
  <si>
    <t xml:space="preserve">Sí, 9.7.1.4 b): manguera de CO₂ (difusor con manga)</t>
  </si>
  <si>
    <t xml:space="preserve">Halogenado</t>
  </si>
  <si>
    <t xml:space="preserve">Clase D</t>
  </si>
  <si>
    <t xml:space="preserve">Sí, 9.7.1.4 a): válvula de cierre en la manguera (rodante, IRAM 3550)</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</si>
  <si>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</si>
  <si>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</si>
  <si>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</si>
  <si>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</si>
  <si>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</si>
  <si>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</si>
  <si>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</si>
  <si>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</si>
  <si>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</si>
  <si>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</si>
  <si>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</si>
  <si>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</si>
  <si>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</si>
  <si>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</si>
  <si>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</si>
  <si>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</si>
  <si>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</si>
  <si>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</si>
  <si>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</si>
  <si>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</si>
  <si>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</si>
  <si>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</si>
  <si>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</si>
  <si>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Descarga ABC — ruta descarte</t>
  </si>
  <si>
    <t xml:space="preserve">Tambor Yukon M-000030</t>
  </si>
  <si>
    <t xml:space="preserve">Igual que la ruta recuperable, al tambor</t>
  </si>
  <si>
    <t xml:space="preserve">Descarga BC</t>
  </si>
  <si>
    <t xml:space="preserve">Tambor Yukon M-000030 dedicado BC</t>
  </si>
  <si>
    <t xml:space="preserve">Igual que ABC; todo a descarte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</si>
  <si>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</si>
  <si>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</si>
  <si>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</si>
  <si>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</si>
  <si>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Recuperación de CO₂</t>
  </si>
  <si>
    <t xml:space="preserve">Trasvasadora CO₂ 103/D1 (misma máquina que la carga)</t>
  </si>
  <si>
    <t xml:space="preserve">Pesar 20 + conectar 20 + bombear 120 + verificar y pesar 20 + desconectar 15 + registrar 10</t>
  </si>
  <si>
    <t xml:space="preserve">Recuperación de halogenado</t>
  </si>
  <si>
    <t xml:space="preserve">Unidad THB/BP (misma máquina que la carga)</t>
  </si>
  <si>
    <t xml:space="preserve">Preparar y verificar cilindro de paso 60 + pesar 20 + conectar 30 + recuperar 300 + pesar ambos 40 + anotar 15</t>
  </si>
  <si>
    <t xml:space="preserve">Desarme y limpieza — recinto</t>
  </si>
  <si>
    <t xml:space="preserve">Lanza de soplado + aspiradora industrial + llaves</t>
  </si>
  <si>
    <t xml:space="preserve">Verificar 5 + retirar válvula 30 + marbete 5 + bandeja 10 + soplar 20 + limpieza profunda 120 × % con PH + tapar 5</t>
  </si>
  <si>
    <t xml:space="preserve">Antes 90 s con 25 % de PH; los pasos suman 99 s con 20 %</t>
  </si>
  <si>
    <t xml:space="preserve">Desarme e inspección interior — zona general</t>
  </si>
  <si>
    <t xml:space="preserve">Boroscopio Klein ET19 + llaves</t>
  </si>
  <si>
    <t xml:space="preserve">Confirmar vacío 10 + retirar válvula 40 + boroscopio 60 + enjuague 90 × 40 % + foto 15 + tapar 15</t>
  </si>
  <si>
    <t xml:space="preserve">Laboratorio — Puffer y mufla</t>
  </si>
  <si>
    <t xml:space="preserve">Puffer Yukon M-100150 + mufla ORL-0</t>
  </si>
  <si>
    <t xml:space="preserve">Tiempo por ENSAYO: registro 300 + mufla 600 + Puffer 1.800 + dictamen 60 + carga 120 + liberar tolva 300</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</si>
  <si>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</si>
  <si>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</si>
  <si>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</si>
  <si>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Secado</t>
  </si>
  <si>
    <t xml:space="preserve">Secadora Yukon de 6 recipientes</t>
  </si>
  <si>
    <t xml:space="preserve">Colocar 15 + 15 min ÷ 6 recipientes = 150 + retirar 15</t>
  </si>
  <si>
    <t xml:space="preserve">Agua, AFFF y sales K no se secan: se vuelven a llenar</t>
  </si>
  <si>
    <t xml:space="preserve">Inspección interior con videoscopio</t>
  </si>
  <si>
    <t xml:space="preserve">Videoscopio + mesa con soporte en V</t>
  </si>
  <si>
    <t xml:space="preserve">Recorrer con la sonda 60 + guardar foto 15 + tapar 10</t>
  </si>
  <si>
    <t xml:space="preserve">Pintura</t>
  </si>
  <si>
    <t xml:space="preserve">Cabina con extracción, HVLP, lámparas IR, amoladora</t>
  </si>
  <si>
    <t xml:space="preserve">Sin desglose de pasos en el original</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</si>
  <si>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</si>
  <si>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</si>
  <si>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</si>
  <si>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</si>
  <si>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Carga de polvo BC</t>
  </si>
  <si>
    <t xml:space="preserve">Cargadora portátil Yukon dedicada BC</t>
  </si>
  <si>
    <t xml:space="preserve">Contraste 10 + tara 15 + carga portátil 75 + pesar 15 + rosca 15 + registrar 10</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</si>
  <si>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</si>
  <si>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</si>
  <si>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</si>
  <si>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</si>
  <si>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Carga de agua / AFFF / sales K</t>
  </si>
  <si>
    <t xml:space="preserve">Red + tanque de premezcla con bomba 40 l/min + balanza</t>
  </si>
  <si>
    <t xml:space="preserve">Contraste y premezcla 20 + tara 10 + cargar 30 + corregir 15 + rosca 15 + registrar 10</t>
  </si>
  <si>
    <t xml:space="preserve">Carga de CO₂</t>
  </si>
  <si>
    <t xml:space="preserve">Trasvasadora CO₂ 103/D1 + manifold</t>
  </si>
  <si>
    <t xml:space="preserve">Tarar y programar 30 + elegir origen 10 + abrir manifold 15 + llenar 150 + pesar 25 + registrar 10</t>
  </si>
  <si>
    <t xml:space="preserve">Ensamblaje y marbete — recinto</t>
  </si>
  <si>
    <t xml:space="preserve">Morsa + llave dinamométrica</t>
  </si>
  <si>
    <t xml:space="preserve">Escanear 10 + revisar piezas 30 + o-ring 20 + marbete 10 + enroscar 30 + manguera y repuestos 20</t>
  </si>
  <si>
    <t xml:space="preserve">Presurización — recinto</t>
  </si>
  <si>
    <t xml:space="preserve">Pinza Yukon M-000150 + regulador</t>
  </si>
  <si>
    <t xml:space="preserve">Contraste por turno 3 + fijar presión 15 + colocar 10 + presurizar 20 + pasador 15 + registrar 10</t>
  </si>
  <si>
    <t xml:space="preserve">Ensamblaje y presurización — zona general</t>
  </si>
  <si>
    <t xml:space="preserve">Morsa + dinamométrica + pinza Yukon</t>
  </si>
  <si>
    <t xml:space="preserve">Ensamblaje 120 + presurización 50. CO₂ no se presuriza y halogenados se presurizan en la carga</t>
  </si>
  <si>
    <t xml:space="preserve">Carga y presurización de halogenado</t>
  </si>
  <si>
    <t xml:space="preserve">Unidad THB/BP + pinza</t>
  </si>
  <si>
    <t xml:space="preserve">Cargar 300 + presurizar 40 + agitar y repetir 60 + pesar y registrar 30</t>
  </si>
  <si>
    <t xml:space="preserve">Control de peso (CO₂ y halogenados sin recarga)</t>
  </si>
  <si>
    <t xml:space="preserve">Balanza</t>
  </si>
  <si>
    <t xml:space="preserve">Pesar y comparar 30 + registrar 10</t>
  </si>
  <si>
    <t xml:space="preserve">Anexo E: control anual de la masa</t>
  </si>
  <si>
    <t xml:space="preserve">Ensayo de pérdidas</t>
  </si>
  <si>
    <t xml:space="preserve">Tanque de inmersión inox (6 posiciones); spray en rodantes</t>
  </si>
  <si>
    <t xml:space="preserve">Preparar por turno 5 + bajar y observar en tandas de 6: 45 + sacar 10 + secar 10 + registrar 10</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</si>
  <si>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</si>
  <si>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</si>
  <si>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</si>
  <si>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</si>
  <si>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</si>
  <si>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</si>
  <si>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</si>
  <si>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</si>
  <si>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</si>
  <si>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</si>
  <si>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</si>
  <si>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</si>
  <si>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</si>
  <si>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PH Firesafer (alternativa, no entra en el cálculo)</t>
  </si>
  <si>
    <t xml:space="preserve">Banco Firesafer FS-JD12A</t>
  </si>
  <si>
    <t xml:space="preserve">El original copia el desglose de la Yukon (302 s) con 60 s: revisar antes de usarla</t>
  </si>
  <si>
    <t xml:space="preserve">PERFIL DE LLEGADA DE LOS SUSTITUTOS ABC NUEVOS (perfil de producción de Manuales y Carros)</t>
  </si>
  <si>
    <t xml:space="preserve">IMPORTRANGE del perfil mensual de cada modelo (el link se pega en la hoja Links). Solo pasan por la ruta del cilindro nuevo los que llegan como cilindro vacío (planta comercial).</t>
  </si>
  <si>
    <t xml:space="preserve">Origen del perfil</t>
  </si>
  <si>
    <t xml:space="preserve">Manuales, parametros_manuales fila 12</t>
  </si>
  <si>
    <t xml:space="preserve">Manuales, parametros_manuales fila 13</t>
  </si>
  <si>
    <t xml:space="preserve">Manuales, parametros_manuales fila 14</t>
  </si>
  <si>
    <t xml:space="preserve">Manuales, parametros_manuales fila 15</t>
  </si>
  <si>
    <t xml:space="preserve">Se compra: no se carga acá</t>
  </si>
  <si>
    <t xml:space="preserve">Carros, parametros_carros fila 12</t>
  </si>
  <si>
    <t xml:space="preserve">Carros, parametros_carros fila 13</t>
  </si>
  <si>
    <t xml:space="preserve">Carros, parametros_carros fila 14</t>
  </si>
  <si>
    <t xml:space="preserve">Carros, parametros_carros fila 15</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</si>
  <si>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</si>
  <si>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</si>
  <si>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</si>
  <si>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</si>
  <si>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</si>
  <si>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</si>
  <si>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</si>
  <si>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</si>
  <si>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</si>
  <si>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</si>
  <si>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</si>
  <si>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</si>
  <si>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</si>
  <si>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</si>
  <si>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</si>
  <si>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</si>
  <si>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</si>
  <si>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</si>
  <si>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</si>
  <si>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</si>
  <si>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</si>
  <si>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</si>
  <si>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</si>
  <si>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</si>
  <si>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</si>
  <si>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</si>
  <si>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</si>
  <si>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</si>
  <si>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</si>
  <si>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</si>
  <si>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</si>
  <si>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</si>
  <si>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</si>
  <si>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</si>
  <si>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 días del mes × ciclo (con 2 turnos desde el año del 2° turno), redondeado hacia arriba</t>
  </si>
  <si>
    <t xml:space="preserve">PASO 4 — Alta anual (u.)</t>
  </si>
  <si>
    <t xml:space="preserve">Alta = lo que crece el stock + stock del año anterior × % inutilizados (parametros_recargas B23 CO₂, B24 resto). Cada alta lleva faja amarilla y tarjeta</t>
  </si>
  <si>
    <t xml:space="preserve">Fábrica: cilindro vacío (se carga en esta planta)</t>
  </si>
  <si>
    <t xml:space="preserve">Fábrica: terminado (sale de la línea)</t>
  </si>
  <si>
    <t xml:space="preserve">Compra</t>
  </si>
  <si>
    <t xml:space="preserve">Kits de sustituto</t>
  </si>
  <si>
    <t xml:space="preserve">PASO 5 — Mantenimiento anual en planta (u.)</t>
  </si>
  <si>
    <t xml:space="preserve">Mantenimiento = stock del año anterior (9.4.5 y 9.2.1); entra al Plan mensual por la ruta normal de su tipo, 1/12 por mes</t>
  </si>
  <si>
    <t xml:space="preserve">PASO 6 — Pedido a la planta industrial por modelo (lo importan Manuales y Carros)</t>
  </si>
  <si>
    <t xml:space="preserve">Alta de los ABC (paso 4). Comercial: se entregan como cilindro vacío y se cargan en esta planta (ruta del cilindro nuevo). Industrial: salen terminados de la línea (proceso completo).</t>
  </si>
  <si>
    <t xml:space="preserve">Modelo</t>
  </si>
  <si>
    <t xml:space="preserve">Se entrega como</t>
  </si>
  <si>
    <t xml:space="preserve">Manuales importa B120:K123 (1 a 10 kg) y Carros B124:K127 (25 a 100 kg).</t>
  </si>
  <si>
    <t xml:space="preserve">Agente</t>
  </si>
  <si>
    <t xml:space="preserve">u. equiv.</t>
  </si>
  <si>
    <t xml:space="preserve">Incluye mant. de sustitutos (u./año)</t>
  </si>
  <si>
    <t xml:space="preserve">Total recipientes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</si>
  <si>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</si>
  <si>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</si>
  <si>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</si>
  <si>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</si>
  <si>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</si>
  <si>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</si>
  <si>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</si>
  <si>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</si>
  <si>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</si>
  <si>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</si>
  <si>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</si>
  <si>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</si>
  <si>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</si>
  <si>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</si>
  <si>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</si>
  <si>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</si>
  <si>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</si>
  <si>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Acciones (lista)</t>
  </si>
  <si>
    <t xml:space="preserve">Cuándo</t>
  </si>
  <si>
    <t xml:space="preserve">OK</t>
  </si>
  <si>
    <t xml:space="preserve">Aprovechamiento dentro del umbral</t>
  </si>
  <si>
    <t xml:space="preserve">Agrega turno</t>
  </si>
  <si>
    <t xml:space="preserve">Desde el año del 2° turno, si el puesto tiene turnos disponibles</t>
  </si>
  <si>
    <t xml:space="preserve">Agrega máquina</t>
  </si>
  <si>
    <t xml:space="preserve">Antes del año del 2° turno; o con el máximo de turnos y más del 100 %</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</si>
  <si>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</si>
  <si>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</si>
  <si>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</si>
  <si>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</si>
  <si>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</si>
  <si>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Pasa el umbral con el máximo de turnos sin llegar al 100 % (o no tiene tiempo tipo)</t>
  </si>
  <si>
    <t xml:space="preserve">Año de inicio del 2° turno</t>
  </si>
  <si>
    <t xml:space="preserve">Máquinas y turnos cargados con el criterio de Manuales (antes del año: máquina u operario; desde el año: turno; con 2 turnos, máquina solo si pasa el 100 %).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</si>
  <si>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</si>
  <si>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</si>
  <si>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</si>
  <si>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</si>
  <si>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</si>
  <si>
    <t xml:space="preserve">Máquina × turno necesarios al umbral</t>
  </si>
  <si>
    <t xml:space="preserve">TOTAL máquina × turno necesarios</t>
  </si>
  <si>
    <t xml:space="preserve">Acción sugerida</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</si>
</sst>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00"/>
    <numFmt numFmtId="171" formatCode="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9" fontId="8" fillId="0" borderId="1" xfId="0" applyFont="true" applyBorder="true" applyAlignment="true" applyProtection="false">
      <alignment horizontal="right" vertical="center" textRotation="0" wrapText="false" indent="0" shrinkToFit="false"/>
      <protection locked="true" hidden="false"/>
    </xf>
    <xf numFmtId="170" fontId="8"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71" fontId="8" fillId="0" borderId="1" xfId="0" applyFont="true" applyBorder="true" applyAlignment="true" applyProtection="false">
      <alignment horizontal="right" vertical="center" textRotation="0" wrapText="false" indent="0" shrinkToFit="false"/>
      <protection locked="true" hidden="false"/>
    </xf>
    <xf numFmtId="172" fontId="8"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15" hidden="false" customHeight="false" outlineLevel="0" collapsed="false">
      <c r="A5" s="4" t="s">
        <v>8</v>
      </c>
      <c r="B5" s="5" t="s">
        <v>9</v>
      </c>
      <c r="C5" s="5" t="s">
        <v>10</v>
      </c>
    </row>
    <row r="6" customFormat="false" ht="15" hidden="false" customHeight="false" outlineLevel="0" collapsed="false">
      <c r="A6" s="4" t="s">
        <v>11</v>
      </c>
      <c r="B6" s="5" t="s">
        <v>9</v>
      </c>
      <c r="C6" s="5"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13</v>
      </c>
    </row>
    <row r="3" customFormat="false" ht="15" hidden="false" customHeight="false" outlineLevel="0" collapsed="false">
      <c r="A3" s="3" t="s">
        <v>14</v>
      </c>
      <c r="B3" s="3" t="n">
        <v>2026</v>
      </c>
      <c r="C3" s="3" t="n">
        <v>2027</v>
      </c>
      <c r="D3" s="3" t="n">
        <v>2028</v>
      </c>
      <c r="E3" s="3" t="n">
        <v>2029</v>
      </c>
      <c r="F3" s="3" t="n">
        <v>2030</v>
      </c>
      <c r="G3" s="3" t="n">
        <v>2031</v>
      </c>
      <c r="H3" s="3" t="n">
        <v>2032</v>
      </c>
      <c r="I3" s="3" t="n">
        <v>2033</v>
      </c>
      <c r="J3" s="3" t="n">
        <v>2034</v>
      </c>
      <c r="K3" s="3" t="n">
        <v>2035</v>
      </c>
    </row>
    <row r="4" customFormat="false" ht="15" hidden="false" customHeight="false" outlineLevel="0" collapsed="false">
      <c r="A4" s="5" t="s">
        <v>15</v>
      </c>
      <c r="B4" s="6" t="n">
        <f aca="false">IFERROR(__xludf.DUMMYFUNCTION("IMPORTRANGE(Links!$B$4,""Indexado Dim Técnico!B27:K43"")"),3477.482124)</f>
        <v>3477.482124</v>
      </c>
      <c r="C4" s="6" t="n">
        <f aca="false">IFERROR(__xludf.DUMMYFUNCTION("""COMPUTED_VALUE"""),16970.58564)</f>
        <v>16970.58564</v>
      </c>
      <c r="D4" s="6" t="n">
        <f aca="false">IFERROR(__xludf.DUMMYFUNCTION("""COMPUTED_VALUE"""),30546.08951)</f>
        <v>30546.08951</v>
      </c>
      <c r="E4" s="6" t="n">
        <f aca="false">IFERROR(__xludf.DUMMYFUNCTION("""COMPUTED_VALUE"""),56048.31106)</f>
        <v>56048.31106</v>
      </c>
      <c r="F4" s="6" t="n">
        <f aca="false">IFERROR(__xludf.DUMMYFUNCTION("""COMPUTED_VALUE"""),84270.22613)</f>
        <v>84270.22613</v>
      </c>
      <c r="G4" s="6" t="n">
        <f aca="false">IFERROR(__xludf.DUMMYFUNCTION("""COMPUTED_VALUE"""),117407.8231)</f>
        <v>117407.8231</v>
      </c>
      <c r="H4" s="6" t="n">
        <f aca="false">IFERROR(__xludf.DUMMYFUNCTION("""COMPUTED_VALUE"""),147610.6356)</f>
        <v>147610.6356</v>
      </c>
      <c r="I4" s="6" t="n">
        <f aca="false">IFERROR(__xludf.DUMMYFUNCTION("""COMPUTED_VALUE"""),171404.3607)</f>
        <v>171404.3607</v>
      </c>
      <c r="J4" s="6" t="n">
        <f aca="false">IFERROR(__xludf.DUMMYFUNCTION("""COMPUTED_VALUE"""),183690.566)</f>
        <v>183690.566</v>
      </c>
      <c r="K4" s="6" t="n">
        <f aca="false">IFERROR(__xludf.DUMMYFUNCTION("""COMPUTED_VALUE"""),196282.6907)</f>
        <v>196282.6907</v>
      </c>
    </row>
    <row r="5" customFormat="false" ht="15" hidden="false" customHeight="false" outlineLevel="0" collapsed="false">
      <c r="A5" s="5" t="s">
        <v>16</v>
      </c>
      <c r="B5" s="6" t="n">
        <f aca="false">IFERROR(__xludf.DUMMYFUNCTION("""COMPUTED_VALUE"""),329.996668)</f>
        <v>329.996668</v>
      </c>
      <c r="C5" s="6" t="n">
        <f aca="false">IFERROR(__xludf.DUMMYFUNCTION("""COMPUTED_VALUE"""),1287.414024)</f>
        <v>1287.414024</v>
      </c>
      <c r="D5" s="6" t="n">
        <f aca="false">IFERROR(__xludf.DUMMYFUNCTION("""COMPUTED_VALUE"""),2947.169216)</f>
        <v>2947.169216</v>
      </c>
      <c r="E5" s="6" t="n">
        <f aca="false">IFERROR(__xludf.DUMMYFUNCTION("""COMPUTED_VALUE"""),5426.043269)</f>
        <v>5426.043269</v>
      </c>
      <c r="F5" s="6" t="n">
        <f aca="false">IFERROR(__xludf.DUMMYFUNCTION("""COMPUTED_VALUE"""),7850.875806)</f>
        <v>7850.875806</v>
      </c>
      <c r="G5" s="6" t="n">
        <f aca="false">IFERROR(__xludf.DUMMYFUNCTION("""COMPUTED_VALUE"""),10423.94365)</f>
        <v>10423.94365</v>
      </c>
      <c r="H5" s="6" t="n">
        <f aca="false">IFERROR(__xludf.DUMMYFUNCTION("""COMPUTED_VALUE"""),12809.89571)</f>
        <v>12809.89571</v>
      </c>
      <c r="I5" s="6" t="n">
        <f aca="false">IFERROR(__xludf.DUMMYFUNCTION("""COMPUTED_VALUE"""),14263.06831)</f>
        <v>14263.06831</v>
      </c>
      <c r="J5" s="6" t="n">
        <f aca="false">IFERROR(__xludf.DUMMYFUNCTION("""COMPUTED_VALUE"""),15432.86983)</f>
        <v>15432.86983</v>
      </c>
      <c r="K5" s="6" t="n">
        <f aca="false">IFERROR(__xludf.DUMMYFUNCTION("""COMPUTED_VALUE"""),16620.76117)</f>
        <v>16620.76117</v>
      </c>
    </row>
    <row r="6" customFormat="false" ht="15" hidden="false" customHeight="false" outlineLevel="0" collapsed="false">
      <c r="A6" s="5" t="s">
        <v>17</v>
      </c>
      <c r="B6" s="6" t="n">
        <f aca="false">IFERROR(__xludf.DUMMYFUNCTION("""COMPUTED_VALUE"""),1950.394097)</f>
        <v>1950.394097</v>
      </c>
      <c r="C6" s="6" t="n">
        <f aca="false">IFERROR(__xludf.DUMMYFUNCTION("""COMPUTED_VALUE"""),7852.61852)</f>
        <v>7852.61852</v>
      </c>
      <c r="D6" s="6" t="n">
        <f aca="false">IFERROR(__xludf.DUMMYFUNCTION("""COMPUTED_VALUE"""),17775.85701)</f>
        <v>17775.85701</v>
      </c>
      <c r="E6" s="6" t="n">
        <f aca="false">IFERROR(__xludf.DUMMYFUNCTION("""COMPUTED_VALUE"""),33605.56835)</f>
        <v>33605.56835</v>
      </c>
      <c r="F6" s="6" t="n">
        <f aca="false">IFERROR(__xludf.DUMMYFUNCTION("""COMPUTED_VALUE"""),48407.57189)</f>
        <v>48407.57189</v>
      </c>
      <c r="G6" s="6" t="n">
        <f aca="false">IFERROR(__xludf.DUMMYFUNCTION("""COMPUTED_VALUE"""),64323.04276)</f>
        <v>64323.04276</v>
      </c>
      <c r="H6" s="6" t="n">
        <f aca="false">IFERROR(__xludf.DUMMYFUNCTION("""COMPUTED_VALUE"""),78721.10039)</f>
        <v>78721.10039</v>
      </c>
      <c r="I6" s="6" t="n">
        <f aca="false">IFERROR(__xludf.DUMMYFUNCTION("""COMPUTED_VALUE"""),87237.2124)</f>
        <v>87237.2124</v>
      </c>
      <c r="J6" s="6" t="n">
        <f aca="false">IFERROR(__xludf.DUMMYFUNCTION("""COMPUTED_VALUE"""),94103.66761)</f>
        <v>94103.66761</v>
      </c>
      <c r="K6" s="6" t="n">
        <f aca="false">IFERROR(__xludf.DUMMYFUNCTION("""COMPUTED_VALUE"""),101095.1762)</f>
        <v>101095.1762</v>
      </c>
    </row>
    <row r="7" customFormat="false" ht="15" hidden="false" customHeight="false" outlineLevel="0" collapsed="false">
      <c r="A7" s="5" t="s">
        <v>18</v>
      </c>
      <c r="B7" s="6" t="n">
        <f aca="false">IFERROR(__xludf.DUMMYFUNCTION("""COMPUTED_VALUE"""),118.343632)</f>
        <v>118.343632</v>
      </c>
      <c r="C7" s="6" t="n">
        <f aca="false">IFERROR(__xludf.DUMMYFUNCTION("""COMPUTED_VALUE"""),437.716578)</f>
        <v>437.716578</v>
      </c>
      <c r="D7" s="6" t="n">
        <f aca="false">IFERROR(__xludf.DUMMYFUNCTION("""COMPUTED_VALUE"""),1024.974821)</f>
        <v>1024.974821</v>
      </c>
      <c r="E7" s="6" t="n">
        <f aca="false">IFERROR(__xludf.DUMMYFUNCTION("""COMPUTED_VALUE"""),1960.409862)</f>
        <v>1960.409862</v>
      </c>
      <c r="F7" s="6" t="n">
        <f aca="false">IFERROR(__xludf.DUMMYFUNCTION("""COMPUTED_VALUE"""),2844.976846)</f>
        <v>2844.976846</v>
      </c>
      <c r="G7" s="6" t="n">
        <f aca="false">IFERROR(__xludf.DUMMYFUNCTION("""COMPUTED_VALUE"""),3810.390622)</f>
        <v>3810.390622</v>
      </c>
      <c r="H7" s="6" t="n">
        <f aca="false">IFERROR(__xludf.DUMMYFUNCTION("""COMPUTED_VALUE"""),4663.67807)</f>
        <v>4663.67807</v>
      </c>
      <c r="I7" s="6" t="n">
        <f aca="false">IFERROR(__xludf.DUMMYFUNCTION("""COMPUTED_VALUE"""),5164.514584)</f>
        <v>5164.514584</v>
      </c>
      <c r="J7" s="6" t="n">
        <f aca="false">IFERROR(__xludf.DUMMYFUNCTION("""COMPUTED_VALUE"""),5571.544328)</f>
        <v>5571.544328</v>
      </c>
      <c r="K7" s="6" t="n">
        <f aca="false">IFERROR(__xludf.DUMMYFUNCTION("""COMPUTED_VALUE"""),5985.950855)</f>
        <v>5985.950855</v>
      </c>
    </row>
    <row r="8" customFormat="false" ht="15" hidden="false" customHeight="false" outlineLevel="0" collapsed="false">
      <c r="A8" s="5" t="s">
        <v>19</v>
      </c>
      <c r="B8" s="6" t="n">
        <f aca="false">IFERROR(__xludf.DUMMYFUNCTION("""COMPUTED_VALUE"""),159.308736)</f>
        <v>159.308736</v>
      </c>
      <c r="C8" s="6" t="n">
        <f aca="false">IFERROR(__xludf.DUMMYFUNCTION("""COMPUTED_VALUE"""),643.423542)</f>
        <v>643.423542</v>
      </c>
      <c r="D8" s="6" t="n">
        <f aca="false">IFERROR(__xludf.DUMMYFUNCTION("""COMPUTED_VALUE"""),1474.362741)</f>
        <v>1474.362741</v>
      </c>
      <c r="E8" s="6" t="n">
        <f aca="false">IFERROR(__xludf.DUMMYFUNCTION("""COMPUTED_VALUE"""),2766.451205)</f>
        <v>2766.451205</v>
      </c>
      <c r="F8" s="6" t="n">
        <f aca="false">IFERROR(__xludf.DUMMYFUNCTION("""COMPUTED_VALUE"""),3991.465221)</f>
        <v>3991.465221</v>
      </c>
      <c r="G8" s="6" t="n">
        <f aca="false">IFERROR(__xludf.DUMMYFUNCTION("""COMPUTED_VALUE"""),5335.75578)</f>
        <v>5335.75578</v>
      </c>
      <c r="H8" s="6" t="n">
        <f aca="false">IFERROR(__xludf.DUMMYFUNCTION("""COMPUTED_VALUE"""),6538.958887)</f>
        <v>6538.958887</v>
      </c>
      <c r="I8" s="6" t="n">
        <f aca="false">IFERROR(__xludf.DUMMYFUNCTION("""COMPUTED_VALUE"""),7269.819681)</f>
        <v>7269.819681</v>
      </c>
      <c r="J8" s="6" t="n">
        <f aca="false">IFERROR(__xludf.DUMMYFUNCTION("""COMPUTED_VALUE"""),7855.44139)</f>
        <v>7855.44139</v>
      </c>
      <c r="K8" s="6" t="n">
        <f aca="false">IFERROR(__xludf.DUMMYFUNCTION("""COMPUTED_VALUE"""),8450.814081)</f>
        <v>8450.814081</v>
      </c>
    </row>
    <row r="9" customFormat="false" ht="15" hidden="false" customHeight="false" outlineLevel="0" collapsed="false">
      <c r="A9" s="5" t="s">
        <v>20</v>
      </c>
      <c r="B9" s="6" t="n">
        <f aca="false">IFERROR(__xludf.DUMMYFUNCTION("""COMPUTED_VALUE"""),22.758391)</f>
        <v>22.758391</v>
      </c>
      <c r="C9" s="6" t="n">
        <f aca="false">IFERROR(__xludf.DUMMYFUNCTION("""COMPUTED_VALUE"""),161.315751)</f>
        <v>161.315751</v>
      </c>
      <c r="D9" s="6" t="n">
        <f aca="false">IFERROR(__xludf.DUMMYFUNCTION("""COMPUTED_VALUE"""),316.607276)</f>
        <v>316.607276</v>
      </c>
      <c r="E9" s="6" t="n">
        <f aca="false">IFERROR(__xludf.DUMMYFUNCTION("""COMPUTED_VALUE"""),527.39462)</f>
        <v>527.39462</v>
      </c>
      <c r="F9" s="6" t="n">
        <f aca="false">IFERROR(__xludf.DUMMYFUNCTION("""COMPUTED_VALUE"""),743.788946)</f>
        <v>743.788946</v>
      </c>
      <c r="G9" s="6" t="n">
        <f aca="false">IFERROR(__xludf.DUMMYFUNCTION("""COMPUTED_VALUE"""),962.874335)</f>
        <v>962.874335</v>
      </c>
      <c r="H9" s="6" t="n">
        <f aca="false">IFERROR(__xludf.DUMMYFUNCTION("""COMPUTED_VALUE"""),1194.942207)</f>
        <v>1194.942207</v>
      </c>
      <c r="I9" s="6" t="n">
        <f aca="false">IFERROR(__xludf.DUMMYFUNCTION("""COMPUTED_VALUE"""),1351.617183)</f>
        <v>1351.617183</v>
      </c>
      <c r="J9" s="6" t="n">
        <f aca="false">IFERROR(__xludf.DUMMYFUNCTION("""COMPUTED_VALUE"""),1477.54886)</f>
        <v>1477.54886</v>
      </c>
      <c r="K9" s="6" t="n">
        <f aca="false">IFERROR(__xludf.DUMMYFUNCTION("""COMPUTED_VALUE"""),1604.441422)</f>
        <v>1604.441422</v>
      </c>
    </row>
    <row r="10" customFormat="false" ht="15" hidden="false" customHeight="false" outlineLevel="0" collapsed="false">
      <c r="A10" s="5" t="s">
        <v>21</v>
      </c>
      <c r="B10" s="6" t="n">
        <f aca="false">IFERROR(__xludf.DUMMYFUNCTION("""COMPUTED_VALUE"""),11.379195)</f>
        <v>11.379195</v>
      </c>
      <c r="C10" s="6" t="n">
        <f aca="false">IFERROR(__xludf.DUMMYFUNCTION("""COMPUTED_VALUE"""),83.22352)</f>
        <v>83.22352</v>
      </c>
      <c r="D10" s="6" t="n">
        <f aca="false">IFERROR(__xludf.DUMMYFUNCTION("""COMPUTED_VALUE"""),164.463834)</f>
        <v>164.463834</v>
      </c>
      <c r="E10" s="6" t="n">
        <f aca="false">IFERROR(__xludf.DUMMYFUNCTION("""COMPUTED_VALUE"""),281.341145)</f>
        <v>281.341145</v>
      </c>
      <c r="F10" s="6" t="n">
        <f aca="false">IFERROR(__xludf.DUMMYFUNCTION("""COMPUTED_VALUE"""),398.902509)</f>
        <v>398.902509</v>
      </c>
      <c r="G10" s="6" t="n">
        <f aca="false">IFERROR(__xludf.DUMMYFUNCTION("""COMPUTED_VALUE"""),514.527284)</f>
        <v>514.527284</v>
      </c>
      <c r="H10" s="6" t="n">
        <f aca="false">IFERROR(__xludf.DUMMYFUNCTION("""COMPUTED_VALUE"""),629.065505)</f>
        <v>629.065505</v>
      </c>
      <c r="I10" s="6" t="n">
        <f aca="false">IFERROR(__xludf.DUMMYFUNCTION("""COMPUTED_VALUE"""),711.178024)</f>
        <v>711.178024</v>
      </c>
      <c r="J10" s="6" t="n">
        <f aca="false">IFERROR(__xludf.DUMMYFUNCTION("""COMPUTED_VALUE"""),773.41098)</f>
        <v>773.41098</v>
      </c>
      <c r="K10" s="6" t="n">
        <f aca="false">IFERROR(__xludf.DUMMYFUNCTION("""COMPUTED_VALUE"""),836.350805)</f>
        <v>836.350805</v>
      </c>
    </row>
    <row r="11" customFormat="false" ht="15" hidden="false" customHeight="false" outlineLevel="0" collapsed="false">
      <c r="A11" s="5" t="s">
        <v>22</v>
      </c>
      <c r="B11" s="6" t="n">
        <f aca="false">IFERROR(__xludf.DUMMYFUNCTION("""COMPUTED_VALUE"""),6.827517)</f>
        <v>6.827517</v>
      </c>
      <c r="C11" s="6" t="n">
        <f aca="false">IFERROR(__xludf.DUMMYFUNCTION("""COMPUTED_VALUE"""),47.073112)</f>
        <v>47.073112</v>
      </c>
      <c r="D11" s="6" t="n">
        <f aca="false">IFERROR(__xludf.DUMMYFUNCTION("""COMPUTED_VALUE"""),88.889676)</f>
        <v>88.889676</v>
      </c>
      <c r="E11" s="6" t="n">
        <f aca="false">IFERROR(__xludf.DUMMYFUNCTION("""COMPUTED_VALUE"""),159.502491)</f>
        <v>159.502491</v>
      </c>
      <c r="F11" s="6" t="n">
        <f aca="false">IFERROR(__xludf.DUMMYFUNCTION("""COMPUTED_VALUE"""),219.796202)</f>
        <v>219.796202</v>
      </c>
      <c r="G11" s="6" t="n">
        <f aca="false">IFERROR(__xludf.DUMMYFUNCTION("""COMPUTED_VALUE"""),291.869853)</f>
        <v>291.869853</v>
      </c>
      <c r="H11" s="6" t="n">
        <f aca="false">IFERROR(__xludf.DUMMYFUNCTION("""COMPUTED_VALUE"""),368.844169)</f>
        <v>368.844169</v>
      </c>
      <c r="I11" s="6" t="n">
        <f aca="false">IFERROR(__xludf.DUMMYFUNCTION("""COMPUTED_VALUE"""),408.408953)</f>
        <v>408.408953</v>
      </c>
      <c r="J11" s="6" t="n">
        <f aca="false">IFERROR(__xludf.DUMMYFUNCTION("""COMPUTED_VALUE"""),445.781944)</f>
        <v>445.781944</v>
      </c>
      <c r="K11" s="6" t="n">
        <f aca="false">IFERROR(__xludf.DUMMYFUNCTION("""COMPUTED_VALUE"""),483.479203)</f>
        <v>483.479203</v>
      </c>
    </row>
    <row r="12" customFormat="false" ht="15" hidden="false" customHeight="false" outlineLevel="0" collapsed="false">
      <c r="A12" s="5" t="s">
        <v>23</v>
      </c>
      <c r="B12" s="6" t="n">
        <f aca="false">IFERROR(__xludf.DUMMYFUNCTION("""COMPUTED_VALUE"""),81.930207)</f>
        <v>81.930207</v>
      </c>
      <c r="C12" s="6" t="n">
        <f aca="false">IFERROR(__xludf.DUMMYFUNCTION("""COMPUTED_VALUE"""),335.398855)</f>
        <v>335.398855</v>
      </c>
      <c r="D12" s="6" t="n">
        <f aca="false">IFERROR(__xludf.DUMMYFUNCTION("""COMPUTED_VALUE"""),746.598352)</f>
        <v>746.598352</v>
      </c>
      <c r="E12" s="6" t="n">
        <f aca="false">IFERROR(__xludf.DUMMYFUNCTION("""COMPUTED_VALUE"""),1358.899837)</f>
        <v>1358.899837</v>
      </c>
      <c r="F12" s="6" t="n">
        <f aca="false">IFERROR(__xludf.DUMMYFUNCTION("""COMPUTED_VALUE"""),1961.125522)</f>
        <v>1961.125522</v>
      </c>
      <c r="G12" s="6" t="n">
        <f aca="false">IFERROR(__xludf.DUMMYFUNCTION("""COMPUTED_VALUE"""),2598.541412)</f>
        <v>2598.541412</v>
      </c>
      <c r="H12" s="6" t="n">
        <f aca="false">IFERROR(__xludf.DUMMYFUNCTION("""COMPUTED_VALUE"""),3197.263477)</f>
        <v>3197.263477</v>
      </c>
      <c r="I12" s="6" t="n">
        <f aca="false">IFERROR(__xludf.DUMMYFUNCTION("""COMPUTED_VALUE"""),3578.539452)</f>
        <v>3578.539452</v>
      </c>
      <c r="J12" s="6" t="n">
        <f aca="false">IFERROR(__xludf.DUMMYFUNCTION("""COMPUTED_VALUE"""),3870.747997)</f>
        <v>3870.747997</v>
      </c>
      <c r="K12" s="6" t="n">
        <f aca="false">IFERROR(__xludf.DUMMYFUNCTION("""COMPUTED_VALUE"""),4167.559622)</f>
        <v>4167.559622</v>
      </c>
    </row>
    <row r="13" customFormat="false" ht="15" hidden="false" customHeight="false" outlineLevel="0" collapsed="false">
      <c r="A13" s="5" t="s">
        <v>24</v>
      </c>
      <c r="B13" s="6" t="n">
        <f aca="false">IFERROR(__xludf.DUMMYFUNCTION("""COMPUTED_VALUE"""),450.616139)</f>
        <v>450.616139</v>
      </c>
      <c r="C13" s="6" t="n">
        <f aca="false">IFERROR(__xludf.DUMMYFUNCTION("""COMPUTED_VALUE"""),1697.18149)</f>
        <v>1697.18149</v>
      </c>
      <c r="D13" s="6" t="n">
        <f aca="false">IFERROR(__xludf.DUMMYFUNCTION("""COMPUTED_VALUE"""),3955.196858)</f>
        <v>3955.196858</v>
      </c>
      <c r="E13" s="6" t="n">
        <f aca="false">IFERROR(__xludf.DUMMYFUNCTION("""COMPUTED_VALUE"""),7561.26033)</f>
        <v>7561.26033</v>
      </c>
      <c r="F13" s="6" t="n">
        <f aca="false">IFERROR(__xludf.DUMMYFUNCTION("""COMPUTED_VALUE"""),10920.14481)</f>
        <v>10920.14481</v>
      </c>
      <c r="G13" s="6" t="n">
        <f aca="false">IFERROR(__xludf.DUMMYFUNCTION("""COMPUTED_VALUE"""),14514.88522)</f>
        <v>14514.88522</v>
      </c>
      <c r="H13" s="6" t="n">
        <f aca="false">IFERROR(__xludf.DUMMYFUNCTION("""COMPUTED_VALUE"""),17746.49927)</f>
        <v>17746.49927</v>
      </c>
      <c r="I13" s="6" t="n">
        <f aca="false">IFERROR(__xludf.DUMMYFUNCTION("""COMPUTED_VALUE"""),19617.20546)</f>
        <v>19617.20546</v>
      </c>
      <c r="J13" s="6" t="n">
        <f aca="false">IFERROR(__xludf.DUMMYFUNCTION("""COMPUTED_VALUE"""),21161.80625)</f>
        <v>21161.80625</v>
      </c>
      <c r="K13" s="6" t="n">
        <f aca="false">IFERROR(__xludf.DUMMYFUNCTION("""COMPUTED_VALUE"""),22734.50171)</f>
        <v>22734.50171</v>
      </c>
    </row>
    <row r="14" customFormat="false" ht="15" hidden="false" customHeight="false" outlineLevel="0" collapsed="false">
      <c r="A14" s="5" t="s">
        <v>25</v>
      </c>
      <c r="B14" s="6" t="n">
        <f aca="false">IFERROR(__xludf.DUMMYFUNCTION("""COMPUTED_VALUE"""),125.17115)</f>
        <v>125.17115</v>
      </c>
      <c r="C14" s="6" t="n">
        <f aca="false">IFERROR(__xludf.DUMMYFUNCTION("""COMPUTED_VALUE"""),643.630371)</f>
        <v>643.630371</v>
      </c>
      <c r="D14" s="6" t="n">
        <f aca="false">IFERROR(__xludf.DUMMYFUNCTION("""COMPUTED_VALUE"""),1375.626719)</f>
        <v>1375.626719</v>
      </c>
      <c r="E14" s="6" t="n">
        <f aca="false">IFERROR(__xludf.DUMMYFUNCTION("""COMPUTED_VALUE"""),2460.284265)</f>
        <v>2460.284265</v>
      </c>
      <c r="F14" s="6" t="n">
        <f aca="false">IFERROR(__xludf.DUMMYFUNCTION("""COMPUTED_VALUE"""),3545.257683)</f>
        <v>3545.257683</v>
      </c>
      <c r="G14" s="6" t="n">
        <f aca="false">IFERROR(__xludf.DUMMYFUNCTION("""COMPUTED_VALUE"""),4723.461784)</f>
        <v>4723.461784</v>
      </c>
      <c r="H14" s="6" t="n">
        <f aca="false">IFERROR(__xludf.DUMMYFUNCTION("""COMPUTED_VALUE"""),5853.905178)</f>
        <v>5853.905178</v>
      </c>
      <c r="I14" s="6" t="n">
        <f aca="false">IFERROR(__xludf.DUMMYFUNCTION("""COMPUTED_VALUE"""),6608.459909)</f>
        <v>6608.459909</v>
      </c>
      <c r="J14" s="6" t="n">
        <f aca="false">IFERROR(__xludf.DUMMYFUNCTION("""COMPUTED_VALUE"""),7185.708397)</f>
        <v>7185.708397</v>
      </c>
      <c r="K14" s="6" t="n">
        <f aca="false">IFERROR(__xludf.DUMMYFUNCTION("""COMPUTED_VALUE"""),7769.577127)</f>
        <v>7769.577127</v>
      </c>
    </row>
    <row r="15" customFormat="false" ht="15" hidden="false" customHeight="false" outlineLevel="0" collapsed="false">
      <c r="A15" s="5" t="s">
        <v>26</v>
      </c>
      <c r="B15" s="6" t="n">
        <f aca="false">IFERROR(__xludf.DUMMYFUNCTION("""COMPUTED_VALUE"""),18.206713)</f>
        <v>18.206713</v>
      </c>
      <c r="C15" s="6" t="n">
        <f aca="false">IFERROR(__xludf.DUMMYFUNCTION("""COMPUTED_VALUE"""),112.075122)</f>
        <v>112.075122</v>
      </c>
      <c r="D15" s="6" t="n">
        <f aca="false">IFERROR(__xludf.DUMMYFUNCTION("""COMPUTED_VALUE"""),230.854041)</f>
        <v>230.854041</v>
      </c>
      <c r="E15" s="6" t="n">
        <f aca="false">IFERROR(__xludf.DUMMYFUNCTION("""COMPUTED_VALUE"""),400.715334)</f>
        <v>400.715334</v>
      </c>
      <c r="F15" s="6" t="n">
        <f aca="false">IFERROR(__xludf.DUMMYFUNCTION("""COMPUTED_VALUE"""),574.507789)</f>
        <v>574.507789</v>
      </c>
      <c r="G15" s="6" t="n">
        <f aca="false">IFERROR(__xludf.DUMMYFUNCTION("""COMPUTED_VALUE"""),754.345623)</f>
        <v>754.345623</v>
      </c>
      <c r="H15" s="6" t="n">
        <f aca="false">IFERROR(__xludf.DUMMYFUNCTION("""COMPUTED_VALUE"""),944.84884)</f>
        <v>944.84884</v>
      </c>
      <c r="I15" s="6" t="n">
        <f aca="false">IFERROR(__xludf.DUMMYFUNCTION("""COMPUTED_VALUE"""),1072.234671)</f>
        <v>1072.234671</v>
      </c>
      <c r="J15" s="6" t="n">
        <f aca="false">IFERROR(__xludf.DUMMYFUNCTION("""COMPUTED_VALUE"""),1171.695753)</f>
        <v>1171.695753</v>
      </c>
      <c r="K15" s="6" t="n">
        <f aca="false">IFERROR(__xludf.DUMMYFUNCTION("""COMPUTED_VALUE"""),1271.941099)</f>
        <v>1271.941099</v>
      </c>
    </row>
    <row r="16" customFormat="false" ht="15" hidden="false" customHeight="false" outlineLevel="0" collapsed="false">
      <c r="A16" s="5" t="s">
        <v>27</v>
      </c>
      <c r="B16" s="6" t="n">
        <f aca="false">IFERROR(__xludf.DUMMYFUNCTION("""COMPUTED_VALUE"""),6.827517)</f>
        <v>6.827517</v>
      </c>
      <c r="C16" s="6" t="n">
        <f aca="false">IFERROR(__xludf.DUMMYFUNCTION("""COMPUTED_VALUE"""),47.073112)</f>
        <v>47.073112</v>
      </c>
      <c r="D16" s="6" t="n">
        <f aca="false">IFERROR(__xludf.DUMMYFUNCTION("""COMPUTED_VALUE"""),88.889676)</f>
        <v>88.889676</v>
      </c>
      <c r="E16" s="6" t="n">
        <f aca="false">IFERROR(__xludf.DUMMYFUNCTION("""COMPUTED_VALUE"""),148.279182)</f>
        <v>148.279182</v>
      </c>
      <c r="F16" s="6" t="n">
        <f aca="false">IFERROR(__xludf.DUMMYFUNCTION("""COMPUTED_VALUE"""),205.226053)</f>
        <v>205.226053</v>
      </c>
      <c r="G16" s="6" t="n">
        <f aca="false">IFERROR(__xludf.DUMMYFUNCTION("""COMPUTED_VALUE"""),255.765145)</f>
        <v>255.765145</v>
      </c>
      <c r="H16" s="6" t="n">
        <f aca="false">IFERROR(__xludf.DUMMYFUNCTION("""COMPUTED_VALUE"""),328.417902)</f>
        <v>328.417902</v>
      </c>
      <c r="I16" s="6" t="n">
        <f aca="false">IFERROR(__xludf.DUMMYFUNCTION("""COMPUTED_VALUE"""),366.908071)</f>
        <v>366.908071</v>
      </c>
      <c r="J16" s="6" t="n">
        <f aca="false">IFERROR(__xludf.DUMMYFUNCTION("""COMPUTED_VALUE"""),401.681707)</f>
        <v>401.681707</v>
      </c>
      <c r="K16" s="6" t="n">
        <f aca="false">IFERROR(__xludf.DUMMYFUNCTION("""COMPUTED_VALUE"""),436.686782)</f>
        <v>436.686782</v>
      </c>
    </row>
    <row r="17" customFormat="false" ht="15" hidden="false" customHeight="false" outlineLevel="0" collapsed="false">
      <c r="A17" s="5" t="s">
        <v>28</v>
      </c>
      <c r="B17" s="6" t="n">
        <f aca="false">IFERROR(__xludf.DUMMYFUNCTION("""COMPUTED_VALUE"""),17.637753)</f>
        <v>17.637753</v>
      </c>
      <c r="C17" s="6" t="n">
        <f aca="false">IFERROR(__xludf.DUMMYFUNCTION("""COMPUTED_VALUE"""),85.987819)</f>
        <v>85.987819</v>
      </c>
      <c r="D17" s="6" t="n">
        <f aca="false">IFERROR(__xludf.DUMMYFUNCTION("""COMPUTED_VALUE"""),186.869567)</f>
        <v>186.869567</v>
      </c>
      <c r="E17" s="6" t="n">
        <f aca="false">IFERROR(__xludf.DUMMYFUNCTION("""COMPUTED_VALUE"""),336.583621)</f>
        <v>336.583621</v>
      </c>
      <c r="F17" s="6" t="n">
        <f aca="false">IFERROR(__xludf.DUMMYFUNCTION("""COMPUTED_VALUE"""),484.132598)</f>
        <v>484.132598</v>
      </c>
      <c r="G17" s="6" t="n">
        <f aca="false">IFERROR(__xludf.DUMMYFUNCTION("""COMPUTED_VALUE"""),643.220385)</f>
        <v>643.220385</v>
      </c>
      <c r="H17" s="6" t="n">
        <f aca="false">IFERROR(__xludf.DUMMYFUNCTION("""COMPUTED_VALUE"""),792.431742)</f>
        <v>792.431742</v>
      </c>
      <c r="I17" s="6" t="n">
        <f aca="false">IFERROR(__xludf.DUMMYFUNCTION("""COMPUTED_VALUE"""),889.677707)</f>
        <v>889.677707</v>
      </c>
      <c r="J17" s="6" t="n">
        <f aca="false">IFERROR(__xludf.DUMMYFUNCTION("""COMPUTED_VALUE"""),965.31111)</f>
        <v>965.31111</v>
      </c>
      <c r="K17" s="6" t="n">
        <f aca="false">IFERROR(__xludf.DUMMYFUNCTION("""COMPUTED_VALUE"""),1041.939702)</f>
        <v>1041.939702</v>
      </c>
    </row>
    <row r="18" customFormat="false" ht="15" hidden="false" customHeight="false" outlineLevel="0" collapsed="false">
      <c r="A18" s="5" t="s">
        <v>29</v>
      </c>
      <c r="B18" s="6" t="n">
        <f aca="false">IFERROR(__xludf.DUMMYFUNCTION("""COMPUTED_VALUE"""),38.803056)</f>
        <v>38.803056</v>
      </c>
      <c r="C18" s="6" t="n">
        <f aca="false">IFERROR(__xludf.DUMMYFUNCTION("""COMPUTED_VALUE"""),189.173203)</f>
        <v>189.173203</v>
      </c>
      <c r="D18" s="6" t="n">
        <f aca="false">IFERROR(__xludf.DUMMYFUNCTION("""COMPUTED_VALUE"""),411.113048)</f>
        <v>411.113048</v>
      </c>
      <c r="E18" s="6" t="n">
        <f aca="false">IFERROR(__xludf.DUMMYFUNCTION("""COMPUTED_VALUE"""),740.483966)</f>
        <v>740.483966</v>
      </c>
      <c r="F18" s="6" t="n">
        <f aca="false">IFERROR(__xludf.DUMMYFUNCTION("""COMPUTED_VALUE"""),1065.091715)</f>
        <v>1065.091715</v>
      </c>
      <c r="G18" s="6" t="n">
        <f aca="false">IFERROR(__xludf.DUMMYFUNCTION("""COMPUTED_VALUE"""),1415.084848)</f>
        <v>1415.084848</v>
      </c>
      <c r="H18" s="6" t="n">
        <f aca="false">IFERROR(__xludf.DUMMYFUNCTION("""COMPUTED_VALUE"""),1743.349833)</f>
        <v>1743.349833</v>
      </c>
      <c r="I18" s="6" t="n">
        <f aca="false">IFERROR(__xludf.DUMMYFUNCTION("""COMPUTED_VALUE"""),1957.290955)</f>
        <v>1957.290955</v>
      </c>
      <c r="J18" s="6" t="n">
        <f aca="false">IFERROR(__xludf.DUMMYFUNCTION("""COMPUTED_VALUE"""),2123.684441)</f>
        <v>2123.684441</v>
      </c>
      <c r="K18" s="6" t="n">
        <f aca="false">IFERROR(__xludf.DUMMYFUNCTION("""COMPUTED_VALUE"""),2292.267343)</f>
        <v>2292.267343</v>
      </c>
    </row>
    <row r="19" customFormat="false" ht="15" hidden="false" customHeight="false" outlineLevel="0" collapsed="false">
      <c r="A19" s="5" t="s">
        <v>30</v>
      </c>
      <c r="B19" s="6" t="n">
        <f aca="false">IFERROR(__xludf.DUMMYFUNCTION("""COMPUTED_VALUE"""),8.466121)</f>
        <v>8.466121</v>
      </c>
      <c r="C19" s="6" t="n">
        <f aca="false">IFERROR(__xludf.DUMMYFUNCTION("""COMPUTED_VALUE"""),41.274153)</f>
        <v>41.274153</v>
      </c>
      <c r="D19" s="6" t="n">
        <f aca="false">IFERROR(__xludf.DUMMYFUNCTION("""COMPUTED_VALUE"""),89.697392)</f>
        <v>89.697392</v>
      </c>
      <c r="E19" s="6" t="n">
        <f aca="false">IFERROR(__xludf.DUMMYFUNCTION("""COMPUTED_VALUE"""),161.560138)</f>
        <v>161.560138</v>
      </c>
      <c r="F19" s="6" t="n">
        <f aca="false">IFERROR(__xludf.DUMMYFUNCTION("""COMPUTED_VALUE"""),232.383647)</f>
        <v>232.383647</v>
      </c>
      <c r="G19" s="6" t="n">
        <f aca="false">IFERROR(__xludf.DUMMYFUNCTION("""COMPUTED_VALUE"""),308.745785)</f>
        <v>308.745785</v>
      </c>
      <c r="H19" s="6" t="n">
        <f aca="false">IFERROR(__xludf.DUMMYFUNCTION("""COMPUTED_VALUE"""),380.367236)</f>
        <v>380.367236</v>
      </c>
      <c r="I19" s="6" t="n">
        <f aca="false">IFERROR(__xludf.DUMMYFUNCTION("""COMPUTED_VALUE"""),427.045299)</f>
        <v>427.045299</v>
      </c>
      <c r="J19" s="6" t="n">
        <f aca="false">IFERROR(__xludf.DUMMYFUNCTION("""COMPUTED_VALUE"""),463.349333)</f>
        <v>463.349333</v>
      </c>
      <c r="K19" s="6" t="n">
        <f aca="false">IFERROR(__xludf.DUMMYFUNCTION("""COMPUTED_VALUE"""),500.131057)</f>
        <v>500.131057</v>
      </c>
    </row>
    <row r="20" customFormat="false" ht="15" hidden="false" customHeight="false" outlineLevel="0" collapsed="false">
      <c r="A20" s="5" t="s">
        <v>31</v>
      </c>
      <c r="B20" s="6" t="n">
        <f aca="false">IFERROR(__xludf.DUMMYFUNCTION("""COMPUTED_VALUE"""),5.644081)</f>
        <v>5.644081</v>
      </c>
      <c r="C20" s="6" t="n">
        <f aca="false">IFERROR(__xludf.DUMMYFUNCTION("""COMPUTED_VALUE"""),27.516102)</f>
        <v>27.516102</v>
      </c>
      <c r="D20" s="6" t="n">
        <f aca="false">IFERROR(__xludf.DUMMYFUNCTION("""COMPUTED_VALUE"""),59.798262)</f>
        <v>59.798262</v>
      </c>
      <c r="E20" s="6" t="n">
        <f aca="false">IFERROR(__xludf.DUMMYFUNCTION("""COMPUTED_VALUE"""),107.706759)</f>
        <v>107.706759</v>
      </c>
      <c r="F20" s="6" t="n">
        <f aca="false">IFERROR(__xludf.DUMMYFUNCTION("""COMPUTED_VALUE"""),154.922431)</f>
        <v>154.922431</v>
      </c>
      <c r="G20" s="6" t="n">
        <f aca="false">IFERROR(__xludf.DUMMYFUNCTION("""COMPUTED_VALUE"""),205.830523)</f>
        <v>205.830523</v>
      </c>
      <c r="H20" s="6" t="n">
        <f aca="false">IFERROR(__xludf.DUMMYFUNCTION("""COMPUTED_VALUE"""),253.578158)</f>
        <v>253.578158</v>
      </c>
      <c r="I20" s="6" t="n">
        <f aca="false">IFERROR(__xludf.DUMMYFUNCTION("""COMPUTED_VALUE"""),284.696866)</f>
        <v>284.696866</v>
      </c>
      <c r="J20" s="6" t="n">
        <f aca="false">IFERROR(__xludf.DUMMYFUNCTION("""COMPUTED_VALUE"""),308.899555)</f>
        <v>308.899555</v>
      </c>
      <c r="K20" s="6" t="n">
        <f aca="false">IFERROR(__xludf.DUMMYFUNCTION("""COMPUTED_VALUE"""),333.420704)</f>
        <v>333.420704</v>
      </c>
    </row>
    <row r="21" customFormat="false" ht="15" hidden="false" customHeight="false" outlineLevel="0" collapsed="false">
      <c r="A21" s="4" t="s">
        <v>32</v>
      </c>
      <c r="B21" s="7" t="n">
        <f aca="false">SUM(B4:B20)</f>
        <v>6829.793097</v>
      </c>
      <c r="C21" s="7" t="n">
        <f aca="false">SUM(C4:C20)</f>
        <v>30662.680914</v>
      </c>
      <c r="D21" s="7" t="n">
        <f aca="false">SUM(D4:D20)</f>
        <v>61483.057999</v>
      </c>
      <c r="E21" s="7" t="n">
        <f aca="false">SUM(E4:E20)</f>
        <v>114050.795434</v>
      </c>
      <c r="F21" s="7" t="n">
        <f aca="false">SUM(F4:F20)</f>
        <v>167870.395798</v>
      </c>
      <c r="G21" s="7" t="n">
        <f aca="false">SUM(G4:G20)</f>
        <v>228490.108109</v>
      </c>
      <c r="H21" s="7" t="n">
        <f aca="false">SUM(H4:H20)</f>
        <v>283777.782174</v>
      </c>
      <c r="I21" s="7" t="n">
        <f aca="false">SUM(I4:I20)</f>
        <v>322612.238225</v>
      </c>
      <c r="J21" s="7" t="n">
        <f aca="false">SUM(J4:J20)</f>
        <v>347003.715485</v>
      </c>
      <c r="K21" s="7" t="n">
        <f aca="false">SUM(K4:K20)</f>
        <v>371907.689582</v>
      </c>
    </row>
    <row r="23" customFormat="false" ht="15" hidden="false" customHeight="false" outlineLevel="0" collapsed="false">
      <c r="A23" s="1" t="s">
        <v>33</v>
      </c>
    </row>
    <row r="24" customFormat="false" ht="15" hidden="false" customHeight="false" outlineLevel="0" collapsed="false">
      <c r="A24" s="3" t="s">
        <v>34</v>
      </c>
      <c r="B24" s="3" t="s">
        <v>35</v>
      </c>
      <c r="C24" s="3" t="s">
        <v>36</v>
      </c>
    </row>
    <row r="25" customFormat="false" ht="15" hidden="false" customHeight="false" outlineLevel="0" collapsed="false">
      <c r="A25" s="5" t="s">
        <v>37</v>
      </c>
      <c r="B25" s="8" t="n">
        <f aca="false">IFERROR(__xludf.DUMMYFUNCTION("IMPORTRANGE(Links!$B$4,""Indexado Dim Técnico!U61:U74"")"),0.0521797399)</f>
        <v>0.0521797399</v>
      </c>
      <c r="C25" s="9" t="s">
        <v>38</v>
      </c>
    </row>
    <row r="26" customFormat="false" ht="15" hidden="false" customHeight="false" outlineLevel="0" collapsed="false">
      <c r="A26" s="5" t="s">
        <v>39</v>
      </c>
      <c r="B26" s="8" t="n">
        <f aca="false">IFERROR(__xludf.DUMMYFUNCTION("""COMPUTED_VALUE"""),0.0798836162)</f>
        <v>0.0798836162</v>
      </c>
      <c r="C26" s="9" t="s">
        <v>38</v>
      </c>
    </row>
    <row r="27" customFormat="false" ht="15" hidden="false" customHeight="false" outlineLevel="0" collapsed="false">
      <c r="A27" s="5" t="s">
        <v>40</v>
      </c>
      <c r="B27" s="8" t="n">
        <f aca="false">IFERROR(__xludf.DUMMYFUNCTION("""COMPUTED_VALUE"""),0.059817286)</f>
        <v>0.059817286</v>
      </c>
      <c r="C27" s="9" t="s">
        <v>41</v>
      </c>
    </row>
    <row r="28" customFormat="false" ht="15" hidden="false" customHeight="false" outlineLevel="0" collapsed="false">
      <c r="A28" s="5" t="s">
        <v>42</v>
      </c>
      <c r="B28" s="8" t="n">
        <f aca="false">IFERROR(__xludf.DUMMYFUNCTION("""COMPUTED_VALUE"""),0.0637650712)</f>
        <v>0.0637650712</v>
      </c>
      <c r="C28" s="9" t="s">
        <v>38</v>
      </c>
    </row>
    <row r="29" customFormat="false" ht="15" hidden="false" customHeight="false" outlineLevel="0" collapsed="false">
      <c r="A29" s="5" t="s">
        <v>43</v>
      </c>
      <c r="B29" s="8" t="n">
        <f aca="false">IFERROR(__xludf.DUMMYFUNCTION("""COMPUTED_VALUE"""),0.0676801452)</f>
        <v>0.0676801452</v>
      </c>
      <c r="C29" s="9" t="s">
        <v>41</v>
      </c>
    </row>
    <row r="30" customFormat="false" ht="15" hidden="false" customHeight="false" outlineLevel="0" collapsed="false">
      <c r="A30" s="5" t="s">
        <v>44</v>
      </c>
      <c r="B30" s="8" t="n">
        <f aca="false">IFERROR(__xludf.DUMMYFUNCTION("""COMPUTED_VALUE"""),0.0932172985)</f>
        <v>0.0932172985</v>
      </c>
      <c r="C30" s="9" t="s">
        <v>41</v>
      </c>
    </row>
    <row r="31" customFormat="false" ht="15" hidden="false" customHeight="false" outlineLevel="0" collapsed="false">
      <c r="A31" s="5" t="s">
        <v>45</v>
      </c>
      <c r="B31" s="8" t="n">
        <f aca="false">IFERROR(__xludf.DUMMYFUNCTION("""COMPUTED_VALUE"""),0.0675217758)</f>
        <v>0.0675217758</v>
      </c>
      <c r="C31" s="9" t="s">
        <v>41</v>
      </c>
    </row>
    <row r="32" customFormat="false" ht="15" hidden="false" customHeight="false" outlineLevel="0" collapsed="false">
      <c r="A32" s="5" t="s">
        <v>46</v>
      </c>
      <c r="B32" s="8" t="n">
        <f aca="false">IFERROR(__xludf.DUMMYFUNCTION("""COMPUTED_VALUE"""),0.0533558834)</f>
        <v>0.0533558834</v>
      </c>
      <c r="C32" s="9" t="s">
        <v>38</v>
      </c>
    </row>
    <row r="33" customFormat="false" ht="15" hidden="false" customHeight="false" outlineLevel="0" collapsed="false">
      <c r="A33" s="5" t="s">
        <v>47</v>
      </c>
      <c r="B33" s="8" t="n">
        <f aca="false">IFERROR(__xludf.DUMMYFUNCTION("""COMPUTED_VALUE"""),0.0885682049)</f>
        <v>0.0885682049</v>
      </c>
      <c r="C33" s="9" t="s">
        <v>38</v>
      </c>
    </row>
    <row r="34" customFormat="false" ht="15" hidden="false" customHeight="false" outlineLevel="0" collapsed="false">
      <c r="A34" s="5" t="s">
        <v>48</v>
      </c>
      <c r="B34" s="8" t="n">
        <f aca="false">IFERROR(__xludf.DUMMYFUNCTION("""COMPUTED_VALUE"""),0.0471361107)</f>
        <v>0.0471361107</v>
      </c>
      <c r="C34" s="9" t="s">
        <v>38</v>
      </c>
    </row>
    <row r="35" customFormat="false" ht="15" hidden="false" customHeight="false" outlineLevel="0" collapsed="false">
      <c r="A35" s="5" t="s">
        <v>49</v>
      </c>
      <c r="B35" s="8" t="n">
        <f aca="false">IFERROR(__xludf.DUMMYFUNCTION("""COMPUTED_VALUE"""),0.0848900664)</f>
        <v>0.0848900664</v>
      </c>
      <c r="C35" s="9" t="s">
        <v>38</v>
      </c>
    </row>
    <row r="36" customFormat="false" ht="15" hidden="false" customHeight="false" outlineLevel="0" collapsed="false">
      <c r="A36" s="5" t="s">
        <v>50</v>
      </c>
      <c r="B36" s="8" t="n">
        <f aca="false">IFERROR(__xludf.DUMMYFUNCTION("""COMPUTED_VALUE"""),0.0672643024)</f>
        <v>0.0672643024</v>
      </c>
      <c r="C36" s="9" t="s">
        <v>38</v>
      </c>
    </row>
    <row r="37" customFormat="false" ht="15" hidden="false" customHeight="false" outlineLevel="0" collapsed="false">
      <c r="A37" s="5" t="s">
        <v>51</v>
      </c>
      <c r="B37" s="8" t="n">
        <f aca="false">IFERROR(__xludf.DUMMYFUNCTION("""COMPUTED_VALUE"""),0.0174767438)</f>
        <v>0.0174767438</v>
      </c>
      <c r="C37" s="9" t="s">
        <v>38</v>
      </c>
    </row>
    <row r="38" customFormat="false" ht="15" hidden="false" customHeight="false" outlineLevel="0" collapsed="false">
      <c r="A38" s="5" t="s">
        <v>52</v>
      </c>
      <c r="B38" s="8" t="n">
        <f aca="false">IFERROR(__xludf.DUMMYFUNCTION("""COMPUTED_VALUE"""),0.1572437555)</f>
        <v>0.1572437555</v>
      </c>
      <c r="C38" s="9" t="s">
        <v>53</v>
      </c>
    </row>
    <row r="39" customFormat="false" ht="23.85" hidden="false" customHeight="false" outlineLevel="0" collapsed="false">
      <c r="A39" s="3" t="s">
        <v>36</v>
      </c>
      <c r="B39" s="3" t="s">
        <v>54</v>
      </c>
      <c r="C39" s="3" t="s">
        <v>55</v>
      </c>
    </row>
    <row r="40" customFormat="false" ht="15" hidden="false" customHeight="false" outlineLevel="0" collapsed="false">
      <c r="A40" s="4" t="s">
        <v>56</v>
      </c>
      <c r="B40" s="8" t="n">
        <f aca="false">IFERROR(__xludf.DUMMYFUNCTION("IMPORTRANGE(Links!$B$4,""Indexado Dim Técnico!V61"")"),0.5545197389)</f>
        <v>0.5545197389</v>
      </c>
      <c r="C40" s="8" t="n">
        <f aca="false">SUMIF($C$25:$C$38,"Comercial",$B$25:$B$38)</f>
        <v>0.5545197389</v>
      </c>
    </row>
    <row r="41" customFormat="false" ht="15" hidden="false" customHeight="false" outlineLevel="0" collapsed="false">
      <c r="A41" s="4" t="s">
        <v>57</v>
      </c>
      <c r="B41" s="8" t="n">
        <f aca="false">IFERROR(__xludf.DUMMYFUNCTION("IMPORTRANGE(Links!$B$4,""Indexado Dim Técnico!V63"")"),0.2882365055)</f>
        <v>0.2882365055</v>
      </c>
      <c r="C41" s="8" t="n">
        <f aca="false">SUMIF($C$25:$C$38,"Industrial",$B$25:$B$38)</f>
        <v>0.2882365055</v>
      </c>
    </row>
    <row r="42" customFormat="false" ht="15" hidden="false" customHeight="false" outlineLevel="0" collapsed="false">
      <c r="A42" s="5" t="s">
        <v>58</v>
      </c>
      <c r="B42" s="8" t="n">
        <f aca="false">SUMIF($C$25:$C$38,"Fuera",$B$25:$B$38)</f>
        <v>0.1572437555</v>
      </c>
    </row>
    <row r="43" customFormat="false" ht="15" hidden="false" customHeight="false" outlineLevel="0" collapsed="false">
      <c r="A43" s="5" t="s">
        <v>59</v>
      </c>
      <c r="B43" s="8" t="n">
        <f aca="false">SUM(B40:B42)</f>
        <v>0.9999999999</v>
      </c>
    </row>
    <row r="44" customFormat="false" ht="15" hidden="false" customHeight="false" outlineLevel="0" collapsed="false">
      <c r="A44" s="1" t="s">
        <v>60</v>
      </c>
    </row>
    <row r="45" customFormat="false" ht="15" hidden="false" customHeight="true" outlineLevel="0" collapsed="false">
      <c r="A45" s="3" t="s">
        <v>61</v>
      </c>
      <c r="B45" s="3" t="s">
        <v>62</v>
      </c>
      <c r="C45" s="3" t="s">
        <v>63</v>
      </c>
      <c r="D45" s="3"/>
      <c r="E45" s="3"/>
      <c r="F45" s="3"/>
      <c r="G45" s="3"/>
      <c r="H45" s="3"/>
      <c r="I45" s="3"/>
      <c r="J45" s="3"/>
      <c r="K45" s="3"/>
      <c r="L45" s="3"/>
    </row>
    <row r="46" customFormat="false" ht="15" hidden="false" customHeight="true" outlineLevel="0" collapsed="false">
      <c r="A46" s="5" t="s">
        <v>64</v>
      </c>
      <c r="B46" s="8" t="n">
        <v>0.05</v>
      </c>
      <c r="C46" s="5" t="s">
        <v>65</v>
      </c>
      <c r="D46" s="5"/>
      <c r="E46" s="5"/>
      <c r="F46" s="5"/>
      <c r="G46" s="5"/>
      <c r="H46" s="5"/>
      <c r="I46" s="5"/>
      <c r="J46" s="5"/>
      <c r="K46" s="5"/>
      <c r="L46" s="5"/>
    </row>
    <row r="47" customFormat="false" ht="15" hidden="false" customHeight="true" outlineLevel="0" collapsed="false">
      <c r="A47" s="5" t="s">
        <v>66</v>
      </c>
      <c r="B47" s="8" t="n">
        <v>0.02</v>
      </c>
      <c r="C47" s="5" t="s">
        <v>67</v>
      </c>
      <c r="D47" s="5"/>
      <c r="E47" s="5"/>
      <c r="F47" s="5"/>
      <c r="G47" s="5"/>
      <c r="H47" s="5"/>
      <c r="I47" s="5"/>
      <c r="J47" s="5"/>
      <c r="K47" s="5"/>
      <c r="L47" s="5"/>
    </row>
    <row r="48" customFormat="false" ht="15" hidden="false" customHeight="true" outlineLevel="0" collapsed="false">
      <c r="A48" s="5" t="s">
        <v>68</v>
      </c>
      <c r="B48" s="8" t="n">
        <v>0.01</v>
      </c>
      <c r="C48" s="5" t="s">
        <v>69</v>
      </c>
      <c r="D48" s="5"/>
      <c r="E48" s="5"/>
      <c r="F48" s="5"/>
      <c r="G48" s="5"/>
      <c r="H48" s="5"/>
      <c r="I48" s="5"/>
      <c r="J48" s="5"/>
      <c r="K48" s="5"/>
      <c r="L48" s="5"/>
    </row>
    <row r="49" customFormat="false" ht="15" hidden="false" customHeight="true" outlineLevel="0" collapsed="false">
      <c r="A49" s="5" t="s">
        <v>70</v>
      </c>
      <c r="B49" s="8" t="n">
        <v>0.0330204131377009</v>
      </c>
      <c r="C49" s="5" t="s">
        <v>71</v>
      </c>
      <c r="D49" s="5"/>
      <c r="E49" s="5"/>
      <c r="F49" s="5"/>
      <c r="G49" s="5"/>
      <c r="H49" s="5"/>
      <c r="I49" s="5"/>
      <c r="J49" s="5"/>
      <c r="K49" s="5"/>
      <c r="L49" s="5"/>
    </row>
    <row r="51" customFormat="false" ht="15" hidden="false" customHeight="false" outlineLevel="0" collapsed="false">
      <c r="A51" s="4" t="s">
        <v>72</v>
      </c>
      <c r="B51" s="9" t="s">
        <v>38</v>
      </c>
    </row>
    <row r="52" customFormat="false" ht="15" hidden="false" customHeight="false" outlineLevel="0" collapsed="false">
      <c r="A52" s="4" t="s">
        <v>73</v>
      </c>
      <c r="B52" s="10" t="n">
        <f aca="false">IF(B51="Comercial",B40,B41)</f>
        <v>0.5545197389</v>
      </c>
    </row>
    <row r="54" customFormat="false" ht="15" hidden="false" customHeight="false" outlineLevel="0" collapsed="false">
      <c r="A54" s="1" t="s">
        <v>74</v>
      </c>
    </row>
    <row r="56" customFormat="false" ht="23.85" hidden="false" customHeight="false" outlineLevel="0" collapsed="false">
      <c r="A56" s="3" t="s">
        <v>75</v>
      </c>
      <c r="B56" s="3" t="s">
        <v>76</v>
      </c>
      <c r="C56" s="3" t="s">
        <v>77</v>
      </c>
      <c r="D56" s="3" t="s">
        <v>78</v>
      </c>
      <c r="E56" s="3" t="s">
        <v>79</v>
      </c>
      <c r="F56" s="3" t="s">
        <v>80</v>
      </c>
      <c r="G56" s="3" t="s">
        <v>81</v>
      </c>
      <c r="H56" s="3" t="s">
        <v>82</v>
      </c>
      <c r="I56" s="3" t="s">
        <v>83</v>
      </c>
    </row>
    <row r="57" customFormat="false" ht="15" hidden="false" customHeight="false" outlineLevel="0" collapsed="false">
      <c r="A57" s="9" t="str">
        <f aca="false">A4</f>
        <v>ABC 1 kg</v>
      </c>
      <c r="B57" s="6" t="n">
        <v>2251135</v>
      </c>
      <c r="C57" s="6" t="n">
        <v>0</v>
      </c>
      <c r="D57" s="6" t="n">
        <v>0</v>
      </c>
      <c r="E57" s="6" t="n">
        <v>3578.5</v>
      </c>
      <c r="F57" s="6" t="n">
        <v>0</v>
      </c>
      <c r="G57" s="6" t="n">
        <v>0</v>
      </c>
      <c r="H57" s="6" t="n">
        <v>530</v>
      </c>
      <c r="I57" s="7" t="n">
        <f aca="false">SUM(B57:H57)</f>
        <v>2255243.5</v>
      </c>
    </row>
    <row r="58" customFormat="false" ht="15" hidden="false" customHeight="false" outlineLevel="0" collapsed="false">
      <c r="A58" s="9" t="str">
        <f aca="false">A5</f>
        <v>ABC 2,5 kg</v>
      </c>
      <c r="B58" s="6" t="n">
        <v>0</v>
      </c>
      <c r="C58" s="6" t="n">
        <v>100435.9</v>
      </c>
      <c r="D58" s="6" t="n">
        <v>14173.8</v>
      </c>
      <c r="E58" s="6" t="n">
        <v>45655.1</v>
      </c>
      <c r="F58" s="6" t="n">
        <v>0</v>
      </c>
      <c r="G58" s="6" t="n">
        <v>7336.9</v>
      </c>
      <c r="H58" s="6" t="n">
        <v>6153</v>
      </c>
      <c r="I58" s="7" t="n">
        <f aca="false">SUM(B58:H58)</f>
        <v>173754.7</v>
      </c>
    </row>
    <row r="59" customFormat="false" ht="15" hidden="false" customHeight="false" outlineLevel="0" collapsed="false">
      <c r="A59" s="9" t="str">
        <f aca="false">A6</f>
        <v>ABC 5 kg</v>
      </c>
      <c r="B59" s="6" t="n">
        <v>69628</v>
      </c>
      <c r="C59" s="6" t="n">
        <v>732591.4</v>
      </c>
      <c r="D59" s="6" t="n">
        <v>52786.7</v>
      </c>
      <c r="E59" s="6" t="n">
        <v>8847.8</v>
      </c>
      <c r="F59" s="6" t="n">
        <v>113431.7</v>
      </c>
      <c r="G59" s="6" t="n">
        <v>46903.8</v>
      </c>
      <c r="H59" s="6" t="n">
        <v>5342</v>
      </c>
      <c r="I59" s="7" t="n">
        <f aca="false">SUM(B59:H59)</f>
        <v>1029531.4</v>
      </c>
    </row>
    <row r="60" customFormat="false" ht="15" hidden="false" customHeight="false" outlineLevel="0" collapsed="false">
      <c r="A60" s="9" t="str">
        <f aca="false">A7</f>
        <v>ABC 10 kg</v>
      </c>
      <c r="B60" s="6" t="n">
        <v>0</v>
      </c>
      <c r="C60" s="6" t="n">
        <v>44900.8</v>
      </c>
      <c r="D60" s="6" t="n">
        <v>5673.3</v>
      </c>
      <c r="E60" s="6" t="n">
        <v>2123.5</v>
      </c>
      <c r="F60" s="6" t="n">
        <v>0</v>
      </c>
      <c r="G60" s="6" t="n">
        <v>6270.5</v>
      </c>
      <c r="H60" s="6" t="n">
        <v>0</v>
      </c>
      <c r="I60" s="7" t="n">
        <f aca="false">SUM(B60:H60)</f>
        <v>58968.1</v>
      </c>
    </row>
    <row r="61" customFormat="false" ht="15" hidden="false" customHeight="false" outlineLevel="0" collapsed="false">
      <c r="A61" s="9" t="str">
        <f aca="false">A8</f>
        <v>Agua 10 l</v>
      </c>
      <c r="B61" s="6" t="n">
        <v>0</v>
      </c>
      <c r="C61" s="6" t="n">
        <v>56716.8</v>
      </c>
      <c r="D61" s="6" t="n">
        <v>4876.4</v>
      </c>
      <c r="E61" s="6" t="n">
        <v>1415.6</v>
      </c>
      <c r="F61" s="6" t="n">
        <v>12568.5</v>
      </c>
      <c r="G61" s="6" t="n">
        <v>8958.8</v>
      </c>
      <c r="H61" s="6" t="n">
        <v>562</v>
      </c>
      <c r="I61" s="7" t="n">
        <f aca="false">SUM(B61:H61)</f>
        <v>85098.1</v>
      </c>
    </row>
    <row r="62" customFormat="false" ht="15" hidden="false" customHeight="false" outlineLevel="0" collapsed="false">
      <c r="A62" s="9" t="str">
        <f aca="false">A9</f>
        <v>AFFF 10 l</v>
      </c>
      <c r="B62" s="6" t="n">
        <v>0</v>
      </c>
      <c r="C62" s="6" t="n">
        <v>0</v>
      </c>
      <c r="D62" s="6" t="n">
        <v>0</v>
      </c>
      <c r="E62" s="6" t="n">
        <v>0</v>
      </c>
      <c r="F62" s="6" t="n">
        <v>15671.5</v>
      </c>
      <c r="G62" s="6" t="n">
        <v>0</v>
      </c>
      <c r="H62" s="6" t="n">
        <v>0</v>
      </c>
      <c r="I62" s="7" t="n">
        <f aca="false">SUM(B62:H62)</f>
        <v>15671.5</v>
      </c>
    </row>
    <row r="63" customFormat="false" ht="15" hidden="false" customHeight="false" outlineLevel="0" collapsed="false">
      <c r="A63" s="9" t="str">
        <f aca="false">A10</f>
        <v>AFFF 50 l s/ruedas</v>
      </c>
      <c r="B63" s="6" t="n">
        <v>0</v>
      </c>
      <c r="C63" s="6" t="n">
        <v>0</v>
      </c>
      <c r="D63" s="6" t="n">
        <v>0</v>
      </c>
      <c r="E63" s="6" t="n">
        <v>0</v>
      </c>
      <c r="F63" s="6" t="n">
        <v>9151.4</v>
      </c>
      <c r="G63" s="6" t="n">
        <v>0</v>
      </c>
      <c r="H63" s="6" t="n">
        <v>0</v>
      </c>
      <c r="I63" s="7" t="n">
        <f aca="false">SUM(B63:H63)</f>
        <v>9151.4</v>
      </c>
    </row>
    <row r="64" customFormat="false" ht="15" hidden="false" customHeight="false" outlineLevel="0" collapsed="false">
      <c r="A64" s="9" t="str">
        <f aca="false">A11</f>
        <v>BC 5 kg</v>
      </c>
      <c r="B64" s="6" t="n">
        <v>0</v>
      </c>
      <c r="C64" s="6" t="n">
        <v>0</v>
      </c>
      <c r="D64" s="6" t="n">
        <v>0</v>
      </c>
      <c r="E64" s="6" t="n">
        <v>0</v>
      </c>
      <c r="F64" s="6" t="n">
        <v>4634.7</v>
      </c>
      <c r="G64" s="6" t="n">
        <v>0</v>
      </c>
      <c r="H64" s="6" t="n">
        <v>0</v>
      </c>
      <c r="I64" s="7" t="n">
        <f aca="false">SUM(B64:H64)</f>
        <v>4634.7</v>
      </c>
    </row>
    <row r="65" customFormat="false" ht="15" hidden="false" customHeight="false" outlineLevel="0" collapsed="false">
      <c r="A65" s="9" t="str">
        <f aca="false">A12</f>
        <v>Sales K 6 l</v>
      </c>
      <c r="B65" s="6" t="n">
        <v>0</v>
      </c>
      <c r="C65" s="6" t="n">
        <v>20087.2</v>
      </c>
      <c r="D65" s="6" t="n">
        <v>4459</v>
      </c>
      <c r="E65" s="6" t="n">
        <v>3539.1</v>
      </c>
      <c r="F65" s="6" t="n">
        <v>8169.7</v>
      </c>
      <c r="G65" s="6" t="n">
        <v>2804.4</v>
      </c>
      <c r="H65" s="6" t="n">
        <v>0</v>
      </c>
      <c r="I65" s="7" t="n">
        <f aca="false">SUM(B65:H65)</f>
        <v>39059.4</v>
      </c>
    </row>
    <row r="66" customFormat="false" ht="15" hidden="false" customHeight="false" outlineLevel="0" collapsed="false">
      <c r="A66" s="9" t="str">
        <f aca="false">A13</f>
        <v>CO₂ 2 kg</v>
      </c>
      <c r="B66" s="6" t="n">
        <v>0</v>
      </c>
      <c r="C66" s="6" t="n">
        <v>183147.8</v>
      </c>
      <c r="D66" s="6" t="n">
        <v>19050.2</v>
      </c>
      <c r="E66" s="6" t="n">
        <v>3539.1</v>
      </c>
      <c r="F66" s="6" t="n">
        <v>6402.2</v>
      </c>
      <c r="G66" s="6" t="n">
        <v>10549.9</v>
      </c>
      <c r="H66" s="6" t="n">
        <v>0</v>
      </c>
      <c r="I66" s="7" t="n">
        <f aca="false">SUM(B66:H66)</f>
        <v>222689.2</v>
      </c>
    </row>
    <row r="67" customFormat="false" ht="15" hidden="false" customHeight="false" outlineLevel="0" collapsed="false">
      <c r="A67" s="9" t="str">
        <f aca="false">A14</f>
        <v>CO₂ 5 kg</v>
      </c>
      <c r="B67" s="6" t="n">
        <v>0</v>
      </c>
      <c r="C67" s="6" t="n">
        <v>25995.2</v>
      </c>
      <c r="D67" s="6" t="n">
        <v>891.8</v>
      </c>
      <c r="E67" s="6" t="n">
        <v>1769.6</v>
      </c>
      <c r="F67" s="6" t="n">
        <v>32678.6</v>
      </c>
      <c r="G67" s="6" t="n">
        <v>11830.5</v>
      </c>
      <c r="H67" s="6" t="n">
        <v>2530</v>
      </c>
      <c r="I67" s="7" t="n">
        <f aca="false">SUM(B67:H67)</f>
        <v>75695.7</v>
      </c>
    </row>
    <row r="68" customFormat="false" ht="15" hidden="false" customHeight="false" outlineLevel="0" collapsed="false">
      <c r="A68" s="9" t="str">
        <f aca="false">A15</f>
        <v>HCFC/HFC 5 kg</v>
      </c>
      <c r="B68" s="6" t="n">
        <v>0</v>
      </c>
      <c r="C68" s="6" t="n">
        <v>0</v>
      </c>
      <c r="D68" s="6" t="n">
        <v>0</v>
      </c>
      <c r="E68" s="6" t="n">
        <v>0</v>
      </c>
      <c r="F68" s="6" t="n">
        <v>9269.4</v>
      </c>
      <c r="G68" s="6" t="n">
        <v>2425.5</v>
      </c>
      <c r="H68" s="6" t="n">
        <v>0</v>
      </c>
      <c r="I68" s="7" t="n">
        <f aca="false">SUM(B68:H68)</f>
        <v>11694.9</v>
      </c>
    </row>
    <row r="69" customFormat="false" ht="15" hidden="false" customHeight="false" outlineLevel="0" collapsed="false">
      <c r="A69" s="9" t="str">
        <f aca="false">A16</f>
        <v>Clase D 9 l</v>
      </c>
      <c r="B69" s="6" t="n">
        <v>0</v>
      </c>
      <c r="C69" s="6" t="n">
        <v>0</v>
      </c>
      <c r="D69" s="6" t="n">
        <v>0</v>
      </c>
      <c r="E69" s="6" t="n">
        <v>0</v>
      </c>
      <c r="F69" s="6" t="n">
        <v>3535</v>
      </c>
      <c r="G69" s="6" t="n">
        <v>0</v>
      </c>
      <c r="H69" s="6" t="n">
        <v>0</v>
      </c>
      <c r="I69" s="7" t="n">
        <f aca="false">SUM(B69:H69)</f>
        <v>3535</v>
      </c>
    </row>
    <row r="70" customFormat="false" ht="15" hidden="false" customHeight="false" outlineLevel="0" collapsed="false">
      <c r="A70" s="9" t="str">
        <f aca="false">A17</f>
        <v>ABC 25 kg s/ruedas</v>
      </c>
      <c r="B70" s="6" t="n">
        <v>0</v>
      </c>
      <c r="C70" s="6" t="n">
        <v>4431</v>
      </c>
      <c r="D70" s="6" t="n">
        <v>199.2</v>
      </c>
      <c r="E70" s="6" t="n">
        <v>177</v>
      </c>
      <c r="F70" s="6" t="n">
        <v>4055.3</v>
      </c>
      <c r="G70" s="6" t="n">
        <v>1364.4</v>
      </c>
      <c r="H70" s="6" t="n">
        <v>0</v>
      </c>
      <c r="I70" s="7" t="n">
        <f aca="false">SUM(B70:H70)</f>
        <v>10226.9</v>
      </c>
    </row>
    <row r="71" customFormat="false" ht="15" hidden="false" customHeight="false" outlineLevel="0" collapsed="false">
      <c r="A71" s="9" t="str">
        <f aca="false">A18</f>
        <v>ABC 50 kg s/ruedas</v>
      </c>
      <c r="B71" s="6" t="n">
        <v>0</v>
      </c>
      <c r="C71" s="6" t="n">
        <v>9748.2</v>
      </c>
      <c r="D71" s="6" t="n">
        <v>438.3</v>
      </c>
      <c r="E71" s="6" t="n">
        <v>389.3</v>
      </c>
      <c r="F71" s="6" t="n">
        <v>8921.8</v>
      </c>
      <c r="G71" s="6" t="n">
        <v>3001.6</v>
      </c>
      <c r="H71" s="6" t="n">
        <v>0</v>
      </c>
      <c r="I71" s="7" t="n">
        <f aca="false">SUM(B71:H71)</f>
        <v>22499.2</v>
      </c>
    </row>
    <row r="72" customFormat="false" ht="15" hidden="false" customHeight="false" outlineLevel="0" collapsed="false">
      <c r="A72" s="9" t="str">
        <f aca="false">A19</f>
        <v>ABC 70 kg s/ruedas</v>
      </c>
      <c r="B72" s="6" t="n">
        <v>0</v>
      </c>
      <c r="C72" s="6" t="n">
        <v>2126.9</v>
      </c>
      <c r="D72" s="6" t="n">
        <v>95.6</v>
      </c>
      <c r="E72" s="6" t="n">
        <v>84.9</v>
      </c>
      <c r="F72" s="6" t="n">
        <v>1946.6</v>
      </c>
      <c r="G72" s="6" t="n">
        <v>654.9</v>
      </c>
      <c r="H72" s="6" t="n">
        <v>0</v>
      </c>
      <c r="I72" s="7" t="n">
        <f aca="false">SUM(B72:H72)</f>
        <v>4908.9</v>
      </c>
    </row>
    <row r="73" customFormat="false" ht="15" hidden="false" customHeight="false" outlineLevel="0" collapsed="false">
      <c r="A73" s="9" t="str">
        <f aca="false">A20</f>
        <v>ABC 100 kg s/ruedas</v>
      </c>
      <c r="B73" s="6" t="n">
        <v>0</v>
      </c>
      <c r="C73" s="6" t="n">
        <v>1417.9</v>
      </c>
      <c r="D73" s="6" t="n">
        <v>63.8</v>
      </c>
      <c r="E73" s="6" t="n">
        <v>56.6</v>
      </c>
      <c r="F73" s="6" t="n">
        <v>1297.7</v>
      </c>
      <c r="G73" s="6" t="n">
        <v>436.6</v>
      </c>
      <c r="H73" s="6" t="n">
        <v>0</v>
      </c>
      <c r="I73" s="7" t="n">
        <f aca="false">SUM(B73:H73)</f>
        <v>3272.6</v>
      </c>
    </row>
    <row r="76" customFormat="false" ht="23.85" hidden="false" customHeight="false" outlineLevel="0" collapsed="false">
      <c r="A76" s="3" t="s">
        <v>84</v>
      </c>
      <c r="B76" s="3" t="s">
        <v>76</v>
      </c>
      <c r="C76" s="3" t="s">
        <v>77</v>
      </c>
      <c r="D76" s="3" t="s">
        <v>78</v>
      </c>
      <c r="E76" s="3" t="s">
        <v>79</v>
      </c>
      <c r="F76" s="3" t="s">
        <v>80</v>
      </c>
      <c r="G76" s="3" t="s">
        <v>81</v>
      </c>
      <c r="H76" s="3" t="s">
        <v>82</v>
      </c>
      <c r="I76" s="3" t="s">
        <v>83</v>
      </c>
    </row>
    <row r="77" customFormat="false" ht="15" hidden="false" customHeight="false" outlineLevel="0" collapsed="false">
      <c r="A77" s="9" t="str">
        <f aca="false">A4</f>
        <v>ABC 1 kg</v>
      </c>
      <c r="B77" s="6" t="n">
        <v>1188664</v>
      </c>
      <c r="C77" s="6" t="n">
        <v>0</v>
      </c>
      <c r="D77" s="6" t="n">
        <v>0</v>
      </c>
      <c r="E77" s="6" t="n">
        <v>1533.8</v>
      </c>
      <c r="F77" s="6" t="n">
        <v>0</v>
      </c>
      <c r="G77" s="6" t="n">
        <v>0</v>
      </c>
      <c r="H77" s="6" t="n">
        <v>331</v>
      </c>
      <c r="I77" s="7" t="n">
        <f aca="false">SUM(B77:H77)</f>
        <v>1190528.8</v>
      </c>
    </row>
    <row r="78" customFormat="false" ht="15" hidden="false" customHeight="false" outlineLevel="0" collapsed="false">
      <c r="A78" s="9" t="str">
        <f aca="false">A5</f>
        <v>ABC 2,5 kg</v>
      </c>
      <c r="B78" s="6" t="n">
        <v>0</v>
      </c>
      <c r="C78" s="6" t="n">
        <v>51231.6</v>
      </c>
      <c r="D78" s="6" t="n">
        <v>8719.2</v>
      </c>
      <c r="E78" s="6" t="n">
        <v>23764.4</v>
      </c>
      <c r="F78" s="6" t="n">
        <v>0</v>
      </c>
      <c r="G78" s="6" t="n">
        <v>4173.4</v>
      </c>
      <c r="H78" s="6" t="n">
        <v>3794</v>
      </c>
      <c r="I78" s="7" t="n">
        <f aca="false">SUM(B78:H78)</f>
        <v>91682.6</v>
      </c>
    </row>
    <row r="79" customFormat="false" ht="15" hidden="false" customHeight="false" outlineLevel="0" collapsed="false">
      <c r="A79" s="9" t="str">
        <f aca="false">A6</f>
        <v>ABC 5 kg</v>
      </c>
      <c r="B79" s="6" t="n">
        <v>36760</v>
      </c>
      <c r="C79" s="6" t="n">
        <v>373689.5</v>
      </c>
      <c r="D79" s="6" t="n">
        <v>32472.3</v>
      </c>
      <c r="E79" s="6" t="n">
        <v>6552.8</v>
      </c>
      <c r="F79" s="6" t="n">
        <v>44086.3</v>
      </c>
      <c r="G79" s="6" t="n">
        <v>26680.3</v>
      </c>
      <c r="H79" s="6" t="n">
        <v>3289</v>
      </c>
      <c r="I79" s="7" t="n">
        <f aca="false">SUM(B79:H79)</f>
        <v>523530.2</v>
      </c>
    </row>
    <row r="80" customFormat="false" ht="15" hidden="false" customHeight="false" outlineLevel="0" collapsed="false">
      <c r="A80" s="9" t="str">
        <f aca="false">A7</f>
        <v>ABC 10 kg</v>
      </c>
      <c r="B80" s="6" t="n">
        <v>0</v>
      </c>
      <c r="C80" s="6" t="n">
        <v>22903.5</v>
      </c>
      <c r="D80" s="6" t="n">
        <v>3490</v>
      </c>
      <c r="E80" s="6" t="n">
        <v>1572.7</v>
      </c>
      <c r="F80" s="6" t="n">
        <v>0</v>
      </c>
      <c r="G80" s="6" t="n">
        <v>3566.9</v>
      </c>
      <c r="H80" s="6" t="n">
        <v>0</v>
      </c>
      <c r="I80" s="7" t="n">
        <f aca="false">SUM(B80:H80)</f>
        <v>31533.1</v>
      </c>
    </row>
    <row r="81" customFormat="false" ht="15" hidden="false" customHeight="false" outlineLevel="0" collapsed="false">
      <c r="A81" s="9" t="str">
        <f aca="false">A8</f>
        <v>Agua 10 l</v>
      </c>
      <c r="B81" s="6" t="n">
        <v>0</v>
      </c>
      <c r="C81" s="6" t="n">
        <v>28930.8</v>
      </c>
      <c r="D81" s="6" t="n">
        <v>2999.8</v>
      </c>
      <c r="E81" s="6" t="n">
        <v>1048.4</v>
      </c>
      <c r="F81" s="6" t="n">
        <v>4377.3</v>
      </c>
      <c r="G81" s="6" t="n">
        <v>5096</v>
      </c>
      <c r="H81" s="6" t="n">
        <v>346</v>
      </c>
      <c r="I81" s="7" t="n">
        <f aca="false">SUM(B81:H81)</f>
        <v>42798.3</v>
      </c>
    </row>
    <row r="82" customFormat="false" ht="15" hidden="false" customHeight="false" outlineLevel="0" collapsed="false">
      <c r="A82" s="9" t="str">
        <f aca="false">A9</f>
        <v>AFFF 10 l</v>
      </c>
      <c r="B82" s="6" t="n">
        <v>0</v>
      </c>
      <c r="C82" s="6" t="n">
        <v>0</v>
      </c>
      <c r="D82" s="6" t="n">
        <v>0</v>
      </c>
      <c r="E82" s="6" t="n">
        <v>0</v>
      </c>
      <c r="F82" s="6" t="n">
        <v>6232.7</v>
      </c>
      <c r="G82" s="6" t="n">
        <v>0</v>
      </c>
      <c r="H82" s="6" t="n">
        <v>0</v>
      </c>
      <c r="I82" s="7" t="n">
        <f aca="false">SUM(B82:H82)</f>
        <v>6232.7</v>
      </c>
    </row>
    <row r="83" customFormat="false" ht="15" hidden="false" customHeight="false" outlineLevel="0" collapsed="false">
      <c r="A83" s="9" t="str">
        <f aca="false">A10</f>
        <v>AFFF 50 l s/ruedas</v>
      </c>
      <c r="B83" s="6" t="n">
        <v>0</v>
      </c>
      <c r="C83" s="6" t="n">
        <v>0</v>
      </c>
      <c r="D83" s="6" t="n">
        <v>0</v>
      </c>
      <c r="E83" s="6" t="n">
        <v>0</v>
      </c>
      <c r="F83" s="6" t="n">
        <v>3220.9</v>
      </c>
      <c r="G83" s="6" t="n">
        <v>0</v>
      </c>
      <c r="H83" s="6" t="n">
        <v>0</v>
      </c>
      <c r="I83" s="7" t="n">
        <f aca="false">SUM(B83:H83)</f>
        <v>3220.9</v>
      </c>
    </row>
    <row r="84" customFormat="false" ht="15" hidden="false" customHeight="false" outlineLevel="0" collapsed="false">
      <c r="A84" s="9" t="str">
        <f aca="false">A11</f>
        <v>BC 5 kg</v>
      </c>
      <c r="B84" s="6" t="n">
        <v>0</v>
      </c>
      <c r="C84" s="6" t="n">
        <v>0</v>
      </c>
      <c r="D84" s="6" t="n">
        <v>0</v>
      </c>
      <c r="E84" s="6" t="n">
        <v>0</v>
      </c>
      <c r="F84" s="6" t="n">
        <v>1816.2</v>
      </c>
      <c r="G84" s="6" t="n">
        <v>0</v>
      </c>
      <c r="H84" s="6" t="n">
        <v>0</v>
      </c>
      <c r="I84" s="7" t="n">
        <f aca="false">SUM(B84:H84)</f>
        <v>1816.2</v>
      </c>
    </row>
    <row r="85" customFormat="false" ht="15" hidden="false" customHeight="false" outlineLevel="0" collapsed="false">
      <c r="A85" s="9" t="str">
        <f aca="false">A12</f>
        <v>Sales K 6 l</v>
      </c>
      <c r="B85" s="6" t="n">
        <v>0</v>
      </c>
      <c r="C85" s="6" t="n">
        <v>10246.3</v>
      </c>
      <c r="D85" s="6" t="n">
        <v>2743</v>
      </c>
      <c r="E85" s="6" t="n">
        <v>2621.1</v>
      </c>
      <c r="F85" s="6" t="n">
        <v>3384.2</v>
      </c>
      <c r="G85" s="6" t="n">
        <v>1595.2</v>
      </c>
      <c r="H85" s="6" t="n">
        <v>0</v>
      </c>
      <c r="I85" s="7" t="n">
        <f aca="false">SUM(B85:H85)</f>
        <v>20589.8</v>
      </c>
    </row>
    <row r="86" customFormat="false" ht="15" hidden="false" customHeight="false" outlineLevel="0" collapsed="false">
      <c r="A86" s="9" t="str">
        <f aca="false">A13</f>
        <v>CO₂ 2 kg</v>
      </c>
      <c r="B86" s="6" t="n">
        <v>0</v>
      </c>
      <c r="C86" s="6" t="n">
        <v>93422.4</v>
      </c>
      <c r="D86" s="6" t="n">
        <v>11718.9</v>
      </c>
      <c r="E86" s="6" t="n">
        <v>2621.1</v>
      </c>
      <c r="F86" s="6" t="n">
        <v>2600.2</v>
      </c>
      <c r="G86" s="6" t="n">
        <v>6001.1</v>
      </c>
      <c r="H86" s="6" t="n">
        <v>0</v>
      </c>
      <c r="I86" s="7" t="n">
        <f aca="false">SUM(B86:H86)</f>
        <v>116363.7</v>
      </c>
    </row>
    <row r="87" customFormat="false" ht="15" hidden="false" customHeight="false" outlineLevel="0" collapsed="false">
      <c r="A87" s="9" t="str">
        <f aca="false">A14</f>
        <v>CO₂ 5 kg</v>
      </c>
      <c r="B87" s="6" t="n">
        <v>0</v>
      </c>
      <c r="C87" s="6" t="n">
        <v>13260</v>
      </c>
      <c r="D87" s="6" t="n">
        <v>548.6</v>
      </c>
      <c r="E87" s="6" t="n">
        <v>1310.5</v>
      </c>
      <c r="F87" s="6" t="n">
        <v>13536.8</v>
      </c>
      <c r="G87" s="6" t="n">
        <v>6729.6</v>
      </c>
      <c r="H87" s="6" t="n">
        <v>1558</v>
      </c>
      <c r="I87" s="7" t="n">
        <f aca="false">SUM(B87:H87)</f>
        <v>36943.5</v>
      </c>
    </row>
    <row r="88" customFormat="false" ht="15" hidden="false" customHeight="false" outlineLevel="0" collapsed="false">
      <c r="A88" s="9" t="str">
        <f aca="false">A15</f>
        <v>HCFC/HFC 5 kg</v>
      </c>
      <c r="B88" s="6" t="n">
        <v>0</v>
      </c>
      <c r="C88" s="6" t="n">
        <v>0</v>
      </c>
      <c r="D88" s="6" t="n">
        <v>0</v>
      </c>
      <c r="E88" s="6" t="n">
        <v>0</v>
      </c>
      <c r="F88" s="6" t="n">
        <v>3632.5</v>
      </c>
      <c r="G88" s="6" t="n">
        <v>1379.7</v>
      </c>
      <c r="H88" s="6" t="n">
        <v>0</v>
      </c>
      <c r="I88" s="7" t="n">
        <f aca="false">SUM(B88:H88)</f>
        <v>5012.2</v>
      </c>
    </row>
    <row r="89" customFormat="false" ht="15" hidden="false" customHeight="false" outlineLevel="0" collapsed="false">
      <c r="A89" s="9" t="str">
        <f aca="false">A16</f>
        <v>Clase D 9 l</v>
      </c>
      <c r="B89" s="6" t="n">
        <v>0</v>
      </c>
      <c r="C89" s="6" t="n">
        <v>0</v>
      </c>
      <c r="D89" s="6" t="n">
        <v>0</v>
      </c>
      <c r="E89" s="6" t="n">
        <v>0</v>
      </c>
      <c r="F89" s="6" t="n">
        <v>1568</v>
      </c>
      <c r="G89" s="6" t="n">
        <v>0</v>
      </c>
      <c r="H89" s="6" t="n">
        <v>0</v>
      </c>
      <c r="I89" s="7" t="n">
        <f aca="false">SUM(B89:H89)</f>
        <v>1568</v>
      </c>
    </row>
    <row r="90" customFormat="false" ht="15" hidden="false" customHeight="false" outlineLevel="0" collapsed="false">
      <c r="A90" s="9" t="str">
        <f aca="false">A17</f>
        <v>ABC 25 kg s/ruedas</v>
      </c>
      <c r="B90" s="6" t="n">
        <v>0</v>
      </c>
      <c r="C90" s="6" t="n">
        <v>2260.2</v>
      </c>
      <c r="D90" s="6" t="n">
        <v>122.6</v>
      </c>
      <c r="E90" s="6" t="n">
        <v>131.1</v>
      </c>
      <c r="F90" s="6" t="n">
        <v>1589.2</v>
      </c>
      <c r="G90" s="6" t="n">
        <v>776.1</v>
      </c>
      <c r="H90" s="6" t="n">
        <v>0</v>
      </c>
      <c r="I90" s="7" t="n">
        <f aca="false">SUM(B90:H90)</f>
        <v>4879.2</v>
      </c>
    </row>
    <row r="91" customFormat="false" ht="15" hidden="false" customHeight="false" outlineLevel="0" collapsed="false">
      <c r="A91" s="9" t="str">
        <f aca="false">A18</f>
        <v>ABC 50 kg s/ruedas</v>
      </c>
      <c r="B91" s="6" t="n">
        <v>0</v>
      </c>
      <c r="C91" s="6" t="n">
        <v>4972.5</v>
      </c>
      <c r="D91" s="6" t="n">
        <v>269.6</v>
      </c>
      <c r="E91" s="6" t="n">
        <v>288.3</v>
      </c>
      <c r="F91" s="6" t="n">
        <v>3496.3</v>
      </c>
      <c r="G91" s="6" t="n">
        <v>1707.4</v>
      </c>
      <c r="H91" s="6" t="n">
        <v>0</v>
      </c>
      <c r="I91" s="7" t="n">
        <f aca="false">SUM(B91:H91)</f>
        <v>10734.1</v>
      </c>
    </row>
    <row r="92" customFormat="false" ht="15" hidden="false" customHeight="false" outlineLevel="0" collapsed="false">
      <c r="A92" s="9" t="str">
        <f aca="false">A19</f>
        <v>ABC 70 kg s/ruedas</v>
      </c>
      <c r="B92" s="6" t="n">
        <v>0</v>
      </c>
      <c r="C92" s="6" t="n">
        <v>1084.9</v>
      </c>
      <c r="D92" s="6" t="n">
        <v>58.8</v>
      </c>
      <c r="E92" s="6" t="n">
        <v>62.9</v>
      </c>
      <c r="F92" s="6" t="n">
        <v>762.8</v>
      </c>
      <c r="G92" s="6" t="n">
        <v>372.5</v>
      </c>
      <c r="H92" s="6" t="n">
        <v>0</v>
      </c>
      <c r="I92" s="7" t="n">
        <f aca="false">SUM(B92:H92)</f>
        <v>2341.9</v>
      </c>
    </row>
    <row r="93" customFormat="false" ht="15" hidden="false" customHeight="false" outlineLevel="0" collapsed="false">
      <c r="A93" s="9" t="str">
        <f aca="false">A20</f>
        <v>ABC 100 kg s/ruedas</v>
      </c>
      <c r="B93" s="6" t="n">
        <v>0</v>
      </c>
      <c r="C93" s="6" t="n">
        <v>723.3</v>
      </c>
      <c r="D93" s="6" t="n">
        <v>39.2</v>
      </c>
      <c r="E93" s="6" t="n">
        <v>41.9</v>
      </c>
      <c r="F93" s="6" t="n">
        <v>508.5</v>
      </c>
      <c r="G93" s="6" t="n">
        <v>248.3</v>
      </c>
      <c r="H93" s="6" t="n">
        <v>0</v>
      </c>
      <c r="I93" s="7" t="n">
        <f aca="false">SUM(B93:H93)</f>
        <v>1561.2</v>
      </c>
    </row>
    <row r="96" customFormat="false" ht="23.85" hidden="false" customHeight="false" outlineLevel="0" collapsed="false">
      <c r="A96" s="3" t="s">
        <v>85</v>
      </c>
      <c r="B96" s="3" t="s">
        <v>76</v>
      </c>
      <c r="C96" s="3" t="s">
        <v>77</v>
      </c>
      <c r="D96" s="3" t="s">
        <v>78</v>
      </c>
      <c r="E96" s="3" t="s">
        <v>79</v>
      </c>
      <c r="F96" s="3" t="s">
        <v>80</v>
      </c>
      <c r="G96" s="3" t="s">
        <v>81</v>
      </c>
      <c r="H96" s="3" t="s">
        <v>82</v>
      </c>
      <c r="I96" s="3" t="s">
        <v>83</v>
      </c>
    </row>
    <row r="97" customFormat="false" ht="15" hidden="false" customHeight="false" outlineLevel="0" collapsed="false">
      <c r="A97" s="9" t="str">
        <f aca="false">A4</f>
        <v>ABC 1 kg</v>
      </c>
      <c r="B97" s="6" t="n">
        <f aca="false">IF($B$51="Comercial",B57,B77)</f>
        <v>2251135</v>
      </c>
      <c r="C97" s="6" t="n">
        <f aca="false">IF($B$51="Comercial",C57,C77)</f>
        <v>0</v>
      </c>
      <c r="D97" s="6" t="n">
        <f aca="false">IF($B$51="Comercial",D57,D77)</f>
        <v>0</v>
      </c>
      <c r="E97" s="6" t="n">
        <f aca="false">IF($B$51="Comercial",E57,E77)</f>
        <v>3578.5</v>
      </c>
      <c r="F97" s="6" t="n">
        <f aca="false">IF($B$51="Comercial",F57,F77)</f>
        <v>0</v>
      </c>
      <c r="G97" s="6" t="n">
        <f aca="false">IF($B$51="Comercial",G57,G77)</f>
        <v>0</v>
      </c>
      <c r="H97" s="6" t="n">
        <f aca="false">IF($B$51="Comercial",H57,H77)</f>
        <v>530</v>
      </c>
      <c r="I97" s="7" t="n">
        <f aca="false">SUM(B97:H97)</f>
        <v>2255243.5</v>
      </c>
    </row>
    <row r="98" customFormat="false" ht="15" hidden="false" customHeight="false" outlineLevel="0" collapsed="false">
      <c r="A98" s="9" t="str">
        <f aca="false">A5</f>
        <v>ABC 2,5 kg</v>
      </c>
      <c r="B98" s="6" t="n">
        <f aca="false">IF($B$51="Comercial",B58,B78)</f>
        <v>0</v>
      </c>
      <c r="C98" s="6" t="n">
        <f aca="false">IF($B$51="Comercial",C58,C78)</f>
        <v>100435.9</v>
      </c>
      <c r="D98" s="6" t="n">
        <f aca="false">IF($B$51="Comercial",D58,D78)</f>
        <v>14173.8</v>
      </c>
      <c r="E98" s="6" t="n">
        <f aca="false">IF($B$51="Comercial",E58,E78)</f>
        <v>45655.1</v>
      </c>
      <c r="F98" s="6" t="n">
        <f aca="false">IF($B$51="Comercial",F58,F78)</f>
        <v>0</v>
      </c>
      <c r="G98" s="6" t="n">
        <f aca="false">IF($B$51="Comercial",G58,G78)</f>
        <v>7336.9</v>
      </c>
      <c r="H98" s="6" t="n">
        <f aca="false">IF($B$51="Comercial",H58,H78)</f>
        <v>6153</v>
      </c>
      <c r="I98" s="7" t="n">
        <f aca="false">SUM(B98:H98)</f>
        <v>173754.7</v>
      </c>
    </row>
    <row r="99" customFormat="false" ht="15" hidden="false" customHeight="false" outlineLevel="0" collapsed="false">
      <c r="A99" s="9" t="str">
        <f aca="false">A6</f>
        <v>ABC 5 kg</v>
      </c>
      <c r="B99" s="6" t="n">
        <f aca="false">IF($B$51="Comercial",B59,B79)</f>
        <v>69628</v>
      </c>
      <c r="C99" s="6" t="n">
        <f aca="false">IF($B$51="Comercial",C59,C79)</f>
        <v>732591.4</v>
      </c>
      <c r="D99" s="6" t="n">
        <f aca="false">IF($B$51="Comercial",D59,D79)</f>
        <v>52786.7</v>
      </c>
      <c r="E99" s="6" t="n">
        <f aca="false">IF($B$51="Comercial",E59,E79)</f>
        <v>8847.8</v>
      </c>
      <c r="F99" s="6" t="n">
        <f aca="false">IF($B$51="Comercial",F59,F79)</f>
        <v>113431.7</v>
      </c>
      <c r="G99" s="6" t="n">
        <f aca="false">IF($B$51="Comercial",G59,G79)</f>
        <v>46903.8</v>
      </c>
      <c r="H99" s="6" t="n">
        <f aca="false">IF($B$51="Comercial",H59,H79)</f>
        <v>5342</v>
      </c>
      <c r="I99" s="7" t="n">
        <f aca="false">SUM(B99:H99)</f>
        <v>1029531.4</v>
      </c>
    </row>
    <row r="100" customFormat="false" ht="15" hidden="false" customHeight="false" outlineLevel="0" collapsed="false">
      <c r="A100" s="9" t="str">
        <f aca="false">A7</f>
        <v>ABC 10 kg</v>
      </c>
      <c r="B100" s="6" t="n">
        <f aca="false">IF($B$51="Comercial",B60,B80)</f>
        <v>0</v>
      </c>
      <c r="C100" s="6" t="n">
        <f aca="false">IF($B$51="Comercial",C60,C80)</f>
        <v>44900.8</v>
      </c>
      <c r="D100" s="6" t="n">
        <f aca="false">IF($B$51="Comercial",D60,D80)</f>
        <v>5673.3</v>
      </c>
      <c r="E100" s="6" t="n">
        <f aca="false">IF($B$51="Comercial",E60,E80)</f>
        <v>2123.5</v>
      </c>
      <c r="F100" s="6" t="n">
        <f aca="false">IF($B$51="Comercial",F60,F80)</f>
        <v>0</v>
      </c>
      <c r="G100" s="6" t="n">
        <f aca="false">IF($B$51="Comercial",G60,G80)</f>
        <v>6270.5</v>
      </c>
      <c r="H100" s="6" t="n">
        <f aca="false">IF($B$51="Comercial",H60,H80)</f>
        <v>0</v>
      </c>
      <c r="I100" s="7" t="n">
        <f aca="false">SUM(B100:H100)</f>
        <v>58968.1</v>
      </c>
    </row>
    <row r="101" customFormat="false" ht="15" hidden="false" customHeight="false" outlineLevel="0" collapsed="false">
      <c r="A101" s="9" t="str">
        <f aca="false">A8</f>
        <v>Agua 10 l</v>
      </c>
      <c r="B101" s="6" t="n">
        <f aca="false">IF($B$51="Comercial",B61,B81)</f>
        <v>0</v>
      </c>
      <c r="C101" s="6" t="n">
        <f aca="false">IF($B$51="Comercial",C61,C81)</f>
        <v>56716.8</v>
      </c>
      <c r="D101" s="6" t="n">
        <f aca="false">IF($B$51="Comercial",D61,D81)</f>
        <v>4876.4</v>
      </c>
      <c r="E101" s="6" t="n">
        <f aca="false">IF($B$51="Comercial",E61,E81)</f>
        <v>1415.6</v>
      </c>
      <c r="F101" s="6" t="n">
        <f aca="false">IF($B$51="Comercial",F61,F81)</f>
        <v>12568.5</v>
      </c>
      <c r="G101" s="6" t="n">
        <f aca="false">IF($B$51="Comercial",G61,G81)</f>
        <v>8958.8</v>
      </c>
      <c r="H101" s="6" t="n">
        <f aca="false">IF($B$51="Comercial",H61,H81)</f>
        <v>562</v>
      </c>
      <c r="I101" s="7" t="n">
        <f aca="false">SUM(B101:H101)</f>
        <v>85098.1</v>
      </c>
    </row>
    <row r="102" customFormat="false" ht="15" hidden="false" customHeight="false" outlineLevel="0" collapsed="false">
      <c r="A102" s="9" t="str">
        <f aca="false">A9</f>
        <v>AFFF 10 l</v>
      </c>
      <c r="B102" s="6" t="n">
        <f aca="false">IF($B$51="Comercial",B62,B82)</f>
        <v>0</v>
      </c>
      <c r="C102" s="6" t="n">
        <f aca="false">IF($B$51="Comercial",C62,C82)</f>
        <v>0</v>
      </c>
      <c r="D102" s="6" t="n">
        <f aca="false">IF($B$51="Comercial",D62,D82)</f>
        <v>0</v>
      </c>
      <c r="E102" s="6" t="n">
        <f aca="false">IF($B$51="Comercial",E62,E82)</f>
        <v>0</v>
      </c>
      <c r="F102" s="6" t="n">
        <f aca="false">IF($B$51="Comercial",F62,F82)</f>
        <v>15671.5</v>
      </c>
      <c r="G102" s="6" t="n">
        <f aca="false">IF($B$51="Comercial",G62,G82)</f>
        <v>0</v>
      </c>
      <c r="H102" s="6" t="n">
        <f aca="false">IF($B$51="Comercial",H62,H82)</f>
        <v>0</v>
      </c>
      <c r="I102" s="7" t="n">
        <f aca="false">SUM(B102:H102)</f>
        <v>15671.5</v>
      </c>
    </row>
    <row r="103" customFormat="false" ht="15" hidden="false" customHeight="false" outlineLevel="0" collapsed="false">
      <c r="A103" s="9" t="str">
        <f aca="false">A10</f>
        <v>AFFF 50 l s/ruedas</v>
      </c>
      <c r="B103" s="6" t="n">
        <f aca="false">IF($B$51="Comercial",B63,B83)</f>
        <v>0</v>
      </c>
      <c r="C103" s="6" t="n">
        <f aca="false">IF($B$51="Comercial",C63,C83)</f>
        <v>0</v>
      </c>
      <c r="D103" s="6" t="n">
        <f aca="false">IF($B$51="Comercial",D63,D83)</f>
        <v>0</v>
      </c>
      <c r="E103" s="6" t="n">
        <f aca="false">IF($B$51="Comercial",E63,E83)</f>
        <v>0</v>
      </c>
      <c r="F103" s="6" t="n">
        <f aca="false">IF($B$51="Comercial",F63,F83)</f>
        <v>9151.4</v>
      </c>
      <c r="G103" s="6" t="n">
        <f aca="false">IF($B$51="Comercial",G63,G83)</f>
        <v>0</v>
      </c>
      <c r="H103" s="6" t="n">
        <f aca="false">IF($B$51="Comercial",H63,H83)</f>
        <v>0</v>
      </c>
      <c r="I103" s="7" t="n">
        <f aca="false">SUM(B103:H103)</f>
        <v>9151.4</v>
      </c>
    </row>
    <row r="104" customFormat="false" ht="15" hidden="false" customHeight="false" outlineLevel="0" collapsed="false">
      <c r="A104" s="9" t="str">
        <f aca="false">A11</f>
        <v>BC 5 kg</v>
      </c>
      <c r="B104" s="6" t="n">
        <f aca="false">IF($B$51="Comercial",B64,B84)</f>
        <v>0</v>
      </c>
      <c r="C104" s="6" t="n">
        <f aca="false">IF($B$51="Comercial",C64,C84)</f>
        <v>0</v>
      </c>
      <c r="D104" s="6" t="n">
        <f aca="false">IF($B$51="Comercial",D64,D84)</f>
        <v>0</v>
      </c>
      <c r="E104" s="6" t="n">
        <f aca="false">IF($B$51="Comercial",E64,E84)</f>
        <v>0</v>
      </c>
      <c r="F104" s="6" t="n">
        <f aca="false">IF($B$51="Comercial",F64,F84)</f>
        <v>4634.7</v>
      </c>
      <c r="G104" s="6" t="n">
        <f aca="false">IF($B$51="Comercial",G64,G84)</f>
        <v>0</v>
      </c>
      <c r="H104" s="6" t="n">
        <f aca="false">IF($B$51="Comercial",H64,H84)</f>
        <v>0</v>
      </c>
      <c r="I104" s="7" t="n">
        <f aca="false">SUM(B104:H104)</f>
        <v>4634.7</v>
      </c>
    </row>
    <row r="105" customFormat="false" ht="15" hidden="false" customHeight="false" outlineLevel="0" collapsed="false">
      <c r="A105" s="9" t="str">
        <f aca="false">A12</f>
        <v>Sales K 6 l</v>
      </c>
      <c r="B105" s="6" t="n">
        <f aca="false">IF($B$51="Comercial",B65,B85)</f>
        <v>0</v>
      </c>
      <c r="C105" s="6" t="n">
        <f aca="false">IF($B$51="Comercial",C65,C85)</f>
        <v>20087.2</v>
      </c>
      <c r="D105" s="6" t="n">
        <f aca="false">IF($B$51="Comercial",D65,D85)</f>
        <v>4459</v>
      </c>
      <c r="E105" s="6" t="n">
        <f aca="false">IF($B$51="Comercial",E65,E85)</f>
        <v>3539.1</v>
      </c>
      <c r="F105" s="6" t="n">
        <f aca="false">IF($B$51="Comercial",F65,F85)</f>
        <v>8169.7</v>
      </c>
      <c r="G105" s="6" t="n">
        <f aca="false">IF($B$51="Comercial",G65,G85)</f>
        <v>2804.4</v>
      </c>
      <c r="H105" s="6" t="n">
        <f aca="false">IF($B$51="Comercial",H65,H85)</f>
        <v>0</v>
      </c>
      <c r="I105" s="7" t="n">
        <f aca="false">SUM(B105:H105)</f>
        <v>39059.4</v>
      </c>
    </row>
    <row r="106" customFormat="false" ht="15" hidden="false" customHeight="false" outlineLevel="0" collapsed="false">
      <c r="A106" s="9" t="str">
        <f aca="false">A13</f>
        <v>CO₂ 2 kg</v>
      </c>
      <c r="B106" s="6" t="n">
        <f aca="false">IF($B$51="Comercial",B66,B86)</f>
        <v>0</v>
      </c>
      <c r="C106" s="6" t="n">
        <f aca="false">IF($B$51="Comercial",C66,C86)</f>
        <v>183147.8</v>
      </c>
      <c r="D106" s="6" t="n">
        <f aca="false">IF($B$51="Comercial",D66,D86)</f>
        <v>19050.2</v>
      </c>
      <c r="E106" s="6" t="n">
        <f aca="false">IF($B$51="Comercial",E66,E86)</f>
        <v>3539.1</v>
      </c>
      <c r="F106" s="6" t="n">
        <f aca="false">IF($B$51="Comercial",F66,F86)</f>
        <v>6402.2</v>
      </c>
      <c r="G106" s="6" t="n">
        <f aca="false">IF($B$51="Comercial",G66,G86)</f>
        <v>10549.9</v>
      </c>
      <c r="H106" s="6" t="n">
        <f aca="false">IF($B$51="Comercial",H66,H86)</f>
        <v>0</v>
      </c>
      <c r="I106" s="7" t="n">
        <f aca="false">SUM(B106:H106)</f>
        <v>222689.2</v>
      </c>
    </row>
    <row r="107" customFormat="false" ht="15" hidden="false" customHeight="false" outlineLevel="0" collapsed="false">
      <c r="A107" s="9" t="str">
        <f aca="false">A14</f>
        <v>CO₂ 5 kg</v>
      </c>
      <c r="B107" s="6" t="n">
        <f aca="false">IF($B$51="Comercial",B67,B87)</f>
        <v>0</v>
      </c>
      <c r="C107" s="6" t="n">
        <f aca="false">IF($B$51="Comercial",C67,C87)</f>
        <v>25995.2</v>
      </c>
      <c r="D107" s="6" t="n">
        <f aca="false">IF($B$51="Comercial",D67,D87)</f>
        <v>891.8</v>
      </c>
      <c r="E107" s="6" t="n">
        <f aca="false">IF($B$51="Comercial",E67,E87)</f>
        <v>1769.6</v>
      </c>
      <c r="F107" s="6" t="n">
        <f aca="false">IF($B$51="Comercial",F67,F87)</f>
        <v>32678.6</v>
      </c>
      <c r="G107" s="6" t="n">
        <f aca="false">IF($B$51="Comercial",G67,G87)</f>
        <v>11830.5</v>
      </c>
      <c r="H107" s="6" t="n">
        <f aca="false">IF($B$51="Comercial",H67,H87)</f>
        <v>2530</v>
      </c>
      <c r="I107" s="7" t="n">
        <f aca="false">SUM(B107:H107)</f>
        <v>75695.7</v>
      </c>
    </row>
    <row r="108" customFormat="false" ht="15" hidden="false" customHeight="false" outlineLevel="0" collapsed="false">
      <c r="A108" s="9" t="str">
        <f aca="false">A15</f>
        <v>HCFC/HFC 5 kg</v>
      </c>
      <c r="B108" s="6" t="n">
        <f aca="false">IF($B$51="Comercial",B68,B88)</f>
        <v>0</v>
      </c>
      <c r="C108" s="6" t="n">
        <f aca="false">IF($B$51="Comercial",C68,C88)</f>
        <v>0</v>
      </c>
      <c r="D108" s="6" t="n">
        <f aca="false">IF($B$51="Comercial",D68,D88)</f>
        <v>0</v>
      </c>
      <c r="E108" s="6" t="n">
        <f aca="false">IF($B$51="Comercial",E68,E88)</f>
        <v>0</v>
      </c>
      <c r="F108" s="6" t="n">
        <f aca="false">IF($B$51="Comercial",F68,F88)</f>
        <v>9269.4</v>
      </c>
      <c r="G108" s="6" t="n">
        <f aca="false">IF($B$51="Comercial",G68,G88)</f>
        <v>2425.5</v>
      </c>
      <c r="H108" s="6" t="n">
        <f aca="false">IF($B$51="Comercial",H68,H88)</f>
        <v>0</v>
      </c>
      <c r="I108" s="7" t="n">
        <f aca="false">SUM(B108:H108)</f>
        <v>11694.9</v>
      </c>
    </row>
    <row r="109" customFormat="false" ht="15" hidden="false" customHeight="false" outlineLevel="0" collapsed="false">
      <c r="A109" s="9" t="str">
        <f aca="false">A16</f>
        <v>Clase D 9 l</v>
      </c>
      <c r="B109" s="6" t="n">
        <f aca="false">IF($B$51="Comercial",B69,B89)</f>
        <v>0</v>
      </c>
      <c r="C109" s="6" t="n">
        <f aca="false">IF($B$51="Comercial",C69,C89)</f>
        <v>0</v>
      </c>
      <c r="D109" s="6" t="n">
        <f aca="false">IF($B$51="Comercial",D69,D89)</f>
        <v>0</v>
      </c>
      <c r="E109" s="6" t="n">
        <f aca="false">IF($B$51="Comercial",E69,E89)</f>
        <v>0</v>
      </c>
      <c r="F109" s="6" t="n">
        <f aca="false">IF($B$51="Comercial",F69,F89)</f>
        <v>3535</v>
      </c>
      <c r="G109" s="6" t="n">
        <f aca="false">IF($B$51="Comercial",G69,G89)</f>
        <v>0</v>
      </c>
      <c r="H109" s="6" t="n">
        <f aca="false">IF($B$51="Comercial",H69,H89)</f>
        <v>0</v>
      </c>
      <c r="I109" s="7" t="n">
        <f aca="false">SUM(B109:H109)</f>
        <v>3535</v>
      </c>
    </row>
    <row r="110" customFormat="false" ht="15" hidden="false" customHeight="false" outlineLevel="0" collapsed="false">
      <c r="A110" s="9" t="str">
        <f aca="false">A17</f>
        <v>ABC 25 kg s/ruedas</v>
      </c>
      <c r="B110" s="6" t="n">
        <f aca="false">IF($B$51="Comercial",B70,B90)</f>
        <v>0</v>
      </c>
      <c r="C110" s="6" t="n">
        <f aca="false">IF($B$51="Comercial",C70,C90)</f>
        <v>4431</v>
      </c>
      <c r="D110" s="6" t="n">
        <f aca="false">IF($B$51="Comercial",D70,D90)</f>
        <v>199.2</v>
      </c>
      <c r="E110" s="6" t="n">
        <f aca="false">IF($B$51="Comercial",E70,E90)</f>
        <v>177</v>
      </c>
      <c r="F110" s="6" t="n">
        <f aca="false">IF($B$51="Comercial",F70,F90)</f>
        <v>4055.3</v>
      </c>
      <c r="G110" s="6" t="n">
        <f aca="false">IF($B$51="Comercial",G70,G90)</f>
        <v>1364.4</v>
      </c>
      <c r="H110" s="6" t="n">
        <f aca="false">IF($B$51="Comercial",H70,H90)</f>
        <v>0</v>
      </c>
      <c r="I110" s="7" t="n">
        <f aca="false">SUM(B110:H110)</f>
        <v>10226.9</v>
      </c>
    </row>
    <row r="111" customFormat="false" ht="15" hidden="false" customHeight="false" outlineLevel="0" collapsed="false">
      <c r="A111" s="9" t="str">
        <f aca="false">A18</f>
        <v>ABC 50 kg s/ruedas</v>
      </c>
      <c r="B111" s="6" t="n">
        <f aca="false">IF($B$51="Comercial",B71,B91)</f>
        <v>0</v>
      </c>
      <c r="C111" s="6" t="n">
        <f aca="false">IF($B$51="Comercial",C71,C91)</f>
        <v>9748.2</v>
      </c>
      <c r="D111" s="6" t="n">
        <f aca="false">IF($B$51="Comercial",D71,D91)</f>
        <v>438.3</v>
      </c>
      <c r="E111" s="6" t="n">
        <f aca="false">IF($B$51="Comercial",E71,E91)</f>
        <v>389.3</v>
      </c>
      <c r="F111" s="6" t="n">
        <f aca="false">IF($B$51="Comercial",F71,F91)</f>
        <v>8921.8</v>
      </c>
      <c r="G111" s="6" t="n">
        <f aca="false">IF($B$51="Comercial",G71,G91)</f>
        <v>3001.6</v>
      </c>
      <c r="H111" s="6" t="n">
        <f aca="false">IF($B$51="Comercial",H71,H91)</f>
        <v>0</v>
      </c>
      <c r="I111" s="7" t="n">
        <f aca="false">SUM(B111:H111)</f>
        <v>22499.2</v>
      </c>
    </row>
    <row r="112" customFormat="false" ht="15" hidden="false" customHeight="false" outlineLevel="0" collapsed="false">
      <c r="A112" s="9" t="str">
        <f aca="false">A19</f>
        <v>ABC 70 kg s/ruedas</v>
      </c>
      <c r="B112" s="6" t="n">
        <f aca="false">IF($B$51="Comercial",B72,B92)</f>
        <v>0</v>
      </c>
      <c r="C112" s="6" t="n">
        <f aca="false">IF($B$51="Comercial",C72,C92)</f>
        <v>2126.9</v>
      </c>
      <c r="D112" s="6" t="n">
        <f aca="false">IF($B$51="Comercial",D72,D92)</f>
        <v>95.6</v>
      </c>
      <c r="E112" s="6" t="n">
        <f aca="false">IF($B$51="Comercial",E72,E92)</f>
        <v>84.9</v>
      </c>
      <c r="F112" s="6" t="n">
        <f aca="false">IF($B$51="Comercial",F72,F92)</f>
        <v>1946.6</v>
      </c>
      <c r="G112" s="6" t="n">
        <f aca="false">IF($B$51="Comercial",G72,G92)</f>
        <v>654.9</v>
      </c>
      <c r="H112" s="6" t="n">
        <f aca="false">IF($B$51="Comercial",H72,H92)</f>
        <v>0</v>
      </c>
      <c r="I112" s="7" t="n">
        <f aca="false">SUM(B112:H112)</f>
        <v>4908.9</v>
      </c>
    </row>
    <row r="113" customFormat="false" ht="15" hidden="false" customHeight="false" outlineLevel="0" collapsed="false">
      <c r="A113" s="9" t="str">
        <f aca="false">A20</f>
        <v>ABC 100 kg s/ruedas</v>
      </c>
      <c r="B113" s="6" t="n">
        <f aca="false">IF($B$51="Comercial",B73,B93)</f>
        <v>0</v>
      </c>
      <c r="C113" s="6" t="n">
        <f aca="false">IF($B$51="Comercial",C73,C93)</f>
        <v>1417.9</v>
      </c>
      <c r="D113" s="6" t="n">
        <f aca="false">IF($B$51="Comercial",D73,D93)</f>
        <v>63.8</v>
      </c>
      <c r="E113" s="6" t="n">
        <f aca="false">IF($B$51="Comercial",E73,E93)</f>
        <v>56.6</v>
      </c>
      <c r="F113" s="6" t="n">
        <f aca="false">IF($B$51="Comercial",F73,F93)</f>
        <v>1297.7</v>
      </c>
      <c r="G113" s="6" t="n">
        <f aca="false">IF($B$51="Comercial",G73,G93)</f>
        <v>436.6</v>
      </c>
      <c r="H113" s="6" t="n">
        <f aca="false">IF($B$51="Comercial",H73,H93)</f>
        <v>0</v>
      </c>
      <c r="I113" s="7" t="n">
        <f aca="false">SUM(B113:H113)</f>
        <v>3272.6</v>
      </c>
    </row>
    <row r="115" customFormat="false" ht="15" hidden="false" customHeight="false" outlineLevel="0" collapsed="false">
      <c r="A115" s="2" t="s">
        <v>86</v>
      </c>
    </row>
  </sheetData>
  <mergeCells count="5">
    <mergeCell ref="C45:L45"/>
    <mergeCell ref="C46:L46"/>
    <mergeCell ref="C47:L47"/>
    <mergeCell ref="C48:L48"/>
    <mergeCell ref="C49:L49"/>
  </mergeCells>
  <dataValidations count="2">
    <dataValidation allowBlank="false" errorStyle="stop" operator="between" showDropDown="false" showErrorMessage="false" showInputMessage="false" sqref="C25:C38" type="list">
      <formula1>"Comercial,Industrial,Fuera"</formula1>
      <formula2>0</formula2>
    </dataValidation>
    <dataValidation allowBlank="false" errorStyle="stop" operator="between" showDropDown="false" showErrorMessage="false" showInputMessage="false" sqref="B51" type="list">
      <formula1>"Comercial,Industrial"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3" t="s">
        <v>87</v>
      </c>
      <c r="B1" s="3" t="n">
        <f aca="false">PROY_Indexado!B3</f>
        <v>2026</v>
      </c>
      <c r="C1" s="3" t="n">
        <f aca="false">PROY_Indexado!C3</f>
        <v>2027</v>
      </c>
      <c r="D1" s="3" t="n">
        <f aca="false">PROY_Indexado!D3</f>
        <v>2028</v>
      </c>
      <c r="E1" s="3" t="n">
        <f aca="false">PROY_Indexado!E3</f>
        <v>2029</v>
      </c>
      <c r="F1" s="3" t="n">
        <f aca="false">PROY_Indexado!F3</f>
        <v>2030</v>
      </c>
      <c r="G1" s="3" t="n">
        <f aca="false">PROY_Indexado!G3</f>
        <v>2031</v>
      </c>
      <c r="H1" s="3" t="n">
        <f aca="false">PROY_Indexado!H3</f>
        <v>2032</v>
      </c>
      <c r="I1" s="3" t="n">
        <f aca="false">PROY_Indexado!I3</f>
        <v>2033</v>
      </c>
      <c r="J1" s="3" t="n">
        <f aca="false">PROY_Indexado!J3</f>
        <v>2034</v>
      </c>
      <c r="K1" s="3" t="n">
        <f aca="false">PROY_Indexado!K3</f>
        <v>2035</v>
      </c>
    </row>
    <row r="2" customFormat="false" ht="15" hidden="false" customHeight="false" outlineLevel="0" collapsed="false">
      <c r="A2" s="9" t="str">
        <f aca="false">PROY_Indexado!A4</f>
        <v>ABC 1 kg</v>
      </c>
      <c r="B2" s="6" t="n">
        <f aca="false">PROY_Indexado!B4*PROY_Indexado!$B$52</f>
        <v>1928.3324794299</v>
      </c>
      <c r="C2" s="6" t="n">
        <f aca="false">PROY_Indexado!C4*PROY_Indexado!$B$52</f>
        <v>9410.52471807289</v>
      </c>
      <c r="D2" s="6" t="n">
        <f aca="false">PROY_Indexado!D4*PROY_Indexado!$B$52</f>
        <v>16938.4095795012</v>
      </c>
      <c r="E2" s="6" t="n">
        <f aca="false">PROY_Indexado!E4*PROY_Indexado!$B$52</f>
        <v>31079.8948147772</v>
      </c>
      <c r="F2" s="6" t="n">
        <f aca="false">PROY_Indexado!F4*PROY_Indexado!$B$52</f>
        <v>46729.5037906516</v>
      </c>
      <c r="G2" s="6" t="n">
        <f aca="false">PROY_Indexado!G4*PROY_Indexado!$B$52</f>
        <v>65104.9554102294</v>
      </c>
      <c r="H2" s="6" t="n">
        <f aca="false">PROY_Indexado!H4*PROY_Indexado!$B$52</f>
        <v>81853.011111775</v>
      </c>
      <c r="I2" s="6" t="n">
        <f aca="false">PROY_Indexado!I4*PROY_Indexado!$B$52</f>
        <v>95047.1013416854</v>
      </c>
      <c r="J2" s="6" t="n">
        <f aca="false">PROY_Indexado!J4*PROY_Indexado!$B$52</f>
        <v>101860.044696713</v>
      </c>
      <c r="K2" s="6" t="n">
        <f aca="false">PROY_Indexado!K4*PROY_Indexado!$B$52</f>
        <v>108842.626397553</v>
      </c>
    </row>
    <row r="3" customFormat="false" ht="15" hidden="false" customHeight="false" outlineLevel="0" collapsed="false">
      <c r="A3" s="9" t="str">
        <f aca="false">PROY_Indexado!A5</f>
        <v>ABC 2,5 kg</v>
      </c>
      <c r="B3" s="6" t="n">
        <f aca="false">PROY_Indexado!B5*PROY_Indexado!$B$52</f>
        <v>182.98966617723</v>
      </c>
      <c r="C3" s="6" t="n">
        <f aca="false">PROY_Indexado!C5*PROY_Indexado!$B$52</f>
        <v>713.896488444678</v>
      </c>
      <c r="D3" s="6" t="n">
        <f aca="false">PROY_Indexado!D5*PROY_Indexado!$B$52</f>
        <v>1634.26350415044</v>
      </c>
      <c r="E3" s="6" t="n">
        <f aca="false">PROY_Indexado!E5*PROY_Indexado!$B$52</f>
        <v>3008.84809678598</v>
      </c>
      <c r="F3" s="6" t="n">
        <f aca="false">PROY_Indexado!F5*PROY_Indexado!$B$52</f>
        <v>4353.46560207945</v>
      </c>
      <c r="G3" s="6" t="n">
        <f aca="false">PROY_Indexado!G5*PROY_Indexado!$B$52</f>
        <v>5780.28251110631</v>
      </c>
      <c r="H3" s="6" t="n">
        <f aca="false">PROY_Indexado!H5*PROY_Indexado!$B$52</f>
        <v>7103.34002444543</v>
      </c>
      <c r="I3" s="6" t="n">
        <f aca="false">PROY_Indexado!I5*PROY_Indexado!$B$52</f>
        <v>7909.15291517406</v>
      </c>
      <c r="J3" s="6" t="n">
        <f aca="false">PROY_Indexado!J5*PROY_Indexado!$B$52</f>
        <v>8557.83094860929</v>
      </c>
      <c r="K3" s="6" t="n">
        <f aca="false">PROY_Indexado!K5*PROY_Indexado!$B$52</f>
        <v>9216.54014430766</v>
      </c>
    </row>
    <row r="4" customFormat="false" ht="15" hidden="false" customHeight="false" outlineLevel="0" collapsed="false">
      <c r="A4" s="9" t="str">
        <f aca="false">PROY_Indexado!A6</f>
        <v>ABC 5 kg</v>
      </c>
      <c r="B4" s="6" t="n">
        <f aca="false">PROY_Indexado!B6*PROY_Indexado!$B$52</f>
        <v>1081.53202542054</v>
      </c>
      <c r="C4" s="6" t="n">
        <f aca="false">PROY_Indexado!C6*PROY_Indexado!$B$52</f>
        <v>4354.4319713917</v>
      </c>
      <c r="D4" s="6" t="n">
        <f aca="false">PROY_Indexado!D6*PROY_Indexado!$B$52</f>
        <v>9857.06358790893</v>
      </c>
      <c r="E4" s="6" t="n">
        <f aca="false">PROY_Indexado!E6*PROY_Indexado!$B$52</f>
        <v>18634.9509870281</v>
      </c>
      <c r="F4" s="6" t="n">
        <f aca="false">PROY_Indexado!F6*PROY_Indexado!$B$52</f>
        <v>26842.9541252258</v>
      </c>
      <c r="G4" s="6" t="n">
        <f aca="false">PROY_Indexado!G6*PROY_Indexado!$B$52</f>
        <v>35668.3968765287</v>
      </c>
      <c r="H4" s="6" t="n">
        <f aca="false">PROY_Indexado!H6*PROY_Indexado!$B$52</f>
        <v>43652.4040341835</v>
      </c>
      <c r="I4" s="6" t="n">
        <f aca="false">PROY_Indexado!I6*PROY_Indexado!$B$52</f>
        <v>48374.7562424118</v>
      </c>
      <c r="J4" s="6" t="n">
        <f aca="false">PROY_Indexado!J6*PROY_Indexado!$B$52</f>
        <v>52182.3411926296</v>
      </c>
      <c r="K4" s="6" t="n">
        <f aca="false">PROY_Indexado!K6*PROY_Indexado!$B$52</f>
        <v>56059.2707104735</v>
      </c>
    </row>
    <row r="5" customFormat="false" ht="15" hidden="false" customHeight="false" outlineLevel="0" collapsed="false">
      <c r="A5" s="9" t="str">
        <f aca="false">PROY_Indexado!A7</f>
        <v>ABC 10 kg</v>
      </c>
      <c r="B5" s="6" t="n">
        <f aca="false">PROY_Indexado!B7*PROY_Indexado!$B$52</f>
        <v>65.6238799171177</v>
      </c>
      <c r="C5" s="6" t="n">
        <f aca="false">PROY_Indexado!C7*PROY_Indexado!$B$52</f>
        <v>242.722482544761</v>
      </c>
      <c r="D5" s="6" t="n">
        <f aca="false">PROY_Indexado!D7*PROY_Indexado!$B$52</f>
        <v>568.368770119994</v>
      </c>
      <c r="E5" s="6" t="n">
        <f aca="false">PROY_Indexado!E7*PROY_Indexado!$B$52</f>
        <v>1087.08596481323</v>
      </c>
      <c r="F5" s="6" t="n">
        <f aca="false">PROY_Indexado!F7*PROY_Indexado!$B$52</f>
        <v>1577.59581782047</v>
      </c>
      <c r="G5" s="6" t="n">
        <f aca="false">PROY_Indexado!G7*PROY_Indexado!$B$52</f>
        <v>2112.93681281845</v>
      </c>
      <c r="H5" s="6" t="n">
        <f aca="false">PROY_Indexado!H7*PROY_Indexado!$B$52</f>
        <v>2586.10154569006</v>
      </c>
      <c r="I5" s="6" t="n">
        <f aca="false">PROY_Indexado!I7*PROY_Indexado!$B$52</f>
        <v>2863.82527866492</v>
      </c>
      <c r="J5" s="6" t="n">
        <f aca="false">PROY_Indexado!J7*PROY_Indexado!$B$52</f>
        <v>3089.53130603234</v>
      </c>
      <c r="K5" s="6" t="n">
        <f aca="false">PROY_Indexado!K7*PROY_Indexado!$B$52</f>
        <v>3319.32790518283</v>
      </c>
    </row>
    <row r="6" customFormat="false" ht="15" hidden="false" customHeight="false" outlineLevel="0" collapsed="false">
      <c r="A6" s="9" t="str">
        <f aca="false">PROY_Indexado!A8</f>
        <v>Agua 10 l</v>
      </c>
      <c r="B6" s="6" t="n">
        <f aca="false">PROY_Indexado!B8*PROY_Indexado!$B$52</f>
        <v>88.339838691209</v>
      </c>
      <c r="C6" s="6" t="n">
        <f aca="false">PROY_Indexado!C8*PROY_Indexado!$B$52</f>
        <v>356.791054511953</v>
      </c>
      <c r="D6" s="6" t="n">
        <f aca="false">PROY_Indexado!D8*PROY_Indexado!$B$52</f>
        <v>817.563242183208</v>
      </c>
      <c r="E6" s="6" t="n">
        <f aca="false">PROY_Indexado!E8*PROY_Indexado!$B$52</f>
        <v>1534.05179987619</v>
      </c>
      <c r="F6" s="6" t="n">
        <f aca="false">PROY_Indexado!F8*PROY_Indexado!$B$52</f>
        <v>2213.34625217735</v>
      </c>
      <c r="G6" s="6" t="n">
        <f aca="false">PROY_Indexado!G8*PROY_Indexado!$B$52</f>
        <v>2958.78190195977</v>
      </c>
      <c r="H6" s="6" t="n">
        <f aca="false">PROY_Indexado!H8*PROY_Indexado!$B$52</f>
        <v>3625.98177469707</v>
      </c>
      <c r="I6" s="6" t="n">
        <f aca="false">PROY_Indexado!I8*PROY_Indexado!$B$52</f>
        <v>4031.2585113582</v>
      </c>
      <c r="J6" s="6" t="n">
        <f aca="false">PROY_Indexado!J8*PROY_Indexado!$B$52</f>
        <v>4355.99730852705</v>
      </c>
      <c r="K6" s="6" t="n">
        <f aca="false">PROY_Indexado!K8*PROY_Indexado!$B$52</f>
        <v>4686.14321768856</v>
      </c>
    </row>
    <row r="7" customFormat="false" ht="15" hidden="false" customHeight="false" outlineLevel="0" collapsed="false">
      <c r="A7" s="9" t="str">
        <f aca="false">PROY_Indexado!A9</f>
        <v>AFFF 10 l</v>
      </c>
      <c r="B7" s="6" t="n">
        <f aca="false">PROY_Indexado!B9*PROY_Indexado!$B$52</f>
        <v>12.6199770351041</v>
      </c>
      <c r="C7" s="6" t="n">
        <f aca="false">PROY_Indexado!C9*PROY_Indexado!$B$52</f>
        <v>89.4527681249774</v>
      </c>
      <c r="D7" s="6" t="n">
        <f aca="false">PROY_Indexado!D9*PROY_Indexado!$B$52</f>
        <v>175.56498402136</v>
      </c>
      <c r="E7" s="6" t="n">
        <f aca="false">PROY_Indexado!E9*PROY_Indexado!$B$52</f>
        <v>292.450726979665</v>
      </c>
      <c r="F7" s="6" t="n">
        <f aca="false">PROY_Indexado!F9*PROY_Indexado!$B$52</f>
        <v>412.445652132626</v>
      </c>
      <c r="G7" s="6" t="n">
        <f aca="false">PROY_Indexado!G9*PROY_Indexado!$B$52</f>
        <v>533.932824837711</v>
      </c>
      <c r="H7" s="6" t="n">
        <f aca="false">PROY_Indexado!H9*PROY_Indexado!$B$52</f>
        <v>662.61904062623</v>
      </c>
      <c r="I7" s="6" t="n">
        <f aca="false">PROY_Indexado!I9*PROY_Indexado!$B$52</f>
        <v>749.498407409914</v>
      </c>
      <c r="J7" s="6" t="n">
        <f aca="false">PROY_Indexado!J9*PROY_Indexado!$B$52</f>
        <v>819.330008059193</v>
      </c>
      <c r="K7" s="6" t="n">
        <f aca="false">PROY_Indexado!K9*PROY_Indexado!$B$52</f>
        <v>889.694438407785</v>
      </c>
    </row>
    <row r="8" customFormat="false" ht="15" hidden="false" customHeight="false" outlineLevel="0" collapsed="false">
      <c r="A8" s="9" t="str">
        <f aca="false">PROY_Indexado!A10</f>
        <v>AFFF 50 l s/ruedas</v>
      </c>
      <c r="B8" s="6" t="n">
        <f aca="false">PROY_Indexado!B10*PROY_Indexado!$B$52</f>
        <v>6.30998824029218</v>
      </c>
      <c r="C8" s="6" t="n">
        <f aca="false">PROY_Indexado!C10*PROY_Indexado!$B$52</f>
        <v>46.1490845807389</v>
      </c>
      <c r="D8" s="6" t="n">
        <f aca="false">PROY_Indexado!D10*PROY_Indexado!$B$52</f>
        <v>91.1984422881729</v>
      </c>
      <c r="E8" s="6" t="n">
        <f aca="false">PROY_Indexado!E10*PROY_Indexado!$B$52</f>
        <v>156.009218267227</v>
      </c>
      <c r="F8" s="6" t="n">
        <f aca="false">PROY_Indexado!F10*PROY_Indexado!$B$52</f>
        <v>221.199315137235</v>
      </c>
      <c r="G8" s="6" t="n">
        <f aca="false">PROY_Indexado!G10*PROY_Indexado!$B$52</f>
        <v>285.315535180606</v>
      </c>
      <c r="H8" s="6" t="n">
        <f aca="false">PROY_Indexado!H10*PROY_Indexado!$B$52</f>
        <v>348.829239583597</v>
      </c>
      <c r="I8" s="6" t="n">
        <f aca="false">PROY_Indexado!I10*PROY_Indexado!$B$52</f>
        <v>394.362252179898</v>
      </c>
      <c r="J8" s="6" t="n">
        <f aca="false">PROY_Indexado!J10*PROY_Indexado!$B$52</f>
        <v>428.871654691993</v>
      </c>
      <c r="K8" s="6" t="n">
        <f aca="false">PROY_Indexado!K10*PROY_Indexado!$B$52</f>
        <v>463.773030017405</v>
      </c>
    </row>
    <row r="9" customFormat="false" ht="15" hidden="false" customHeight="false" outlineLevel="0" collapsed="false">
      <c r="A9" s="9" t="str">
        <f aca="false">PROY_Indexado!A11</f>
        <v>BC 5 kg</v>
      </c>
      <c r="B9" s="6" t="n">
        <f aca="false">PROY_Indexado!B11*PROY_Indexado!$B$52</f>
        <v>3.78599294417531</v>
      </c>
      <c r="C9" s="6" t="n">
        <f aca="false">PROY_Indexado!C11*PROY_Indexado!$B$52</f>
        <v>26.1029697754505</v>
      </c>
      <c r="D9" s="6" t="n">
        <f aca="false">PROY_Indexado!D11*PROY_Indexado!$B$52</f>
        <v>49.2910799264256</v>
      </c>
      <c r="E9" s="6" t="n">
        <f aca="false">PROY_Indexado!E11*PROY_Indexado!$B$52</f>
        <v>88.4472796632196</v>
      </c>
      <c r="F9" s="6" t="n">
        <f aca="false">PROY_Indexado!F11*PROY_Indexado!$B$52</f>
        <v>121.881332544252</v>
      </c>
      <c r="G9" s="6" t="n">
        <f aca="false">PROY_Indexado!G11*PROY_Indexado!$B$52</f>
        <v>161.847594678341</v>
      </c>
      <c r="H9" s="6" t="n">
        <f aca="false">PROY_Indexado!H11*PROY_Indexado!$B$52</f>
        <v>204.531372288667</v>
      </c>
      <c r="I9" s="6" t="n">
        <f aca="false">PROY_Indexado!I11*PROY_Indexado!$B$52</f>
        <v>226.470825981982</v>
      </c>
      <c r="J9" s="6" t="n">
        <f aca="false">PROY_Indexado!J11*PROY_Indexado!$B$52</f>
        <v>247.194887193214</v>
      </c>
      <c r="K9" s="6" t="n">
        <f aca="false">PROY_Indexado!K11*PROY_Indexado!$B$52</f>
        <v>268.09876141114</v>
      </c>
    </row>
    <row r="10" customFormat="false" ht="15" hidden="false" customHeight="false" outlineLevel="0" collapsed="false">
      <c r="A10" s="9" t="str">
        <f aca="false">PROY_Indexado!A12</f>
        <v>Sales K 6 l</v>
      </c>
      <c r="B10" s="6" t="n">
        <f aca="false">PROY_Indexado!B12*PROY_Indexado!$B$52</f>
        <v>45.4319169936629</v>
      </c>
      <c r="C10" s="6" t="n">
        <f aca="false">PROY_Indexado!C12*PROY_Indexado!$B$52</f>
        <v>185.985285501959</v>
      </c>
      <c r="D10" s="6" t="n">
        <f aca="false">PROY_Indexado!D12*PROY_Indexado!$B$52</f>
        <v>414.00352321421</v>
      </c>
      <c r="E10" s="6" t="n">
        <f aca="false">PROY_Indexado!E12*PROY_Indexado!$B$52</f>
        <v>753.536782804492</v>
      </c>
      <c r="F10" s="6" t="n">
        <f aca="false">PROY_Indexado!F12*PROY_Indexado!$B$52</f>
        <v>1087.48281240957</v>
      </c>
      <c r="G10" s="6" t="n">
        <f aca="false">PROY_Indexado!G12*PROY_Indexado!$B$52</f>
        <v>1440.94250530308</v>
      </c>
      <c r="H10" s="6" t="n">
        <f aca="false">PROY_Indexado!H12*PROY_Indexado!$B$52</f>
        <v>1772.94570846055</v>
      </c>
      <c r="I10" s="6" t="n">
        <f aca="false">PROY_Indexado!I12*PROY_Indexado!$B$52</f>
        <v>1984.37076256639</v>
      </c>
      <c r="J10" s="6" t="n">
        <f aca="false">PROY_Indexado!J12*PROY_Indexado!$B$52</f>
        <v>2146.40616864414</v>
      </c>
      <c r="K10" s="6" t="n">
        <f aca="false">PROY_Indexado!K12*PROY_Indexado!$B$52</f>
        <v>2310.99407344162</v>
      </c>
    </row>
    <row r="11" customFormat="false" ht="15" hidden="false" customHeight="false" outlineLevel="0" collapsed="false">
      <c r="A11" s="9" t="str">
        <f aca="false">PROY_Indexado!A13</f>
        <v>CO₂ 2 kg</v>
      </c>
      <c r="B11" s="6" t="n">
        <f aca="false">PROY_Indexado!B13*PROY_Indexado!$B$52</f>
        <v>249.875543742406</v>
      </c>
      <c r="C11" s="6" t="n">
        <f aca="false">PROY_Indexado!C13*PROY_Indexado!$B$52</f>
        <v>941.120636700713</v>
      </c>
      <c r="D11" s="6" t="n">
        <f aca="false">PROY_Indexado!D13*PROY_Indexado!$B$52</f>
        <v>2193.23472899626</v>
      </c>
      <c r="E11" s="6" t="n">
        <f aca="false">PROY_Indexado!E13*PROY_Indexado!$B$52</f>
        <v>4192.86810394653</v>
      </c>
      <c r="F11" s="6" t="n">
        <f aca="false">PROY_Indexado!F13*PROY_Indexado!$B$52</f>
        <v>6055.43584879139</v>
      </c>
      <c r="G11" s="6" t="n">
        <f aca="false">PROY_Indexado!G13*PROY_Indexado!$B$52</f>
        <v>8048.79036235787</v>
      </c>
      <c r="H11" s="6" t="n">
        <f aca="false">PROY_Indexado!H13*PROY_Indexado!$B$52</f>
        <v>9840.78414158944</v>
      </c>
      <c r="I11" s="6" t="n">
        <f aca="false">PROY_Indexado!I13*PROY_Indexado!$B$52</f>
        <v>10878.1276496269</v>
      </c>
      <c r="J11" s="6" t="n">
        <f aca="false">PROY_Indexado!J13*PROY_Indexado!$B$52</f>
        <v>11734.6392764024</v>
      </c>
      <c r="K11" s="6" t="n">
        <f aca="false">PROY_Indexado!K13*PROY_Indexado!$B$52</f>
        <v>12606.7299522508</v>
      </c>
    </row>
    <row r="12" customFormat="false" ht="15" hidden="false" customHeight="false" outlineLevel="0" collapsed="false">
      <c r="A12" s="9" t="str">
        <f aca="false">PROY_Indexado!A14</f>
        <v>CO₂ 5 kg</v>
      </c>
      <c r="B12" s="6" t="n">
        <f aca="false">PROY_Indexado!B14*PROY_Indexado!$B$52</f>
        <v>69.4098734158127</v>
      </c>
      <c r="C12" s="6" t="n">
        <f aca="false">PROY_Indexado!C14*PROY_Indexado!$B$52</f>
        <v>356.90574527503</v>
      </c>
      <c r="D12" s="6" t="n">
        <f aca="false">PROY_Indexado!D14*PROY_Indexado!$B$52</f>
        <v>762.812169043744</v>
      </c>
      <c r="E12" s="6" t="n">
        <f aca="false">PROY_Indexado!E14*PROY_Indexado!$B$52</f>
        <v>1364.27618824758</v>
      </c>
      <c r="F12" s="6" t="n">
        <f aca="false">PROY_Indexado!F14*PROY_Indexado!$B$52</f>
        <v>1965.91536471038</v>
      </c>
      <c r="G12" s="6" t="n">
        <f aca="false">PROY_Indexado!G14*PROY_Indexado!$B$52</f>
        <v>2619.25279516781</v>
      </c>
      <c r="H12" s="6" t="n">
        <f aca="false">PROY_Indexado!H14*PROY_Indexado!$B$52</f>
        <v>3246.10597084992</v>
      </c>
      <c r="I12" s="6" t="n">
        <f aca="false">PROY_Indexado!I14*PROY_Indexado!$B$52</f>
        <v>3664.5214632698</v>
      </c>
      <c r="J12" s="6" t="n">
        <f aca="false">PROY_Indexado!J14*PROY_Indexado!$B$52</f>
        <v>3984.61714411598</v>
      </c>
      <c r="K12" s="6" t="n">
        <f aca="false">PROY_Indexado!K14*PROY_Indexado!$B$52</f>
        <v>4308.38387982745</v>
      </c>
    </row>
    <row r="13" customFormat="false" ht="15" hidden="false" customHeight="false" outlineLevel="0" collapsed="false">
      <c r="A13" s="9" t="str">
        <f aca="false">PROY_Indexado!A15</f>
        <v>HCFC/HFC 5 kg</v>
      </c>
      <c r="B13" s="6" t="n">
        <f aca="false">PROY_Indexado!B15*PROY_Indexado!$B$52</f>
        <v>10.0959817389872</v>
      </c>
      <c r="C13" s="6" t="n">
        <f aca="false">PROY_Indexado!C15*PROY_Indexado!$B$52</f>
        <v>62.1478673886256</v>
      </c>
      <c r="D13" s="6" t="n">
        <f aca="false">PROY_Indexado!D15*PROY_Indexado!$B$52</f>
        <v>128.01312253933</v>
      </c>
      <c r="E13" s="6" t="n">
        <f aca="false">PROY_Indexado!E15*PROY_Indexado!$B$52</f>
        <v>222.204562382906</v>
      </c>
      <c r="F13" s="6" t="n">
        <f aca="false">PROY_Indexado!F15*PROY_Indexado!$B$52</f>
        <v>318.575909152296</v>
      </c>
      <c r="G13" s="6" t="n">
        <f aca="false">PROY_Indexado!G15*PROY_Indexado!$B$52</f>
        <v>418.299537906318</v>
      </c>
      <c r="H13" s="6" t="n">
        <f aca="false">PROY_Indexado!H15*PROY_Indexado!$B$52</f>
        <v>523.937332056768</v>
      </c>
      <c r="I13" s="6" t="n">
        <f aca="false">PROY_Indexado!I15*PROY_Indexado!$B$52</f>
        <v>594.575289802447</v>
      </c>
      <c r="J13" s="6" t="n">
        <f aca="false">PROY_Indexado!J15*PROY_Indexado!$B$52</f>
        <v>649.728423023799</v>
      </c>
      <c r="K13" s="6" t="n">
        <f aca="false">PROY_Indexado!K15*PROY_Indexado!$B$52</f>
        <v>705.316446113659</v>
      </c>
    </row>
    <row r="14" customFormat="false" ht="15" hidden="false" customHeight="false" outlineLevel="0" collapsed="false">
      <c r="A14" s="9" t="str">
        <f aca="false">PROY_Indexado!A16</f>
        <v>Clase D 9 l</v>
      </c>
      <c r="B14" s="6" t="n">
        <f aca="false">PROY_Indexado!B16*PROY_Indexado!$B$52</f>
        <v>3.78599294417531</v>
      </c>
      <c r="C14" s="6" t="n">
        <f aca="false">PROY_Indexado!C16*PROY_Indexado!$B$52</f>
        <v>26.1029697754505</v>
      </c>
      <c r="D14" s="6" t="n">
        <f aca="false">PROY_Indexado!D16*PROY_Indexado!$B$52</f>
        <v>49.2910799264256</v>
      </c>
      <c r="E14" s="6" t="n">
        <f aca="false">PROY_Indexado!E16*PROY_Indexado!$B$52</f>
        <v>82.2237332869456</v>
      </c>
      <c r="F14" s="6" t="n">
        <f aca="false">PROY_Indexado!F16*PROY_Indexado!$B$52</f>
        <v>113.801897325038</v>
      </c>
      <c r="G14" s="6" t="n">
        <f aca="false">PROY_Indexado!G16*PROY_Indexado!$B$52</f>
        <v>141.826821425121</v>
      </c>
      <c r="H14" s="6" t="n">
        <f aca="false">PROY_Indexado!H16*PROY_Indexado!$B$52</f>
        <v>182.114209267126</v>
      </c>
      <c r="I14" s="6" t="n">
        <f aca="false">PROY_Indexado!I16*PROY_Indexado!$B$52</f>
        <v>203.457767731223</v>
      </c>
      <c r="J14" s="6" t="n">
        <f aca="false">PROY_Indexado!J16*PROY_Indexado!$B$52</f>
        <v>222.740435286546</v>
      </c>
      <c r="K14" s="6" t="n">
        <f aca="false">PROY_Indexado!K16*PROY_Indexado!$B$52</f>
        <v>242.151440335721</v>
      </c>
    </row>
    <row r="15" customFormat="false" ht="15" hidden="false" customHeight="false" outlineLevel="0" collapsed="false">
      <c r="A15" s="9" t="str">
        <f aca="false">PROY_Indexado!A17</f>
        <v>ABC 25 kg s/ruedas</v>
      </c>
      <c r="B15" s="6" t="n">
        <f aca="false">PROY_Indexado!B17*PROY_Indexado!$B$52</f>
        <v>9.78048218834269</v>
      </c>
      <c r="C15" s="6" t="n">
        <f aca="false">PROY_Indexado!C17*PROY_Indexado!$B$52</f>
        <v>47.6819429404605</v>
      </c>
      <c r="D15" s="6" t="n">
        <f aca="false">PROY_Indexado!D17*PROY_Indexado!$B$52</f>
        <v>103.622863501196</v>
      </c>
      <c r="E15" s="6" t="n">
        <f aca="false">PROY_Indexado!E17*PROY_Indexado!$B$52</f>
        <v>186.642261634937</v>
      </c>
      <c r="F15" s="6" t="n">
        <f aca="false">PROY_Indexado!F17*PROY_Indexado!$B$52</f>
        <v>268.461081835939</v>
      </c>
      <c r="G15" s="6" t="n">
        <f aca="false">PROY_Indexado!G17*PROY_Indexado!$B$52</f>
        <v>356.678399945357</v>
      </c>
      <c r="H15" s="6" t="n">
        <f aca="false">PROY_Indexado!H17*PROY_Indexado!$B$52</f>
        <v>439.419042669912</v>
      </c>
      <c r="I15" s="6" t="n">
        <f aca="false">PROY_Indexado!I17*PROY_Indexado!$B$52</f>
        <v>493.343849790791</v>
      </c>
      <c r="J15" s="6" t="n">
        <f aca="false">PROY_Indexado!J17*PROY_Indexado!$B$52</f>
        <v>535.284064674469</v>
      </c>
      <c r="K15" s="6" t="n">
        <f aca="false">PROY_Indexado!K17*PROY_Indexado!$B$52</f>
        <v>577.776131502584</v>
      </c>
    </row>
    <row r="16" customFormat="false" ht="15" hidden="false" customHeight="false" outlineLevel="0" collapsed="false">
      <c r="A16" s="9" t="str">
        <f aca="false">PROY_Indexado!A18</f>
        <v>ABC 50 kg s/ruedas</v>
      </c>
      <c r="B16" s="6" t="n">
        <f aca="false">PROY_Indexado!B18*PROY_Indexado!$B$52</f>
        <v>21.5170604816421</v>
      </c>
      <c r="C16" s="6" t="n">
        <f aca="false">PROY_Indexado!C18*PROY_Indexado!$B$52</f>
        <v>104.900275134437</v>
      </c>
      <c r="D16" s="6" t="n">
        <f aca="false">PROY_Indexado!D18*PROY_Indexado!$B$52</f>
        <v>227.970300035343</v>
      </c>
      <c r="E16" s="6" t="n">
        <f aca="false">PROY_Indexado!E18*PROY_Indexado!$B$52</f>
        <v>410.612975485956</v>
      </c>
      <c r="F16" s="6" t="n">
        <f aca="false">PROY_Indexado!F18*PROY_Indexado!$B$52</f>
        <v>590.614379706353</v>
      </c>
      <c r="G16" s="6" t="n">
        <f aca="false">PROY_Indexado!G18*PROY_Indexado!$B$52</f>
        <v>784.692480434306</v>
      </c>
      <c r="H16" s="6" t="n">
        <f aca="false">PROY_Indexado!H18*PROY_Indexado!$B$52</f>
        <v>966.721894206519</v>
      </c>
      <c r="I16" s="6" t="n">
        <f aca="false">PROY_Indexado!I18*PROY_Indexado!$B$52</f>
        <v>1085.35646931793</v>
      </c>
      <c r="J16" s="6" t="n">
        <f aca="false">PROY_Indexado!J18*PROY_Indexado!$B$52</f>
        <v>1177.62494172931</v>
      </c>
      <c r="K16" s="6" t="n">
        <f aca="false">PROY_Indexado!K18*PROY_Indexado!$B$52</f>
        <v>1271.10748852936</v>
      </c>
    </row>
    <row r="17" customFormat="false" ht="15" hidden="false" customHeight="false" outlineLevel="0" collapsed="false">
      <c r="A17" s="9" t="str">
        <f aca="false">PROY_Indexado!A19</f>
        <v>ABC 70 kg s/ruedas</v>
      </c>
      <c r="B17" s="6" t="n">
        <f aca="false">PROY_Indexado!B19*PROY_Indexado!$B$52</f>
        <v>4.69463120641581</v>
      </c>
      <c r="C17" s="6" t="n">
        <f aca="false">PROY_Indexado!C19*PROY_Indexado!$B$52</f>
        <v>22.8873325448787</v>
      </c>
      <c r="D17" s="6" t="n">
        <f aca="false">PROY_Indexado!D19*PROY_Indexado!$B$52</f>
        <v>49.7389743918509</v>
      </c>
      <c r="E17" s="6" t="n">
        <f aca="false">PROY_Indexado!E19*PROY_Indexado!$B$52</f>
        <v>89.588285540408</v>
      </c>
      <c r="F17" s="6" t="n">
        <f aca="false">PROY_Indexado!F19*PROY_Indexado!$B$52</f>
        <v>128.86131925907</v>
      </c>
      <c r="G17" s="6" t="n">
        <f aca="false">PROY_Indexado!G19*PROY_Indexado!$B$52</f>
        <v>171.205632084676</v>
      </c>
      <c r="H17" s="6" t="n">
        <f aca="false">PROY_Indexado!H19*PROY_Indexado!$B$52</f>
        <v>210.921140392835</v>
      </c>
      <c r="I17" s="6" t="n">
        <f aca="false">PROY_Indexado!I19*PROY_Indexado!$B$52</f>
        <v>236.805047699952</v>
      </c>
      <c r="J17" s="6" t="n">
        <f aca="false">PROY_Indexado!J19*PROY_Indexado!$B$52</f>
        <v>256.936351154649</v>
      </c>
      <c r="K17" s="6" t="n">
        <f aca="false">PROY_Indexado!K19*PROY_Indexado!$B$52</f>
        <v>277.332543143421</v>
      </c>
    </row>
    <row r="18" customFormat="false" ht="15" hidden="false" customHeight="false" outlineLevel="0" collapsed="false">
      <c r="A18" s="9" t="str">
        <f aca="false">PROY_Indexado!A20</f>
        <v>ABC 100 kg s/ruedas</v>
      </c>
      <c r="B18" s="6" t="n">
        <f aca="false">PROY_Indexado!B20*PROY_Indexado!$B$52</f>
        <v>3.12975432245045</v>
      </c>
      <c r="C18" s="6" t="n">
        <f aca="false">PROY_Indexado!C20*PROY_Indexado!$B$52</f>
        <v>15.2582216965858</v>
      </c>
      <c r="D18" s="6" t="n">
        <f aca="false">PROY_Indexado!D20*PROY_Indexado!$B$52</f>
        <v>33.1593166309138</v>
      </c>
      <c r="E18" s="6" t="n">
        <f aca="false">PROY_Indexado!E20*PROY_Indexado!$B$52</f>
        <v>59.7255238784452</v>
      </c>
      <c r="F18" s="6" t="n">
        <f aca="false">PROY_Indexado!F20*PROY_Indexado!$B$52</f>
        <v>85.9075459878733</v>
      </c>
      <c r="G18" s="6" t="n">
        <f aca="false">PROY_Indexado!G20*PROY_Indexado!$B$52</f>
        <v>114.13708787161</v>
      </c>
      <c r="H18" s="6" t="n">
        <f aca="false">PROY_Indexado!H20*PROY_Indexado!$B$52</f>
        <v>140.614093964903</v>
      </c>
      <c r="I18" s="6" t="n">
        <f aca="false">PROY_Indexado!I20*PROY_Indexado!$B$52</f>
        <v>157.870031799968</v>
      </c>
      <c r="J18" s="6" t="n">
        <f aca="false">PROY_Indexado!J20*PROY_Indexado!$B$52</f>
        <v>171.290900584926</v>
      </c>
      <c r="K18" s="6" t="n">
        <f aca="false">PROY_Indexado!K20*PROY_Indexado!$B$52</f>
        <v>184.888361725934</v>
      </c>
    </row>
    <row r="19" customFormat="false" ht="15" hidden="false" customHeight="false" outlineLevel="0" collapsed="false">
      <c r="A19" s="4" t="s">
        <v>88</v>
      </c>
      <c r="B19" s="7" t="n">
        <f aca="false">SUM(B2:B18)</f>
        <v>3787.25508488946</v>
      </c>
      <c r="C19" s="7" t="n">
        <f aca="false">SUM(C2:C18)</f>
        <v>17003.0618144053</v>
      </c>
      <c r="D19" s="7" t="n">
        <f aca="false">SUM(D2:D18)</f>
        <v>34093.569268379</v>
      </c>
      <c r="E19" s="7" t="n">
        <f aca="false">SUM(E2:E18)</f>
        <v>63243.417305399</v>
      </c>
      <c r="F19" s="7" t="n">
        <f aca="false">SUM(F2:F18)</f>
        <v>93087.4480469466</v>
      </c>
      <c r="G19" s="7" t="n">
        <f aca="false">SUM(G2:G18)</f>
        <v>126702.275089835</v>
      </c>
      <c r="H19" s="7" t="n">
        <f aca="false">SUM(H2:H18)</f>
        <v>157360.381676748</v>
      </c>
      <c r="I19" s="7" t="n">
        <f aca="false">SUM(I2:I18)</f>
        <v>178894.854106472</v>
      </c>
      <c r="J19" s="7" t="n">
        <f aca="false">SUM(J2:J18)</f>
        <v>192420.409708072</v>
      </c>
      <c r="K19" s="7" t="n">
        <f aca="false">SUM(K2:K18)</f>
        <v>206230.154921913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12" min="4"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s>
  <sheetData>
    <row r="1" customFormat="false" ht="15" hidden="false" customHeight="true" outlineLevel="0" collapsed="false">
      <c r="A1" s="3" t="s">
        <v>89</v>
      </c>
      <c r="B1" s="3" t="s">
        <v>62</v>
      </c>
      <c r="C1" s="3" t="s">
        <v>90</v>
      </c>
      <c r="D1" s="3"/>
      <c r="E1" s="3"/>
      <c r="F1" s="3"/>
      <c r="G1" s="3"/>
      <c r="H1" s="3"/>
      <c r="I1" s="3"/>
      <c r="J1" s="3"/>
      <c r="K1" s="3"/>
      <c r="L1" s="3"/>
      <c r="M1" s="3"/>
      <c r="N1" s="3"/>
      <c r="O1" s="3"/>
      <c r="P1" s="3"/>
      <c r="Q1" s="3"/>
    </row>
    <row r="2" customFormat="false" ht="15" hidden="false" customHeight="true" outlineLevel="0" collapsed="false">
      <c r="A2" s="5" t="s">
        <v>91</v>
      </c>
      <c r="B2" s="11" t="n">
        <v>20</v>
      </c>
      <c r="C2" s="5" t="s">
        <v>92</v>
      </c>
      <c r="D2" s="5"/>
      <c r="E2" s="5"/>
      <c r="F2" s="5"/>
      <c r="G2" s="5"/>
      <c r="H2" s="5"/>
      <c r="I2" s="5"/>
      <c r="J2" s="5"/>
      <c r="K2" s="5"/>
      <c r="L2" s="5"/>
      <c r="M2" s="5"/>
      <c r="N2" s="5"/>
      <c r="O2" s="5"/>
      <c r="P2" s="5"/>
      <c r="Q2" s="5"/>
    </row>
    <row r="3" customFormat="false" ht="15" hidden="false" customHeight="false" outlineLevel="0" collapsed="false">
      <c r="A3" s="5" t="s">
        <v>93</v>
      </c>
      <c r="B3" s="11" t="n">
        <v>8</v>
      </c>
      <c r="C3" s="5"/>
      <c r="D3" s="5"/>
      <c r="E3" s="5"/>
      <c r="F3" s="5"/>
      <c r="G3" s="5"/>
      <c r="H3" s="5"/>
      <c r="I3" s="5"/>
      <c r="J3" s="5"/>
      <c r="K3" s="5"/>
      <c r="L3" s="5"/>
      <c r="M3" s="5"/>
      <c r="N3" s="5"/>
      <c r="O3" s="5"/>
      <c r="P3" s="5"/>
      <c r="Q3" s="5"/>
    </row>
    <row r="4" customFormat="false" ht="15" hidden="false" customHeight="false" outlineLevel="0" collapsed="false">
      <c r="A4" s="5" t="s">
        <v>94</v>
      </c>
      <c r="B4" s="11" t="n">
        <v>30</v>
      </c>
      <c r="C4" s="5"/>
      <c r="D4" s="5"/>
      <c r="E4" s="5"/>
      <c r="F4" s="5"/>
      <c r="G4" s="5"/>
      <c r="H4" s="5"/>
      <c r="I4" s="5"/>
      <c r="J4" s="5"/>
      <c r="K4" s="5"/>
      <c r="L4" s="5"/>
      <c r="M4" s="5"/>
      <c r="N4" s="5"/>
      <c r="O4" s="5"/>
      <c r="P4" s="5"/>
      <c r="Q4" s="5"/>
    </row>
    <row r="5" customFormat="false" ht="15" hidden="false" customHeight="false" outlineLevel="0" collapsed="false">
      <c r="A5" s="5" t="s">
        <v>95</v>
      </c>
      <c r="B5" s="12"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3"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4" t="n">
        <v>0.9</v>
      </c>
      <c r="C7" s="5" t="s">
        <v>98</v>
      </c>
      <c r="D7" s="5"/>
      <c r="E7" s="5"/>
      <c r="F7" s="5"/>
      <c r="G7" s="5"/>
      <c r="H7" s="5"/>
      <c r="I7" s="5"/>
      <c r="J7" s="5"/>
      <c r="K7" s="5"/>
      <c r="L7" s="5"/>
      <c r="M7" s="5"/>
      <c r="N7" s="5"/>
      <c r="O7" s="5"/>
      <c r="P7" s="5"/>
      <c r="Q7" s="5"/>
    </row>
    <row r="8" customFormat="false" ht="15" hidden="false" customHeight="true" outlineLevel="0" collapsed="false">
      <c r="A8" s="5" t="s">
        <v>99</v>
      </c>
      <c r="B8" s="11" t="n">
        <v>2</v>
      </c>
      <c r="C8" s="5" t="s">
        <v>100</v>
      </c>
      <c r="D8" s="5"/>
      <c r="E8" s="5"/>
      <c r="F8" s="5"/>
      <c r="G8" s="5"/>
      <c r="H8" s="5"/>
      <c r="I8" s="5"/>
      <c r="J8" s="5"/>
      <c r="K8" s="5"/>
      <c r="L8" s="5"/>
      <c r="M8" s="5"/>
      <c r="N8" s="5"/>
      <c r="O8" s="5"/>
      <c r="P8" s="5"/>
      <c r="Q8" s="5"/>
    </row>
    <row r="9" customFormat="false" ht="15" hidden="false" customHeight="true" outlineLevel="0" collapsed="false">
      <c r="A9" s="5" t="s">
        <v>101</v>
      </c>
      <c r="B9" s="11" t="n">
        <v>3</v>
      </c>
      <c r="C9" s="5" t="s">
        <v>102</v>
      </c>
      <c r="D9" s="5"/>
      <c r="E9" s="5"/>
      <c r="F9" s="5"/>
      <c r="G9" s="5"/>
      <c r="H9" s="5"/>
      <c r="I9" s="5"/>
      <c r="J9" s="5"/>
      <c r="K9" s="5"/>
      <c r="L9" s="5"/>
      <c r="M9" s="5"/>
      <c r="N9" s="5"/>
      <c r="O9" s="5"/>
      <c r="P9" s="5"/>
      <c r="Q9" s="5"/>
    </row>
    <row r="10" customFormat="false" ht="15" hidden="false" customHeight="true" outlineLevel="0" collapsed="false">
      <c r="A10" s="5" t="s">
        <v>103</v>
      </c>
      <c r="B10" s="11"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3" t="s">
        <v>89</v>
      </c>
      <c r="B12" s="3" t="s">
        <v>62</v>
      </c>
      <c r="C12" s="3" t="s">
        <v>90</v>
      </c>
      <c r="D12" s="3"/>
      <c r="E12" s="3"/>
      <c r="F12" s="3"/>
      <c r="G12" s="3"/>
      <c r="H12" s="3"/>
      <c r="I12" s="3"/>
      <c r="J12" s="3"/>
      <c r="K12" s="3"/>
      <c r="L12" s="3"/>
      <c r="M12" s="3"/>
      <c r="N12" s="3"/>
      <c r="O12" s="3"/>
      <c r="P12" s="3"/>
      <c r="Q12" s="3"/>
    </row>
    <row r="13" customFormat="false" ht="15" hidden="false" customHeight="true" outlineLevel="0" collapsed="false">
      <c r="A13" s="5" t="s">
        <v>106</v>
      </c>
      <c r="B13" s="11" t="n">
        <v>5</v>
      </c>
      <c r="C13" s="5" t="s">
        <v>107</v>
      </c>
      <c r="D13" s="5"/>
      <c r="E13" s="5"/>
      <c r="F13" s="5"/>
      <c r="G13" s="5"/>
      <c r="H13" s="5"/>
      <c r="I13" s="5"/>
      <c r="J13" s="5"/>
      <c r="K13" s="5"/>
      <c r="L13" s="5"/>
      <c r="M13" s="5"/>
      <c r="N13" s="5"/>
      <c r="O13" s="5"/>
      <c r="P13" s="5"/>
      <c r="Q13" s="5"/>
    </row>
    <row r="14" customFormat="false" ht="15" hidden="false" customHeight="true" outlineLevel="0" collapsed="false">
      <c r="A14" s="5" t="s">
        <v>108</v>
      </c>
      <c r="B14" s="11" t="n">
        <v>2</v>
      </c>
      <c r="C14" s="5" t="s">
        <v>109</v>
      </c>
      <c r="D14" s="5"/>
      <c r="E14" s="5"/>
      <c r="F14" s="5"/>
      <c r="G14" s="5"/>
      <c r="H14" s="5"/>
      <c r="I14" s="5"/>
      <c r="J14" s="5"/>
      <c r="K14" s="5"/>
      <c r="L14" s="5"/>
      <c r="M14" s="5"/>
      <c r="N14" s="5"/>
      <c r="O14" s="5"/>
      <c r="P14" s="5"/>
      <c r="Q14" s="5"/>
    </row>
    <row r="15" customFormat="false" ht="15" hidden="false" customHeight="true" outlineLevel="0" collapsed="false">
      <c r="A15" s="5" t="s">
        <v>110</v>
      </c>
      <c r="B15" s="10" t="n">
        <f aca="false">1/B13</f>
        <v>0.2</v>
      </c>
      <c r="C15" s="5" t="s">
        <v>111</v>
      </c>
      <c r="D15" s="5"/>
      <c r="E15" s="5"/>
      <c r="F15" s="5"/>
      <c r="G15" s="5"/>
      <c r="H15" s="5"/>
      <c r="I15" s="5"/>
      <c r="J15" s="5"/>
      <c r="K15" s="5"/>
      <c r="L15" s="5"/>
      <c r="M15" s="5"/>
      <c r="N15" s="5"/>
      <c r="O15" s="5"/>
      <c r="P15" s="5"/>
      <c r="Q15" s="5"/>
    </row>
    <row r="16" customFormat="false" ht="15" hidden="false" customHeight="true" outlineLevel="0" collapsed="false">
      <c r="A16" s="5" t="s">
        <v>112</v>
      </c>
      <c r="B16" s="10" t="n">
        <f aca="false">1/B14</f>
        <v>0.5</v>
      </c>
      <c r="C16" s="5" t="s">
        <v>113</v>
      </c>
      <c r="D16" s="5"/>
      <c r="E16" s="5"/>
      <c r="F16" s="5"/>
      <c r="G16" s="5"/>
      <c r="H16" s="5"/>
      <c r="I16" s="5"/>
      <c r="J16" s="5"/>
      <c r="K16" s="5"/>
      <c r="L16" s="5"/>
      <c r="M16" s="5"/>
      <c r="N16" s="5"/>
      <c r="O16" s="5"/>
      <c r="P16" s="5"/>
      <c r="Q16" s="5"/>
    </row>
    <row r="17" customFormat="false" ht="15" hidden="false" customHeight="true" outlineLevel="0" collapsed="false">
      <c r="A17" s="5" t="s">
        <v>114</v>
      </c>
      <c r="B17" s="11" t="n">
        <v>30</v>
      </c>
      <c r="C17" s="5" t="s">
        <v>115</v>
      </c>
      <c r="D17" s="5"/>
      <c r="E17" s="5"/>
      <c r="F17" s="5"/>
      <c r="G17" s="5"/>
      <c r="H17" s="5"/>
      <c r="I17" s="5"/>
      <c r="J17" s="5"/>
      <c r="K17" s="5"/>
      <c r="L17" s="5"/>
      <c r="M17" s="5"/>
      <c r="N17" s="5"/>
      <c r="O17" s="5"/>
      <c r="P17" s="5"/>
      <c r="Q17" s="5"/>
    </row>
    <row r="18" customFormat="false" ht="15" hidden="false" customHeight="true" outlineLevel="0" collapsed="false">
      <c r="A18" s="5" t="s">
        <v>116</v>
      </c>
      <c r="B18" s="11" t="n">
        <v>20</v>
      </c>
      <c r="C18" s="5" t="s">
        <v>117</v>
      </c>
      <c r="D18" s="5"/>
      <c r="E18" s="5"/>
      <c r="F18" s="5"/>
      <c r="G18" s="5"/>
      <c r="H18" s="5"/>
      <c r="I18" s="5"/>
      <c r="J18" s="5"/>
      <c r="K18" s="5"/>
      <c r="L18" s="5"/>
      <c r="M18" s="5"/>
      <c r="N18" s="5"/>
      <c r="O18" s="5"/>
      <c r="P18" s="5"/>
      <c r="Q18" s="5"/>
    </row>
    <row r="19" customFormat="false" ht="15" hidden="false" customHeight="true" outlineLevel="0" collapsed="false">
      <c r="A19" s="5" t="s">
        <v>118</v>
      </c>
      <c r="B19" s="10" t="n">
        <f aca="false">1/B17</f>
        <v>0.0333333333333333</v>
      </c>
      <c r="C19" s="5" t="s">
        <v>119</v>
      </c>
      <c r="D19" s="5"/>
      <c r="E19" s="5"/>
      <c r="F19" s="5"/>
      <c r="G19" s="5"/>
      <c r="H19" s="5"/>
      <c r="I19" s="5"/>
      <c r="J19" s="5"/>
      <c r="K19" s="5"/>
      <c r="L19" s="5"/>
      <c r="M19" s="5"/>
      <c r="N19" s="5"/>
      <c r="O19" s="5"/>
      <c r="P19" s="5"/>
      <c r="Q19" s="5"/>
    </row>
    <row r="20" customFormat="false" ht="15" hidden="false" customHeight="true" outlineLevel="0" collapsed="false">
      <c r="A20" s="5" t="s">
        <v>120</v>
      </c>
      <c r="B20" s="10" t="n">
        <f aca="false">1/B18</f>
        <v>0.05</v>
      </c>
      <c r="C20" s="5" t="s">
        <v>121</v>
      </c>
      <c r="D20" s="5"/>
      <c r="E20" s="5"/>
      <c r="F20" s="5"/>
      <c r="G20" s="5"/>
      <c r="H20" s="5"/>
      <c r="I20" s="5"/>
      <c r="J20" s="5"/>
      <c r="K20" s="5"/>
      <c r="L20" s="5"/>
      <c r="M20" s="5"/>
      <c r="N20" s="5"/>
      <c r="O20" s="5"/>
      <c r="P20" s="5"/>
      <c r="Q20" s="5"/>
    </row>
    <row r="21" customFormat="false" ht="15" hidden="false" customHeight="true" outlineLevel="0" collapsed="false">
      <c r="A21" s="5" t="s">
        <v>122</v>
      </c>
      <c r="B21" s="10" t="n">
        <f aca="false">PROY_Indexado!B47</f>
        <v>0.02</v>
      </c>
      <c r="C21" s="5" t="s">
        <v>123</v>
      </c>
      <c r="D21" s="5"/>
      <c r="E21" s="5"/>
      <c r="F21" s="5"/>
      <c r="G21" s="5"/>
      <c r="H21" s="5"/>
      <c r="I21" s="5"/>
      <c r="J21" s="5"/>
      <c r="K21" s="5"/>
      <c r="L21" s="5"/>
      <c r="M21" s="5"/>
      <c r="N21" s="5"/>
      <c r="O21" s="5"/>
      <c r="P21" s="5"/>
      <c r="Q21" s="5"/>
    </row>
    <row r="22" customFormat="false" ht="15" hidden="false" customHeight="true" outlineLevel="0" collapsed="false">
      <c r="A22" s="5" t="s">
        <v>124</v>
      </c>
      <c r="B22" s="10" t="n">
        <f aca="false">PROY_Indexado!B48</f>
        <v>0.01</v>
      </c>
      <c r="C22" s="5" t="s">
        <v>125</v>
      </c>
      <c r="D22" s="5"/>
      <c r="E22" s="5"/>
      <c r="F22" s="5"/>
      <c r="G22" s="5"/>
      <c r="H22" s="5"/>
      <c r="I22" s="5"/>
      <c r="J22" s="5"/>
      <c r="K22" s="5"/>
      <c r="L22" s="5"/>
      <c r="M22" s="5"/>
      <c r="N22" s="5"/>
      <c r="O22" s="5"/>
      <c r="P22" s="5"/>
      <c r="Q22" s="5"/>
    </row>
    <row r="23" customFormat="false" ht="15" hidden="false" customHeight="true" outlineLevel="0" collapsed="false">
      <c r="A23" s="5" t="s">
        <v>126</v>
      </c>
      <c r="B23" s="10" t="n">
        <f aca="false">B19+B21+B22</f>
        <v>0.0633333333333333</v>
      </c>
      <c r="C23" s="5" t="s">
        <v>127</v>
      </c>
      <c r="D23" s="5"/>
      <c r="E23" s="5"/>
      <c r="F23" s="5"/>
      <c r="G23" s="5"/>
      <c r="H23" s="5"/>
      <c r="I23" s="5"/>
      <c r="J23" s="5"/>
      <c r="K23" s="5"/>
      <c r="L23" s="5"/>
      <c r="M23" s="5"/>
      <c r="N23" s="5"/>
      <c r="O23" s="5"/>
      <c r="P23" s="5"/>
      <c r="Q23" s="5"/>
    </row>
    <row r="24" customFormat="false" ht="15" hidden="false" customHeight="true" outlineLevel="0" collapsed="false">
      <c r="A24" s="5" t="s">
        <v>128</v>
      </c>
      <c r="B24" s="10" t="n">
        <f aca="false">B20+B21+B22</f>
        <v>0.08</v>
      </c>
      <c r="C24" s="5" t="s">
        <v>127</v>
      </c>
      <c r="D24" s="5"/>
      <c r="E24" s="5"/>
      <c r="F24" s="5"/>
      <c r="G24" s="5"/>
      <c r="H24" s="5"/>
      <c r="I24" s="5"/>
      <c r="J24" s="5"/>
      <c r="K24" s="5"/>
      <c r="L24" s="5"/>
      <c r="M24" s="5"/>
      <c r="N24" s="5"/>
      <c r="O24" s="5"/>
      <c r="P24" s="5"/>
      <c r="Q24" s="5"/>
    </row>
    <row r="25" customFormat="false" ht="15" hidden="false" customHeight="true" outlineLevel="0" collapsed="false">
      <c r="A25" s="5" t="s">
        <v>129</v>
      </c>
      <c r="B25" s="10" t="n">
        <f aca="false">PROY_Indexado!B46</f>
        <v>0.05</v>
      </c>
      <c r="C25" s="5" t="s">
        <v>130</v>
      </c>
      <c r="D25" s="5"/>
      <c r="E25" s="5"/>
      <c r="F25" s="5"/>
      <c r="G25" s="5"/>
      <c r="H25" s="5"/>
      <c r="I25" s="5"/>
      <c r="J25" s="5"/>
      <c r="K25" s="5"/>
      <c r="L25" s="5"/>
      <c r="M25" s="5"/>
      <c r="N25" s="5"/>
      <c r="O25" s="5"/>
      <c r="P25" s="5"/>
      <c r="Q25" s="5"/>
    </row>
    <row r="26" customFormat="false" ht="15" hidden="false" customHeight="true" outlineLevel="0" collapsed="false">
      <c r="A26" s="5" t="s">
        <v>131</v>
      </c>
      <c r="B26" s="11" t="n">
        <v>10</v>
      </c>
      <c r="C26" s="5" t="s">
        <v>132</v>
      </c>
      <c r="D26" s="5"/>
      <c r="E26" s="5"/>
      <c r="F26" s="5"/>
      <c r="G26" s="5"/>
      <c r="H26" s="5"/>
      <c r="I26" s="5"/>
      <c r="J26" s="5"/>
      <c r="K26" s="5"/>
      <c r="L26" s="5"/>
      <c r="M26" s="5"/>
      <c r="N26" s="5"/>
      <c r="O26" s="5"/>
      <c r="P26" s="5"/>
      <c r="Q26" s="5"/>
    </row>
    <row r="27" customFormat="false" ht="15" hidden="false" customHeight="true" outlineLevel="0" collapsed="false">
      <c r="A27" s="5" t="s">
        <v>133</v>
      </c>
      <c r="B27" s="10" t="n">
        <f aca="false">1/B26</f>
        <v>0.1</v>
      </c>
      <c r="C27" s="5" t="s">
        <v>134</v>
      </c>
      <c r="D27" s="5"/>
      <c r="E27" s="5"/>
      <c r="F27" s="5"/>
      <c r="G27" s="5"/>
      <c r="H27" s="5"/>
      <c r="I27" s="5"/>
      <c r="J27" s="5"/>
      <c r="K27" s="5"/>
      <c r="L27" s="5"/>
      <c r="M27" s="5"/>
      <c r="N27" s="5"/>
      <c r="O27" s="5"/>
      <c r="P27" s="5"/>
      <c r="Q27" s="5"/>
    </row>
    <row r="28" customFormat="false" ht="15" hidden="false" customHeight="true" outlineLevel="0" collapsed="false">
      <c r="A28" s="5" t="s">
        <v>135</v>
      </c>
      <c r="B28" s="14" t="n">
        <v>1</v>
      </c>
      <c r="C28" s="5" t="s">
        <v>136</v>
      </c>
      <c r="D28" s="5"/>
      <c r="E28" s="5"/>
      <c r="F28" s="5"/>
      <c r="G28" s="5"/>
      <c r="H28" s="5"/>
      <c r="I28" s="5"/>
      <c r="J28" s="5"/>
      <c r="K28" s="5"/>
      <c r="L28" s="5"/>
      <c r="M28" s="5"/>
      <c r="N28" s="5"/>
      <c r="O28" s="5"/>
      <c r="P28" s="5"/>
      <c r="Q28" s="5"/>
    </row>
    <row r="29" customFormat="false" ht="15" hidden="false" customHeight="true" outlineLevel="0" collapsed="false">
      <c r="A29" s="5" t="s">
        <v>137</v>
      </c>
      <c r="B29" s="8" t="n">
        <v>0.05</v>
      </c>
      <c r="C29" s="5" t="s">
        <v>138</v>
      </c>
      <c r="D29" s="5"/>
      <c r="E29" s="5"/>
      <c r="F29" s="5"/>
      <c r="G29" s="5"/>
      <c r="H29" s="5"/>
      <c r="I29" s="5"/>
      <c r="J29" s="5"/>
      <c r="K29" s="5"/>
      <c r="L29" s="5"/>
      <c r="M29" s="5"/>
      <c r="N29" s="5"/>
      <c r="O29" s="5"/>
      <c r="P29" s="5"/>
      <c r="Q29" s="5"/>
    </row>
    <row r="30" customFormat="false" ht="15" hidden="false" customHeight="true" outlineLevel="0" collapsed="false">
      <c r="A30" s="5" t="s">
        <v>139</v>
      </c>
      <c r="B30" s="8" t="n">
        <v>0.1</v>
      </c>
      <c r="C30" s="5" t="s">
        <v>140</v>
      </c>
      <c r="D30" s="5"/>
      <c r="E30" s="5"/>
      <c r="F30" s="5"/>
      <c r="G30" s="5"/>
      <c r="H30" s="5"/>
      <c r="I30" s="5"/>
      <c r="J30" s="5"/>
      <c r="K30" s="5"/>
      <c r="L30" s="5"/>
      <c r="M30" s="5"/>
      <c r="N30" s="5"/>
      <c r="O30" s="5"/>
      <c r="P30" s="5"/>
      <c r="Q30" s="5"/>
    </row>
    <row r="31" customFormat="false" ht="15" hidden="false" customHeight="false" outlineLevel="0" collapsed="false">
      <c r="A31" s="5" t="s">
        <v>141</v>
      </c>
      <c r="B31" s="8" t="n">
        <v>0.01</v>
      </c>
      <c r="C31" s="5"/>
      <c r="D31" s="5"/>
      <c r="E31" s="5"/>
      <c r="F31" s="5"/>
      <c r="G31" s="5"/>
      <c r="H31" s="5"/>
      <c r="I31" s="5"/>
      <c r="J31" s="5"/>
      <c r="K31" s="5"/>
      <c r="L31" s="5"/>
      <c r="M31" s="5"/>
      <c r="N31" s="5"/>
      <c r="O31" s="5"/>
      <c r="P31" s="5"/>
      <c r="Q31" s="5"/>
    </row>
    <row r="32" customFormat="false" ht="15" hidden="false" customHeight="true" outlineLevel="0" collapsed="false">
      <c r="A32" s="5" t="s">
        <v>142</v>
      </c>
      <c r="B32" s="15" t="n">
        <v>0.001</v>
      </c>
      <c r="C32" s="5" t="s">
        <v>143</v>
      </c>
      <c r="D32" s="5"/>
      <c r="E32" s="5"/>
      <c r="F32" s="5"/>
      <c r="G32" s="5"/>
      <c r="H32" s="5"/>
      <c r="I32" s="5"/>
      <c r="J32" s="5"/>
      <c r="K32" s="5"/>
      <c r="L32" s="5"/>
      <c r="M32" s="5"/>
      <c r="N32" s="5"/>
      <c r="O32" s="5"/>
      <c r="P32" s="5"/>
      <c r="Q32" s="5"/>
    </row>
    <row r="34" customFormat="false" ht="15" hidden="false" customHeight="false" outlineLevel="0" collapsed="false">
      <c r="A34" s="1" t="s">
        <v>144</v>
      </c>
    </row>
    <row r="35" customFormat="false" ht="15" hidden="false" customHeight="false" outlineLevel="0" collapsed="false">
      <c r="A35" s="2" t="s">
        <v>145</v>
      </c>
    </row>
    <row r="36" customFormat="false" ht="15" hidden="false" customHeight="false" outlineLevel="0" collapsed="false">
      <c r="A36" s="3" t="s">
        <v>146</v>
      </c>
      <c r="B36" s="3" t="s">
        <v>147</v>
      </c>
      <c r="C36" s="3" t="s">
        <v>148</v>
      </c>
      <c r="D36" s="3" t="s">
        <v>149</v>
      </c>
      <c r="E36" s="3" t="s">
        <v>150</v>
      </c>
      <c r="F36" s="3" t="s">
        <v>151</v>
      </c>
      <c r="G36" s="3" t="s">
        <v>152</v>
      </c>
      <c r="H36" s="3" t="s">
        <v>153</v>
      </c>
      <c r="I36" s="3" t="s">
        <v>154</v>
      </c>
      <c r="J36" s="3" t="s">
        <v>155</v>
      </c>
      <c r="K36" s="3" t="s">
        <v>156</v>
      </c>
      <c r="L36" s="3" t="s">
        <v>157</v>
      </c>
      <c r="M36" s="3" t="s">
        <v>158</v>
      </c>
      <c r="N36" s="3" t="s">
        <v>83</v>
      </c>
    </row>
    <row r="37" customFormat="false" ht="15" hidden="false" customHeight="false" outlineLevel="0" collapsed="false">
      <c r="A37" s="16" t="n">
        <v>2026</v>
      </c>
      <c r="B37" s="8" t="n">
        <f aca="false">1/12</f>
        <v>0.0833333333333333</v>
      </c>
      <c r="C37" s="8" t="n">
        <f aca="false">1/12</f>
        <v>0.0833333333333333</v>
      </c>
      <c r="D37" s="8" t="n">
        <f aca="false">1/12</f>
        <v>0.0833333333333333</v>
      </c>
      <c r="E37" s="8" t="n">
        <f aca="false">1/12</f>
        <v>0.0833333333333333</v>
      </c>
      <c r="F37" s="8" t="n">
        <f aca="false">1/12</f>
        <v>0.0833333333333333</v>
      </c>
      <c r="G37" s="8" t="n">
        <f aca="false">1/12</f>
        <v>0.0833333333333333</v>
      </c>
      <c r="H37" s="8" t="n">
        <f aca="false">1/12</f>
        <v>0.0833333333333333</v>
      </c>
      <c r="I37" s="8" t="n">
        <f aca="false">1/12</f>
        <v>0.0833333333333333</v>
      </c>
      <c r="J37" s="8" t="n">
        <f aca="false">1/12</f>
        <v>0.0833333333333333</v>
      </c>
      <c r="K37" s="8" t="n">
        <f aca="false">1/12</f>
        <v>0.0833333333333333</v>
      </c>
      <c r="L37" s="8" t="n">
        <f aca="false">1/12</f>
        <v>0.0833333333333333</v>
      </c>
      <c r="M37" s="8" t="n">
        <f aca="false">1/12</f>
        <v>0.0833333333333333</v>
      </c>
      <c r="N37" s="10" t="n">
        <f aca="false">SUM(B37:M37)</f>
        <v>1</v>
      </c>
    </row>
    <row r="38" customFormat="false" ht="15" hidden="false" customHeight="false" outlineLevel="0" collapsed="false">
      <c r="A38" s="16" t="n">
        <v>2027</v>
      </c>
      <c r="B38" s="8" t="n">
        <f aca="false">1/12</f>
        <v>0.0833333333333333</v>
      </c>
      <c r="C38" s="8" t="n">
        <f aca="false">1/12</f>
        <v>0.0833333333333333</v>
      </c>
      <c r="D38" s="8" t="n">
        <f aca="false">1/12</f>
        <v>0.0833333333333333</v>
      </c>
      <c r="E38" s="8" t="n">
        <f aca="false">1/12</f>
        <v>0.0833333333333333</v>
      </c>
      <c r="F38" s="8" t="n">
        <f aca="false">1/12</f>
        <v>0.0833333333333333</v>
      </c>
      <c r="G38" s="8" t="n">
        <f aca="false">1/12</f>
        <v>0.0833333333333333</v>
      </c>
      <c r="H38" s="8" t="n">
        <f aca="false">1/12</f>
        <v>0.0833333333333333</v>
      </c>
      <c r="I38" s="8" t="n">
        <f aca="false">1/12</f>
        <v>0.0833333333333333</v>
      </c>
      <c r="J38" s="8" t="n">
        <f aca="false">1/12</f>
        <v>0.0833333333333333</v>
      </c>
      <c r="K38" s="8" t="n">
        <f aca="false">1/12</f>
        <v>0.0833333333333333</v>
      </c>
      <c r="L38" s="8" t="n">
        <f aca="false">1/12</f>
        <v>0.0833333333333333</v>
      </c>
      <c r="M38" s="8" t="n">
        <f aca="false">1/12</f>
        <v>0.0833333333333333</v>
      </c>
      <c r="N38" s="10" t="n">
        <f aca="false">SUM(B38:M38)</f>
        <v>1</v>
      </c>
    </row>
    <row r="39" customFormat="false" ht="15" hidden="false" customHeight="false" outlineLevel="0" collapsed="false">
      <c r="A39" s="16" t="n">
        <v>2028</v>
      </c>
      <c r="B39" s="8" t="n">
        <f aca="false">1/12</f>
        <v>0.0833333333333333</v>
      </c>
      <c r="C39" s="8" t="n">
        <f aca="false">1/12</f>
        <v>0.0833333333333333</v>
      </c>
      <c r="D39" s="8" t="n">
        <f aca="false">1/12</f>
        <v>0.0833333333333333</v>
      </c>
      <c r="E39" s="8" t="n">
        <f aca="false">1/12</f>
        <v>0.0833333333333333</v>
      </c>
      <c r="F39" s="8" t="n">
        <f aca="false">1/12</f>
        <v>0.0833333333333333</v>
      </c>
      <c r="G39" s="8" t="n">
        <f aca="false">1/12</f>
        <v>0.0833333333333333</v>
      </c>
      <c r="H39" s="8" t="n">
        <f aca="false">1/12</f>
        <v>0.0833333333333333</v>
      </c>
      <c r="I39" s="8" t="n">
        <f aca="false">1/12</f>
        <v>0.0833333333333333</v>
      </c>
      <c r="J39" s="8" t="n">
        <f aca="false">1/12</f>
        <v>0.0833333333333333</v>
      </c>
      <c r="K39" s="8" t="n">
        <f aca="false">1/12</f>
        <v>0.0833333333333333</v>
      </c>
      <c r="L39" s="8" t="n">
        <f aca="false">1/12</f>
        <v>0.0833333333333333</v>
      </c>
      <c r="M39" s="8" t="n">
        <f aca="false">1/12</f>
        <v>0.0833333333333333</v>
      </c>
      <c r="N39" s="10" t="n">
        <f aca="false">SUM(B39:M39)</f>
        <v>1</v>
      </c>
    </row>
    <row r="40" customFormat="false" ht="15" hidden="false" customHeight="false" outlineLevel="0" collapsed="false">
      <c r="A40" s="16" t="n">
        <v>2029</v>
      </c>
      <c r="B40" s="8" t="n">
        <f aca="false">1/12</f>
        <v>0.0833333333333333</v>
      </c>
      <c r="C40" s="8" t="n">
        <f aca="false">1/12</f>
        <v>0.0833333333333333</v>
      </c>
      <c r="D40" s="8" t="n">
        <f aca="false">1/12</f>
        <v>0.0833333333333333</v>
      </c>
      <c r="E40" s="8" t="n">
        <f aca="false">1/12</f>
        <v>0.0833333333333333</v>
      </c>
      <c r="F40" s="8" t="n">
        <f aca="false">1/12</f>
        <v>0.0833333333333333</v>
      </c>
      <c r="G40" s="8" t="n">
        <f aca="false">1/12</f>
        <v>0.0833333333333333</v>
      </c>
      <c r="H40" s="8" t="n">
        <f aca="false">1/12</f>
        <v>0.0833333333333333</v>
      </c>
      <c r="I40" s="8" t="n">
        <f aca="false">1/12</f>
        <v>0.0833333333333333</v>
      </c>
      <c r="J40" s="8" t="n">
        <f aca="false">1/12</f>
        <v>0.0833333333333333</v>
      </c>
      <c r="K40" s="8" t="n">
        <f aca="false">1/12</f>
        <v>0.0833333333333333</v>
      </c>
      <c r="L40" s="8" t="n">
        <f aca="false">1/12</f>
        <v>0.0833333333333333</v>
      </c>
      <c r="M40" s="8" t="n">
        <f aca="false">1/12</f>
        <v>0.0833333333333333</v>
      </c>
      <c r="N40" s="10" t="n">
        <f aca="false">SUM(B40:M40)</f>
        <v>1</v>
      </c>
    </row>
    <row r="41" customFormat="false" ht="15" hidden="false" customHeight="false" outlineLevel="0" collapsed="false">
      <c r="A41" s="16" t="n">
        <v>2030</v>
      </c>
      <c r="B41" s="8" t="n">
        <f aca="false">1/12</f>
        <v>0.0833333333333333</v>
      </c>
      <c r="C41" s="8" t="n">
        <f aca="false">1/12</f>
        <v>0.0833333333333333</v>
      </c>
      <c r="D41" s="8" t="n">
        <f aca="false">1/12</f>
        <v>0.0833333333333333</v>
      </c>
      <c r="E41" s="8" t="n">
        <f aca="false">1/12</f>
        <v>0.0833333333333333</v>
      </c>
      <c r="F41" s="8" t="n">
        <f aca="false">1/12</f>
        <v>0.0833333333333333</v>
      </c>
      <c r="G41" s="8" t="n">
        <f aca="false">1/12</f>
        <v>0.0833333333333333</v>
      </c>
      <c r="H41" s="8" t="n">
        <f aca="false">1/12</f>
        <v>0.0833333333333333</v>
      </c>
      <c r="I41" s="8" t="n">
        <f aca="false">1/12</f>
        <v>0.0833333333333333</v>
      </c>
      <c r="J41" s="8" t="n">
        <f aca="false">1/12</f>
        <v>0.0833333333333333</v>
      </c>
      <c r="K41" s="8" t="n">
        <f aca="false">1/12</f>
        <v>0.0833333333333333</v>
      </c>
      <c r="L41" s="8" t="n">
        <f aca="false">1/12</f>
        <v>0.0833333333333333</v>
      </c>
      <c r="M41" s="8" t="n">
        <f aca="false">1/12</f>
        <v>0.0833333333333333</v>
      </c>
      <c r="N41" s="10" t="n">
        <f aca="false">SUM(B41:M41)</f>
        <v>1</v>
      </c>
    </row>
    <row r="42" customFormat="false" ht="15" hidden="false" customHeight="false" outlineLevel="0" collapsed="false">
      <c r="A42" s="16" t="n">
        <v>2031</v>
      </c>
      <c r="B42" s="8" t="n">
        <f aca="false">1/12</f>
        <v>0.0833333333333333</v>
      </c>
      <c r="C42" s="8" t="n">
        <f aca="false">1/12</f>
        <v>0.0833333333333333</v>
      </c>
      <c r="D42" s="8" t="n">
        <f aca="false">1/12</f>
        <v>0.0833333333333333</v>
      </c>
      <c r="E42" s="8" t="n">
        <f aca="false">1/12</f>
        <v>0.0833333333333333</v>
      </c>
      <c r="F42" s="8" t="n">
        <f aca="false">1/12</f>
        <v>0.0833333333333333</v>
      </c>
      <c r="G42" s="8" t="n">
        <f aca="false">1/12</f>
        <v>0.0833333333333333</v>
      </c>
      <c r="H42" s="8" t="n">
        <f aca="false">1/12</f>
        <v>0.0833333333333333</v>
      </c>
      <c r="I42" s="8" t="n">
        <f aca="false">1/12</f>
        <v>0.0833333333333333</v>
      </c>
      <c r="J42" s="8" t="n">
        <f aca="false">1/12</f>
        <v>0.0833333333333333</v>
      </c>
      <c r="K42" s="8" t="n">
        <f aca="false">1/12</f>
        <v>0.0833333333333333</v>
      </c>
      <c r="L42" s="8" t="n">
        <f aca="false">1/12</f>
        <v>0.0833333333333333</v>
      </c>
      <c r="M42" s="8" t="n">
        <f aca="false">1/12</f>
        <v>0.0833333333333333</v>
      </c>
      <c r="N42" s="10" t="n">
        <f aca="false">SUM(B42:M42)</f>
        <v>1</v>
      </c>
    </row>
    <row r="43" customFormat="false" ht="15" hidden="false" customHeight="false" outlineLevel="0" collapsed="false">
      <c r="A43" s="16" t="n">
        <v>2032</v>
      </c>
      <c r="B43" s="8" t="n">
        <f aca="false">1/12</f>
        <v>0.0833333333333333</v>
      </c>
      <c r="C43" s="8" t="n">
        <f aca="false">1/12</f>
        <v>0.0833333333333333</v>
      </c>
      <c r="D43" s="8" t="n">
        <f aca="false">1/12</f>
        <v>0.0833333333333333</v>
      </c>
      <c r="E43" s="8" t="n">
        <f aca="false">1/12</f>
        <v>0.0833333333333333</v>
      </c>
      <c r="F43" s="8" t="n">
        <f aca="false">1/12</f>
        <v>0.0833333333333333</v>
      </c>
      <c r="G43" s="8" t="n">
        <f aca="false">1/12</f>
        <v>0.0833333333333333</v>
      </c>
      <c r="H43" s="8" t="n">
        <f aca="false">1/12</f>
        <v>0.0833333333333333</v>
      </c>
      <c r="I43" s="8" t="n">
        <f aca="false">1/12</f>
        <v>0.0833333333333333</v>
      </c>
      <c r="J43" s="8" t="n">
        <f aca="false">1/12</f>
        <v>0.0833333333333333</v>
      </c>
      <c r="K43" s="8" t="n">
        <f aca="false">1/12</f>
        <v>0.0833333333333333</v>
      </c>
      <c r="L43" s="8" t="n">
        <f aca="false">1/12</f>
        <v>0.0833333333333333</v>
      </c>
      <c r="M43" s="8" t="n">
        <f aca="false">1/12</f>
        <v>0.0833333333333333</v>
      </c>
      <c r="N43" s="10" t="n">
        <f aca="false">SUM(B43:M43)</f>
        <v>1</v>
      </c>
    </row>
    <row r="44" customFormat="false" ht="15" hidden="false" customHeight="false" outlineLevel="0" collapsed="false">
      <c r="A44" s="16" t="n">
        <v>2033</v>
      </c>
      <c r="B44" s="8" t="n">
        <f aca="false">1/12</f>
        <v>0.0833333333333333</v>
      </c>
      <c r="C44" s="8" t="n">
        <f aca="false">1/12</f>
        <v>0.0833333333333333</v>
      </c>
      <c r="D44" s="8" t="n">
        <f aca="false">1/12</f>
        <v>0.0833333333333333</v>
      </c>
      <c r="E44" s="8" t="n">
        <f aca="false">1/12</f>
        <v>0.0833333333333333</v>
      </c>
      <c r="F44" s="8" t="n">
        <f aca="false">1/12</f>
        <v>0.0833333333333333</v>
      </c>
      <c r="G44" s="8" t="n">
        <f aca="false">1/12</f>
        <v>0.0833333333333333</v>
      </c>
      <c r="H44" s="8" t="n">
        <f aca="false">1/12</f>
        <v>0.0833333333333333</v>
      </c>
      <c r="I44" s="8" t="n">
        <f aca="false">1/12</f>
        <v>0.0833333333333333</v>
      </c>
      <c r="J44" s="8" t="n">
        <f aca="false">1/12</f>
        <v>0.0833333333333333</v>
      </c>
      <c r="K44" s="8" t="n">
        <f aca="false">1/12</f>
        <v>0.0833333333333333</v>
      </c>
      <c r="L44" s="8" t="n">
        <f aca="false">1/12</f>
        <v>0.0833333333333333</v>
      </c>
      <c r="M44" s="8" t="n">
        <f aca="false">1/12</f>
        <v>0.0833333333333333</v>
      </c>
      <c r="N44" s="10" t="n">
        <f aca="false">SUM(B44:M44)</f>
        <v>1</v>
      </c>
    </row>
    <row r="45" customFormat="false" ht="15" hidden="false" customHeight="false" outlineLevel="0" collapsed="false">
      <c r="A45" s="16" t="n">
        <v>2034</v>
      </c>
      <c r="B45" s="8" t="n">
        <f aca="false">1/12</f>
        <v>0.0833333333333333</v>
      </c>
      <c r="C45" s="8" t="n">
        <f aca="false">1/12</f>
        <v>0.0833333333333333</v>
      </c>
      <c r="D45" s="8" t="n">
        <f aca="false">1/12</f>
        <v>0.0833333333333333</v>
      </c>
      <c r="E45" s="8" t="n">
        <f aca="false">1/12</f>
        <v>0.0833333333333333</v>
      </c>
      <c r="F45" s="8" t="n">
        <f aca="false">1/12</f>
        <v>0.0833333333333333</v>
      </c>
      <c r="G45" s="8" t="n">
        <f aca="false">1/12</f>
        <v>0.0833333333333333</v>
      </c>
      <c r="H45" s="8" t="n">
        <f aca="false">1/12</f>
        <v>0.0833333333333333</v>
      </c>
      <c r="I45" s="8" t="n">
        <f aca="false">1/12</f>
        <v>0.0833333333333333</v>
      </c>
      <c r="J45" s="8" t="n">
        <f aca="false">1/12</f>
        <v>0.0833333333333333</v>
      </c>
      <c r="K45" s="8" t="n">
        <f aca="false">1/12</f>
        <v>0.0833333333333333</v>
      </c>
      <c r="L45" s="8" t="n">
        <f aca="false">1/12</f>
        <v>0.0833333333333333</v>
      </c>
      <c r="M45" s="8" t="n">
        <f aca="false">1/12</f>
        <v>0.0833333333333333</v>
      </c>
      <c r="N45" s="10" t="n">
        <f aca="false">SUM(B45:M45)</f>
        <v>1</v>
      </c>
    </row>
    <row r="46" customFormat="false" ht="15" hidden="false" customHeight="false" outlineLevel="0" collapsed="false">
      <c r="A46" s="16" t="n">
        <v>2035</v>
      </c>
      <c r="B46" s="8" t="n">
        <f aca="false">1/12</f>
        <v>0.0833333333333333</v>
      </c>
      <c r="C46" s="8" t="n">
        <f aca="false">1/12</f>
        <v>0.0833333333333333</v>
      </c>
      <c r="D46" s="8" t="n">
        <f aca="false">1/12</f>
        <v>0.0833333333333333</v>
      </c>
      <c r="E46" s="8" t="n">
        <f aca="false">1/12</f>
        <v>0.0833333333333333</v>
      </c>
      <c r="F46" s="8" t="n">
        <f aca="false">1/12</f>
        <v>0.0833333333333333</v>
      </c>
      <c r="G46" s="8" t="n">
        <f aca="false">1/12</f>
        <v>0.0833333333333333</v>
      </c>
      <c r="H46" s="8" t="n">
        <f aca="false">1/12</f>
        <v>0.0833333333333333</v>
      </c>
      <c r="I46" s="8" t="n">
        <f aca="false">1/12</f>
        <v>0.0833333333333333</v>
      </c>
      <c r="J46" s="8" t="n">
        <f aca="false">1/12</f>
        <v>0.0833333333333333</v>
      </c>
      <c r="K46" s="8" t="n">
        <f aca="false">1/12</f>
        <v>0.0833333333333333</v>
      </c>
      <c r="L46" s="8" t="n">
        <f aca="false">1/12</f>
        <v>0.0833333333333333</v>
      </c>
      <c r="M46" s="8" t="n">
        <f aca="false">1/12</f>
        <v>0.0833333333333333</v>
      </c>
      <c r="N46" s="10" t="n">
        <f aca="false">SUM(B46:M46)</f>
        <v>1</v>
      </c>
    </row>
    <row r="49" customFormat="false" ht="15" hidden="false" customHeight="false" outlineLevel="0" collapsed="false">
      <c r="A49" s="1" t="s">
        <v>159</v>
      </c>
    </row>
    <row r="50" customFormat="false" ht="35.05" hidden="false" customHeight="true" outlineLevel="0" collapsed="false">
      <c r="A50" s="3" t="s">
        <v>160</v>
      </c>
      <c r="B50" s="3" t="s">
        <v>161</v>
      </c>
      <c r="C50" s="3" t="s">
        <v>162</v>
      </c>
      <c r="D50" s="3" t="s">
        <v>163</v>
      </c>
      <c r="E50" s="3" t="s">
        <v>164</v>
      </c>
      <c r="F50" s="3"/>
      <c r="G50" s="3"/>
      <c r="H50" s="3"/>
      <c r="I50" s="3"/>
      <c r="J50" s="3"/>
      <c r="K50" s="3"/>
      <c r="L50" s="3"/>
      <c r="M50" s="3"/>
      <c r="N50" s="3"/>
      <c r="O50" s="3"/>
      <c r="P50" s="3"/>
      <c r="Q50" s="3"/>
    </row>
    <row r="51" customFormat="false" ht="15" hidden="false" customHeight="true" outlineLevel="0" collapsed="false">
      <c r="A51" s="9" t="str">
        <f aca="false">datos_base!A2</f>
        <v>ABC 1 kg</v>
      </c>
      <c r="B51" s="9" t="s">
        <v>165</v>
      </c>
      <c r="C51" s="11" t="n">
        <v>1</v>
      </c>
      <c r="D51" s="11" t="n">
        <v>0</v>
      </c>
      <c r="E51" s="5" t="s">
        <v>166</v>
      </c>
      <c r="F51" s="5"/>
      <c r="G51" s="5"/>
      <c r="H51" s="5"/>
      <c r="I51" s="5"/>
      <c r="J51" s="5"/>
      <c r="K51" s="5"/>
      <c r="L51" s="5"/>
      <c r="M51" s="5"/>
      <c r="N51" s="5"/>
      <c r="O51" s="5"/>
      <c r="P51" s="5"/>
      <c r="Q51" s="5"/>
    </row>
    <row r="52" customFormat="false" ht="15" hidden="false" customHeight="true" outlineLevel="0" collapsed="false">
      <c r="A52" s="9" t="str">
        <f aca="false">datos_base!A3</f>
        <v>ABC 2,5 kg</v>
      </c>
      <c r="B52" s="9" t="s">
        <v>165</v>
      </c>
      <c r="C52" s="11" t="n">
        <v>1</v>
      </c>
      <c r="D52" s="11" t="n">
        <v>0</v>
      </c>
      <c r="E52" s="5" t="s">
        <v>167</v>
      </c>
      <c r="F52" s="5"/>
      <c r="G52" s="5"/>
      <c r="H52" s="5"/>
      <c r="I52" s="5"/>
      <c r="J52" s="5"/>
      <c r="K52" s="5"/>
      <c r="L52" s="5"/>
      <c r="M52" s="5"/>
      <c r="N52" s="5"/>
      <c r="O52" s="5"/>
      <c r="P52" s="5"/>
      <c r="Q52" s="5"/>
    </row>
    <row r="53" customFormat="false" ht="15" hidden="false" customHeight="true" outlineLevel="0" collapsed="false">
      <c r="A53" s="9" t="str">
        <f aca="false">datos_base!A4</f>
        <v>ABC 5 kg</v>
      </c>
      <c r="B53" s="9" t="s">
        <v>165</v>
      </c>
      <c r="C53" s="11" t="n">
        <v>1</v>
      </c>
      <c r="D53" s="11" t="n">
        <v>0</v>
      </c>
      <c r="E53" s="5" t="s">
        <v>167</v>
      </c>
      <c r="F53" s="5"/>
      <c r="G53" s="5"/>
      <c r="H53" s="5"/>
      <c r="I53" s="5"/>
      <c r="J53" s="5"/>
      <c r="K53" s="5"/>
      <c r="L53" s="5"/>
      <c r="M53" s="5"/>
      <c r="N53" s="5"/>
      <c r="O53" s="5"/>
      <c r="P53" s="5"/>
      <c r="Q53" s="5"/>
    </row>
    <row r="54" customFormat="false" ht="15" hidden="false" customHeight="true" outlineLevel="0" collapsed="false">
      <c r="A54" s="9" t="str">
        <f aca="false">datos_base!A5</f>
        <v>ABC 10 kg</v>
      </c>
      <c r="B54" s="9" t="s">
        <v>165</v>
      </c>
      <c r="C54" s="11" t="n">
        <v>1</v>
      </c>
      <c r="D54" s="11" t="n">
        <v>0</v>
      </c>
      <c r="E54" s="5" t="s">
        <v>167</v>
      </c>
      <c r="F54" s="5"/>
      <c r="G54" s="5"/>
      <c r="H54" s="5"/>
      <c r="I54" s="5"/>
      <c r="J54" s="5"/>
      <c r="K54" s="5"/>
      <c r="L54" s="5"/>
      <c r="M54" s="5"/>
      <c r="N54" s="5"/>
      <c r="O54" s="5"/>
      <c r="P54" s="5"/>
      <c r="Q54" s="5"/>
    </row>
    <row r="55" customFormat="false" ht="15" hidden="false" customHeight="true" outlineLevel="0" collapsed="false">
      <c r="A55" s="9" t="str">
        <f aca="false">datos_base!A6</f>
        <v>Agua 10 l</v>
      </c>
      <c r="B55" s="9" t="s">
        <v>168</v>
      </c>
      <c r="C55" s="11" t="n">
        <v>1</v>
      </c>
      <c r="D55" s="11" t="n">
        <v>0</v>
      </c>
      <c r="E55" s="5" t="s">
        <v>167</v>
      </c>
      <c r="F55" s="5"/>
      <c r="G55" s="5"/>
      <c r="H55" s="5"/>
      <c r="I55" s="5"/>
      <c r="J55" s="5"/>
      <c r="K55" s="5"/>
      <c r="L55" s="5"/>
      <c r="M55" s="5"/>
      <c r="N55" s="5"/>
      <c r="O55" s="5"/>
      <c r="P55" s="5"/>
      <c r="Q55" s="5"/>
    </row>
    <row r="56" customFormat="false" ht="15" hidden="false" customHeight="true" outlineLevel="0" collapsed="false">
      <c r="A56" s="9" t="str">
        <f aca="false">datos_base!A7</f>
        <v>AFFF 10 l</v>
      </c>
      <c r="B56" s="9" t="s">
        <v>169</v>
      </c>
      <c r="C56" s="11" t="n">
        <v>1</v>
      </c>
      <c r="D56" s="11" t="n">
        <v>0</v>
      </c>
      <c r="E56" s="5" t="s">
        <v>167</v>
      </c>
      <c r="F56" s="5"/>
      <c r="G56" s="5"/>
      <c r="H56" s="5"/>
      <c r="I56" s="5"/>
      <c r="J56" s="5"/>
      <c r="K56" s="5"/>
      <c r="L56" s="5"/>
      <c r="M56" s="5"/>
      <c r="N56" s="5"/>
      <c r="O56" s="5"/>
      <c r="P56" s="5"/>
      <c r="Q56" s="5"/>
    </row>
    <row r="57" customFormat="false" ht="15" hidden="false" customHeight="true" outlineLevel="0" collapsed="false">
      <c r="A57" s="9" t="str">
        <f aca="false">datos_base!A8</f>
        <v>AFFF 50 l s/ruedas</v>
      </c>
      <c r="B57" s="9" t="s">
        <v>169</v>
      </c>
      <c r="C57" s="13" t="n">
        <f aca="false">$B$9</f>
        <v>3</v>
      </c>
      <c r="D57" s="11" t="n">
        <v>1</v>
      </c>
      <c r="E57" s="5" t="s">
        <v>170</v>
      </c>
      <c r="F57" s="5"/>
      <c r="G57" s="5"/>
      <c r="H57" s="5"/>
      <c r="I57" s="5"/>
      <c r="J57" s="5"/>
      <c r="K57" s="5"/>
      <c r="L57" s="5"/>
      <c r="M57" s="5"/>
      <c r="N57" s="5"/>
      <c r="O57" s="5"/>
      <c r="P57" s="5"/>
      <c r="Q57" s="5"/>
    </row>
    <row r="58" customFormat="false" ht="15" hidden="false" customHeight="true" outlineLevel="0" collapsed="false">
      <c r="A58" s="9" t="str">
        <f aca="false">datos_base!A9</f>
        <v>BC 5 kg</v>
      </c>
      <c r="B58" s="9" t="s">
        <v>171</v>
      </c>
      <c r="C58" s="11" t="n">
        <v>1</v>
      </c>
      <c r="D58" s="11" t="n">
        <v>0</v>
      </c>
      <c r="E58" s="5" t="s">
        <v>167</v>
      </c>
      <c r="F58" s="5"/>
      <c r="G58" s="5"/>
      <c r="H58" s="5"/>
      <c r="I58" s="5"/>
      <c r="J58" s="5"/>
      <c r="K58" s="5"/>
      <c r="L58" s="5"/>
      <c r="M58" s="5"/>
      <c r="N58" s="5"/>
      <c r="O58" s="5"/>
      <c r="P58" s="5"/>
      <c r="Q58" s="5"/>
    </row>
    <row r="59" customFormat="false" ht="15" hidden="false" customHeight="true" outlineLevel="0" collapsed="false">
      <c r="A59" s="9" t="str">
        <f aca="false">datos_base!A10</f>
        <v>Sales K 6 l</v>
      </c>
      <c r="B59" s="9" t="s">
        <v>172</v>
      </c>
      <c r="C59" s="11" t="n">
        <v>1</v>
      </c>
      <c r="D59" s="11" t="n">
        <v>0</v>
      </c>
      <c r="E59" s="5" t="s">
        <v>167</v>
      </c>
      <c r="F59" s="5"/>
      <c r="G59" s="5"/>
      <c r="H59" s="5"/>
      <c r="I59" s="5"/>
      <c r="J59" s="5"/>
      <c r="K59" s="5"/>
      <c r="L59" s="5"/>
      <c r="M59" s="5"/>
      <c r="N59" s="5"/>
      <c r="O59" s="5"/>
      <c r="P59" s="5"/>
      <c r="Q59" s="5"/>
    </row>
    <row r="60" customFormat="false" ht="15" hidden="false" customHeight="true" outlineLevel="0" collapsed="false">
      <c r="A60" s="9" t="str">
        <f aca="false">datos_base!A11</f>
        <v>CO₂ 2 kg</v>
      </c>
      <c r="B60" s="9" t="s">
        <v>173</v>
      </c>
      <c r="C60" s="11" t="n">
        <v>1</v>
      </c>
      <c r="D60" s="11" t="n">
        <v>0</v>
      </c>
      <c r="E60" s="5" t="s">
        <v>174</v>
      </c>
      <c r="F60" s="5"/>
      <c r="G60" s="5"/>
      <c r="H60" s="5"/>
      <c r="I60" s="5"/>
      <c r="J60" s="5"/>
      <c r="K60" s="5"/>
      <c r="L60" s="5"/>
      <c r="M60" s="5"/>
      <c r="N60" s="5"/>
      <c r="O60" s="5"/>
      <c r="P60" s="5"/>
      <c r="Q60" s="5"/>
    </row>
    <row r="61" customFormat="false" ht="15" hidden="false" customHeight="true" outlineLevel="0" collapsed="false">
      <c r="A61" s="9" t="str">
        <f aca="false">datos_base!A12</f>
        <v>CO₂ 5 kg</v>
      </c>
      <c r="B61" s="9" t="s">
        <v>173</v>
      </c>
      <c r="C61" s="11" t="n">
        <v>1</v>
      </c>
      <c r="D61" s="11" t="n">
        <v>1</v>
      </c>
      <c r="E61" s="5" t="s">
        <v>175</v>
      </c>
      <c r="F61" s="5"/>
      <c r="G61" s="5"/>
      <c r="H61" s="5"/>
      <c r="I61" s="5"/>
      <c r="J61" s="5"/>
      <c r="K61" s="5"/>
      <c r="L61" s="5"/>
      <c r="M61" s="5"/>
      <c r="N61" s="5"/>
      <c r="O61" s="5"/>
      <c r="P61" s="5"/>
      <c r="Q61" s="5"/>
    </row>
    <row r="62" customFormat="false" ht="15" hidden="false" customHeight="true" outlineLevel="0" collapsed="false">
      <c r="A62" s="9" t="str">
        <f aca="false">datos_base!A13</f>
        <v>HCFC/HFC 5 kg</v>
      </c>
      <c r="B62" s="9" t="s">
        <v>176</v>
      </c>
      <c r="C62" s="11" t="n">
        <v>1</v>
      </c>
      <c r="D62" s="11" t="n">
        <v>0</v>
      </c>
      <c r="E62" s="5" t="s">
        <v>167</v>
      </c>
      <c r="F62" s="5"/>
      <c r="G62" s="5"/>
      <c r="H62" s="5"/>
      <c r="I62" s="5"/>
      <c r="J62" s="5"/>
      <c r="K62" s="5"/>
      <c r="L62" s="5"/>
      <c r="M62" s="5"/>
      <c r="N62" s="5"/>
      <c r="O62" s="5"/>
      <c r="P62" s="5"/>
      <c r="Q62" s="5"/>
    </row>
    <row r="63" customFormat="false" ht="15" hidden="false" customHeight="true" outlineLevel="0" collapsed="false">
      <c r="A63" s="9" t="str">
        <f aca="false">datos_base!A14</f>
        <v>Clase D 9 l</v>
      </c>
      <c r="B63" s="9" t="s">
        <v>177</v>
      </c>
      <c r="C63" s="11" t="n">
        <v>1</v>
      </c>
      <c r="D63" s="11" t="n">
        <v>0</v>
      </c>
      <c r="E63" s="5" t="s">
        <v>167</v>
      </c>
      <c r="F63" s="5"/>
      <c r="G63" s="5"/>
      <c r="H63" s="5"/>
      <c r="I63" s="5"/>
      <c r="J63" s="5"/>
      <c r="K63" s="5"/>
      <c r="L63" s="5"/>
      <c r="M63" s="5"/>
      <c r="N63" s="5"/>
      <c r="O63" s="5"/>
      <c r="P63" s="5"/>
      <c r="Q63" s="5"/>
    </row>
    <row r="64" customFormat="false" ht="15" hidden="false" customHeight="true" outlineLevel="0" collapsed="false">
      <c r="A64" s="9" t="str">
        <f aca="false">datos_base!A15</f>
        <v>ABC 25 kg s/ruedas</v>
      </c>
      <c r="B64" s="9" t="s">
        <v>165</v>
      </c>
      <c r="C64" s="13" t="n">
        <f aca="false">$B$9</f>
        <v>3</v>
      </c>
      <c r="D64" s="11" t="n">
        <v>1</v>
      </c>
      <c r="E64" s="5" t="s">
        <v>178</v>
      </c>
      <c r="F64" s="5"/>
      <c r="G64" s="5"/>
      <c r="H64" s="5"/>
      <c r="I64" s="5"/>
      <c r="J64" s="5"/>
      <c r="K64" s="5"/>
      <c r="L64" s="5"/>
      <c r="M64" s="5"/>
      <c r="N64" s="5"/>
      <c r="O64" s="5"/>
      <c r="P64" s="5"/>
      <c r="Q64" s="5"/>
    </row>
    <row r="65" customFormat="false" ht="15" hidden="false" customHeight="true" outlineLevel="0" collapsed="false">
      <c r="A65" s="9" t="str">
        <f aca="false">datos_base!A16</f>
        <v>ABC 50 kg s/ruedas</v>
      </c>
      <c r="B65" s="9" t="s">
        <v>165</v>
      </c>
      <c r="C65" s="13" t="n">
        <f aca="false">$B$9</f>
        <v>3</v>
      </c>
      <c r="D65" s="11" t="n">
        <v>1</v>
      </c>
      <c r="E65" s="5" t="s">
        <v>178</v>
      </c>
      <c r="F65" s="5"/>
      <c r="G65" s="5"/>
      <c r="H65" s="5"/>
      <c r="I65" s="5"/>
      <c r="J65" s="5"/>
      <c r="K65" s="5"/>
      <c r="L65" s="5"/>
      <c r="M65" s="5"/>
      <c r="N65" s="5"/>
      <c r="O65" s="5"/>
      <c r="P65" s="5"/>
      <c r="Q65" s="5"/>
    </row>
    <row r="66" customFormat="false" ht="15" hidden="false" customHeight="true" outlineLevel="0" collapsed="false">
      <c r="A66" s="9" t="str">
        <f aca="false">datos_base!A17</f>
        <v>ABC 70 kg s/ruedas</v>
      </c>
      <c r="B66" s="9" t="s">
        <v>165</v>
      </c>
      <c r="C66" s="13" t="n">
        <f aca="false">$B$9</f>
        <v>3</v>
      </c>
      <c r="D66" s="11" t="n">
        <v>1</v>
      </c>
      <c r="E66" s="5" t="s">
        <v>178</v>
      </c>
      <c r="F66" s="5"/>
      <c r="G66" s="5"/>
      <c r="H66" s="5"/>
      <c r="I66" s="5"/>
      <c r="J66" s="5"/>
      <c r="K66" s="5"/>
      <c r="L66" s="5"/>
      <c r="M66" s="5"/>
      <c r="N66" s="5"/>
      <c r="O66" s="5"/>
      <c r="P66" s="5"/>
      <c r="Q66" s="5"/>
    </row>
    <row r="67" customFormat="false" ht="15" hidden="false" customHeight="true" outlineLevel="0" collapsed="false">
      <c r="A67" s="9" t="str">
        <f aca="false">datos_base!A18</f>
        <v>ABC 100 kg s/ruedas</v>
      </c>
      <c r="B67" s="9" t="s">
        <v>165</v>
      </c>
      <c r="C67" s="13" t="n">
        <f aca="false">$B$9</f>
        <v>3</v>
      </c>
      <c r="D67" s="11" t="n">
        <v>1</v>
      </c>
      <c r="E67" s="5" t="s">
        <v>178</v>
      </c>
      <c r="F67" s="5"/>
      <c r="G67" s="5"/>
      <c r="H67" s="5"/>
      <c r="I67" s="5"/>
      <c r="J67" s="5"/>
      <c r="K67" s="5"/>
      <c r="L67" s="5"/>
      <c r="M67" s="5"/>
      <c r="N67" s="5"/>
      <c r="O67" s="5"/>
      <c r="P67" s="5"/>
      <c r="Q67" s="5"/>
    </row>
    <row r="70" customFormat="false" ht="15" hidden="false" customHeight="false" outlineLevel="0" collapsed="false">
      <c r="A70" s="1" t="s">
        <v>179</v>
      </c>
    </row>
    <row r="71" customFormat="false" ht="35.05" hidden="false" customHeight="false" outlineLevel="0" collapsed="false">
      <c r="A71" s="3" t="s">
        <v>180</v>
      </c>
      <c r="B71" s="3" t="s">
        <v>181</v>
      </c>
      <c r="C71" s="3" t="s">
        <v>182</v>
      </c>
      <c r="D71" s="3" t="s">
        <v>183</v>
      </c>
      <c r="E71" s="3" t="s">
        <v>165</v>
      </c>
      <c r="F71" s="3" t="s">
        <v>171</v>
      </c>
      <c r="G71" s="3" t="s">
        <v>177</v>
      </c>
      <c r="H71" s="3" t="s">
        <v>168</v>
      </c>
      <c r="I71" s="3" t="s">
        <v>169</v>
      </c>
      <c r="J71" s="3" t="s">
        <v>172</v>
      </c>
      <c r="K71" s="3" t="s">
        <v>173</v>
      </c>
      <c r="L71" s="3" t="s">
        <v>176</v>
      </c>
      <c r="M71" s="3" t="s">
        <v>184</v>
      </c>
      <c r="N71" s="3" t="s">
        <v>185</v>
      </c>
      <c r="O71" s="3" t="s">
        <v>186</v>
      </c>
      <c r="P71" s="3" t="s">
        <v>187</v>
      </c>
      <c r="Q71" s="3" t="s">
        <v>188</v>
      </c>
      <c r="R71" s="3" t="s">
        <v>189</v>
      </c>
    </row>
    <row r="72" customFormat="false" ht="23.85" hidden="false" customHeight="false" outlineLevel="0" collapsed="false">
      <c r="A72" s="16" t="n">
        <v>1</v>
      </c>
      <c r="B72" s="5" t="s">
        <v>190</v>
      </c>
      <c r="C72" s="5" t="s">
        <v>191</v>
      </c>
      <c r="D72" s="9" t="s">
        <v>192</v>
      </c>
      <c r="E72" s="8" t="n">
        <v>1</v>
      </c>
      <c r="F72" s="8" t="n">
        <v>1</v>
      </c>
      <c r="G72" s="8" t="n">
        <v>1</v>
      </c>
      <c r="H72" s="8" t="n">
        <v>1</v>
      </c>
      <c r="I72" s="8" t="n">
        <v>1</v>
      </c>
      <c r="J72" s="8" t="n">
        <v>1</v>
      </c>
      <c r="K72" s="8" t="n">
        <v>1</v>
      </c>
      <c r="L72" s="8" t="n">
        <v>1</v>
      </c>
      <c r="M72" s="11" t="n">
        <v>1</v>
      </c>
      <c r="N72" s="11" t="n">
        <f aca="false">12.5+12.5+40+10</f>
        <v>75</v>
      </c>
      <c r="O72" s="17" t="n">
        <f aca="false">IF(N72&gt;0,3600/N72,0)</f>
        <v>48</v>
      </c>
      <c r="P72" s="7" t="n">
        <f aca="false">O72*$B$6</f>
        <v>7200</v>
      </c>
      <c r="Q72" s="5" t="s">
        <v>193</v>
      </c>
      <c r="R72" s="5"/>
    </row>
    <row r="73" customFormat="false" ht="15" hidden="false" customHeight="false" outlineLevel="0" collapsed="false">
      <c r="A73" s="16" t="n">
        <v>2</v>
      </c>
      <c r="B73" s="5" t="s">
        <v>194</v>
      </c>
      <c r="C73" s="5" t="s">
        <v>195</v>
      </c>
      <c r="D73" s="9" t="s">
        <v>192</v>
      </c>
      <c r="E73" s="8" t="n">
        <v>1</v>
      </c>
      <c r="F73" s="8" t="n">
        <v>1</v>
      </c>
      <c r="G73" s="8" t="n">
        <v>1</v>
      </c>
      <c r="H73" s="8" t="n">
        <v>1</v>
      </c>
      <c r="I73" s="8" t="n">
        <v>1</v>
      </c>
      <c r="J73" s="8" t="n">
        <v>1</v>
      </c>
      <c r="K73" s="8" t="n">
        <v>1</v>
      </c>
      <c r="L73" s="8" t="n">
        <v>1</v>
      </c>
      <c r="M73" s="11" t="n">
        <v>0</v>
      </c>
      <c r="N73" s="11" t="n">
        <f aca="false">5+30+25+10+15+5</f>
        <v>90</v>
      </c>
      <c r="O73" s="17" t="n">
        <f aca="false">IF(N73&gt;0,3600/N73,0)</f>
        <v>40</v>
      </c>
      <c r="P73" s="7" t="n">
        <f aca="false">O73*$B$6</f>
        <v>6000</v>
      </c>
      <c r="Q73" s="5" t="s">
        <v>196</v>
      </c>
      <c r="R73" s="5" t="s">
        <v>197</v>
      </c>
    </row>
    <row r="74" customFormat="false" ht="15" hidden="false" customHeight="false" outlineLevel="0" collapsed="false">
      <c r="A74" s="16" t="n">
        <v>3</v>
      </c>
      <c r="B74" s="5" t="s">
        <v>198</v>
      </c>
      <c r="C74" s="5" t="s">
        <v>199</v>
      </c>
      <c r="D74" s="9" t="s">
        <v>200</v>
      </c>
      <c r="E74" s="8" t="n">
        <f aca="false">1-$B$25-$B$27</f>
        <v>0.85</v>
      </c>
      <c r="F74" s="8" t="n">
        <v>0</v>
      </c>
      <c r="G74" s="8" t="n">
        <v>0</v>
      </c>
      <c r="H74" s="8" t="n">
        <v>0</v>
      </c>
      <c r="I74" s="8" t="n">
        <v>0</v>
      </c>
      <c r="J74" s="8" t="n">
        <v>0</v>
      </c>
      <c r="K74" s="8" t="n">
        <v>0</v>
      </c>
      <c r="L74" s="8" t="n">
        <v>0</v>
      </c>
      <c r="M74" s="11" t="n">
        <v>0</v>
      </c>
      <c r="N74" s="11" t="n">
        <f aca="false">15+60+10</f>
        <v>85</v>
      </c>
      <c r="O74" s="17" t="n">
        <f aca="false">IF(N74&gt;0,3600/N74,0)</f>
        <v>42.3529411764706</v>
      </c>
      <c r="P74" s="7" t="n">
        <f aca="false">O74*$B$6</f>
        <v>6352.94117647059</v>
      </c>
      <c r="Q74" s="5" t="s">
        <v>201</v>
      </c>
      <c r="R74" s="5"/>
    </row>
    <row r="75" customFormat="false" ht="15" hidden="false" customHeight="false" outlineLevel="0" collapsed="false">
      <c r="A75" s="16" t="n">
        <v>4</v>
      </c>
      <c r="B75" s="5" t="s">
        <v>202</v>
      </c>
      <c r="C75" s="5" t="s">
        <v>203</v>
      </c>
      <c r="D75" s="9" t="s">
        <v>200</v>
      </c>
      <c r="E75" s="8" t="n">
        <f aca="false">$B$27</f>
        <v>0.1</v>
      </c>
      <c r="F75" s="8" t="n">
        <v>0</v>
      </c>
      <c r="G75" s="8" t="n">
        <v>0</v>
      </c>
      <c r="H75" s="8" t="n">
        <v>0</v>
      </c>
      <c r="I75" s="8" t="n">
        <v>0</v>
      </c>
      <c r="J75" s="8" t="n">
        <v>0</v>
      </c>
      <c r="K75" s="8" t="n">
        <v>0</v>
      </c>
      <c r="L75" s="8" t="n">
        <v>0</v>
      </c>
      <c r="M75" s="11" t="n">
        <v>0</v>
      </c>
      <c r="N75" s="11" t="n">
        <f aca="false">15+60+10</f>
        <v>85</v>
      </c>
      <c r="O75" s="17" t="n">
        <f aca="false">IF(N75&gt;0,3600/N75,0)</f>
        <v>42.3529411764706</v>
      </c>
      <c r="P75" s="7" t="n">
        <f aca="false">O75*$B$6</f>
        <v>6352.94117647059</v>
      </c>
      <c r="Q75" s="5" t="s">
        <v>204</v>
      </c>
      <c r="R75" s="5"/>
    </row>
    <row r="76" customFormat="false" ht="15" hidden="false" customHeight="false" outlineLevel="0" collapsed="false">
      <c r="A76" s="16" t="n">
        <v>5</v>
      </c>
      <c r="B76" s="5" t="s">
        <v>205</v>
      </c>
      <c r="C76" s="5" t="s">
        <v>206</v>
      </c>
      <c r="D76" s="9" t="s">
        <v>200</v>
      </c>
      <c r="E76" s="8" t="n">
        <v>0</v>
      </c>
      <c r="F76" s="8" t="n">
        <v>1</v>
      </c>
      <c r="G76" s="8" t="n">
        <v>0</v>
      </c>
      <c r="H76" s="8" t="n">
        <v>0</v>
      </c>
      <c r="I76" s="8" t="n">
        <v>0</v>
      </c>
      <c r="J76" s="8" t="n">
        <v>0</v>
      </c>
      <c r="K76" s="8" t="n">
        <v>0</v>
      </c>
      <c r="L76" s="8" t="n">
        <v>0</v>
      </c>
      <c r="M76" s="11" t="n">
        <v>0</v>
      </c>
      <c r="N76" s="11" t="n">
        <f aca="false">15+60+10</f>
        <v>85</v>
      </c>
      <c r="O76" s="17" t="n">
        <f aca="false">IF(N76&gt;0,3600/N76,0)</f>
        <v>42.3529411764706</v>
      </c>
      <c r="P76" s="7" t="n">
        <f aca="false">O76*$B$6</f>
        <v>6352.94117647059</v>
      </c>
      <c r="Q76" s="5" t="s">
        <v>207</v>
      </c>
      <c r="R76" s="5"/>
    </row>
    <row r="77" customFormat="false" ht="15" hidden="false" customHeight="false" outlineLevel="0" collapsed="false">
      <c r="A77" s="16" t="n">
        <v>6</v>
      </c>
      <c r="B77" s="5" t="s">
        <v>208</v>
      </c>
      <c r="C77" s="5" t="s">
        <v>209</v>
      </c>
      <c r="D77" s="9" t="s">
        <v>200</v>
      </c>
      <c r="E77" s="8" t="n">
        <v>0</v>
      </c>
      <c r="F77" s="8" t="n">
        <v>0</v>
      </c>
      <c r="G77" s="8" t="n">
        <v>0</v>
      </c>
      <c r="H77" s="8" t="n">
        <f aca="false">$B$28</f>
        <v>1</v>
      </c>
      <c r="I77" s="8" t="n">
        <f aca="false">$B$28</f>
        <v>1</v>
      </c>
      <c r="J77" s="8" t="n">
        <f aca="false">$B$28</f>
        <v>1</v>
      </c>
      <c r="K77" s="8" t="n">
        <v>0</v>
      </c>
      <c r="L77" s="8" t="n">
        <v>0</v>
      </c>
      <c r="M77" s="11" t="n">
        <v>0</v>
      </c>
      <c r="N77" s="11" t="n">
        <f aca="false">10+10+15+60+10</f>
        <v>105</v>
      </c>
      <c r="O77" s="17" t="n">
        <f aca="false">IF(N77&gt;0,3600/N77,0)</f>
        <v>34.2857142857143</v>
      </c>
      <c r="P77" s="7" t="n">
        <f aca="false">O77*$B$6</f>
        <v>5142.85714285714</v>
      </c>
      <c r="Q77" s="5" t="s">
        <v>210</v>
      </c>
      <c r="R77" s="5" t="s">
        <v>211</v>
      </c>
    </row>
    <row r="78" customFormat="false" ht="23.85" hidden="false" customHeight="false" outlineLevel="0" collapsed="false">
      <c r="A78" s="16" t="n">
        <v>7</v>
      </c>
      <c r="B78" s="5" t="s">
        <v>212</v>
      </c>
      <c r="C78" s="5" t="s">
        <v>213</v>
      </c>
      <c r="D78" s="9" t="s">
        <v>200</v>
      </c>
      <c r="E78" s="8" t="n">
        <v>0</v>
      </c>
      <c r="F78" s="8" t="n">
        <v>0</v>
      </c>
      <c r="G78" s="8" t="n">
        <v>0</v>
      </c>
      <c r="H78" s="8" t="n">
        <v>0</v>
      </c>
      <c r="I78" s="8" t="n">
        <v>0</v>
      </c>
      <c r="J78" s="8" t="n">
        <v>0</v>
      </c>
      <c r="K78" s="8" t="n">
        <f aca="false">$B$15+$B$29</f>
        <v>0.25</v>
      </c>
      <c r="L78" s="8" t="n">
        <v>0</v>
      </c>
      <c r="M78" s="11" t="n">
        <v>0</v>
      </c>
      <c r="N78" s="11" t="n">
        <f aca="false">20+20+120+20+15+10</f>
        <v>205</v>
      </c>
      <c r="O78" s="17" t="n">
        <f aca="false">IF(N78&gt;0,3600/N78,0)</f>
        <v>17.5609756097561</v>
      </c>
      <c r="P78" s="7" t="n">
        <f aca="false">O78*$B$6</f>
        <v>2634.14634146342</v>
      </c>
      <c r="Q78" s="5" t="s">
        <v>214</v>
      </c>
      <c r="R78" s="5"/>
    </row>
    <row r="79" customFormat="false" ht="23.85" hidden="false" customHeight="false" outlineLevel="0" collapsed="false">
      <c r="A79" s="16" t="n">
        <v>8</v>
      </c>
      <c r="B79" s="5" t="s">
        <v>215</v>
      </c>
      <c r="C79" s="5" t="s">
        <v>216</v>
      </c>
      <c r="D79" s="9" t="s">
        <v>200</v>
      </c>
      <c r="E79" s="8" t="n">
        <v>0</v>
      </c>
      <c r="F79" s="8" t="n">
        <v>0</v>
      </c>
      <c r="G79" s="8" t="n">
        <v>0</v>
      </c>
      <c r="H79" s="8" t="n">
        <v>0</v>
      </c>
      <c r="I79" s="8" t="n">
        <v>0</v>
      </c>
      <c r="J79" s="8" t="n">
        <v>0</v>
      </c>
      <c r="K79" s="8" t="n">
        <v>0</v>
      </c>
      <c r="L79" s="8" t="n">
        <f aca="false">$B$15+$B$25</f>
        <v>0.25</v>
      </c>
      <c r="M79" s="11" t="n">
        <v>0</v>
      </c>
      <c r="N79" s="11" t="n">
        <f aca="false">60+20+30+300+40+15</f>
        <v>465</v>
      </c>
      <c r="O79" s="17" t="n">
        <f aca="false">IF(N79&gt;0,3600/N79,0)</f>
        <v>7.74193548387097</v>
      </c>
      <c r="P79" s="7" t="n">
        <f aca="false">O79*$B$6</f>
        <v>1161.29032258065</v>
      </c>
      <c r="Q79" s="5" t="s">
        <v>217</v>
      </c>
      <c r="R79" s="5"/>
    </row>
    <row r="80" customFormat="false" ht="23.85" hidden="false" customHeight="false" outlineLevel="0" collapsed="false">
      <c r="A80" s="16" t="n">
        <v>9</v>
      </c>
      <c r="B80" s="5" t="s">
        <v>218</v>
      </c>
      <c r="C80" s="5" t="s">
        <v>219</v>
      </c>
      <c r="D80" s="9" t="s">
        <v>192</v>
      </c>
      <c r="E80" s="8" t="n">
        <v>1</v>
      </c>
      <c r="F80" s="8" t="n">
        <v>1</v>
      </c>
      <c r="G80" s="8" t="n">
        <v>1</v>
      </c>
      <c r="H80" s="8" t="n">
        <v>0</v>
      </c>
      <c r="I80" s="8" t="n">
        <v>0</v>
      </c>
      <c r="J80" s="8" t="n">
        <v>0</v>
      </c>
      <c r="K80" s="8" t="n">
        <v>0</v>
      </c>
      <c r="L80" s="8" t="n">
        <v>0</v>
      </c>
      <c r="M80" s="11" t="n">
        <v>0</v>
      </c>
      <c r="N80" s="11" t="n">
        <f aca="false">5+30+5+10+20+120*$B$15+5</f>
        <v>99</v>
      </c>
      <c r="O80" s="17" t="n">
        <f aca="false">IF(N80&gt;0,3600/N80,0)</f>
        <v>36.3636363636364</v>
      </c>
      <c r="P80" s="7" t="n">
        <f aca="false">O80*$B$6</f>
        <v>5454.54545454546</v>
      </c>
      <c r="Q80" s="5" t="s">
        <v>220</v>
      </c>
      <c r="R80" s="5" t="s">
        <v>221</v>
      </c>
    </row>
    <row r="81" customFormat="false" ht="15" hidden="false" customHeight="false" outlineLevel="0" collapsed="false">
      <c r="A81" s="16" t="n">
        <v>10</v>
      </c>
      <c r="B81" s="5" t="s">
        <v>222</v>
      </c>
      <c r="C81" s="5" t="s">
        <v>223</v>
      </c>
      <c r="D81" s="9" t="s">
        <v>192</v>
      </c>
      <c r="E81" s="8" t="n">
        <v>0</v>
      </c>
      <c r="F81" s="8" t="n">
        <v>0</v>
      </c>
      <c r="G81" s="8" t="n">
        <v>0</v>
      </c>
      <c r="H81" s="8" t="n">
        <f aca="false">$B$28</f>
        <v>1</v>
      </c>
      <c r="I81" s="8" t="n">
        <f aca="false">$B$28</f>
        <v>1</v>
      </c>
      <c r="J81" s="8" t="n">
        <f aca="false">$B$28</f>
        <v>1</v>
      </c>
      <c r="K81" s="8" t="n">
        <f aca="false">$B$15+$B$29</f>
        <v>0.25</v>
      </c>
      <c r="L81" s="8" t="n">
        <f aca="false">$B$15+$B$25</f>
        <v>0.25</v>
      </c>
      <c r="M81" s="11" t="n">
        <v>0</v>
      </c>
      <c r="N81" s="11" t="n">
        <f aca="false">10+40+60+90*0.4+15+15</f>
        <v>176</v>
      </c>
      <c r="O81" s="17" t="n">
        <f aca="false">IF(N81&gt;0,3600/N81,0)</f>
        <v>20.4545454545455</v>
      </c>
      <c r="P81" s="7" t="n">
        <f aca="false">O81*$B$6</f>
        <v>3068.18181818182</v>
      </c>
      <c r="Q81" s="5" t="s">
        <v>224</v>
      </c>
      <c r="R81" s="5"/>
    </row>
    <row r="82" customFormat="false" ht="15" hidden="false" customHeight="false" outlineLevel="0" collapsed="false">
      <c r="A82" s="16" t="n">
        <v>11</v>
      </c>
      <c r="B82" s="5" t="s">
        <v>225</v>
      </c>
      <c r="C82" s="5" t="s">
        <v>226</v>
      </c>
      <c r="D82" s="9" t="s">
        <v>200</v>
      </c>
      <c r="E82" s="8" t="n">
        <f aca="false">$B$32</f>
        <v>0.001</v>
      </c>
      <c r="F82" s="8" t="n">
        <f aca="false">$B$32</f>
        <v>0.001</v>
      </c>
      <c r="G82" s="8" t="n">
        <v>0</v>
      </c>
      <c r="H82" s="8" t="n">
        <v>0</v>
      </c>
      <c r="I82" s="8" t="n">
        <v>0</v>
      </c>
      <c r="J82" s="8" t="n">
        <v>0</v>
      </c>
      <c r="K82" s="8" t="n">
        <v>0</v>
      </c>
      <c r="L82" s="8" t="n">
        <v>0</v>
      </c>
      <c r="M82" s="11" t="n">
        <v>0</v>
      </c>
      <c r="N82" s="11" t="n">
        <f aca="false">300+600+1800+60+120+300</f>
        <v>3180</v>
      </c>
      <c r="O82" s="17" t="n">
        <f aca="false">IF(N82&gt;0,3600/N82,0)</f>
        <v>1.13207547169811</v>
      </c>
      <c r="P82" s="7" t="n">
        <f aca="false">O82*$B$6</f>
        <v>169.811320754717</v>
      </c>
      <c r="Q82" s="5" t="s">
        <v>227</v>
      </c>
      <c r="R82" s="5"/>
    </row>
    <row r="83" customFormat="false" ht="23.85" hidden="false" customHeight="false" outlineLevel="0" collapsed="false">
      <c r="A83" s="16" t="n">
        <v>12</v>
      </c>
      <c r="B83" s="5" t="s">
        <v>228</v>
      </c>
      <c r="C83" s="5" t="s">
        <v>229</v>
      </c>
      <c r="D83" s="9" t="s">
        <v>200</v>
      </c>
      <c r="E83" s="8" t="n">
        <f aca="false">$B$15</f>
        <v>0.2</v>
      </c>
      <c r="F83" s="8" t="n">
        <f aca="false">$B$15</f>
        <v>0.2</v>
      </c>
      <c r="G83" s="8" t="n">
        <f aca="false">$B$15</f>
        <v>0.2</v>
      </c>
      <c r="H83" s="8" t="n">
        <f aca="false">$B$16</f>
        <v>0.5</v>
      </c>
      <c r="I83" s="8" t="n">
        <f aca="false">$B$16</f>
        <v>0.5</v>
      </c>
      <c r="J83" s="8" t="n">
        <f aca="false">$B$16</f>
        <v>0.5</v>
      </c>
      <c r="K83" s="8" t="n">
        <f aca="false">$B$15</f>
        <v>0.2</v>
      </c>
      <c r="L83" s="8" t="n">
        <f aca="false">$B$15</f>
        <v>0.2</v>
      </c>
      <c r="M83" s="11" t="n">
        <v>0</v>
      </c>
      <c r="N83" s="11" t="n">
        <f aca="false">12+20+90+90+75+15</f>
        <v>302</v>
      </c>
      <c r="O83" s="17" t="n">
        <f aca="false">IF(N83&gt;0,3600/N83,0)</f>
        <v>11.9205298013245</v>
      </c>
      <c r="P83" s="7" t="n">
        <f aca="false">O83*$B$6</f>
        <v>1788.07947019868</v>
      </c>
      <c r="Q83" s="5" t="s">
        <v>230</v>
      </c>
      <c r="R83" s="5"/>
    </row>
    <row r="84" customFormat="false" ht="15" hidden="false" customHeight="false" outlineLevel="0" collapsed="false">
      <c r="A84" s="16" t="n">
        <v>13</v>
      </c>
      <c r="B84" s="5" t="s">
        <v>231</v>
      </c>
      <c r="C84" s="5" t="s">
        <v>232</v>
      </c>
      <c r="D84" s="9" t="s">
        <v>200</v>
      </c>
      <c r="E84" s="8" t="n">
        <f aca="false">$B$15+$B$31</f>
        <v>0.21</v>
      </c>
      <c r="F84" s="8" t="n">
        <f aca="false">$B$15+$B$31</f>
        <v>0.21</v>
      </c>
      <c r="G84" s="8" t="n">
        <f aca="false">$B$15+$B$31</f>
        <v>0.21</v>
      </c>
      <c r="H84" s="8" t="n">
        <v>0</v>
      </c>
      <c r="I84" s="8" t="n">
        <v>0</v>
      </c>
      <c r="J84" s="8" t="n">
        <v>0</v>
      </c>
      <c r="K84" s="8" t="n">
        <f aca="false">$B$15</f>
        <v>0.2</v>
      </c>
      <c r="L84" s="8" t="n">
        <f aca="false">$B$15</f>
        <v>0.2</v>
      </c>
      <c r="M84" s="11" t="n">
        <v>0</v>
      </c>
      <c r="N84" s="11" t="n">
        <f aca="false">15+15*60/6+15</f>
        <v>180</v>
      </c>
      <c r="O84" s="17" t="n">
        <f aca="false">IF(N84&gt;0,3600/N84,0)</f>
        <v>20</v>
      </c>
      <c r="P84" s="7" t="n">
        <f aca="false">O84*$B$6</f>
        <v>3000</v>
      </c>
      <c r="Q84" s="5" t="s">
        <v>233</v>
      </c>
      <c r="R84" s="5" t="s">
        <v>234</v>
      </c>
    </row>
    <row r="85" customFormat="false" ht="15" hidden="false" customHeight="false" outlineLevel="0" collapsed="false">
      <c r="A85" s="16" t="n">
        <v>14</v>
      </c>
      <c r="B85" s="5" t="s">
        <v>235</v>
      </c>
      <c r="C85" s="5" t="s">
        <v>236</v>
      </c>
      <c r="D85" s="9" t="s">
        <v>192</v>
      </c>
      <c r="E85" s="8" t="n">
        <f aca="false">$B$15+$B$31</f>
        <v>0.21</v>
      </c>
      <c r="F85" s="8" t="n">
        <f aca="false">$B$15+$B$31</f>
        <v>0.21</v>
      </c>
      <c r="G85" s="8" t="n">
        <f aca="false">$B$15+$B$31</f>
        <v>0.21</v>
      </c>
      <c r="H85" s="8" t="n">
        <v>0</v>
      </c>
      <c r="I85" s="8" t="n">
        <v>0</v>
      </c>
      <c r="J85" s="8" t="n">
        <v>0</v>
      </c>
      <c r="K85" s="8" t="n">
        <f aca="false">$B$15</f>
        <v>0.2</v>
      </c>
      <c r="L85" s="8" t="n">
        <f aca="false">$B$15</f>
        <v>0.2</v>
      </c>
      <c r="M85" s="11" t="n">
        <v>0</v>
      </c>
      <c r="N85" s="11" t="n">
        <f aca="false">60+15+10</f>
        <v>85</v>
      </c>
      <c r="O85" s="17" t="n">
        <f aca="false">IF(N85&gt;0,3600/N85,0)</f>
        <v>42.3529411764706</v>
      </c>
      <c r="P85" s="7" t="n">
        <f aca="false">O85*$B$6</f>
        <v>6352.94117647059</v>
      </c>
      <c r="Q85" s="5" t="s">
        <v>237</v>
      </c>
      <c r="R85" s="5"/>
    </row>
    <row r="86" customFormat="false" ht="23.85" hidden="false" customHeight="false" outlineLevel="0" collapsed="false">
      <c r="A86" s="16" t="n">
        <v>15</v>
      </c>
      <c r="B86" s="5" t="s">
        <v>238</v>
      </c>
      <c r="C86" s="5" t="s">
        <v>239</v>
      </c>
      <c r="D86" s="9" t="s">
        <v>200</v>
      </c>
      <c r="E86" s="8" t="n">
        <f aca="false">$B$30</f>
        <v>0.1</v>
      </c>
      <c r="F86" s="8" t="n">
        <f aca="false">$B$30</f>
        <v>0.1</v>
      </c>
      <c r="G86" s="8" t="n">
        <f aca="false">$B$30</f>
        <v>0.1</v>
      </c>
      <c r="H86" s="8" t="n">
        <f aca="false">$B$30</f>
        <v>0.1</v>
      </c>
      <c r="I86" s="8" t="n">
        <f aca="false">$B$30</f>
        <v>0.1</v>
      </c>
      <c r="J86" s="8" t="n">
        <f aca="false">$B$30</f>
        <v>0.1</v>
      </c>
      <c r="K86" s="8" t="n">
        <f aca="false">$B$30</f>
        <v>0.1</v>
      </c>
      <c r="L86" s="8" t="n">
        <f aca="false">$B$30</f>
        <v>0.1</v>
      </c>
      <c r="M86" s="11" t="n">
        <v>0</v>
      </c>
      <c r="N86" s="11" t="n">
        <v>750</v>
      </c>
      <c r="O86" s="17" t="n">
        <f aca="false">IF(N86&gt;0,3600/N86,0)</f>
        <v>4.8</v>
      </c>
      <c r="P86" s="7" t="n">
        <f aca="false">O86*$B$6</f>
        <v>720</v>
      </c>
      <c r="Q86" s="5"/>
      <c r="R86" s="5" t="s">
        <v>240</v>
      </c>
    </row>
    <row r="87" customFormat="false" ht="15" hidden="false" customHeight="false" outlineLevel="0" collapsed="false">
      <c r="A87" s="16" t="n">
        <v>16</v>
      </c>
      <c r="B87" s="5" t="s">
        <v>241</v>
      </c>
      <c r="C87" s="5" t="s">
        <v>242</v>
      </c>
      <c r="D87" s="9" t="s">
        <v>200</v>
      </c>
      <c r="E87" s="8" t="n">
        <v>1</v>
      </c>
      <c r="F87" s="8" t="n">
        <v>0</v>
      </c>
      <c r="G87" s="8" t="n">
        <v>0</v>
      </c>
      <c r="H87" s="8" t="n">
        <v>0</v>
      </c>
      <c r="I87" s="8" t="n">
        <v>0</v>
      </c>
      <c r="J87" s="8" t="n">
        <v>0</v>
      </c>
      <c r="K87" s="8" t="n">
        <v>0</v>
      </c>
      <c r="L87" s="8" t="n">
        <v>0</v>
      </c>
      <c r="M87" s="11" t="n">
        <v>1</v>
      </c>
      <c r="N87" s="11" t="n">
        <f aca="false">6+15+45+15+15+10</f>
        <v>106</v>
      </c>
      <c r="O87" s="17" t="n">
        <f aca="false">IF(N87&gt;0,3600/N87,0)</f>
        <v>33.9622641509434</v>
      </c>
      <c r="P87" s="7" t="n">
        <f aca="false">O87*$B$6</f>
        <v>5094.33962264151</v>
      </c>
      <c r="Q87" s="5" t="s">
        <v>243</v>
      </c>
      <c r="R87" s="5" t="s">
        <v>244</v>
      </c>
    </row>
    <row r="88" customFormat="false" ht="15" hidden="false" customHeight="false" outlineLevel="0" collapsed="false">
      <c r="A88" s="16" t="n">
        <v>17</v>
      </c>
      <c r="B88" s="5" t="s">
        <v>245</v>
      </c>
      <c r="C88" s="5" t="s">
        <v>246</v>
      </c>
      <c r="D88" s="9" t="s">
        <v>200</v>
      </c>
      <c r="E88" s="8" t="n">
        <v>0</v>
      </c>
      <c r="F88" s="8" t="n">
        <v>1</v>
      </c>
      <c r="G88" s="8" t="n">
        <v>0</v>
      </c>
      <c r="H88" s="8" t="n">
        <v>0</v>
      </c>
      <c r="I88" s="8" t="n">
        <v>0</v>
      </c>
      <c r="J88" s="8" t="n">
        <v>0</v>
      </c>
      <c r="K88" s="8" t="n">
        <v>0</v>
      </c>
      <c r="L88" s="8" t="n">
        <v>0</v>
      </c>
      <c r="M88" s="11" t="n">
        <v>0</v>
      </c>
      <c r="N88" s="11" t="n">
        <f aca="false">10+15+75+15+15+10</f>
        <v>140</v>
      </c>
      <c r="O88" s="17" t="n">
        <f aca="false">IF(N88&gt;0,3600/N88,0)</f>
        <v>25.7142857142857</v>
      </c>
      <c r="P88" s="7" t="n">
        <f aca="false">O88*$B$6</f>
        <v>3857.14285714286</v>
      </c>
      <c r="Q88" s="5" t="s">
        <v>247</v>
      </c>
      <c r="R88" s="5"/>
    </row>
    <row r="89" customFormat="false" ht="15" hidden="false" customHeight="false" outlineLevel="0" collapsed="false">
      <c r="A89" s="16" t="n">
        <v>18</v>
      </c>
      <c r="B89" s="5" t="s">
        <v>248</v>
      </c>
      <c r="C89" s="5" t="s">
        <v>249</v>
      </c>
      <c r="D89" s="9" t="s">
        <v>192</v>
      </c>
      <c r="E89" s="8" t="n">
        <v>0</v>
      </c>
      <c r="F89" s="8" t="n">
        <v>0</v>
      </c>
      <c r="G89" s="8" t="n">
        <v>1</v>
      </c>
      <c r="H89" s="8" t="n">
        <v>0</v>
      </c>
      <c r="I89" s="8" t="n">
        <v>0</v>
      </c>
      <c r="J89" s="8" t="n">
        <v>0</v>
      </c>
      <c r="K89" s="8" t="n">
        <v>0</v>
      </c>
      <c r="L89" s="8" t="n">
        <v>0</v>
      </c>
      <c r="M89" s="11" t="n">
        <v>0</v>
      </c>
      <c r="N89" s="11" t="n">
        <f aca="false">180+15+240+30+15+10</f>
        <v>490</v>
      </c>
      <c r="O89" s="17" t="n">
        <f aca="false">IF(N89&gt;0,3600/N89,0)</f>
        <v>7.3469387755102</v>
      </c>
      <c r="P89" s="7" t="n">
        <f aca="false">O89*$B$6</f>
        <v>1102.04081632653</v>
      </c>
      <c r="Q89" s="5" t="s">
        <v>250</v>
      </c>
      <c r="R89" s="5" t="s">
        <v>251</v>
      </c>
    </row>
    <row r="90" customFormat="false" ht="23.85" hidden="false" customHeight="false" outlineLevel="0" collapsed="false">
      <c r="A90" s="16" t="n">
        <v>19</v>
      </c>
      <c r="B90" s="5" t="s">
        <v>252</v>
      </c>
      <c r="C90" s="5" t="s">
        <v>253</v>
      </c>
      <c r="D90" s="9" t="s">
        <v>200</v>
      </c>
      <c r="E90" s="8" t="n">
        <v>0</v>
      </c>
      <c r="F90" s="8" t="n">
        <v>0</v>
      </c>
      <c r="G90" s="8" t="n">
        <v>0</v>
      </c>
      <c r="H90" s="8" t="n">
        <f aca="false">$B$28</f>
        <v>1</v>
      </c>
      <c r="I90" s="8" t="n">
        <f aca="false">$B$28</f>
        <v>1</v>
      </c>
      <c r="J90" s="8" t="n">
        <f aca="false">$B$28</f>
        <v>1</v>
      </c>
      <c r="K90" s="8" t="n">
        <v>0</v>
      </c>
      <c r="L90" s="8" t="n">
        <v>0</v>
      </c>
      <c r="M90" s="11" t="n">
        <v>0</v>
      </c>
      <c r="N90" s="11" t="n">
        <f aca="false">20+10+30+15+15+10</f>
        <v>100</v>
      </c>
      <c r="O90" s="17" t="n">
        <f aca="false">IF(N90&gt;0,3600/N90,0)</f>
        <v>36</v>
      </c>
      <c r="P90" s="7" t="n">
        <f aca="false">O90*$B$6</f>
        <v>5400</v>
      </c>
      <c r="Q90" s="5" t="s">
        <v>254</v>
      </c>
      <c r="R90" s="5"/>
    </row>
    <row r="91" customFormat="false" ht="15" hidden="false" customHeight="false" outlineLevel="0" collapsed="false">
      <c r="A91" s="16" t="n">
        <v>20</v>
      </c>
      <c r="B91" s="5" t="s">
        <v>255</v>
      </c>
      <c r="C91" s="5" t="s">
        <v>256</v>
      </c>
      <c r="D91" s="9" t="s">
        <v>200</v>
      </c>
      <c r="E91" s="8" t="n">
        <v>0</v>
      </c>
      <c r="F91" s="8" t="n">
        <v>0</v>
      </c>
      <c r="G91" s="8" t="n">
        <v>0</v>
      </c>
      <c r="H91" s="8" t="n">
        <v>0</v>
      </c>
      <c r="I91" s="8" t="n">
        <v>0</v>
      </c>
      <c r="J91" s="8" t="n">
        <v>0</v>
      </c>
      <c r="K91" s="8" t="n">
        <f aca="false">$B$15+$B$29+$B$25</f>
        <v>0.3</v>
      </c>
      <c r="L91" s="8" t="n">
        <v>0</v>
      </c>
      <c r="M91" s="11" t="n">
        <v>0</v>
      </c>
      <c r="N91" s="11" t="n">
        <f aca="false">30+10+15+150+25+10</f>
        <v>240</v>
      </c>
      <c r="O91" s="17" t="n">
        <f aca="false">IF(N91&gt;0,3600/N91,0)</f>
        <v>15</v>
      </c>
      <c r="P91" s="7" t="n">
        <f aca="false">O91*$B$6</f>
        <v>2250</v>
      </c>
      <c r="Q91" s="5" t="s">
        <v>257</v>
      </c>
      <c r="R91" s="5"/>
    </row>
    <row r="92" customFormat="false" ht="15" hidden="false" customHeight="false" outlineLevel="0" collapsed="false">
      <c r="A92" s="16" t="n">
        <v>21</v>
      </c>
      <c r="B92" s="5" t="s">
        <v>258</v>
      </c>
      <c r="C92" s="5" t="s">
        <v>259</v>
      </c>
      <c r="D92" s="9" t="s">
        <v>192</v>
      </c>
      <c r="E92" s="8" t="n">
        <v>1</v>
      </c>
      <c r="F92" s="8" t="n">
        <v>1</v>
      </c>
      <c r="G92" s="8" t="n">
        <v>1</v>
      </c>
      <c r="H92" s="8" t="n">
        <v>0</v>
      </c>
      <c r="I92" s="8" t="n">
        <v>0</v>
      </c>
      <c r="J92" s="8" t="n">
        <v>0</v>
      </c>
      <c r="K92" s="8" t="n">
        <v>0</v>
      </c>
      <c r="L92" s="8" t="n">
        <v>0</v>
      </c>
      <c r="M92" s="11" t="n">
        <v>1</v>
      </c>
      <c r="N92" s="11" t="n">
        <f aca="false">10+30+20+10+30+20</f>
        <v>120</v>
      </c>
      <c r="O92" s="17" t="n">
        <f aca="false">IF(N92&gt;0,3600/N92,0)</f>
        <v>30</v>
      </c>
      <c r="P92" s="7" t="n">
        <f aca="false">O92*$B$6</f>
        <v>4500</v>
      </c>
      <c r="Q92" s="5" t="s">
        <v>260</v>
      </c>
      <c r="R92" s="5"/>
    </row>
    <row r="93" customFormat="false" ht="15" hidden="false" customHeight="false" outlineLevel="0" collapsed="false">
      <c r="A93" s="16" t="n">
        <v>22</v>
      </c>
      <c r="B93" s="5" t="s">
        <v>261</v>
      </c>
      <c r="C93" s="5" t="s">
        <v>262</v>
      </c>
      <c r="D93" s="9" t="s">
        <v>200</v>
      </c>
      <c r="E93" s="8" t="n">
        <v>1</v>
      </c>
      <c r="F93" s="8" t="n">
        <v>1</v>
      </c>
      <c r="G93" s="8" t="n">
        <v>1</v>
      </c>
      <c r="H93" s="8" t="n">
        <v>0</v>
      </c>
      <c r="I93" s="8" t="n">
        <v>0</v>
      </c>
      <c r="J93" s="8" t="n">
        <v>0</v>
      </c>
      <c r="K93" s="8" t="n">
        <v>0</v>
      </c>
      <c r="L93" s="8" t="n">
        <v>0</v>
      </c>
      <c r="M93" s="11" t="n">
        <v>1</v>
      </c>
      <c r="N93" s="11" t="n">
        <f aca="false">3+15+10+20+15+10</f>
        <v>73</v>
      </c>
      <c r="O93" s="17" t="n">
        <f aca="false">IF(N93&gt;0,3600/N93,0)</f>
        <v>49.3150684931507</v>
      </c>
      <c r="P93" s="7" t="n">
        <f aca="false">O93*$B$6</f>
        <v>7397.2602739726</v>
      </c>
      <c r="Q93" s="5" t="s">
        <v>263</v>
      </c>
      <c r="R93" s="5"/>
    </row>
    <row r="94" customFormat="false" ht="15" hidden="false" customHeight="false" outlineLevel="0" collapsed="false">
      <c r="A94" s="16" t="n">
        <v>23</v>
      </c>
      <c r="B94" s="5" t="s">
        <v>264</v>
      </c>
      <c r="C94" s="5" t="s">
        <v>265</v>
      </c>
      <c r="D94" s="9" t="s">
        <v>192</v>
      </c>
      <c r="E94" s="8" t="n">
        <v>0</v>
      </c>
      <c r="F94" s="8" t="n">
        <v>0</v>
      </c>
      <c r="G94" s="8" t="n">
        <v>0</v>
      </c>
      <c r="H94" s="8" t="n">
        <f aca="false">$B$28</f>
        <v>1</v>
      </c>
      <c r="I94" s="8" t="n">
        <f aca="false">$B$28</f>
        <v>1</v>
      </c>
      <c r="J94" s="8" t="n">
        <f aca="false">$B$28</f>
        <v>1</v>
      </c>
      <c r="K94" s="8" t="n">
        <f aca="false">$B$15+$B$29</f>
        <v>0.25</v>
      </c>
      <c r="L94" s="8" t="n">
        <f aca="false">$B$15+$B$25</f>
        <v>0.25</v>
      </c>
      <c r="M94" s="11" t="n">
        <v>0</v>
      </c>
      <c r="N94" s="11" t="n">
        <f aca="false">120+50</f>
        <v>170</v>
      </c>
      <c r="O94" s="17" t="n">
        <f aca="false">IF(N94&gt;0,3600/N94,0)</f>
        <v>21.1764705882353</v>
      </c>
      <c r="P94" s="7" t="n">
        <f aca="false">O94*$B$6</f>
        <v>3176.47058823529</v>
      </c>
      <c r="Q94" s="5" t="s">
        <v>266</v>
      </c>
      <c r="R94" s="5"/>
    </row>
    <row r="95" customFormat="false" ht="15" hidden="false" customHeight="false" outlineLevel="0" collapsed="false">
      <c r="A95" s="16" t="n">
        <v>24</v>
      </c>
      <c r="B95" s="5" t="s">
        <v>267</v>
      </c>
      <c r="C95" s="5" t="s">
        <v>268</v>
      </c>
      <c r="D95" s="9" t="s">
        <v>200</v>
      </c>
      <c r="E95" s="8" t="n">
        <v>0</v>
      </c>
      <c r="F95" s="8" t="n">
        <v>0</v>
      </c>
      <c r="G95" s="8" t="n">
        <v>0</v>
      </c>
      <c r="H95" s="8" t="n">
        <v>0</v>
      </c>
      <c r="I95" s="8" t="n">
        <v>0</v>
      </c>
      <c r="J95" s="8" t="n">
        <v>0</v>
      </c>
      <c r="K95" s="8" t="n">
        <v>0</v>
      </c>
      <c r="L95" s="8" t="n">
        <f aca="false">$B$15+$B$25</f>
        <v>0.25</v>
      </c>
      <c r="M95" s="11" t="n">
        <v>0</v>
      </c>
      <c r="N95" s="11" t="n">
        <f aca="false">300+40+60+30</f>
        <v>430</v>
      </c>
      <c r="O95" s="17" t="n">
        <f aca="false">IF(N95&gt;0,3600/N95,0)</f>
        <v>8.37209302325582</v>
      </c>
      <c r="P95" s="7" t="n">
        <f aca="false">O95*$B$6</f>
        <v>1255.81395348837</v>
      </c>
      <c r="Q95" s="5" t="s">
        <v>269</v>
      </c>
      <c r="R95" s="5"/>
    </row>
    <row r="96" customFormat="false" ht="23.85" hidden="false" customHeight="false" outlineLevel="0" collapsed="false">
      <c r="A96" s="16" t="n">
        <v>25</v>
      </c>
      <c r="B96" s="5" t="s">
        <v>270</v>
      </c>
      <c r="C96" s="5" t="s">
        <v>271</v>
      </c>
      <c r="D96" s="9" t="s">
        <v>192</v>
      </c>
      <c r="E96" s="8" t="n">
        <v>0</v>
      </c>
      <c r="F96" s="8" t="n">
        <v>0</v>
      </c>
      <c r="G96" s="8" t="n">
        <v>0</v>
      </c>
      <c r="H96" s="8" t="n">
        <v>0</v>
      </c>
      <c r="I96" s="8" t="n">
        <v>0</v>
      </c>
      <c r="J96" s="8" t="n">
        <v>0</v>
      </c>
      <c r="K96" s="8" t="n">
        <f aca="false">1-($B$15+$B$29+$B$25)</f>
        <v>0.7</v>
      </c>
      <c r="L96" s="8" t="n">
        <f aca="false">1-($B$15+$B$25)</f>
        <v>0.75</v>
      </c>
      <c r="M96" s="11" t="n">
        <v>0</v>
      </c>
      <c r="N96" s="11" t="n">
        <f aca="false">30+10</f>
        <v>40</v>
      </c>
      <c r="O96" s="17" t="n">
        <f aca="false">IF(N96&gt;0,3600/N96,0)</f>
        <v>90</v>
      </c>
      <c r="P96" s="7" t="n">
        <f aca="false">O96*$B$6</f>
        <v>13500</v>
      </c>
      <c r="Q96" s="5" t="s">
        <v>272</v>
      </c>
      <c r="R96" s="5" t="s">
        <v>273</v>
      </c>
    </row>
    <row r="97" customFormat="false" ht="23.85" hidden="false" customHeight="false" outlineLevel="0" collapsed="false">
      <c r="A97" s="16" t="n">
        <v>26</v>
      </c>
      <c r="B97" s="5" t="s">
        <v>274</v>
      </c>
      <c r="C97" s="5" t="s">
        <v>275</v>
      </c>
      <c r="D97" s="9" t="s">
        <v>200</v>
      </c>
      <c r="E97" s="8" t="n">
        <v>1</v>
      </c>
      <c r="F97" s="8" t="n">
        <v>1</v>
      </c>
      <c r="G97" s="8" t="n">
        <v>1</v>
      </c>
      <c r="H97" s="8" t="n">
        <v>1</v>
      </c>
      <c r="I97" s="8" t="n">
        <v>1</v>
      </c>
      <c r="J97" s="8" t="n">
        <v>1</v>
      </c>
      <c r="K97" s="8" t="n">
        <v>1</v>
      </c>
      <c r="L97" s="8" t="n">
        <v>1</v>
      </c>
      <c r="M97" s="11" t="n">
        <v>1</v>
      </c>
      <c r="N97" s="11" t="n">
        <f aca="false">5+45+10+10+10</f>
        <v>80</v>
      </c>
      <c r="O97" s="17" t="n">
        <f aca="false">IF(N97&gt;0,3600/N97,0)</f>
        <v>45</v>
      </c>
      <c r="P97" s="7" t="n">
        <f aca="false">O97*$B$6</f>
        <v>6750</v>
      </c>
      <c r="Q97" s="5" t="s">
        <v>276</v>
      </c>
      <c r="R97" s="5"/>
    </row>
    <row r="98" customFormat="false" ht="15" hidden="false" customHeight="false" outlineLevel="0" collapsed="false">
      <c r="A98" s="16" t="n">
        <v>27</v>
      </c>
      <c r="B98" s="5" t="s">
        <v>277</v>
      </c>
      <c r="C98" s="5" t="s">
        <v>278</v>
      </c>
      <c r="D98" s="9" t="s">
        <v>192</v>
      </c>
      <c r="E98" s="8" t="n">
        <v>1</v>
      </c>
      <c r="F98" s="8" t="n">
        <v>1</v>
      </c>
      <c r="G98" s="8" t="n">
        <v>1</v>
      </c>
      <c r="H98" s="8" t="n">
        <v>1</v>
      </c>
      <c r="I98" s="8" t="n">
        <v>1</v>
      </c>
      <c r="J98" s="8" t="n">
        <v>1</v>
      </c>
      <c r="K98" s="8" t="n">
        <v>1</v>
      </c>
      <c r="L98" s="8" t="n">
        <v>1</v>
      </c>
      <c r="M98" s="11" t="n">
        <v>1</v>
      </c>
      <c r="N98" s="11" t="n">
        <f aca="false">15+25+15+10+15+6</f>
        <v>86</v>
      </c>
      <c r="O98" s="17" t="n">
        <f aca="false">IF(N98&gt;0,3600/N98,0)</f>
        <v>41.8604651162791</v>
      </c>
      <c r="P98" s="7" t="n">
        <f aca="false">O98*$B$6</f>
        <v>6279.06976744186</v>
      </c>
      <c r="Q98" s="5" t="s">
        <v>279</v>
      </c>
      <c r="R98" s="5" t="s">
        <v>280</v>
      </c>
    </row>
    <row r="99" customFormat="false" ht="15" hidden="false" customHeight="false" outlineLevel="0" collapsed="false">
      <c r="A99" s="16" t="n">
        <v>28</v>
      </c>
      <c r="B99" s="5" t="s">
        <v>281</v>
      </c>
      <c r="C99" s="5" t="s">
        <v>282</v>
      </c>
      <c r="D99" s="9" t="s">
        <v>200</v>
      </c>
      <c r="E99" s="8" t="n">
        <f aca="false">$B$24</f>
        <v>0.08</v>
      </c>
      <c r="F99" s="8" t="n">
        <f aca="false">$B$24</f>
        <v>0.08</v>
      </c>
      <c r="G99" s="8" t="n">
        <f aca="false">$B$24</f>
        <v>0.08</v>
      </c>
      <c r="H99" s="8" t="n">
        <f aca="false">$B$24</f>
        <v>0.08</v>
      </c>
      <c r="I99" s="8" t="n">
        <f aca="false">$B$24</f>
        <v>0.08</v>
      </c>
      <c r="J99" s="8" t="n">
        <f aca="false">$B$24</f>
        <v>0.08</v>
      </c>
      <c r="K99" s="8" t="n">
        <f aca="false">$B$23</f>
        <v>0.0633333333333333</v>
      </c>
      <c r="L99" s="8" t="n">
        <f aca="false">$B$24</f>
        <v>0.08</v>
      </c>
      <c r="M99" s="11" t="n">
        <v>0</v>
      </c>
      <c r="N99" s="11" t="n">
        <f aca="false">30+120+90+60+90</f>
        <v>390</v>
      </c>
      <c r="O99" s="17" t="n">
        <f aca="false">IF(N99&gt;0,3600/N99,0)</f>
        <v>9.23076923076923</v>
      </c>
      <c r="P99" s="7" t="n">
        <f aca="false">O99*$B$6</f>
        <v>1384.61538461538</v>
      </c>
      <c r="Q99" s="5" t="s">
        <v>283</v>
      </c>
      <c r="R99" s="5" t="s">
        <v>284</v>
      </c>
    </row>
    <row r="100" customFormat="false" ht="35.05" hidden="false" customHeight="false" outlineLevel="0" collapsed="false">
      <c r="A100" s="16" t="n">
        <v>29</v>
      </c>
      <c r="B100" s="5" t="s">
        <v>285</v>
      </c>
      <c r="C100" s="5" t="s">
        <v>286</v>
      </c>
      <c r="D100" s="9" t="s">
        <v>200</v>
      </c>
      <c r="E100" s="9" t="s">
        <v>287</v>
      </c>
      <c r="F100" s="9" t="s">
        <v>287</v>
      </c>
      <c r="G100" s="9" t="s">
        <v>287</v>
      </c>
      <c r="H100" s="9" t="s">
        <v>287</v>
      </c>
      <c r="I100" s="9" t="s">
        <v>287</v>
      </c>
      <c r="J100" s="9" t="s">
        <v>287</v>
      </c>
      <c r="K100" s="9" t="s">
        <v>287</v>
      </c>
      <c r="L100" s="9" t="s">
        <v>287</v>
      </c>
      <c r="M100" s="11" t="n">
        <v>0</v>
      </c>
      <c r="N100" s="11" t="n">
        <f aca="false">12+20+90+90+75+15</f>
        <v>302</v>
      </c>
      <c r="O100" s="17" t="n">
        <f aca="false">IF(N100&gt;0,3600/N100,0)</f>
        <v>11.9205298013245</v>
      </c>
      <c r="P100" s="7" t="n">
        <f aca="false">O100*$B$6</f>
        <v>1788.07947019868</v>
      </c>
      <c r="Q100" s="5" t="s">
        <v>288</v>
      </c>
      <c r="R100" s="5" t="s">
        <v>289</v>
      </c>
    </row>
    <row r="102" customFormat="false" ht="23.85" hidden="false" customHeight="false" outlineLevel="0" collapsed="false">
      <c r="A102" s="9" t="s">
        <v>287</v>
      </c>
      <c r="B102" s="5" t="s">
        <v>290</v>
      </c>
      <c r="C102" s="5" t="s">
        <v>291</v>
      </c>
      <c r="N102" s="11" t="n">
        <v>60</v>
      </c>
      <c r="O102" s="17" t="n">
        <f aca="false">IF(N102&gt;0,3600/N102,0)</f>
        <v>60</v>
      </c>
      <c r="R102" s="5" t="s">
        <v>292</v>
      </c>
    </row>
    <row r="104" customFormat="false" ht="15" hidden="false" customHeight="false" outlineLevel="0" collapsed="false">
      <c r="A104" s="1" t="s">
        <v>293</v>
      </c>
    </row>
    <row r="105" customFormat="false" ht="15" hidden="false" customHeight="false" outlineLevel="0" collapsed="false">
      <c r="A105" s="2" t="s">
        <v>294</v>
      </c>
    </row>
    <row r="106" customFormat="false" ht="15" hidden="false" customHeight="true" outlineLevel="0" collapsed="false">
      <c r="A106" s="3" t="s">
        <v>160</v>
      </c>
      <c r="B106" s="3" t="s">
        <v>147</v>
      </c>
      <c r="C106" s="3" t="s">
        <v>148</v>
      </c>
      <c r="D106" s="3" t="s">
        <v>149</v>
      </c>
      <c r="E106" s="3" t="s">
        <v>150</v>
      </c>
      <c r="F106" s="3" t="s">
        <v>151</v>
      </c>
      <c r="G106" s="3" t="s">
        <v>152</v>
      </c>
      <c r="H106" s="3" t="s">
        <v>153</v>
      </c>
      <c r="I106" s="3" t="s">
        <v>154</v>
      </c>
      <c r="J106" s="3" t="s">
        <v>155</v>
      </c>
      <c r="K106" s="3" t="s">
        <v>156</v>
      </c>
      <c r="L106" s="3" t="s">
        <v>157</v>
      </c>
      <c r="M106" s="3" t="s">
        <v>158</v>
      </c>
      <c r="N106" s="3" t="s">
        <v>83</v>
      </c>
      <c r="O106" s="3" t="s">
        <v>295</v>
      </c>
      <c r="P106" s="3"/>
      <c r="Q106" s="3"/>
      <c r="R106" s="3"/>
    </row>
    <row r="107" customFormat="false" ht="15" hidden="false" customHeight="true" outlineLevel="0" collapsed="false">
      <c r="A107" s="9" t="str">
        <f aca="false">A51</f>
        <v>ABC 1 kg</v>
      </c>
      <c r="B107" s="8" t="n">
        <f aca="false">IFERROR(__xludf.DUMMYFUNCTION("IMPORTRANGE(Links!$B$5,""parametros_manuales!B12:M15"")"),0.12)</f>
        <v>0.12</v>
      </c>
      <c r="C107" s="8" t="n">
        <f aca="false">IFERROR(__xludf.DUMMYFUNCTION("""COMPUTED_VALUE"""),0.09)</f>
        <v>0.09</v>
      </c>
      <c r="D107" s="8" t="n">
        <f aca="false">IFERROR(__xludf.DUMMYFUNCTION("""COMPUTED_VALUE"""),0.08)</f>
        <v>0.08</v>
      </c>
      <c r="E107" s="8" t="n">
        <f aca="false">IFERROR(__xludf.DUMMYFUNCTION("""COMPUTED_VALUE"""),0.075)</f>
        <v>0.075</v>
      </c>
      <c r="F107" s="8" t="n">
        <f aca="false">IFERROR(__xludf.DUMMYFUNCTION("""COMPUTED_VALUE"""),0.07)</f>
        <v>0.07</v>
      </c>
      <c r="G107" s="8" t="n">
        <f aca="false">IFERROR(__xludf.DUMMYFUNCTION("""COMPUTED_VALUE"""),0.07)</f>
        <v>0.07</v>
      </c>
      <c r="H107" s="8" t="n">
        <f aca="false">IFERROR(__xludf.DUMMYFUNCTION("""COMPUTED_VALUE"""),0.075)</f>
        <v>0.075</v>
      </c>
      <c r="I107" s="8" t="n">
        <f aca="false">IFERROR(__xludf.DUMMYFUNCTION("""COMPUTED_VALUE"""),0.075)</f>
        <v>0.075</v>
      </c>
      <c r="J107" s="8" t="n">
        <f aca="false">IFERROR(__xludf.DUMMYFUNCTION("""COMPUTED_VALUE"""),0.075)</f>
        <v>0.075</v>
      </c>
      <c r="K107" s="8" t="n">
        <f aca="false">IFERROR(__xludf.DUMMYFUNCTION("""COMPUTED_VALUE"""),0.075)</f>
        <v>0.075</v>
      </c>
      <c r="L107" s="8" t="n">
        <f aca="false">IFERROR(__xludf.DUMMYFUNCTION("""COMPUTED_VALUE"""),0.075)</f>
        <v>0.075</v>
      </c>
      <c r="M107" s="8" t="n">
        <f aca="false">IFERROR(__xludf.DUMMYFUNCTION("""COMPUTED_VALUE"""),0.12)</f>
        <v>0.12</v>
      </c>
      <c r="N107" s="10" t="n">
        <f aca="false">SUM(B107:M107)</f>
        <v>1</v>
      </c>
      <c r="O107" s="5" t="s">
        <v>296</v>
      </c>
      <c r="P107" s="5"/>
      <c r="Q107" s="5"/>
      <c r="R107" s="5"/>
    </row>
    <row r="108" customFormat="false" ht="15" hidden="false" customHeight="true" outlineLevel="0" collapsed="false">
      <c r="A108" s="9" t="str">
        <f aca="false">A52</f>
        <v>ABC 2,5 kg</v>
      </c>
      <c r="B108" s="8" t="n">
        <f aca="false">IFERROR(__xludf.DUMMYFUNCTION("""COMPUTED_VALUE"""),0.1)</f>
        <v>0.1</v>
      </c>
      <c r="C108" s="8" t="n">
        <f aca="false">IFERROR(__xludf.DUMMYFUNCTION("""COMPUTED_VALUE"""),0.08)</f>
        <v>0.08</v>
      </c>
      <c r="D108" s="8" t="n">
        <f aca="false">IFERROR(__xludf.DUMMYFUNCTION("""COMPUTED_VALUE"""),0.085)</f>
        <v>0.085</v>
      </c>
      <c r="E108" s="8" t="n">
        <f aca="false">IFERROR(__xludf.DUMMYFUNCTION("""COMPUTED_VALUE"""),0.085)</f>
        <v>0.085</v>
      </c>
      <c r="F108" s="8" t="n">
        <f aca="false">IFERROR(__xludf.DUMMYFUNCTION("""COMPUTED_VALUE"""),0.08)</f>
        <v>0.08</v>
      </c>
      <c r="G108" s="8" t="n">
        <f aca="false">IFERROR(__xludf.DUMMYFUNCTION("""COMPUTED_VALUE"""),0.075)</f>
        <v>0.075</v>
      </c>
      <c r="H108" s="8" t="n">
        <f aca="false">IFERROR(__xludf.DUMMYFUNCTION("""COMPUTED_VALUE"""),0.08)</f>
        <v>0.08</v>
      </c>
      <c r="I108" s="8" t="n">
        <f aca="false">IFERROR(__xludf.DUMMYFUNCTION("""COMPUTED_VALUE"""),0.08)</f>
        <v>0.08</v>
      </c>
      <c r="J108" s="8" t="n">
        <f aca="false">IFERROR(__xludf.DUMMYFUNCTION("""COMPUTED_VALUE"""),0.08)</f>
        <v>0.08</v>
      </c>
      <c r="K108" s="8" t="n">
        <f aca="false">IFERROR(__xludf.DUMMYFUNCTION("""COMPUTED_VALUE"""),0.075)</f>
        <v>0.075</v>
      </c>
      <c r="L108" s="8" t="n">
        <f aca="false">IFERROR(__xludf.DUMMYFUNCTION("""COMPUTED_VALUE"""),0.07)</f>
        <v>0.07</v>
      </c>
      <c r="M108" s="8" t="n">
        <f aca="false">IFERROR(__xludf.DUMMYFUNCTION("""COMPUTED_VALUE"""),0.11)</f>
        <v>0.11</v>
      </c>
      <c r="N108" s="10" t="n">
        <f aca="false">SUM(B108:M108)</f>
        <v>1</v>
      </c>
      <c r="O108" s="5" t="s">
        <v>297</v>
      </c>
      <c r="P108" s="5"/>
      <c r="Q108" s="5"/>
      <c r="R108" s="5"/>
    </row>
    <row r="109" customFormat="false" ht="15" hidden="false" customHeight="true" outlineLevel="0" collapsed="false">
      <c r="A109" s="9" t="str">
        <f aca="false">A53</f>
        <v>ABC 5 kg</v>
      </c>
      <c r="B109" s="8" t="n">
        <f aca="false">IFERROR(__xludf.DUMMYFUNCTION("""COMPUTED_VALUE"""),0.1)</f>
        <v>0.1</v>
      </c>
      <c r="C109" s="8" t="n">
        <f aca="false">IFERROR(__xludf.DUMMYFUNCTION("""COMPUTED_VALUE"""),0.08)</f>
        <v>0.08</v>
      </c>
      <c r="D109" s="8" t="n">
        <f aca="false">IFERROR(__xludf.DUMMYFUNCTION("""COMPUTED_VALUE"""),0.085)</f>
        <v>0.085</v>
      </c>
      <c r="E109" s="8" t="n">
        <f aca="false">IFERROR(__xludf.DUMMYFUNCTION("""COMPUTED_VALUE"""),0.085)</f>
        <v>0.085</v>
      </c>
      <c r="F109" s="8" t="n">
        <f aca="false">IFERROR(__xludf.DUMMYFUNCTION("""COMPUTED_VALUE"""),0.08)</f>
        <v>0.08</v>
      </c>
      <c r="G109" s="8" t="n">
        <f aca="false">IFERROR(__xludf.DUMMYFUNCTION("""COMPUTED_VALUE"""),0.075)</f>
        <v>0.075</v>
      </c>
      <c r="H109" s="8" t="n">
        <f aca="false">IFERROR(__xludf.DUMMYFUNCTION("""COMPUTED_VALUE"""),0.08)</f>
        <v>0.08</v>
      </c>
      <c r="I109" s="8" t="n">
        <f aca="false">IFERROR(__xludf.DUMMYFUNCTION("""COMPUTED_VALUE"""),0.08)</f>
        <v>0.08</v>
      </c>
      <c r="J109" s="8" t="n">
        <f aca="false">IFERROR(__xludf.DUMMYFUNCTION("""COMPUTED_VALUE"""),0.08)</f>
        <v>0.08</v>
      </c>
      <c r="K109" s="8" t="n">
        <f aca="false">IFERROR(__xludf.DUMMYFUNCTION("""COMPUTED_VALUE"""),0.075)</f>
        <v>0.075</v>
      </c>
      <c r="L109" s="8" t="n">
        <f aca="false">IFERROR(__xludf.DUMMYFUNCTION("""COMPUTED_VALUE"""),0.07)</f>
        <v>0.07</v>
      </c>
      <c r="M109" s="8" t="n">
        <f aca="false">IFERROR(__xludf.DUMMYFUNCTION("""COMPUTED_VALUE"""),0.11)</f>
        <v>0.11</v>
      </c>
      <c r="N109" s="10" t="n">
        <f aca="false">SUM(B109:M109)</f>
        <v>1</v>
      </c>
      <c r="O109" s="5" t="s">
        <v>298</v>
      </c>
      <c r="P109" s="5"/>
      <c r="Q109" s="5"/>
      <c r="R109" s="5"/>
    </row>
    <row r="110" customFormat="false" ht="15" hidden="false" customHeight="true" outlineLevel="0" collapsed="false">
      <c r="A110" s="9" t="str">
        <f aca="false">A54</f>
        <v>ABC 10 kg</v>
      </c>
      <c r="B110" s="8" t="n">
        <f aca="false">IFERROR(__xludf.DUMMYFUNCTION("""COMPUTED_VALUE"""),0.1)</f>
        <v>0.1</v>
      </c>
      <c r="C110" s="8" t="n">
        <f aca="false">IFERROR(__xludf.DUMMYFUNCTION("""COMPUTED_VALUE"""),0.08)</f>
        <v>0.08</v>
      </c>
      <c r="D110" s="8" t="n">
        <f aca="false">IFERROR(__xludf.DUMMYFUNCTION("""COMPUTED_VALUE"""),0.085)</f>
        <v>0.085</v>
      </c>
      <c r="E110" s="8" t="n">
        <f aca="false">IFERROR(__xludf.DUMMYFUNCTION("""COMPUTED_VALUE"""),0.085)</f>
        <v>0.085</v>
      </c>
      <c r="F110" s="8" t="n">
        <f aca="false">IFERROR(__xludf.DUMMYFUNCTION("""COMPUTED_VALUE"""),0.08)</f>
        <v>0.08</v>
      </c>
      <c r="G110" s="8" t="n">
        <f aca="false">IFERROR(__xludf.DUMMYFUNCTION("""COMPUTED_VALUE"""),0.075)</f>
        <v>0.075</v>
      </c>
      <c r="H110" s="8" t="n">
        <f aca="false">IFERROR(__xludf.DUMMYFUNCTION("""COMPUTED_VALUE"""),0.08)</f>
        <v>0.08</v>
      </c>
      <c r="I110" s="8" t="n">
        <f aca="false">IFERROR(__xludf.DUMMYFUNCTION("""COMPUTED_VALUE"""),0.08)</f>
        <v>0.08</v>
      </c>
      <c r="J110" s="8" t="n">
        <f aca="false">IFERROR(__xludf.DUMMYFUNCTION("""COMPUTED_VALUE"""),0.08)</f>
        <v>0.08</v>
      </c>
      <c r="K110" s="8" t="n">
        <f aca="false">IFERROR(__xludf.DUMMYFUNCTION("""COMPUTED_VALUE"""),0.075)</f>
        <v>0.075</v>
      </c>
      <c r="L110" s="8" t="n">
        <f aca="false">IFERROR(__xludf.DUMMYFUNCTION("""COMPUTED_VALUE"""),0.07)</f>
        <v>0.07</v>
      </c>
      <c r="M110" s="8" t="n">
        <f aca="false">IFERROR(__xludf.DUMMYFUNCTION("""COMPUTED_VALUE"""),0.11)</f>
        <v>0.11</v>
      </c>
      <c r="N110" s="10" t="n">
        <f aca="false">SUM(B110:M110)</f>
        <v>1</v>
      </c>
      <c r="O110" s="5" t="s">
        <v>299</v>
      </c>
      <c r="P110" s="5"/>
      <c r="Q110" s="5"/>
      <c r="R110" s="5"/>
    </row>
    <row r="111" customFormat="false" ht="15" hidden="false" customHeight="true" outlineLevel="0" collapsed="false">
      <c r="A111" s="9" t="str">
        <f aca="false">A55</f>
        <v>Agua 10 l</v>
      </c>
      <c r="B111" s="8" t="n">
        <v>0</v>
      </c>
      <c r="C111" s="8" t="n">
        <v>0</v>
      </c>
      <c r="D111" s="8" t="n">
        <v>0</v>
      </c>
      <c r="E111" s="8" t="n">
        <v>0</v>
      </c>
      <c r="F111" s="8" t="n">
        <v>0</v>
      </c>
      <c r="G111" s="8" t="n">
        <v>0</v>
      </c>
      <c r="H111" s="8" t="n">
        <v>0</v>
      </c>
      <c r="I111" s="8" t="n">
        <v>0</v>
      </c>
      <c r="J111" s="8" t="n">
        <v>0</v>
      </c>
      <c r="K111" s="8" t="n">
        <v>0</v>
      </c>
      <c r="L111" s="8" t="n">
        <v>0</v>
      </c>
      <c r="M111" s="8" t="n">
        <v>0</v>
      </c>
      <c r="N111" s="10" t="n">
        <f aca="false">SUM(B111:M111)</f>
        <v>0</v>
      </c>
      <c r="O111" s="5" t="s">
        <v>300</v>
      </c>
      <c r="P111" s="5"/>
      <c r="Q111" s="5"/>
      <c r="R111" s="5"/>
    </row>
    <row r="112" customFormat="false" ht="15" hidden="false" customHeight="true" outlineLevel="0" collapsed="false">
      <c r="A112" s="9" t="str">
        <f aca="false">A56</f>
        <v>AFFF 10 l</v>
      </c>
      <c r="B112" s="8" t="n">
        <v>0</v>
      </c>
      <c r="C112" s="8" t="n">
        <v>0</v>
      </c>
      <c r="D112" s="8" t="n">
        <v>0</v>
      </c>
      <c r="E112" s="8" t="n">
        <v>0</v>
      </c>
      <c r="F112" s="8" t="n">
        <v>0</v>
      </c>
      <c r="G112" s="8" t="n">
        <v>0</v>
      </c>
      <c r="H112" s="8" t="n">
        <v>0</v>
      </c>
      <c r="I112" s="8" t="n">
        <v>0</v>
      </c>
      <c r="J112" s="8" t="n">
        <v>0</v>
      </c>
      <c r="K112" s="8" t="n">
        <v>0</v>
      </c>
      <c r="L112" s="8" t="n">
        <v>0</v>
      </c>
      <c r="M112" s="8" t="n">
        <v>0</v>
      </c>
      <c r="N112" s="10" t="n">
        <f aca="false">SUM(B112:M112)</f>
        <v>0</v>
      </c>
      <c r="O112" s="5" t="s">
        <v>300</v>
      </c>
      <c r="P112" s="5"/>
      <c r="Q112" s="5"/>
      <c r="R112" s="5"/>
    </row>
    <row r="113" customFormat="false" ht="15" hidden="false" customHeight="true" outlineLevel="0" collapsed="false">
      <c r="A113" s="9" t="str">
        <f aca="false">A57</f>
        <v>AFFF 50 l s/ruedas</v>
      </c>
      <c r="B113" s="8" t="n">
        <v>0</v>
      </c>
      <c r="C113" s="8" t="n">
        <v>0</v>
      </c>
      <c r="D113" s="8" t="n">
        <v>0</v>
      </c>
      <c r="E113" s="8" t="n">
        <v>0</v>
      </c>
      <c r="F113" s="8" t="n">
        <v>0</v>
      </c>
      <c r="G113" s="8" t="n">
        <v>0</v>
      </c>
      <c r="H113" s="8" t="n">
        <v>0</v>
      </c>
      <c r="I113" s="8" t="n">
        <v>0</v>
      </c>
      <c r="J113" s="8" t="n">
        <v>0</v>
      </c>
      <c r="K113" s="8" t="n">
        <v>0</v>
      </c>
      <c r="L113" s="8" t="n">
        <v>0</v>
      </c>
      <c r="M113" s="8" t="n">
        <v>0</v>
      </c>
      <c r="N113" s="10" t="n">
        <f aca="false">SUM(B113:M113)</f>
        <v>0</v>
      </c>
      <c r="O113" s="5" t="s">
        <v>300</v>
      </c>
      <c r="P113" s="5"/>
      <c r="Q113" s="5"/>
      <c r="R113" s="5"/>
    </row>
    <row r="114" customFormat="false" ht="15" hidden="false" customHeight="true" outlineLevel="0" collapsed="false">
      <c r="A114" s="9" t="str">
        <f aca="false">A58</f>
        <v>BC 5 kg</v>
      </c>
      <c r="B114" s="8" t="n">
        <v>0</v>
      </c>
      <c r="C114" s="8" t="n">
        <v>0</v>
      </c>
      <c r="D114" s="8" t="n">
        <v>0</v>
      </c>
      <c r="E114" s="8" t="n">
        <v>0</v>
      </c>
      <c r="F114" s="8" t="n">
        <v>0</v>
      </c>
      <c r="G114" s="8" t="n">
        <v>0</v>
      </c>
      <c r="H114" s="8" t="n">
        <v>0</v>
      </c>
      <c r="I114" s="8" t="n">
        <v>0</v>
      </c>
      <c r="J114" s="8" t="n">
        <v>0</v>
      </c>
      <c r="K114" s="8" t="n">
        <v>0</v>
      </c>
      <c r="L114" s="8" t="n">
        <v>0</v>
      </c>
      <c r="M114" s="8" t="n">
        <v>0</v>
      </c>
      <c r="N114" s="10" t="n">
        <f aca="false">SUM(B114:M114)</f>
        <v>0</v>
      </c>
      <c r="O114" s="5" t="s">
        <v>300</v>
      </c>
      <c r="P114" s="5"/>
      <c r="Q114" s="5"/>
      <c r="R114" s="5"/>
    </row>
    <row r="115" customFormat="false" ht="15" hidden="false" customHeight="true" outlineLevel="0" collapsed="false">
      <c r="A115" s="9" t="str">
        <f aca="false">A59</f>
        <v>Sales K 6 l</v>
      </c>
      <c r="B115" s="8" t="n">
        <v>0</v>
      </c>
      <c r="C115" s="8" t="n">
        <v>0</v>
      </c>
      <c r="D115" s="8" t="n">
        <v>0</v>
      </c>
      <c r="E115" s="8" t="n">
        <v>0</v>
      </c>
      <c r="F115" s="8" t="n">
        <v>0</v>
      </c>
      <c r="G115" s="8" t="n">
        <v>0</v>
      </c>
      <c r="H115" s="8" t="n">
        <v>0</v>
      </c>
      <c r="I115" s="8" t="n">
        <v>0</v>
      </c>
      <c r="J115" s="8" t="n">
        <v>0</v>
      </c>
      <c r="K115" s="8" t="n">
        <v>0</v>
      </c>
      <c r="L115" s="8" t="n">
        <v>0</v>
      </c>
      <c r="M115" s="8" t="n">
        <v>0</v>
      </c>
      <c r="N115" s="10" t="n">
        <f aca="false">SUM(B115:M115)</f>
        <v>0</v>
      </c>
      <c r="O115" s="5" t="s">
        <v>300</v>
      </c>
      <c r="P115" s="5"/>
      <c r="Q115" s="5"/>
      <c r="R115" s="5"/>
    </row>
    <row r="116" customFormat="false" ht="15" hidden="false" customHeight="true" outlineLevel="0" collapsed="false">
      <c r="A116" s="9" t="str">
        <f aca="false">A60</f>
        <v>CO₂ 2 kg</v>
      </c>
      <c r="B116" s="8" t="n">
        <v>0</v>
      </c>
      <c r="C116" s="8" t="n">
        <v>0</v>
      </c>
      <c r="D116" s="8" t="n">
        <v>0</v>
      </c>
      <c r="E116" s="8" t="n">
        <v>0</v>
      </c>
      <c r="F116" s="8" t="n">
        <v>0</v>
      </c>
      <c r="G116" s="8" t="n">
        <v>0</v>
      </c>
      <c r="H116" s="8" t="n">
        <v>0</v>
      </c>
      <c r="I116" s="8" t="n">
        <v>0</v>
      </c>
      <c r="J116" s="8" t="n">
        <v>0</v>
      </c>
      <c r="K116" s="8" t="n">
        <v>0</v>
      </c>
      <c r="L116" s="8" t="n">
        <v>0</v>
      </c>
      <c r="M116" s="8" t="n">
        <v>0</v>
      </c>
      <c r="N116" s="10" t="n">
        <f aca="false">SUM(B116:M116)</f>
        <v>0</v>
      </c>
      <c r="O116" s="5" t="s">
        <v>300</v>
      </c>
      <c r="P116" s="5"/>
      <c r="Q116" s="5"/>
      <c r="R116" s="5"/>
    </row>
    <row r="117" customFormat="false" ht="15" hidden="false" customHeight="true" outlineLevel="0" collapsed="false">
      <c r="A117" s="9" t="str">
        <f aca="false">A61</f>
        <v>CO₂ 5 kg</v>
      </c>
      <c r="B117" s="8" t="n">
        <v>0</v>
      </c>
      <c r="C117" s="8" t="n">
        <v>0</v>
      </c>
      <c r="D117" s="8" t="n">
        <v>0</v>
      </c>
      <c r="E117" s="8" t="n">
        <v>0</v>
      </c>
      <c r="F117" s="8" t="n">
        <v>0</v>
      </c>
      <c r="G117" s="8" t="n">
        <v>0</v>
      </c>
      <c r="H117" s="8" t="n">
        <v>0</v>
      </c>
      <c r="I117" s="8" t="n">
        <v>0</v>
      </c>
      <c r="J117" s="8" t="n">
        <v>0</v>
      </c>
      <c r="K117" s="8" t="n">
        <v>0</v>
      </c>
      <c r="L117" s="8" t="n">
        <v>0</v>
      </c>
      <c r="M117" s="8" t="n">
        <v>0</v>
      </c>
      <c r="N117" s="10" t="n">
        <f aca="false">SUM(B117:M117)</f>
        <v>0</v>
      </c>
      <c r="O117" s="5" t="s">
        <v>300</v>
      </c>
      <c r="P117" s="5"/>
      <c r="Q117" s="5"/>
      <c r="R117" s="5"/>
    </row>
    <row r="118" customFormat="false" ht="15" hidden="false" customHeight="true" outlineLevel="0" collapsed="false">
      <c r="A118" s="9" t="str">
        <f aca="false">A62</f>
        <v>HCFC/HFC 5 kg</v>
      </c>
      <c r="B118" s="8" t="n">
        <v>0</v>
      </c>
      <c r="C118" s="8" t="n">
        <v>0</v>
      </c>
      <c r="D118" s="8" t="n">
        <v>0</v>
      </c>
      <c r="E118" s="8" t="n">
        <v>0</v>
      </c>
      <c r="F118" s="8" t="n">
        <v>0</v>
      </c>
      <c r="G118" s="8" t="n">
        <v>0</v>
      </c>
      <c r="H118" s="8" t="n">
        <v>0</v>
      </c>
      <c r="I118" s="8" t="n">
        <v>0</v>
      </c>
      <c r="J118" s="8" t="n">
        <v>0</v>
      </c>
      <c r="K118" s="8" t="n">
        <v>0</v>
      </c>
      <c r="L118" s="8" t="n">
        <v>0</v>
      </c>
      <c r="M118" s="8" t="n">
        <v>0</v>
      </c>
      <c r="N118" s="10" t="n">
        <f aca="false">SUM(B118:M118)</f>
        <v>0</v>
      </c>
      <c r="O118" s="5" t="s">
        <v>300</v>
      </c>
      <c r="P118" s="5"/>
      <c r="Q118" s="5"/>
      <c r="R118" s="5"/>
    </row>
    <row r="119" customFormat="false" ht="15" hidden="false" customHeight="true" outlineLevel="0" collapsed="false">
      <c r="A119" s="9" t="str">
        <f aca="false">A63</f>
        <v>Clase D 9 l</v>
      </c>
      <c r="B119" s="8" t="n">
        <v>0</v>
      </c>
      <c r="C119" s="8" t="n">
        <v>0</v>
      </c>
      <c r="D119" s="8" t="n">
        <v>0</v>
      </c>
      <c r="E119" s="8" t="n">
        <v>0</v>
      </c>
      <c r="F119" s="8" t="n">
        <v>0</v>
      </c>
      <c r="G119" s="8" t="n">
        <v>0</v>
      </c>
      <c r="H119" s="8" t="n">
        <v>0</v>
      </c>
      <c r="I119" s="8" t="n">
        <v>0</v>
      </c>
      <c r="J119" s="8" t="n">
        <v>0</v>
      </c>
      <c r="K119" s="8" t="n">
        <v>0</v>
      </c>
      <c r="L119" s="8" t="n">
        <v>0</v>
      </c>
      <c r="M119" s="8" t="n">
        <v>0</v>
      </c>
      <c r="N119" s="10" t="n">
        <f aca="false">SUM(B119:M119)</f>
        <v>0</v>
      </c>
      <c r="O119" s="5" t="s">
        <v>300</v>
      </c>
      <c r="P119" s="5"/>
      <c r="Q119" s="5"/>
      <c r="R119" s="5"/>
    </row>
    <row r="120" customFormat="false" ht="15" hidden="false" customHeight="true" outlineLevel="0" collapsed="false">
      <c r="A120" s="9" t="str">
        <f aca="false">A64</f>
        <v>ABC 25 kg s/ruedas</v>
      </c>
      <c r="B120" s="8" t="n">
        <f aca="false">IFERROR(__xludf.DUMMYFUNCTION("IMPORTRANGE(Links!$B$6,""parametros_carros!B12:M15"")"),0.085)</f>
        <v>0.085</v>
      </c>
      <c r="C120" s="8" t="n">
        <f aca="false">IFERROR(__xludf.DUMMYFUNCTION("""COMPUTED_VALUE"""),0.075)</f>
        <v>0.075</v>
      </c>
      <c r="D120" s="8" t="n">
        <f aca="false">IFERROR(__xludf.DUMMYFUNCTION("""COMPUTED_VALUE"""),0.09)</f>
        <v>0.09</v>
      </c>
      <c r="E120" s="8" t="n">
        <f aca="false">IFERROR(__xludf.DUMMYFUNCTION("""COMPUTED_VALUE"""),0.09)</f>
        <v>0.09</v>
      </c>
      <c r="F120" s="8" t="n">
        <f aca="false">IFERROR(__xludf.DUMMYFUNCTION("""COMPUTED_VALUE"""),0.09)</f>
        <v>0.09</v>
      </c>
      <c r="G120" s="8" t="n">
        <f aca="false">IFERROR(__xludf.DUMMYFUNCTION("""COMPUTED_VALUE"""),0.08)</f>
        <v>0.08</v>
      </c>
      <c r="H120" s="8" t="n">
        <f aca="false">IFERROR(__xludf.DUMMYFUNCTION("""COMPUTED_VALUE"""),0.09)</f>
        <v>0.09</v>
      </c>
      <c r="I120" s="8" t="n">
        <f aca="false">IFERROR(__xludf.DUMMYFUNCTION("""COMPUTED_VALUE"""),0.09)</f>
        <v>0.09</v>
      </c>
      <c r="J120" s="8" t="n">
        <f aca="false">IFERROR(__xludf.DUMMYFUNCTION("""COMPUTED_VALUE"""),0.085)</f>
        <v>0.085</v>
      </c>
      <c r="K120" s="8" t="n">
        <f aca="false">IFERROR(__xludf.DUMMYFUNCTION("""COMPUTED_VALUE"""),0.075)</f>
        <v>0.075</v>
      </c>
      <c r="L120" s="8" t="n">
        <f aca="false">IFERROR(__xludf.DUMMYFUNCTION("""COMPUTED_VALUE"""),0.07)</f>
        <v>0.07</v>
      </c>
      <c r="M120" s="8" t="n">
        <f aca="false">IFERROR(__xludf.DUMMYFUNCTION("""COMPUTED_VALUE"""),0.08)</f>
        <v>0.08</v>
      </c>
      <c r="N120" s="10" t="n">
        <f aca="false">SUM(B120:M120)</f>
        <v>1</v>
      </c>
      <c r="O120" s="5" t="s">
        <v>301</v>
      </c>
      <c r="P120" s="5"/>
      <c r="Q120" s="5"/>
      <c r="R120" s="5"/>
    </row>
    <row r="121" customFormat="false" ht="15" hidden="false" customHeight="true" outlineLevel="0" collapsed="false">
      <c r="A121" s="9" t="str">
        <f aca="false">A65</f>
        <v>ABC 50 kg s/ruedas</v>
      </c>
      <c r="B121" s="8" t="n">
        <f aca="false">IFERROR(__xludf.DUMMYFUNCTION("""COMPUTED_VALUE"""),0.085)</f>
        <v>0.085</v>
      </c>
      <c r="C121" s="8" t="n">
        <f aca="false">IFERROR(__xludf.DUMMYFUNCTION("""COMPUTED_VALUE"""),0.075)</f>
        <v>0.075</v>
      </c>
      <c r="D121" s="8" t="n">
        <f aca="false">IFERROR(__xludf.DUMMYFUNCTION("""COMPUTED_VALUE"""),0.09)</f>
        <v>0.09</v>
      </c>
      <c r="E121" s="8" t="n">
        <f aca="false">IFERROR(__xludf.DUMMYFUNCTION("""COMPUTED_VALUE"""),0.09)</f>
        <v>0.09</v>
      </c>
      <c r="F121" s="8" t="n">
        <f aca="false">IFERROR(__xludf.DUMMYFUNCTION("""COMPUTED_VALUE"""),0.09)</f>
        <v>0.09</v>
      </c>
      <c r="G121" s="8" t="n">
        <f aca="false">IFERROR(__xludf.DUMMYFUNCTION("""COMPUTED_VALUE"""),0.08)</f>
        <v>0.08</v>
      </c>
      <c r="H121" s="8" t="n">
        <f aca="false">IFERROR(__xludf.DUMMYFUNCTION("""COMPUTED_VALUE"""),0.09)</f>
        <v>0.09</v>
      </c>
      <c r="I121" s="8" t="n">
        <f aca="false">IFERROR(__xludf.DUMMYFUNCTION("""COMPUTED_VALUE"""),0.09)</f>
        <v>0.09</v>
      </c>
      <c r="J121" s="8" t="n">
        <f aca="false">IFERROR(__xludf.DUMMYFUNCTION("""COMPUTED_VALUE"""),0.085)</f>
        <v>0.085</v>
      </c>
      <c r="K121" s="8" t="n">
        <f aca="false">IFERROR(__xludf.DUMMYFUNCTION("""COMPUTED_VALUE"""),0.075)</f>
        <v>0.075</v>
      </c>
      <c r="L121" s="8" t="n">
        <f aca="false">IFERROR(__xludf.DUMMYFUNCTION("""COMPUTED_VALUE"""),0.07)</f>
        <v>0.07</v>
      </c>
      <c r="M121" s="8" t="n">
        <f aca="false">IFERROR(__xludf.DUMMYFUNCTION("""COMPUTED_VALUE"""),0.08)</f>
        <v>0.08</v>
      </c>
      <c r="N121" s="10" t="n">
        <f aca="false">SUM(B121:M121)</f>
        <v>1</v>
      </c>
      <c r="O121" s="5" t="s">
        <v>302</v>
      </c>
      <c r="P121" s="5"/>
      <c r="Q121" s="5"/>
      <c r="R121" s="5"/>
    </row>
    <row r="122" customFormat="false" ht="15" hidden="false" customHeight="true" outlineLevel="0" collapsed="false">
      <c r="A122" s="9" t="str">
        <f aca="false">A66</f>
        <v>ABC 70 kg s/ruedas</v>
      </c>
      <c r="B122" s="8" t="n">
        <f aca="false">IFERROR(__xludf.DUMMYFUNCTION("""COMPUTED_VALUE"""),0.085)</f>
        <v>0.085</v>
      </c>
      <c r="C122" s="8" t="n">
        <f aca="false">IFERROR(__xludf.DUMMYFUNCTION("""COMPUTED_VALUE"""),0.075)</f>
        <v>0.075</v>
      </c>
      <c r="D122" s="8" t="n">
        <f aca="false">IFERROR(__xludf.DUMMYFUNCTION("""COMPUTED_VALUE"""),0.09)</f>
        <v>0.09</v>
      </c>
      <c r="E122" s="8" t="n">
        <f aca="false">IFERROR(__xludf.DUMMYFUNCTION("""COMPUTED_VALUE"""),0.09)</f>
        <v>0.09</v>
      </c>
      <c r="F122" s="8" t="n">
        <f aca="false">IFERROR(__xludf.DUMMYFUNCTION("""COMPUTED_VALUE"""),0.09)</f>
        <v>0.09</v>
      </c>
      <c r="G122" s="8" t="n">
        <f aca="false">IFERROR(__xludf.DUMMYFUNCTION("""COMPUTED_VALUE"""),0.08)</f>
        <v>0.08</v>
      </c>
      <c r="H122" s="8" t="n">
        <f aca="false">IFERROR(__xludf.DUMMYFUNCTION("""COMPUTED_VALUE"""),0.09)</f>
        <v>0.09</v>
      </c>
      <c r="I122" s="8" t="n">
        <f aca="false">IFERROR(__xludf.DUMMYFUNCTION("""COMPUTED_VALUE"""),0.09)</f>
        <v>0.09</v>
      </c>
      <c r="J122" s="8" t="n">
        <f aca="false">IFERROR(__xludf.DUMMYFUNCTION("""COMPUTED_VALUE"""),0.085)</f>
        <v>0.085</v>
      </c>
      <c r="K122" s="8" t="n">
        <f aca="false">IFERROR(__xludf.DUMMYFUNCTION("""COMPUTED_VALUE"""),0.075)</f>
        <v>0.075</v>
      </c>
      <c r="L122" s="8" t="n">
        <f aca="false">IFERROR(__xludf.DUMMYFUNCTION("""COMPUTED_VALUE"""),0.07)</f>
        <v>0.07</v>
      </c>
      <c r="M122" s="8" t="n">
        <f aca="false">IFERROR(__xludf.DUMMYFUNCTION("""COMPUTED_VALUE"""),0.08)</f>
        <v>0.08</v>
      </c>
      <c r="N122" s="10" t="n">
        <f aca="false">SUM(B122:M122)</f>
        <v>1</v>
      </c>
      <c r="O122" s="5" t="s">
        <v>303</v>
      </c>
      <c r="P122" s="5"/>
      <c r="Q122" s="5"/>
      <c r="R122" s="5"/>
    </row>
    <row r="123" customFormat="false" ht="15" hidden="false" customHeight="true" outlineLevel="0" collapsed="false">
      <c r="A123" s="9" t="str">
        <f aca="false">A67</f>
        <v>ABC 100 kg s/ruedas</v>
      </c>
      <c r="B123" s="8" t="n">
        <f aca="false">IFERROR(__xludf.DUMMYFUNCTION("""COMPUTED_VALUE"""),0.085)</f>
        <v>0.085</v>
      </c>
      <c r="C123" s="8" t="n">
        <f aca="false">IFERROR(__xludf.DUMMYFUNCTION("""COMPUTED_VALUE"""),0.075)</f>
        <v>0.075</v>
      </c>
      <c r="D123" s="8" t="n">
        <f aca="false">IFERROR(__xludf.DUMMYFUNCTION("""COMPUTED_VALUE"""),0.09)</f>
        <v>0.09</v>
      </c>
      <c r="E123" s="8" t="n">
        <f aca="false">IFERROR(__xludf.DUMMYFUNCTION("""COMPUTED_VALUE"""),0.09)</f>
        <v>0.09</v>
      </c>
      <c r="F123" s="8" t="n">
        <f aca="false">IFERROR(__xludf.DUMMYFUNCTION("""COMPUTED_VALUE"""),0.09)</f>
        <v>0.09</v>
      </c>
      <c r="G123" s="8" t="n">
        <f aca="false">IFERROR(__xludf.DUMMYFUNCTION("""COMPUTED_VALUE"""),0.08)</f>
        <v>0.08</v>
      </c>
      <c r="H123" s="8" t="n">
        <f aca="false">IFERROR(__xludf.DUMMYFUNCTION("""COMPUTED_VALUE"""),0.09)</f>
        <v>0.09</v>
      </c>
      <c r="I123" s="8" t="n">
        <f aca="false">IFERROR(__xludf.DUMMYFUNCTION("""COMPUTED_VALUE"""),0.09)</f>
        <v>0.09</v>
      </c>
      <c r="J123" s="8" t="n">
        <f aca="false">IFERROR(__xludf.DUMMYFUNCTION("""COMPUTED_VALUE"""),0.085)</f>
        <v>0.085</v>
      </c>
      <c r="K123" s="8" t="n">
        <f aca="false">IFERROR(__xludf.DUMMYFUNCTION("""COMPUTED_VALUE"""),0.075)</f>
        <v>0.075</v>
      </c>
      <c r="L123" s="8" t="n">
        <f aca="false">IFERROR(__xludf.DUMMYFUNCTION("""COMPUTED_VALUE"""),0.07)</f>
        <v>0.07</v>
      </c>
      <c r="M123" s="8" t="n">
        <f aca="false">IFERROR(__xludf.DUMMYFUNCTION("""COMPUTED_VALUE"""),0.08)</f>
        <v>0.08</v>
      </c>
      <c r="N123" s="10" t="n">
        <f aca="false">SUM(B123:M123)</f>
        <v>1</v>
      </c>
      <c r="O123" s="5" t="s">
        <v>304</v>
      </c>
      <c r="P123" s="5"/>
      <c r="Q123" s="5"/>
      <c r="R123" s="5"/>
    </row>
  </sheetData>
  <mergeCells count="67">
    <mergeCell ref="C1:Q1"/>
    <mergeCell ref="C2:Q2"/>
    <mergeCell ref="C3:Q3"/>
    <mergeCell ref="C4:Q4"/>
    <mergeCell ref="C5:Q5"/>
    <mergeCell ref="C6:Q6"/>
    <mergeCell ref="C7:Q7"/>
    <mergeCell ref="C8:Q8"/>
    <mergeCell ref="C9:Q9"/>
    <mergeCell ref="C10:Q10"/>
    <mergeCell ref="C12:Q12"/>
    <mergeCell ref="C13:Q13"/>
    <mergeCell ref="C14:Q14"/>
    <mergeCell ref="C15:Q15"/>
    <mergeCell ref="C16:Q16"/>
    <mergeCell ref="C17:Q17"/>
    <mergeCell ref="C18:Q18"/>
    <mergeCell ref="C19:Q19"/>
    <mergeCell ref="C20:Q20"/>
    <mergeCell ref="C21:Q21"/>
    <mergeCell ref="C22:Q22"/>
    <mergeCell ref="C23:Q23"/>
    <mergeCell ref="C24:Q24"/>
    <mergeCell ref="C25:Q25"/>
    <mergeCell ref="C26:Q26"/>
    <mergeCell ref="C27:Q27"/>
    <mergeCell ref="C28:Q28"/>
    <mergeCell ref="C29:Q29"/>
    <mergeCell ref="C30:Q30"/>
    <mergeCell ref="C31:Q31"/>
    <mergeCell ref="C32:Q32"/>
    <mergeCell ref="E50:Q50"/>
    <mergeCell ref="E51:Q51"/>
    <mergeCell ref="E52:Q52"/>
    <mergeCell ref="E53:Q53"/>
    <mergeCell ref="E54:Q54"/>
    <mergeCell ref="E55:Q55"/>
    <mergeCell ref="E56:Q56"/>
    <mergeCell ref="E57:Q57"/>
    <mergeCell ref="E58:Q58"/>
    <mergeCell ref="E59:Q59"/>
    <mergeCell ref="E60:Q60"/>
    <mergeCell ref="E61:Q61"/>
    <mergeCell ref="E62:Q62"/>
    <mergeCell ref="E63:Q63"/>
    <mergeCell ref="E64:Q64"/>
    <mergeCell ref="E65:Q65"/>
    <mergeCell ref="E66:Q66"/>
    <mergeCell ref="E67:Q67"/>
    <mergeCell ref="O106:R106"/>
    <mergeCell ref="O107:R107"/>
    <mergeCell ref="O108:R108"/>
    <mergeCell ref="O109:R109"/>
    <mergeCell ref="O110:R110"/>
    <mergeCell ref="O111:R111"/>
    <mergeCell ref="O112:R112"/>
    <mergeCell ref="O113:R113"/>
    <mergeCell ref="O114:R114"/>
    <mergeCell ref="O115:R115"/>
    <mergeCell ref="O116:R116"/>
    <mergeCell ref="O117:R117"/>
    <mergeCell ref="O118:R118"/>
    <mergeCell ref="O119:R119"/>
    <mergeCell ref="O120:R120"/>
    <mergeCell ref="O121:R121"/>
    <mergeCell ref="O122:R122"/>
    <mergeCell ref="O123:R123"/>
  </mergeCells>
  <dataValidations count="2">
    <dataValidation allowBlank="false" errorStyle="stop" operator="between" showDropDown="false" showErrorMessage="false" showInputMessage="false" sqref="B51:B67" type="list">
      <formula1>$E$71:$L$71</formula1>
      <formula2>0</formula2>
    </dataValidation>
    <dataValidation allowBlank="false" errorStyle="stop" operator="between" showDropDown="false" showErrorMessage="false" showInputMessage="false" sqref="D72:D100"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305</v>
      </c>
    </row>
    <row r="2" customFormat="false" ht="15" hidden="false" customHeight="false" outlineLevel="0" collapsed="false">
      <c r="A2" s="2" t="s">
        <v>306</v>
      </c>
    </row>
    <row r="4" customFormat="false" ht="15" hidden="false" customHeight="true" outlineLevel="0" collapsed="false">
      <c r="A4" s="3" t="s">
        <v>89</v>
      </c>
      <c r="B4" s="3" t="s">
        <v>62</v>
      </c>
      <c r="C4" s="3" t="s">
        <v>90</v>
      </c>
      <c r="D4" s="3"/>
      <c r="E4" s="3"/>
      <c r="F4" s="3"/>
      <c r="G4" s="3"/>
      <c r="H4" s="3"/>
      <c r="I4" s="3"/>
      <c r="J4" s="3"/>
      <c r="K4" s="3"/>
      <c r="L4" s="3"/>
    </row>
    <row r="5" customFormat="false" ht="15" hidden="false" customHeight="false" outlineLevel="0" collapsed="false">
      <c r="A5" s="5" t="s">
        <v>91</v>
      </c>
      <c r="B5" s="18" t="n">
        <f aca="false">parametros_recargas!B2</f>
        <v>20</v>
      </c>
      <c r="C5" s="5"/>
      <c r="D5" s="5"/>
      <c r="E5" s="5"/>
      <c r="F5" s="5"/>
      <c r="G5" s="5"/>
      <c r="H5" s="5"/>
      <c r="I5" s="5"/>
      <c r="J5" s="5"/>
      <c r="K5" s="5"/>
      <c r="L5" s="5"/>
    </row>
    <row r="6" customFormat="false" ht="15" hidden="false" customHeight="true" outlineLevel="0" collapsed="false">
      <c r="A6" s="5" t="s">
        <v>307</v>
      </c>
      <c r="B6" s="16" t="n">
        <v>1</v>
      </c>
      <c r="C6" s="5" t="s">
        <v>308</v>
      </c>
      <c r="D6" s="5"/>
      <c r="E6" s="5"/>
      <c r="F6" s="5"/>
      <c r="G6" s="5"/>
      <c r="H6" s="5"/>
      <c r="I6" s="5"/>
      <c r="J6" s="5"/>
      <c r="K6" s="5"/>
      <c r="L6" s="5"/>
    </row>
    <row r="7" customFormat="false" ht="15" hidden="false" customHeight="true" outlineLevel="0" collapsed="false">
      <c r="A7" s="5" t="s">
        <v>309</v>
      </c>
      <c r="B7" s="16" t="n">
        <v>1</v>
      </c>
      <c r="C7" s="5" t="s">
        <v>310</v>
      </c>
      <c r="D7" s="5"/>
      <c r="E7" s="5"/>
      <c r="F7" s="5"/>
      <c r="G7" s="5"/>
      <c r="H7" s="5"/>
      <c r="I7" s="5"/>
      <c r="J7" s="5"/>
      <c r="K7" s="5"/>
      <c r="L7" s="5"/>
    </row>
    <row r="8" customFormat="false" ht="15" hidden="false" customHeight="false" outlineLevel="0" collapsed="false">
      <c r="A8" s="5" t="s">
        <v>311</v>
      </c>
      <c r="B8" s="18" t="n">
        <f aca="false">parametros_recargas!B5*60</f>
        <v>450</v>
      </c>
      <c r="C8" s="5"/>
      <c r="D8" s="5"/>
      <c r="E8" s="5"/>
      <c r="F8" s="5"/>
      <c r="G8" s="5"/>
      <c r="H8" s="5"/>
      <c r="I8" s="5"/>
      <c r="J8" s="5"/>
      <c r="K8" s="5"/>
      <c r="L8" s="5"/>
    </row>
    <row r="9" customFormat="false" ht="15" hidden="false" customHeight="true" outlineLevel="0" collapsed="false">
      <c r="A9" s="5" t="s">
        <v>36</v>
      </c>
      <c r="B9" s="19" t="str">
        <f aca="false">PROY_Indexado!B51</f>
        <v>Comercial</v>
      </c>
      <c r="C9" s="5" t="s">
        <v>312</v>
      </c>
      <c r="D9" s="5"/>
      <c r="E9" s="5"/>
      <c r="F9" s="5"/>
      <c r="G9" s="5"/>
      <c r="H9" s="5"/>
      <c r="I9" s="5"/>
      <c r="J9" s="5"/>
      <c r="K9" s="5"/>
      <c r="L9" s="5"/>
    </row>
    <row r="10" customFormat="false" ht="15" hidden="false" customHeight="true" outlineLevel="0" collapsed="false">
      <c r="A10" s="5" t="s">
        <v>313</v>
      </c>
      <c r="B10" s="18" t="n">
        <f aca="false">parametros_recargas!B8</f>
        <v>2</v>
      </c>
      <c r="C10" s="5" t="s">
        <v>314</v>
      </c>
      <c r="D10" s="5"/>
      <c r="E10" s="5"/>
      <c r="F10" s="5"/>
      <c r="G10" s="5"/>
      <c r="H10" s="5"/>
      <c r="I10" s="5"/>
      <c r="J10" s="5"/>
      <c r="K10" s="5"/>
      <c r="L10" s="5"/>
    </row>
    <row r="11" customFormat="false" ht="15" hidden="false" customHeight="true" outlineLevel="0" collapsed="false">
      <c r="A11" s="5" t="s">
        <v>315</v>
      </c>
      <c r="B11" s="18" t="n">
        <f aca="false">parametros_recargas!B10</f>
        <v>2032</v>
      </c>
      <c r="C11" s="5" t="s">
        <v>316</v>
      </c>
      <c r="D11" s="5"/>
      <c r="E11" s="5"/>
      <c r="F11" s="5"/>
      <c r="G11" s="5"/>
      <c r="H11" s="5"/>
      <c r="I11" s="5"/>
      <c r="J11" s="5"/>
      <c r="K11" s="5"/>
      <c r="L11" s="5"/>
    </row>
    <row r="12" customFormat="false" ht="15" hidden="false" customHeight="true" outlineLevel="0" collapsed="false">
      <c r="A12" s="5" t="s">
        <v>317</v>
      </c>
      <c r="B12" s="16" t="n">
        <v>200</v>
      </c>
      <c r="C12" s="5" t="s">
        <v>318</v>
      </c>
      <c r="D12" s="5"/>
      <c r="E12" s="5"/>
      <c r="F12" s="5"/>
      <c r="G12" s="5"/>
      <c r="H12" s="5"/>
      <c r="I12" s="5"/>
      <c r="J12" s="5"/>
      <c r="K12" s="5"/>
      <c r="L12" s="5"/>
    </row>
    <row r="14" customFormat="false" ht="15" hidden="false" customHeight="false" outlineLevel="0" collapsed="false">
      <c r="A14" s="1" t="s">
        <v>319</v>
      </c>
    </row>
    <row r="15" customFormat="false" ht="15" hidden="false" customHeight="false" outlineLevel="0" collapsed="false">
      <c r="A15" s="2" t="s">
        <v>320</v>
      </c>
    </row>
    <row r="16" customFormat="false" ht="23.85" hidden="false" customHeight="false" outlineLevel="0" collapsed="false">
      <c r="A16" s="3" t="s">
        <v>61</v>
      </c>
      <c r="B16" s="3" t="s">
        <v>76</v>
      </c>
      <c r="C16" s="3" t="s">
        <v>77</v>
      </c>
      <c r="D16" s="3" t="s">
        <v>78</v>
      </c>
      <c r="E16" s="3" t="s">
        <v>79</v>
      </c>
      <c r="F16" s="3" t="s">
        <v>80</v>
      </c>
      <c r="G16" s="3" t="s">
        <v>81</v>
      </c>
      <c r="H16" s="3" t="s">
        <v>82</v>
      </c>
    </row>
    <row r="17" customFormat="false" ht="15" hidden="false" customHeight="false" outlineLevel="0" collapsed="false">
      <c r="A17" s="5" t="s">
        <v>321</v>
      </c>
      <c r="B17" s="8" t="n">
        <f aca="false">SUM(PROY_Indexado!B$97:B$113)/SUM(PROY_Indexado!$B$97:$H$113)</f>
        <v>0.576496101782894</v>
      </c>
      <c r="C17" s="8" t="n">
        <f aca="false">SUM(PROY_Indexado!C$97:C$113)/SUM(PROY_Indexado!$B$97:$H$113)</f>
        <v>0.29351867253148</v>
      </c>
      <c r="D17" s="8" t="n">
        <f aca="false">SUM(PROY_Indexado!D$97:D$113)/SUM(PROY_Indexado!$B$97:$H$113)</f>
        <v>0.0255135139915311</v>
      </c>
      <c r="E17" s="8" t="n">
        <f aca="false">SUM(PROY_Indexado!E$97:E$113)/SUM(PROY_Indexado!$B$97:$H$113)</f>
        <v>0.0176807128475029</v>
      </c>
      <c r="F17" s="8" t="n">
        <f aca="false">SUM(PROY_Indexado!F$97:F$113)/SUM(PROY_Indexado!$B$97:$H$113)</f>
        <v>0.0575646049597341</v>
      </c>
      <c r="G17" s="8" t="n">
        <f aca="false">SUM(PROY_Indexado!G$97:G$113)/SUM(PROY_Indexado!$B$97:$H$113)</f>
        <v>0.0254712101086557</v>
      </c>
      <c r="H17" s="8" t="n">
        <f aca="false">SUM(PROY_Indexado!H$97:H$113)/SUM(PROY_Indexado!$B$97:$H$113)</f>
        <v>0.00375518377820226</v>
      </c>
    </row>
    <row r="18" customFormat="false" ht="15" hidden="false" customHeight="false" outlineLevel="0" collapsed="false">
      <c r="A18" s="5" t="s">
        <v>322</v>
      </c>
      <c r="B18" s="11" t="n">
        <v>25</v>
      </c>
      <c r="C18" s="11" t="n">
        <v>14</v>
      </c>
      <c r="D18" s="11" t="n">
        <v>18</v>
      </c>
      <c r="E18" s="11" t="n">
        <v>20</v>
      </c>
      <c r="F18" s="11" t="n">
        <v>45</v>
      </c>
      <c r="G18" s="11" t="n">
        <v>35</v>
      </c>
      <c r="H18" s="11" t="n">
        <v>16</v>
      </c>
    </row>
    <row r="19" customFormat="false" ht="15" hidden="false" customHeight="false" outlineLevel="0" collapsed="false">
      <c r="A19" s="5" t="s">
        <v>323</v>
      </c>
      <c r="B19" s="6" t="n">
        <f aca="false">B18*$B$12</f>
        <v>5000</v>
      </c>
      <c r="C19" s="6" t="n">
        <f aca="false">C18*$B$12</f>
        <v>2800</v>
      </c>
      <c r="D19" s="6" t="n">
        <f aca="false">D18*$B$12</f>
        <v>3600</v>
      </c>
      <c r="E19" s="6" t="n">
        <f aca="false">E18*$B$12</f>
        <v>4000</v>
      </c>
      <c r="F19" s="6" t="n">
        <f aca="false">F18*$B$12</f>
        <v>9000</v>
      </c>
      <c r="G19" s="6" t="n">
        <f aca="false">G18*$B$12</f>
        <v>7000</v>
      </c>
      <c r="H19" s="6" t="n">
        <f aca="false">H18*$B$12</f>
        <v>3200</v>
      </c>
    </row>
    <row r="20" customFormat="false" ht="15" hidden="false" customHeight="false" outlineLevel="0" collapsed="false">
      <c r="A20" s="5" t="s">
        <v>324</v>
      </c>
      <c r="B20" s="20" t="n">
        <f aca="false">IF(SUM(PROY_Indexado!B$97:B$113)=0,0,SUMPRODUCT(PROY_Indexado!B$97:B$113,$C$30:$C$46)/SUM(PROY_Indexado!B$97:B$113))</f>
        <v>17.253</v>
      </c>
      <c r="C20" s="20" t="n">
        <f aca="false">IF(SUM(PROY_Indexado!C$97:C$113)=0,0,SUMPRODUCT(PROY_Indexado!C$97:C$113,$C$30:$C$46)/SUM(PROY_Indexado!C$97:C$113))</f>
        <v>17.3221889340189</v>
      </c>
      <c r="D20" s="20" t="n">
        <f aca="false">IF(SUM(PROY_Indexado!D$97:D$113)=0,0,SUMPRODUCT(PROY_Indexado!D$97:D$113,$C$30:$C$46)/SUM(PROY_Indexado!D$97:D$113))</f>
        <v>16.9412781935732</v>
      </c>
      <c r="E20" s="20" t="n">
        <f aca="false">IF(SUM(PROY_Indexado!E$97:E$113)=0,0,SUMPRODUCT(PROY_Indexado!E$97:E$113,$C$30:$C$46)/SUM(PROY_Indexado!E$97:E$113))</f>
        <v>17.5771047043881</v>
      </c>
      <c r="F20" s="20" t="n">
        <f aca="false">IF(SUM(PROY_Indexado!F$97:F$113)=0,0,SUMPRODUCT(PROY_Indexado!F$97:F$113,$C$30:$C$46)/SUM(PROY_Indexado!F$97:F$113))</f>
        <v>22.050546631031</v>
      </c>
      <c r="G20" s="20" t="n">
        <f aca="false">IF(SUM(PROY_Indexado!G$97:G$113)=0,0,SUMPRODUCT(PROY_Indexado!G$97:G$113,$C$30:$C$46)/SUM(PROY_Indexado!G$97:G$113))</f>
        <v>19.1586183210809</v>
      </c>
      <c r="H20" s="20" t="n">
        <f aca="false">IF(SUM(PROY_Indexado!H$97:H$113)=0,0,SUMPRODUCT(PROY_Indexado!H$97:H$113,$C$30:$C$46)/SUM(PROY_Indexado!H$97:H$113))</f>
        <v>17.453209852043</v>
      </c>
    </row>
    <row r="21" customFormat="false" ht="15" hidden="false" customHeight="false" outlineLevel="0" collapsed="false">
      <c r="A21" s="5" t="s">
        <v>325</v>
      </c>
      <c r="B21" s="6" t="n">
        <f aca="false">B18*B20</f>
        <v>431.325</v>
      </c>
      <c r="C21" s="6" t="n">
        <f aca="false">C18*C20</f>
        <v>242.510645076264</v>
      </c>
      <c r="D21" s="6" t="n">
        <f aca="false">D18*D20</f>
        <v>304.943007484317</v>
      </c>
      <c r="E21" s="6" t="n">
        <f aca="false">E18*E20</f>
        <v>351.542094087763</v>
      </c>
      <c r="F21" s="6" t="n">
        <f aca="false">F18*F20</f>
        <v>992.274598396395</v>
      </c>
      <c r="G21" s="6" t="n">
        <f aca="false">G18*G20</f>
        <v>670.551641237833</v>
      </c>
      <c r="H21" s="6" t="n">
        <f aca="false">H18*H20</f>
        <v>279.251357632687</v>
      </c>
    </row>
    <row r="22" customFormat="false" ht="15" hidden="false" customHeight="false" outlineLevel="0" collapsed="false">
      <c r="A22" s="5" t="s">
        <v>326</v>
      </c>
      <c r="B22" s="11" t="n">
        <f aca="false">MAX(1,ROUNDUP(B21/$B$8,0))</f>
        <v>1</v>
      </c>
      <c r="C22" s="11" t="n">
        <f aca="false">MAX(1,ROUNDUP(C21/$B$8,0))</f>
        <v>1</v>
      </c>
      <c r="D22" s="11" t="n">
        <f aca="false">MAX(1,ROUNDUP(D21/$B$8,0))</f>
        <v>1</v>
      </c>
      <c r="E22" s="11" t="n">
        <f aca="false">MAX(1,ROUNDUP(E21/$B$8,0))</f>
        <v>1</v>
      </c>
      <c r="F22" s="11" t="n">
        <f aca="false">MAX(1,ROUNDUP(F21/$B$8,0))</f>
        <v>3</v>
      </c>
      <c r="G22" s="11" t="n">
        <f aca="false">MAX(1,ROUNDUP(G21/$B$8,0))</f>
        <v>2</v>
      </c>
      <c r="H22" s="11" t="n">
        <f aca="false">MAX(1,ROUNDUP(H21/$B$8,0))</f>
        <v>1</v>
      </c>
    </row>
    <row r="23" customFormat="false" ht="15" hidden="false" customHeight="false" outlineLevel="0" collapsed="false">
      <c r="A23" s="5" t="s">
        <v>327</v>
      </c>
      <c r="B23" s="11" t="n">
        <f aca="false">MAX(1,ROUNDUP(B21/($B$8*$B$10),0))</f>
        <v>1</v>
      </c>
      <c r="C23" s="11" t="n">
        <f aca="false">MAX(1,ROUNDUP(C21/($B$8*$B$10),0))</f>
        <v>1</v>
      </c>
      <c r="D23" s="11" t="n">
        <f aca="false">MAX(1,ROUNDUP(D21/($B$8*$B$10),0))</f>
        <v>1</v>
      </c>
      <c r="E23" s="11" t="n">
        <f aca="false">MAX(1,ROUNDUP(E21/($B$8*$B$10),0))</f>
        <v>1</v>
      </c>
      <c r="F23" s="11" t="n">
        <f aca="false">MAX(1,ROUNDUP(F21/($B$8*$B$10),0))</f>
        <v>2</v>
      </c>
      <c r="G23" s="11" t="n">
        <f aca="false">MAX(1,ROUNDUP(G21/($B$8*$B$10),0))</f>
        <v>1</v>
      </c>
      <c r="H23" s="11" t="n">
        <f aca="false">MAX(1,ROUNDUP(H21/($B$8*$B$10),0))</f>
        <v>1</v>
      </c>
    </row>
    <row r="24" customFormat="false" ht="15" hidden="false" customHeight="false" outlineLevel="0" collapsed="false">
      <c r="A24" s="4" t="s">
        <v>328</v>
      </c>
      <c r="B24" s="13" t="n">
        <f aca="false">$B$6+B22+$B$7</f>
        <v>3</v>
      </c>
      <c r="C24" s="13" t="n">
        <f aca="false">$B$6+C22+$B$7</f>
        <v>3</v>
      </c>
      <c r="D24" s="13" t="n">
        <f aca="false">$B$6+D22+$B$7</f>
        <v>3</v>
      </c>
      <c r="E24" s="13" t="n">
        <f aca="false">$B$6+E22+$B$7</f>
        <v>3</v>
      </c>
      <c r="F24" s="13" t="n">
        <f aca="false">$B$6+F22+$B$7</f>
        <v>5</v>
      </c>
      <c r="G24" s="13" t="n">
        <f aca="false">$B$6+G22+$B$7</f>
        <v>4</v>
      </c>
      <c r="H24" s="13" t="n">
        <f aca="false">$B$6+H22+$B$7</f>
        <v>3</v>
      </c>
    </row>
    <row r="25" customFormat="false" ht="15" hidden="false" customHeight="false" outlineLevel="0" collapsed="false">
      <c r="A25" s="4" t="s">
        <v>329</v>
      </c>
      <c r="B25" s="13" t="n">
        <f aca="false">$B$6+B23+$B$7</f>
        <v>3</v>
      </c>
      <c r="C25" s="13" t="n">
        <f aca="false">$B$6+C23+$B$7</f>
        <v>3</v>
      </c>
      <c r="D25" s="13" t="n">
        <f aca="false">$B$6+D23+$B$7</f>
        <v>3</v>
      </c>
      <c r="E25" s="13" t="n">
        <f aca="false">$B$6+E23+$B$7</f>
        <v>3</v>
      </c>
      <c r="F25" s="13" t="n">
        <f aca="false">$B$6+F23+$B$7</f>
        <v>4</v>
      </c>
      <c r="G25" s="13" t="n">
        <f aca="false">$B$6+G23+$B$7</f>
        <v>3</v>
      </c>
      <c r="H25" s="13" t="n">
        <f aca="false">$B$6+H23+$B$7</f>
        <v>3</v>
      </c>
    </row>
    <row r="26" customFormat="false" ht="15" hidden="false" customHeight="false" outlineLevel="0" collapsed="false">
      <c r="A26" s="2" t="s">
        <v>330</v>
      </c>
    </row>
    <row r="28" customFormat="false" ht="15" hidden="false" customHeight="false" outlineLevel="0" collapsed="false">
      <c r="A28" s="1" t="s">
        <v>331</v>
      </c>
    </row>
    <row r="29" customFormat="false" ht="35.05" hidden="false" customHeight="true" outlineLevel="0" collapsed="false">
      <c r="A29" s="3" t="s">
        <v>160</v>
      </c>
      <c r="B29" s="3" t="s">
        <v>332</v>
      </c>
      <c r="C29" s="3" t="s">
        <v>333</v>
      </c>
      <c r="D29" s="3" t="s">
        <v>334</v>
      </c>
      <c r="E29" s="3" t="s">
        <v>335</v>
      </c>
      <c r="F29" s="3" t="s">
        <v>336</v>
      </c>
      <c r="G29" s="3" t="s">
        <v>189</v>
      </c>
      <c r="H29" s="3"/>
      <c r="I29" s="3"/>
      <c r="J29" s="3"/>
      <c r="K29" s="3"/>
      <c r="L29" s="3"/>
    </row>
    <row r="30" customFormat="false" ht="23.85" hidden="false" customHeight="true" outlineLevel="0" collapsed="false">
      <c r="A30" s="9" t="str">
        <f aca="false">datos_base!A2</f>
        <v>ABC 1 kg</v>
      </c>
      <c r="B30" s="11" t="n">
        <v>0</v>
      </c>
      <c r="C30" s="20" t="n">
        <f aca="false" t="array" ref="C30:C30">(SUMPRODUCT(INDEX(parametros_recargas!$E$72:$L$99,0,MATCH(parametros_recargas!$B$51,parametros_recargas!$E$71:$L$71,0)),parametros_recargas!$N$72:$N$99)*parametros_recargas!$C$51+parametros_recargas!$D$51*parametros_recargas!$N$100)/60</f>
        <v>17.253</v>
      </c>
      <c r="D30" s="17" t="n">
        <f aca="false">IF(SUM(PROY_Indexado!$B$97:$H$97)=0,$B$6+1+$B$7,SUMPRODUCT(PROY_Indexado!$B$97:$H$97,$B$24:$H$24)/SUM(PROY_Indexado!$B$97:$H$97))</f>
        <v>3</v>
      </c>
      <c r="E30" s="17" t="n">
        <f aca="false">IF(SUM(PROY_Indexado!$B$97:$H$97)=0,$B$6+1+$B$7,SUMPRODUCT(PROY_Indexado!$B$97:$H$97,$B$25:$H$25)/SUM(PROY_Indexado!$B$97:$H$97))</f>
        <v>3</v>
      </c>
      <c r="F30" s="9" t="str">
        <f aca="false">IF(LEFT(A30,3)="ABC",IF($B$9="Comercial","Fábrica: cilindro vacío","Fábrica: terminado"),"Compra")</f>
        <v>Fábrica: cilindro vacío</v>
      </c>
      <c r="G30" s="5" t="s">
        <v>337</v>
      </c>
      <c r="H30" s="5"/>
      <c r="I30" s="5"/>
      <c r="J30" s="5"/>
      <c r="K30" s="5"/>
      <c r="L30" s="5"/>
    </row>
    <row r="31" customFormat="false" ht="23.85" hidden="false" customHeight="false" outlineLevel="0" collapsed="false">
      <c r="A31" s="9" t="str">
        <f aca="false">datos_base!A3</f>
        <v>ABC 2,5 kg</v>
      </c>
      <c r="B31" s="11" t="n">
        <v>1</v>
      </c>
      <c r="C31" s="20" t="n">
        <f aca="false" t="array" ref="C31:C31">(SUMPRODUCT(INDEX(parametros_recargas!$E$72:$L$99,0,MATCH(parametros_recargas!$B$52,parametros_recargas!$E$71:$L$71,0)),parametros_recargas!$N$72:$N$99)*parametros_recargas!$C$52+parametros_recargas!$D$52*parametros_recargas!$N$100)/60</f>
        <v>17.253</v>
      </c>
      <c r="D31" s="17" t="n">
        <f aca="false">IF(SUM(PROY_Indexado!$B$98:$H$98)=0,$B$6+1+$B$7,SUMPRODUCT(PROY_Indexado!$B$98:$H$98,$B$24:$H$24)/SUM(PROY_Indexado!$B$98:$H$98))</f>
        <v>3.04222562037171</v>
      </c>
      <c r="E31" s="17" t="n">
        <f aca="false">IF(SUM(PROY_Indexado!$B$98:$H$98)=0,$B$6+1+$B$7,SUMPRODUCT(PROY_Indexado!$B$98:$H$98,$B$25:$H$25)/SUM(PROY_Indexado!$B$98:$H$98))</f>
        <v>3</v>
      </c>
      <c r="F31" s="9" t="str">
        <f aca="false">IF(LEFT(A31,3)="ABC",IF($B$9="Comercial","Fábrica: cilindro vacío","Fábrica: terminado"),"Compra")</f>
        <v>Fábrica: cilindro vacío</v>
      </c>
      <c r="G31" s="5"/>
      <c r="H31" s="5"/>
      <c r="I31" s="5"/>
      <c r="J31" s="5"/>
      <c r="K31" s="5"/>
      <c r="L31" s="5"/>
    </row>
    <row r="32" customFormat="false" ht="23.85" hidden="false" customHeight="false" outlineLevel="0" collapsed="false">
      <c r="A32" s="9" t="str">
        <f aca="false">datos_base!A4</f>
        <v>ABC 5 kg</v>
      </c>
      <c r="B32" s="11" t="n">
        <v>1</v>
      </c>
      <c r="C32" s="20" t="n">
        <f aca="false" t="array" ref="C32:C32">(SUMPRODUCT(INDEX(parametros_recargas!$E$72:$L$99,0,MATCH(parametros_recargas!$B$53,parametros_recargas!$E$71:$L$71,0)),parametros_recargas!$N$72:$N$99)*parametros_recargas!$C$53+parametros_recargas!$D$53*parametros_recargas!$N$100)/60</f>
        <v>17.253</v>
      </c>
      <c r="D32" s="17" t="n">
        <f aca="false">IF(SUM(PROY_Indexado!$B$99:$H$99)=0,$B$6+1+$B$7,SUMPRODUCT(PROY_Indexado!$B$99:$H$99,$B$24:$H$24)/SUM(PROY_Indexado!$B$99:$H$99))</f>
        <v>3.26591437619096</v>
      </c>
      <c r="E32" s="17" t="n">
        <f aca="false">IF(SUM(PROY_Indexado!$B$99:$H$99)=0,$B$6+1+$B$7,SUMPRODUCT(PROY_Indexado!$B$99:$H$99,$B$25:$H$25)/SUM(PROY_Indexado!$B$99:$H$99))</f>
        <v>3.11017798971454</v>
      </c>
      <c r="F32" s="9" t="str">
        <f aca="false">IF(LEFT(A32,3)="ABC",IF($B$9="Comercial","Fábrica: cilindro vacío","Fábrica: terminado"),"Compra")</f>
        <v>Fábrica: cilindro vacío</v>
      </c>
      <c r="G32" s="5"/>
      <c r="H32" s="5"/>
      <c r="I32" s="5"/>
      <c r="J32" s="5"/>
      <c r="K32" s="5"/>
      <c r="L32" s="5"/>
    </row>
    <row r="33" customFormat="false" ht="23.85" hidden="false" customHeight="false" outlineLevel="0" collapsed="false">
      <c r="A33" s="9" t="str">
        <f aca="false">datos_base!A5</f>
        <v>ABC 10 kg</v>
      </c>
      <c r="B33" s="11" t="n">
        <v>1</v>
      </c>
      <c r="C33" s="20" t="n">
        <f aca="false" t="array" ref="C33:C33">(SUMPRODUCT(INDEX(parametros_recargas!$E$72:$L$99,0,MATCH(parametros_recargas!$B$54,parametros_recargas!$E$71:$L$71,0)),parametros_recargas!$N$72:$N$99)*parametros_recargas!$C$54+parametros_recargas!$D$54*parametros_recargas!$N$100)/60</f>
        <v>17.253</v>
      </c>
      <c r="D33" s="17" t="n">
        <f aca="false">IF(SUM(PROY_Indexado!$B$100:$H$100)=0,$B$6+1+$B$7,SUMPRODUCT(PROY_Indexado!$B$100:$H$100,$B$24:$H$24)/SUM(PROY_Indexado!$B$100:$H$100))</f>
        <v>3.10633715517373</v>
      </c>
      <c r="E33" s="17" t="n">
        <f aca="false">IF(SUM(PROY_Indexado!$B$100:$H$100)=0,$B$6+1+$B$7,SUMPRODUCT(PROY_Indexado!$B$100:$H$100,$B$25:$H$25)/SUM(PROY_Indexado!$B$100:$H$100))</f>
        <v>3</v>
      </c>
      <c r="F33" s="9" t="str">
        <f aca="false">IF(LEFT(A33,3)="ABC",IF($B$9="Comercial","Fábrica: cilindro vacío","Fábrica: terminado"),"Compra")</f>
        <v>Fábrica: cilindro vacío</v>
      </c>
      <c r="G33" s="5"/>
      <c r="H33" s="5"/>
      <c r="I33" s="5"/>
      <c r="J33" s="5"/>
      <c r="K33" s="5"/>
      <c r="L33" s="5"/>
    </row>
    <row r="34" customFormat="false" ht="15" hidden="false" customHeight="false" outlineLevel="0" collapsed="false">
      <c r="A34" s="9" t="str">
        <f aca="false">datos_base!A6</f>
        <v>Agua 10 l</v>
      </c>
      <c r="B34" s="11" t="n">
        <v>1</v>
      </c>
      <c r="C34" s="20" t="n">
        <f aca="false" t="array" ref="C34:C34">(SUMPRODUCT(INDEX(parametros_recargas!$E$72:$L$99,0,MATCH(parametros_recargas!$B$55,parametros_recargas!$E$71:$L$71,0)),parametros_recargas!$N$72:$N$99)*parametros_recargas!$C$55+parametros_recargas!$D$55*parametros_recargas!$N$100)/60</f>
        <v>18.9866666666667</v>
      </c>
      <c r="D34" s="17" t="n">
        <f aca="false">IF(SUM(PROY_Indexado!$B$101:$H$101)=0,$B$6+1+$B$7,SUMPRODUCT(PROY_Indexado!$B$101:$H$101,$B$24:$H$24)/SUM(PROY_Indexado!$B$101:$H$101))</f>
        <v>3.40066464468654</v>
      </c>
      <c r="E34" s="17" t="n">
        <f aca="false">IF(SUM(PROY_Indexado!$B$101:$H$101)=0,$B$6+1+$B$7,SUMPRODUCT(PROY_Indexado!$B$101:$H$101,$B$25:$H$25)/SUM(PROY_Indexado!$B$101:$H$101))</f>
        <v>3.14769424934282</v>
      </c>
      <c r="F34" s="9" t="str">
        <f aca="false">IF(LEFT(A34,3)="ABC",IF($B$9="Comercial","Fábrica: cilindro vacío","Fábrica: terminado"),"Compra")</f>
        <v>Compra</v>
      </c>
      <c r="G34" s="5"/>
      <c r="H34" s="5"/>
      <c r="I34" s="5"/>
      <c r="J34" s="5"/>
      <c r="K34" s="5"/>
      <c r="L34" s="5"/>
    </row>
    <row r="35" customFormat="false" ht="15" hidden="false" customHeight="false" outlineLevel="0" collapsed="false">
      <c r="A35" s="9" t="str">
        <f aca="false">datos_base!A7</f>
        <v>AFFF 10 l</v>
      </c>
      <c r="B35" s="11" t="n">
        <v>1</v>
      </c>
      <c r="C35" s="20" t="n">
        <f aca="false" t="array" ref="C35:C35">(SUMPRODUCT(INDEX(parametros_recargas!$E$72:$L$99,0,MATCH(parametros_recargas!$B$56,parametros_recargas!$E$71:$L$71,0)),parametros_recargas!$N$72:$N$99)*parametros_recargas!$C$56+parametros_recargas!$D$56*parametros_recargas!$N$100)/60</f>
        <v>18.9866666666667</v>
      </c>
      <c r="D35" s="17" t="n">
        <f aca="false">IF(SUM(PROY_Indexado!$B$102:$H$102)=0,$B$6+1+$B$7,SUMPRODUCT(PROY_Indexado!$B$102:$H$102,$B$24:$H$24)/SUM(PROY_Indexado!$B$102:$H$102))</f>
        <v>5</v>
      </c>
      <c r="E35" s="17" t="n">
        <f aca="false">IF(SUM(PROY_Indexado!$B$102:$H$102)=0,$B$6+1+$B$7,SUMPRODUCT(PROY_Indexado!$B$102:$H$102,$B$25:$H$25)/SUM(PROY_Indexado!$B$102:$H$102))</f>
        <v>4</v>
      </c>
      <c r="F35" s="9" t="str">
        <f aca="false">IF(LEFT(A35,3)="ABC",IF($B$9="Comercial","Fábrica: cilindro vacío","Fábrica: terminado"),"Compra")</f>
        <v>Compra</v>
      </c>
      <c r="G35" s="5"/>
      <c r="H35" s="5"/>
      <c r="I35" s="5"/>
      <c r="J35" s="5"/>
      <c r="K35" s="5"/>
      <c r="L35" s="5"/>
    </row>
    <row r="36" customFormat="false" ht="15" hidden="false" customHeight="false" outlineLevel="0" collapsed="false">
      <c r="A36" s="9" t="str">
        <f aca="false">datos_base!A8</f>
        <v>AFFF 50 l s/ruedas</v>
      </c>
      <c r="B36" s="11" t="n">
        <v>1</v>
      </c>
      <c r="C36" s="20" t="n">
        <f aca="false" t="array" ref="C36:C36">(SUMPRODUCT(INDEX(parametros_recargas!$E$72:$L$99,0,MATCH(parametros_recargas!$B$57,parametros_recargas!$E$71:$L$71,0)),parametros_recargas!$N$72:$N$99)*parametros_recargas!$C$57+parametros_recargas!$D$57*parametros_recargas!$N$100)/60</f>
        <v>61.9933333333333</v>
      </c>
      <c r="D36" s="17" t="n">
        <f aca="false">IF(SUM(PROY_Indexado!$B$103:$H$103)=0,$B$6+1+$B$7,SUMPRODUCT(PROY_Indexado!$B$103:$H$103,$B$24:$H$24)/SUM(PROY_Indexado!$B$103:$H$103))</f>
        <v>5</v>
      </c>
      <c r="E36" s="17" t="n">
        <f aca="false">IF(SUM(PROY_Indexado!$B$103:$H$103)=0,$B$6+1+$B$7,SUMPRODUCT(PROY_Indexado!$B$103:$H$103,$B$25:$H$25)/SUM(PROY_Indexado!$B$103:$H$103))</f>
        <v>4</v>
      </c>
      <c r="F36" s="9" t="str">
        <f aca="false">IF(LEFT(A36,3)="ABC",IF($B$9="Comercial","Fábrica: cilindro vacío","Fábrica: terminado"),"Compra")</f>
        <v>Compra</v>
      </c>
      <c r="G36" s="5"/>
      <c r="H36" s="5"/>
      <c r="I36" s="5"/>
      <c r="J36" s="5"/>
      <c r="K36" s="5"/>
      <c r="L36" s="5"/>
    </row>
    <row r="37" customFormat="false" ht="15" hidden="false" customHeight="false" outlineLevel="0" collapsed="false">
      <c r="A37" s="9" t="str">
        <f aca="false">datos_base!A9</f>
        <v>BC 5 kg</v>
      </c>
      <c r="B37" s="11" t="n">
        <v>1</v>
      </c>
      <c r="C37" s="20" t="n">
        <f aca="false" t="array" ref="C37:C37">(SUMPRODUCT(INDEX(parametros_recargas!$E$72:$L$99,0,MATCH(parametros_recargas!$B$58,parametros_recargas!$E$71:$L$71,0)),parametros_recargas!$N$72:$N$99)*parametros_recargas!$C$58+parametros_recargas!$D$58*parametros_recargas!$N$100)/60</f>
        <v>17.8905</v>
      </c>
      <c r="D37" s="17" t="n">
        <f aca="false">IF(SUM(PROY_Indexado!$B$104:$H$104)=0,$B$6+1+$B$7,SUMPRODUCT(PROY_Indexado!$B$104:$H$104,$B$24:$H$24)/SUM(PROY_Indexado!$B$104:$H$104))</f>
        <v>5</v>
      </c>
      <c r="E37" s="17" t="n">
        <f aca="false">IF(SUM(PROY_Indexado!$B$104:$H$104)=0,$B$6+1+$B$7,SUMPRODUCT(PROY_Indexado!$B$104:$H$104,$B$25:$H$25)/SUM(PROY_Indexado!$B$104:$H$104))</f>
        <v>4</v>
      </c>
      <c r="F37" s="9" t="str">
        <f aca="false">IF(LEFT(A37,3)="ABC",IF($B$9="Comercial","Fábrica: cilindro vacío","Fábrica: terminado"),"Compra")</f>
        <v>Compra</v>
      </c>
      <c r="G37" s="5"/>
      <c r="H37" s="5"/>
      <c r="I37" s="5"/>
      <c r="J37" s="5"/>
      <c r="K37" s="5"/>
      <c r="L37" s="5"/>
    </row>
    <row r="38" customFormat="false" ht="15" hidden="false" customHeight="false" outlineLevel="0" collapsed="false">
      <c r="A38" s="9" t="str">
        <f aca="false">datos_base!A10</f>
        <v>Sales K 6 l</v>
      </c>
      <c r="B38" s="11" t="n">
        <v>1</v>
      </c>
      <c r="C38" s="20" t="n">
        <f aca="false" t="array" ref="C38:C38">(SUMPRODUCT(INDEX(parametros_recargas!$E$72:$L$99,0,MATCH(parametros_recargas!$B$59,parametros_recargas!$E$71:$L$71,0)),parametros_recargas!$N$72:$N$99)*parametros_recargas!$C$59+parametros_recargas!$D$59*parametros_recargas!$N$100)/60</f>
        <v>18.9866666666667</v>
      </c>
      <c r="D38" s="17" t="n">
        <f aca="false">IF(SUM(PROY_Indexado!$B$105:$H$105)=0,$B$6+1+$B$7,SUMPRODUCT(PROY_Indexado!$B$105:$H$105,$B$24:$H$24)/SUM(PROY_Indexado!$B$105:$H$105))</f>
        <v>3.49012017593716</v>
      </c>
      <c r="E38" s="17" t="n">
        <f aca="false">IF(SUM(PROY_Indexado!$B$105:$H$105)=0,$B$6+1+$B$7,SUMPRODUCT(PROY_Indexado!$B$105:$H$105,$B$25:$H$25)/SUM(PROY_Indexado!$B$105:$H$105))</f>
        <v>3.20916091901053</v>
      </c>
      <c r="F38" s="9" t="str">
        <f aca="false">IF(LEFT(A38,3)="ABC",IF($B$9="Comercial","Fábrica: cilindro vacío","Fábrica: terminado"),"Compra")</f>
        <v>Compra</v>
      </c>
      <c r="G38" s="5"/>
      <c r="H38" s="5"/>
      <c r="I38" s="5"/>
      <c r="J38" s="5"/>
      <c r="K38" s="5"/>
      <c r="L38" s="5"/>
    </row>
    <row r="39" customFormat="false" ht="15" hidden="false" customHeight="false" outlineLevel="0" collapsed="false">
      <c r="A39" s="9" t="str">
        <f aca="false">datos_base!A11</f>
        <v>CO₂ 2 kg</v>
      </c>
      <c r="B39" s="11" t="n">
        <v>1</v>
      </c>
      <c r="C39" s="20" t="n">
        <f aca="false" t="array" ref="C39:C39">(SUMPRODUCT(INDEX(parametros_recargas!$E$72:$L$99,0,MATCH(parametros_recargas!$B$60,parametros_recargas!$E$71:$L$71,0)),parametros_recargas!$N$72:$N$99)*parametros_recargas!$C$60+parametros_recargas!$D$60*parametros_recargas!$N$100)/60</f>
        <v>13.0308333333333</v>
      </c>
      <c r="D39" s="17" t="n">
        <f aca="false">IF(SUM(PROY_Indexado!$B$106:$H$106)=0,$B$6+1+$B$7,SUMPRODUCT(PROY_Indexado!$B$106:$H$106,$B$24:$H$24)/SUM(PROY_Indexado!$B$106:$H$106))</f>
        <v>3.10487396784397</v>
      </c>
      <c r="E39" s="17" t="n">
        <f aca="false">IF(SUM(PROY_Indexado!$B$106:$H$106)=0,$B$6+1+$B$7,SUMPRODUCT(PROY_Indexado!$B$106:$H$106,$B$25:$H$25)/SUM(PROY_Indexado!$B$106:$H$106))</f>
        <v>3.02874948583048</v>
      </c>
      <c r="F39" s="9" t="str">
        <f aca="false">IF(LEFT(A39,3)="ABC",IF($B$9="Comercial","Fábrica: cilindro vacío","Fábrica: terminado"),"Compra")</f>
        <v>Compra</v>
      </c>
      <c r="G39" s="5"/>
      <c r="H39" s="5"/>
      <c r="I39" s="5"/>
      <c r="J39" s="5"/>
      <c r="K39" s="5"/>
      <c r="L39" s="5"/>
    </row>
    <row r="40" customFormat="false" ht="15" hidden="false" customHeight="false" outlineLevel="0" collapsed="false">
      <c r="A40" s="9" t="str">
        <f aca="false">datos_base!A12</f>
        <v>CO₂ 5 kg</v>
      </c>
      <c r="B40" s="11" t="n">
        <v>1</v>
      </c>
      <c r="C40" s="20" t="n">
        <f aca="false" t="array" ref="C40:C40">(SUMPRODUCT(INDEX(parametros_recargas!$E$72:$L$99,0,MATCH(parametros_recargas!$B$61,parametros_recargas!$E$71:$L$71,0)),parametros_recargas!$N$72:$N$99)*parametros_recargas!$C$61+parametros_recargas!$D$61*parametros_recargas!$N$100)/60</f>
        <v>18.0641666666667</v>
      </c>
      <c r="D40" s="17" t="n">
        <f aca="false">IF(SUM(PROY_Indexado!$B$107:$H$107)=0,$B$6+1+$B$7,SUMPRODUCT(PROY_Indexado!$B$107:$H$107,$B$24:$H$24)/SUM(PROY_Indexado!$B$107:$H$107))</f>
        <v>4.01971049874696</v>
      </c>
      <c r="E40" s="17" t="n">
        <f aca="false">IF(SUM(PROY_Indexado!$B$107:$H$107)=0,$B$6+1+$B$7,SUMPRODUCT(PROY_Indexado!$B$107:$H$107,$B$25:$H$25)/SUM(PROY_Indexado!$B$107:$H$107))</f>
        <v>3.43171012356052</v>
      </c>
      <c r="F40" s="9" t="str">
        <f aca="false">IF(LEFT(A40,3)="ABC",IF($B$9="Comercial","Fábrica: cilindro vacío","Fábrica: terminado"),"Compra")</f>
        <v>Compra</v>
      </c>
      <c r="G40" s="5"/>
      <c r="H40" s="5"/>
      <c r="I40" s="5"/>
      <c r="J40" s="5"/>
      <c r="K40" s="5"/>
      <c r="L40" s="5"/>
    </row>
    <row r="41" customFormat="false" ht="15" hidden="false" customHeight="false" outlineLevel="0" collapsed="false">
      <c r="A41" s="9" t="str">
        <f aca="false">datos_base!A13</f>
        <v>HCFC/HFC 5 kg</v>
      </c>
      <c r="B41" s="11" t="n">
        <v>1</v>
      </c>
      <c r="C41" s="20" t="n">
        <f aca="false" t="array" ref="C41:C41">(SUMPRODUCT(INDEX(parametros_recargas!$E$72:$L$99,0,MATCH(parametros_recargas!$B$62,parametros_recargas!$E$71:$L$71,0)),parametros_recargas!$N$72:$N$99)*parametros_recargas!$C$62+parametros_recargas!$D$62*parametros_recargas!$N$100)/60</f>
        <v>14.8475</v>
      </c>
      <c r="D41" s="17" t="n">
        <f aca="false">IF(SUM(PROY_Indexado!$B$108:$H$108)=0,$B$6+1+$B$7,SUMPRODUCT(PROY_Indexado!$B$108:$H$108,$B$24:$H$24)/SUM(PROY_Indexado!$B$108:$H$108))</f>
        <v>4.79260190339379</v>
      </c>
      <c r="E41" s="17" t="n">
        <f aca="false">IF(SUM(PROY_Indexado!$B$108:$H$108)=0,$B$6+1+$B$7,SUMPRODUCT(PROY_Indexado!$B$108:$H$108,$B$25:$H$25)/SUM(PROY_Indexado!$B$108:$H$108))</f>
        <v>3.79260190339379</v>
      </c>
      <c r="F41" s="9" t="str">
        <f aca="false">IF(LEFT(A41,3)="ABC",IF($B$9="Comercial","Fábrica: cilindro vacío","Fábrica: terminado"),"Compra")</f>
        <v>Compra</v>
      </c>
      <c r="G41" s="5"/>
      <c r="H41" s="5"/>
      <c r="I41" s="5"/>
      <c r="J41" s="5"/>
      <c r="K41" s="5"/>
      <c r="L41" s="5"/>
    </row>
    <row r="42" customFormat="false" ht="15" hidden="false" customHeight="false" outlineLevel="0" collapsed="false">
      <c r="A42" s="9" t="str">
        <f aca="false">datos_base!A14</f>
        <v>Clase D 9 l</v>
      </c>
      <c r="B42" s="11" t="n">
        <v>1</v>
      </c>
      <c r="C42" s="20" t="n">
        <f aca="false" t="array" ref="C42:C42">(SUMPRODUCT(INDEX(parametros_recargas!$E$72:$L$99,0,MATCH(parametros_recargas!$B$63,parametros_recargas!$E$71:$L$71,0)),parametros_recargas!$N$72:$N$99)*parametros_recargas!$C$63+parametros_recargas!$D$63*parametros_recargas!$N$100)/60</f>
        <v>22.2541666666667</v>
      </c>
      <c r="D42" s="17" t="n">
        <f aca="false">IF(SUM(PROY_Indexado!$B$109:$H$109)=0,$B$6+1+$B$7,SUMPRODUCT(PROY_Indexado!$B$109:$H$109,$B$24:$H$24)/SUM(PROY_Indexado!$B$109:$H$109))</f>
        <v>5</v>
      </c>
      <c r="E42" s="17" t="n">
        <f aca="false">IF(SUM(PROY_Indexado!$B$109:$H$109)=0,$B$6+1+$B$7,SUMPRODUCT(PROY_Indexado!$B$109:$H$109,$B$25:$H$25)/SUM(PROY_Indexado!$B$109:$H$109))</f>
        <v>4</v>
      </c>
      <c r="F42" s="9" t="str">
        <f aca="false">IF(LEFT(A42,3)="ABC",IF($B$9="Comercial","Fábrica: cilindro vacío","Fábrica: terminado"),"Compra")</f>
        <v>Compra</v>
      </c>
      <c r="G42" s="5"/>
      <c r="H42" s="5"/>
      <c r="I42" s="5"/>
      <c r="J42" s="5"/>
      <c r="K42" s="5"/>
      <c r="L42" s="5"/>
    </row>
    <row r="43" customFormat="false" ht="23.85" hidden="false" customHeight="false" outlineLevel="0" collapsed="false">
      <c r="A43" s="9" t="str">
        <f aca="false">datos_base!A15</f>
        <v>ABC 25 kg s/ruedas</v>
      </c>
      <c r="B43" s="11" t="n">
        <v>1</v>
      </c>
      <c r="C43" s="20" t="n">
        <f aca="false" t="array" ref="C43:C43">(SUMPRODUCT(INDEX(parametros_recargas!$E$72:$L$99,0,MATCH(parametros_recargas!$B$64,parametros_recargas!$E$71:$L$71,0)),parametros_recargas!$N$72:$N$99)*parametros_recargas!$C$64+parametros_recargas!$D$64*parametros_recargas!$N$100)/60</f>
        <v>56.7923333333333</v>
      </c>
      <c r="D43" s="17" t="n">
        <f aca="false">IF(SUM(PROY_Indexado!$B$110:$H$110)=0,$B$6+1+$B$7,SUMPRODUCT(PROY_Indexado!$B$110:$H$110,$B$24:$H$24)/SUM(PROY_Indexado!$B$110:$H$110))</f>
        <v>3.92647820942808</v>
      </c>
      <c r="E43" s="17" t="n">
        <f aca="false">IF(SUM(PROY_Indexado!$B$110:$H$110)=0,$B$6+1+$B$7,SUMPRODUCT(PROY_Indexado!$B$110:$H$110,$B$25:$H$25)/SUM(PROY_Indexado!$B$110:$H$110))</f>
        <v>3.39653267363522</v>
      </c>
      <c r="F43" s="9" t="str">
        <f aca="false">IF(LEFT(A43,3)="ABC",IF($B$9="Comercial","Fábrica: cilindro vacío","Fábrica: terminado"),"Compra")</f>
        <v>Fábrica: cilindro vacío</v>
      </c>
      <c r="G43" s="5"/>
      <c r="H43" s="5"/>
      <c r="I43" s="5"/>
      <c r="J43" s="5"/>
      <c r="K43" s="5"/>
      <c r="L43" s="5"/>
    </row>
    <row r="44" customFormat="false" ht="23.85" hidden="false" customHeight="false" outlineLevel="0" collapsed="false">
      <c r="A44" s="9" t="str">
        <f aca="false">datos_base!A16</f>
        <v>ABC 50 kg s/ruedas</v>
      </c>
      <c r="B44" s="11" t="n">
        <v>1</v>
      </c>
      <c r="C44" s="20" t="n">
        <f aca="false" t="array" ref="C44:C44">(SUMPRODUCT(INDEX(parametros_recargas!$E$72:$L$99,0,MATCH(parametros_recargas!$B$65,parametros_recargas!$E$71:$L$71,0)),parametros_recargas!$N$72:$N$99)*parametros_recargas!$C$65+parametros_recargas!$D$65*parametros_recargas!$N$100)/60</f>
        <v>56.7923333333333</v>
      </c>
      <c r="D44" s="17" t="n">
        <f aca="false">IF(SUM(PROY_Indexado!$B$111:$H$111)=0,$B$6+1+$B$7,SUMPRODUCT(PROY_Indexado!$B$111:$H$111,$B$24:$H$24)/SUM(PROY_Indexado!$B$111:$H$111))</f>
        <v>3.92648627506756</v>
      </c>
      <c r="E44" s="17" t="n">
        <f aca="false">IF(SUM(PROY_Indexado!$B$111:$H$111)=0,$B$6+1+$B$7,SUMPRODUCT(PROY_Indexado!$B$111:$H$111,$B$25:$H$25)/SUM(PROY_Indexado!$B$111:$H$111))</f>
        <v>3.39653854359266</v>
      </c>
      <c r="F44" s="9" t="str">
        <f aca="false">IF(LEFT(A44,3)="ABC",IF($B$9="Comercial","Fábrica: cilindro vacío","Fábrica: terminado"),"Compra")</f>
        <v>Fábrica: cilindro vacío</v>
      </c>
      <c r="G44" s="5"/>
      <c r="H44" s="5"/>
      <c r="I44" s="5"/>
      <c r="J44" s="5"/>
      <c r="K44" s="5"/>
      <c r="L44" s="5"/>
    </row>
    <row r="45" customFormat="false" ht="23.85" hidden="false" customHeight="false" outlineLevel="0" collapsed="false">
      <c r="A45" s="9" t="str">
        <f aca="false">datos_base!A17</f>
        <v>ABC 70 kg s/ruedas</v>
      </c>
      <c r="B45" s="11" t="n">
        <v>1</v>
      </c>
      <c r="C45" s="20" t="n">
        <f aca="false" t="array" ref="C45:C45">(SUMPRODUCT(INDEX(parametros_recargas!$E$72:$L$99,0,MATCH(parametros_recargas!$B$66,parametros_recargas!$E$71:$L$71,0)),parametros_recargas!$N$72:$N$99)*parametros_recargas!$C$66+parametros_recargas!$D$66*parametros_recargas!$N$100)/60</f>
        <v>56.7923333333333</v>
      </c>
      <c r="D45" s="17" t="n">
        <f aca="false">IF(SUM(PROY_Indexado!$B$112:$H$112)=0,$B$6+1+$B$7,SUMPRODUCT(PROY_Indexado!$B$112:$H$112,$B$24:$H$24)/SUM(PROY_Indexado!$B$112:$H$112))</f>
        <v>3.92650084540325</v>
      </c>
      <c r="E45" s="17" t="n">
        <f aca="false">IF(SUM(PROY_Indexado!$B$112:$H$112)=0,$B$6+1+$B$7,SUMPRODUCT(PROY_Indexado!$B$112:$H$112,$B$25:$H$25)/SUM(PROY_Indexado!$B$112:$H$112))</f>
        <v>3.39654505082605</v>
      </c>
      <c r="F45" s="9" t="str">
        <f aca="false">IF(LEFT(A45,3)="ABC",IF($B$9="Comercial","Fábrica: cilindro vacío","Fábrica: terminado"),"Compra")</f>
        <v>Fábrica: cilindro vacío</v>
      </c>
      <c r="G45" s="5"/>
      <c r="H45" s="5"/>
      <c r="I45" s="5"/>
      <c r="J45" s="5"/>
      <c r="K45" s="5"/>
      <c r="L45" s="5"/>
    </row>
    <row r="46" customFormat="false" ht="23.85" hidden="false" customHeight="false" outlineLevel="0" collapsed="false">
      <c r="A46" s="9" t="str">
        <f aca="false">datos_base!A18</f>
        <v>ABC 100 kg s/ruedas</v>
      </c>
      <c r="B46" s="11" t="n">
        <v>1</v>
      </c>
      <c r="C46" s="20" t="n">
        <f aca="false" t="array" ref="C46:C46">(SUMPRODUCT(INDEX(parametros_recargas!$E$72:$L$99,0,MATCH(parametros_recargas!$B$67,parametros_recargas!$E$71:$L$71,0)),parametros_recargas!$N$72:$N$99)*parametros_recargas!$C$67+parametros_recargas!$D$67*parametros_recargas!$N$100)/60</f>
        <v>56.7923333333333</v>
      </c>
      <c r="D46" s="17" t="n">
        <f aca="false">IF(SUM(PROY_Indexado!$B$113:$H$113)=0,$B$6+1+$B$7,SUMPRODUCT(PROY_Indexado!$B$113:$H$113,$B$24:$H$24)/SUM(PROY_Indexado!$B$113:$H$113))</f>
        <v>3.92648047424067</v>
      </c>
      <c r="E46" s="17" t="n">
        <f aca="false">IF(SUM(PROY_Indexado!$B$113:$H$113)=0,$B$6+1+$B$7,SUMPRODUCT(PROY_Indexado!$B$113:$H$113,$B$25:$H$25)/SUM(PROY_Indexado!$B$113:$H$113))</f>
        <v>3.39653486524476</v>
      </c>
      <c r="F46" s="9" t="str">
        <f aca="false">IF(LEFT(A46,3)="ABC",IF($B$9="Comercial","Fábrica: cilindro vacío","Fábrica: terminado"),"Compra")</f>
        <v>Fábrica: cilindro vacío</v>
      </c>
      <c r="G46" s="5"/>
      <c r="H46" s="5"/>
      <c r="I46" s="5"/>
      <c r="J46" s="5"/>
      <c r="K46" s="5"/>
      <c r="L46" s="5"/>
    </row>
    <row r="48" customFormat="false" ht="15" hidden="false" customHeight="false" outlineLevel="0" collapsed="false">
      <c r="A48" s="1" t="s">
        <v>338</v>
      </c>
    </row>
    <row r="49" customFormat="false" ht="15" hidden="false" customHeight="false" outlineLevel="0" collapsed="false">
      <c r="A49" s="2" t="s">
        <v>339</v>
      </c>
    </row>
    <row r="50" customFormat="false" ht="15" hidden="false" customHeight="false" outlineLevel="0" collapsed="false">
      <c r="A50" s="3" t="s">
        <v>160</v>
      </c>
      <c r="B50" s="3" t="n">
        <v>2026</v>
      </c>
      <c r="C50" s="3" t="n">
        <v>2027</v>
      </c>
      <c r="D50" s="3" t="n">
        <v>2028</v>
      </c>
      <c r="E50" s="3" t="n">
        <v>2029</v>
      </c>
      <c r="F50" s="3" t="n">
        <v>2030</v>
      </c>
      <c r="G50" s="3" t="n">
        <v>2031</v>
      </c>
      <c r="H50" s="3" t="n">
        <v>2032</v>
      </c>
      <c r="I50" s="3" t="n">
        <v>2033</v>
      </c>
      <c r="J50" s="3" t="n">
        <v>2034</v>
      </c>
      <c r="K50" s="3" t="n">
        <v>2035</v>
      </c>
    </row>
    <row r="51" customFormat="false" ht="15" hidden="false" customHeight="false" outlineLevel="0" collapsed="false">
      <c r="A51" s="9" t="str">
        <f aca="false">datos_base!A2</f>
        <v>ABC 1 kg</v>
      </c>
      <c r="B51" s="6" t="n">
        <f aca="false">ROUNDUP(datos_base!B2*$B$30*IF(B$50&gt;=$B$11,$E$30,$D$30)*MAX(parametros_recargas!$B$37:$M$37)/$B$5,0)</f>
        <v>0</v>
      </c>
      <c r="C51" s="6" t="n">
        <f aca="false">ROUNDUP(datos_base!C2*$B$30*IF(C$50&gt;=$B$11,$E$30,$D$30)*MAX(parametros_recargas!$B$38:$M$38)/$B$5,0)</f>
        <v>0</v>
      </c>
      <c r="D51" s="6" t="n">
        <f aca="false">ROUNDUP(datos_base!D2*$B$30*IF(D$50&gt;=$B$11,$E$30,$D$30)*MAX(parametros_recargas!$B$39:$M$39)/$B$5,0)</f>
        <v>0</v>
      </c>
      <c r="E51" s="6" t="n">
        <f aca="false">ROUNDUP(datos_base!E2*$B$30*IF(E$50&gt;=$B$11,$E$30,$D$30)*MAX(parametros_recargas!$B$40:$M$40)/$B$5,0)</f>
        <v>0</v>
      </c>
      <c r="F51" s="6" t="n">
        <f aca="false">ROUNDUP(datos_base!F2*$B$30*IF(F$50&gt;=$B$11,$E$30,$D$30)*MAX(parametros_recargas!$B$41:$M$41)/$B$5,0)</f>
        <v>0</v>
      </c>
      <c r="G51" s="6" t="n">
        <f aca="false">ROUNDUP(datos_base!G2*$B$30*IF(G$50&gt;=$B$11,$E$30,$D$30)*MAX(parametros_recargas!$B$42:$M$42)/$B$5,0)</f>
        <v>0</v>
      </c>
      <c r="H51" s="6" t="n">
        <f aca="false">ROUNDUP(datos_base!H2*$B$30*IF(H$50&gt;=$B$11,$E$30,$D$30)*MAX(parametros_recargas!$B$43:$M$43)/$B$5,0)</f>
        <v>0</v>
      </c>
      <c r="I51" s="6" t="n">
        <f aca="false">ROUNDUP(datos_base!I2*$B$30*IF(I$50&gt;=$B$11,$E$30,$D$30)*MAX(parametros_recargas!$B$44:$M$44)/$B$5,0)</f>
        <v>0</v>
      </c>
      <c r="J51" s="6" t="n">
        <f aca="false">ROUNDUP(datos_base!J2*$B$30*IF(J$50&gt;=$B$11,$E$30,$D$30)*MAX(parametros_recargas!$B$45:$M$45)/$B$5,0)</f>
        <v>0</v>
      </c>
      <c r="K51" s="6" t="n">
        <f aca="false">ROUNDUP(datos_base!K2*$B$30*IF(K$50&gt;=$B$11,$E$30,$D$30)*MAX(parametros_recargas!$B$46:$M$46)/$B$5,0)</f>
        <v>0</v>
      </c>
    </row>
    <row r="52" customFormat="false" ht="15" hidden="false" customHeight="false" outlineLevel="0" collapsed="false">
      <c r="A52" s="9" t="str">
        <f aca="false">datos_base!A3</f>
        <v>ABC 2,5 kg</v>
      </c>
      <c r="B52" s="6" t="n">
        <f aca="false">ROUNDUP(datos_base!B3*$B$31*IF(B$50&gt;=$B$11,$E$31,$D$31)*MAX(parametros_recargas!$B$37:$M$37)/$B$5,0)</f>
        <v>3</v>
      </c>
      <c r="C52" s="6" t="n">
        <f aca="false">ROUNDUP(datos_base!C3*$B$31*IF(C$50&gt;=$B$11,$E$31,$D$31)*MAX(parametros_recargas!$B$38:$M$38)/$B$5,0)</f>
        <v>10</v>
      </c>
      <c r="D52" s="6" t="n">
        <f aca="false">ROUNDUP(datos_base!D3*$B$31*IF(D$50&gt;=$B$11,$E$31,$D$31)*MAX(parametros_recargas!$B$39:$M$39)/$B$5,0)</f>
        <v>21</v>
      </c>
      <c r="E52" s="6" t="n">
        <f aca="false">ROUNDUP(datos_base!E3*$B$31*IF(E$50&gt;=$B$11,$E$31,$D$31)*MAX(parametros_recargas!$B$40:$M$40)/$B$5,0)</f>
        <v>39</v>
      </c>
      <c r="F52" s="6" t="n">
        <f aca="false">ROUNDUP(datos_base!F3*$B$31*IF(F$50&gt;=$B$11,$E$31,$D$31)*MAX(parametros_recargas!$B$41:$M$41)/$B$5,0)</f>
        <v>56</v>
      </c>
      <c r="G52" s="6" t="n">
        <f aca="false">ROUNDUP(datos_base!G3*$B$31*IF(G$50&gt;=$B$11,$E$31,$D$31)*MAX(parametros_recargas!$B$42:$M$42)/$B$5,0)</f>
        <v>74</v>
      </c>
      <c r="H52" s="6" t="n">
        <f aca="false">ROUNDUP(datos_base!H3*$B$31*IF(H$50&gt;=$B$11,$E$31,$D$31)*MAX(parametros_recargas!$B$43:$M$43)/$B$5,0)</f>
        <v>89</v>
      </c>
      <c r="I52" s="6" t="n">
        <f aca="false">ROUNDUP(datos_base!I3*$B$31*IF(I$50&gt;=$B$11,$E$31,$D$31)*MAX(parametros_recargas!$B$44:$M$44)/$B$5,0)</f>
        <v>99</v>
      </c>
      <c r="J52" s="6" t="n">
        <f aca="false">ROUNDUP(datos_base!J3*$B$31*IF(J$50&gt;=$B$11,$E$31,$D$31)*MAX(parametros_recargas!$B$45:$M$45)/$B$5,0)</f>
        <v>107</v>
      </c>
      <c r="K52" s="6" t="n">
        <f aca="false">ROUNDUP(datos_base!K3*$B$31*IF(K$50&gt;=$B$11,$E$31,$D$31)*MAX(parametros_recargas!$B$46:$M$46)/$B$5,0)</f>
        <v>116</v>
      </c>
    </row>
    <row r="53" customFormat="false" ht="15" hidden="false" customHeight="false" outlineLevel="0" collapsed="false">
      <c r="A53" s="9" t="str">
        <f aca="false">datos_base!A4</f>
        <v>ABC 5 kg</v>
      </c>
      <c r="B53" s="6" t="n">
        <f aca="false">ROUNDUP(datos_base!B4*$B$32*IF(B$50&gt;=$B$11,$E$32,$D$32)*MAX(parametros_recargas!$B$37:$M$37)/$B$5,0)</f>
        <v>15</v>
      </c>
      <c r="C53" s="6" t="n">
        <f aca="false">ROUNDUP(datos_base!C4*$B$32*IF(C$50&gt;=$B$11,$E$32,$D$32)*MAX(parametros_recargas!$B$38:$M$38)/$B$5,0)</f>
        <v>60</v>
      </c>
      <c r="D53" s="6" t="n">
        <f aca="false">ROUNDUP(datos_base!D4*$B$32*IF(D$50&gt;=$B$11,$E$32,$D$32)*MAX(parametros_recargas!$B$39:$M$39)/$B$5,0)</f>
        <v>135</v>
      </c>
      <c r="E53" s="6" t="n">
        <f aca="false">ROUNDUP(datos_base!E4*$B$32*IF(E$50&gt;=$B$11,$E$32,$D$32)*MAX(parametros_recargas!$B$40:$M$40)/$B$5,0)</f>
        <v>254</v>
      </c>
      <c r="F53" s="6" t="n">
        <f aca="false">ROUNDUP(datos_base!F4*$B$32*IF(F$50&gt;=$B$11,$E$32,$D$32)*MAX(parametros_recargas!$B$41:$M$41)/$B$5,0)</f>
        <v>366</v>
      </c>
      <c r="G53" s="6" t="n">
        <f aca="false">ROUNDUP(datos_base!G4*$B$32*IF(G$50&gt;=$B$11,$E$32,$D$32)*MAX(parametros_recargas!$B$42:$M$42)/$B$5,0)</f>
        <v>486</v>
      </c>
      <c r="H53" s="6" t="n">
        <f aca="false">ROUNDUP(datos_base!H4*$B$32*IF(H$50&gt;=$B$11,$E$32,$D$32)*MAX(parametros_recargas!$B$43:$M$43)/$B$5,0)</f>
        <v>566</v>
      </c>
      <c r="I53" s="6" t="n">
        <f aca="false">ROUNDUP(datos_base!I4*$B$32*IF(I$50&gt;=$B$11,$E$32,$D$32)*MAX(parametros_recargas!$B$44:$M$44)/$B$5,0)</f>
        <v>627</v>
      </c>
      <c r="J53" s="6" t="n">
        <f aca="false">ROUNDUP(datos_base!J4*$B$32*IF(J$50&gt;=$B$11,$E$32,$D$32)*MAX(parametros_recargas!$B$45:$M$45)/$B$5,0)</f>
        <v>677</v>
      </c>
      <c r="K53" s="6" t="n">
        <f aca="false">ROUNDUP(datos_base!K4*$B$32*IF(K$50&gt;=$B$11,$E$32,$D$32)*MAX(parametros_recargas!$B$46:$M$46)/$B$5,0)</f>
        <v>727</v>
      </c>
    </row>
    <row r="54" customFormat="false" ht="15" hidden="false" customHeight="false" outlineLevel="0" collapsed="false">
      <c r="A54" s="9" t="str">
        <f aca="false">datos_base!A5</f>
        <v>ABC 10 kg</v>
      </c>
      <c r="B54" s="6" t="n">
        <f aca="false">ROUNDUP(datos_base!B5*$B$33*IF(B$50&gt;=$B$11,$E$33,$D$33)*MAX(parametros_recargas!$B$37:$M$37)/$B$5,0)</f>
        <v>1</v>
      </c>
      <c r="C54" s="6" t="n">
        <f aca="false">ROUNDUP(datos_base!C5*$B$33*IF(C$50&gt;=$B$11,$E$33,$D$33)*MAX(parametros_recargas!$B$38:$M$38)/$B$5,0)</f>
        <v>4</v>
      </c>
      <c r="D54" s="6" t="n">
        <f aca="false">ROUNDUP(datos_base!D5*$B$33*IF(D$50&gt;=$B$11,$E$33,$D$33)*MAX(parametros_recargas!$B$39:$M$39)/$B$5,0)</f>
        <v>8</v>
      </c>
      <c r="E54" s="6" t="n">
        <f aca="false">ROUNDUP(datos_base!E5*$B$33*IF(E$50&gt;=$B$11,$E$33,$D$33)*MAX(parametros_recargas!$B$40:$M$40)/$B$5,0)</f>
        <v>15</v>
      </c>
      <c r="F54" s="6" t="n">
        <f aca="false">ROUNDUP(datos_base!F5*$B$33*IF(F$50&gt;=$B$11,$E$33,$D$33)*MAX(parametros_recargas!$B$41:$M$41)/$B$5,0)</f>
        <v>21</v>
      </c>
      <c r="G54" s="6" t="n">
        <f aca="false">ROUNDUP(datos_base!G5*$B$33*IF(G$50&gt;=$B$11,$E$33,$D$33)*MAX(parametros_recargas!$B$42:$M$42)/$B$5,0)</f>
        <v>28</v>
      </c>
      <c r="H54" s="6" t="n">
        <f aca="false">ROUNDUP(datos_base!H5*$B$33*IF(H$50&gt;=$B$11,$E$33,$D$33)*MAX(parametros_recargas!$B$43:$M$43)/$B$5,0)</f>
        <v>33</v>
      </c>
      <c r="I54" s="6" t="n">
        <f aca="false">ROUNDUP(datos_base!I5*$B$33*IF(I$50&gt;=$B$11,$E$33,$D$33)*MAX(parametros_recargas!$B$44:$M$44)/$B$5,0)</f>
        <v>36</v>
      </c>
      <c r="J54" s="6" t="n">
        <f aca="false">ROUNDUP(datos_base!J5*$B$33*IF(J$50&gt;=$B$11,$E$33,$D$33)*MAX(parametros_recargas!$B$45:$M$45)/$B$5,0)</f>
        <v>39</v>
      </c>
      <c r="K54" s="6" t="n">
        <f aca="false">ROUNDUP(datos_base!K5*$B$33*IF(K$50&gt;=$B$11,$E$33,$D$33)*MAX(parametros_recargas!$B$46:$M$46)/$B$5,0)</f>
        <v>42</v>
      </c>
    </row>
    <row r="55" customFormat="false" ht="15" hidden="false" customHeight="false" outlineLevel="0" collapsed="false">
      <c r="A55" s="9" t="str">
        <f aca="false">datos_base!A6</f>
        <v>Agua 10 l</v>
      </c>
      <c r="B55" s="6" t="n">
        <f aca="false">ROUNDUP(datos_base!B6*$B$34*IF(B$50&gt;=$B$11,$E$34,$D$34)*MAX(parametros_recargas!$B$37:$M$37)/$B$5,0)</f>
        <v>2</v>
      </c>
      <c r="C55" s="6" t="n">
        <f aca="false">ROUNDUP(datos_base!C6*$B$34*IF(C$50&gt;=$B$11,$E$34,$D$34)*MAX(parametros_recargas!$B$38:$M$38)/$B$5,0)</f>
        <v>6</v>
      </c>
      <c r="D55" s="6" t="n">
        <f aca="false">ROUNDUP(datos_base!D6*$B$34*IF(D$50&gt;=$B$11,$E$34,$D$34)*MAX(parametros_recargas!$B$39:$M$39)/$B$5,0)</f>
        <v>12</v>
      </c>
      <c r="E55" s="6" t="n">
        <f aca="false">ROUNDUP(datos_base!E6*$B$34*IF(E$50&gt;=$B$11,$E$34,$D$34)*MAX(parametros_recargas!$B$40:$M$40)/$B$5,0)</f>
        <v>22</v>
      </c>
      <c r="F55" s="6" t="n">
        <f aca="false">ROUNDUP(datos_base!F6*$B$34*IF(F$50&gt;=$B$11,$E$34,$D$34)*MAX(parametros_recargas!$B$41:$M$41)/$B$5,0)</f>
        <v>32</v>
      </c>
      <c r="G55" s="6" t="n">
        <f aca="false">ROUNDUP(datos_base!G6*$B$34*IF(G$50&gt;=$B$11,$E$34,$D$34)*MAX(parametros_recargas!$B$42:$M$42)/$B$5,0)</f>
        <v>42</v>
      </c>
      <c r="H55" s="6" t="n">
        <f aca="false">ROUNDUP(datos_base!H6*$B$34*IF(H$50&gt;=$B$11,$E$34,$D$34)*MAX(parametros_recargas!$B$43:$M$43)/$B$5,0)</f>
        <v>48</v>
      </c>
      <c r="I55" s="6" t="n">
        <f aca="false">ROUNDUP(datos_base!I6*$B$34*IF(I$50&gt;=$B$11,$E$34,$D$34)*MAX(parametros_recargas!$B$44:$M$44)/$B$5,0)</f>
        <v>53</v>
      </c>
      <c r="J55" s="6" t="n">
        <f aca="false">ROUNDUP(datos_base!J6*$B$34*IF(J$50&gt;=$B$11,$E$34,$D$34)*MAX(parametros_recargas!$B$45:$M$45)/$B$5,0)</f>
        <v>58</v>
      </c>
      <c r="K55" s="6" t="n">
        <f aca="false">ROUNDUP(datos_base!K6*$B$34*IF(K$50&gt;=$B$11,$E$34,$D$34)*MAX(parametros_recargas!$B$46:$M$46)/$B$5,0)</f>
        <v>62</v>
      </c>
    </row>
    <row r="56" customFormat="false" ht="15" hidden="false" customHeight="false" outlineLevel="0" collapsed="false">
      <c r="A56" s="9" t="str">
        <f aca="false">datos_base!A7</f>
        <v>AFFF 10 l</v>
      </c>
      <c r="B56" s="6" t="n">
        <f aca="false">ROUNDUP(datos_base!B7*$B$35*IF(B$50&gt;=$B$11,$E$35,$D$35)*MAX(parametros_recargas!$B$37:$M$37)/$B$5,0)</f>
        <v>1</v>
      </c>
      <c r="C56" s="6" t="n">
        <f aca="false">ROUNDUP(datos_base!C7*$B$35*IF(C$50&gt;=$B$11,$E$35,$D$35)*MAX(parametros_recargas!$B$38:$M$38)/$B$5,0)</f>
        <v>2</v>
      </c>
      <c r="D56" s="6" t="n">
        <f aca="false">ROUNDUP(datos_base!D7*$B$35*IF(D$50&gt;=$B$11,$E$35,$D$35)*MAX(parametros_recargas!$B$39:$M$39)/$B$5,0)</f>
        <v>4</v>
      </c>
      <c r="E56" s="6" t="n">
        <f aca="false">ROUNDUP(datos_base!E7*$B$35*IF(E$50&gt;=$B$11,$E$35,$D$35)*MAX(parametros_recargas!$B$40:$M$40)/$B$5,0)</f>
        <v>7</v>
      </c>
      <c r="F56" s="6" t="n">
        <f aca="false">ROUNDUP(datos_base!F7*$B$35*IF(F$50&gt;=$B$11,$E$35,$D$35)*MAX(parametros_recargas!$B$41:$M$41)/$B$5,0)</f>
        <v>9</v>
      </c>
      <c r="G56" s="6" t="n">
        <f aca="false">ROUNDUP(datos_base!G7*$B$35*IF(G$50&gt;=$B$11,$E$35,$D$35)*MAX(parametros_recargas!$B$42:$M$42)/$B$5,0)</f>
        <v>12</v>
      </c>
      <c r="H56" s="6" t="n">
        <f aca="false">ROUNDUP(datos_base!H7*$B$35*IF(H$50&gt;=$B$11,$E$35,$D$35)*MAX(parametros_recargas!$B$43:$M$43)/$B$5,0)</f>
        <v>12</v>
      </c>
      <c r="I56" s="6" t="n">
        <f aca="false">ROUNDUP(datos_base!I7*$B$35*IF(I$50&gt;=$B$11,$E$35,$D$35)*MAX(parametros_recargas!$B$44:$M$44)/$B$5,0)</f>
        <v>13</v>
      </c>
      <c r="J56" s="6" t="n">
        <f aca="false">ROUNDUP(datos_base!J7*$B$35*IF(J$50&gt;=$B$11,$E$35,$D$35)*MAX(parametros_recargas!$B$45:$M$45)/$B$5,0)</f>
        <v>14</v>
      </c>
      <c r="K56" s="6" t="n">
        <f aca="false">ROUNDUP(datos_base!K7*$B$35*IF(K$50&gt;=$B$11,$E$35,$D$35)*MAX(parametros_recargas!$B$46:$M$46)/$B$5,0)</f>
        <v>15</v>
      </c>
    </row>
    <row r="57" customFormat="false" ht="15" hidden="false" customHeight="false" outlineLevel="0" collapsed="false">
      <c r="A57" s="9" t="str">
        <f aca="false">datos_base!A8</f>
        <v>AFFF 50 l s/ruedas</v>
      </c>
      <c r="B57" s="6" t="n">
        <f aca="false">ROUNDUP(datos_base!B8*$B$36*IF(B$50&gt;=$B$11,$E$36,$D$36)*MAX(parametros_recargas!$B$37:$M$37)/$B$5,0)</f>
        <v>1</v>
      </c>
      <c r="C57" s="6" t="n">
        <f aca="false">ROUNDUP(datos_base!C8*$B$36*IF(C$50&gt;=$B$11,$E$36,$D$36)*MAX(parametros_recargas!$B$38:$M$38)/$B$5,0)</f>
        <v>1</v>
      </c>
      <c r="D57" s="6" t="n">
        <f aca="false">ROUNDUP(datos_base!D8*$B$36*IF(D$50&gt;=$B$11,$E$36,$D$36)*MAX(parametros_recargas!$B$39:$M$39)/$B$5,0)</f>
        <v>2</v>
      </c>
      <c r="E57" s="6" t="n">
        <f aca="false">ROUNDUP(datos_base!E8*$B$36*IF(E$50&gt;=$B$11,$E$36,$D$36)*MAX(parametros_recargas!$B$40:$M$40)/$B$5,0)</f>
        <v>4</v>
      </c>
      <c r="F57" s="6" t="n">
        <f aca="false">ROUNDUP(datos_base!F8*$B$36*IF(F$50&gt;=$B$11,$E$36,$D$36)*MAX(parametros_recargas!$B$41:$M$41)/$B$5,0)</f>
        <v>5</v>
      </c>
      <c r="G57" s="6" t="n">
        <f aca="false">ROUNDUP(datos_base!G8*$B$36*IF(G$50&gt;=$B$11,$E$36,$D$36)*MAX(parametros_recargas!$B$42:$M$42)/$B$5,0)</f>
        <v>6</v>
      </c>
      <c r="H57" s="6" t="n">
        <f aca="false">ROUNDUP(datos_base!H8*$B$36*IF(H$50&gt;=$B$11,$E$36,$D$36)*MAX(parametros_recargas!$B$43:$M$43)/$B$5,0)</f>
        <v>6</v>
      </c>
      <c r="I57" s="6" t="n">
        <f aca="false">ROUNDUP(datos_base!I8*$B$36*IF(I$50&gt;=$B$11,$E$36,$D$36)*MAX(parametros_recargas!$B$44:$M$44)/$B$5,0)</f>
        <v>7</v>
      </c>
      <c r="J57" s="6" t="n">
        <f aca="false">ROUNDUP(datos_base!J8*$B$36*IF(J$50&gt;=$B$11,$E$36,$D$36)*MAX(parametros_recargas!$B$45:$M$45)/$B$5,0)</f>
        <v>8</v>
      </c>
      <c r="K57" s="6" t="n">
        <f aca="false">ROUNDUP(datos_base!K8*$B$36*IF(K$50&gt;=$B$11,$E$36,$D$36)*MAX(parametros_recargas!$B$46:$M$46)/$B$5,0)</f>
        <v>8</v>
      </c>
    </row>
    <row r="58" customFormat="false" ht="15" hidden="false" customHeight="false" outlineLevel="0" collapsed="false">
      <c r="A58" s="9" t="str">
        <f aca="false">datos_base!A9</f>
        <v>BC 5 kg</v>
      </c>
      <c r="B58" s="6" t="n">
        <f aca="false">ROUNDUP(datos_base!B9*$B$37*IF(B$50&gt;=$B$11,$E$37,$D$37)*MAX(parametros_recargas!$B$37:$M$37)/$B$5,0)</f>
        <v>1</v>
      </c>
      <c r="C58" s="6" t="n">
        <f aca="false">ROUNDUP(datos_base!C9*$B$37*IF(C$50&gt;=$B$11,$E$37,$D$37)*MAX(parametros_recargas!$B$38:$M$38)/$B$5,0)</f>
        <v>1</v>
      </c>
      <c r="D58" s="6" t="n">
        <f aca="false">ROUNDUP(datos_base!D9*$B$37*IF(D$50&gt;=$B$11,$E$37,$D$37)*MAX(parametros_recargas!$B$39:$M$39)/$B$5,0)</f>
        <v>2</v>
      </c>
      <c r="E58" s="6" t="n">
        <f aca="false">ROUNDUP(datos_base!E9*$B$37*IF(E$50&gt;=$B$11,$E$37,$D$37)*MAX(parametros_recargas!$B$40:$M$40)/$B$5,0)</f>
        <v>2</v>
      </c>
      <c r="F58" s="6" t="n">
        <f aca="false">ROUNDUP(datos_base!F9*$B$37*IF(F$50&gt;=$B$11,$E$37,$D$37)*MAX(parametros_recargas!$B$41:$M$41)/$B$5,0)</f>
        <v>3</v>
      </c>
      <c r="G58" s="6" t="n">
        <f aca="false">ROUNDUP(datos_base!G9*$B$37*IF(G$50&gt;=$B$11,$E$37,$D$37)*MAX(parametros_recargas!$B$42:$M$42)/$B$5,0)</f>
        <v>4</v>
      </c>
      <c r="H58" s="6" t="n">
        <f aca="false">ROUNDUP(datos_base!H9*$B$37*IF(H$50&gt;=$B$11,$E$37,$D$37)*MAX(parametros_recargas!$B$43:$M$43)/$B$5,0)</f>
        <v>4</v>
      </c>
      <c r="I58" s="6" t="n">
        <f aca="false">ROUNDUP(datos_base!I9*$B$37*IF(I$50&gt;=$B$11,$E$37,$D$37)*MAX(parametros_recargas!$B$44:$M$44)/$B$5,0)</f>
        <v>4</v>
      </c>
      <c r="J58" s="6" t="n">
        <f aca="false">ROUNDUP(datos_base!J9*$B$37*IF(J$50&gt;=$B$11,$E$37,$D$37)*MAX(parametros_recargas!$B$45:$M$45)/$B$5,0)</f>
        <v>5</v>
      </c>
      <c r="K58" s="6" t="n">
        <f aca="false">ROUNDUP(datos_base!K9*$B$37*IF(K$50&gt;=$B$11,$E$37,$D$37)*MAX(parametros_recargas!$B$46:$M$46)/$B$5,0)</f>
        <v>5</v>
      </c>
    </row>
    <row r="59" customFormat="false" ht="15" hidden="false" customHeight="false" outlineLevel="0" collapsed="false">
      <c r="A59" s="9" t="str">
        <f aca="false">datos_base!A10</f>
        <v>Sales K 6 l</v>
      </c>
      <c r="B59" s="6" t="n">
        <f aca="false">ROUNDUP(datos_base!B10*$B$38*IF(B$50&gt;=$B$11,$E$38,$D$38)*MAX(parametros_recargas!$B$37:$M$37)/$B$5,0)</f>
        <v>1</v>
      </c>
      <c r="C59" s="6" t="n">
        <f aca="false">ROUNDUP(datos_base!C10*$B$38*IF(C$50&gt;=$B$11,$E$38,$D$38)*MAX(parametros_recargas!$B$38:$M$38)/$B$5,0)</f>
        <v>3</v>
      </c>
      <c r="D59" s="6" t="n">
        <f aca="false">ROUNDUP(datos_base!D10*$B$38*IF(D$50&gt;=$B$11,$E$38,$D$38)*MAX(parametros_recargas!$B$39:$M$39)/$B$5,0)</f>
        <v>7</v>
      </c>
      <c r="E59" s="6" t="n">
        <f aca="false">ROUNDUP(datos_base!E10*$B$38*IF(E$50&gt;=$B$11,$E$38,$D$38)*MAX(parametros_recargas!$B$40:$M$40)/$B$5,0)</f>
        <v>11</v>
      </c>
      <c r="F59" s="6" t="n">
        <f aca="false">ROUNDUP(datos_base!F10*$B$38*IF(F$50&gt;=$B$11,$E$38,$D$38)*MAX(parametros_recargas!$B$41:$M$41)/$B$5,0)</f>
        <v>16</v>
      </c>
      <c r="G59" s="6" t="n">
        <f aca="false">ROUNDUP(datos_base!G10*$B$38*IF(G$50&gt;=$B$11,$E$38,$D$38)*MAX(parametros_recargas!$B$42:$M$42)/$B$5,0)</f>
        <v>21</v>
      </c>
      <c r="H59" s="6" t="n">
        <f aca="false">ROUNDUP(datos_base!H10*$B$38*IF(H$50&gt;=$B$11,$E$38,$D$38)*MAX(parametros_recargas!$B$43:$M$43)/$B$5,0)</f>
        <v>24</v>
      </c>
      <c r="I59" s="6" t="n">
        <f aca="false">ROUNDUP(datos_base!I10*$B$38*IF(I$50&gt;=$B$11,$E$38,$D$38)*MAX(parametros_recargas!$B$44:$M$44)/$B$5,0)</f>
        <v>27</v>
      </c>
      <c r="J59" s="6" t="n">
        <f aca="false">ROUNDUP(datos_base!J10*$B$38*IF(J$50&gt;=$B$11,$E$38,$D$38)*MAX(parametros_recargas!$B$45:$M$45)/$B$5,0)</f>
        <v>29</v>
      </c>
      <c r="K59" s="6" t="n">
        <f aca="false">ROUNDUP(datos_base!K10*$B$38*IF(K$50&gt;=$B$11,$E$38,$D$38)*MAX(parametros_recargas!$B$46:$M$46)/$B$5,0)</f>
        <v>31</v>
      </c>
    </row>
    <row r="60" customFormat="false" ht="15" hidden="false" customHeight="false" outlineLevel="0" collapsed="false">
      <c r="A60" s="9" t="str">
        <f aca="false">datos_base!A11</f>
        <v>CO₂ 2 kg</v>
      </c>
      <c r="B60" s="6" t="n">
        <f aca="false">ROUNDUP(datos_base!B11*$B$39*IF(B$50&gt;=$B$11,$E$39,$D$39)*MAX(parametros_recargas!$B$37:$M$37)/$B$5,0)</f>
        <v>4</v>
      </c>
      <c r="C60" s="6" t="n">
        <f aca="false">ROUNDUP(datos_base!C11*$B$39*IF(C$50&gt;=$B$11,$E$39,$D$39)*MAX(parametros_recargas!$B$38:$M$38)/$B$5,0)</f>
        <v>13</v>
      </c>
      <c r="D60" s="6" t="n">
        <f aca="false">ROUNDUP(datos_base!D11*$B$39*IF(D$50&gt;=$B$11,$E$39,$D$39)*MAX(parametros_recargas!$B$39:$M$39)/$B$5,0)</f>
        <v>29</v>
      </c>
      <c r="E60" s="6" t="n">
        <f aca="false">ROUNDUP(datos_base!E11*$B$39*IF(E$50&gt;=$B$11,$E$39,$D$39)*MAX(parametros_recargas!$B$40:$M$40)/$B$5,0)</f>
        <v>55</v>
      </c>
      <c r="F60" s="6" t="n">
        <f aca="false">ROUNDUP(datos_base!F11*$B$39*IF(F$50&gt;=$B$11,$E$39,$D$39)*MAX(parametros_recargas!$B$41:$M$41)/$B$5,0)</f>
        <v>79</v>
      </c>
      <c r="G60" s="6" t="n">
        <f aca="false">ROUNDUP(datos_base!G11*$B$39*IF(G$50&gt;=$B$11,$E$39,$D$39)*MAX(parametros_recargas!$B$42:$M$42)/$B$5,0)</f>
        <v>105</v>
      </c>
      <c r="H60" s="6" t="n">
        <f aca="false">ROUNDUP(datos_base!H11*$B$39*IF(H$50&gt;=$B$11,$E$39,$D$39)*MAX(parametros_recargas!$B$43:$M$43)/$B$5,0)</f>
        <v>125</v>
      </c>
      <c r="I60" s="6" t="n">
        <f aca="false">ROUNDUP(datos_base!I11*$B$39*IF(I$50&gt;=$B$11,$E$39,$D$39)*MAX(parametros_recargas!$B$44:$M$44)/$B$5,0)</f>
        <v>138</v>
      </c>
      <c r="J60" s="6" t="n">
        <f aca="false">ROUNDUP(datos_base!J11*$B$39*IF(J$50&gt;=$B$11,$E$39,$D$39)*MAX(parametros_recargas!$B$45:$M$45)/$B$5,0)</f>
        <v>149</v>
      </c>
      <c r="K60" s="6" t="n">
        <f aca="false">ROUNDUP(datos_base!K11*$B$39*IF(K$50&gt;=$B$11,$E$39,$D$39)*MAX(parametros_recargas!$B$46:$M$46)/$B$5,0)</f>
        <v>160</v>
      </c>
    </row>
    <row r="61" customFormat="false" ht="15" hidden="false" customHeight="false" outlineLevel="0" collapsed="false">
      <c r="A61" s="9" t="str">
        <f aca="false">datos_base!A12</f>
        <v>CO₂ 5 kg</v>
      </c>
      <c r="B61" s="6" t="n">
        <f aca="false">ROUNDUP(datos_base!B12*$B$40*IF(B$50&gt;=$B$11,$E$40,$D$40)*MAX(parametros_recargas!$B$37:$M$37)/$B$5,0)</f>
        <v>2</v>
      </c>
      <c r="C61" s="6" t="n">
        <f aca="false">ROUNDUP(datos_base!C12*$B$40*IF(C$50&gt;=$B$11,$E$40,$D$40)*MAX(parametros_recargas!$B$38:$M$38)/$B$5,0)</f>
        <v>6</v>
      </c>
      <c r="D61" s="6" t="n">
        <f aca="false">ROUNDUP(datos_base!D12*$B$40*IF(D$50&gt;=$B$11,$E$40,$D$40)*MAX(parametros_recargas!$B$39:$M$39)/$B$5,0)</f>
        <v>13</v>
      </c>
      <c r="E61" s="6" t="n">
        <f aca="false">ROUNDUP(datos_base!E12*$B$40*IF(E$50&gt;=$B$11,$E$40,$D$40)*MAX(parametros_recargas!$B$40:$M$40)/$B$5,0)</f>
        <v>23</v>
      </c>
      <c r="F61" s="6" t="n">
        <f aca="false">ROUNDUP(datos_base!F12*$B$40*IF(F$50&gt;=$B$11,$E$40,$D$40)*MAX(parametros_recargas!$B$41:$M$41)/$B$5,0)</f>
        <v>33</v>
      </c>
      <c r="G61" s="6" t="n">
        <f aca="false">ROUNDUP(datos_base!G12*$B$40*IF(G$50&gt;=$B$11,$E$40,$D$40)*MAX(parametros_recargas!$B$42:$M$42)/$B$5,0)</f>
        <v>44</v>
      </c>
      <c r="H61" s="6" t="n">
        <f aca="false">ROUNDUP(datos_base!H12*$B$40*IF(H$50&gt;=$B$11,$E$40,$D$40)*MAX(parametros_recargas!$B$43:$M$43)/$B$5,0)</f>
        <v>47</v>
      </c>
      <c r="I61" s="6" t="n">
        <f aca="false">ROUNDUP(datos_base!I12*$B$40*IF(I$50&gt;=$B$11,$E$40,$D$40)*MAX(parametros_recargas!$B$44:$M$44)/$B$5,0)</f>
        <v>53</v>
      </c>
      <c r="J61" s="6" t="n">
        <f aca="false">ROUNDUP(datos_base!J12*$B$40*IF(J$50&gt;=$B$11,$E$40,$D$40)*MAX(parametros_recargas!$B$45:$M$45)/$B$5,0)</f>
        <v>57</v>
      </c>
      <c r="K61" s="6" t="n">
        <f aca="false">ROUNDUP(datos_base!K12*$B$40*IF(K$50&gt;=$B$11,$E$40,$D$40)*MAX(parametros_recargas!$B$46:$M$46)/$B$5,0)</f>
        <v>62</v>
      </c>
    </row>
    <row r="62" customFormat="false" ht="15" hidden="false" customHeight="false" outlineLevel="0" collapsed="false">
      <c r="A62" s="9" t="str">
        <f aca="false">datos_base!A13</f>
        <v>HCFC/HFC 5 kg</v>
      </c>
      <c r="B62" s="6" t="n">
        <f aca="false">ROUNDUP(datos_base!B13*$B$41*IF(B$50&gt;=$B$11,$E$41,$D$41)*MAX(parametros_recargas!$B$37:$M$37)/$B$5,0)</f>
        <v>1</v>
      </c>
      <c r="C62" s="6" t="n">
        <f aca="false">ROUNDUP(datos_base!C13*$B$41*IF(C$50&gt;=$B$11,$E$41,$D$41)*MAX(parametros_recargas!$B$38:$M$38)/$B$5,0)</f>
        <v>2</v>
      </c>
      <c r="D62" s="6" t="n">
        <f aca="false">ROUNDUP(datos_base!D13*$B$41*IF(D$50&gt;=$B$11,$E$41,$D$41)*MAX(parametros_recargas!$B$39:$M$39)/$B$5,0)</f>
        <v>3</v>
      </c>
      <c r="E62" s="6" t="n">
        <f aca="false">ROUNDUP(datos_base!E13*$B$41*IF(E$50&gt;=$B$11,$E$41,$D$41)*MAX(parametros_recargas!$B$40:$M$40)/$B$5,0)</f>
        <v>5</v>
      </c>
      <c r="F62" s="6" t="n">
        <f aca="false">ROUNDUP(datos_base!F13*$B$41*IF(F$50&gt;=$B$11,$E$41,$D$41)*MAX(parametros_recargas!$B$41:$M$41)/$B$5,0)</f>
        <v>7</v>
      </c>
      <c r="G62" s="6" t="n">
        <f aca="false">ROUNDUP(datos_base!G13*$B$41*IF(G$50&gt;=$B$11,$E$41,$D$41)*MAX(parametros_recargas!$B$42:$M$42)/$B$5,0)</f>
        <v>9</v>
      </c>
      <c r="H62" s="6" t="n">
        <f aca="false">ROUNDUP(datos_base!H13*$B$41*IF(H$50&gt;=$B$11,$E$41,$D$41)*MAX(parametros_recargas!$B$43:$M$43)/$B$5,0)</f>
        <v>9</v>
      </c>
      <c r="I62" s="6" t="n">
        <f aca="false">ROUNDUP(datos_base!I13*$B$41*IF(I$50&gt;=$B$11,$E$41,$D$41)*MAX(parametros_recargas!$B$44:$M$44)/$B$5,0)</f>
        <v>10</v>
      </c>
      <c r="J62" s="6" t="n">
        <f aca="false">ROUNDUP(datos_base!J13*$B$41*IF(J$50&gt;=$B$11,$E$41,$D$41)*MAX(parametros_recargas!$B$45:$M$45)/$B$5,0)</f>
        <v>11</v>
      </c>
      <c r="K62" s="6" t="n">
        <f aca="false">ROUNDUP(datos_base!K13*$B$41*IF(K$50&gt;=$B$11,$E$41,$D$41)*MAX(parametros_recargas!$B$46:$M$46)/$B$5,0)</f>
        <v>12</v>
      </c>
    </row>
    <row r="63" customFormat="false" ht="15" hidden="false" customHeight="false" outlineLevel="0" collapsed="false">
      <c r="A63" s="9" t="str">
        <f aca="false">datos_base!A14</f>
        <v>Clase D 9 l</v>
      </c>
      <c r="B63" s="6" t="n">
        <f aca="false">ROUNDUP(datos_base!B14*$B$42*IF(B$50&gt;=$B$11,$E$42,$D$42)*MAX(parametros_recargas!$B$37:$M$37)/$B$5,0)</f>
        <v>1</v>
      </c>
      <c r="C63" s="6" t="n">
        <f aca="false">ROUNDUP(datos_base!C14*$B$42*IF(C$50&gt;=$B$11,$E$42,$D$42)*MAX(parametros_recargas!$B$38:$M$38)/$B$5,0)</f>
        <v>1</v>
      </c>
      <c r="D63" s="6" t="n">
        <f aca="false">ROUNDUP(datos_base!D14*$B$42*IF(D$50&gt;=$B$11,$E$42,$D$42)*MAX(parametros_recargas!$B$39:$M$39)/$B$5,0)</f>
        <v>2</v>
      </c>
      <c r="E63" s="6" t="n">
        <f aca="false">ROUNDUP(datos_base!E14*$B$42*IF(E$50&gt;=$B$11,$E$42,$D$42)*MAX(parametros_recargas!$B$40:$M$40)/$B$5,0)</f>
        <v>2</v>
      </c>
      <c r="F63" s="6" t="n">
        <f aca="false">ROUNDUP(datos_base!F14*$B$42*IF(F$50&gt;=$B$11,$E$42,$D$42)*MAX(parametros_recargas!$B$41:$M$41)/$B$5,0)</f>
        <v>3</v>
      </c>
      <c r="G63" s="6" t="n">
        <f aca="false">ROUNDUP(datos_base!G14*$B$42*IF(G$50&gt;=$B$11,$E$42,$D$42)*MAX(parametros_recargas!$B$42:$M$42)/$B$5,0)</f>
        <v>3</v>
      </c>
      <c r="H63" s="6" t="n">
        <f aca="false">ROUNDUP(datos_base!H14*$B$42*IF(H$50&gt;=$B$11,$E$42,$D$42)*MAX(parametros_recargas!$B$43:$M$43)/$B$5,0)</f>
        <v>4</v>
      </c>
      <c r="I63" s="6" t="n">
        <f aca="false">ROUNDUP(datos_base!I14*$B$42*IF(I$50&gt;=$B$11,$E$42,$D$42)*MAX(parametros_recargas!$B$44:$M$44)/$B$5,0)</f>
        <v>4</v>
      </c>
      <c r="J63" s="6" t="n">
        <f aca="false">ROUNDUP(datos_base!J14*$B$42*IF(J$50&gt;=$B$11,$E$42,$D$42)*MAX(parametros_recargas!$B$45:$M$45)/$B$5,0)</f>
        <v>4</v>
      </c>
      <c r="K63" s="6" t="n">
        <f aca="false">ROUNDUP(datos_base!K14*$B$42*IF(K$50&gt;=$B$11,$E$42,$D$42)*MAX(parametros_recargas!$B$46:$M$46)/$B$5,0)</f>
        <v>5</v>
      </c>
    </row>
    <row r="64" customFormat="false" ht="15" hidden="false" customHeight="false" outlineLevel="0" collapsed="false">
      <c r="A64" s="9" t="str">
        <f aca="false">datos_base!A15</f>
        <v>ABC 25 kg s/ruedas</v>
      </c>
      <c r="B64" s="6" t="n">
        <f aca="false">ROUNDUP(datos_base!B15*$B$43*IF(B$50&gt;=$B$11,$E$43,$D$43)*MAX(parametros_recargas!$B$37:$M$37)/$B$5,0)</f>
        <v>1</v>
      </c>
      <c r="C64" s="6" t="n">
        <f aca="false">ROUNDUP(datos_base!C15*$B$43*IF(C$50&gt;=$B$11,$E$43,$D$43)*MAX(parametros_recargas!$B$38:$M$38)/$B$5,0)</f>
        <v>1</v>
      </c>
      <c r="D64" s="6" t="n">
        <f aca="false">ROUNDUP(datos_base!D15*$B$43*IF(D$50&gt;=$B$11,$E$43,$D$43)*MAX(parametros_recargas!$B$39:$M$39)/$B$5,0)</f>
        <v>2</v>
      </c>
      <c r="E64" s="6" t="n">
        <f aca="false">ROUNDUP(datos_base!E15*$B$43*IF(E$50&gt;=$B$11,$E$43,$D$43)*MAX(parametros_recargas!$B$40:$M$40)/$B$5,0)</f>
        <v>4</v>
      </c>
      <c r="F64" s="6" t="n">
        <f aca="false">ROUNDUP(datos_base!F15*$B$43*IF(F$50&gt;=$B$11,$E$43,$D$43)*MAX(parametros_recargas!$B$41:$M$41)/$B$5,0)</f>
        <v>5</v>
      </c>
      <c r="G64" s="6" t="n">
        <f aca="false">ROUNDUP(datos_base!G15*$B$43*IF(G$50&gt;=$B$11,$E$43,$D$43)*MAX(parametros_recargas!$B$42:$M$42)/$B$5,0)</f>
        <v>6</v>
      </c>
      <c r="H64" s="6" t="n">
        <f aca="false">ROUNDUP(datos_base!H15*$B$43*IF(H$50&gt;=$B$11,$E$43,$D$43)*MAX(parametros_recargas!$B$43:$M$43)/$B$5,0)</f>
        <v>7</v>
      </c>
      <c r="I64" s="6" t="n">
        <f aca="false">ROUNDUP(datos_base!I15*$B$43*IF(I$50&gt;=$B$11,$E$43,$D$43)*MAX(parametros_recargas!$B$44:$M$44)/$B$5,0)</f>
        <v>7</v>
      </c>
      <c r="J64" s="6" t="n">
        <f aca="false">ROUNDUP(datos_base!J15*$B$43*IF(J$50&gt;=$B$11,$E$43,$D$43)*MAX(parametros_recargas!$B$45:$M$45)/$B$5,0)</f>
        <v>8</v>
      </c>
      <c r="K64" s="6" t="n">
        <f aca="false">ROUNDUP(datos_base!K15*$B$43*IF(K$50&gt;=$B$11,$E$43,$D$43)*MAX(parametros_recargas!$B$46:$M$46)/$B$5,0)</f>
        <v>9</v>
      </c>
    </row>
    <row r="65" customFormat="false" ht="15" hidden="false" customHeight="false" outlineLevel="0" collapsed="false">
      <c r="A65" s="9" t="str">
        <f aca="false">datos_base!A16</f>
        <v>ABC 50 kg s/ruedas</v>
      </c>
      <c r="B65" s="6" t="n">
        <f aca="false">ROUNDUP(datos_base!B16*$B$44*IF(B$50&gt;=$B$11,$E$44,$D$44)*MAX(parametros_recargas!$B$37:$M$37)/$B$5,0)</f>
        <v>1</v>
      </c>
      <c r="C65" s="6" t="n">
        <f aca="false">ROUNDUP(datos_base!C16*$B$44*IF(C$50&gt;=$B$11,$E$44,$D$44)*MAX(parametros_recargas!$B$38:$M$38)/$B$5,0)</f>
        <v>2</v>
      </c>
      <c r="D65" s="6" t="n">
        <f aca="false">ROUNDUP(datos_base!D16*$B$44*IF(D$50&gt;=$B$11,$E$44,$D$44)*MAX(parametros_recargas!$B$39:$M$39)/$B$5,0)</f>
        <v>4</v>
      </c>
      <c r="E65" s="6" t="n">
        <f aca="false">ROUNDUP(datos_base!E16*$B$44*IF(E$50&gt;=$B$11,$E$44,$D$44)*MAX(parametros_recargas!$B$40:$M$40)/$B$5,0)</f>
        <v>7</v>
      </c>
      <c r="F65" s="6" t="n">
        <f aca="false">ROUNDUP(datos_base!F16*$B$44*IF(F$50&gt;=$B$11,$E$44,$D$44)*MAX(parametros_recargas!$B$41:$M$41)/$B$5,0)</f>
        <v>10</v>
      </c>
      <c r="G65" s="6" t="n">
        <f aca="false">ROUNDUP(datos_base!G16*$B$44*IF(G$50&gt;=$B$11,$E$44,$D$44)*MAX(parametros_recargas!$B$42:$M$42)/$B$5,0)</f>
        <v>13</v>
      </c>
      <c r="H65" s="6" t="n">
        <f aca="false">ROUNDUP(datos_base!H16*$B$44*IF(H$50&gt;=$B$11,$E$44,$D$44)*MAX(parametros_recargas!$B$43:$M$43)/$B$5,0)</f>
        <v>14</v>
      </c>
      <c r="I65" s="6" t="n">
        <f aca="false">ROUNDUP(datos_base!I16*$B$44*IF(I$50&gt;=$B$11,$E$44,$D$44)*MAX(parametros_recargas!$B$44:$M$44)/$B$5,0)</f>
        <v>16</v>
      </c>
      <c r="J65" s="6" t="n">
        <f aca="false">ROUNDUP(datos_base!J16*$B$44*IF(J$50&gt;=$B$11,$E$44,$D$44)*MAX(parametros_recargas!$B$45:$M$45)/$B$5,0)</f>
        <v>17</v>
      </c>
      <c r="K65" s="6" t="n">
        <f aca="false">ROUNDUP(datos_base!K16*$B$44*IF(K$50&gt;=$B$11,$E$44,$D$44)*MAX(parametros_recargas!$B$46:$M$46)/$B$5,0)</f>
        <v>18</v>
      </c>
    </row>
    <row r="66" customFormat="false" ht="15" hidden="false" customHeight="false" outlineLevel="0" collapsed="false">
      <c r="A66" s="9" t="str">
        <f aca="false">datos_base!A17</f>
        <v>ABC 70 kg s/ruedas</v>
      </c>
      <c r="B66" s="6" t="n">
        <f aca="false">ROUNDUP(datos_base!B17*$B$45*IF(B$50&gt;=$B$11,$E$45,$D$45)*MAX(parametros_recargas!$B$37:$M$37)/$B$5,0)</f>
        <v>1</v>
      </c>
      <c r="C66" s="6" t="n">
        <f aca="false">ROUNDUP(datos_base!C17*$B$45*IF(C$50&gt;=$B$11,$E$45,$D$45)*MAX(parametros_recargas!$B$38:$M$38)/$B$5,0)</f>
        <v>1</v>
      </c>
      <c r="D66" s="6" t="n">
        <f aca="false">ROUNDUP(datos_base!D17*$B$45*IF(D$50&gt;=$B$11,$E$45,$D$45)*MAX(parametros_recargas!$B$39:$M$39)/$B$5,0)</f>
        <v>1</v>
      </c>
      <c r="E66" s="6" t="n">
        <f aca="false">ROUNDUP(datos_base!E17*$B$45*IF(E$50&gt;=$B$11,$E$45,$D$45)*MAX(parametros_recargas!$B$40:$M$40)/$B$5,0)</f>
        <v>2</v>
      </c>
      <c r="F66" s="6" t="n">
        <f aca="false">ROUNDUP(datos_base!F17*$B$45*IF(F$50&gt;=$B$11,$E$45,$D$45)*MAX(parametros_recargas!$B$41:$M$41)/$B$5,0)</f>
        <v>3</v>
      </c>
      <c r="G66" s="6" t="n">
        <f aca="false">ROUNDUP(datos_base!G17*$B$45*IF(G$50&gt;=$B$11,$E$45,$D$45)*MAX(parametros_recargas!$B$42:$M$42)/$B$5,0)</f>
        <v>3</v>
      </c>
      <c r="H66" s="6" t="n">
        <f aca="false">ROUNDUP(datos_base!H17*$B$45*IF(H$50&gt;=$B$11,$E$45,$D$45)*MAX(parametros_recargas!$B$43:$M$43)/$B$5,0)</f>
        <v>3</v>
      </c>
      <c r="I66" s="6" t="n">
        <f aca="false">ROUNDUP(datos_base!I17*$B$45*IF(I$50&gt;=$B$11,$E$45,$D$45)*MAX(parametros_recargas!$B$44:$M$44)/$B$5,0)</f>
        <v>4</v>
      </c>
      <c r="J66" s="6" t="n">
        <f aca="false">ROUNDUP(datos_base!J17*$B$45*IF(J$50&gt;=$B$11,$E$45,$D$45)*MAX(parametros_recargas!$B$45:$M$45)/$B$5,0)</f>
        <v>4</v>
      </c>
      <c r="K66" s="6" t="n">
        <f aca="false">ROUNDUP(datos_base!K17*$B$45*IF(K$50&gt;=$B$11,$E$45,$D$45)*MAX(parametros_recargas!$B$46:$M$46)/$B$5,0)</f>
        <v>4</v>
      </c>
    </row>
    <row r="67" customFormat="false" ht="15" hidden="false" customHeight="false" outlineLevel="0" collapsed="false">
      <c r="A67" s="9" t="str">
        <f aca="false">datos_base!A18</f>
        <v>ABC 100 kg s/ruedas</v>
      </c>
      <c r="B67" s="6" t="n">
        <f aca="false">ROUNDUP(datos_base!B18*$B$46*IF(B$50&gt;=$B$11,$E$46,$D$46)*MAX(parametros_recargas!$B$37:$M$37)/$B$5,0)</f>
        <v>1</v>
      </c>
      <c r="C67" s="6" t="n">
        <f aca="false">ROUNDUP(datos_base!C18*$B$46*IF(C$50&gt;=$B$11,$E$46,$D$46)*MAX(parametros_recargas!$B$38:$M$38)/$B$5,0)</f>
        <v>1</v>
      </c>
      <c r="D67" s="6" t="n">
        <f aca="false">ROUNDUP(datos_base!D18*$B$46*IF(D$50&gt;=$B$11,$E$46,$D$46)*MAX(parametros_recargas!$B$39:$M$39)/$B$5,0)</f>
        <v>1</v>
      </c>
      <c r="E67" s="6" t="n">
        <f aca="false">ROUNDUP(datos_base!E18*$B$46*IF(E$50&gt;=$B$11,$E$46,$D$46)*MAX(parametros_recargas!$B$40:$M$40)/$B$5,0)</f>
        <v>1</v>
      </c>
      <c r="F67" s="6" t="n">
        <f aca="false">ROUNDUP(datos_base!F18*$B$46*IF(F$50&gt;=$B$11,$E$46,$D$46)*MAX(parametros_recargas!$B$41:$M$41)/$B$5,0)</f>
        <v>2</v>
      </c>
      <c r="G67" s="6" t="n">
        <f aca="false">ROUNDUP(datos_base!G18*$B$46*IF(G$50&gt;=$B$11,$E$46,$D$46)*MAX(parametros_recargas!$B$42:$M$42)/$B$5,0)</f>
        <v>2</v>
      </c>
      <c r="H67" s="6" t="n">
        <f aca="false">ROUNDUP(datos_base!H18*$B$46*IF(H$50&gt;=$B$11,$E$46,$D$46)*MAX(parametros_recargas!$B$43:$M$43)/$B$5,0)</f>
        <v>2</v>
      </c>
      <c r="I67" s="6" t="n">
        <f aca="false">ROUNDUP(datos_base!I18*$B$46*IF(I$50&gt;=$B$11,$E$46,$D$46)*MAX(parametros_recargas!$B$44:$M$44)/$B$5,0)</f>
        <v>3</v>
      </c>
      <c r="J67" s="6" t="n">
        <f aca="false">ROUNDUP(datos_base!J18*$B$46*IF(J$50&gt;=$B$11,$E$46,$D$46)*MAX(parametros_recargas!$B$45:$M$45)/$B$5,0)</f>
        <v>3</v>
      </c>
      <c r="K67" s="6" t="n">
        <f aca="false">ROUNDUP(datos_base!K18*$B$46*IF(K$50&gt;=$B$11,$E$46,$D$46)*MAX(parametros_recargas!$B$46:$M$46)/$B$5,0)</f>
        <v>3</v>
      </c>
    </row>
    <row r="68" customFormat="false" ht="15" hidden="false" customHeight="false" outlineLevel="0" collapsed="false">
      <c r="A68" s="4" t="s">
        <v>83</v>
      </c>
      <c r="B68" s="7" t="n">
        <f aca="false">SUM(B51:B67)</f>
        <v>37</v>
      </c>
      <c r="C68" s="7" t="n">
        <f aca="false">SUM(C51:C67)</f>
        <v>114</v>
      </c>
      <c r="D68" s="7" t="n">
        <f aca="false">SUM(D51:D67)</f>
        <v>246</v>
      </c>
      <c r="E68" s="7" t="n">
        <f aca="false">SUM(E51:E67)</f>
        <v>453</v>
      </c>
      <c r="F68" s="7" t="n">
        <f aca="false">SUM(F51:F67)</f>
        <v>650</v>
      </c>
      <c r="G68" s="7" t="n">
        <f aca="false">SUM(G51:G67)</f>
        <v>858</v>
      </c>
      <c r="H68" s="7" t="n">
        <f aca="false">SUM(H51:H67)</f>
        <v>993</v>
      </c>
      <c r="I68" s="7" t="n">
        <f aca="false">SUM(I51:I67)</f>
        <v>1101</v>
      </c>
      <c r="J68" s="7" t="n">
        <f aca="false">SUM(J51:J67)</f>
        <v>1190</v>
      </c>
      <c r="K68" s="7" t="n">
        <f aca="false">SUM(K51:K67)</f>
        <v>1279</v>
      </c>
    </row>
    <row r="70" customFormat="false" ht="15" hidden="false" customHeight="false" outlineLevel="0" collapsed="false">
      <c r="A70" s="1" t="s">
        <v>340</v>
      </c>
    </row>
    <row r="71" customFormat="false" ht="15" hidden="false" customHeight="false" outlineLevel="0" collapsed="false">
      <c r="A71" s="2" t="s">
        <v>341</v>
      </c>
    </row>
    <row r="72" customFormat="false" ht="15" hidden="false" customHeight="false" outlineLevel="0" collapsed="false">
      <c r="A72" s="3" t="s">
        <v>160</v>
      </c>
      <c r="B72" s="3" t="n">
        <v>2026</v>
      </c>
      <c r="C72" s="3" t="n">
        <v>2027</v>
      </c>
      <c r="D72" s="3" t="n">
        <v>2028</v>
      </c>
      <c r="E72" s="3" t="n">
        <v>2029</v>
      </c>
      <c r="F72" s="3" t="n">
        <v>2030</v>
      </c>
      <c r="G72" s="3" t="n">
        <v>2031</v>
      </c>
      <c r="H72" s="3" t="n">
        <v>2032</v>
      </c>
      <c r="I72" s="3" t="n">
        <v>2033</v>
      </c>
      <c r="J72" s="3" t="n">
        <v>2034</v>
      </c>
      <c r="K72" s="3" t="n">
        <v>2035</v>
      </c>
    </row>
    <row r="73" customFormat="false" ht="15" hidden="false" customHeight="false" outlineLevel="0" collapsed="false">
      <c r="A73" s="9" t="str">
        <f aca="false">datos_base!A2</f>
        <v>ABC 1 kg</v>
      </c>
      <c r="B73" s="21" t="n">
        <f aca="false">B51</f>
        <v>0</v>
      </c>
      <c r="C73" s="21" t="n">
        <f aca="false">MAX(0,C51-B51)+B51*IF(parametros_recargas!$B$51="CO₂",parametros_recargas!$B$23,parametros_recargas!$B$24)</f>
        <v>0</v>
      </c>
      <c r="D73" s="21" t="n">
        <f aca="false">MAX(0,D51-C51)+C51*IF(parametros_recargas!$B$51="CO₂",parametros_recargas!$B$23,parametros_recargas!$B$24)</f>
        <v>0</v>
      </c>
      <c r="E73" s="21" t="n">
        <f aca="false">MAX(0,E51-D51)+D51*IF(parametros_recargas!$B$51="CO₂",parametros_recargas!$B$23,parametros_recargas!$B$24)</f>
        <v>0</v>
      </c>
      <c r="F73" s="21" t="n">
        <f aca="false">MAX(0,F51-E51)+E51*IF(parametros_recargas!$B$51="CO₂",parametros_recargas!$B$23,parametros_recargas!$B$24)</f>
        <v>0</v>
      </c>
      <c r="G73" s="21" t="n">
        <f aca="false">MAX(0,G51-F51)+F51*IF(parametros_recargas!$B$51="CO₂",parametros_recargas!$B$23,parametros_recargas!$B$24)</f>
        <v>0</v>
      </c>
      <c r="H73" s="21" t="n">
        <f aca="false">MAX(0,H51-G51)+G51*IF(parametros_recargas!$B$51="CO₂",parametros_recargas!$B$23,parametros_recargas!$B$24)</f>
        <v>0</v>
      </c>
      <c r="I73" s="21" t="n">
        <f aca="false">MAX(0,I51-H51)+H51*IF(parametros_recargas!$B$51="CO₂",parametros_recargas!$B$23,parametros_recargas!$B$24)</f>
        <v>0</v>
      </c>
      <c r="J73" s="21" t="n">
        <f aca="false">MAX(0,J51-I51)+I51*IF(parametros_recargas!$B$51="CO₂",parametros_recargas!$B$23,parametros_recargas!$B$24)</f>
        <v>0</v>
      </c>
      <c r="K73" s="21" t="n">
        <f aca="false">MAX(0,K51-J51)+J51*IF(parametros_recargas!$B$51="CO₂",parametros_recargas!$B$23,parametros_recargas!$B$24)</f>
        <v>0</v>
      </c>
    </row>
    <row r="74" customFormat="false" ht="15" hidden="false" customHeight="false" outlineLevel="0" collapsed="false">
      <c r="A74" s="9" t="str">
        <f aca="false">datos_base!A3</f>
        <v>ABC 2,5 kg</v>
      </c>
      <c r="B74" s="21" t="n">
        <f aca="false">B52</f>
        <v>3</v>
      </c>
      <c r="C74" s="21" t="n">
        <f aca="false">MAX(0,C52-B52)+B52*IF(parametros_recargas!$B$52="CO₂",parametros_recargas!$B$23,parametros_recargas!$B$24)</f>
        <v>7.24</v>
      </c>
      <c r="D74" s="21" t="n">
        <f aca="false">MAX(0,D52-C52)+C52*IF(parametros_recargas!$B$52="CO₂",parametros_recargas!$B$23,parametros_recargas!$B$24)</f>
        <v>11.8</v>
      </c>
      <c r="E74" s="21" t="n">
        <f aca="false">MAX(0,E52-D52)+D52*IF(parametros_recargas!$B$52="CO₂",parametros_recargas!$B$23,parametros_recargas!$B$24)</f>
        <v>19.68</v>
      </c>
      <c r="F74" s="21" t="n">
        <f aca="false">MAX(0,F52-E52)+E52*IF(parametros_recargas!$B$52="CO₂",parametros_recargas!$B$23,parametros_recargas!$B$24)</f>
        <v>20.12</v>
      </c>
      <c r="G74" s="21" t="n">
        <f aca="false">MAX(0,G52-F52)+F52*IF(parametros_recargas!$B$52="CO₂",parametros_recargas!$B$23,parametros_recargas!$B$24)</f>
        <v>22.48</v>
      </c>
      <c r="H74" s="21" t="n">
        <f aca="false">MAX(0,H52-G52)+G52*IF(parametros_recargas!$B$52="CO₂",parametros_recargas!$B$23,parametros_recargas!$B$24)</f>
        <v>20.92</v>
      </c>
      <c r="I74" s="21" t="n">
        <f aca="false">MAX(0,I52-H52)+H52*IF(parametros_recargas!$B$52="CO₂",parametros_recargas!$B$23,parametros_recargas!$B$24)</f>
        <v>17.12</v>
      </c>
      <c r="J74" s="21" t="n">
        <f aca="false">MAX(0,J52-I52)+I52*IF(parametros_recargas!$B$52="CO₂",parametros_recargas!$B$23,parametros_recargas!$B$24)</f>
        <v>15.92</v>
      </c>
      <c r="K74" s="21" t="n">
        <f aca="false">MAX(0,K52-J52)+J52*IF(parametros_recargas!$B$52="CO₂",parametros_recargas!$B$23,parametros_recargas!$B$24)</f>
        <v>17.56</v>
      </c>
    </row>
    <row r="75" customFormat="false" ht="15" hidden="false" customHeight="false" outlineLevel="0" collapsed="false">
      <c r="A75" s="9" t="str">
        <f aca="false">datos_base!A4</f>
        <v>ABC 5 kg</v>
      </c>
      <c r="B75" s="21" t="n">
        <f aca="false">B53</f>
        <v>15</v>
      </c>
      <c r="C75" s="21" t="n">
        <f aca="false">MAX(0,C53-B53)+B53*IF(parametros_recargas!$B$53="CO₂",parametros_recargas!$B$23,parametros_recargas!$B$24)</f>
        <v>46.2</v>
      </c>
      <c r="D75" s="21" t="n">
        <f aca="false">MAX(0,D53-C53)+C53*IF(parametros_recargas!$B$53="CO₂",parametros_recargas!$B$23,parametros_recargas!$B$24)</f>
        <v>79.8</v>
      </c>
      <c r="E75" s="21" t="n">
        <f aca="false">MAX(0,E53-D53)+D53*IF(parametros_recargas!$B$53="CO₂",parametros_recargas!$B$23,parametros_recargas!$B$24)</f>
        <v>129.8</v>
      </c>
      <c r="F75" s="21" t="n">
        <f aca="false">MAX(0,F53-E53)+E53*IF(parametros_recargas!$B$53="CO₂",parametros_recargas!$B$23,parametros_recargas!$B$24)</f>
        <v>132.32</v>
      </c>
      <c r="G75" s="21" t="n">
        <f aca="false">MAX(0,G53-F53)+F53*IF(parametros_recargas!$B$53="CO₂",parametros_recargas!$B$23,parametros_recargas!$B$24)</f>
        <v>149.28</v>
      </c>
      <c r="H75" s="21" t="n">
        <f aca="false">MAX(0,H53-G53)+G53*IF(parametros_recargas!$B$53="CO₂",parametros_recargas!$B$23,parametros_recargas!$B$24)</f>
        <v>118.88</v>
      </c>
      <c r="I75" s="21" t="n">
        <f aca="false">MAX(0,I53-H53)+H53*IF(parametros_recargas!$B$53="CO₂",parametros_recargas!$B$23,parametros_recargas!$B$24)</f>
        <v>106.28</v>
      </c>
      <c r="J75" s="21" t="n">
        <f aca="false">MAX(0,J53-I53)+I53*IF(parametros_recargas!$B$53="CO₂",parametros_recargas!$B$23,parametros_recargas!$B$24)</f>
        <v>100.16</v>
      </c>
      <c r="K75" s="21" t="n">
        <f aca="false">MAX(0,K53-J53)+J53*IF(parametros_recargas!$B$53="CO₂",parametros_recargas!$B$23,parametros_recargas!$B$24)</f>
        <v>104.16</v>
      </c>
    </row>
    <row r="76" customFormat="false" ht="15" hidden="false" customHeight="false" outlineLevel="0" collapsed="false">
      <c r="A76" s="9" t="str">
        <f aca="false">datos_base!A5</f>
        <v>ABC 10 kg</v>
      </c>
      <c r="B76" s="21" t="n">
        <f aca="false">B54</f>
        <v>1</v>
      </c>
      <c r="C76" s="21" t="n">
        <f aca="false">MAX(0,C54-B54)+B54*IF(parametros_recargas!$B$54="CO₂",parametros_recargas!$B$23,parametros_recargas!$B$24)</f>
        <v>3.08</v>
      </c>
      <c r="D76" s="21" t="n">
        <f aca="false">MAX(0,D54-C54)+C54*IF(parametros_recargas!$B$54="CO₂",parametros_recargas!$B$23,parametros_recargas!$B$24)</f>
        <v>4.32</v>
      </c>
      <c r="E76" s="21" t="n">
        <f aca="false">MAX(0,E54-D54)+D54*IF(parametros_recargas!$B$54="CO₂",parametros_recargas!$B$23,parametros_recargas!$B$24)</f>
        <v>7.64</v>
      </c>
      <c r="F76" s="21" t="n">
        <f aca="false">MAX(0,F54-E54)+E54*IF(parametros_recargas!$B$54="CO₂",parametros_recargas!$B$23,parametros_recargas!$B$24)</f>
        <v>7.2</v>
      </c>
      <c r="G76" s="21" t="n">
        <f aca="false">MAX(0,G54-F54)+F54*IF(parametros_recargas!$B$54="CO₂",parametros_recargas!$B$23,parametros_recargas!$B$24)</f>
        <v>8.68</v>
      </c>
      <c r="H76" s="21" t="n">
        <f aca="false">MAX(0,H54-G54)+G54*IF(parametros_recargas!$B$54="CO₂",parametros_recargas!$B$23,parametros_recargas!$B$24)</f>
        <v>7.24</v>
      </c>
      <c r="I76" s="21" t="n">
        <f aca="false">MAX(0,I54-H54)+H54*IF(parametros_recargas!$B$54="CO₂",parametros_recargas!$B$23,parametros_recargas!$B$24)</f>
        <v>5.64</v>
      </c>
      <c r="J76" s="21" t="n">
        <f aca="false">MAX(0,J54-I54)+I54*IF(parametros_recargas!$B$54="CO₂",parametros_recargas!$B$23,parametros_recargas!$B$24)</f>
        <v>5.88</v>
      </c>
      <c r="K76" s="21" t="n">
        <f aca="false">MAX(0,K54-J54)+J54*IF(parametros_recargas!$B$54="CO₂",parametros_recargas!$B$23,parametros_recargas!$B$24)</f>
        <v>6.12</v>
      </c>
    </row>
    <row r="77" customFormat="false" ht="15" hidden="false" customHeight="false" outlineLevel="0" collapsed="false">
      <c r="A77" s="9" t="str">
        <f aca="false">datos_base!A6</f>
        <v>Agua 10 l</v>
      </c>
      <c r="B77" s="21" t="n">
        <f aca="false">B55</f>
        <v>2</v>
      </c>
      <c r="C77" s="21" t="n">
        <f aca="false">MAX(0,C55-B55)+B55*IF(parametros_recargas!$B$55="CO₂",parametros_recargas!$B$23,parametros_recargas!$B$24)</f>
        <v>4.16</v>
      </c>
      <c r="D77" s="21" t="n">
        <f aca="false">MAX(0,D55-C55)+C55*IF(parametros_recargas!$B$55="CO₂",parametros_recargas!$B$23,parametros_recargas!$B$24)</f>
        <v>6.48</v>
      </c>
      <c r="E77" s="21" t="n">
        <f aca="false">MAX(0,E55-D55)+D55*IF(parametros_recargas!$B$55="CO₂",parametros_recargas!$B$23,parametros_recargas!$B$24)</f>
        <v>10.96</v>
      </c>
      <c r="F77" s="21" t="n">
        <f aca="false">MAX(0,F55-E55)+E55*IF(parametros_recargas!$B$55="CO₂",parametros_recargas!$B$23,parametros_recargas!$B$24)</f>
        <v>11.76</v>
      </c>
      <c r="G77" s="21" t="n">
        <f aca="false">MAX(0,G55-F55)+F55*IF(parametros_recargas!$B$55="CO₂",parametros_recargas!$B$23,parametros_recargas!$B$24)</f>
        <v>12.56</v>
      </c>
      <c r="H77" s="21" t="n">
        <f aca="false">MAX(0,H55-G55)+G55*IF(parametros_recargas!$B$55="CO₂",parametros_recargas!$B$23,parametros_recargas!$B$24)</f>
        <v>9.36</v>
      </c>
      <c r="I77" s="21" t="n">
        <f aca="false">MAX(0,I55-H55)+H55*IF(parametros_recargas!$B$55="CO₂",parametros_recargas!$B$23,parametros_recargas!$B$24)</f>
        <v>8.84</v>
      </c>
      <c r="J77" s="21" t="n">
        <f aca="false">MAX(0,J55-I55)+I55*IF(parametros_recargas!$B$55="CO₂",parametros_recargas!$B$23,parametros_recargas!$B$24)</f>
        <v>9.24</v>
      </c>
      <c r="K77" s="21" t="n">
        <f aca="false">MAX(0,K55-J55)+J55*IF(parametros_recargas!$B$55="CO₂",parametros_recargas!$B$23,parametros_recargas!$B$24)</f>
        <v>8.64</v>
      </c>
    </row>
    <row r="78" customFormat="false" ht="15" hidden="false" customHeight="false" outlineLevel="0" collapsed="false">
      <c r="A78" s="9" t="str">
        <f aca="false">datos_base!A7</f>
        <v>AFFF 10 l</v>
      </c>
      <c r="B78" s="21" t="n">
        <f aca="false">B56</f>
        <v>1</v>
      </c>
      <c r="C78" s="21" t="n">
        <f aca="false">MAX(0,C56-B56)+B56*IF(parametros_recargas!$B$56="CO₂",parametros_recargas!$B$23,parametros_recargas!$B$24)</f>
        <v>1.08</v>
      </c>
      <c r="D78" s="21" t="n">
        <f aca="false">MAX(0,D56-C56)+C56*IF(parametros_recargas!$B$56="CO₂",parametros_recargas!$B$23,parametros_recargas!$B$24)</f>
        <v>2.16</v>
      </c>
      <c r="E78" s="21" t="n">
        <f aca="false">MAX(0,E56-D56)+D56*IF(parametros_recargas!$B$56="CO₂",parametros_recargas!$B$23,parametros_recargas!$B$24)</f>
        <v>3.32</v>
      </c>
      <c r="F78" s="21" t="n">
        <f aca="false">MAX(0,F56-E56)+E56*IF(parametros_recargas!$B$56="CO₂",parametros_recargas!$B$23,parametros_recargas!$B$24)</f>
        <v>2.56</v>
      </c>
      <c r="G78" s="21" t="n">
        <f aca="false">MAX(0,G56-F56)+F56*IF(parametros_recargas!$B$56="CO₂",parametros_recargas!$B$23,parametros_recargas!$B$24)</f>
        <v>3.72</v>
      </c>
      <c r="H78" s="21" t="n">
        <f aca="false">MAX(0,H56-G56)+G56*IF(parametros_recargas!$B$56="CO₂",parametros_recargas!$B$23,parametros_recargas!$B$24)</f>
        <v>0.96</v>
      </c>
      <c r="I78" s="21" t="n">
        <f aca="false">MAX(0,I56-H56)+H56*IF(parametros_recargas!$B$56="CO₂",parametros_recargas!$B$23,parametros_recargas!$B$24)</f>
        <v>1.96</v>
      </c>
      <c r="J78" s="21" t="n">
        <f aca="false">MAX(0,J56-I56)+I56*IF(parametros_recargas!$B$56="CO₂",parametros_recargas!$B$23,parametros_recargas!$B$24)</f>
        <v>2.04</v>
      </c>
      <c r="K78" s="21" t="n">
        <f aca="false">MAX(0,K56-J56)+J56*IF(parametros_recargas!$B$56="CO₂",parametros_recargas!$B$23,parametros_recargas!$B$24)</f>
        <v>2.12</v>
      </c>
    </row>
    <row r="79" customFormat="false" ht="15" hidden="false" customHeight="false" outlineLevel="0" collapsed="false">
      <c r="A79" s="9" t="str">
        <f aca="false">datos_base!A8</f>
        <v>AFFF 50 l s/ruedas</v>
      </c>
      <c r="B79" s="21" t="n">
        <f aca="false">B57</f>
        <v>1</v>
      </c>
      <c r="C79" s="21" t="n">
        <f aca="false">MAX(0,C57-B57)+B57*IF(parametros_recargas!$B$57="CO₂",parametros_recargas!$B$23,parametros_recargas!$B$24)</f>
        <v>0.08</v>
      </c>
      <c r="D79" s="21" t="n">
        <f aca="false">MAX(0,D57-C57)+C57*IF(parametros_recargas!$B$57="CO₂",parametros_recargas!$B$23,parametros_recargas!$B$24)</f>
        <v>1.08</v>
      </c>
      <c r="E79" s="21" t="n">
        <f aca="false">MAX(0,E57-D57)+D57*IF(parametros_recargas!$B$57="CO₂",parametros_recargas!$B$23,parametros_recargas!$B$24)</f>
        <v>2.16</v>
      </c>
      <c r="F79" s="21" t="n">
        <f aca="false">MAX(0,F57-E57)+E57*IF(parametros_recargas!$B$57="CO₂",parametros_recargas!$B$23,parametros_recargas!$B$24)</f>
        <v>1.32</v>
      </c>
      <c r="G79" s="21" t="n">
        <f aca="false">MAX(0,G57-F57)+F57*IF(parametros_recargas!$B$57="CO₂",parametros_recargas!$B$23,parametros_recargas!$B$24)</f>
        <v>1.4</v>
      </c>
      <c r="H79" s="21" t="n">
        <f aca="false">MAX(0,H57-G57)+G57*IF(parametros_recargas!$B$57="CO₂",parametros_recargas!$B$23,parametros_recargas!$B$24)</f>
        <v>0.48</v>
      </c>
      <c r="I79" s="21" t="n">
        <f aca="false">MAX(0,I57-H57)+H57*IF(parametros_recargas!$B$57="CO₂",parametros_recargas!$B$23,parametros_recargas!$B$24)</f>
        <v>1.48</v>
      </c>
      <c r="J79" s="21" t="n">
        <f aca="false">MAX(0,J57-I57)+I57*IF(parametros_recargas!$B$57="CO₂",parametros_recargas!$B$23,parametros_recargas!$B$24)</f>
        <v>1.56</v>
      </c>
      <c r="K79" s="21" t="n">
        <f aca="false">MAX(0,K57-J57)+J57*IF(parametros_recargas!$B$57="CO₂",parametros_recargas!$B$23,parametros_recargas!$B$24)</f>
        <v>0.64</v>
      </c>
    </row>
    <row r="80" customFormat="false" ht="15" hidden="false" customHeight="false" outlineLevel="0" collapsed="false">
      <c r="A80" s="9" t="str">
        <f aca="false">datos_base!A9</f>
        <v>BC 5 kg</v>
      </c>
      <c r="B80" s="21" t="n">
        <f aca="false">B58</f>
        <v>1</v>
      </c>
      <c r="C80" s="21" t="n">
        <f aca="false">MAX(0,C58-B58)+B58*IF(parametros_recargas!$B$58="CO₂",parametros_recargas!$B$23,parametros_recargas!$B$24)</f>
        <v>0.08</v>
      </c>
      <c r="D80" s="21" t="n">
        <f aca="false">MAX(0,D58-C58)+C58*IF(parametros_recargas!$B$58="CO₂",parametros_recargas!$B$23,parametros_recargas!$B$24)</f>
        <v>1.08</v>
      </c>
      <c r="E80" s="21" t="n">
        <f aca="false">MAX(0,E58-D58)+D58*IF(parametros_recargas!$B$58="CO₂",parametros_recargas!$B$23,parametros_recargas!$B$24)</f>
        <v>0.16</v>
      </c>
      <c r="F80" s="21" t="n">
        <f aca="false">MAX(0,F58-E58)+E58*IF(parametros_recargas!$B$58="CO₂",parametros_recargas!$B$23,parametros_recargas!$B$24)</f>
        <v>1.16</v>
      </c>
      <c r="G80" s="21" t="n">
        <f aca="false">MAX(0,G58-F58)+F58*IF(parametros_recargas!$B$58="CO₂",parametros_recargas!$B$23,parametros_recargas!$B$24)</f>
        <v>1.24</v>
      </c>
      <c r="H80" s="21" t="n">
        <f aca="false">MAX(0,H58-G58)+G58*IF(parametros_recargas!$B$58="CO₂",parametros_recargas!$B$23,parametros_recargas!$B$24)</f>
        <v>0.32</v>
      </c>
      <c r="I80" s="21" t="n">
        <f aca="false">MAX(0,I58-H58)+H58*IF(parametros_recargas!$B$58="CO₂",parametros_recargas!$B$23,parametros_recargas!$B$24)</f>
        <v>0.32</v>
      </c>
      <c r="J80" s="21" t="n">
        <f aca="false">MAX(0,J58-I58)+I58*IF(parametros_recargas!$B$58="CO₂",parametros_recargas!$B$23,parametros_recargas!$B$24)</f>
        <v>1.32</v>
      </c>
      <c r="K80" s="21" t="n">
        <f aca="false">MAX(0,K58-J58)+J58*IF(parametros_recargas!$B$58="CO₂",parametros_recargas!$B$23,parametros_recargas!$B$24)</f>
        <v>0.4</v>
      </c>
    </row>
    <row r="81" customFormat="false" ht="15" hidden="false" customHeight="false" outlineLevel="0" collapsed="false">
      <c r="A81" s="9" t="str">
        <f aca="false">datos_base!A10</f>
        <v>Sales K 6 l</v>
      </c>
      <c r="B81" s="21" t="n">
        <f aca="false">B59</f>
        <v>1</v>
      </c>
      <c r="C81" s="21" t="n">
        <f aca="false">MAX(0,C59-B59)+B59*IF(parametros_recargas!$B$59="CO₂",parametros_recargas!$B$23,parametros_recargas!$B$24)</f>
        <v>2.08</v>
      </c>
      <c r="D81" s="21" t="n">
        <f aca="false">MAX(0,D59-C59)+C59*IF(parametros_recargas!$B$59="CO₂",parametros_recargas!$B$23,parametros_recargas!$B$24)</f>
        <v>4.24</v>
      </c>
      <c r="E81" s="21" t="n">
        <f aca="false">MAX(0,E59-D59)+D59*IF(parametros_recargas!$B$59="CO₂",parametros_recargas!$B$23,parametros_recargas!$B$24)</f>
        <v>4.56</v>
      </c>
      <c r="F81" s="21" t="n">
        <f aca="false">MAX(0,F59-E59)+E59*IF(parametros_recargas!$B$59="CO₂",parametros_recargas!$B$23,parametros_recargas!$B$24)</f>
        <v>5.88</v>
      </c>
      <c r="G81" s="21" t="n">
        <f aca="false">MAX(0,G59-F59)+F59*IF(parametros_recargas!$B$59="CO₂",parametros_recargas!$B$23,parametros_recargas!$B$24)</f>
        <v>6.28</v>
      </c>
      <c r="H81" s="21" t="n">
        <f aca="false">MAX(0,H59-G59)+G59*IF(parametros_recargas!$B$59="CO₂",parametros_recargas!$B$23,parametros_recargas!$B$24)</f>
        <v>4.68</v>
      </c>
      <c r="I81" s="21" t="n">
        <f aca="false">MAX(0,I59-H59)+H59*IF(parametros_recargas!$B$59="CO₂",parametros_recargas!$B$23,parametros_recargas!$B$24)</f>
        <v>4.92</v>
      </c>
      <c r="J81" s="21" t="n">
        <f aca="false">MAX(0,J59-I59)+I59*IF(parametros_recargas!$B$59="CO₂",parametros_recargas!$B$23,parametros_recargas!$B$24)</f>
        <v>4.16</v>
      </c>
      <c r="K81" s="21" t="n">
        <f aca="false">MAX(0,K59-J59)+J59*IF(parametros_recargas!$B$59="CO₂",parametros_recargas!$B$23,parametros_recargas!$B$24)</f>
        <v>4.32</v>
      </c>
    </row>
    <row r="82" customFormat="false" ht="15" hidden="false" customHeight="false" outlineLevel="0" collapsed="false">
      <c r="A82" s="9" t="str">
        <f aca="false">datos_base!A11</f>
        <v>CO₂ 2 kg</v>
      </c>
      <c r="B82" s="21" t="n">
        <f aca="false">B60</f>
        <v>4</v>
      </c>
      <c r="C82" s="21" t="n">
        <f aca="false">MAX(0,C60-B60)+B60*IF(parametros_recargas!$B$60="CO₂",parametros_recargas!$B$23,parametros_recargas!$B$24)</f>
        <v>9.25333333333333</v>
      </c>
      <c r="D82" s="21" t="n">
        <f aca="false">MAX(0,D60-C60)+C60*IF(parametros_recargas!$B$60="CO₂",parametros_recargas!$B$23,parametros_recargas!$B$24)</f>
        <v>16.8233333333333</v>
      </c>
      <c r="E82" s="21" t="n">
        <f aca="false">MAX(0,E60-D60)+D60*IF(parametros_recargas!$B$60="CO₂",parametros_recargas!$B$23,parametros_recargas!$B$24)</f>
        <v>27.8366666666667</v>
      </c>
      <c r="F82" s="21" t="n">
        <f aca="false">MAX(0,F60-E60)+E60*IF(parametros_recargas!$B$60="CO₂",parametros_recargas!$B$23,parametros_recargas!$B$24)</f>
        <v>27.4833333333333</v>
      </c>
      <c r="G82" s="21" t="n">
        <f aca="false">MAX(0,G60-F60)+F60*IF(parametros_recargas!$B$60="CO₂",parametros_recargas!$B$23,parametros_recargas!$B$24)</f>
        <v>31.0033333333333</v>
      </c>
      <c r="H82" s="21" t="n">
        <f aca="false">MAX(0,H60-G60)+G60*IF(parametros_recargas!$B$60="CO₂",parametros_recargas!$B$23,parametros_recargas!$B$24)</f>
        <v>26.65</v>
      </c>
      <c r="I82" s="21" t="n">
        <f aca="false">MAX(0,I60-H60)+H60*IF(parametros_recargas!$B$60="CO₂",parametros_recargas!$B$23,parametros_recargas!$B$24)</f>
        <v>20.9166666666667</v>
      </c>
      <c r="J82" s="21" t="n">
        <f aca="false">MAX(0,J60-I60)+I60*IF(parametros_recargas!$B$60="CO₂",parametros_recargas!$B$23,parametros_recargas!$B$24)</f>
        <v>19.74</v>
      </c>
      <c r="K82" s="21" t="n">
        <f aca="false">MAX(0,K60-J60)+J60*IF(parametros_recargas!$B$60="CO₂",parametros_recargas!$B$23,parametros_recargas!$B$24)</f>
        <v>20.4366666666667</v>
      </c>
    </row>
    <row r="83" customFormat="false" ht="15" hidden="false" customHeight="false" outlineLevel="0" collapsed="false">
      <c r="A83" s="9" t="str">
        <f aca="false">datos_base!A12</f>
        <v>CO₂ 5 kg</v>
      </c>
      <c r="B83" s="21" t="n">
        <f aca="false">B61</f>
        <v>2</v>
      </c>
      <c r="C83" s="21" t="n">
        <f aca="false">MAX(0,C61-B61)+B61*IF(parametros_recargas!$B$61="CO₂",parametros_recargas!$B$23,parametros_recargas!$B$24)</f>
        <v>4.12666666666667</v>
      </c>
      <c r="D83" s="21" t="n">
        <f aca="false">MAX(0,D61-C61)+C61*IF(parametros_recargas!$B$61="CO₂",parametros_recargas!$B$23,parametros_recargas!$B$24)</f>
        <v>7.38</v>
      </c>
      <c r="E83" s="21" t="n">
        <f aca="false">MAX(0,E61-D61)+D61*IF(parametros_recargas!$B$61="CO₂",parametros_recargas!$B$23,parametros_recargas!$B$24)</f>
        <v>10.8233333333333</v>
      </c>
      <c r="F83" s="21" t="n">
        <f aca="false">MAX(0,F61-E61)+E61*IF(parametros_recargas!$B$61="CO₂",parametros_recargas!$B$23,parametros_recargas!$B$24)</f>
        <v>11.4566666666667</v>
      </c>
      <c r="G83" s="21" t="n">
        <f aca="false">MAX(0,G61-F61)+F61*IF(parametros_recargas!$B$61="CO₂",parametros_recargas!$B$23,parametros_recargas!$B$24)</f>
        <v>13.09</v>
      </c>
      <c r="H83" s="21" t="n">
        <f aca="false">MAX(0,H61-G61)+G61*IF(parametros_recargas!$B$61="CO₂",parametros_recargas!$B$23,parametros_recargas!$B$24)</f>
        <v>5.78666666666667</v>
      </c>
      <c r="I83" s="21" t="n">
        <f aca="false">MAX(0,I61-H61)+H61*IF(parametros_recargas!$B$61="CO₂",parametros_recargas!$B$23,parametros_recargas!$B$24)</f>
        <v>8.97666666666667</v>
      </c>
      <c r="J83" s="21" t="n">
        <f aca="false">MAX(0,J61-I61)+I61*IF(parametros_recargas!$B$61="CO₂",parametros_recargas!$B$23,parametros_recargas!$B$24)</f>
        <v>7.35666666666667</v>
      </c>
      <c r="K83" s="21" t="n">
        <f aca="false">MAX(0,K61-J61)+J61*IF(parametros_recargas!$B$61="CO₂",parametros_recargas!$B$23,parametros_recargas!$B$24)</f>
        <v>8.61</v>
      </c>
    </row>
    <row r="84" customFormat="false" ht="15" hidden="false" customHeight="false" outlineLevel="0" collapsed="false">
      <c r="A84" s="9" t="str">
        <f aca="false">datos_base!A13</f>
        <v>HCFC/HFC 5 kg</v>
      </c>
      <c r="B84" s="21" t="n">
        <f aca="false">B62</f>
        <v>1</v>
      </c>
      <c r="C84" s="21" t="n">
        <f aca="false">MAX(0,C62-B62)+B62*IF(parametros_recargas!$B$62="CO₂",parametros_recargas!$B$23,parametros_recargas!$B$24)</f>
        <v>1.08</v>
      </c>
      <c r="D84" s="21" t="n">
        <f aca="false">MAX(0,D62-C62)+C62*IF(parametros_recargas!$B$62="CO₂",parametros_recargas!$B$23,parametros_recargas!$B$24)</f>
        <v>1.16</v>
      </c>
      <c r="E84" s="21" t="n">
        <f aca="false">MAX(0,E62-D62)+D62*IF(parametros_recargas!$B$62="CO₂",parametros_recargas!$B$23,parametros_recargas!$B$24)</f>
        <v>2.24</v>
      </c>
      <c r="F84" s="21" t="n">
        <f aca="false">MAX(0,F62-E62)+E62*IF(parametros_recargas!$B$62="CO₂",parametros_recargas!$B$23,parametros_recargas!$B$24)</f>
        <v>2.4</v>
      </c>
      <c r="G84" s="21" t="n">
        <f aca="false">MAX(0,G62-F62)+F62*IF(parametros_recargas!$B$62="CO₂",parametros_recargas!$B$23,parametros_recargas!$B$24)</f>
        <v>2.56</v>
      </c>
      <c r="H84" s="21" t="n">
        <f aca="false">MAX(0,H62-G62)+G62*IF(parametros_recargas!$B$62="CO₂",parametros_recargas!$B$23,parametros_recargas!$B$24)</f>
        <v>0.72</v>
      </c>
      <c r="I84" s="21" t="n">
        <f aca="false">MAX(0,I62-H62)+H62*IF(parametros_recargas!$B$62="CO₂",parametros_recargas!$B$23,parametros_recargas!$B$24)</f>
        <v>1.72</v>
      </c>
      <c r="J84" s="21" t="n">
        <f aca="false">MAX(0,J62-I62)+I62*IF(parametros_recargas!$B$62="CO₂",parametros_recargas!$B$23,parametros_recargas!$B$24)</f>
        <v>1.8</v>
      </c>
      <c r="K84" s="21" t="n">
        <f aca="false">MAX(0,K62-J62)+J62*IF(parametros_recargas!$B$62="CO₂",parametros_recargas!$B$23,parametros_recargas!$B$24)</f>
        <v>1.88</v>
      </c>
    </row>
    <row r="85" customFormat="false" ht="15" hidden="false" customHeight="false" outlineLevel="0" collapsed="false">
      <c r="A85" s="9" t="str">
        <f aca="false">datos_base!A14</f>
        <v>Clase D 9 l</v>
      </c>
      <c r="B85" s="21" t="n">
        <f aca="false">B63</f>
        <v>1</v>
      </c>
      <c r="C85" s="21" t="n">
        <f aca="false">MAX(0,C63-B63)+B63*IF(parametros_recargas!$B$63="CO₂",parametros_recargas!$B$23,parametros_recargas!$B$24)</f>
        <v>0.08</v>
      </c>
      <c r="D85" s="21" t="n">
        <f aca="false">MAX(0,D63-C63)+C63*IF(parametros_recargas!$B$63="CO₂",parametros_recargas!$B$23,parametros_recargas!$B$24)</f>
        <v>1.08</v>
      </c>
      <c r="E85" s="21" t="n">
        <f aca="false">MAX(0,E63-D63)+D63*IF(parametros_recargas!$B$63="CO₂",parametros_recargas!$B$23,parametros_recargas!$B$24)</f>
        <v>0.16</v>
      </c>
      <c r="F85" s="21" t="n">
        <f aca="false">MAX(0,F63-E63)+E63*IF(parametros_recargas!$B$63="CO₂",parametros_recargas!$B$23,parametros_recargas!$B$24)</f>
        <v>1.16</v>
      </c>
      <c r="G85" s="21" t="n">
        <f aca="false">MAX(0,G63-F63)+F63*IF(parametros_recargas!$B$63="CO₂",parametros_recargas!$B$23,parametros_recargas!$B$24)</f>
        <v>0.24</v>
      </c>
      <c r="H85" s="21" t="n">
        <f aca="false">MAX(0,H63-G63)+G63*IF(parametros_recargas!$B$63="CO₂",parametros_recargas!$B$23,parametros_recargas!$B$24)</f>
        <v>1.24</v>
      </c>
      <c r="I85" s="21" t="n">
        <f aca="false">MAX(0,I63-H63)+H63*IF(parametros_recargas!$B$63="CO₂",parametros_recargas!$B$23,parametros_recargas!$B$24)</f>
        <v>0.32</v>
      </c>
      <c r="J85" s="21" t="n">
        <f aca="false">MAX(0,J63-I63)+I63*IF(parametros_recargas!$B$63="CO₂",parametros_recargas!$B$23,parametros_recargas!$B$24)</f>
        <v>0.32</v>
      </c>
      <c r="K85" s="21" t="n">
        <f aca="false">MAX(0,K63-J63)+J63*IF(parametros_recargas!$B$63="CO₂",parametros_recargas!$B$23,parametros_recargas!$B$24)</f>
        <v>1.32</v>
      </c>
    </row>
    <row r="86" customFormat="false" ht="15" hidden="false" customHeight="false" outlineLevel="0" collapsed="false">
      <c r="A86" s="9" t="str">
        <f aca="false">datos_base!A15</f>
        <v>ABC 25 kg s/ruedas</v>
      </c>
      <c r="B86" s="21" t="n">
        <f aca="false">B64</f>
        <v>1</v>
      </c>
      <c r="C86" s="21" t="n">
        <f aca="false">MAX(0,C64-B64)+B64*IF(parametros_recargas!$B$64="CO₂",parametros_recargas!$B$23,parametros_recargas!$B$24)</f>
        <v>0.08</v>
      </c>
      <c r="D86" s="21" t="n">
        <f aca="false">MAX(0,D64-C64)+C64*IF(parametros_recargas!$B$64="CO₂",parametros_recargas!$B$23,parametros_recargas!$B$24)</f>
        <v>1.08</v>
      </c>
      <c r="E86" s="21" t="n">
        <f aca="false">MAX(0,E64-D64)+D64*IF(parametros_recargas!$B$64="CO₂",parametros_recargas!$B$23,parametros_recargas!$B$24)</f>
        <v>2.16</v>
      </c>
      <c r="F86" s="21" t="n">
        <f aca="false">MAX(0,F64-E64)+E64*IF(parametros_recargas!$B$64="CO₂",parametros_recargas!$B$23,parametros_recargas!$B$24)</f>
        <v>1.32</v>
      </c>
      <c r="G86" s="21" t="n">
        <f aca="false">MAX(0,G64-F64)+F64*IF(parametros_recargas!$B$64="CO₂",parametros_recargas!$B$23,parametros_recargas!$B$24)</f>
        <v>1.4</v>
      </c>
      <c r="H86" s="21" t="n">
        <f aca="false">MAX(0,H64-G64)+G64*IF(parametros_recargas!$B$64="CO₂",parametros_recargas!$B$23,parametros_recargas!$B$24)</f>
        <v>1.48</v>
      </c>
      <c r="I86" s="21" t="n">
        <f aca="false">MAX(0,I64-H64)+H64*IF(parametros_recargas!$B$64="CO₂",parametros_recargas!$B$23,parametros_recargas!$B$24)</f>
        <v>0.56</v>
      </c>
      <c r="J86" s="21" t="n">
        <f aca="false">MAX(0,J64-I64)+I64*IF(parametros_recargas!$B$64="CO₂",parametros_recargas!$B$23,parametros_recargas!$B$24)</f>
        <v>1.56</v>
      </c>
      <c r="K86" s="21" t="n">
        <f aca="false">MAX(0,K64-J64)+J64*IF(parametros_recargas!$B$64="CO₂",parametros_recargas!$B$23,parametros_recargas!$B$24)</f>
        <v>1.64</v>
      </c>
    </row>
    <row r="87" customFormat="false" ht="15" hidden="false" customHeight="false" outlineLevel="0" collapsed="false">
      <c r="A87" s="9" t="str">
        <f aca="false">datos_base!A16</f>
        <v>ABC 50 kg s/ruedas</v>
      </c>
      <c r="B87" s="21" t="n">
        <f aca="false">B65</f>
        <v>1</v>
      </c>
      <c r="C87" s="21" t="n">
        <f aca="false">MAX(0,C65-B65)+B65*IF(parametros_recargas!$B$65="CO₂",parametros_recargas!$B$23,parametros_recargas!$B$24)</f>
        <v>1.08</v>
      </c>
      <c r="D87" s="21" t="n">
        <f aca="false">MAX(0,D65-C65)+C65*IF(parametros_recargas!$B$65="CO₂",parametros_recargas!$B$23,parametros_recargas!$B$24)</f>
        <v>2.16</v>
      </c>
      <c r="E87" s="21" t="n">
        <f aca="false">MAX(0,E65-D65)+D65*IF(parametros_recargas!$B$65="CO₂",parametros_recargas!$B$23,parametros_recargas!$B$24)</f>
        <v>3.32</v>
      </c>
      <c r="F87" s="21" t="n">
        <f aca="false">MAX(0,F65-E65)+E65*IF(parametros_recargas!$B$65="CO₂",parametros_recargas!$B$23,parametros_recargas!$B$24)</f>
        <v>3.56</v>
      </c>
      <c r="G87" s="21" t="n">
        <f aca="false">MAX(0,G65-F65)+F65*IF(parametros_recargas!$B$65="CO₂",parametros_recargas!$B$23,parametros_recargas!$B$24)</f>
        <v>3.8</v>
      </c>
      <c r="H87" s="21" t="n">
        <f aca="false">MAX(0,H65-G65)+G65*IF(parametros_recargas!$B$65="CO₂",parametros_recargas!$B$23,parametros_recargas!$B$24)</f>
        <v>2.04</v>
      </c>
      <c r="I87" s="21" t="n">
        <f aca="false">MAX(0,I65-H65)+H65*IF(parametros_recargas!$B$65="CO₂",parametros_recargas!$B$23,parametros_recargas!$B$24)</f>
        <v>3.12</v>
      </c>
      <c r="J87" s="21" t="n">
        <f aca="false">MAX(0,J65-I65)+I65*IF(parametros_recargas!$B$65="CO₂",parametros_recargas!$B$23,parametros_recargas!$B$24)</f>
        <v>2.28</v>
      </c>
      <c r="K87" s="21" t="n">
        <f aca="false">MAX(0,K65-J65)+J65*IF(parametros_recargas!$B$65="CO₂",parametros_recargas!$B$23,parametros_recargas!$B$24)</f>
        <v>2.36</v>
      </c>
    </row>
    <row r="88" customFormat="false" ht="15" hidden="false" customHeight="false" outlineLevel="0" collapsed="false">
      <c r="A88" s="9" t="str">
        <f aca="false">datos_base!A17</f>
        <v>ABC 70 kg s/ruedas</v>
      </c>
      <c r="B88" s="21" t="n">
        <f aca="false">B66</f>
        <v>1</v>
      </c>
      <c r="C88" s="21" t="n">
        <f aca="false">MAX(0,C66-B66)+B66*IF(parametros_recargas!$B$66="CO₂",parametros_recargas!$B$23,parametros_recargas!$B$24)</f>
        <v>0.08</v>
      </c>
      <c r="D88" s="21" t="n">
        <f aca="false">MAX(0,D66-C66)+C66*IF(parametros_recargas!$B$66="CO₂",parametros_recargas!$B$23,parametros_recargas!$B$24)</f>
        <v>0.08</v>
      </c>
      <c r="E88" s="21" t="n">
        <f aca="false">MAX(0,E66-D66)+D66*IF(parametros_recargas!$B$66="CO₂",parametros_recargas!$B$23,parametros_recargas!$B$24)</f>
        <v>1.08</v>
      </c>
      <c r="F88" s="21" t="n">
        <f aca="false">MAX(0,F66-E66)+E66*IF(parametros_recargas!$B$66="CO₂",parametros_recargas!$B$23,parametros_recargas!$B$24)</f>
        <v>1.16</v>
      </c>
      <c r="G88" s="21" t="n">
        <f aca="false">MAX(0,G66-F66)+F66*IF(parametros_recargas!$B$66="CO₂",parametros_recargas!$B$23,parametros_recargas!$B$24)</f>
        <v>0.24</v>
      </c>
      <c r="H88" s="21" t="n">
        <f aca="false">MAX(0,H66-G66)+G66*IF(parametros_recargas!$B$66="CO₂",parametros_recargas!$B$23,parametros_recargas!$B$24)</f>
        <v>0.24</v>
      </c>
      <c r="I88" s="21" t="n">
        <f aca="false">MAX(0,I66-H66)+H66*IF(parametros_recargas!$B$66="CO₂",parametros_recargas!$B$23,parametros_recargas!$B$24)</f>
        <v>1.24</v>
      </c>
      <c r="J88" s="21" t="n">
        <f aca="false">MAX(0,J66-I66)+I66*IF(parametros_recargas!$B$66="CO₂",parametros_recargas!$B$23,parametros_recargas!$B$24)</f>
        <v>0.32</v>
      </c>
      <c r="K88" s="21" t="n">
        <f aca="false">MAX(0,K66-J66)+J66*IF(parametros_recargas!$B$66="CO₂",parametros_recargas!$B$23,parametros_recargas!$B$24)</f>
        <v>0.32</v>
      </c>
    </row>
    <row r="89" customFormat="false" ht="15" hidden="false" customHeight="false" outlineLevel="0" collapsed="false">
      <c r="A89" s="9" t="str">
        <f aca="false">datos_base!A18</f>
        <v>ABC 100 kg s/ruedas</v>
      </c>
      <c r="B89" s="21" t="n">
        <f aca="false">B67</f>
        <v>1</v>
      </c>
      <c r="C89" s="21" t="n">
        <f aca="false">MAX(0,C67-B67)+B67*IF(parametros_recargas!$B$67="CO₂",parametros_recargas!$B$23,parametros_recargas!$B$24)</f>
        <v>0.08</v>
      </c>
      <c r="D89" s="21" t="n">
        <f aca="false">MAX(0,D67-C67)+C67*IF(parametros_recargas!$B$67="CO₂",parametros_recargas!$B$23,parametros_recargas!$B$24)</f>
        <v>0.08</v>
      </c>
      <c r="E89" s="21" t="n">
        <f aca="false">MAX(0,E67-D67)+D67*IF(parametros_recargas!$B$67="CO₂",parametros_recargas!$B$23,parametros_recargas!$B$24)</f>
        <v>0.08</v>
      </c>
      <c r="F89" s="21" t="n">
        <f aca="false">MAX(0,F67-E67)+E67*IF(parametros_recargas!$B$67="CO₂",parametros_recargas!$B$23,parametros_recargas!$B$24)</f>
        <v>1.08</v>
      </c>
      <c r="G89" s="21" t="n">
        <f aca="false">MAX(0,G67-F67)+F67*IF(parametros_recargas!$B$67="CO₂",parametros_recargas!$B$23,parametros_recargas!$B$24)</f>
        <v>0.16</v>
      </c>
      <c r="H89" s="21" t="n">
        <f aca="false">MAX(0,H67-G67)+G67*IF(parametros_recargas!$B$67="CO₂",parametros_recargas!$B$23,parametros_recargas!$B$24)</f>
        <v>0.16</v>
      </c>
      <c r="I89" s="21" t="n">
        <f aca="false">MAX(0,I67-H67)+H67*IF(parametros_recargas!$B$67="CO₂",parametros_recargas!$B$23,parametros_recargas!$B$24)</f>
        <v>1.16</v>
      </c>
      <c r="J89" s="21" t="n">
        <f aca="false">MAX(0,J67-I67)+I67*IF(parametros_recargas!$B$67="CO₂",parametros_recargas!$B$23,parametros_recargas!$B$24)</f>
        <v>0.24</v>
      </c>
      <c r="K89" s="21" t="n">
        <f aca="false">MAX(0,K67-J67)+J67*IF(parametros_recargas!$B$67="CO₂",parametros_recargas!$B$23,parametros_recargas!$B$24)</f>
        <v>0.24</v>
      </c>
    </row>
    <row r="90" customFormat="false" ht="15" hidden="false" customHeight="false" outlineLevel="0" collapsed="false">
      <c r="A90" s="4" t="s">
        <v>342</v>
      </c>
      <c r="B90" s="22" t="n">
        <f aca="false">SUMIF($F$30:$F$46,"Fábrica: cilindro vacío",B73:B89)</f>
        <v>23</v>
      </c>
      <c r="C90" s="22" t="n">
        <f aca="false">SUMIF($F$30:$F$46,"Fábrica: cilindro vacío",C73:C89)</f>
        <v>57.84</v>
      </c>
      <c r="D90" s="22" t="n">
        <f aca="false">SUMIF($F$30:$F$46,"Fábrica: cilindro vacío",D73:D89)</f>
        <v>99.32</v>
      </c>
      <c r="E90" s="22" t="n">
        <f aca="false">SUMIF($F$30:$F$46,"Fábrica: cilindro vacío",E73:E89)</f>
        <v>163.76</v>
      </c>
      <c r="F90" s="22" t="n">
        <f aca="false">SUMIF($F$30:$F$46,"Fábrica: cilindro vacío",F73:F89)</f>
        <v>166.76</v>
      </c>
      <c r="G90" s="22" t="n">
        <f aca="false">SUMIF($F$30:$F$46,"Fábrica: cilindro vacío",G73:G89)</f>
        <v>186.04</v>
      </c>
      <c r="H90" s="22" t="n">
        <f aca="false">SUMIF($F$30:$F$46,"Fábrica: cilindro vacío",H73:H89)</f>
        <v>150.96</v>
      </c>
      <c r="I90" s="22" t="n">
        <f aca="false">SUMIF($F$30:$F$46,"Fábrica: cilindro vacío",I73:I89)</f>
        <v>135.12</v>
      </c>
      <c r="J90" s="22" t="n">
        <f aca="false">SUMIF($F$30:$F$46,"Fábrica: cilindro vacío",J73:J89)</f>
        <v>126.36</v>
      </c>
      <c r="K90" s="22" t="n">
        <f aca="false">SUMIF($F$30:$F$46,"Fábrica: cilindro vacío",K73:K89)</f>
        <v>132.4</v>
      </c>
    </row>
    <row r="91" customFormat="false" ht="15" hidden="false" customHeight="false" outlineLevel="0" collapsed="false">
      <c r="A91" s="4" t="s">
        <v>343</v>
      </c>
      <c r="B91" s="22" t="n">
        <f aca="false">SUMIF($F$30:$F$46,"Fábrica: terminado",B73:B89)</f>
        <v>0</v>
      </c>
      <c r="C91" s="22" t="n">
        <f aca="false">SUMIF($F$30:$F$46,"Fábrica: terminado",C73:C89)</f>
        <v>0</v>
      </c>
      <c r="D91" s="22" t="n">
        <f aca="false">SUMIF($F$30:$F$46,"Fábrica: terminado",D73:D89)</f>
        <v>0</v>
      </c>
      <c r="E91" s="22" t="n">
        <f aca="false">SUMIF($F$30:$F$46,"Fábrica: terminado",E73:E89)</f>
        <v>0</v>
      </c>
      <c r="F91" s="22" t="n">
        <f aca="false">SUMIF($F$30:$F$46,"Fábrica: terminado",F73:F89)</f>
        <v>0</v>
      </c>
      <c r="G91" s="22" t="n">
        <f aca="false">SUMIF($F$30:$F$46,"Fábrica: terminado",G73:G89)</f>
        <v>0</v>
      </c>
      <c r="H91" s="22" t="n">
        <f aca="false">SUMIF($F$30:$F$46,"Fábrica: terminado",H73:H89)</f>
        <v>0</v>
      </c>
      <c r="I91" s="22" t="n">
        <f aca="false">SUMIF($F$30:$F$46,"Fábrica: terminado",I73:I89)</f>
        <v>0</v>
      </c>
      <c r="J91" s="22" t="n">
        <f aca="false">SUMIF($F$30:$F$46,"Fábrica: terminado",J73:J89)</f>
        <v>0</v>
      </c>
      <c r="K91" s="22" t="n">
        <f aca="false">SUMIF($F$30:$F$46,"Fábrica: terminado",K73:K89)</f>
        <v>0</v>
      </c>
    </row>
    <row r="92" customFormat="false" ht="15" hidden="false" customHeight="false" outlineLevel="0" collapsed="false">
      <c r="A92" s="4" t="s">
        <v>344</v>
      </c>
      <c r="B92" s="22" t="n">
        <f aca="false">SUMIF($F$30:$F$46,"Compra",B73:B89)</f>
        <v>14</v>
      </c>
      <c r="C92" s="22" t="n">
        <f aca="false">SUMIF($F$30:$F$46,"Compra",C73:C89)</f>
        <v>22.02</v>
      </c>
      <c r="D92" s="22" t="n">
        <f aca="false">SUMIF($F$30:$F$46,"Compra",D73:D89)</f>
        <v>41.4833333333333</v>
      </c>
      <c r="E92" s="22" t="n">
        <f aca="false">SUMIF($F$30:$F$46,"Compra",E73:E89)</f>
        <v>62.22</v>
      </c>
      <c r="F92" s="22" t="n">
        <f aca="false">SUMIF($F$30:$F$46,"Compra",F73:F89)</f>
        <v>65.18</v>
      </c>
      <c r="G92" s="22" t="n">
        <f aca="false">SUMIF($F$30:$F$46,"Compra",G73:G89)</f>
        <v>72.0933333333333</v>
      </c>
      <c r="H92" s="22" t="n">
        <f aca="false">SUMIF($F$30:$F$46,"Compra",H73:H89)</f>
        <v>50.1966666666667</v>
      </c>
      <c r="I92" s="22" t="n">
        <f aca="false">SUMIF($F$30:$F$46,"Compra",I73:I89)</f>
        <v>49.4533333333333</v>
      </c>
      <c r="J92" s="22" t="n">
        <f aca="false">SUMIF($F$30:$F$46,"Compra",J73:J89)</f>
        <v>47.5366666666667</v>
      </c>
      <c r="K92" s="22" t="n">
        <f aca="false">SUMIF($F$30:$F$46,"Compra",K73:K89)</f>
        <v>48.3666666666667</v>
      </c>
    </row>
    <row r="93" customFormat="false" ht="15" hidden="false" customHeight="false" outlineLevel="0" collapsed="false">
      <c r="A93" s="4" t="s">
        <v>345</v>
      </c>
      <c r="B93" s="22" t="n">
        <f aca="false">SUM(B73:B89)</f>
        <v>37</v>
      </c>
      <c r="C93" s="22" t="n">
        <f aca="false">SUM(C73:C89)</f>
        <v>79.86</v>
      </c>
      <c r="D93" s="22" t="n">
        <f aca="false">SUM(D73:D89)</f>
        <v>140.803333333333</v>
      </c>
      <c r="E93" s="22" t="n">
        <f aca="false">SUM(E73:E89)</f>
        <v>225.98</v>
      </c>
      <c r="F93" s="22" t="n">
        <f aca="false">SUM(F73:F89)</f>
        <v>231.94</v>
      </c>
      <c r="G93" s="22" t="n">
        <f aca="false">SUM(G73:G89)</f>
        <v>258.133333333333</v>
      </c>
      <c r="H93" s="22" t="n">
        <f aca="false">SUM(H73:H89)</f>
        <v>201.156666666667</v>
      </c>
      <c r="I93" s="22" t="n">
        <f aca="false">SUM(I73:I89)</f>
        <v>184.573333333333</v>
      </c>
      <c r="J93" s="22" t="n">
        <f aca="false">SUM(J73:J89)</f>
        <v>173.896666666667</v>
      </c>
      <c r="K93" s="22" t="n">
        <f aca="false">SUM(K73:K89)</f>
        <v>180.766666666667</v>
      </c>
    </row>
    <row r="95" customFormat="false" ht="15" hidden="false" customHeight="false" outlineLevel="0" collapsed="false">
      <c r="A95" s="1" t="s">
        <v>346</v>
      </c>
    </row>
    <row r="96" customFormat="false" ht="15" hidden="false" customHeight="false" outlineLevel="0" collapsed="false">
      <c r="A96" s="2" t="s">
        <v>347</v>
      </c>
    </row>
    <row r="97" customFormat="false" ht="15" hidden="false" customHeight="false" outlineLevel="0" collapsed="false">
      <c r="A97" s="3" t="s">
        <v>160</v>
      </c>
      <c r="B97" s="3" t="n">
        <v>2026</v>
      </c>
      <c r="C97" s="3" t="n">
        <v>2027</v>
      </c>
      <c r="D97" s="3" t="n">
        <v>2028</v>
      </c>
      <c r="E97" s="3" t="n">
        <v>2029</v>
      </c>
      <c r="F97" s="3" t="n">
        <v>2030</v>
      </c>
      <c r="G97" s="3" t="n">
        <v>2031</v>
      </c>
      <c r="H97" s="3" t="n">
        <v>2032</v>
      </c>
      <c r="I97" s="3" t="n">
        <v>2033</v>
      </c>
      <c r="J97" s="3" t="n">
        <v>2034</v>
      </c>
      <c r="K97" s="3" t="n">
        <v>2035</v>
      </c>
    </row>
    <row r="98" customFormat="false" ht="15" hidden="false" customHeight="false" outlineLevel="0" collapsed="false">
      <c r="A98" s="9" t="str">
        <f aca="false">datos_base!A2</f>
        <v>ABC 1 kg</v>
      </c>
      <c r="B98" s="6" t="n">
        <v>0</v>
      </c>
      <c r="C98" s="6" t="n">
        <f aca="false">B51</f>
        <v>0</v>
      </c>
      <c r="D98" s="6" t="n">
        <f aca="false">C51</f>
        <v>0</v>
      </c>
      <c r="E98" s="6" t="n">
        <f aca="false">D51</f>
        <v>0</v>
      </c>
      <c r="F98" s="6" t="n">
        <f aca="false">E51</f>
        <v>0</v>
      </c>
      <c r="G98" s="6" t="n">
        <f aca="false">F51</f>
        <v>0</v>
      </c>
      <c r="H98" s="6" t="n">
        <f aca="false">G51</f>
        <v>0</v>
      </c>
      <c r="I98" s="6" t="n">
        <f aca="false">H51</f>
        <v>0</v>
      </c>
      <c r="J98" s="6" t="n">
        <f aca="false">I51</f>
        <v>0</v>
      </c>
      <c r="K98" s="6" t="n">
        <f aca="false">J51</f>
        <v>0</v>
      </c>
    </row>
    <row r="99" customFormat="false" ht="15" hidden="false" customHeight="false" outlineLevel="0" collapsed="false">
      <c r="A99" s="9" t="str">
        <f aca="false">datos_base!A3</f>
        <v>ABC 2,5 kg</v>
      </c>
      <c r="B99" s="6" t="n">
        <v>0</v>
      </c>
      <c r="C99" s="6" t="n">
        <f aca="false">B52</f>
        <v>3</v>
      </c>
      <c r="D99" s="6" t="n">
        <f aca="false">C52</f>
        <v>10</v>
      </c>
      <c r="E99" s="6" t="n">
        <f aca="false">D52</f>
        <v>21</v>
      </c>
      <c r="F99" s="6" t="n">
        <f aca="false">E52</f>
        <v>39</v>
      </c>
      <c r="G99" s="6" t="n">
        <f aca="false">F52</f>
        <v>56</v>
      </c>
      <c r="H99" s="6" t="n">
        <f aca="false">G52</f>
        <v>74</v>
      </c>
      <c r="I99" s="6" t="n">
        <f aca="false">H52</f>
        <v>89</v>
      </c>
      <c r="J99" s="6" t="n">
        <f aca="false">I52</f>
        <v>99</v>
      </c>
      <c r="K99" s="6" t="n">
        <f aca="false">J52</f>
        <v>107</v>
      </c>
    </row>
    <row r="100" customFormat="false" ht="15" hidden="false" customHeight="false" outlineLevel="0" collapsed="false">
      <c r="A100" s="9" t="str">
        <f aca="false">datos_base!A4</f>
        <v>ABC 5 kg</v>
      </c>
      <c r="B100" s="6" t="n">
        <v>0</v>
      </c>
      <c r="C100" s="6" t="n">
        <f aca="false">B53</f>
        <v>15</v>
      </c>
      <c r="D100" s="6" t="n">
        <f aca="false">C53</f>
        <v>60</v>
      </c>
      <c r="E100" s="6" t="n">
        <f aca="false">D53</f>
        <v>135</v>
      </c>
      <c r="F100" s="6" t="n">
        <f aca="false">E53</f>
        <v>254</v>
      </c>
      <c r="G100" s="6" t="n">
        <f aca="false">F53</f>
        <v>366</v>
      </c>
      <c r="H100" s="6" t="n">
        <f aca="false">G53</f>
        <v>486</v>
      </c>
      <c r="I100" s="6" t="n">
        <f aca="false">H53</f>
        <v>566</v>
      </c>
      <c r="J100" s="6" t="n">
        <f aca="false">I53</f>
        <v>627</v>
      </c>
      <c r="K100" s="6" t="n">
        <f aca="false">J53</f>
        <v>677</v>
      </c>
    </row>
    <row r="101" customFormat="false" ht="15" hidden="false" customHeight="false" outlineLevel="0" collapsed="false">
      <c r="A101" s="9" t="str">
        <f aca="false">datos_base!A5</f>
        <v>ABC 10 kg</v>
      </c>
      <c r="B101" s="6" t="n">
        <v>0</v>
      </c>
      <c r="C101" s="6" t="n">
        <f aca="false">B54</f>
        <v>1</v>
      </c>
      <c r="D101" s="6" t="n">
        <f aca="false">C54</f>
        <v>4</v>
      </c>
      <c r="E101" s="6" t="n">
        <f aca="false">D54</f>
        <v>8</v>
      </c>
      <c r="F101" s="6" t="n">
        <f aca="false">E54</f>
        <v>15</v>
      </c>
      <c r="G101" s="6" t="n">
        <f aca="false">F54</f>
        <v>21</v>
      </c>
      <c r="H101" s="6" t="n">
        <f aca="false">G54</f>
        <v>28</v>
      </c>
      <c r="I101" s="6" t="n">
        <f aca="false">H54</f>
        <v>33</v>
      </c>
      <c r="J101" s="6" t="n">
        <f aca="false">I54</f>
        <v>36</v>
      </c>
      <c r="K101" s="6" t="n">
        <f aca="false">J54</f>
        <v>39</v>
      </c>
    </row>
    <row r="102" customFormat="false" ht="15" hidden="false" customHeight="false" outlineLevel="0" collapsed="false">
      <c r="A102" s="9" t="str">
        <f aca="false">datos_base!A6</f>
        <v>Agua 10 l</v>
      </c>
      <c r="B102" s="6" t="n">
        <v>0</v>
      </c>
      <c r="C102" s="6" t="n">
        <f aca="false">B55</f>
        <v>2</v>
      </c>
      <c r="D102" s="6" t="n">
        <f aca="false">C55</f>
        <v>6</v>
      </c>
      <c r="E102" s="6" t="n">
        <f aca="false">D55</f>
        <v>12</v>
      </c>
      <c r="F102" s="6" t="n">
        <f aca="false">E55</f>
        <v>22</v>
      </c>
      <c r="G102" s="6" t="n">
        <f aca="false">F55</f>
        <v>32</v>
      </c>
      <c r="H102" s="6" t="n">
        <f aca="false">G55</f>
        <v>42</v>
      </c>
      <c r="I102" s="6" t="n">
        <f aca="false">H55</f>
        <v>48</v>
      </c>
      <c r="J102" s="6" t="n">
        <f aca="false">I55</f>
        <v>53</v>
      </c>
      <c r="K102" s="6" t="n">
        <f aca="false">J55</f>
        <v>58</v>
      </c>
    </row>
    <row r="103" customFormat="false" ht="15" hidden="false" customHeight="false" outlineLevel="0" collapsed="false">
      <c r="A103" s="9" t="str">
        <f aca="false">datos_base!A7</f>
        <v>AFFF 10 l</v>
      </c>
      <c r="B103" s="6" t="n">
        <v>0</v>
      </c>
      <c r="C103" s="6" t="n">
        <f aca="false">B56</f>
        <v>1</v>
      </c>
      <c r="D103" s="6" t="n">
        <f aca="false">C56</f>
        <v>2</v>
      </c>
      <c r="E103" s="6" t="n">
        <f aca="false">D56</f>
        <v>4</v>
      </c>
      <c r="F103" s="6" t="n">
        <f aca="false">E56</f>
        <v>7</v>
      </c>
      <c r="G103" s="6" t="n">
        <f aca="false">F56</f>
        <v>9</v>
      </c>
      <c r="H103" s="6" t="n">
        <f aca="false">G56</f>
        <v>12</v>
      </c>
      <c r="I103" s="6" t="n">
        <f aca="false">H56</f>
        <v>12</v>
      </c>
      <c r="J103" s="6" t="n">
        <f aca="false">I56</f>
        <v>13</v>
      </c>
      <c r="K103" s="6" t="n">
        <f aca="false">J56</f>
        <v>14</v>
      </c>
    </row>
    <row r="104" customFormat="false" ht="15" hidden="false" customHeight="false" outlineLevel="0" collapsed="false">
      <c r="A104" s="9" t="str">
        <f aca="false">datos_base!A8</f>
        <v>AFFF 50 l s/ruedas</v>
      </c>
      <c r="B104" s="6" t="n">
        <v>0</v>
      </c>
      <c r="C104" s="6" t="n">
        <f aca="false">B57</f>
        <v>1</v>
      </c>
      <c r="D104" s="6" t="n">
        <f aca="false">C57</f>
        <v>1</v>
      </c>
      <c r="E104" s="6" t="n">
        <f aca="false">D57</f>
        <v>2</v>
      </c>
      <c r="F104" s="6" t="n">
        <f aca="false">E57</f>
        <v>4</v>
      </c>
      <c r="G104" s="6" t="n">
        <f aca="false">F57</f>
        <v>5</v>
      </c>
      <c r="H104" s="6" t="n">
        <f aca="false">G57</f>
        <v>6</v>
      </c>
      <c r="I104" s="6" t="n">
        <f aca="false">H57</f>
        <v>6</v>
      </c>
      <c r="J104" s="6" t="n">
        <f aca="false">I57</f>
        <v>7</v>
      </c>
      <c r="K104" s="6" t="n">
        <f aca="false">J57</f>
        <v>8</v>
      </c>
    </row>
    <row r="105" customFormat="false" ht="15" hidden="false" customHeight="false" outlineLevel="0" collapsed="false">
      <c r="A105" s="9" t="str">
        <f aca="false">datos_base!A9</f>
        <v>BC 5 kg</v>
      </c>
      <c r="B105" s="6" t="n">
        <v>0</v>
      </c>
      <c r="C105" s="6" t="n">
        <f aca="false">B58</f>
        <v>1</v>
      </c>
      <c r="D105" s="6" t="n">
        <f aca="false">C58</f>
        <v>1</v>
      </c>
      <c r="E105" s="6" t="n">
        <f aca="false">D58</f>
        <v>2</v>
      </c>
      <c r="F105" s="6" t="n">
        <f aca="false">E58</f>
        <v>2</v>
      </c>
      <c r="G105" s="6" t="n">
        <f aca="false">F58</f>
        <v>3</v>
      </c>
      <c r="H105" s="6" t="n">
        <f aca="false">G58</f>
        <v>4</v>
      </c>
      <c r="I105" s="6" t="n">
        <f aca="false">H58</f>
        <v>4</v>
      </c>
      <c r="J105" s="6" t="n">
        <f aca="false">I58</f>
        <v>4</v>
      </c>
      <c r="K105" s="6" t="n">
        <f aca="false">J58</f>
        <v>5</v>
      </c>
    </row>
    <row r="106" customFormat="false" ht="15" hidden="false" customHeight="false" outlineLevel="0" collapsed="false">
      <c r="A106" s="9" t="str">
        <f aca="false">datos_base!A10</f>
        <v>Sales K 6 l</v>
      </c>
      <c r="B106" s="6" t="n">
        <v>0</v>
      </c>
      <c r="C106" s="6" t="n">
        <f aca="false">B59</f>
        <v>1</v>
      </c>
      <c r="D106" s="6" t="n">
        <f aca="false">C59</f>
        <v>3</v>
      </c>
      <c r="E106" s="6" t="n">
        <f aca="false">D59</f>
        <v>7</v>
      </c>
      <c r="F106" s="6" t="n">
        <f aca="false">E59</f>
        <v>11</v>
      </c>
      <c r="G106" s="6" t="n">
        <f aca="false">F59</f>
        <v>16</v>
      </c>
      <c r="H106" s="6" t="n">
        <f aca="false">G59</f>
        <v>21</v>
      </c>
      <c r="I106" s="6" t="n">
        <f aca="false">H59</f>
        <v>24</v>
      </c>
      <c r="J106" s="6" t="n">
        <f aca="false">I59</f>
        <v>27</v>
      </c>
      <c r="K106" s="6" t="n">
        <f aca="false">J59</f>
        <v>29</v>
      </c>
    </row>
    <row r="107" customFormat="false" ht="15" hidden="false" customHeight="false" outlineLevel="0" collapsed="false">
      <c r="A107" s="9" t="str">
        <f aca="false">datos_base!A11</f>
        <v>CO₂ 2 kg</v>
      </c>
      <c r="B107" s="6" t="n">
        <v>0</v>
      </c>
      <c r="C107" s="6" t="n">
        <f aca="false">B60</f>
        <v>4</v>
      </c>
      <c r="D107" s="6" t="n">
        <f aca="false">C60</f>
        <v>13</v>
      </c>
      <c r="E107" s="6" t="n">
        <f aca="false">D60</f>
        <v>29</v>
      </c>
      <c r="F107" s="6" t="n">
        <f aca="false">E60</f>
        <v>55</v>
      </c>
      <c r="G107" s="6" t="n">
        <f aca="false">F60</f>
        <v>79</v>
      </c>
      <c r="H107" s="6" t="n">
        <f aca="false">G60</f>
        <v>105</v>
      </c>
      <c r="I107" s="6" t="n">
        <f aca="false">H60</f>
        <v>125</v>
      </c>
      <c r="J107" s="6" t="n">
        <f aca="false">I60</f>
        <v>138</v>
      </c>
      <c r="K107" s="6" t="n">
        <f aca="false">J60</f>
        <v>149</v>
      </c>
    </row>
    <row r="108" customFormat="false" ht="15" hidden="false" customHeight="false" outlineLevel="0" collapsed="false">
      <c r="A108" s="9" t="str">
        <f aca="false">datos_base!A12</f>
        <v>CO₂ 5 kg</v>
      </c>
      <c r="B108" s="6" t="n">
        <v>0</v>
      </c>
      <c r="C108" s="6" t="n">
        <f aca="false">B61</f>
        <v>2</v>
      </c>
      <c r="D108" s="6" t="n">
        <f aca="false">C61</f>
        <v>6</v>
      </c>
      <c r="E108" s="6" t="n">
        <f aca="false">D61</f>
        <v>13</v>
      </c>
      <c r="F108" s="6" t="n">
        <f aca="false">E61</f>
        <v>23</v>
      </c>
      <c r="G108" s="6" t="n">
        <f aca="false">F61</f>
        <v>33</v>
      </c>
      <c r="H108" s="6" t="n">
        <f aca="false">G61</f>
        <v>44</v>
      </c>
      <c r="I108" s="6" t="n">
        <f aca="false">H61</f>
        <v>47</v>
      </c>
      <c r="J108" s="6" t="n">
        <f aca="false">I61</f>
        <v>53</v>
      </c>
      <c r="K108" s="6" t="n">
        <f aca="false">J61</f>
        <v>57</v>
      </c>
    </row>
    <row r="109" customFormat="false" ht="15" hidden="false" customHeight="false" outlineLevel="0" collapsed="false">
      <c r="A109" s="9" t="str">
        <f aca="false">datos_base!A13</f>
        <v>HCFC/HFC 5 kg</v>
      </c>
      <c r="B109" s="6" t="n">
        <v>0</v>
      </c>
      <c r="C109" s="6" t="n">
        <f aca="false">B62</f>
        <v>1</v>
      </c>
      <c r="D109" s="6" t="n">
        <f aca="false">C62</f>
        <v>2</v>
      </c>
      <c r="E109" s="6" t="n">
        <f aca="false">D62</f>
        <v>3</v>
      </c>
      <c r="F109" s="6" t="n">
        <f aca="false">E62</f>
        <v>5</v>
      </c>
      <c r="G109" s="6" t="n">
        <f aca="false">F62</f>
        <v>7</v>
      </c>
      <c r="H109" s="6" t="n">
        <f aca="false">G62</f>
        <v>9</v>
      </c>
      <c r="I109" s="6" t="n">
        <f aca="false">H62</f>
        <v>9</v>
      </c>
      <c r="J109" s="6" t="n">
        <f aca="false">I62</f>
        <v>10</v>
      </c>
      <c r="K109" s="6" t="n">
        <f aca="false">J62</f>
        <v>11</v>
      </c>
    </row>
    <row r="110" customFormat="false" ht="15" hidden="false" customHeight="false" outlineLevel="0" collapsed="false">
      <c r="A110" s="9" t="str">
        <f aca="false">datos_base!A14</f>
        <v>Clase D 9 l</v>
      </c>
      <c r="B110" s="6" t="n">
        <v>0</v>
      </c>
      <c r="C110" s="6" t="n">
        <f aca="false">B63</f>
        <v>1</v>
      </c>
      <c r="D110" s="6" t="n">
        <f aca="false">C63</f>
        <v>1</v>
      </c>
      <c r="E110" s="6" t="n">
        <f aca="false">D63</f>
        <v>2</v>
      </c>
      <c r="F110" s="6" t="n">
        <f aca="false">E63</f>
        <v>2</v>
      </c>
      <c r="G110" s="6" t="n">
        <f aca="false">F63</f>
        <v>3</v>
      </c>
      <c r="H110" s="6" t="n">
        <f aca="false">G63</f>
        <v>3</v>
      </c>
      <c r="I110" s="6" t="n">
        <f aca="false">H63</f>
        <v>4</v>
      </c>
      <c r="J110" s="6" t="n">
        <f aca="false">I63</f>
        <v>4</v>
      </c>
      <c r="K110" s="6" t="n">
        <f aca="false">J63</f>
        <v>4</v>
      </c>
    </row>
    <row r="111" customFormat="false" ht="15" hidden="false" customHeight="false" outlineLevel="0" collapsed="false">
      <c r="A111" s="9" t="str">
        <f aca="false">datos_base!A15</f>
        <v>ABC 25 kg s/ruedas</v>
      </c>
      <c r="B111" s="6" t="n">
        <v>0</v>
      </c>
      <c r="C111" s="6" t="n">
        <f aca="false">B64</f>
        <v>1</v>
      </c>
      <c r="D111" s="6" t="n">
        <f aca="false">C64</f>
        <v>1</v>
      </c>
      <c r="E111" s="6" t="n">
        <f aca="false">D64</f>
        <v>2</v>
      </c>
      <c r="F111" s="6" t="n">
        <f aca="false">E64</f>
        <v>4</v>
      </c>
      <c r="G111" s="6" t="n">
        <f aca="false">F64</f>
        <v>5</v>
      </c>
      <c r="H111" s="6" t="n">
        <f aca="false">G64</f>
        <v>6</v>
      </c>
      <c r="I111" s="6" t="n">
        <f aca="false">H64</f>
        <v>7</v>
      </c>
      <c r="J111" s="6" t="n">
        <f aca="false">I64</f>
        <v>7</v>
      </c>
      <c r="K111" s="6" t="n">
        <f aca="false">J64</f>
        <v>8</v>
      </c>
    </row>
    <row r="112" customFormat="false" ht="15" hidden="false" customHeight="false" outlineLevel="0" collapsed="false">
      <c r="A112" s="9" t="str">
        <f aca="false">datos_base!A16</f>
        <v>ABC 50 kg s/ruedas</v>
      </c>
      <c r="B112" s="6" t="n">
        <v>0</v>
      </c>
      <c r="C112" s="6" t="n">
        <f aca="false">B65</f>
        <v>1</v>
      </c>
      <c r="D112" s="6" t="n">
        <f aca="false">C65</f>
        <v>2</v>
      </c>
      <c r="E112" s="6" t="n">
        <f aca="false">D65</f>
        <v>4</v>
      </c>
      <c r="F112" s="6" t="n">
        <f aca="false">E65</f>
        <v>7</v>
      </c>
      <c r="G112" s="6" t="n">
        <f aca="false">F65</f>
        <v>10</v>
      </c>
      <c r="H112" s="6" t="n">
        <f aca="false">G65</f>
        <v>13</v>
      </c>
      <c r="I112" s="6" t="n">
        <f aca="false">H65</f>
        <v>14</v>
      </c>
      <c r="J112" s="6" t="n">
        <f aca="false">I65</f>
        <v>16</v>
      </c>
      <c r="K112" s="6" t="n">
        <f aca="false">J65</f>
        <v>17</v>
      </c>
    </row>
    <row r="113" customFormat="false" ht="15" hidden="false" customHeight="false" outlineLevel="0" collapsed="false">
      <c r="A113" s="9" t="str">
        <f aca="false">datos_base!A17</f>
        <v>ABC 70 kg s/ruedas</v>
      </c>
      <c r="B113" s="6" t="n">
        <v>0</v>
      </c>
      <c r="C113" s="6" t="n">
        <f aca="false">B66</f>
        <v>1</v>
      </c>
      <c r="D113" s="6" t="n">
        <f aca="false">C66</f>
        <v>1</v>
      </c>
      <c r="E113" s="6" t="n">
        <f aca="false">D66</f>
        <v>1</v>
      </c>
      <c r="F113" s="6" t="n">
        <f aca="false">E66</f>
        <v>2</v>
      </c>
      <c r="G113" s="6" t="n">
        <f aca="false">F66</f>
        <v>3</v>
      </c>
      <c r="H113" s="6" t="n">
        <f aca="false">G66</f>
        <v>3</v>
      </c>
      <c r="I113" s="6" t="n">
        <f aca="false">H66</f>
        <v>3</v>
      </c>
      <c r="J113" s="6" t="n">
        <f aca="false">I66</f>
        <v>4</v>
      </c>
      <c r="K113" s="6" t="n">
        <f aca="false">J66</f>
        <v>4</v>
      </c>
    </row>
    <row r="114" customFormat="false" ht="15" hidden="false" customHeight="false" outlineLevel="0" collapsed="false">
      <c r="A114" s="9" t="str">
        <f aca="false">datos_base!A18</f>
        <v>ABC 100 kg s/ruedas</v>
      </c>
      <c r="B114" s="6" t="n">
        <v>0</v>
      </c>
      <c r="C114" s="6" t="n">
        <f aca="false">B67</f>
        <v>1</v>
      </c>
      <c r="D114" s="6" t="n">
        <f aca="false">C67</f>
        <v>1</v>
      </c>
      <c r="E114" s="6" t="n">
        <f aca="false">D67</f>
        <v>1</v>
      </c>
      <c r="F114" s="6" t="n">
        <f aca="false">E67</f>
        <v>1</v>
      </c>
      <c r="G114" s="6" t="n">
        <f aca="false">F67</f>
        <v>2</v>
      </c>
      <c r="H114" s="6" t="n">
        <f aca="false">G67</f>
        <v>2</v>
      </c>
      <c r="I114" s="6" t="n">
        <f aca="false">H67</f>
        <v>2</v>
      </c>
      <c r="J114" s="6" t="n">
        <f aca="false">I67</f>
        <v>3</v>
      </c>
      <c r="K114" s="6" t="n">
        <f aca="false">J67</f>
        <v>3</v>
      </c>
    </row>
    <row r="115" customFormat="false" ht="15" hidden="false" customHeight="false" outlineLevel="0" collapsed="false">
      <c r="A115" s="4" t="s">
        <v>83</v>
      </c>
      <c r="B115" s="7" t="n">
        <f aca="false">SUM(B98:B114)</f>
        <v>0</v>
      </c>
      <c r="C115" s="7" t="n">
        <f aca="false">SUM(C98:C114)</f>
        <v>37</v>
      </c>
      <c r="D115" s="7" t="n">
        <f aca="false">SUM(D98:D114)</f>
        <v>114</v>
      </c>
      <c r="E115" s="7" t="n">
        <f aca="false">SUM(E98:E114)</f>
        <v>246</v>
      </c>
      <c r="F115" s="7" t="n">
        <f aca="false">SUM(F98:F114)</f>
        <v>453</v>
      </c>
      <c r="G115" s="7" t="n">
        <f aca="false">SUM(G98:G114)</f>
        <v>650</v>
      </c>
      <c r="H115" s="7" t="n">
        <f aca="false">SUM(H98:H114)</f>
        <v>858</v>
      </c>
      <c r="I115" s="7" t="n">
        <f aca="false">SUM(I98:I114)</f>
        <v>993</v>
      </c>
      <c r="J115" s="7" t="n">
        <f aca="false">SUM(J98:J114)</f>
        <v>1101</v>
      </c>
      <c r="K115" s="7" t="n">
        <f aca="false">SUM(K98:K114)</f>
        <v>1190</v>
      </c>
    </row>
    <row r="117" customFormat="false" ht="15" hidden="false" customHeight="false" outlineLevel="0" collapsed="false">
      <c r="A117" s="1" t="s">
        <v>348</v>
      </c>
    </row>
    <row r="118" customFormat="false" ht="15" hidden="false" customHeight="false" outlineLevel="0" collapsed="false">
      <c r="A118" s="2" t="s">
        <v>349</v>
      </c>
    </row>
    <row r="119" customFormat="false" ht="15" hidden="false" customHeight="false" outlineLevel="0" collapsed="false">
      <c r="A119" s="3" t="s">
        <v>350</v>
      </c>
      <c r="B119" s="3" t="n">
        <v>2026</v>
      </c>
      <c r="C119" s="3" t="n">
        <v>2027</v>
      </c>
      <c r="D119" s="3" t="n">
        <v>2028</v>
      </c>
      <c r="E119" s="3" t="n">
        <v>2029</v>
      </c>
      <c r="F119" s="3" t="n">
        <v>2030</v>
      </c>
      <c r="G119" s="3" t="n">
        <v>2031</v>
      </c>
      <c r="H119" s="3" t="n">
        <v>2032</v>
      </c>
      <c r="I119" s="3" t="n">
        <v>2033</v>
      </c>
      <c r="J119" s="3" t="n">
        <v>2034</v>
      </c>
      <c r="K119" s="3" t="n">
        <v>2035</v>
      </c>
      <c r="L119" s="3" t="s">
        <v>351</v>
      </c>
    </row>
    <row r="120" customFormat="false" ht="15" hidden="false" customHeight="false" outlineLevel="0" collapsed="false">
      <c r="A120" s="9" t="str">
        <f aca="false">A30</f>
        <v>ABC 1 kg</v>
      </c>
      <c r="B120" s="21" t="n">
        <f aca="false">IF(LEFT($F$30,7)="Fábrica",B73,0)</f>
        <v>0</v>
      </c>
      <c r="C120" s="21" t="n">
        <f aca="false">IF(LEFT($F$30,7)="Fábrica",C73,0)</f>
        <v>0</v>
      </c>
      <c r="D120" s="21" t="n">
        <f aca="false">IF(LEFT($F$30,7)="Fábrica",D73,0)</f>
        <v>0</v>
      </c>
      <c r="E120" s="21" t="n">
        <f aca="false">IF(LEFT($F$30,7)="Fábrica",E73,0)</f>
        <v>0</v>
      </c>
      <c r="F120" s="21" t="n">
        <f aca="false">IF(LEFT($F$30,7)="Fábrica",F73,0)</f>
        <v>0</v>
      </c>
      <c r="G120" s="21" t="n">
        <f aca="false">IF(LEFT($F$30,7)="Fábrica",G73,0)</f>
        <v>0</v>
      </c>
      <c r="H120" s="21" t="n">
        <f aca="false">IF(LEFT($F$30,7)="Fábrica",H73,0)</f>
        <v>0</v>
      </c>
      <c r="I120" s="21" t="n">
        <f aca="false">IF(LEFT($F$30,7)="Fábrica",I73,0)</f>
        <v>0</v>
      </c>
      <c r="J120" s="21" t="n">
        <f aca="false">IF(LEFT($F$30,7)="Fábrica",J73,0)</f>
        <v>0</v>
      </c>
      <c r="K120" s="21" t="n">
        <f aca="false">IF(LEFT($F$30,7)="Fábrica",K73,0)</f>
        <v>0</v>
      </c>
      <c r="L120" s="9" t="str">
        <f aca="false">F30</f>
        <v>Fábrica: cilindro vacío</v>
      </c>
    </row>
    <row r="121" customFormat="false" ht="15" hidden="false" customHeight="false" outlineLevel="0" collapsed="false">
      <c r="A121" s="9" t="str">
        <f aca="false">A31</f>
        <v>ABC 2,5 kg</v>
      </c>
      <c r="B121" s="21" t="n">
        <f aca="false">IF(LEFT($F$31,7)="Fábrica",B74,0)</f>
        <v>3</v>
      </c>
      <c r="C121" s="21" t="n">
        <f aca="false">IF(LEFT($F$31,7)="Fábrica",C74,0)</f>
        <v>7.24</v>
      </c>
      <c r="D121" s="21" t="n">
        <f aca="false">IF(LEFT($F$31,7)="Fábrica",D74,0)</f>
        <v>11.8</v>
      </c>
      <c r="E121" s="21" t="n">
        <f aca="false">IF(LEFT($F$31,7)="Fábrica",E74,0)</f>
        <v>19.68</v>
      </c>
      <c r="F121" s="21" t="n">
        <f aca="false">IF(LEFT($F$31,7)="Fábrica",F74,0)</f>
        <v>20.12</v>
      </c>
      <c r="G121" s="21" t="n">
        <f aca="false">IF(LEFT($F$31,7)="Fábrica",G74,0)</f>
        <v>22.48</v>
      </c>
      <c r="H121" s="21" t="n">
        <f aca="false">IF(LEFT($F$31,7)="Fábrica",H74,0)</f>
        <v>20.92</v>
      </c>
      <c r="I121" s="21" t="n">
        <f aca="false">IF(LEFT($F$31,7)="Fábrica",I74,0)</f>
        <v>17.12</v>
      </c>
      <c r="J121" s="21" t="n">
        <f aca="false">IF(LEFT($F$31,7)="Fábrica",J74,0)</f>
        <v>15.92</v>
      </c>
      <c r="K121" s="21" t="n">
        <f aca="false">IF(LEFT($F$31,7)="Fábrica",K74,0)</f>
        <v>17.56</v>
      </c>
      <c r="L121" s="9" t="str">
        <f aca="false">F31</f>
        <v>Fábrica: cilindro vacío</v>
      </c>
    </row>
    <row r="122" customFormat="false" ht="15" hidden="false" customHeight="false" outlineLevel="0" collapsed="false">
      <c r="A122" s="9" t="str">
        <f aca="false">A32</f>
        <v>ABC 5 kg</v>
      </c>
      <c r="B122" s="21" t="n">
        <f aca="false">IF(LEFT($F$32,7)="Fábrica",B75,0)</f>
        <v>15</v>
      </c>
      <c r="C122" s="21" t="n">
        <f aca="false">IF(LEFT($F$32,7)="Fábrica",C75,0)</f>
        <v>46.2</v>
      </c>
      <c r="D122" s="21" t="n">
        <f aca="false">IF(LEFT($F$32,7)="Fábrica",D75,0)</f>
        <v>79.8</v>
      </c>
      <c r="E122" s="21" t="n">
        <f aca="false">IF(LEFT($F$32,7)="Fábrica",E75,0)</f>
        <v>129.8</v>
      </c>
      <c r="F122" s="21" t="n">
        <f aca="false">IF(LEFT($F$32,7)="Fábrica",F75,0)</f>
        <v>132.32</v>
      </c>
      <c r="G122" s="21" t="n">
        <f aca="false">IF(LEFT($F$32,7)="Fábrica",G75,0)</f>
        <v>149.28</v>
      </c>
      <c r="H122" s="21" t="n">
        <f aca="false">IF(LEFT($F$32,7)="Fábrica",H75,0)</f>
        <v>118.88</v>
      </c>
      <c r="I122" s="21" t="n">
        <f aca="false">IF(LEFT($F$32,7)="Fábrica",I75,0)</f>
        <v>106.28</v>
      </c>
      <c r="J122" s="21" t="n">
        <f aca="false">IF(LEFT($F$32,7)="Fábrica",J75,0)</f>
        <v>100.16</v>
      </c>
      <c r="K122" s="21" t="n">
        <f aca="false">IF(LEFT($F$32,7)="Fábrica",K75,0)</f>
        <v>104.16</v>
      </c>
      <c r="L122" s="9" t="str">
        <f aca="false">F32</f>
        <v>Fábrica: cilindro vacío</v>
      </c>
    </row>
    <row r="123" customFormat="false" ht="15" hidden="false" customHeight="false" outlineLevel="0" collapsed="false">
      <c r="A123" s="9" t="str">
        <f aca="false">A33</f>
        <v>ABC 10 kg</v>
      </c>
      <c r="B123" s="21" t="n">
        <f aca="false">IF(LEFT($F$33,7)="Fábrica",B76,0)</f>
        <v>1</v>
      </c>
      <c r="C123" s="21" t="n">
        <f aca="false">IF(LEFT($F$33,7)="Fábrica",C76,0)</f>
        <v>3.08</v>
      </c>
      <c r="D123" s="21" t="n">
        <f aca="false">IF(LEFT($F$33,7)="Fábrica",D76,0)</f>
        <v>4.32</v>
      </c>
      <c r="E123" s="21" t="n">
        <f aca="false">IF(LEFT($F$33,7)="Fábrica",E76,0)</f>
        <v>7.64</v>
      </c>
      <c r="F123" s="21" t="n">
        <f aca="false">IF(LEFT($F$33,7)="Fábrica",F76,0)</f>
        <v>7.2</v>
      </c>
      <c r="G123" s="21" t="n">
        <f aca="false">IF(LEFT($F$33,7)="Fábrica",G76,0)</f>
        <v>8.68</v>
      </c>
      <c r="H123" s="21" t="n">
        <f aca="false">IF(LEFT($F$33,7)="Fábrica",H76,0)</f>
        <v>7.24</v>
      </c>
      <c r="I123" s="21" t="n">
        <f aca="false">IF(LEFT($F$33,7)="Fábrica",I76,0)</f>
        <v>5.64</v>
      </c>
      <c r="J123" s="21" t="n">
        <f aca="false">IF(LEFT($F$33,7)="Fábrica",J76,0)</f>
        <v>5.88</v>
      </c>
      <c r="K123" s="21" t="n">
        <f aca="false">IF(LEFT($F$33,7)="Fábrica",K76,0)</f>
        <v>6.12</v>
      </c>
      <c r="L123" s="9" t="str">
        <f aca="false">F33</f>
        <v>Fábrica: cilindro vacío</v>
      </c>
    </row>
    <row r="124" customFormat="false" ht="15" hidden="false" customHeight="false" outlineLevel="0" collapsed="false">
      <c r="A124" s="9" t="str">
        <f aca="false">A43</f>
        <v>ABC 25 kg s/ruedas</v>
      </c>
      <c r="B124" s="21" t="n">
        <f aca="false">IF(LEFT($F$43,7)="Fábrica",B86,0)</f>
        <v>1</v>
      </c>
      <c r="C124" s="21" t="n">
        <f aca="false">IF(LEFT($F$43,7)="Fábrica",C86,0)</f>
        <v>0.08</v>
      </c>
      <c r="D124" s="21" t="n">
        <f aca="false">IF(LEFT($F$43,7)="Fábrica",D86,0)</f>
        <v>1.08</v>
      </c>
      <c r="E124" s="21" t="n">
        <f aca="false">IF(LEFT($F$43,7)="Fábrica",E86,0)</f>
        <v>2.16</v>
      </c>
      <c r="F124" s="21" t="n">
        <f aca="false">IF(LEFT($F$43,7)="Fábrica",F86,0)</f>
        <v>1.32</v>
      </c>
      <c r="G124" s="21" t="n">
        <f aca="false">IF(LEFT($F$43,7)="Fábrica",G86,0)</f>
        <v>1.4</v>
      </c>
      <c r="H124" s="21" t="n">
        <f aca="false">IF(LEFT($F$43,7)="Fábrica",H86,0)</f>
        <v>1.48</v>
      </c>
      <c r="I124" s="21" t="n">
        <f aca="false">IF(LEFT($F$43,7)="Fábrica",I86,0)</f>
        <v>0.56</v>
      </c>
      <c r="J124" s="21" t="n">
        <f aca="false">IF(LEFT($F$43,7)="Fábrica",J86,0)</f>
        <v>1.56</v>
      </c>
      <c r="K124" s="21" t="n">
        <f aca="false">IF(LEFT($F$43,7)="Fábrica",K86,0)</f>
        <v>1.64</v>
      </c>
      <c r="L124" s="9" t="str">
        <f aca="false">F43</f>
        <v>Fábrica: cilindro vacío</v>
      </c>
    </row>
    <row r="125" customFormat="false" ht="15" hidden="false" customHeight="false" outlineLevel="0" collapsed="false">
      <c r="A125" s="9" t="str">
        <f aca="false">A44</f>
        <v>ABC 50 kg s/ruedas</v>
      </c>
      <c r="B125" s="21" t="n">
        <f aca="false">IF(LEFT($F$44,7)="Fábrica",B87,0)</f>
        <v>1</v>
      </c>
      <c r="C125" s="21" t="n">
        <f aca="false">IF(LEFT($F$44,7)="Fábrica",C87,0)</f>
        <v>1.08</v>
      </c>
      <c r="D125" s="21" t="n">
        <f aca="false">IF(LEFT($F$44,7)="Fábrica",D87,0)</f>
        <v>2.16</v>
      </c>
      <c r="E125" s="21" t="n">
        <f aca="false">IF(LEFT($F$44,7)="Fábrica",E87,0)</f>
        <v>3.32</v>
      </c>
      <c r="F125" s="21" t="n">
        <f aca="false">IF(LEFT($F$44,7)="Fábrica",F87,0)</f>
        <v>3.56</v>
      </c>
      <c r="G125" s="21" t="n">
        <f aca="false">IF(LEFT($F$44,7)="Fábrica",G87,0)</f>
        <v>3.8</v>
      </c>
      <c r="H125" s="21" t="n">
        <f aca="false">IF(LEFT($F$44,7)="Fábrica",H87,0)</f>
        <v>2.04</v>
      </c>
      <c r="I125" s="21" t="n">
        <f aca="false">IF(LEFT($F$44,7)="Fábrica",I87,0)</f>
        <v>3.12</v>
      </c>
      <c r="J125" s="21" t="n">
        <f aca="false">IF(LEFT($F$44,7)="Fábrica",J87,0)</f>
        <v>2.28</v>
      </c>
      <c r="K125" s="21" t="n">
        <f aca="false">IF(LEFT($F$44,7)="Fábrica",K87,0)</f>
        <v>2.36</v>
      </c>
      <c r="L125" s="9" t="str">
        <f aca="false">F44</f>
        <v>Fábrica: cilindro vacío</v>
      </c>
    </row>
    <row r="126" customFormat="false" ht="15" hidden="false" customHeight="false" outlineLevel="0" collapsed="false">
      <c r="A126" s="9" t="str">
        <f aca="false">A45</f>
        <v>ABC 70 kg s/ruedas</v>
      </c>
      <c r="B126" s="21" t="n">
        <f aca="false">IF(LEFT($F$45,7)="Fábrica",B88,0)</f>
        <v>1</v>
      </c>
      <c r="C126" s="21" t="n">
        <f aca="false">IF(LEFT($F$45,7)="Fábrica",C88,0)</f>
        <v>0.08</v>
      </c>
      <c r="D126" s="21" t="n">
        <f aca="false">IF(LEFT($F$45,7)="Fábrica",D88,0)</f>
        <v>0.08</v>
      </c>
      <c r="E126" s="21" t="n">
        <f aca="false">IF(LEFT($F$45,7)="Fábrica",E88,0)</f>
        <v>1.08</v>
      </c>
      <c r="F126" s="21" t="n">
        <f aca="false">IF(LEFT($F$45,7)="Fábrica",F88,0)</f>
        <v>1.16</v>
      </c>
      <c r="G126" s="21" t="n">
        <f aca="false">IF(LEFT($F$45,7)="Fábrica",G88,0)</f>
        <v>0.24</v>
      </c>
      <c r="H126" s="21" t="n">
        <f aca="false">IF(LEFT($F$45,7)="Fábrica",H88,0)</f>
        <v>0.24</v>
      </c>
      <c r="I126" s="21" t="n">
        <f aca="false">IF(LEFT($F$45,7)="Fábrica",I88,0)</f>
        <v>1.24</v>
      </c>
      <c r="J126" s="21" t="n">
        <f aca="false">IF(LEFT($F$45,7)="Fábrica",J88,0)</f>
        <v>0.32</v>
      </c>
      <c r="K126" s="21" t="n">
        <f aca="false">IF(LEFT($F$45,7)="Fábrica",K88,0)</f>
        <v>0.32</v>
      </c>
      <c r="L126" s="9" t="str">
        <f aca="false">F45</f>
        <v>Fábrica: cilindro vacío</v>
      </c>
    </row>
    <row r="127" customFormat="false" ht="15" hidden="false" customHeight="false" outlineLevel="0" collapsed="false">
      <c r="A127" s="9" t="str">
        <f aca="false">A46</f>
        <v>ABC 100 kg s/ruedas</v>
      </c>
      <c r="B127" s="21" t="n">
        <f aca="false">IF(LEFT($F$46,7)="Fábrica",B89,0)</f>
        <v>1</v>
      </c>
      <c r="C127" s="21" t="n">
        <f aca="false">IF(LEFT($F$46,7)="Fábrica",C89,0)</f>
        <v>0.08</v>
      </c>
      <c r="D127" s="21" t="n">
        <f aca="false">IF(LEFT($F$46,7)="Fábrica",D89,0)</f>
        <v>0.08</v>
      </c>
      <c r="E127" s="21" t="n">
        <f aca="false">IF(LEFT($F$46,7)="Fábrica",E89,0)</f>
        <v>0.08</v>
      </c>
      <c r="F127" s="21" t="n">
        <f aca="false">IF(LEFT($F$46,7)="Fábrica",F89,0)</f>
        <v>1.08</v>
      </c>
      <c r="G127" s="21" t="n">
        <f aca="false">IF(LEFT($F$46,7)="Fábrica",G89,0)</f>
        <v>0.16</v>
      </c>
      <c r="H127" s="21" t="n">
        <f aca="false">IF(LEFT($F$46,7)="Fábrica",H89,0)</f>
        <v>0.16</v>
      </c>
      <c r="I127" s="21" t="n">
        <f aca="false">IF(LEFT($F$46,7)="Fábrica",I89,0)</f>
        <v>1.16</v>
      </c>
      <c r="J127" s="21" t="n">
        <f aca="false">IF(LEFT($F$46,7)="Fábrica",J89,0)</f>
        <v>0.24</v>
      </c>
      <c r="K127" s="21" t="n">
        <f aca="false">IF(LEFT($F$46,7)="Fábrica",K89,0)</f>
        <v>0.24</v>
      </c>
      <c r="L127" s="9" t="str">
        <f aca="false">F46</f>
        <v>Fábrica: cilindro vacío</v>
      </c>
    </row>
    <row r="128" customFormat="false" ht="15" hidden="false" customHeight="false" outlineLevel="0" collapsed="false">
      <c r="A128" s="4" t="s">
        <v>83</v>
      </c>
      <c r="B128" s="22" t="n">
        <f aca="false">SUM(B120:B127)</f>
        <v>23</v>
      </c>
      <c r="C128" s="22" t="n">
        <f aca="false">SUM(C120:C127)</f>
        <v>57.84</v>
      </c>
      <c r="D128" s="22" t="n">
        <f aca="false">SUM(D120:D127)</f>
        <v>99.32</v>
      </c>
      <c r="E128" s="22" t="n">
        <f aca="false">SUM(E120:E127)</f>
        <v>163.76</v>
      </c>
      <c r="F128" s="22" t="n">
        <f aca="false">SUM(F120:F127)</f>
        <v>166.76</v>
      </c>
      <c r="G128" s="22" t="n">
        <f aca="false">SUM(G120:G127)</f>
        <v>186.04</v>
      </c>
      <c r="H128" s="22" t="n">
        <f aca="false">SUM(H120:H127)</f>
        <v>150.96</v>
      </c>
      <c r="I128" s="22" t="n">
        <f aca="false">SUM(I120:I127)</f>
        <v>135.12</v>
      </c>
      <c r="J128" s="22" t="n">
        <f aca="false">SUM(J120:J127)</f>
        <v>126.36</v>
      </c>
      <c r="K128" s="22" t="n">
        <f aca="false">SUM(K120:K127)</f>
        <v>132.4</v>
      </c>
    </row>
    <row r="129" customFormat="false" ht="15" hidden="false" customHeight="false" outlineLevel="0" collapsed="false">
      <c r="A129" s="2" t="s">
        <v>352</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 collapsed="false" customWidth="true" hidden="false" outlineLevel="0" max="17" min="17" style="0" width="14"/>
  </cols>
  <sheetData>
    <row r="1" customFormat="false" ht="23.85" hidden="false" customHeight="false" outlineLevel="0" collapsed="false">
      <c r="A1" s="23" t="n">
        <v>2026</v>
      </c>
      <c r="B1" s="3" t="s">
        <v>353</v>
      </c>
      <c r="C1" s="3" t="s">
        <v>354</v>
      </c>
      <c r="D1" s="3" t="s">
        <v>147</v>
      </c>
      <c r="E1" s="3" t="s">
        <v>148</v>
      </c>
      <c r="F1" s="3" t="s">
        <v>149</v>
      </c>
      <c r="G1" s="3" t="s">
        <v>150</v>
      </c>
      <c r="H1" s="3" t="s">
        <v>151</v>
      </c>
      <c r="I1" s="3" t="s">
        <v>152</v>
      </c>
      <c r="J1" s="3" t="s">
        <v>153</v>
      </c>
      <c r="K1" s="3" t="s">
        <v>154</v>
      </c>
      <c r="L1" s="3" t="s">
        <v>155</v>
      </c>
      <c r="M1" s="3" t="s">
        <v>156</v>
      </c>
      <c r="N1" s="3" t="s">
        <v>157</v>
      </c>
      <c r="O1" s="3" t="s">
        <v>158</v>
      </c>
      <c r="P1" s="3" t="s">
        <v>83</v>
      </c>
      <c r="Q1" s="3" t="s">
        <v>355</v>
      </c>
    </row>
    <row r="2" customFormat="false" ht="15" hidden="false" customHeight="false" outlineLevel="0" collapsed="false">
      <c r="A2" s="9" t="str">
        <f aca="false">parametros_recargas!A51</f>
        <v>ABC 1 kg</v>
      </c>
      <c r="B2" s="9" t="str">
        <f aca="false">parametros_recargas!B51</f>
        <v>ABC</v>
      </c>
      <c r="C2" s="11" t="n">
        <f aca="false">parametros_recargas!C51</f>
        <v>1</v>
      </c>
      <c r="D2" s="21" t="n">
        <f aca="false">datos_base!$B$2*parametros_recargas!$B$37+sobrestock_sustitutos!$B$98/12</f>
        <v>160.694373285825</v>
      </c>
      <c r="E2" s="21" t="n">
        <f aca="false">datos_base!$B$2*parametros_recargas!$C$37+sobrestock_sustitutos!$B$98/12</f>
        <v>160.694373285825</v>
      </c>
      <c r="F2" s="21" t="n">
        <f aca="false">datos_base!$B$2*parametros_recargas!$D$37+sobrestock_sustitutos!$B$98/12</f>
        <v>160.694373285825</v>
      </c>
      <c r="G2" s="21" t="n">
        <f aca="false">datos_base!$B$2*parametros_recargas!$E$37+sobrestock_sustitutos!$B$98/12</f>
        <v>160.694373285825</v>
      </c>
      <c r="H2" s="21" t="n">
        <f aca="false">datos_base!$B$2*parametros_recargas!$F$37+sobrestock_sustitutos!$B$98/12</f>
        <v>160.694373285825</v>
      </c>
      <c r="I2" s="21" t="n">
        <f aca="false">datos_base!$B$2*parametros_recargas!$G$37+sobrestock_sustitutos!$B$98/12</f>
        <v>160.694373285825</v>
      </c>
      <c r="J2" s="21" t="n">
        <f aca="false">datos_base!$B$2*parametros_recargas!$H$37+sobrestock_sustitutos!$B$98/12</f>
        <v>160.694373285825</v>
      </c>
      <c r="K2" s="21" t="n">
        <f aca="false">datos_base!$B$2*parametros_recargas!$I$37+sobrestock_sustitutos!$B$98/12</f>
        <v>160.694373285825</v>
      </c>
      <c r="L2" s="21" t="n">
        <f aca="false">datos_base!$B$2*parametros_recargas!$J$37+sobrestock_sustitutos!$B$98/12</f>
        <v>160.694373285825</v>
      </c>
      <c r="M2" s="21" t="n">
        <f aca="false">datos_base!$B$2*parametros_recargas!$K$37+sobrestock_sustitutos!$B$98/12</f>
        <v>160.694373285825</v>
      </c>
      <c r="N2" s="21" t="n">
        <f aca="false">datos_base!$B$2*parametros_recargas!$L$37+sobrestock_sustitutos!$B$98/12</f>
        <v>160.694373285825</v>
      </c>
      <c r="O2" s="21" t="n">
        <f aca="false">datos_base!$B$2*parametros_recargas!$M$37+sobrestock_sustitutos!$B$98/12</f>
        <v>160.694373285825</v>
      </c>
      <c r="P2" s="7" t="n">
        <f aca="false">SUM(D2:O2)</f>
        <v>1928.3324794299</v>
      </c>
      <c r="Q2" s="6" t="n">
        <f aca="false">sobrestock_sustitutos!$B$98</f>
        <v>0</v>
      </c>
    </row>
    <row r="3" customFormat="false" ht="15" hidden="false" customHeight="false" outlineLevel="0" collapsed="false">
      <c r="A3" s="9" t="str">
        <f aca="false">parametros_recargas!A52</f>
        <v>ABC 2,5 kg</v>
      </c>
      <c r="B3" s="9" t="str">
        <f aca="false">parametros_recargas!B52</f>
        <v>ABC</v>
      </c>
      <c r="C3" s="11" t="n">
        <f aca="false">parametros_recargas!C52</f>
        <v>1</v>
      </c>
      <c r="D3" s="21" t="n">
        <f aca="false">datos_base!$B$3*parametros_recargas!$B$37+sobrestock_sustitutos!$B$99/12</f>
        <v>15.2491388481025</v>
      </c>
      <c r="E3" s="21" t="n">
        <f aca="false">datos_base!$B$3*parametros_recargas!$C$37+sobrestock_sustitutos!$B$99/12</f>
        <v>15.2491388481025</v>
      </c>
      <c r="F3" s="21" t="n">
        <f aca="false">datos_base!$B$3*parametros_recargas!$D$37+sobrestock_sustitutos!$B$99/12</f>
        <v>15.2491388481025</v>
      </c>
      <c r="G3" s="21" t="n">
        <f aca="false">datos_base!$B$3*parametros_recargas!$E$37+sobrestock_sustitutos!$B$99/12</f>
        <v>15.2491388481025</v>
      </c>
      <c r="H3" s="21" t="n">
        <f aca="false">datos_base!$B$3*parametros_recargas!$F$37+sobrestock_sustitutos!$B$99/12</f>
        <v>15.2491388481025</v>
      </c>
      <c r="I3" s="21" t="n">
        <f aca="false">datos_base!$B$3*parametros_recargas!$G$37+sobrestock_sustitutos!$B$99/12</f>
        <v>15.2491388481025</v>
      </c>
      <c r="J3" s="21" t="n">
        <f aca="false">datos_base!$B$3*parametros_recargas!$H$37+sobrestock_sustitutos!$B$99/12</f>
        <v>15.2491388481025</v>
      </c>
      <c r="K3" s="21" t="n">
        <f aca="false">datos_base!$B$3*parametros_recargas!$I$37+sobrestock_sustitutos!$B$99/12</f>
        <v>15.2491388481025</v>
      </c>
      <c r="L3" s="21" t="n">
        <f aca="false">datos_base!$B$3*parametros_recargas!$J$37+sobrestock_sustitutos!$B$99/12</f>
        <v>15.2491388481025</v>
      </c>
      <c r="M3" s="21" t="n">
        <f aca="false">datos_base!$B$3*parametros_recargas!$K$37+sobrestock_sustitutos!$B$99/12</f>
        <v>15.2491388481025</v>
      </c>
      <c r="N3" s="21" t="n">
        <f aca="false">datos_base!$B$3*parametros_recargas!$L$37+sobrestock_sustitutos!$B$99/12</f>
        <v>15.2491388481025</v>
      </c>
      <c r="O3" s="21" t="n">
        <f aca="false">datos_base!$B$3*parametros_recargas!$M$37+sobrestock_sustitutos!$B$99/12</f>
        <v>15.2491388481025</v>
      </c>
      <c r="P3" s="7" t="n">
        <f aca="false">SUM(D3:O3)</f>
        <v>182.98966617723</v>
      </c>
      <c r="Q3" s="6" t="n">
        <f aca="false">sobrestock_sustitutos!$B$99</f>
        <v>0</v>
      </c>
    </row>
    <row r="4" customFormat="false" ht="15" hidden="false" customHeight="false" outlineLevel="0" collapsed="false">
      <c r="A4" s="9" t="str">
        <f aca="false">parametros_recargas!A53</f>
        <v>ABC 5 kg</v>
      </c>
      <c r="B4" s="9" t="str">
        <f aca="false">parametros_recargas!B53</f>
        <v>ABC</v>
      </c>
      <c r="C4" s="11" t="n">
        <f aca="false">parametros_recargas!C53</f>
        <v>1</v>
      </c>
      <c r="D4" s="21" t="n">
        <f aca="false">datos_base!$B$4*parametros_recargas!$B$37+sobrestock_sustitutos!$B$100/12</f>
        <v>90.1276687850451</v>
      </c>
      <c r="E4" s="21" t="n">
        <f aca="false">datos_base!$B$4*parametros_recargas!$C$37+sobrestock_sustitutos!$B$100/12</f>
        <v>90.1276687850451</v>
      </c>
      <c r="F4" s="21" t="n">
        <f aca="false">datos_base!$B$4*parametros_recargas!$D$37+sobrestock_sustitutos!$B$100/12</f>
        <v>90.1276687850451</v>
      </c>
      <c r="G4" s="21" t="n">
        <f aca="false">datos_base!$B$4*parametros_recargas!$E$37+sobrestock_sustitutos!$B$100/12</f>
        <v>90.1276687850451</v>
      </c>
      <c r="H4" s="21" t="n">
        <f aca="false">datos_base!$B$4*parametros_recargas!$F$37+sobrestock_sustitutos!$B$100/12</f>
        <v>90.1276687850451</v>
      </c>
      <c r="I4" s="21" t="n">
        <f aca="false">datos_base!$B$4*parametros_recargas!$G$37+sobrestock_sustitutos!$B$100/12</f>
        <v>90.1276687850451</v>
      </c>
      <c r="J4" s="21" t="n">
        <f aca="false">datos_base!$B$4*parametros_recargas!$H$37+sobrestock_sustitutos!$B$100/12</f>
        <v>90.1276687850451</v>
      </c>
      <c r="K4" s="21" t="n">
        <f aca="false">datos_base!$B$4*parametros_recargas!$I$37+sobrestock_sustitutos!$B$100/12</f>
        <v>90.1276687850451</v>
      </c>
      <c r="L4" s="21" t="n">
        <f aca="false">datos_base!$B$4*parametros_recargas!$J$37+sobrestock_sustitutos!$B$100/12</f>
        <v>90.1276687850451</v>
      </c>
      <c r="M4" s="21" t="n">
        <f aca="false">datos_base!$B$4*parametros_recargas!$K$37+sobrestock_sustitutos!$B$100/12</f>
        <v>90.1276687850451</v>
      </c>
      <c r="N4" s="21" t="n">
        <f aca="false">datos_base!$B$4*parametros_recargas!$L$37+sobrestock_sustitutos!$B$100/12</f>
        <v>90.1276687850451</v>
      </c>
      <c r="O4" s="21" t="n">
        <f aca="false">datos_base!$B$4*parametros_recargas!$M$37+sobrestock_sustitutos!$B$100/12</f>
        <v>90.1276687850451</v>
      </c>
      <c r="P4" s="7" t="n">
        <f aca="false">SUM(D4:O4)</f>
        <v>1081.53202542054</v>
      </c>
      <c r="Q4" s="6" t="n">
        <f aca="false">sobrestock_sustitutos!$B$100</f>
        <v>0</v>
      </c>
    </row>
    <row r="5" customFormat="false" ht="15" hidden="false" customHeight="false" outlineLevel="0" collapsed="false">
      <c r="A5" s="9" t="str">
        <f aca="false">parametros_recargas!A54</f>
        <v>ABC 10 kg</v>
      </c>
      <c r="B5" s="9" t="str">
        <f aca="false">parametros_recargas!B54</f>
        <v>ABC</v>
      </c>
      <c r="C5" s="11" t="n">
        <f aca="false">parametros_recargas!C54</f>
        <v>1</v>
      </c>
      <c r="D5" s="21" t="n">
        <f aca="false">datos_base!$B$5*parametros_recargas!$B$37+sobrestock_sustitutos!$B$101/12</f>
        <v>5.46865665975981</v>
      </c>
      <c r="E5" s="21" t="n">
        <f aca="false">datos_base!$B$5*parametros_recargas!$C$37+sobrestock_sustitutos!$B$101/12</f>
        <v>5.46865665975981</v>
      </c>
      <c r="F5" s="21" t="n">
        <f aca="false">datos_base!$B$5*parametros_recargas!$D$37+sobrestock_sustitutos!$B$101/12</f>
        <v>5.46865665975981</v>
      </c>
      <c r="G5" s="21" t="n">
        <f aca="false">datos_base!$B$5*parametros_recargas!$E$37+sobrestock_sustitutos!$B$101/12</f>
        <v>5.46865665975981</v>
      </c>
      <c r="H5" s="21" t="n">
        <f aca="false">datos_base!$B$5*parametros_recargas!$F$37+sobrestock_sustitutos!$B$101/12</f>
        <v>5.46865665975981</v>
      </c>
      <c r="I5" s="21" t="n">
        <f aca="false">datos_base!$B$5*parametros_recargas!$G$37+sobrestock_sustitutos!$B$101/12</f>
        <v>5.46865665975981</v>
      </c>
      <c r="J5" s="21" t="n">
        <f aca="false">datos_base!$B$5*parametros_recargas!$H$37+sobrestock_sustitutos!$B$101/12</f>
        <v>5.46865665975981</v>
      </c>
      <c r="K5" s="21" t="n">
        <f aca="false">datos_base!$B$5*parametros_recargas!$I$37+sobrestock_sustitutos!$B$101/12</f>
        <v>5.46865665975981</v>
      </c>
      <c r="L5" s="21" t="n">
        <f aca="false">datos_base!$B$5*parametros_recargas!$J$37+sobrestock_sustitutos!$B$101/12</f>
        <v>5.46865665975981</v>
      </c>
      <c r="M5" s="21" t="n">
        <f aca="false">datos_base!$B$5*parametros_recargas!$K$37+sobrestock_sustitutos!$B$101/12</f>
        <v>5.46865665975981</v>
      </c>
      <c r="N5" s="21" t="n">
        <f aca="false">datos_base!$B$5*parametros_recargas!$L$37+sobrestock_sustitutos!$B$101/12</f>
        <v>5.46865665975981</v>
      </c>
      <c r="O5" s="21" t="n">
        <f aca="false">datos_base!$B$5*parametros_recargas!$M$37+sobrestock_sustitutos!$B$101/12</f>
        <v>5.46865665975981</v>
      </c>
      <c r="P5" s="7" t="n">
        <f aca="false">SUM(D5:O5)</f>
        <v>65.6238799171177</v>
      </c>
      <c r="Q5" s="6" t="n">
        <f aca="false">sobrestock_sustitutos!$B$101</f>
        <v>0</v>
      </c>
    </row>
    <row r="6" customFormat="false" ht="15" hidden="false" customHeight="false" outlineLevel="0" collapsed="false">
      <c r="A6" s="9" t="str">
        <f aca="false">parametros_recargas!A55</f>
        <v>Agua 10 l</v>
      </c>
      <c r="B6" s="9" t="str">
        <f aca="false">parametros_recargas!B55</f>
        <v>Agua</v>
      </c>
      <c r="C6" s="11" t="n">
        <f aca="false">parametros_recargas!C55</f>
        <v>1</v>
      </c>
      <c r="D6" s="21" t="n">
        <f aca="false">datos_base!$B$6*parametros_recargas!$B$37+sobrestock_sustitutos!$B$102/12</f>
        <v>7.36165322426742</v>
      </c>
      <c r="E6" s="21" t="n">
        <f aca="false">datos_base!$B$6*parametros_recargas!$C$37+sobrestock_sustitutos!$B$102/12</f>
        <v>7.36165322426742</v>
      </c>
      <c r="F6" s="21" t="n">
        <f aca="false">datos_base!$B$6*parametros_recargas!$D$37+sobrestock_sustitutos!$B$102/12</f>
        <v>7.36165322426742</v>
      </c>
      <c r="G6" s="21" t="n">
        <f aca="false">datos_base!$B$6*parametros_recargas!$E$37+sobrestock_sustitutos!$B$102/12</f>
        <v>7.36165322426742</v>
      </c>
      <c r="H6" s="21" t="n">
        <f aca="false">datos_base!$B$6*parametros_recargas!$F$37+sobrestock_sustitutos!$B$102/12</f>
        <v>7.36165322426742</v>
      </c>
      <c r="I6" s="21" t="n">
        <f aca="false">datos_base!$B$6*parametros_recargas!$G$37+sobrestock_sustitutos!$B$102/12</f>
        <v>7.36165322426742</v>
      </c>
      <c r="J6" s="21" t="n">
        <f aca="false">datos_base!$B$6*parametros_recargas!$H$37+sobrestock_sustitutos!$B$102/12</f>
        <v>7.36165322426742</v>
      </c>
      <c r="K6" s="21" t="n">
        <f aca="false">datos_base!$B$6*parametros_recargas!$I$37+sobrestock_sustitutos!$B$102/12</f>
        <v>7.36165322426742</v>
      </c>
      <c r="L6" s="21" t="n">
        <f aca="false">datos_base!$B$6*parametros_recargas!$J$37+sobrestock_sustitutos!$B$102/12</f>
        <v>7.36165322426742</v>
      </c>
      <c r="M6" s="21" t="n">
        <f aca="false">datos_base!$B$6*parametros_recargas!$K$37+sobrestock_sustitutos!$B$102/12</f>
        <v>7.36165322426742</v>
      </c>
      <c r="N6" s="21" t="n">
        <f aca="false">datos_base!$B$6*parametros_recargas!$L$37+sobrestock_sustitutos!$B$102/12</f>
        <v>7.36165322426742</v>
      </c>
      <c r="O6" s="21" t="n">
        <f aca="false">datos_base!$B$6*parametros_recargas!$M$37+sobrestock_sustitutos!$B$102/12</f>
        <v>7.36165322426742</v>
      </c>
      <c r="P6" s="7" t="n">
        <f aca="false">SUM(D6:O6)</f>
        <v>88.339838691209</v>
      </c>
      <c r="Q6" s="6" t="n">
        <f aca="false">sobrestock_sustitutos!$B$102</f>
        <v>0</v>
      </c>
    </row>
    <row r="7" customFormat="false" ht="15" hidden="false" customHeight="false" outlineLevel="0" collapsed="false">
      <c r="A7" s="9" t="str">
        <f aca="false">parametros_recargas!A56</f>
        <v>AFFF 10 l</v>
      </c>
      <c r="B7" s="9" t="str">
        <f aca="false">parametros_recargas!B56</f>
        <v>AFFF</v>
      </c>
      <c r="C7" s="11" t="n">
        <f aca="false">parametros_recargas!C56</f>
        <v>1</v>
      </c>
      <c r="D7" s="21" t="n">
        <f aca="false">datos_base!$B$7*parametros_recargas!$B$37+sobrestock_sustitutos!$B$103/12</f>
        <v>1.05166475292534</v>
      </c>
      <c r="E7" s="21" t="n">
        <f aca="false">datos_base!$B$7*parametros_recargas!$C$37+sobrestock_sustitutos!$B$103/12</f>
        <v>1.05166475292534</v>
      </c>
      <c r="F7" s="21" t="n">
        <f aca="false">datos_base!$B$7*parametros_recargas!$D$37+sobrestock_sustitutos!$B$103/12</f>
        <v>1.05166475292534</v>
      </c>
      <c r="G7" s="21" t="n">
        <f aca="false">datos_base!$B$7*parametros_recargas!$E$37+sobrestock_sustitutos!$B$103/12</f>
        <v>1.05166475292534</v>
      </c>
      <c r="H7" s="21" t="n">
        <f aca="false">datos_base!$B$7*parametros_recargas!$F$37+sobrestock_sustitutos!$B$103/12</f>
        <v>1.05166475292534</v>
      </c>
      <c r="I7" s="21" t="n">
        <f aca="false">datos_base!$B$7*parametros_recargas!$G$37+sobrestock_sustitutos!$B$103/12</f>
        <v>1.05166475292534</v>
      </c>
      <c r="J7" s="21" t="n">
        <f aca="false">datos_base!$B$7*parametros_recargas!$H$37+sobrestock_sustitutos!$B$103/12</f>
        <v>1.05166475292534</v>
      </c>
      <c r="K7" s="21" t="n">
        <f aca="false">datos_base!$B$7*parametros_recargas!$I$37+sobrestock_sustitutos!$B$103/12</f>
        <v>1.05166475292534</v>
      </c>
      <c r="L7" s="21" t="n">
        <f aca="false">datos_base!$B$7*parametros_recargas!$J$37+sobrestock_sustitutos!$B$103/12</f>
        <v>1.05166475292534</v>
      </c>
      <c r="M7" s="21" t="n">
        <f aca="false">datos_base!$B$7*parametros_recargas!$K$37+sobrestock_sustitutos!$B$103/12</f>
        <v>1.05166475292534</v>
      </c>
      <c r="N7" s="21" t="n">
        <f aca="false">datos_base!$B$7*parametros_recargas!$L$37+sobrestock_sustitutos!$B$103/12</f>
        <v>1.05166475292534</v>
      </c>
      <c r="O7" s="21" t="n">
        <f aca="false">datos_base!$B$7*parametros_recargas!$M$37+sobrestock_sustitutos!$B$103/12</f>
        <v>1.05166475292534</v>
      </c>
      <c r="P7" s="7" t="n">
        <f aca="false">SUM(D7:O7)</f>
        <v>12.6199770351041</v>
      </c>
      <c r="Q7" s="6" t="n">
        <f aca="false">sobrestock_sustitutos!$B$103</f>
        <v>0</v>
      </c>
    </row>
    <row r="8" customFormat="false" ht="15" hidden="false" customHeight="false" outlineLevel="0" collapsed="false">
      <c r="A8" s="9" t="str">
        <f aca="false">parametros_recargas!A57</f>
        <v>AFFF 50 l s/ruedas</v>
      </c>
      <c r="B8" s="9" t="str">
        <f aca="false">parametros_recargas!B57</f>
        <v>AFFF</v>
      </c>
      <c r="C8" s="11" t="n">
        <f aca="false">parametros_recargas!C57</f>
        <v>3</v>
      </c>
      <c r="D8" s="21" t="n">
        <f aca="false">datos_base!$B$8*parametros_recargas!$B$37+sobrestock_sustitutos!$B$104/12</f>
        <v>0.525832353357682</v>
      </c>
      <c r="E8" s="21" t="n">
        <f aca="false">datos_base!$B$8*parametros_recargas!$C$37+sobrestock_sustitutos!$B$104/12</f>
        <v>0.525832353357682</v>
      </c>
      <c r="F8" s="21" t="n">
        <f aca="false">datos_base!$B$8*parametros_recargas!$D$37+sobrestock_sustitutos!$B$104/12</f>
        <v>0.525832353357682</v>
      </c>
      <c r="G8" s="21" t="n">
        <f aca="false">datos_base!$B$8*parametros_recargas!$E$37+sobrestock_sustitutos!$B$104/12</f>
        <v>0.525832353357682</v>
      </c>
      <c r="H8" s="21" t="n">
        <f aca="false">datos_base!$B$8*parametros_recargas!$F$37+sobrestock_sustitutos!$B$104/12</f>
        <v>0.525832353357682</v>
      </c>
      <c r="I8" s="21" t="n">
        <f aca="false">datos_base!$B$8*parametros_recargas!$G$37+sobrestock_sustitutos!$B$104/12</f>
        <v>0.525832353357682</v>
      </c>
      <c r="J8" s="21" t="n">
        <f aca="false">datos_base!$B$8*parametros_recargas!$H$37+sobrestock_sustitutos!$B$104/12</f>
        <v>0.525832353357682</v>
      </c>
      <c r="K8" s="21" t="n">
        <f aca="false">datos_base!$B$8*parametros_recargas!$I$37+sobrestock_sustitutos!$B$104/12</f>
        <v>0.525832353357682</v>
      </c>
      <c r="L8" s="21" t="n">
        <f aca="false">datos_base!$B$8*parametros_recargas!$J$37+sobrestock_sustitutos!$B$104/12</f>
        <v>0.525832353357682</v>
      </c>
      <c r="M8" s="21" t="n">
        <f aca="false">datos_base!$B$8*parametros_recargas!$K$37+sobrestock_sustitutos!$B$104/12</f>
        <v>0.525832353357682</v>
      </c>
      <c r="N8" s="21" t="n">
        <f aca="false">datos_base!$B$8*parametros_recargas!$L$37+sobrestock_sustitutos!$B$104/12</f>
        <v>0.525832353357682</v>
      </c>
      <c r="O8" s="21" t="n">
        <f aca="false">datos_base!$B$8*parametros_recargas!$M$37+sobrestock_sustitutos!$B$104/12</f>
        <v>0.525832353357682</v>
      </c>
      <c r="P8" s="7" t="n">
        <f aca="false">SUM(D8:O8)</f>
        <v>6.30998824029218</v>
      </c>
      <c r="Q8" s="6" t="n">
        <f aca="false">sobrestock_sustitutos!$B$104</f>
        <v>0</v>
      </c>
    </row>
    <row r="9" customFormat="false" ht="15" hidden="false" customHeight="false" outlineLevel="0" collapsed="false">
      <c r="A9" s="9" t="str">
        <f aca="false">parametros_recargas!A58</f>
        <v>BC 5 kg</v>
      </c>
      <c r="B9" s="9" t="str">
        <f aca="false">parametros_recargas!B58</f>
        <v>BC</v>
      </c>
      <c r="C9" s="11" t="n">
        <f aca="false">parametros_recargas!C58</f>
        <v>1</v>
      </c>
      <c r="D9" s="21" t="n">
        <f aca="false">datos_base!$B$9*parametros_recargas!$B$37+sobrestock_sustitutos!$B$105/12</f>
        <v>0.315499412014609</v>
      </c>
      <c r="E9" s="21" t="n">
        <f aca="false">datos_base!$B$9*parametros_recargas!$C$37+sobrestock_sustitutos!$B$105/12</f>
        <v>0.315499412014609</v>
      </c>
      <c r="F9" s="21" t="n">
        <f aca="false">datos_base!$B$9*parametros_recargas!$D$37+sobrestock_sustitutos!$B$105/12</f>
        <v>0.315499412014609</v>
      </c>
      <c r="G9" s="21" t="n">
        <f aca="false">datos_base!$B$9*parametros_recargas!$E$37+sobrestock_sustitutos!$B$105/12</f>
        <v>0.315499412014609</v>
      </c>
      <c r="H9" s="21" t="n">
        <f aca="false">datos_base!$B$9*parametros_recargas!$F$37+sobrestock_sustitutos!$B$105/12</f>
        <v>0.315499412014609</v>
      </c>
      <c r="I9" s="21" t="n">
        <f aca="false">datos_base!$B$9*parametros_recargas!$G$37+sobrestock_sustitutos!$B$105/12</f>
        <v>0.315499412014609</v>
      </c>
      <c r="J9" s="21" t="n">
        <f aca="false">datos_base!$B$9*parametros_recargas!$H$37+sobrestock_sustitutos!$B$105/12</f>
        <v>0.315499412014609</v>
      </c>
      <c r="K9" s="21" t="n">
        <f aca="false">datos_base!$B$9*parametros_recargas!$I$37+sobrestock_sustitutos!$B$105/12</f>
        <v>0.315499412014609</v>
      </c>
      <c r="L9" s="21" t="n">
        <f aca="false">datos_base!$B$9*parametros_recargas!$J$37+sobrestock_sustitutos!$B$105/12</f>
        <v>0.315499412014609</v>
      </c>
      <c r="M9" s="21" t="n">
        <f aca="false">datos_base!$B$9*parametros_recargas!$K$37+sobrestock_sustitutos!$B$105/12</f>
        <v>0.315499412014609</v>
      </c>
      <c r="N9" s="21" t="n">
        <f aca="false">datos_base!$B$9*parametros_recargas!$L$37+sobrestock_sustitutos!$B$105/12</f>
        <v>0.315499412014609</v>
      </c>
      <c r="O9" s="21" t="n">
        <f aca="false">datos_base!$B$9*parametros_recargas!$M$37+sobrestock_sustitutos!$B$105/12</f>
        <v>0.315499412014609</v>
      </c>
      <c r="P9" s="7" t="n">
        <f aca="false">SUM(D9:O9)</f>
        <v>3.78599294417531</v>
      </c>
      <c r="Q9" s="6" t="n">
        <f aca="false">sobrestock_sustitutos!$B$105</f>
        <v>0</v>
      </c>
    </row>
    <row r="10" customFormat="false" ht="15" hidden="false" customHeight="false" outlineLevel="0" collapsed="false">
      <c r="A10" s="9" t="str">
        <f aca="false">parametros_recargas!A59</f>
        <v>Sales K 6 l</v>
      </c>
      <c r="B10" s="9" t="str">
        <f aca="false">parametros_recargas!B59</f>
        <v>Sales K</v>
      </c>
      <c r="C10" s="11" t="n">
        <f aca="false">parametros_recargas!C59</f>
        <v>1</v>
      </c>
      <c r="D10" s="21" t="n">
        <f aca="false">datos_base!$B$10*parametros_recargas!$B$37+sobrestock_sustitutos!$B$106/12</f>
        <v>3.78599308280525</v>
      </c>
      <c r="E10" s="21" t="n">
        <f aca="false">datos_base!$B$10*parametros_recargas!$C$37+sobrestock_sustitutos!$B$106/12</f>
        <v>3.78599308280525</v>
      </c>
      <c r="F10" s="21" t="n">
        <f aca="false">datos_base!$B$10*parametros_recargas!$D$37+sobrestock_sustitutos!$B$106/12</f>
        <v>3.78599308280525</v>
      </c>
      <c r="G10" s="21" t="n">
        <f aca="false">datos_base!$B$10*parametros_recargas!$E$37+sobrestock_sustitutos!$B$106/12</f>
        <v>3.78599308280525</v>
      </c>
      <c r="H10" s="21" t="n">
        <f aca="false">datos_base!$B$10*parametros_recargas!$F$37+sobrestock_sustitutos!$B$106/12</f>
        <v>3.78599308280525</v>
      </c>
      <c r="I10" s="21" t="n">
        <f aca="false">datos_base!$B$10*parametros_recargas!$G$37+sobrestock_sustitutos!$B$106/12</f>
        <v>3.78599308280525</v>
      </c>
      <c r="J10" s="21" t="n">
        <f aca="false">datos_base!$B$10*parametros_recargas!$H$37+sobrestock_sustitutos!$B$106/12</f>
        <v>3.78599308280525</v>
      </c>
      <c r="K10" s="21" t="n">
        <f aca="false">datos_base!$B$10*parametros_recargas!$I$37+sobrestock_sustitutos!$B$106/12</f>
        <v>3.78599308280525</v>
      </c>
      <c r="L10" s="21" t="n">
        <f aca="false">datos_base!$B$10*parametros_recargas!$J$37+sobrestock_sustitutos!$B$106/12</f>
        <v>3.78599308280525</v>
      </c>
      <c r="M10" s="21" t="n">
        <f aca="false">datos_base!$B$10*parametros_recargas!$K$37+sobrestock_sustitutos!$B$106/12</f>
        <v>3.78599308280525</v>
      </c>
      <c r="N10" s="21" t="n">
        <f aca="false">datos_base!$B$10*parametros_recargas!$L$37+sobrestock_sustitutos!$B$106/12</f>
        <v>3.78599308280525</v>
      </c>
      <c r="O10" s="21" t="n">
        <f aca="false">datos_base!$B$10*parametros_recargas!$M$37+sobrestock_sustitutos!$B$106/12</f>
        <v>3.78599308280525</v>
      </c>
      <c r="P10" s="7" t="n">
        <f aca="false">SUM(D10:O10)</f>
        <v>45.4319169936629</v>
      </c>
      <c r="Q10" s="6" t="n">
        <f aca="false">sobrestock_sustitutos!$B$106</f>
        <v>0</v>
      </c>
    </row>
    <row r="11" customFormat="false" ht="15" hidden="false" customHeight="false" outlineLevel="0" collapsed="false">
      <c r="A11" s="9" t="str">
        <f aca="false">parametros_recargas!A60</f>
        <v>CO₂ 2 kg</v>
      </c>
      <c r="B11" s="9" t="str">
        <f aca="false">parametros_recargas!B60</f>
        <v>CO₂</v>
      </c>
      <c r="C11" s="11" t="n">
        <f aca="false">parametros_recargas!C60</f>
        <v>1</v>
      </c>
      <c r="D11" s="21" t="n">
        <f aca="false">datos_base!$B$11*parametros_recargas!$B$37+sobrestock_sustitutos!$B$107/12</f>
        <v>20.8229619785338</v>
      </c>
      <c r="E11" s="21" t="n">
        <f aca="false">datos_base!$B$11*parametros_recargas!$C$37+sobrestock_sustitutos!$B$107/12</f>
        <v>20.8229619785338</v>
      </c>
      <c r="F11" s="21" t="n">
        <f aca="false">datos_base!$B$11*parametros_recargas!$D$37+sobrestock_sustitutos!$B$107/12</f>
        <v>20.8229619785338</v>
      </c>
      <c r="G11" s="21" t="n">
        <f aca="false">datos_base!$B$11*parametros_recargas!$E$37+sobrestock_sustitutos!$B$107/12</f>
        <v>20.8229619785338</v>
      </c>
      <c r="H11" s="21" t="n">
        <f aca="false">datos_base!$B$11*parametros_recargas!$F$37+sobrestock_sustitutos!$B$107/12</f>
        <v>20.8229619785338</v>
      </c>
      <c r="I11" s="21" t="n">
        <f aca="false">datos_base!$B$11*parametros_recargas!$G$37+sobrestock_sustitutos!$B$107/12</f>
        <v>20.8229619785338</v>
      </c>
      <c r="J11" s="21" t="n">
        <f aca="false">datos_base!$B$11*parametros_recargas!$H$37+sobrestock_sustitutos!$B$107/12</f>
        <v>20.8229619785338</v>
      </c>
      <c r="K11" s="21" t="n">
        <f aca="false">datos_base!$B$11*parametros_recargas!$I$37+sobrestock_sustitutos!$B$107/12</f>
        <v>20.8229619785338</v>
      </c>
      <c r="L11" s="21" t="n">
        <f aca="false">datos_base!$B$11*parametros_recargas!$J$37+sobrestock_sustitutos!$B$107/12</f>
        <v>20.8229619785338</v>
      </c>
      <c r="M11" s="21" t="n">
        <f aca="false">datos_base!$B$11*parametros_recargas!$K$37+sobrestock_sustitutos!$B$107/12</f>
        <v>20.8229619785338</v>
      </c>
      <c r="N11" s="21" t="n">
        <f aca="false">datos_base!$B$11*parametros_recargas!$L$37+sobrestock_sustitutos!$B$107/12</f>
        <v>20.8229619785338</v>
      </c>
      <c r="O11" s="21" t="n">
        <f aca="false">datos_base!$B$11*parametros_recargas!$M$37+sobrestock_sustitutos!$B$107/12</f>
        <v>20.8229619785338</v>
      </c>
      <c r="P11" s="7" t="n">
        <f aca="false">SUM(D11:O11)</f>
        <v>249.875543742406</v>
      </c>
      <c r="Q11" s="6" t="n">
        <f aca="false">sobrestock_sustitutos!$B$107</f>
        <v>0</v>
      </c>
    </row>
    <row r="12" customFormat="false" ht="15" hidden="false" customHeight="false" outlineLevel="0" collapsed="false">
      <c r="A12" s="9" t="str">
        <f aca="false">parametros_recargas!A61</f>
        <v>CO₂ 5 kg</v>
      </c>
      <c r="B12" s="9" t="str">
        <f aca="false">parametros_recargas!B61</f>
        <v>CO₂</v>
      </c>
      <c r="C12" s="11" t="n">
        <f aca="false">parametros_recargas!C61</f>
        <v>1</v>
      </c>
      <c r="D12" s="21" t="n">
        <f aca="false">datos_base!$B$12*parametros_recargas!$B$37+sobrestock_sustitutos!$B$108/12</f>
        <v>5.78415611798439</v>
      </c>
      <c r="E12" s="21" t="n">
        <f aca="false">datos_base!$B$12*parametros_recargas!$C$37+sobrestock_sustitutos!$B$108/12</f>
        <v>5.78415611798439</v>
      </c>
      <c r="F12" s="21" t="n">
        <f aca="false">datos_base!$B$12*parametros_recargas!$D$37+sobrestock_sustitutos!$B$108/12</f>
        <v>5.78415611798439</v>
      </c>
      <c r="G12" s="21" t="n">
        <f aca="false">datos_base!$B$12*parametros_recargas!$E$37+sobrestock_sustitutos!$B$108/12</f>
        <v>5.78415611798439</v>
      </c>
      <c r="H12" s="21" t="n">
        <f aca="false">datos_base!$B$12*parametros_recargas!$F$37+sobrestock_sustitutos!$B$108/12</f>
        <v>5.78415611798439</v>
      </c>
      <c r="I12" s="21" t="n">
        <f aca="false">datos_base!$B$12*parametros_recargas!$G$37+sobrestock_sustitutos!$B$108/12</f>
        <v>5.78415611798439</v>
      </c>
      <c r="J12" s="21" t="n">
        <f aca="false">datos_base!$B$12*parametros_recargas!$H$37+sobrestock_sustitutos!$B$108/12</f>
        <v>5.78415611798439</v>
      </c>
      <c r="K12" s="21" t="n">
        <f aca="false">datos_base!$B$12*parametros_recargas!$I$37+sobrestock_sustitutos!$B$108/12</f>
        <v>5.78415611798439</v>
      </c>
      <c r="L12" s="21" t="n">
        <f aca="false">datos_base!$B$12*parametros_recargas!$J$37+sobrestock_sustitutos!$B$108/12</f>
        <v>5.78415611798439</v>
      </c>
      <c r="M12" s="21" t="n">
        <f aca="false">datos_base!$B$12*parametros_recargas!$K$37+sobrestock_sustitutos!$B$108/12</f>
        <v>5.78415611798439</v>
      </c>
      <c r="N12" s="21" t="n">
        <f aca="false">datos_base!$B$12*parametros_recargas!$L$37+sobrestock_sustitutos!$B$108/12</f>
        <v>5.78415611798439</v>
      </c>
      <c r="O12" s="21" t="n">
        <f aca="false">datos_base!$B$12*parametros_recargas!$M$37+sobrestock_sustitutos!$B$108/12</f>
        <v>5.78415611798439</v>
      </c>
      <c r="P12" s="7" t="n">
        <f aca="false">SUM(D12:O12)</f>
        <v>69.4098734158127</v>
      </c>
      <c r="Q12" s="6" t="n">
        <f aca="false">sobrestock_sustitutos!$B$108</f>
        <v>0</v>
      </c>
    </row>
    <row r="13" customFormat="false" ht="15" hidden="false" customHeight="false" outlineLevel="0" collapsed="false">
      <c r="A13" s="9" t="str">
        <f aca="false">parametros_recargas!A62</f>
        <v>HCFC/HFC 5 kg</v>
      </c>
      <c r="B13" s="9" t="str">
        <f aca="false">parametros_recargas!B62</f>
        <v>Halogenado</v>
      </c>
      <c r="C13" s="11" t="n">
        <f aca="false">parametros_recargas!C62</f>
        <v>1</v>
      </c>
      <c r="D13" s="21" t="n">
        <f aca="false">datos_base!$B$13*parametros_recargas!$B$37+sobrestock_sustitutos!$B$109/12</f>
        <v>0.84133181158227</v>
      </c>
      <c r="E13" s="21" t="n">
        <f aca="false">datos_base!$B$13*parametros_recargas!$C$37+sobrestock_sustitutos!$B$109/12</f>
        <v>0.84133181158227</v>
      </c>
      <c r="F13" s="21" t="n">
        <f aca="false">datos_base!$B$13*parametros_recargas!$D$37+sobrestock_sustitutos!$B$109/12</f>
        <v>0.84133181158227</v>
      </c>
      <c r="G13" s="21" t="n">
        <f aca="false">datos_base!$B$13*parametros_recargas!$E$37+sobrestock_sustitutos!$B$109/12</f>
        <v>0.84133181158227</v>
      </c>
      <c r="H13" s="21" t="n">
        <f aca="false">datos_base!$B$13*parametros_recargas!$F$37+sobrestock_sustitutos!$B$109/12</f>
        <v>0.84133181158227</v>
      </c>
      <c r="I13" s="21" t="n">
        <f aca="false">datos_base!$B$13*parametros_recargas!$G$37+sobrestock_sustitutos!$B$109/12</f>
        <v>0.84133181158227</v>
      </c>
      <c r="J13" s="21" t="n">
        <f aca="false">datos_base!$B$13*parametros_recargas!$H$37+sobrestock_sustitutos!$B$109/12</f>
        <v>0.84133181158227</v>
      </c>
      <c r="K13" s="21" t="n">
        <f aca="false">datos_base!$B$13*parametros_recargas!$I$37+sobrestock_sustitutos!$B$109/12</f>
        <v>0.84133181158227</v>
      </c>
      <c r="L13" s="21" t="n">
        <f aca="false">datos_base!$B$13*parametros_recargas!$J$37+sobrestock_sustitutos!$B$109/12</f>
        <v>0.84133181158227</v>
      </c>
      <c r="M13" s="21" t="n">
        <f aca="false">datos_base!$B$13*parametros_recargas!$K$37+sobrestock_sustitutos!$B$109/12</f>
        <v>0.84133181158227</v>
      </c>
      <c r="N13" s="21" t="n">
        <f aca="false">datos_base!$B$13*parametros_recargas!$L$37+sobrestock_sustitutos!$B$109/12</f>
        <v>0.84133181158227</v>
      </c>
      <c r="O13" s="21" t="n">
        <f aca="false">datos_base!$B$13*parametros_recargas!$M$37+sobrestock_sustitutos!$B$109/12</f>
        <v>0.84133181158227</v>
      </c>
      <c r="P13" s="7" t="n">
        <f aca="false">SUM(D13:O13)</f>
        <v>10.0959817389872</v>
      </c>
      <c r="Q13" s="6" t="n">
        <f aca="false">sobrestock_sustitutos!$B$109</f>
        <v>0</v>
      </c>
    </row>
    <row r="14" customFormat="false" ht="15" hidden="false" customHeight="false" outlineLevel="0" collapsed="false">
      <c r="A14" s="9" t="str">
        <f aca="false">parametros_recargas!A63</f>
        <v>Clase D 9 l</v>
      </c>
      <c r="B14" s="9" t="str">
        <f aca="false">parametros_recargas!B63</f>
        <v>Clase D</v>
      </c>
      <c r="C14" s="11" t="n">
        <f aca="false">parametros_recargas!C63</f>
        <v>1</v>
      </c>
      <c r="D14" s="21" t="n">
        <f aca="false">datos_base!$B$14*parametros_recargas!$B$37+sobrestock_sustitutos!$B$110/12</f>
        <v>0.315499412014609</v>
      </c>
      <c r="E14" s="21" t="n">
        <f aca="false">datos_base!$B$14*parametros_recargas!$C$37+sobrestock_sustitutos!$B$110/12</f>
        <v>0.315499412014609</v>
      </c>
      <c r="F14" s="21" t="n">
        <f aca="false">datos_base!$B$14*parametros_recargas!$D$37+sobrestock_sustitutos!$B$110/12</f>
        <v>0.315499412014609</v>
      </c>
      <c r="G14" s="21" t="n">
        <f aca="false">datos_base!$B$14*parametros_recargas!$E$37+sobrestock_sustitutos!$B$110/12</f>
        <v>0.315499412014609</v>
      </c>
      <c r="H14" s="21" t="n">
        <f aca="false">datos_base!$B$14*parametros_recargas!$F$37+sobrestock_sustitutos!$B$110/12</f>
        <v>0.315499412014609</v>
      </c>
      <c r="I14" s="21" t="n">
        <f aca="false">datos_base!$B$14*parametros_recargas!$G$37+sobrestock_sustitutos!$B$110/12</f>
        <v>0.315499412014609</v>
      </c>
      <c r="J14" s="21" t="n">
        <f aca="false">datos_base!$B$14*parametros_recargas!$H$37+sobrestock_sustitutos!$B$110/12</f>
        <v>0.315499412014609</v>
      </c>
      <c r="K14" s="21" t="n">
        <f aca="false">datos_base!$B$14*parametros_recargas!$I$37+sobrestock_sustitutos!$B$110/12</f>
        <v>0.315499412014609</v>
      </c>
      <c r="L14" s="21" t="n">
        <f aca="false">datos_base!$B$14*parametros_recargas!$J$37+sobrestock_sustitutos!$B$110/12</f>
        <v>0.315499412014609</v>
      </c>
      <c r="M14" s="21" t="n">
        <f aca="false">datos_base!$B$14*parametros_recargas!$K$37+sobrestock_sustitutos!$B$110/12</f>
        <v>0.315499412014609</v>
      </c>
      <c r="N14" s="21" t="n">
        <f aca="false">datos_base!$B$14*parametros_recargas!$L$37+sobrestock_sustitutos!$B$110/12</f>
        <v>0.315499412014609</v>
      </c>
      <c r="O14" s="21" t="n">
        <f aca="false">datos_base!$B$14*parametros_recargas!$M$37+sobrestock_sustitutos!$B$110/12</f>
        <v>0.315499412014609</v>
      </c>
      <c r="P14" s="7" t="n">
        <f aca="false">SUM(D14:O14)</f>
        <v>3.78599294417531</v>
      </c>
      <c r="Q14" s="6" t="n">
        <f aca="false">sobrestock_sustitutos!$B$110</f>
        <v>0</v>
      </c>
    </row>
    <row r="15" customFormat="false" ht="15" hidden="false" customHeight="false" outlineLevel="0" collapsed="false">
      <c r="A15" s="9" t="str">
        <f aca="false">parametros_recargas!A64</f>
        <v>ABC 25 kg s/ruedas</v>
      </c>
      <c r="B15" s="9" t="str">
        <f aca="false">parametros_recargas!B64</f>
        <v>ABC</v>
      </c>
      <c r="C15" s="11" t="n">
        <f aca="false">parametros_recargas!C64</f>
        <v>3</v>
      </c>
      <c r="D15" s="21" t="n">
        <f aca="false">datos_base!$B$15*parametros_recargas!$B$37+sobrestock_sustitutos!$B$111/12</f>
        <v>0.815040182361891</v>
      </c>
      <c r="E15" s="21" t="n">
        <f aca="false">datos_base!$B$15*parametros_recargas!$C$37+sobrestock_sustitutos!$B$111/12</f>
        <v>0.815040182361891</v>
      </c>
      <c r="F15" s="21" t="n">
        <f aca="false">datos_base!$B$15*parametros_recargas!$D$37+sobrestock_sustitutos!$B$111/12</f>
        <v>0.815040182361891</v>
      </c>
      <c r="G15" s="21" t="n">
        <f aca="false">datos_base!$B$15*parametros_recargas!$E$37+sobrestock_sustitutos!$B$111/12</f>
        <v>0.815040182361891</v>
      </c>
      <c r="H15" s="21" t="n">
        <f aca="false">datos_base!$B$15*parametros_recargas!$F$37+sobrestock_sustitutos!$B$111/12</f>
        <v>0.815040182361891</v>
      </c>
      <c r="I15" s="21" t="n">
        <f aca="false">datos_base!$B$15*parametros_recargas!$G$37+sobrestock_sustitutos!$B$111/12</f>
        <v>0.815040182361891</v>
      </c>
      <c r="J15" s="21" t="n">
        <f aca="false">datos_base!$B$15*parametros_recargas!$H$37+sobrestock_sustitutos!$B$111/12</f>
        <v>0.815040182361891</v>
      </c>
      <c r="K15" s="21" t="n">
        <f aca="false">datos_base!$B$15*parametros_recargas!$I$37+sobrestock_sustitutos!$B$111/12</f>
        <v>0.815040182361891</v>
      </c>
      <c r="L15" s="21" t="n">
        <f aca="false">datos_base!$B$15*parametros_recargas!$J$37+sobrestock_sustitutos!$B$111/12</f>
        <v>0.815040182361891</v>
      </c>
      <c r="M15" s="21" t="n">
        <f aca="false">datos_base!$B$15*parametros_recargas!$K$37+sobrestock_sustitutos!$B$111/12</f>
        <v>0.815040182361891</v>
      </c>
      <c r="N15" s="21" t="n">
        <f aca="false">datos_base!$B$15*parametros_recargas!$L$37+sobrestock_sustitutos!$B$111/12</f>
        <v>0.815040182361891</v>
      </c>
      <c r="O15" s="21" t="n">
        <f aca="false">datos_base!$B$15*parametros_recargas!$M$37+sobrestock_sustitutos!$B$111/12</f>
        <v>0.815040182361891</v>
      </c>
      <c r="P15" s="7" t="n">
        <f aca="false">SUM(D15:O15)</f>
        <v>9.78048218834269</v>
      </c>
      <c r="Q15" s="6" t="n">
        <f aca="false">sobrestock_sustitutos!$B$111</f>
        <v>0</v>
      </c>
    </row>
    <row r="16" customFormat="false" ht="15" hidden="false" customHeight="false" outlineLevel="0" collapsed="false">
      <c r="A16" s="9" t="str">
        <f aca="false">parametros_recargas!A65</f>
        <v>ABC 50 kg s/ruedas</v>
      </c>
      <c r="B16" s="9" t="str">
        <f aca="false">parametros_recargas!B65</f>
        <v>ABC</v>
      </c>
      <c r="C16" s="11" t="n">
        <f aca="false">parametros_recargas!C65</f>
        <v>3</v>
      </c>
      <c r="D16" s="21" t="n">
        <f aca="false">datos_base!$B$16*parametros_recargas!$B$37+sobrestock_sustitutos!$B$112/12</f>
        <v>1.79308837347017</v>
      </c>
      <c r="E16" s="21" t="n">
        <f aca="false">datos_base!$B$16*parametros_recargas!$C$37+sobrestock_sustitutos!$B$112/12</f>
        <v>1.79308837347017</v>
      </c>
      <c r="F16" s="21" t="n">
        <f aca="false">datos_base!$B$16*parametros_recargas!$D$37+sobrestock_sustitutos!$B$112/12</f>
        <v>1.79308837347017</v>
      </c>
      <c r="G16" s="21" t="n">
        <f aca="false">datos_base!$B$16*parametros_recargas!$E$37+sobrestock_sustitutos!$B$112/12</f>
        <v>1.79308837347017</v>
      </c>
      <c r="H16" s="21" t="n">
        <f aca="false">datos_base!$B$16*parametros_recargas!$F$37+sobrestock_sustitutos!$B$112/12</f>
        <v>1.79308837347017</v>
      </c>
      <c r="I16" s="21" t="n">
        <f aca="false">datos_base!$B$16*parametros_recargas!$G$37+sobrestock_sustitutos!$B$112/12</f>
        <v>1.79308837347017</v>
      </c>
      <c r="J16" s="21" t="n">
        <f aca="false">datos_base!$B$16*parametros_recargas!$H$37+sobrestock_sustitutos!$B$112/12</f>
        <v>1.79308837347017</v>
      </c>
      <c r="K16" s="21" t="n">
        <f aca="false">datos_base!$B$16*parametros_recargas!$I$37+sobrestock_sustitutos!$B$112/12</f>
        <v>1.79308837347017</v>
      </c>
      <c r="L16" s="21" t="n">
        <f aca="false">datos_base!$B$16*parametros_recargas!$J$37+sobrestock_sustitutos!$B$112/12</f>
        <v>1.79308837347017</v>
      </c>
      <c r="M16" s="21" t="n">
        <f aca="false">datos_base!$B$16*parametros_recargas!$K$37+sobrestock_sustitutos!$B$112/12</f>
        <v>1.79308837347017</v>
      </c>
      <c r="N16" s="21" t="n">
        <f aca="false">datos_base!$B$16*parametros_recargas!$L$37+sobrestock_sustitutos!$B$112/12</f>
        <v>1.79308837347017</v>
      </c>
      <c r="O16" s="21" t="n">
        <f aca="false">datos_base!$B$16*parametros_recargas!$M$37+sobrestock_sustitutos!$B$112/12</f>
        <v>1.79308837347017</v>
      </c>
      <c r="P16" s="7" t="n">
        <f aca="false">SUM(D16:O16)</f>
        <v>21.5170604816421</v>
      </c>
      <c r="Q16" s="6" t="n">
        <f aca="false">sobrestock_sustitutos!$B$112</f>
        <v>0</v>
      </c>
    </row>
    <row r="17" customFormat="false" ht="15" hidden="false" customHeight="false" outlineLevel="0" collapsed="false">
      <c r="A17" s="9" t="str">
        <f aca="false">parametros_recargas!A66</f>
        <v>ABC 70 kg s/ruedas</v>
      </c>
      <c r="B17" s="9" t="str">
        <f aca="false">parametros_recargas!B66</f>
        <v>ABC</v>
      </c>
      <c r="C17" s="11" t="n">
        <f aca="false">parametros_recargas!C66</f>
        <v>3</v>
      </c>
      <c r="D17" s="21" t="n">
        <f aca="false">datos_base!$B$17*parametros_recargas!$B$37+sobrestock_sustitutos!$B$113/12</f>
        <v>0.391219267201317</v>
      </c>
      <c r="E17" s="21" t="n">
        <f aca="false">datos_base!$B$17*parametros_recargas!$C$37+sobrestock_sustitutos!$B$113/12</f>
        <v>0.391219267201317</v>
      </c>
      <c r="F17" s="21" t="n">
        <f aca="false">datos_base!$B$17*parametros_recargas!$D$37+sobrestock_sustitutos!$B$113/12</f>
        <v>0.391219267201317</v>
      </c>
      <c r="G17" s="21" t="n">
        <f aca="false">datos_base!$B$17*parametros_recargas!$E$37+sobrestock_sustitutos!$B$113/12</f>
        <v>0.391219267201317</v>
      </c>
      <c r="H17" s="21" t="n">
        <f aca="false">datos_base!$B$17*parametros_recargas!$F$37+sobrestock_sustitutos!$B$113/12</f>
        <v>0.391219267201317</v>
      </c>
      <c r="I17" s="21" t="n">
        <f aca="false">datos_base!$B$17*parametros_recargas!$G$37+sobrestock_sustitutos!$B$113/12</f>
        <v>0.391219267201317</v>
      </c>
      <c r="J17" s="21" t="n">
        <f aca="false">datos_base!$B$17*parametros_recargas!$H$37+sobrestock_sustitutos!$B$113/12</f>
        <v>0.391219267201317</v>
      </c>
      <c r="K17" s="21" t="n">
        <f aca="false">datos_base!$B$17*parametros_recargas!$I$37+sobrestock_sustitutos!$B$113/12</f>
        <v>0.391219267201317</v>
      </c>
      <c r="L17" s="21" t="n">
        <f aca="false">datos_base!$B$17*parametros_recargas!$J$37+sobrestock_sustitutos!$B$113/12</f>
        <v>0.391219267201317</v>
      </c>
      <c r="M17" s="21" t="n">
        <f aca="false">datos_base!$B$17*parametros_recargas!$K$37+sobrestock_sustitutos!$B$113/12</f>
        <v>0.391219267201317</v>
      </c>
      <c r="N17" s="21" t="n">
        <f aca="false">datos_base!$B$17*parametros_recargas!$L$37+sobrestock_sustitutos!$B$113/12</f>
        <v>0.391219267201317</v>
      </c>
      <c r="O17" s="21" t="n">
        <f aca="false">datos_base!$B$17*parametros_recargas!$M$37+sobrestock_sustitutos!$B$113/12</f>
        <v>0.391219267201317</v>
      </c>
      <c r="P17" s="7" t="n">
        <f aca="false">SUM(D17:O17)</f>
        <v>4.69463120641581</v>
      </c>
      <c r="Q17" s="6" t="n">
        <f aca="false">sobrestock_sustitutos!$B$113</f>
        <v>0</v>
      </c>
    </row>
    <row r="18" customFormat="false" ht="15" hidden="false" customHeight="false" outlineLevel="0" collapsed="false">
      <c r="A18" s="9" t="str">
        <f aca="false">parametros_recargas!A67</f>
        <v>ABC 100 kg s/ruedas</v>
      </c>
      <c r="B18" s="9" t="str">
        <f aca="false">parametros_recargas!B67</f>
        <v>ABC</v>
      </c>
      <c r="C18" s="11" t="n">
        <f aca="false">parametros_recargas!C67</f>
        <v>3</v>
      </c>
      <c r="D18" s="21" t="n">
        <f aca="false">datos_base!$B$18*parametros_recargas!$B$37+sobrestock_sustitutos!$B$114/12</f>
        <v>0.260812860204204</v>
      </c>
      <c r="E18" s="21" t="n">
        <f aca="false">datos_base!$B$18*parametros_recargas!$C$37+sobrestock_sustitutos!$B$114/12</f>
        <v>0.260812860204204</v>
      </c>
      <c r="F18" s="21" t="n">
        <f aca="false">datos_base!$B$18*parametros_recargas!$D$37+sobrestock_sustitutos!$B$114/12</f>
        <v>0.260812860204204</v>
      </c>
      <c r="G18" s="21" t="n">
        <f aca="false">datos_base!$B$18*parametros_recargas!$E$37+sobrestock_sustitutos!$B$114/12</f>
        <v>0.260812860204204</v>
      </c>
      <c r="H18" s="21" t="n">
        <f aca="false">datos_base!$B$18*parametros_recargas!$F$37+sobrestock_sustitutos!$B$114/12</f>
        <v>0.260812860204204</v>
      </c>
      <c r="I18" s="21" t="n">
        <f aca="false">datos_base!$B$18*parametros_recargas!$G$37+sobrestock_sustitutos!$B$114/12</f>
        <v>0.260812860204204</v>
      </c>
      <c r="J18" s="21" t="n">
        <f aca="false">datos_base!$B$18*parametros_recargas!$H$37+sobrestock_sustitutos!$B$114/12</f>
        <v>0.260812860204204</v>
      </c>
      <c r="K18" s="21" t="n">
        <f aca="false">datos_base!$B$18*parametros_recargas!$I$37+sobrestock_sustitutos!$B$114/12</f>
        <v>0.260812860204204</v>
      </c>
      <c r="L18" s="21" t="n">
        <f aca="false">datos_base!$B$18*parametros_recargas!$J$37+sobrestock_sustitutos!$B$114/12</f>
        <v>0.260812860204204</v>
      </c>
      <c r="M18" s="21" t="n">
        <f aca="false">datos_base!$B$18*parametros_recargas!$K$37+sobrestock_sustitutos!$B$114/12</f>
        <v>0.260812860204204</v>
      </c>
      <c r="N18" s="21" t="n">
        <f aca="false">datos_base!$B$18*parametros_recargas!$L$37+sobrestock_sustitutos!$B$114/12</f>
        <v>0.260812860204204</v>
      </c>
      <c r="O18" s="21" t="n">
        <f aca="false">datos_base!$B$18*parametros_recargas!$M$37+sobrestock_sustitutos!$B$114/12</f>
        <v>0.260812860204204</v>
      </c>
      <c r="P18" s="7" t="n">
        <f aca="false">SUM(D18:O18)</f>
        <v>3.12975432245045</v>
      </c>
      <c r="Q18" s="6" t="n">
        <f aca="false">sobrestock_sustitutos!$B$114</f>
        <v>0</v>
      </c>
    </row>
    <row r="19" customFormat="false" ht="15" hidden="false" customHeight="false" outlineLevel="0" collapsed="false">
      <c r="A19" s="4" t="s">
        <v>356</v>
      </c>
      <c r="D19" s="7" t="n">
        <f aca="false">SUM(D2:D18)</f>
        <v>315.604590407455</v>
      </c>
      <c r="E19" s="7" t="n">
        <f aca="false">SUM(E2:E18)</f>
        <v>315.604590407455</v>
      </c>
      <c r="F19" s="7" t="n">
        <f aca="false">SUM(F2:F18)</f>
        <v>315.604590407455</v>
      </c>
      <c r="G19" s="7" t="n">
        <f aca="false">SUM(G2:G18)</f>
        <v>315.604590407455</v>
      </c>
      <c r="H19" s="7" t="n">
        <f aca="false">SUM(H2:H18)</f>
        <v>315.604590407455</v>
      </c>
      <c r="I19" s="7" t="n">
        <f aca="false">SUM(I2:I18)</f>
        <v>315.604590407455</v>
      </c>
      <c r="J19" s="7" t="n">
        <f aca="false">SUM(J2:J18)</f>
        <v>315.604590407455</v>
      </c>
      <c r="K19" s="7" t="n">
        <f aca="false">SUM(K2:K18)</f>
        <v>315.604590407455</v>
      </c>
      <c r="L19" s="7" t="n">
        <f aca="false">SUM(L2:L18)</f>
        <v>315.604590407455</v>
      </c>
      <c r="M19" s="7" t="n">
        <f aca="false">SUM(M2:M18)</f>
        <v>315.604590407455</v>
      </c>
      <c r="N19" s="7" t="n">
        <f aca="false">SUM(N2:N18)</f>
        <v>315.604590407455</v>
      </c>
      <c r="O19" s="7" t="n">
        <f aca="false">SUM(O2:O18)</f>
        <v>315.604590407455</v>
      </c>
      <c r="P19" s="7" t="n">
        <f aca="false">SUM(P2:P18)</f>
        <v>3787.25508488946</v>
      </c>
    </row>
    <row r="20" customFormat="false" ht="15" hidden="false" customHeight="false" outlineLevel="0" collapsed="false">
      <c r="A20" s="4" t="s">
        <v>357</v>
      </c>
    </row>
    <row r="21" customFormat="false" ht="15" hidden="false" customHeight="false" outlineLevel="0" collapsed="false">
      <c r="A21" s="5" t="s">
        <v>165</v>
      </c>
      <c r="D21" s="21" t="n">
        <f aca="false">SUMPRODUCT(($B$2:$B$18=$A21)*D$2:D$18*$C$2:$C$18)</f>
        <v>281.320319628445</v>
      </c>
      <c r="E21" s="21" t="n">
        <f aca="false">SUMPRODUCT(($B$2:$B$18=$A21)*E$2:E$18*$C$2:$C$18)</f>
        <v>281.320319628445</v>
      </c>
      <c r="F21" s="21" t="n">
        <f aca="false">SUMPRODUCT(($B$2:$B$18=$A21)*F$2:F$18*$C$2:$C$18)</f>
        <v>281.320319628445</v>
      </c>
      <c r="G21" s="21" t="n">
        <f aca="false">SUMPRODUCT(($B$2:$B$18=$A21)*G$2:G$18*$C$2:$C$18)</f>
        <v>281.320319628445</v>
      </c>
      <c r="H21" s="21" t="n">
        <f aca="false">SUMPRODUCT(($B$2:$B$18=$A21)*H$2:H$18*$C$2:$C$18)</f>
        <v>281.320319628445</v>
      </c>
      <c r="I21" s="21" t="n">
        <f aca="false">SUMPRODUCT(($B$2:$B$18=$A21)*I$2:I$18*$C$2:$C$18)</f>
        <v>281.320319628445</v>
      </c>
      <c r="J21" s="21" t="n">
        <f aca="false">SUMPRODUCT(($B$2:$B$18=$A21)*J$2:J$18*$C$2:$C$18)</f>
        <v>281.320319628445</v>
      </c>
      <c r="K21" s="21" t="n">
        <f aca="false">SUMPRODUCT(($B$2:$B$18=$A21)*K$2:K$18*$C$2:$C$18)</f>
        <v>281.320319628445</v>
      </c>
      <c r="L21" s="21" t="n">
        <f aca="false">SUMPRODUCT(($B$2:$B$18=$A21)*L$2:L$18*$C$2:$C$18)</f>
        <v>281.320319628445</v>
      </c>
      <c r="M21" s="21" t="n">
        <f aca="false">SUMPRODUCT(($B$2:$B$18=$A21)*M$2:M$18*$C$2:$C$18)</f>
        <v>281.320319628445</v>
      </c>
      <c r="N21" s="21" t="n">
        <f aca="false">SUMPRODUCT(($B$2:$B$18=$A21)*N$2:N$18*$C$2:$C$18)</f>
        <v>281.320319628445</v>
      </c>
      <c r="O21" s="21" t="n">
        <f aca="false">SUMPRODUCT(($B$2:$B$18=$A21)*O$2:O$18*$C$2:$C$18)</f>
        <v>281.320319628445</v>
      </c>
      <c r="P21" s="21" t="n">
        <f aca="false">SUMPRODUCT(($B$2:$B$18=$A21)*P$2:P$18*$C$2:$C$18)</f>
        <v>3375.84383554134</v>
      </c>
    </row>
    <row r="22" customFormat="false" ht="15" hidden="false" customHeight="false" outlineLevel="0" collapsed="false">
      <c r="A22" s="5" t="s">
        <v>171</v>
      </c>
      <c r="D22" s="21" t="n">
        <f aca="false">SUMPRODUCT(($B$2:$B$18=$A22)*D$2:D$18*$C$2:$C$18)</f>
        <v>0.315499412014609</v>
      </c>
      <c r="E22" s="21" t="n">
        <f aca="false">SUMPRODUCT(($B$2:$B$18=$A22)*E$2:E$18*$C$2:$C$18)</f>
        <v>0.315499412014609</v>
      </c>
      <c r="F22" s="21" t="n">
        <f aca="false">SUMPRODUCT(($B$2:$B$18=$A22)*F$2:F$18*$C$2:$C$18)</f>
        <v>0.315499412014609</v>
      </c>
      <c r="G22" s="21" t="n">
        <f aca="false">SUMPRODUCT(($B$2:$B$18=$A22)*G$2:G$18*$C$2:$C$18)</f>
        <v>0.315499412014609</v>
      </c>
      <c r="H22" s="21" t="n">
        <f aca="false">SUMPRODUCT(($B$2:$B$18=$A22)*H$2:H$18*$C$2:$C$18)</f>
        <v>0.315499412014609</v>
      </c>
      <c r="I22" s="21" t="n">
        <f aca="false">SUMPRODUCT(($B$2:$B$18=$A22)*I$2:I$18*$C$2:$C$18)</f>
        <v>0.315499412014609</v>
      </c>
      <c r="J22" s="21" t="n">
        <f aca="false">SUMPRODUCT(($B$2:$B$18=$A22)*J$2:J$18*$C$2:$C$18)</f>
        <v>0.315499412014609</v>
      </c>
      <c r="K22" s="21" t="n">
        <f aca="false">SUMPRODUCT(($B$2:$B$18=$A22)*K$2:K$18*$C$2:$C$18)</f>
        <v>0.315499412014609</v>
      </c>
      <c r="L22" s="21" t="n">
        <f aca="false">SUMPRODUCT(($B$2:$B$18=$A22)*L$2:L$18*$C$2:$C$18)</f>
        <v>0.315499412014609</v>
      </c>
      <c r="M22" s="21" t="n">
        <f aca="false">SUMPRODUCT(($B$2:$B$18=$A22)*M$2:M$18*$C$2:$C$18)</f>
        <v>0.315499412014609</v>
      </c>
      <c r="N22" s="21" t="n">
        <f aca="false">SUMPRODUCT(($B$2:$B$18=$A22)*N$2:N$18*$C$2:$C$18)</f>
        <v>0.315499412014609</v>
      </c>
      <c r="O22" s="21" t="n">
        <f aca="false">SUMPRODUCT(($B$2:$B$18=$A22)*O$2:O$18*$C$2:$C$18)</f>
        <v>0.315499412014609</v>
      </c>
      <c r="P22" s="21" t="n">
        <f aca="false">SUMPRODUCT(($B$2:$B$18=$A22)*P$2:P$18*$C$2:$C$18)</f>
        <v>3.78599294417531</v>
      </c>
    </row>
    <row r="23" customFormat="false" ht="15" hidden="false" customHeight="false" outlineLevel="0" collapsed="false">
      <c r="A23" s="5" t="s">
        <v>177</v>
      </c>
      <c r="D23" s="21" t="n">
        <f aca="false">SUMPRODUCT(($B$2:$B$18=$A23)*D$2:D$18*$C$2:$C$18)</f>
        <v>0.315499412014609</v>
      </c>
      <c r="E23" s="21" t="n">
        <f aca="false">SUMPRODUCT(($B$2:$B$18=$A23)*E$2:E$18*$C$2:$C$18)</f>
        <v>0.315499412014609</v>
      </c>
      <c r="F23" s="21" t="n">
        <f aca="false">SUMPRODUCT(($B$2:$B$18=$A23)*F$2:F$18*$C$2:$C$18)</f>
        <v>0.315499412014609</v>
      </c>
      <c r="G23" s="21" t="n">
        <f aca="false">SUMPRODUCT(($B$2:$B$18=$A23)*G$2:G$18*$C$2:$C$18)</f>
        <v>0.315499412014609</v>
      </c>
      <c r="H23" s="21" t="n">
        <f aca="false">SUMPRODUCT(($B$2:$B$18=$A23)*H$2:H$18*$C$2:$C$18)</f>
        <v>0.315499412014609</v>
      </c>
      <c r="I23" s="21" t="n">
        <f aca="false">SUMPRODUCT(($B$2:$B$18=$A23)*I$2:I$18*$C$2:$C$18)</f>
        <v>0.315499412014609</v>
      </c>
      <c r="J23" s="21" t="n">
        <f aca="false">SUMPRODUCT(($B$2:$B$18=$A23)*J$2:J$18*$C$2:$C$18)</f>
        <v>0.315499412014609</v>
      </c>
      <c r="K23" s="21" t="n">
        <f aca="false">SUMPRODUCT(($B$2:$B$18=$A23)*K$2:K$18*$C$2:$C$18)</f>
        <v>0.315499412014609</v>
      </c>
      <c r="L23" s="21" t="n">
        <f aca="false">SUMPRODUCT(($B$2:$B$18=$A23)*L$2:L$18*$C$2:$C$18)</f>
        <v>0.315499412014609</v>
      </c>
      <c r="M23" s="21" t="n">
        <f aca="false">SUMPRODUCT(($B$2:$B$18=$A23)*M$2:M$18*$C$2:$C$18)</f>
        <v>0.315499412014609</v>
      </c>
      <c r="N23" s="21" t="n">
        <f aca="false">SUMPRODUCT(($B$2:$B$18=$A23)*N$2:N$18*$C$2:$C$18)</f>
        <v>0.315499412014609</v>
      </c>
      <c r="O23" s="21" t="n">
        <f aca="false">SUMPRODUCT(($B$2:$B$18=$A23)*O$2:O$18*$C$2:$C$18)</f>
        <v>0.315499412014609</v>
      </c>
      <c r="P23" s="21" t="n">
        <f aca="false">SUMPRODUCT(($B$2:$B$18=$A23)*P$2:P$18*$C$2:$C$18)</f>
        <v>3.78599294417531</v>
      </c>
    </row>
    <row r="24" customFormat="false" ht="15" hidden="false" customHeight="false" outlineLevel="0" collapsed="false">
      <c r="A24" s="5" t="s">
        <v>168</v>
      </c>
      <c r="D24" s="21" t="n">
        <f aca="false">SUMPRODUCT(($B$2:$B$18=$A24)*D$2:D$18*$C$2:$C$18)</f>
        <v>7.36165322426742</v>
      </c>
      <c r="E24" s="21" t="n">
        <f aca="false">SUMPRODUCT(($B$2:$B$18=$A24)*E$2:E$18*$C$2:$C$18)</f>
        <v>7.36165322426742</v>
      </c>
      <c r="F24" s="21" t="n">
        <f aca="false">SUMPRODUCT(($B$2:$B$18=$A24)*F$2:F$18*$C$2:$C$18)</f>
        <v>7.36165322426742</v>
      </c>
      <c r="G24" s="21" t="n">
        <f aca="false">SUMPRODUCT(($B$2:$B$18=$A24)*G$2:G$18*$C$2:$C$18)</f>
        <v>7.36165322426742</v>
      </c>
      <c r="H24" s="21" t="n">
        <f aca="false">SUMPRODUCT(($B$2:$B$18=$A24)*H$2:H$18*$C$2:$C$18)</f>
        <v>7.36165322426742</v>
      </c>
      <c r="I24" s="21" t="n">
        <f aca="false">SUMPRODUCT(($B$2:$B$18=$A24)*I$2:I$18*$C$2:$C$18)</f>
        <v>7.36165322426742</v>
      </c>
      <c r="J24" s="21" t="n">
        <f aca="false">SUMPRODUCT(($B$2:$B$18=$A24)*J$2:J$18*$C$2:$C$18)</f>
        <v>7.36165322426742</v>
      </c>
      <c r="K24" s="21" t="n">
        <f aca="false">SUMPRODUCT(($B$2:$B$18=$A24)*K$2:K$18*$C$2:$C$18)</f>
        <v>7.36165322426742</v>
      </c>
      <c r="L24" s="21" t="n">
        <f aca="false">SUMPRODUCT(($B$2:$B$18=$A24)*L$2:L$18*$C$2:$C$18)</f>
        <v>7.36165322426742</v>
      </c>
      <c r="M24" s="21" t="n">
        <f aca="false">SUMPRODUCT(($B$2:$B$18=$A24)*M$2:M$18*$C$2:$C$18)</f>
        <v>7.36165322426742</v>
      </c>
      <c r="N24" s="21" t="n">
        <f aca="false">SUMPRODUCT(($B$2:$B$18=$A24)*N$2:N$18*$C$2:$C$18)</f>
        <v>7.36165322426742</v>
      </c>
      <c r="O24" s="21" t="n">
        <f aca="false">SUMPRODUCT(($B$2:$B$18=$A24)*O$2:O$18*$C$2:$C$18)</f>
        <v>7.36165322426742</v>
      </c>
      <c r="P24" s="21" t="n">
        <f aca="false">SUMPRODUCT(($B$2:$B$18=$A24)*P$2:P$18*$C$2:$C$18)</f>
        <v>88.339838691209</v>
      </c>
    </row>
    <row r="25" customFormat="false" ht="15" hidden="false" customHeight="false" outlineLevel="0" collapsed="false">
      <c r="A25" s="5" t="s">
        <v>169</v>
      </c>
      <c r="D25" s="21" t="n">
        <f aca="false">SUMPRODUCT(($B$2:$B$18=$A25)*D$2:D$18*$C$2:$C$18)</f>
        <v>2.62916181299839</v>
      </c>
      <c r="E25" s="21" t="n">
        <f aca="false">SUMPRODUCT(($B$2:$B$18=$A25)*E$2:E$18*$C$2:$C$18)</f>
        <v>2.62916181299839</v>
      </c>
      <c r="F25" s="21" t="n">
        <f aca="false">SUMPRODUCT(($B$2:$B$18=$A25)*F$2:F$18*$C$2:$C$18)</f>
        <v>2.62916181299839</v>
      </c>
      <c r="G25" s="21" t="n">
        <f aca="false">SUMPRODUCT(($B$2:$B$18=$A25)*G$2:G$18*$C$2:$C$18)</f>
        <v>2.62916181299839</v>
      </c>
      <c r="H25" s="21" t="n">
        <f aca="false">SUMPRODUCT(($B$2:$B$18=$A25)*H$2:H$18*$C$2:$C$18)</f>
        <v>2.62916181299839</v>
      </c>
      <c r="I25" s="21" t="n">
        <f aca="false">SUMPRODUCT(($B$2:$B$18=$A25)*I$2:I$18*$C$2:$C$18)</f>
        <v>2.62916181299839</v>
      </c>
      <c r="J25" s="21" t="n">
        <f aca="false">SUMPRODUCT(($B$2:$B$18=$A25)*J$2:J$18*$C$2:$C$18)</f>
        <v>2.62916181299839</v>
      </c>
      <c r="K25" s="21" t="n">
        <f aca="false">SUMPRODUCT(($B$2:$B$18=$A25)*K$2:K$18*$C$2:$C$18)</f>
        <v>2.62916181299839</v>
      </c>
      <c r="L25" s="21" t="n">
        <f aca="false">SUMPRODUCT(($B$2:$B$18=$A25)*L$2:L$18*$C$2:$C$18)</f>
        <v>2.62916181299839</v>
      </c>
      <c r="M25" s="21" t="n">
        <f aca="false">SUMPRODUCT(($B$2:$B$18=$A25)*M$2:M$18*$C$2:$C$18)</f>
        <v>2.62916181299839</v>
      </c>
      <c r="N25" s="21" t="n">
        <f aca="false">SUMPRODUCT(($B$2:$B$18=$A25)*N$2:N$18*$C$2:$C$18)</f>
        <v>2.62916181299839</v>
      </c>
      <c r="O25" s="21" t="n">
        <f aca="false">SUMPRODUCT(($B$2:$B$18=$A25)*O$2:O$18*$C$2:$C$18)</f>
        <v>2.62916181299839</v>
      </c>
      <c r="P25" s="21" t="n">
        <f aca="false">SUMPRODUCT(($B$2:$B$18=$A25)*P$2:P$18*$C$2:$C$18)</f>
        <v>31.5499417559807</v>
      </c>
    </row>
    <row r="26" customFormat="false" ht="15" hidden="false" customHeight="false" outlineLevel="0" collapsed="false">
      <c r="A26" s="5" t="s">
        <v>172</v>
      </c>
      <c r="D26" s="21" t="n">
        <f aca="false">SUMPRODUCT(($B$2:$B$18=$A26)*D$2:D$18*$C$2:$C$18)</f>
        <v>3.78599308280525</v>
      </c>
      <c r="E26" s="21" t="n">
        <f aca="false">SUMPRODUCT(($B$2:$B$18=$A26)*E$2:E$18*$C$2:$C$18)</f>
        <v>3.78599308280525</v>
      </c>
      <c r="F26" s="21" t="n">
        <f aca="false">SUMPRODUCT(($B$2:$B$18=$A26)*F$2:F$18*$C$2:$C$18)</f>
        <v>3.78599308280525</v>
      </c>
      <c r="G26" s="21" t="n">
        <f aca="false">SUMPRODUCT(($B$2:$B$18=$A26)*G$2:G$18*$C$2:$C$18)</f>
        <v>3.78599308280525</v>
      </c>
      <c r="H26" s="21" t="n">
        <f aca="false">SUMPRODUCT(($B$2:$B$18=$A26)*H$2:H$18*$C$2:$C$18)</f>
        <v>3.78599308280525</v>
      </c>
      <c r="I26" s="21" t="n">
        <f aca="false">SUMPRODUCT(($B$2:$B$18=$A26)*I$2:I$18*$C$2:$C$18)</f>
        <v>3.78599308280525</v>
      </c>
      <c r="J26" s="21" t="n">
        <f aca="false">SUMPRODUCT(($B$2:$B$18=$A26)*J$2:J$18*$C$2:$C$18)</f>
        <v>3.78599308280525</v>
      </c>
      <c r="K26" s="21" t="n">
        <f aca="false">SUMPRODUCT(($B$2:$B$18=$A26)*K$2:K$18*$C$2:$C$18)</f>
        <v>3.78599308280525</v>
      </c>
      <c r="L26" s="21" t="n">
        <f aca="false">SUMPRODUCT(($B$2:$B$18=$A26)*L$2:L$18*$C$2:$C$18)</f>
        <v>3.78599308280525</v>
      </c>
      <c r="M26" s="21" t="n">
        <f aca="false">SUMPRODUCT(($B$2:$B$18=$A26)*M$2:M$18*$C$2:$C$18)</f>
        <v>3.78599308280525</v>
      </c>
      <c r="N26" s="21" t="n">
        <f aca="false">SUMPRODUCT(($B$2:$B$18=$A26)*N$2:N$18*$C$2:$C$18)</f>
        <v>3.78599308280525</v>
      </c>
      <c r="O26" s="21" t="n">
        <f aca="false">SUMPRODUCT(($B$2:$B$18=$A26)*O$2:O$18*$C$2:$C$18)</f>
        <v>3.78599308280525</v>
      </c>
      <c r="P26" s="21" t="n">
        <f aca="false">SUMPRODUCT(($B$2:$B$18=$A26)*P$2:P$18*$C$2:$C$18)</f>
        <v>45.4319169936629</v>
      </c>
    </row>
    <row r="27" customFormat="false" ht="15" hidden="false" customHeight="false" outlineLevel="0" collapsed="false">
      <c r="A27" s="5" t="s">
        <v>173</v>
      </c>
      <c r="D27" s="21" t="n">
        <f aca="false">SUMPRODUCT(($B$2:$B$18=$A27)*D$2:D$18*$C$2:$C$18)</f>
        <v>26.6071180965182</v>
      </c>
      <c r="E27" s="21" t="n">
        <f aca="false">SUMPRODUCT(($B$2:$B$18=$A27)*E$2:E$18*$C$2:$C$18)</f>
        <v>26.6071180965182</v>
      </c>
      <c r="F27" s="21" t="n">
        <f aca="false">SUMPRODUCT(($B$2:$B$18=$A27)*F$2:F$18*$C$2:$C$18)</f>
        <v>26.6071180965182</v>
      </c>
      <c r="G27" s="21" t="n">
        <f aca="false">SUMPRODUCT(($B$2:$B$18=$A27)*G$2:G$18*$C$2:$C$18)</f>
        <v>26.6071180965182</v>
      </c>
      <c r="H27" s="21" t="n">
        <f aca="false">SUMPRODUCT(($B$2:$B$18=$A27)*H$2:H$18*$C$2:$C$18)</f>
        <v>26.6071180965182</v>
      </c>
      <c r="I27" s="21" t="n">
        <f aca="false">SUMPRODUCT(($B$2:$B$18=$A27)*I$2:I$18*$C$2:$C$18)</f>
        <v>26.6071180965182</v>
      </c>
      <c r="J27" s="21" t="n">
        <f aca="false">SUMPRODUCT(($B$2:$B$18=$A27)*J$2:J$18*$C$2:$C$18)</f>
        <v>26.6071180965182</v>
      </c>
      <c r="K27" s="21" t="n">
        <f aca="false">SUMPRODUCT(($B$2:$B$18=$A27)*K$2:K$18*$C$2:$C$18)</f>
        <v>26.6071180965182</v>
      </c>
      <c r="L27" s="21" t="n">
        <f aca="false">SUMPRODUCT(($B$2:$B$18=$A27)*L$2:L$18*$C$2:$C$18)</f>
        <v>26.6071180965182</v>
      </c>
      <c r="M27" s="21" t="n">
        <f aca="false">SUMPRODUCT(($B$2:$B$18=$A27)*M$2:M$18*$C$2:$C$18)</f>
        <v>26.6071180965182</v>
      </c>
      <c r="N27" s="21" t="n">
        <f aca="false">SUMPRODUCT(($B$2:$B$18=$A27)*N$2:N$18*$C$2:$C$18)</f>
        <v>26.6071180965182</v>
      </c>
      <c r="O27" s="21" t="n">
        <f aca="false">SUMPRODUCT(($B$2:$B$18=$A27)*O$2:O$18*$C$2:$C$18)</f>
        <v>26.6071180965182</v>
      </c>
      <c r="P27" s="21" t="n">
        <f aca="false">SUMPRODUCT(($B$2:$B$18=$A27)*P$2:P$18*$C$2:$C$18)</f>
        <v>319.285417158219</v>
      </c>
    </row>
    <row r="28" customFormat="false" ht="15" hidden="false" customHeight="false" outlineLevel="0" collapsed="false">
      <c r="A28" s="5" t="s">
        <v>176</v>
      </c>
      <c r="D28" s="21" t="n">
        <f aca="false">SUMPRODUCT(($B$2:$B$18=$A28)*D$2:D$18*$C$2:$C$18)</f>
        <v>0.84133181158227</v>
      </c>
      <c r="E28" s="21" t="n">
        <f aca="false">SUMPRODUCT(($B$2:$B$18=$A28)*E$2:E$18*$C$2:$C$18)</f>
        <v>0.84133181158227</v>
      </c>
      <c r="F28" s="21" t="n">
        <f aca="false">SUMPRODUCT(($B$2:$B$18=$A28)*F$2:F$18*$C$2:$C$18)</f>
        <v>0.84133181158227</v>
      </c>
      <c r="G28" s="21" t="n">
        <f aca="false">SUMPRODUCT(($B$2:$B$18=$A28)*G$2:G$18*$C$2:$C$18)</f>
        <v>0.84133181158227</v>
      </c>
      <c r="H28" s="21" t="n">
        <f aca="false">SUMPRODUCT(($B$2:$B$18=$A28)*H$2:H$18*$C$2:$C$18)</f>
        <v>0.84133181158227</v>
      </c>
      <c r="I28" s="21" t="n">
        <f aca="false">SUMPRODUCT(($B$2:$B$18=$A28)*I$2:I$18*$C$2:$C$18)</f>
        <v>0.84133181158227</v>
      </c>
      <c r="J28" s="21" t="n">
        <f aca="false">SUMPRODUCT(($B$2:$B$18=$A28)*J$2:J$18*$C$2:$C$18)</f>
        <v>0.84133181158227</v>
      </c>
      <c r="K28" s="21" t="n">
        <f aca="false">SUMPRODUCT(($B$2:$B$18=$A28)*K$2:K$18*$C$2:$C$18)</f>
        <v>0.84133181158227</v>
      </c>
      <c r="L28" s="21" t="n">
        <f aca="false">SUMPRODUCT(($B$2:$B$18=$A28)*L$2:L$18*$C$2:$C$18)</f>
        <v>0.84133181158227</v>
      </c>
      <c r="M28" s="21" t="n">
        <f aca="false">SUMPRODUCT(($B$2:$B$18=$A28)*M$2:M$18*$C$2:$C$18)</f>
        <v>0.84133181158227</v>
      </c>
      <c r="N28" s="21" t="n">
        <f aca="false">SUMPRODUCT(($B$2:$B$18=$A28)*N$2:N$18*$C$2:$C$18)</f>
        <v>0.84133181158227</v>
      </c>
      <c r="O28" s="21" t="n">
        <f aca="false">SUMPRODUCT(($B$2:$B$18=$A28)*O$2:O$18*$C$2:$C$18)</f>
        <v>0.84133181158227</v>
      </c>
      <c r="P28" s="21" t="n">
        <f aca="false">SUMPRODUCT(($B$2:$B$18=$A28)*P$2:P$18*$C$2:$C$18)</f>
        <v>10.0959817389872</v>
      </c>
    </row>
    <row r="29" customFormat="false" ht="15" hidden="false" customHeight="false" outlineLevel="0" collapsed="false">
      <c r="A29" s="4" t="s">
        <v>358</v>
      </c>
      <c r="D29" s="22" t="n">
        <f aca="false">SUMPRODUCT(D$2:D$18*parametros_recargas!$D$51:$D$67)</f>
        <v>9.57014915457966</v>
      </c>
      <c r="E29" s="22" t="n">
        <f aca="false">SUMPRODUCT(E$2:E$18*parametros_recargas!$D$51:$D$67)</f>
        <v>9.57014915457966</v>
      </c>
      <c r="F29" s="22" t="n">
        <f aca="false">SUMPRODUCT(F$2:F$18*parametros_recargas!$D$51:$D$67)</f>
        <v>9.57014915457966</v>
      </c>
      <c r="G29" s="22" t="n">
        <f aca="false">SUMPRODUCT(G$2:G$18*parametros_recargas!$D$51:$D$67)</f>
        <v>9.57014915457966</v>
      </c>
      <c r="H29" s="22" t="n">
        <f aca="false">SUMPRODUCT(H$2:H$18*parametros_recargas!$D$51:$D$67)</f>
        <v>9.57014915457966</v>
      </c>
      <c r="I29" s="22" t="n">
        <f aca="false">SUMPRODUCT(I$2:I$18*parametros_recargas!$D$51:$D$67)</f>
        <v>9.57014915457966</v>
      </c>
      <c r="J29" s="22" t="n">
        <f aca="false">SUMPRODUCT(J$2:J$18*parametros_recargas!$D$51:$D$67)</f>
        <v>9.57014915457966</v>
      </c>
      <c r="K29" s="22" t="n">
        <f aca="false">SUMPRODUCT(K$2:K$18*parametros_recargas!$D$51:$D$67)</f>
        <v>9.57014915457966</v>
      </c>
      <c r="L29" s="22" t="n">
        <f aca="false">SUMPRODUCT(L$2:L$18*parametros_recargas!$D$51:$D$67)</f>
        <v>9.57014915457966</v>
      </c>
      <c r="M29" s="22" t="n">
        <f aca="false">SUMPRODUCT(M$2:M$18*parametros_recargas!$D$51:$D$67)</f>
        <v>9.57014915457966</v>
      </c>
      <c r="N29" s="22" t="n">
        <f aca="false">SUMPRODUCT(N$2:N$18*parametros_recargas!$D$51:$D$67)</f>
        <v>9.57014915457966</v>
      </c>
      <c r="O29" s="22" t="n">
        <f aca="false">SUMPRODUCT(O$2:O$18*parametros_recargas!$D$51:$D$67)</f>
        <v>9.57014915457966</v>
      </c>
      <c r="P29" s="22" t="n">
        <f aca="false">SUMPRODUCT(P$2:P$18*parametros_recargas!$D$51:$D$67)</f>
        <v>114.841789854956</v>
      </c>
    </row>
    <row r="30" customFormat="false" ht="15" hidden="false" customHeight="false" outlineLevel="0" collapsed="false">
      <c r="A30" s="4" t="s">
        <v>359</v>
      </c>
      <c r="D30" s="22" t="n">
        <f aca="false">SUMPRODUCT(sobrestock_sustitutos!$B$73:$B$89*(sobrestock_sustitutos!$F$30:$F$46="Fábrica: cilindro vacío")*parametros_recargas!$C$51:$C$67*parametros_recargas!$B$107:$B$123)</f>
        <v>2.92</v>
      </c>
      <c r="E30" s="22" t="n">
        <f aca="false">SUMPRODUCT(sobrestock_sustitutos!$B$73:$B$89*(sobrestock_sustitutos!$F$30:$F$46="Fábrica: cilindro vacío")*parametros_recargas!$C$51:$C$67*parametros_recargas!$C$107:$C$123)</f>
        <v>2.42</v>
      </c>
      <c r="F30" s="22" t="n">
        <f aca="false">SUMPRODUCT(sobrestock_sustitutos!$B$73:$B$89*(sobrestock_sustitutos!$F$30:$F$46="Fábrica: cilindro vacío")*parametros_recargas!$C$51:$C$67*parametros_recargas!$D$107:$D$123)</f>
        <v>2.695</v>
      </c>
      <c r="G30" s="22" t="n">
        <f aca="false">SUMPRODUCT(sobrestock_sustitutos!$B$73:$B$89*(sobrestock_sustitutos!$F$30:$F$46="Fábrica: cilindro vacío")*parametros_recargas!$C$51:$C$67*parametros_recargas!$E$107:$E$123)</f>
        <v>2.695</v>
      </c>
      <c r="H30" s="22" t="n">
        <f aca="false">SUMPRODUCT(sobrestock_sustitutos!$B$73:$B$89*(sobrestock_sustitutos!$F$30:$F$46="Fábrica: cilindro vacío")*parametros_recargas!$C$51:$C$67*parametros_recargas!$F$107:$F$123)</f>
        <v>2.6</v>
      </c>
      <c r="I30" s="22" t="n">
        <f aca="false">SUMPRODUCT(sobrestock_sustitutos!$B$73:$B$89*(sobrestock_sustitutos!$F$30:$F$46="Fábrica: cilindro vacío")*parametros_recargas!$C$51:$C$67*parametros_recargas!$G$107:$G$123)</f>
        <v>2.385</v>
      </c>
      <c r="J30" s="22" t="n">
        <f aca="false">SUMPRODUCT(sobrestock_sustitutos!$B$73:$B$89*(sobrestock_sustitutos!$F$30:$F$46="Fábrica: cilindro vacío")*parametros_recargas!$C$51:$C$67*parametros_recargas!$H$107:$H$123)</f>
        <v>2.6</v>
      </c>
      <c r="K30" s="22" t="n">
        <f aca="false">SUMPRODUCT(sobrestock_sustitutos!$B$73:$B$89*(sobrestock_sustitutos!$F$30:$F$46="Fábrica: cilindro vacío")*parametros_recargas!$C$51:$C$67*parametros_recargas!$I$107:$I$123)</f>
        <v>2.6</v>
      </c>
      <c r="L30" s="22" t="n">
        <f aca="false">SUMPRODUCT(sobrestock_sustitutos!$B$73:$B$89*(sobrestock_sustitutos!$F$30:$F$46="Fábrica: cilindro vacío")*parametros_recargas!$C$51:$C$67*parametros_recargas!$J$107:$J$123)</f>
        <v>2.54</v>
      </c>
      <c r="M30" s="22" t="n">
        <f aca="false">SUMPRODUCT(sobrestock_sustitutos!$B$73:$B$89*(sobrestock_sustitutos!$F$30:$F$46="Fábrica: cilindro vacío")*parametros_recargas!$C$51:$C$67*parametros_recargas!$K$107:$K$123)</f>
        <v>2.325</v>
      </c>
      <c r="N30" s="22" t="n">
        <f aca="false">SUMPRODUCT(sobrestock_sustitutos!$B$73:$B$89*(sobrestock_sustitutos!$F$30:$F$46="Fábrica: cilindro vacío")*parametros_recargas!$C$51:$C$67*parametros_recargas!$L$107:$L$123)</f>
        <v>2.17</v>
      </c>
      <c r="O30" s="22" t="n">
        <f aca="false">SUMPRODUCT(sobrestock_sustitutos!$B$73:$B$89*(sobrestock_sustitutos!$F$30:$F$46="Fábrica: cilindro vacío")*parametros_recargas!$C$51:$C$67*parametros_recargas!$M$107:$M$123)</f>
        <v>3.05</v>
      </c>
      <c r="P30" s="7" t="n">
        <f aca="false">SUM(D30:O30)</f>
        <v>31</v>
      </c>
    </row>
    <row r="33" customFormat="false" ht="23.85" hidden="false" customHeight="false" outlineLevel="0" collapsed="false">
      <c r="A33" s="23" t="n">
        <v>2027</v>
      </c>
      <c r="B33" s="3" t="s">
        <v>353</v>
      </c>
      <c r="C33" s="3" t="s">
        <v>354</v>
      </c>
      <c r="D33" s="3" t="s">
        <v>147</v>
      </c>
      <c r="E33" s="3" t="s">
        <v>148</v>
      </c>
      <c r="F33" s="3" t="s">
        <v>149</v>
      </c>
      <c r="G33" s="3" t="s">
        <v>150</v>
      </c>
      <c r="H33" s="3" t="s">
        <v>151</v>
      </c>
      <c r="I33" s="3" t="s">
        <v>152</v>
      </c>
      <c r="J33" s="3" t="s">
        <v>153</v>
      </c>
      <c r="K33" s="3" t="s">
        <v>154</v>
      </c>
      <c r="L33" s="3" t="s">
        <v>155</v>
      </c>
      <c r="M33" s="3" t="s">
        <v>156</v>
      </c>
      <c r="N33" s="3" t="s">
        <v>157</v>
      </c>
      <c r="O33" s="3" t="s">
        <v>158</v>
      </c>
      <c r="P33" s="3" t="s">
        <v>83</v>
      </c>
      <c r="Q33" s="3" t="s">
        <v>355</v>
      </c>
    </row>
    <row r="34" customFormat="false" ht="15" hidden="false" customHeight="false" outlineLevel="0" collapsed="false">
      <c r="A34" s="9" t="str">
        <f aca="false">parametros_recargas!A51</f>
        <v>ABC 1 kg</v>
      </c>
      <c r="B34" s="9" t="str">
        <f aca="false">parametros_recargas!B51</f>
        <v>ABC</v>
      </c>
      <c r="C34" s="11" t="n">
        <f aca="false">parametros_recargas!C51</f>
        <v>1</v>
      </c>
      <c r="D34" s="21" t="n">
        <f aca="false">datos_base!$C$2*parametros_recargas!$B$38+sobrestock_sustitutos!$C$98/12</f>
        <v>784.210393172741</v>
      </c>
      <c r="E34" s="21" t="n">
        <f aca="false">datos_base!$C$2*parametros_recargas!$C$38+sobrestock_sustitutos!$C$98/12</f>
        <v>784.210393172741</v>
      </c>
      <c r="F34" s="21" t="n">
        <f aca="false">datos_base!$C$2*parametros_recargas!$D$38+sobrestock_sustitutos!$C$98/12</f>
        <v>784.210393172741</v>
      </c>
      <c r="G34" s="21" t="n">
        <f aca="false">datos_base!$C$2*parametros_recargas!$E$38+sobrestock_sustitutos!$C$98/12</f>
        <v>784.210393172741</v>
      </c>
      <c r="H34" s="21" t="n">
        <f aca="false">datos_base!$C$2*parametros_recargas!$F$38+sobrestock_sustitutos!$C$98/12</f>
        <v>784.210393172741</v>
      </c>
      <c r="I34" s="21" t="n">
        <f aca="false">datos_base!$C$2*parametros_recargas!$G$38+sobrestock_sustitutos!$C$98/12</f>
        <v>784.210393172741</v>
      </c>
      <c r="J34" s="21" t="n">
        <f aca="false">datos_base!$C$2*parametros_recargas!$H$38+sobrestock_sustitutos!$C$98/12</f>
        <v>784.210393172741</v>
      </c>
      <c r="K34" s="21" t="n">
        <f aca="false">datos_base!$C$2*parametros_recargas!$I$38+sobrestock_sustitutos!$C$98/12</f>
        <v>784.210393172741</v>
      </c>
      <c r="L34" s="21" t="n">
        <f aca="false">datos_base!$C$2*parametros_recargas!$J$38+sobrestock_sustitutos!$C$98/12</f>
        <v>784.210393172741</v>
      </c>
      <c r="M34" s="21" t="n">
        <f aca="false">datos_base!$C$2*parametros_recargas!$K$38+sobrestock_sustitutos!$C$98/12</f>
        <v>784.210393172741</v>
      </c>
      <c r="N34" s="21" t="n">
        <f aca="false">datos_base!$C$2*parametros_recargas!$L$38+sobrestock_sustitutos!$C$98/12</f>
        <v>784.210393172741</v>
      </c>
      <c r="O34" s="21" t="n">
        <f aca="false">datos_base!$C$2*parametros_recargas!$M$38+sobrestock_sustitutos!$C$98/12</f>
        <v>784.210393172741</v>
      </c>
      <c r="P34" s="7" t="n">
        <f aca="false">SUM(D34:O34)</f>
        <v>9410.52471807289</v>
      </c>
      <c r="Q34" s="6" t="n">
        <f aca="false">sobrestock_sustitutos!$C$98</f>
        <v>0</v>
      </c>
    </row>
    <row r="35" customFormat="false" ht="15" hidden="false" customHeight="false" outlineLevel="0" collapsed="false">
      <c r="A35" s="9" t="str">
        <f aca="false">parametros_recargas!A52</f>
        <v>ABC 2,5 kg</v>
      </c>
      <c r="B35" s="9" t="str">
        <f aca="false">parametros_recargas!B52</f>
        <v>ABC</v>
      </c>
      <c r="C35" s="11" t="n">
        <f aca="false">parametros_recargas!C52</f>
        <v>1</v>
      </c>
      <c r="D35" s="21" t="n">
        <f aca="false">datos_base!$C$3*parametros_recargas!$B$38+sobrestock_sustitutos!$C$99/12</f>
        <v>59.7413740370565</v>
      </c>
      <c r="E35" s="21" t="n">
        <f aca="false">datos_base!$C$3*parametros_recargas!$C$38+sobrestock_sustitutos!$C$99/12</f>
        <v>59.7413740370565</v>
      </c>
      <c r="F35" s="21" t="n">
        <f aca="false">datos_base!$C$3*parametros_recargas!$D$38+sobrestock_sustitutos!$C$99/12</f>
        <v>59.7413740370565</v>
      </c>
      <c r="G35" s="21" t="n">
        <f aca="false">datos_base!$C$3*parametros_recargas!$E$38+sobrestock_sustitutos!$C$99/12</f>
        <v>59.7413740370565</v>
      </c>
      <c r="H35" s="21" t="n">
        <f aca="false">datos_base!$C$3*parametros_recargas!$F$38+sobrestock_sustitutos!$C$99/12</f>
        <v>59.7413740370565</v>
      </c>
      <c r="I35" s="21" t="n">
        <f aca="false">datos_base!$C$3*parametros_recargas!$G$38+sobrestock_sustitutos!$C$99/12</f>
        <v>59.7413740370565</v>
      </c>
      <c r="J35" s="21" t="n">
        <f aca="false">datos_base!$C$3*parametros_recargas!$H$38+sobrestock_sustitutos!$C$99/12</f>
        <v>59.7413740370565</v>
      </c>
      <c r="K35" s="21" t="n">
        <f aca="false">datos_base!$C$3*parametros_recargas!$I$38+sobrestock_sustitutos!$C$99/12</f>
        <v>59.7413740370565</v>
      </c>
      <c r="L35" s="21" t="n">
        <f aca="false">datos_base!$C$3*parametros_recargas!$J$38+sobrestock_sustitutos!$C$99/12</f>
        <v>59.7413740370565</v>
      </c>
      <c r="M35" s="21" t="n">
        <f aca="false">datos_base!$C$3*parametros_recargas!$K$38+sobrestock_sustitutos!$C$99/12</f>
        <v>59.7413740370565</v>
      </c>
      <c r="N35" s="21" t="n">
        <f aca="false">datos_base!$C$3*parametros_recargas!$L$38+sobrestock_sustitutos!$C$99/12</f>
        <v>59.7413740370565</v>
      </c>
      <c r="O35" s="21" t="n">
        <f aca="false">datos_base!$C$3*parametros_recargas!$M$38+sobrestock_sustitutos!$C$99/12</f>
        <v>59.7413740370565</v>
      </c>
      <c r="P35" s="7" t="n">
        <f aca="false">SUM(D35:O35)</f>
        <v>716.896488444678</v>
      </c>
      <c r="Q35" s="6" t="n">
        <f aca="false">sobrestock_sustitutos!$C$99</f>
        <v>3</v>
      </c>
    </row>
    <row r="36" customFormat="false" ht="15" hidden="false" customHeight="false" outlineLevel="0" collapsed="false">
      <c r="A36" s="9" t="str">
        <f aca="false">parametros_recargas!A53</f>
        <v>ABC 5 kg</v>
      </c>
      <c r="B36" s="9" t="str">
        <f aca="false">parametros_recargas!B53</f>
        <v>ABC</v>
      </c>
      <c r="C36" s="11" t="n">
        <f aca="false">parametros_recargas!C53</f>
        <v>1</v>
      </c>
      <c r="D36" s="21" t="n">
        <f aca="false">datos_base!$C$4*parametros_recargas!$B$38+sobrestock_sustitutos!$C$100/12</f>
        <v>364.119330949309</v>
      </c>
      <c r="E36" s="21" t="n">
        <f aca="false">datos_base!$C$4*parametros_recargas!$C$38+sobrestock_sustitutos!$C$100/12</f>
        <v>364.119330949309</v>
      </c>
      <c r="F36" s="21" t="n">
        <f aca="false">datos_base!$C$4*parametros_recargas!$D$38+sobrestock_sustitutos!$C$100/12</f>
        <v>364.119330949309</v>
      </c>
      <c r="G36" s="21" t="n">
        <f aca="false">datos_base!$C$4*parametros_recargas!$E$38+sobrestock_sustitutos!$C$100/12</f>
        <v>364.119330949309</v>
      </c>
      <c r="H36" s="21" t="n">
        <f aca="false">datos_base!$C$4*parametros_recargas!$F$38+sobrestock_sustitutos!$C$100/12</f>
        <v>364.119330949309</v>
      </c>
      <c r="I36" s="21" t="n">
        <f aca="false">datos_base!$C$4*parametros_recargas!$G$38+sobrestock_sustitutos!$C$100/12</f>
        <v>364.119330949309</v>
      </c>
      <c r="J36" s="21" t="n">
        <f aca="false">datos_base!$C$4*parametros_recargas!$H$38+sobrestock_sustitutos!$C$100/12</f>
        <v>364.119330949309</v>
      </c>
      <c r="K36" s="21" t="n">
        <f aca="false">datos_base!$C$4*parametros_recargas!$I$38+sobrestock_sustitutos!$C$100/12</f>
        <v>364.119330949309</v>
      </c>
      <c r="L36" s="21" t="n">
        <f aca="false">datos_base!$C$4*parametros_recargas!$J$38+sobrestock_sustitutos!$C$100/12</f>
        <v>364.119330949309</v>
      </c>
      <c r="M36" s="21" t="n">
        <f aca="false">datos_base!$C$4*parametros_recargas!$K$38+sobrestock_sustitutos!$C$100/12</f>
        <v>364.119330949309</v>
      </c>
      <c r="N36" s="21" t="n">
        <f aca="false">datos_base!$C$4*parametros_recargas!$L$38+sobrestock_sustitutos!$C$100/12</f>
        <v>364.119330949309</v>
      </c>
      <c r="O36" s="21" t="n">
        <f aca="false">datos_base!$C$4*parametros_recargas!$M$38+sobrestock_sustitutos!$C$100/12</f>
        <v>364.119330949309</v>
      </c>
      <c r="P36" s="7" t="n">
        <f aca="false">SUM(D36:O36)</f>
        <v>4369.4319713917</v>
      </c>
      <c r="Q36" s="6" t="n">
        <f aca="false">sobrestock_sustitutos!$C$100</f>
        <v>15</v>
      </c>
    </row>
    <row r="37" customFormat="false" ht="15" hidden="false" customHeight="false" outlineLevel="0" collapsed="false">
      <c r="A37" s="9" t="str">
        <f aca="false">parametros_recargas!A54</f>
        <v>ABC 10 kg</v>
      </c>
      <c r="B37" s="9" t="str">
        <f aca="false">parametros_recargas!B54</f>
        <v>ABC</v>
      </c>
      <c r="C37" s="11" t="n">
        <f aca="false">parametros_recargas!C54</f>
        <v>1</v>
      </c>
      <c r="D37" s="21" t="n">
        <f aca="false">datos_base!$C$5*parametros_recargas!$B$38+sobrestock_sustitutos!$C$101/12</f>
        <v>20.3102068787301</v>
      </c>
      <c r="E37" s="21" t="n">
        <f aca="false">datos_base!$C$5*parametros_recargas!$C$38+sobrestock_sustitutos!$C$101/12</f>
        <v>20.3102068787301</v>
      </c>
      <c r="F37" s="21" t="n">
        <f aca="false">datos_base!$C$5*parametros_recargas!$D$38+sobrestock_sustitutos!$C$101/12</f>
        <v>20.3102068787301</v>
      </c>
      <c r="G37" s="21" t="n">
        <f aca="false">datos_base!$C$5*parametros_recargas!$E$38+sobrestock_sustitutos!$C$101/12</f>
        <v>20.3102068787301</v>
      </c>
      <c r="H37" s="21" t="n">
        <f aca="false">datos_base!$C$5*parametros_recargas!$F$38+sobrestock_sustitutos!$C$101/12</f>
        <v>20.3102068787301</v>
      </c>
      <c r="I37" s="21" t="n">
        <f aca="false">datos_base!$C$5*parametros_recargas!$G$38+sobrestock_sustitutos!$C$101/12</f>
        <v>20.3102068787301</v>
      </c>
      <c r="J37" s="21" t="n">
        <f aca="false">datos_base!$C$5*parametros_recargas!$H$38+sobrestock_sustitutos!$C$101/12</f>
        <v>20.3102068787301</v>
      </c>
      <c r="K37" s="21" t="n">
        <f aca="false">datos_base!$C$5*parametros_recargas!$I$38+sobrestock_sustitutos!$C$101/12</f>
        <v>20.3102068787301</v>
      </c>
      <c r="L37" s="21" t="n">
        <f aca="false">datos_base!$C$5*parametros_recargas!$J$38+sobrestock_sustitutos!$C$101/12</f>
        <v>20.3102068787301</v>
      </c>
      <c r="M37" s="21" t="n">
        <f aca="false">datos_base!$C$5*parametros_recargas!$K$38+sobrestock_sustitutos!$C$101/12</f>
        <v>20.3102068787301</v>
      </c>
      <c r="N37" s="21" t="n">
        <f aca="false">datos_base!$C$5*parametros_recargas!$L$38+sobrestock_sustitutos!$C$101/12</f>
        <v>20.3102068787301</v>
      </c>
      <c r="O37" s="21" t="n">
        <f aca="false">datos_base!$C$5*parametros_recargas!$M$38+sobrestock_sustitutos!$C$101/12</f>
        <v>20.3102068787301</v>
      </c>
      <c r="P37" s="7" t="n">
        <f aca="false">SUM(D37:O37)</f>
        <v>243.722482544761</v>
      </c>
      <c r="Q37" s="6" t="n">
        <f aca="false">sobrestock_sustitutos!$C$101</f>
        <v>1</v>
      </c>
    </row>
    <row r="38" customFormat="false" ht="15" hidden="false" customHeight="false" outlineLevel="0" collapsed="false">
      <c r="A38" s="9" t="str">
        <f aca="false">parametros_recargas!A55</f>
        <v>Agua 10 l</v>
      </c>
      <c r="B38" s="9" t="str">
        <f aca="false">parametros_recargas!B55</f>
        <v>Agua</v>
      </c>
      <c r="C38" s="11" t="n">
        <f aca="false">parametros_recargas!C55</f>
        <v>1</v>
      </c>
      <c r="D38" s="21" t="n">
        <f aca="false">datos_base!$C$6*parametros_recargas!$B$38+sobrestock_sustitutos!$C$102/12</f>
        <v>29.8992545426628</v>
      </c>
      <c r="E38" s="21" t="n">
        <f aca="false">datos_base!$C$6*parametros_recargas!$C$38+sobrestock_sustitutos!$C$102/12</f>
        <v>29.8992545426628</v>
      </c>
      <c r="F38" s="21" t="n">
        <f aca="false">datos_base!$C$6*parametros_recargas!$D$38+sobrestock_sustitutos!$C$102/12</f>
        <v>29.8992545426628</v>
      </c>
      <c r="G38" s="21" t="n">
        <f aca="false">datos_base!$C$6*parametros_recargas!$E$38+sobrestock_sustitutos!$C$102/12</f>
        <v>29.8992545426628</v>
      </c>
      <c r="H38" s="21" t="n">
        <f aca="false">datos_base!$C$6*parametros_recargas!$F$38+sobrestock_sustitutos!$C$102/12</f>
        <v>29.8992545426628</v>
      </c>
      <c r="I38" s="21" t="n">
        <f aca="false">datos_base!$C$6*parametros_recargas!$G$38+sobrestock_sustitutos!$C$102/12</f>
        <v>29.8992545426628</v>
      </c>
      <c r="J38" s="21" t="n">
        <f aca="false">datos_base!$C$6*parametros_recargas!$H$38+sobrestock_sustitutos!$C$102/12</f>
        <v>29.8992545426628</v>
      </c>
      <c r="K38" s="21" t="n">
        <f aca="false">datos_base!$C$6*parametros_recargas!$I$38+sobrestock_sustitutos!$C$102/12</f>
        <v>29.8992545426628</v>
      </c>
      <c r="L38" s="21" t="n">
        <f aca="false">datos_base!$C$6*parametros_recargas!$J$38+sobrestock_sustitutos!$C$102/12</f>
        <v>29.8992545426628</v>
      </c>
      <c r="M38" s="21" t="n">
        <f aca="false">datos_base!$C$6*parametros_recargas!$K$38+sobrestock_sustitutos!$C$102/12</f>
        <v>29.8992545426628</v>
      </c>
      <c r="N38" s="21" t="n">
        <f aca="false">datos_base!$C$6*parametros_recargas!$L$38+sobrestock_sustitutos!$C$102/12</f>
        <v>29.8992545426628</v>
      </c>
      <c r="O38" s="21" t="n">
        <f aca="false">datos_base!$C$6*parametros_recargas!$M$38+sobrestock_sustitutos!$C$102/12</f>
        <v>29.8992545426628</v>
      </c>
      <c r="P38" s="7" t="n">
        <f aca="false">SUM(D38:O38)</f>
        <v>358.791054511953</v>
      </c>
      <c r="Q38" s="6" t="n">
        <f aca="false">sobrestock_sustitutos!$C$102</f>
        <v>2</v>
      </c>
    </row>
    <row r="39" customFormat="false" ht="15" hidden="false" customHeight="false" outlineLevel="0" collapsed="false">
      <c r="A39" s="9" t="str">
        <f aca="false">parametros_recargas!A56</f>
        <v>AFFF 10 l</v>
      </c>
      <c r="B39" s="9" t="str">
        <f aca="false">parametros_recargas!B56</f>
        <v>AFFF</v>
      </c>
      <c r="C39" s="11" t="n">
        <f aca="false">parametros_recargas!C56</f>
        <v>1</v>
      </c>
      <c r="D39" s="21" t="n">
        <f aca="false">datos_base!$C$7*parametros_recargas!$B$38+sobrestock_sustitutos!$C$103/12</f>
        <v>7.53773067708145</v>
      </c>
      <c r="E39" s="21" t="n">
        <f aca="false">datos_base!$C$7*parametros_recargas!$C$38+sobrestock_sustitutos!$C$103/12</f>
        <v>7.53773067708145</v>
      </c>
      <c r="F39" s="21" t="n">
        <f aca="false">datos_base!$C$7*parametros_recargas!$D$38+sobrestock_sustitutos!$C$103/12</f>
        <v>7.53773067708145</v>
      </c>
      <c r="G39" s="21" t="n">
        <f aca="false">datos_base!$C$7*parametros_recargas!$E$38+sobrestock_sustitutos!$C$103/12</f>
        <v>7.53773067708145</v>
      </c>
      <c r="H39" s="21" t="n">
        <f aca="false">datos_base!$C$7*parametros_recargas!$F$38+sobrestock_sustitutos!$C$103/12</f>
        <v>7.53773067708145</v>
      </c>
      <c r="I39" s="21" t="n">
        <f aca="false">datos_base!$C$7*parametros_recargas!$G$38+sobrestock_sustitutos!$C$103/12</f>
        <v>7.53773067708145</v>
      </c>
      <c r="J39" s="21" t="n">
        <f aca="false">datos_base!$C$7*parametros_recargas!$H$38+sobrestock_sustitutos!$C$103/12</f>
        <v>7.53773067708145</v>
      </c>
      <c r="K39" s="21" t="n">
        <f aca="false">datos_base!$C$7*parametros_recargas!$I$38+sobrestock_sustitutos!$C$103/12</f>
        <v>7.53773067708145</v>
      </c>
      <c r="L39" s="21" t="n">
        <f aca="false">datos_base!$C$7*parametros_recargas!$J$38+sobrestock_sustitutos!$C$103/12</f>
        <v>7.53773067708145</v>
      </c>
      <c r="M39" s="21" t="n">
        <f aca="false">datos_base!$C$7*parametros_recargas!$K$38+sobrestock_sustitutos!$C$103/12</f>
        <v>7.53773067708145</v>
      </c>
      <c r="N39" s="21" t="n">
        <f aca="false">datos_base!$C$7*parametros_recargas!$L$38+sobrestock_sustitutos!$C$103/12</f>
        <v>7.53773067708145</v>
      </c>
      <c r="O39" s="21" t="n">
        <f aca="false">datos_base!$C$7*parametros_recargas!$M$38+sobrestock_sustitutos!$C$103/12</f>
        <v>7.53773067708145</v>
      </c>
      <c r="P39" s="7" t="n">
        <f aca="false">SUM(D39:O39)</f>
        <v>90.4527681249774</v>
      </c>
      <c r="Q39" s="6" t="n">
        <f aca="false">sobrestock_sustitutos!$C$103</f>
        <v>1</v>
      </c>
    </row>
    <row r="40" customFormat="false" ht="15" hidden="false" customHeight="false" outlineLevel="0" collapsed="false">
      <c r="A40" s="9" t="str">
        <f aca="false">parametros_recargas!A57</f>
        <v>AFFF 50 l s/ruedas</v>
      </c>
      <c r="B40" s="9" t="str">
        <f aca="false">parametros_recargas!B57</f>
        <v>AFFF</v>
      </c>
      <c r="C40" s="11" t="n">
        <f aca="false">parametros_recargas!C57</f>
        <v>3</v>
      </c>
      <c r="D40" s="21" t="n">
        <f aca="false">datos_base!$C$8*parametros_recargas!$B$38+sobrestock_sustitutos!$C$104/12</f>
        <v>3.92909038172824</v>
      </c>
      <c r="E40" s="21" t="n">
        <f aca="false">datos_base!$C$8*parametros_recargas!$C$38+sobrestock_sustitutos!$C$104/12</f>
        <v>3.92909038172824</v>
      </c>
      <c r="F40" s="21" t="n">
        <f aca="false">datos_base!$C$8*parametros_recargas!$D$38+sobrestock_sustitutos!$C$104/12</f>
        <v>3.92909038172824</v>
      </c>
      <c r="G40" s="21" t="n">
        <f aca="false">datos_base!$C$8*parametros_recargas!$E$38+sobrestock_sustitutos!$C$104/12</f>
        <v>3.92909038172824</v>
      </c>
      <c r="H40" s="21" t="n">
        <f aca="false">datos_base!$C$8*parametros_recargas!$F$38+sobrestock_sustitutos!$C$104/12</f>
        <v>3.92909038172824</v>
      </c>
      <c r="I40" s="21" t="n">
        <f aca="false">datos_base!$C$8*parametros_recargas!$G$38+sobrestock_sustitutos!$C$104/12</f>
        <v>3.92909038172824</v>
      </c>
      <c r="J40" s="21" t="n">
        <f aca="false">datos_base!$C$8*parametros_recargas!$H$38+sobrestock_sustitutos!$C$104/12</f>
        <v>3.92909038172824</v>
      </c>
      <c r="K40" s="21" t="n">
        <f aca="false">datos_base!$C$8*parametros_recargas!$I$38+sobrestock_sustitutos!$C$104/12</f>
        <v>3.92909038172824</v>
      </c>
      <c r="L40" s="21" t="n">
        <f aca="false">datos_base!$C$8*parametros_recargas!$J$38+sobrestock_sustitutos!$C$104/12</f>
        <v>3.92909038172824</v>
      </c>
      <c r="M40" s="21" t="n">
        <f aca="false">datos_base!$C$8*parametros_recargas!$K$38+sobrestock_sustitutos!$C$104/12</f>
        <v>3.92909038172824</v>
      </c>
      <c r="N40" s="21" t="n">
        <f aca="false">datos_base!$C$8*parametros_recargas!$L$38+sobrestock_sustitutos!$C$104/12</f>
        <v>3.92909038172824</v>
      </c>
      <c r="O40" s="21" t="n">
        <f aca="false">datos_base!$C$8*parametros_recargas!$M$38+sobrestock_sustitutos!$C$104/12</f>
        <v>3.92909038172824</v>
      </c>
      <c r="P40" s="7" t="n">
        <f aca="false">SUM(D40:O40)</f>
        <v>47.1490845807389</v>
      </c>
      <c r="Q40" s="6" t="n">
        <f aca="false">sobrestock_sustitutos!$C$104</f>
        <v>1</v>
      </c>
    </row>
    <row r="41" customFormat="false" ht="15" hidden="false" customHeight="false" outlineLevel="0" collapsed="false">
      <c r="A41" s="9" t="str">
        <f aca="false">parametros_recargas!A58</f>
        <v>BC 5 kg</v>
      </c>
      <c r="B41" s="9" t="str">
        <f aca="false">parametros_recargas!B58</f>
        <v>BC</v>
      </c>
      <c r="C41" s="11" t="n">
        <f aca="false">parametros_recargas!C58</f>
        <v>1</v>
      </c>
      <c r="D41" s="21" t="n">
        <f aca="false">datos_base!$C$9*parametros_recargas!$B$38+sobrestock_sustitutos!$C$105/12</f>
        <v>2.25858081462087</v>
      </c>
      <c r="E41" s="21" t="n">
        <f aca="false">datos_base!$C$9*parametros_recargas!$C$38+sobrestock_sustitutos!$C$105/12</f>
        <v>2.25858081462087</v>
      </c>
      <c r="F41" s="21" t="n">
        <f aca="false">datos_base!$C$9*parametros_recargas!$D$38+sobrestock_sustitutos!$C$105/12</f>
        <v>2.25858081462087</v>
      </c>
      <c r="G41" s="21" t="n">
        <f aca="false">datos_base!$C$9*parametros_recargas!$E$38+sobrestock_sustitutos!$C$105/12</f>
        <v>2.25858081462087</v>
      </c>
      <c r="H41" s="21" t="n">
        <f aca="false">datos_base!$C$9*parametros_recargas!$F$38+sobrestock_sustitutos!$C$105/12</f>
        <v>2.25858081462087</v>
      </c>
      <c r="I41" s="21" t="n">
        <f aca="false">datos_base!$C$9*parametros_recargas!$G$38+sobrestock_sustitutos!$C$105/12</f>
        <v>2.25858081462087</v>
      </c>
      <c r="J41" s="21" t="n">
        <f aca="false">datos_base!$C$9*parametros_recargas!$H$38+sobrestock_sustitutos!$C$105/12</f>
        <v>2.25858081462087</v>
      </c>
      <c r="K41" s="21" t="n">
        <f aca="false">datos_base!$C$9*parametros_recargas!$I$38+sobrestock_sustitutos!$C$105/12</f>
        <v>2.25858081462087</v>
      </c>
      <c r="L41" s="21" t="n">
        <f aca="false">datos_base!$C$9*parametros_recargas!$J$38+sobrestock_sustitutos!$C$105/12</f>
        <v>2.25858081462087</v>
      </c>
      <c r="M41" s="21" t="n">
        <f aca="false">datos_base!$C$9*parametros_recargas!$K$38+sobrestock_sustitutos!$C$105/12</f>
        <v>2.25858081462087</v>
      </c>
      <c r="N41" s="21" t="n">
        <f aca="false">datos_base!$C$9*parametros_recargas!$L$38+sobrestock_sustitutos!$C$105/12</f>
        <v>2.25858081462087</v>
      </c>
      <c r="O41" s="21" t="n">
        <f aca="false">datos_base!$C$9*parametros_recargas!$M$38+sobrestock_sustitutos!$C$105/12</f>
        <v>2.25858081462087</v>
      </c>
      <c r="P41" s="7" t="n">
        <f aca="false">SUM(D41:O41)</f>
        <v>27.1029697754505</v>
      </c>
      <c r="Q41" s="6" t="n">
        <f aca="false">sobrestock_sustitutos!$C$105</f>
        <v>1</v>
      </c>
    </row>
    <row r="42" customFormat="false" ht="15" hidden="false" customHeight="false" outlineLevel="0" collapsed="false">
      <c r="A42" s="9" t="str">
        <f aca="false">parametros_recargas!A59</f>
        <v>Sales K 6 l</v>
      </c>
      <c r="B42" s="9" t="str">
        <f aca="false">parametros_recargas!B59</f>
        <v>Sales K</v>
      </c>
      <c r="C42" s="11" t="n">
        <f aca="false">parametros_recargas!C59</f>
        <v>1</v>
      </c>
      <c r="D42" s="21" t="n">
        <f aca="false">datos_base!$C$10*parametros_recargas!$B$38+sobrestock_sustitutos!$C$106/12</f>
        <v>15.5821071251632</v>
      </c>
      <c r="E42" s="21" t="n">
        <f aca="false">datos_base!$C$10*parametros_recargas!$C$38+sobrestock_sustitutos!$C$106/12</f>
        <v>15.5821071251632</v>
      </c>
      <c r="F42" s="21" t="n">
        <f aca="false">datos_base!$C$10*parametros_recargas!$D$38+sobrestock_sustitutos!$C$106/12</f>
        <v>15.5821071251632</v>
      </c>
      <c r="G42" s="21" t="n">
        <f aca="false">datos_base!$C$10*parametros_recargas!$E$38+sobrestock_sustitutos!$C$106/12</f>
        <v>15.5821071251632</v>
      </c>
      <c r="H42" s="21" t="n">
        <f aca="false">datos_base!$C$10*parametros_recargas!$F$38+sobrestock_sustitutos!$C$106/12</f>
        <v>15.5821071251632</v>
      </c>
      <c r="I42" s="21" t="n">
        <f aca="false">datos_base!$C$10*parametros_recargas!$G$38+sobrestock_sustitutos!$C$106/12</f>
        <v>15.5821071251632</v>
      </c>
      <c r="J42" s="21" t="n">
        <f aca="false">datos_base!$C$10*parametros_recargas!$H$38+sobrestock_sustitutos!$C$106/12</f>
        <v>15.5821071251632</v>
      </c>
      <c r="K42" s="21" t="n">
        <f aca="false">datos_base!$C$10*parametros_recargas!$I$38+sobrestock_sustitutos!$C$106/12</f>
        <v>15.5821071251632</v>
      </c>
      <c r="L42" s="21" t="n">
        <f aca="false">datos_base!$C$10*parametros_recargas!$J$38+sobrestock_sustitutos!$C$106/12</f>
        <v>15.5821071251632</v>
      </c>
      <c r="M42" s="21" t="n">
        <f aca="false">datos_base!$C$10*parametros_recargas!$K$38+sobrestock_sustitutos!$C$106/12</f>
        <v>15.5821071251632</v>
      </c>
      <c r="N42" s="21" t="n">
        <f aca="false">datos_base!$C$10*parametros_recargas!$L$38+sobrestock_sustitutos!$C$106/12</f>
        <v>15.5821071251632</v>
      </c>
      <c r="O42" s="21" t="n">
        <f aca="false">datos_base!$C$10*parametros_recargas!$M$38+sobrestock_sustitutos!$C$106/12</f>
        <v>15.5821071251632</v>
      </c>
      <c r="P42" s="7" t="n">
        <f aca="false">SUM(D42:O42)</f>
        <v>186.985285501959</v>
      </c>
      <c r="Q42" s="6" t="n">
        <f aca="false">sobrestock_sustitutos!$C$106</f>
        <v>1</v>
      </c>
    </row>
    <row r="43" customFormat="false" ht="15" hidden="false" customHeight="false" outlineLevel="0" collapsed="false">
      <c r="A43" s="9" t="str">
        <f aca="false">parametros_recargas!A60</f>
        <v>CO₂ 2 kg</v>
      </c>
      <c r="B43" s="9" t="str">
        <f aca="false">parametros_recargas!B60</f>
        <v>CO₂</v>
      </c>
      <c r="C43" s="11" t="n">
        <f aca="false">parametros_recargas!C60</f>
        <v>1</v>
      </c>
      <c r="D43" s="21" t="n">
        <f aca="false">datos_base!$C$11*parametros_recargas!$B$38+sobrestock_sustitutos!$C$107/12</f>
        <v>78.7600530583927</v>
      </c>
      <c r="E43" s="21" t="n">
        <f aca="false">datos_base!$C$11*parametros_recargas!$C$38+sobrestock_sustitutos!$C$107/12</f>
        <v>78.7600530583927</v>
      </c>
      <c r="F43" s="21" t="n">
        <f aca="false">datos_base!$C$11*parametros_recargas!$D$38+sobrestock_sustitutos!$C$107/12</f>
        <v>78.7600530583927</v>
      </c>
      <c r="G43" s="21" t="n">
        <f aca="false">datos_base!$C$11*parametros_recargas!$E$38+sobrestock_sustitutos!$C$107/12</f>
        <v>78.7600530583927</v>
      </c>
      <c r="H43" s="21" t="n">
        <f aca="false">datos_base!$C$11*parametros_recargas!$F$38+sobrestock_sustitutos!$C$107/12</f>
        <v>78.7600530583927</v>
      </c>
      <c r="I43" s="21" t="n">
        <f aca="false">datos_base!$C$11*parametros_recargas!$G$38+sobrestock_sustitutos!$C$107/12</f>
        <v>78.7600530583927</v>
      </c>
      <c r="J43" s="21" t="n">
        <f aca="false">datos_base!$C$11*parametros_recargas!$H$38+sobrestock_sustitutos!$C$107/12</f>
        <v>78.7600530583927</v>
      </c>
      <c r="K43" s="21" t="n">
        <f aca="false">datos_base!$C$11*parametros_recargas!$I$38+sobrestock_sustitutos!$C$107/12</f>
        <v>78.7600530583927</v>
      </c>
      <c r="L43" s="21" t="n">
        <f aca="false">datos_base!$C$11*parametros_recargas!$J$38+sobrestock_sustitutos!$C$107/12</f>
        <v>78.7600530583927</v>
      </c>
      <c r="M43" s="21" t="n">
        <f aca="false">datos_base!$C$11*parametros_recargas!$K$38+sobrestock_sustitutos!$C$107/12</f>
        <v>78.7600530583927</v>
      </c>
      <c r="N43" s="21" t="n">
        <f aca="false">datos_base!$C$11*parametros_recargas!$L$38+sobrestock_sustitutos!$C$107/12</f>
        <v>78.7600530583927</v>
      </c>
      <c r="O43" s="21" t="n">
        <f aca="false">datos_base!$C$11*parametros_recargas!$M$38+sobrestock_sustitutos!$C$107/12</f>
        <v>78.7600530583927</v>
      </c>
      <c r="P43" s="7" t="n">
        <f aca="false">SUM(D43:O43)</f>
        <v>945.120636700713</v>
      </c>
      <c r="Q43" s="6" t="n">
        <f aca="false">sobrestock_sustitutos!$C$107</f>
        <v>4</v>
      </c>
    </row>
    <row r="44" customFormat="false" ht="15" hidden="false" customHeight="false" outlineLevel="0" collapsed="false">
      <c r="A44" s="9" t="str">
        <f aca="false">parametros_recargas!A61</f>
        <v>CO₂ 5 kg</v>
      </c>
      <c r="B44" s="9" t="str">
        <f aca="false">parametros_recargas!B61</f>
        <v>CO₂</v>
      </c>
      <c r="C44" s="11" t="n">
        <f aca="false">parametros_recargas!C61</f>
        <v>1</v>
      </c>
      <c r="D44" s="21" t="n">
        <f aca="false">datos_base!$C$12*parametros_recargas!$B$38+sobrestock_sustitutos!$C$108/12</f>
        <v>29.9088121062525</v>
      </c>
      <c r="E44" s="21" t="n">
        <f aca="false">datos_base!$C$12*parametros_recargas!$C$38+sobrestock_sustitutos!$C$108/12</f>
        <v>29.9088121062525</v>
      </c>
      <c r="F44" s="21" t="n">
        <f aca="false">datos_base!$C$12*parametros_recargas!$D$38+sobrestock_sustitutos!$C$108/12</f>
        <v>29.9088121062525</v>
      </c>
      <c r="G44" s="21" t="n">
        <f aca="false">datos_base!$C$12*parametros_recargas!$E$38+sobrestock_sustitutos!$C$108/12</f>
        <v>29.9088121062525</v>
      </c>
      <c r="H44" s="21" t="n">
        <f aca="false">datos_base!$C$12*parametros_recargas!$F$38+sobrestock_sustitutos!$C$108/12</f>
        <v>29.9088121062525</v>
      </c>
      <c r="I44" s="21" t="n">
        <f aca="false">datos_base!$C$12*parametros_recargas!$G$38+sobrestock_sustitutos!$C$108/12</f>
        <v>29.9088121062525</v>
      </c>
      <c r="J44" s="21" t="n">
        <f aca="false">datos_base!$C$12*parametros_recargas!$H$38+sobrestock_sustitutos!$C$108/12</f>
        <v>29.9088121062525</v>
      </c>
      <c r="K44" s="21" t="n">
        <f aca="false">datos_base!$C$12*parametros_recargas!$I$38+sobrestock_sustitutos!$C$108/12</f>
        <v>29.9088121062525</v>
      </c>
      <c r="L44" s="21" t="n">
        <f aca="false">datos_base!$C$12*parametros_recargas!$J$38+sobrestock_sustitutos!$C$108/12</f>
        <v>29.9088121062525</v>
      </c>
      <c r="M44" s="21" t="n">
        <f aca="false">datos_base!$C$12*parametros_recargas!$K$38+sobrestock_sustitutos!$C$108/12</f>
        <v>29.9088121062525</v>
      </c>
      <c r="N44" s="21" t="n">
        <f aca="false">datos_base!$C$12*parametros_recargas!$L$38+sobrestock_sustitutos!$C$108/12</f>
        <v>29.9088121062525</v>
      </c>
      <c r="O44" s="21" t="n">
        <f aca="false">datos_base!$C$12*parametros_recargas!$M$38+sobrestock_sustitutos!$C$108/12</f>
        <v>29.9088121062525</v>
      </c>
      <c r="P44" s="7" t="n">
        <f aca="false">SUM(D44:O44)</f>
        <v>358.90574527503</v>
      </c>
      <c r="Q44" s="6" t="n">
        <f aca="false">sobrestock_sustitutos!$C$108</f>
        <v>2</v>
      </c>
    </row>
    <row r="45" customFormat="false" ht="15" hidden="false" customHeight="false" outlineLevel="0" collapsed="false">
      <c r="A45" s="9" t="str">
        <f aca="false">parametros_recargas!A62</f>
        <v>HCFC/HFC 5 kg</v>
      </c>
      <c r="B45" s="9" t="str">
        <f aca="false">parametros_recargas!B62</f>
        <v>Halogenado</v>
      </c>
      <c r="C45" s="11" t="n">
        <f aca="false">parametros_recargas!C62</f>
        <v>1</v>
      </c>
      <c r="D45" s="21" t="n">
        <f aca="false">datos_base!$C$13*parametros_recargas!$B$38+sobrestock_sustitutos!$C$109/12</f>
        <v>5.26232228238547</v>
      </c>
      <c r="E45" s="21" t="n">
        <f aca="false">datos_base!$C$13*parametros_recargas!$C$38+sobrestock_sustitutos!$C$109/12</f>
        <v>5.26232228238547</v>
      </c>
      <c r="F45" s="21" t="n">
        <f aca="false">datos_base!$C$13*parametros_recargas!$D$38+sobrestock_sustitutos!$C$109/12</f>
        <v>5.26232228238547</v>
      </c>
      <c r="G45" s="21" t="n">
        <f aca="false">datos_base!$C$13*parametros_recargas!$E$38+sobrestock_sustitutos!$C$109/12</f>
        <v>5.26232228238547</v>
      </c>
      <c r="H45" s="21" t="n">
        <f aca="false">datos_base!$C$13*parametros_recargas!$F$38+sobrestock_sustitutos!$C$109/12</f>
        <v>5.26232228238547</v>
      </c>
      <c r="I45" s="21" t="n">
        <f aca="false">datos_base!$C$13*parametros_recargas!$G$38+sobrestock_sustitutos!$C$109/12</f>
        <v>5.26232228238547</v>
      </c>
      <c r="J45" s="21" t="n">
        <f aca="false">datos_base!$C$13*parametros_recargas!$H$38+sobrestock_sustitutos!$C$109/12</f>
        <v>5.26232228238547</v>
      </c>
      <c r="K45" s="21" t="n">
        <f aca="false">datos_base!$C$13*parametros_recargas!$I$38+sobrestock_sustitutos!$C$109/12</f>
        <v>5.26232228238547</v>
      </c>
      <c r="L45" s="21" t="n">
        <f aca="false">datos_base!$C$13*parametros_recargas!$J$38+sobrestock_sustitutos!$C$109/12</f>
        <v>5.26232228238547</v>
      </c>
      <c r="M45" s="21" t="n">
        <f aca="false">datos_base!$C$13*parametros_recargas!$K$38+sobrestock_sustitutos!$C$109/12</f>
        <v>5.26232228238547</v>
      </c>
      <c r="N45" s="21" t="n">
        <f aca="false">datos_base!$C$13*parametros_recargas!$L$38+sobrestock_sustitutos!$C$109/12</f>
        <v>5.26232228238547</v>
      </c>
      <c r="O45" s="21" t="n">
        <f aca="false">datos_base!$C$13*parametros_recargas!$M$38+sobrestock_sustitutos!$C$109/12</f>
        <v>5.26232228238547</v>
      </c>
      <c r="P45" s="7" t="n">
        <f aca="false">SUM(D45:O45)</f>
        <v>63.1478673886256</v>
      </c>
      <c r="Q45" s="6" t="n">
        <f aca="false">sobrestock_sustitutos!$C$109</f>
        <v>1</v>
      </c>
    </row>
    <row r="46" customFormat="false" ht="15" hidden="false" customHeight="false" outlineLevel="0" collapsed="false">
      <c r="A46" s="9" t="str">
        <f aca="false">parametros_recargas!A63</f>
        <v>Clase D 9 l</v>
      </c>
      <c r="B46" s="9" t="str">
        <f aca="false">parametros_recargas!B63</f>
        <v>Clase D</v>
      </c>
      <c r="C46" s="11" t="n">
        <f aca="false">parametros_recargas!C63</f>
        <v>1</v>
      </c>
      <c r="D46" s="21" t="n">
        <f aca="false">datos_base!$C$14*parametros_recargas!$B$38+sobrestock_sustitutos!$C$110/12</f>
        <v>2.25858081462087</v>
      </c>
      <c r="E46" s="21" t="n">
        <f aca="false">datos_base!$C$14*parametros_recargas!$C$38+sobrestock_sustitutos!$C$110/12</f>
        <v>2.25858081462087</v>
      </c>
      <c r="F46" s="21" t="n">
        <f aca="false">datos_base!$C$14*parametros_recargas!$D$38+sobrestock_sustitutos!$C$110/12</f>
        <v>2.25858081462087</v>
      </c>
      <c r="G46" s="21" t="n">
        <f aca="false">datos_base!$C$14*parametros_recargas!$E$38+sobrestock_sustitutos!$C$110/12</f>
        <v>2.25858081462087</v>
      </c>
      <c r="H46" s="21" t="n">
        <f aca="false">datos_base!$C$14*parametros_recargas!$F$38+sobrestock_sustitutos!$C$110/12</f>
        <v>2.25858081462087</v>
      </c>
      <c r="I46" s="21" t="n">
        <f aca="false">datos_base!$C$14*parametros_recargas!$G$38+sobrestock_sustitutos!$C$110/12</f>
        <v>2.25858081462087</v>
      </c>
      <c r="J46" s="21" t="n">
        <f aca="false">datos_base!$C$14*parametros_recargas!$H$38+sobrestock_sustitutos!$C$110/12</f>
        <v>2.25858081462087</v>
      </c>
      <c r="K46" s="21" t="n">
        <f aca="false">datos_base!$C$14*parametros_recargas!$I$38+sobrestock_sustitutos!$C$110/12</f>
        <v>2.25858081462087</v>
      </c>
      <c r="L46" s="21" t="n">
        <f aca="false">datos_base!$C$14*parametros_recargas!$J$38+sobrestock_sustitutos!$C$110/12</f>
        <v>2.25858081462087</v>
      </c>
      <c r="M46" s="21" t="n">
        <f aca="false">datos_base!$C$14*parametros_recargas!$K$38+sobrestock_sustitutos!$C$110/12</f>
        <v>2.25858081462087</v>
      </c>
      <c r="N46" s="21" t="n">
        <f aca="false">datos_base!$C$14*parametros_recargas!$L$38+sobrestock_sustitutos!$C$110/12</f>
        <v>2.25858081462087</v>
      </c>
      <c r="O46" s="21" t="n">
        <f aca="false">datos_base!$C$14*parametros_recargas!$M$38+sobrestock_sustitutos!$C$110/12</f>
        <v>2.25858081462087</v>
      </c>
      <c r="P46" s="7" t="n">
        <f aca="false">SUM(D46:O46)</f>
        <v>27.1029697754505</v>
      </c>
      <c r="Q46" s="6" t="n">
        <f aca="false">sobrestock_sustitutos!$C$110</f>
        <v>1</v>
      </c>
    </row>
    <row r="47" customFormat="false" ht="15" hidden="false" customHeight="false" outlineLevel="0" collapsed="false">
      <c r="A47" s="9" t="str">
        <f aca="false">parametros_recargas!A64</f>
        <v>ABC 25 kg s/ruedas</v>
      </c>
      <c r="B47" s="9" t="str">
        <f aca="false">parametros_recargas!B64</f>
        <v>ABC</v>
      </c>
      <c r="C47" s="11" t="n">
        <f aca="false">parametros_recargas!C64</f>
        <v>3</v>
      </c>
      <c r="D47" s="21" t="n">
        <f aca="false">datos_base!$C$15*parametros_recargas!$B$38+sobrestock_sustitutos!$C$111/12</f>
        <v>4.05682857837171</v>
      </c>
      <c r="E47" s="21" t="n">
        <f aca="false">datos_base!$C$15*parametros_recargas!$C$38+sobrestock_sustitutos!$C$111/12</f>
        <v>4.05682857837171</v>
      </c>
      <c r="F47" s="21" t="n">
        <f aca="false">datos_base!$C$15*parametros_recargas!$D$38+sobrestock_sustitutos!$C$111/12</f>
        <v>4.05682857837171</v>
      </c>
      <c r="G47" s="21" t="n">
        <f aca="false">datos_base!$C$15*parametros_recargas!$E$38+sobrestock_sustitutos!$C$111/12</f>
        <v>4.05682857837171</v>
      </c>
      <c r="H47" s="21" t="n">
        <f aca="false">datos_base!$C$15*parametros_recargas!$F$38+sobrestock_sustitutos!$C$111/12</f>
        <v>4.05682857837171</v>
      </c>
      <c r="I47" s="21" t="n">
        <f aca="false">datos_base!$C$15*parametros_recargas!$G$38+sobrestock_sustitutos!$C$111/12</f>
        <v>4.05682857837171</v>
      </c>
      <c r="J47" s="21" t="n">
        <f aca="false">datos_base!$C$15*parametros_recargas!$H$38+sobrestock_sustitutos!$C$111/12</f>
        <v>4.05682857837171</v>
      </c>
      <c r="K47" s="21" t="n">
        <f aca="false">datos_base!$C$15*parametros_recargas!$I$38+sobrestock_sustitutos!$C$111/12</f>
        <v>4.05682857837171</v>
      </c>
      <c r="L47" s="21" t="n">
        <f aca="false">datos_base!$C$15*parametros_recargas!$J$38+sobrestock_sustitutos!$C$111/12</f>
        <v>4.05682857837171</v>
      </c>
      <c r="M47" s="21" t="n">
        <f aca="false">datos_base!$C$15*parametros_recargas!$K$38+sobrestock_sustitutos!$C$111/12</f>
        <v>4.05682857837171</v>
      </c>
      <c r="N47" s="21" t="n">
        <f aca="false">datos_base!$C$15*parametros_recargas!$L$38+sobrestock_sustitutos!$C$111/12</f>
        <v>4.05682857837171</v>
      </c>
      <c r="O47" s="21" t="n">
        <f aca="false">datos_base!$C$15*parametros_recargas!$M$38+sobrestock_sustitutos!$C$111/12</f>
        <v>4.05682857837171</v>
      </c>
      <c r="P47" s="7" t="n">
        <f aca="false">SUM(D47:O47)</f>
        <v>48.6819429404605</v>
      </c>
      <c r="Q47" s="6" t="n">
        <f aca="false">sobrestock_sustitutos!$C$111</f>
        <v>1</v>
      </c>
    </row>
    <row r="48" customFormat="false" ht="15" hidden="false" customHeight="false" outlineLevel="0" collapsed="false">
      <c r="A48" s="9" t="str">
        <f aca="false">parametros_recargas!A65</f>
        <v>ABC 50 kg s/ruedas</v>
      </c>
      <c r="B48" s="9" t="str">
        <f aca="false">parametros_recargas!B65</f>
        <v>ABC</v>
      </c>
      <c r="C48" s="11" t="n">
        <f aca="false">parametros_recargas!C65</f>
        <v>3</v>
      </c>
      <c r="D48" s="21" t="n">
        <f aca="false">datos_base!$C$16*parametros_recargas!$B$38+sobrestock_sustitutos!$C$112/12</f>
        <v>8.82502292786972</v>
      </c>
      <c r="E48" s="21" t="n">
        <f aca="false">datos_base!$C$16*parametros_recargas!$C$38+sobrestock_sustitutos!$C$112/12</f>
        <v>8.82502292786972</v>
      </c>
      <c r="F48" s="21" t="n">
        <f aca="false">datos_base!$C$16*parametros_recargas!$D$38+sobrestock_sustitutos!$C$112/12</f>
        <v>8.82502292786972</v>
      </c>
      <c r="G48" s="21" t="n">
        <f aca="false">datos_base!$C$16*parametros_recargas!$E$38+sobrestock_sustitutos!$C$112/12</f>
        <v>8.82502292786972</v>
      </c>
      <c r="H48" s="21" t="n">
        <f aca="false">datos_base!$C$16*parametros_recargas!$F$38+sobrestock_sustitutos!$C$112/12</f>
        <v>8.82502292786972</v>
      </c>
      <c r="I48" s="21" t="n">
        <f aca="false">datos_base!$C$16*parametros_recargas!$G$38+sobrestock_sustitutos!$C$112/12</f>
        <v>8.82502292786972</v>
      </c>
      <c r="J48" s="21" t="n">
        <f aca="false">datos_base!$C$16*parametros_recargas!$H$38+sobrestock_sustitutos!$C$112/12</f>
        <v>8.82502292786972</v>
      </c>
      <c r="K48" s="21" t="n">
        <f aca="false">datos_base!$C$16*parametros_recargas!$I$38+sobrestock_sustitutos!$C$112/12</f>
        <v>8.82502292786972</v>
      </c>
      <c r="L48" s="21" t="n">
        <f aca="false">datos_base!$C$16*parametros_recargas!$J$38+sobrestock_sustitutos!$C$112/12</f>
        <v>8.82502292786972</v>
      </c>
      <c r="M48" s="21" t="n">
        <f aca="false">datos_base!$C$16*parametros_recargas!$K$38+sobrestock_sustitutos!$C$112/12</f>
        <v>8.82502292786972</v>
      </c>
      <c r="N48" s="21" t="n">
        <f aca="false">datos_base!$C$16*parametros_recargas!$L$38+sobrestock_sustitutos!$C$112/12</f>
        <v>8.82502292786972</v>
      </c>
      <c r="O48" s="21" t="n">
        <f aca="false">datos_base!$C$16*parametros_recargas!$M$38+sobrestock_sustitutos!$C$112/12</f>
        <v>8.82502292786972</v>
      </c>
      <c r="P48" s="7" t="n">
        <f aca="false">SUM(D48:O48)</f>
        <v>105.900275134437</v>
      </c>
      <c r="Q48" s="6" t="n">
        <f aca="false">sobrestock_sustitutos!$C$112</f>
        <v>1</v>
      </c>
    </row>
    <row r="49" customFormat="false" ht="15" hidden="false" customHeight="false" outlineLevel="0" collapsed="false">
      <c r="A49" s="9" t="str">
        <f aca="false">parametros_recargas!A66</f>
        <v>ABC 70 kg s/ruedas</v>
      </c>
      <c r="B49" s="9" t="str">
        <f aca="false">parametros_recargas!B66</f>
        <v>ABC</v>
      </c>
      <c r="C49" s="11" t="n">
        <f aca="false">parametros_recargas!C66</f>
        <v>3</v>
      </c>
      <c r="D49" s="21" t="n">
        <f aca="false">datos_base!$C$17*parametros_recargas!$B$38+sobrestock_sustitutos!$C$113/12</f>
        <v>1.99061104540655</v>
      </c>
      <c r="E49" s="21" t="n">
        <f aca="false">datos_base!$C$17*parametros_recargas!$C$38+sobrestock_sustitutos!$C$113/12</f>
        <v>1.99061104540655</v>
      </c>
      <c r="F49" s="21" t="n">
        <f aca="false">datos_base!$C$17*parametros_recargas!$D$38+sobrestock_sustitutos!$C$113/12</f>
        <v>1.99061104540655</v>
      </c>
      <c r="G49" s="21" t="n">
        <f aca="false">datos_base!$C$17*parametros_recargas!$E$38+sobrestock_sustitutos!$C$113/12</f>
        <v>1.99061104540655</v>
      </c>
      <c r="H49" s="21" t="n">
        <f aca="false">datos_base!$C$17*parametros_recargas!$F$38+sobrestock_sustitutos!$C$113/12</f>
        <v>1.99061104540655</v>
      </c>
      <c r="I49" s="21" t="n">
        <f aca="false">datos_base!$C$17*parametros_recargas!$G$38+sobrestock_sustitutos!$C$113/12</f>
        <v>1.99061104540655</v>
      </c>
      <c r="J49" s="21" t="n">
        <f aca="false">datos_base!$C$17*parametros_recargas!$H$38+sobrestock_sustitutos!$C$113/12</f>
        <v>1.99061104540655</v>
      </c>
      <c r="K49" s="21" t="n">
        <f aca="false">datos_base!$C$17*parametros_recargas!$I$38+sobrestock_sustitutos!$C$113/12</f>
        <v>1.99061104540655</v>
      </c>
      <c r="L49" s="21" t="n">
        <f aca="false">datos_base!$C$17*parametros_recargas!$J$38+sobrestock_sustitutos!$C$113/12</f>
        <v>1.99061104540655</v>
      </c>
      <c r="M49" s="21" t="n">
        <f aca="false">datos_base!$C$17*parametros_recargas!$K$38+sobrestock_sustitutos!$C$113/12</f>
        <v>1.99061104540655</v>
      </c>
      <c r="N49" s="21" t="n">
        <f aca="false">datos_base!$C$17*parametros_recargas!$L$38+sobrestock_sustitutos!$C$113/12</f>
        <v>1.99061104540655</v>
      </c>
      <c r="O49" s="21" t="n">
        <f aca="false">datos_base!$C$17*parametros_recargas!$M$38+sobrestock_sustitutos!$C$113/12</f>
        <v>1.99061104540655</v>
      </c>
      <c r="P49" s="7" t="n">
        <f aca="false">SUM(D49:O49)</f>
        <v>23.8873325448786</v>
      </c>
      <c r="Q49" s="6" t="n">
        <f aca="false">sobrestock_sustitutos!$C$113</f>
        <v>1</v>
      </c>
    </row>
    <row r="50" customFormat="false" ht="15" hidden="false" customHeight="false" outlineLevel="0" collapsed="false">
      <c r="A50" s="9" t="str">
        <f aca="false">parametros_recargas!A67</f>
        <v>ABC 100 kg s/ruedas</v>
      </c>
      <c r="B50" s="9" t="str">
        <f aca="false">parametros_recargas!B67</f>
        <v>ABC</v>
      </c>
      <c r="C50" s="11" t="n">
        <f aca="false">parametros_recargas!C67</f>
        <v>3</v>
      </c>
      <c r="D50" s="21" t="n">
        <f aca="false">datos_base!$C$18*parametros_recargas!$B$38+sobrestock_sustitutos!$C$114/12</f>
        <v>1.35485180804881</v>
      </c>
      <c r="E50" s="21" t="n">
        <f aca="false">datos_base!$C$18*parametros_recargas!$C$38+sobrestock_sustitutos!$C$114/12</f>
        <v>1.35485180804881</v>
      </c>
      <c r="F50" s="21" t="n">
        <f aca="false">datos_base!$C$18*parametros_recargas!$D$38+sobrestock_sustitutos!$C$114/12</f>
        <v>1.35485180804881</v>
      </c>
      <c r="G50" s="21" t="n">
        <f aca="false">datos_base!$C$18*parametros_recargas!$E$38+sobrestock_sustitutos!$C$114/12</f>
        <v>1.35485180804881</v>
      </c>
      <c r="H50" s="21" t="n">
        <f aca="false">datos_base!$C$18*parametros_recargas!$F$38+sobrestock_sustitutos!$C$114/12</f>
        <v>1.35485180804881</v>
      </c>
      <c r="I50" s="21" t="n">
        <f aca="false">datos_base!$C$18*parametros_recargas!$G$38+sobrestock_sustitutos!$C$114/12</f>
        <v>1.35485180804881</v>
      </c>
      <c r="J50" s="21" t="n">
        <f aca="false">datos_base!$C$18*parametros_recargas!$H$38+sobrestock_sustitutos!$C$114/12</f>
        <v>1.35485180804881</v>
      </c>
      <c r="K50" s="21" t="n">
        <f aca="false">datos_base!$C$18*parametros_recargas!$I$38+sobrestock_sustitutos!$C$114/12</f>
        <v>1.35485180804881</v>
      </c>
      <c r="L50" s="21" t="n">
        <f aca="false">datos_base!$C$18*parametros_recargas!$J$38+sobrestock_sustitutos!$C$114/12</f>
        <v>1.35485180804881</v>
      </c>
      <c r="M50" s="21" t="n">
        <f aca="false">datos_base!$C$18*parametros_recargas!$K$38+sobrestock_sustitutos!$C$114/12</f>
        <v>1.35485180804881</v>
      </c>
      <c r="N50" s="21" t="n">
        <f aca="false">datos_base!$C$18*parametros_recargas!$L$38+sobrestock_sustitutos!$C$114/12</f>
        <v>1.35485180804881</v>
      </c>
      <c r="O50" s="21" t="n">
        <f aca="false">datos_base!$C$18*parametros_recargas!$M$38+sobrestock_sustitutos!$C$114/12</f>
        <v>1.35485180804881</v>
      </c>
      <c r="P50" s="7" t="n">
        <f aca="false">SUM(D50:O50)</f>
        <v>16.2582216965858</v>
      </c>
      <c r="Q50" s="6" t="n">
        <f aca="false">sobrestock_sustitutos!$C$114</f>
        <v>1</v>
      </c>
    </row>
    <row r="51" customFormat="false" ht="15" hidden="false" customHeight="false" outlineLevel="0" collapsed="false">
      <c r="A51" s="4" t="s">
        <v>356</v>
      </c>
      <c r="D51" s="7" t="n">
        <f aca="false">SUM(D34:D50)</f>
        <v>1420.00515120044</v>
      </c>
      <c r="E51" s="7" t="n">
        <f aca="false">SUM(E34:E50)</f>
        <v>1420.00515120044</v>
      </c>
      <c r="F51" s="7" t="n">
        <f aca="false">SUM(F34:F50)</f>
        <v>1420.00515120044</v>
      </c>
      <c r="G51" s="7" t="n">
        <f aca="false">SUM(G34:G50)</f>
        <v>1420.00515120044</v>
      </c>
      <c r="H51" s="7" t="n">
        <f aca="false">SUM(H34:H50)</f>
        <v>1420.00515120044</v>
      </c>
      <c r="I51" s="7" t="n">
        <f aca="false">SUM(I34:I50)</f>
        <v>1420.00515120044</v>
      </c>
      <c r="J51" s="7" t="n">
        <f aca="false">SUM(J34:J50)</f>
        <v>1420.00515120044</v>
      </c>
      <c r="K51" s="7" t="n">
        <f aca="false">SUM(K34:K50)</f>
        <v>1420.00515120044</v>
      </c>
      <c r="L51" s="7" t="n">
        <f aca="false">SUM(L34:L50)</f>
        <v>1420.00515120044</v>
      </c>
      <c r="M51" s="7" t="n">
        <f aca="false">SUM(M34:M50)</f>
        <v>1420.00515120044</v>
      </c>
      <c r="N51" s="7" t="n">
        <f aca="false">SUM(N34:N50)</f>
        <v>1420.00515120044</v>
      </c>
      <c r="O51" s="7" t="n">
        <f aca="false">SUM(O34:O50)</f>
        <v>1420.00515120044</v>
      </c>
      <c r="P51" s="7" t="n">
        <f aca="false">SUM(P34:P50)</f>
        <v>17040.0618144053</v>
      </c>
    </row>
    <row r="52" customFormat="false" ht="15" hidden="false" customHeight="false" outlineLevel="0" collapsed="false">
      <c r="A52" s="4" t="s">
        <v>357</v>
      </c>
    </row>
    <row r="53" customFormat="false" ht="15" hidden="false" customHeight="false" outlineLevel="0" collapsed="false">
      <c r="A53" s="5" t="s">
        <v>165</v>
      </c>
      <c r="D53" s="21" t="n">
        <f aca="false">SUMPRODUCT(($B$34:$B$50=$A53)*D$34:D$50*$C$34:$C$50)</f>
        <v>1277.06324811693</v>
      </c>
      <c r="E53" s="21" t="n">
        <f aca="false">SUMPRODUCT(($B$34:$B$50=$A53)*E$34:E$50*$C$34:$C$50)</f>
        <v>1277.06324811693</v>
      </c>
      <c r="F53" s="21" t="n">
        <f aca="false">SUMPRODUCT(($B$34:$B$50=$A53)*F$34:F$50*$C$34:$C$50)</f>
        <v>1277.06324811693</v>
      </c>
      <c r="G53" s="21" t="n">
        <f aca="false">SUMPRODUCT(($B$34:$B$50=$A53)*G$34:G$50*$C$34:$C$50)</f>
        <v>1277.06324811693</v>
      </c>
      <c r="H53" s="21" t="n">
        <f aca="false">SUMPRODUCT(($B$34:$B$50=$A53)*H$34:H$50*$C$34:$C$50)</f>
        <v>1277.06324811693</v>
      </c>
      <c r="I53" s="21" t="n">
        <f aca="false">SUMPRODUCT(($B$34:$B$50=$A53)*I$34:I$50*$C$34:$C$50)</f>
        <v>1277.06324811693</v>
      </c>
      <c r="J53" s="21" t="n">
        <f aca="false">SUMPRODUCT(($B$34:$B$50=$A53)*J$34:J$50*$C$34:$C$50)</f>
        <v>1277.06324811693</v>
      </c>
      <c r="K53" s="21" t="n">
        <f aca="false">SUMPRODUCT(($B$34:$B$50=$A53)*K$34:K$50*$C$34:$C$50)</f>
        <v>1277.06324811693</v>
      </c>
      <c r="L53" s="21" t="n">
        <f aca="false">SUMPRODUCT(($B$34:$B$50=$A53)*L$34:L$50*$C$34:$C$50)</f>
        <v>1277.06324811693</v>
      </c>
      <c r="M53" s="21" t="n">
        <f aca="false">SUMPRODUCT(($B$34:$B$50=$A53)*M$34:M$50*$C$34:$C$50)</f>
        <v>1277.06324811693</v>
      </c>
      <c r="N53" s="21" t="n">
        <f aca="false">SUMPRODUCT(($B$34:$B$50=$A53)*N$34:N$50*$C$34:$C$50)</f>
        <v>1277.06324811693</v>
      </c>
      <c r="O53" s="21" t="n">
        <f aca="false">SUMPRODUCT(($B$34:$B$50=$A53)*O$34:O$50*$C$34:$C$50)</f>
        <v>1277.06324811693</v>
      </c>
      <c r="P53" s="21" t="n">
        <f aca="false">SUMPRODUCT(($B$34:$B$50=$A53)*P$34:P$50*$C$34:$C$50)</f>
        <v>15324.7589774031</v>
      </c>
    </row>
    <row r="54" customFormat="false" ht="15" hidden="false" customHeight="false" outlineLevel="0" collapsed="false">
      <c r="A54" s="5" t="s">
        <v>171</v>
      </c>
      <c r="D54" s="21" t="n">
        <f aca="false">SUMPRODUCT(($B$34:$B$50=$A54)*D$34:D$50*$C$34:$C$50)</f>
        <v>2.25858081462087</v>
      </c>
      <c r="E54" s="21" t="n">
        <f aca="false">SUMPRODUCT(($B$34:$B$50=$A54)*E$34:E$50*$C$34:$C$50)</f>
        <v>2.25858081462087</v>
      </c>
      <c r="F54" s="21" t="n">
        <f aca="false">SUMPRODUCT(($B$34:$B$50=$A54)*F$34:F$50*$C$34:$C$50)</f>
        <v>2.25858081462087</v>
      </c>
      <c r="G54" s="21" t="n">
        <f aca="false">SUMPRODUCT(($B$34:$B$50=$A54)*G$34:G$50*$C$34:$C$50)</f>
        <v>2.25858081462087</v>
      </c>
      <c r="H54" s="21" t="n">
        <f aca="false">SUMPRODUCT(($B$34:$B$50=$A54)*H$34:H$50*$C$34:$C$50)</f>
        <v>2.25858081462087</v>
      </c>
      <c r="I54" s="21" t="n">
        <f aca="false">SUMPRODUCT(($B$34:$B$50=$A54)*I$34:I$50*$C$34:$C$50)</f>
        <v>2.25858081462087</v>
      </c>
      <c r="J54" s="21" t="n">
        <f aca="false">SUMPRODUCT(($B$34:$B$50=$A54)*J$34:J$50*$C$34:$C$50)</f>
        <v>2.25858081462087</v>
      </c>
      <c r="K54" s="21" t="n">
        <f aca="false">SUMPRODUCT(($B$34:$B$50=$A54)*K$34:K$50*$C$34:$C$50)</f>
        <v>2.25858081462087</v>
      </c>
      <c r="L54" s="21" t="n">
        <f aca="false">SUMPRODUCT(($B$34:$B$50=$A54)*L$34:L$50*$C$34:$C$50)</f>
        <v>2.25858081462087</v>
      </c>
      <c r="M54" s="21" t="n">
        <f aca="false">SUMPRODUCT(($B$34:$B$50=$A54)*M$34:M$50*$C$34:$C$50)</f>
        <v>2.25858081462087</v>
      </c>
      <c r="N54" s="21" t="n">
        <f aca="false">SUMPRODUCT(($B$34:$B$50=$A54)*N$34:N$50*$C$34:$C$50)</f>
        <v>2.25858081462087</v>
      </c>
      <c r="O54" s="21" t="n">
        <f aca="false">SUMPRODUCT(($B$34:$B$50=$A54)*O$34:O$50*$C$34:$C$50)</f>
        <v>2.25858081462087</v>
      </c>
      <c r="P54" s="21" t="n">
        <f aca="false">SUMPRODUCT(($B$34:$B$50=$A54)*P$34:P$50*$C$34:$C$50)</f>
        <v>27.1029697754505</v>
      </c>
    </row>
    <row r="55" customFormat="false" ht="15" hidden="false" customHeight="false" outlineLevel="0" collapsed="false">
      <c r="A55" s="5" t="s">
        <v>177</v>
      </c>
      <c r="D55" s="21" t="n">
        <f aca="false">SUMPRODUCT(($B$34:$B$50=$A55)*D$34:D$50*$C$34:$C$50)</f>
        <v>2.25858081462087</v>
      </c>
      <c r="E55" s="21" t="n">
        <f aca="false">SUMPRODUCT(($B$34:$B$50=$A55)*E$34:E$50*$C$34:$C$50)</f>
        <v>2.25858081462087</v>
      </c>
      <c r="F55" s="21" t="n">
        <f aca="false">SUMPRODUCT(($B$34:$B$50=$A55)*F$34:F$50*$C$34:$C$50)</f>
        <v>2.25858081462087</v>
      </c>
      <c r="G55" s="21" t="n">
        <f aca="false">SUMPRODUCT(($B$34:$B$50=$A55)*G$34:G$50*$C$34:$C$50)</f>
        <v>2.25858081462087</v>
      </c>
      <c r="H55" s="21" t="n">
        <f aca="false">SUMPRODUCT(($B$34:$B$50=$A55)*H$34:H$50*$C$34:$C$50)</f>
        <v>2.25858081462087</v>
      </c>
      <c r="I55" s="21" t="n">
        <f aca="false">SUMPRODUCT(($B$34:$B$50=$A55)*I$34:I$50*$C$34:$C$50)</f>
        <v>2.25858081462087</v>
      </c>
      <c r="J55" s="21" t="n">
        <f aca="false">SUMPRODUCT(($B$34:$B$50=$A55)*J$34:J$50*$C$34:$C$50)</f>
        <v>2.25858081462087</v>
      </c>
      <c r="K55" s="21" t="n">
        <f aca="false">SUMPRODUCT(($B$34:$B$50=$A55)*K$34:K$50*$C$34:$C$50)</f>
        <v>2.25858081462087</v>
      </c>
      <c r="L55" s="21" t="n">
        <f aca="false">SUMPRODUCT(($B$34:$B$50=$A55)*L$34:L$50*$C$34:$C$50)</f>
        <v>2.25858081462087</v>
      </c>
      <c r="M55" s="21" t="n">
        <f aca="false">SUMPRODUCT(($B$34:$B$50=$A55)*M$34:M$50*$C$34:$C$50)</f>
        <v>2.25858081462087</v>
      </c>
      <c r="N55" s="21" t="n">
        <f aca="false">SUMPRODUCT(($B$34:$B$50=$A55)*N$34:N$50*$C$34:$C$50)</f>
        <v>2.25858081462087</v>
      </c>
      <c r="O55" s="21" t="n">
        <f aca="false">SUMPRODUCT(($B$34:$B$50=$A55)*O$34:O$50*$C$34:$C$50)</f>
        <v>2.25858081462087</v>
      </c>
      <c r="P55" s="21" t="n">
        <f aca="false">SUMPRODUCT(($B$34:$B$50=$A55)*P$34:P$50*$C$34:$C$50)</f>
        <v>27.1029697754505</v>
      </c>
    </row>
    <row r="56" customFormat="false" ht="15" hidden="false" customHeight="false" outlineLevel="0" collapsed="false">
      <c r="A56" s="5" t="s">
        <v>168</v>
      </c>
      <c r="D56" s="21" t="n">
        <f aca="false">SUMPRODUCT(($B$34:$B$50=$A56)*D$34:D$50*$C$34:$C$50)</f>
        <v>29.8992545426628</v>
      </c>
      <c r="E56" s="21" t="n">
        <f aca="false">SUMPRODUCT(($B$34:$B$50=$A56)*E$34:E$50*$C$34:$C$50)</f>
        <v>29.8992545426628</v>
      </c>
      <c r="F56" s="21" t="n">
        <f aca="false">SUMPRODUCT(($B$34:$B$50=$A56)*F$34:F$50*$C$34:$C$50)</f>
        <v>29.8992545426628</v>
      </c>
      <c r="G56" s="21" t="n">
        <f aca="false">SUMPRODUCT(($B$34:$B$50=$A56)*G$34:G$50*$C$34:$C$50)</f>
        <v>29.8992545426628</v>
      </c>
      <c r="H56" s="21" t="n">
        <f aca="false">SUMPRODUCT(($B$34:$B$50=$A56)*H$34:H$50*$C$34:$C$50)</f>
        <v>29.8992545426628</v>
      </c>
      <c r="I56" s="21" t="n">
        <f aca="false">SUMPRODUCT(($B$34:$B$50=$A56)*I$34:I$50*$C$34:$C$50)</f>
        <v>29.8992545426628</v>
      </c>
      <c r="J56" s="21" t="n">
        <f aca="false">SUMPRODUCT(($B$34:$B$50=$A56)*J$34:J$50*$C$34:$C$50)</f>
        <v>29.8992545426628</v>
      </c>
      <c r="K56" s="21" t="n">
        <f aca="false">SUMPRODUCT(($B$34:$B$50=$A56)*K$34:K$50*$C$34:$C$50)</f>
        <v>29.8992545426628</v>
      </c>
      <c r="L56" s="21" t="n">
        <f aca="false">SUMPRODUCT(($B$34:$B$50=$A56)*L$34:L$50*$C$34:$C$50)</f>
        <v>29.8992545426628</v>
      </c>
      <c r="M56" s="21" t="n">
        <f aca="false">SUMPRODUCT(($B$34:$B$50=$A56)*M$34:M$50*$C$34:$C$50)</f>
        <v>29.8992545426628</v>
      </c>
      <c r="N56" s="21" t="n">
        <f aca="false">SUMPRODUCT(($B$34:$B$50=$A56)*N$34:N$50*$C$34:$C$50)</f>
        <v>29.8992545426628</v>
      </c>
      <c r="O56" s="21" t="n">
        <f aca="false">SUMPRODUCT(($B$34:$B$50=$A56)*O$34:O$50*$C$34:$C$50)</f>
        <v>29.8992545426628</v>
      </c>
      <c r="P56" s="21" t="n">
        <f aca="false">SUMPRODUCT(($B$34:$B$50=$A56)*P$34:P$50*$C$34:$C$50)</f>
        <v>358.791054511953</v>
      </c>
    </row>
    <row r="57" customFormat="false" ht="15" hidden="false" customHeight="false" outlineLevel="0" collapsed="false">
      <c r="A57" s="5" t="s">
        <v>169</v>
      </c>
      <c r="D57" s="21" t="n">
        <f aca="false">SUMPRODUCT(($B$34:$B$50=$A57)*D$34:D$50*$C$34:$C$50)</f>
        <v>19.3250018222662</v>
      </c>
      <c r="E57" s="21" t="n">
        <f aca="false">SUMPRODUCT(($B$34:$B$50=$A57)*E$34:E$50*$C$34:$C$50)</f>
        <v>19.3250018222662</v>
      </c>
      <c r="F57" s="21" t="n">
        <f aca="false">SUMPRODUCT(($B$34:$B$50=$A57)*F$34:F$50*$C$34:$C$50)</f>
        <v>19.3250018222662</v>
      </c>
      <c r="G57" s="21" t="n">
        <f aca="false">SUMPRODUCT(($B$34:$B$50=$A57)*G$34:G$50*$C$34:$C$50)</f>
        <v>19.3250018222662</v>
      </c>
      <c r="H57" s="21" t="n">
        <f aca="false">SUMPRODUCT(($B$34:$B$50=$A57)*H$34:H$50*$C$34:$C$50)</f>
        <v>19.3250018222662</v>
      </c>
      <c r="I57" s="21" t="n">
        <f aca="false">SUMPRODUCT(($B$34:$B$50=$A57)*I$34:I$50*$C$34:$C$50)</f>
        <v>19.3250018222662</v>
      </c>
      <c r="J57" s="21" t="n">
        <f aca="false">SUMPRODUCT(($B$34:$B$50=$A57)*J$34:J$50*$C$34:$C$50)</f>
        <v>19.3250018222662</v>
      </c>
      <c r="K57" s="21" t="n">
        <f aca="false">SUMPRODUCT(($B$34:$B$50=$A57)*K$34:K$50*$C$34:$C$50)</f>
        <v>19.3250018222662</v>
      </c>
      <c r="L57" s="21" t="n">
        <f aca="false">SUMPRODUCT(($B$34:$B$50=$A57)*L$34:L$50*$C$34:$C$50)</f>
        <v>19.3250018222662</v>
      </c>
      <c r="M57" s="21" t="n">
        <f aca="false">SUMPRODUCT(($B$34:$B$50=$A57)*M$34:M$50*$C$34:$C$50)</f>
        <v>19.3250018222662</v>
      </c>
      <c r="N57" s="21" t="n">
        <f aca="false">SUMPRODUCT(($B$34:$B$50=$A57)*N$34:N$50*$C$34:$C$50)</f>
        <v>19.3250018222662</v>
      </c>
      <c r="O57" s="21" t="n">
        <f aca="false">SUMPRODUCT(($B$34:$B$50=$A57)*O$34:O$50*$C$34:$C$50)</f>
        <v>19.3250018222662</v>
      </c>
      <c r="P57" s="21" t="n">
        <f aca="false">SUMPRODUCT(($B$34:$B$50=$A57)*P$34:P$50*$C$34:$C$50)</f>
        <v>231.900021867194</v>
      </c>
    </row>
    <row r="58" customFormat="false" ht="15" hidden="false" customHeight="false" outlineLevel="0" collapsed="false">
      <c r="A58" s="5" t="s">
        <v>172</v>
      </c>
      <c r="D58" s="21" t="n">
        <f aca="false">SUMPRODUCT(($B$34:$B$50=$A58)*D$34:D$50*$C$34:$C$50)</f>
        <v>15.5821071251632</v>
      </c>
      <c r="E58" s="21" t="n">
        <f aca="false">SUMPRODUCT(($B$34:$B$50=$A58)*E$34:E$50*$C$34:$C$50)</f>
        <v>15.5821071251632</v>
      </c>
      <c r="F58" s="21" t="n">
        <f aca="false">SUMPRODUCT(($B$34:$B$50=$A58)*F$34:F$50*$C$34:$C$50)</f>
        <v>15.5821071251632</v>
      </c>
      <c r="G58" s="21" t="n">
        <f aca="false">SUMPRODUCT(($B$34:$B$50=$A58)*G$34:G$50*$C$34:$C$50)</f>
        <v>15.5821071251632</v>
      </c>
      <c r="H58" s="21" t="n">
        <f aca="false">SUMPRODUCT(($B$34:$B$50=$A58)*H$34:H$50*$C$34:$C$50)</f>
        <v>15.5821071251632</v>
      </c>
      <c r="I58" s="21" t="n">
        <f aca="false">SUMPRODUCT(($B$34:$B$50=$A58)*I$34:I$50*$C$34:$C$50)</f>
        <v>15.5821071251632</v>
      </c>
      <c r="J58" s="21" t="n">
        <f aca="false">SUMPRODUCT(($B$34:$B$50=$A58)*J$34:J$50*$C$34:$C$50)</f>
        <v>15.5821071251632</v>
      </c>
      <c r="K58" s="21" t="n">
        <f aca="false">SUMPRODUCT(($B$34:$B$50=$A58)*K$34:K$50*$C$34:$C$50)</f>
        <v>15.5821071251632</v>
      </c>
      <c r="L58" s="21" t="n">
        <f aca="false">SUMPRODUCT(($B$34:$B$50=$A58)*L$34:L$50*$C$34:$C$50)</f>
        <v>15.5821071251632</v>
      </c>
      <c r="M58" s="21" t="n">
        <f aca="false">SUMPRODUCT(($B$34:$B$50=$A58)*M$34:M$50*$C$34:$C$50)</f>
        <v>15.5821071251632</v>
      </c>
      <c r="N58" s="21" t="n">
        <f aca="false">SUMPRODUCT(($B$34:$B$50=$A58)*N$34:N$50*$C$34:$C$50)</f>
        <v>15.5821071251632</v>
      </c>
      <c r="O58" s="21" t="n">
        <f aca="false">SUMPRODUCT(($B$34:$B$50=$A58)*O$34:O$50*$C$34:$C$50)</f>
        <v>15.5821071251632</v>
      </c>
      <c r="P58" s="21" t="n">
        <f aca="false">SUMPRODUCT(($B$34:$B$50=$A58)*P$34:P$50*$C$34:$C$50)</f>
        <v>186.985285501959</v>
      </c>
    </row>
    <row r="59" customFormat="false" ht="15" hidden="false" customHeight="false" outlineLevel="0" collapsed="false">
      <c r="A59" s="5" t="s">
        <v>173</v>
      </c>
      <c r="D59" s="21" t="n">
        <f aca="false">SUMPRODUCT(($B$34:$B$50=$A59)*D$34:D$50*$C$34:$C$50)</f>
        <v>108.668865164645</v>
      </c>
      <c r="E59" s="21" t="n">
        <f aca="false">SUMPRODUCT(($B$34:$B$50=$A59)*E$34:E$50*$C$34:$C$50)</f>
        <v>108.668865164645</v>
      </c>
      <c r="F59" s="21" t="n">
        <f aca="false">SUMPRODUCT(($B$34:$B$50=$A59)*F$34:F$50*$C$34:$C$50)</f>
        <v>108.668865164645</v>
      </c>
      <c r="G59" s="21" t="n">
        <f aca="false">SUMPRODUCT(($B$34:$B$50=$A59)*G$34:G$50*$C$34:$C$50)</f>
        <v>108.668865164645</v>
      </c>
      <c r="H59" s="21" t="n">
        <f aca="false">SUMPRODUCT(($B$34:$B$50=$A59)*H$34:H$50*$C$34:$C$50)</f>
        <v>108.668865164645</v>
      </c>
      <c r="I59" s="21" t="n">
        <f aca="false">SUMPRODUCT(($B$34:$B$50=$A59)*I$34:I$50*$C$34:$C$50)</f>
        <v>108.668865164645</v>
      </c>
      <c r="J59" s="21" t="n">
        <f aca="false">SUMPRODUCT(($B$34:$B$50=$A59)*J$34:J$50*$C$34:$C$50)</f>
        <v>108.668865164645</v>
      </c>
      <c r="K59" s="21" t="n">
        <f aca="false">SUMPRODUCT(($B$34:$B$50=$A59)*K$34:K$50*$C$34:$C$50)</f>
        <v>108.668865164645</v>
      </c>
      <c r="L59" s="21" t="n">
        <f aca="false">SUMPRODUCT(($B$34:$B$50=$A59)*L$34:L$50*$C$34:$C$50)</f>
        <v>108.668865164645</v>
      </c>
      <c r="M59" s="21" t="n">
        <f aca="false">SUMPRODUCT(($B$34:$B$50=$A59)*M$34:M$50*$C$34:$C$50)</f>
        <v>108.668865164645</v>
      </c>
      <c r="N59" s="21" t="n">
        <f aca="false">SUMPRODUCT(($B$34:$B$50=$A59)*N$34:N$50*$C$34:$C$50)</f>
        <v>108.668865164645</v>
      </c>
      <c r="O59" s="21" t="n">
        <f aca="false">SUMPRODUCT(($B$34:$B$50=$A59)*O$34:O$50*$C$34:$C$50)</f>
        <v>108.668865164645</v>
      </c>
      <c r="P59" s="21" t="n">
        <f aca="false">SUMPRODUCT(($B$34:$B$50=$A59)*P$34:P$50*$C$34:$C$50)</f>
        <v>1304.02638197574</v>
      </c>
    </row>
    <row r="60" customFormat="false" ht="15" hidden="false" customHeight="false" outlineLevel="0" collapsed="false">
      <c r="A60" s="5" t="s">
        <v>176</v>
      </c>
      <c r="D60" s="21" t="n">
        <f aca="false">SUMPRODUCT(($B$34:$B$50=$A60)*D$34:D$50*$C$34:$C$50)</f>
        <v>5.26232228238547</v>
      </c>
      <c r="E60" s="21" t="n">
        <f aca="false">SUMPRODUCT(($B$34:$B$50=$A60)*E$34:E$50*$C$34:$C$50)</f>
        <v>5.26232228238547</v>
      </c>
      <c r="F60" s="21" t="n">
        <f aca="false">SUMPRODUCT(($B$34:$B$50=$A60)*F$34:F$50*$C$34:$C$50)</f>
        <v>5.26232228238547</v>
      </c>
      <c r="G60" s="21" t="n">
        <f aca="false">SUMPRODUCT(($B$34:$B$50=$A60)*G$34:G$50*$C$34:$C$50)</f>
        <v>5.26232228238547</v>
      </c>
      <c r="H60" s="21" t="n">
        <f aca="false">SUMPRODUCT(($B$34:$B$50=$A60)*H$34:H$50*$C$34:$C$50)</f>
        <v>5.26232228238547</v>
      </c>
      <c r="I60" s="21" t="n">
        <f aca="false">SUMPRODUCT(($B$34:$B$50=$A60)*I$34:I$50*$C$34:$C$50)</f>
        <v>5.26232228238547</v>
      </c>
      <c r="J60" s="21" t="n">
        <f aca="false">SUMPRODUCT(($B$34:$B$50=$A60)*J$34:J$50*$C$34:$C$50)</f>
        <v>5.26232228238547</v>
      </c>
      <c r="K60" s="21" t="n">
        <f aca="false">SUMPRODUCT(($B$34:$B$50=$A60)*K$34:K$50*$C$34:$C$50)</f>
        <v>5.26232228238547</v>
      </c>
      <c r="L60" s="21" t="n">
        <f aca="false">SUMPRODUCT(($B$34:$B$50=$A60)*L$34:L$50*$C$34:$C$50)</f>
        <v>5.26232228238547</v>
      </c>
      <c r="M60" s="21" t="n">
        <f aca="false">SUMPRODUCT(($B$34:$B$50=$A60)*M$34:M$50*$C$34:$C$50)</f>
        <v>5.26232228238547</v>
      </c>
      <c r="N60" s="21" t="n">
        <f aca="false">SUMPRODUCT(($B$34:$B$50=$A60)*N$34:N$50*$C$34:$C$50)</f>
        <v>5.26232228238547</v>
      </c>
      <c r="O60" s="21" t="n">
        <f aca="false">SUMPRODUCT(($B$34:$B$50=$A60)*O$34:O$50*$C$34:$C$50)</f>
        <v>5.26232228238547</v>
      </c>
      <c r="P60" s="21" t="n">
        <f aca="false">SUMPRODUCT(($B$34:$B$50=$A60)*P$34:P$50*$C$34:$C$50)</f>
        <v>63.1478673886256</v>
      </c>
    </row>
    <row r="61" customFormat="false" ht="15" hidden="false" customHeight="false" outlineLevel="0" collapsed="false">
      <c r="A61" s="4" t="s">
        <v>358</v>
      </c>
      <c r="D61" s="22" t="n">
        <f aca="false">SUMPRODUCT(D$34:D$50*parametros_recargas!$D$51:$D$67)</f>
        <v>50.0652168476776</v>
      </c>
      <c r="E61" s="22" t="n">
        <f aca="false">SUMPRODUCT(E$34:E$50*parametros_recargas!$D$51:$D$67)</f>
        <v>50.0652168476776</v>
      </c>
      <c r="F61" s="22" t="n">
        <f aca="false">SUMPRODUCT(F$34:F$50*parametros_recargas!$D$51:$D$67)</f>
        <v>50.0652168476776</v>
      </c>
      <c r="G61" s="22" t="n">
        <f aca="false">SUMPRODUCT(G$34:G$50*parametros_recargas!$D$51:$D$67)</f>
        <v>50.0652168476776</v>
      </c>
      <c r="H61" s="22" t="n">
        <f aca="false">SUMPRODUCT(H$34:H$50*parametros_recargas!$D$51:$D$67)</f>
        <v>50.0652168476776</v>
      </c>
      <c r="I61" s="22" t="n">
        <f aca="false">SUMPRODUCT(I$34:I$50*parametros_recargas!$D$51:$D$67)</f>
        <v>50.0652168476776</v>
      </c>
      <c r="J61" s="22" t="n">
        <f aca="false">SUMPRODUCT(J$34:J$50*parametros_recargas!$D$51:$D$67)</f>
        <v>50.0652168476776</v>
      </c>
      <c r="K61" s="22" t="n">
        <f aca="false">SUMPRODUCT(K$34:K$50*parametros_recargas!$D$51:$D$67)</f>
        <v>50.0652168476776</v>
      </c>
      <c r="L61" s="22" t="n">
        <f aca="false">SUMPRODUCT(L$34:L$50*parametros_recargas!$D$51:$D$67)</f>
        <v>50.0652168476776</v>
      </c>
      <c r="M61" s="22" t="n">
        <f aca="false">SUMPRODUCT(M$34:M$50*parametros_recargas!$D$51:$D$67)</f>
        <v>50.0652168476776</v>
      </c>
      <c r="N61" s="22" t="n">
        <f aca="false">SUMPRODUCT(N$34:N$50*parametros_recargas!$D$51:$D$67)</f>
        <v>50.0652168476776</v>
      </c>
      <c r="O61" s="22" t="n">
        <f aca="false">SUMPRODUCT(O$34:O$50*parametros_recargas!$D$51:$D$67)</f>
        <v>50.0652168476776</v>
      </c>
      <c r="P61" s="22" t="n">
        <f aca="false">SUMPRODUCT(P$34:P$50*parametros_recargas!$D$51:$D$67)</f>
        <v>600.782602172131</v>
      </c>
    </row>
    <row r="62" customFormat="false" ht="15" hidden="false" customHeight="false" outlineLevel="0" collapsed="false">
      <c r="A62" s="4" t="s">
        <v>359</v>
      </c>
      <c r="D62" s="22" t="n">
        <f aca="false">SUMPRODUCT(sobrestock_sustitutos!$C$73:$C$89*(sobrestock_sustitutos!$F$30:$F$46="Fábrica: cilindro vacío")*parametros_recargas!$C$51:$C$67*parametros_recargas!$B$107:$B$123)</f>
        <v>5.9886</v>
      </c>
      <c r="E62" s="22" t="n">
        <f aca="false">SUMPRODUCT(sobrestock_sustitutos!$C$73:$C$89*(sobrestock_sustitutos!$F$30:$F$46="Fábrica: cilindro vacío")*parametros_recargas!$C$51:$C$67*parametros_recargas!$C$107:$C$123)</f>
        <v>4.8186</v>
      </c>
      <c r="F62" s="22" t="n">
        <f aca="false">SUMPRODUCT(sobrestock_sustitutos!$C$73:$C$89*(sobrestock_sustitutos!$F$30:$F$46="Fábrica: cilindro vacío")*parametros_recargas!$C$51:$C$67*parametros_recargas!$D$107:$D$123)</f>
        <v>5.1606</v>
      </c>
      <c r="G62" s="22" t="n">
        <f aca="false">SUMPRODUCT(sobrestock_sustitutos!$C$73:$C$89*(sobrestock_sustitutos!$F$30:$F$46="Fábrica: cilindro vacío")*parametros_recargas!$C$51:$C$67*parametros_recargas!$E$107:$E$123)</f>
        <v>5.1606</v>
      </c>
      <c r="H62" s="22" t="n">
        <f aca="false">SUMPRODUCT(sobrestock_sustitutos!$C$73:$C$89*(sobrestock_sustitutos!$F$30:$F$46="Fábrica: cilindro vacío")*parametros_recargas!$C$51:$C$67*parametros_recargas!$F$107:$F$123)</f>
        <v>4.878</v>
      </c>
      <c r="I62" s="22" t="n">
        <f aca="false">SUMPRODUCT(sobrestock_sustitutos!$C$73:$C$89*(sobrestock_sustitutos!$F$30:$F$46="Fábrica: cilindro vacío")*parametros_recargas!$C$51:$C$67*parametros_recargas!$G$107:$G$123)</f>
        <v>4.5558</v>
      </c>
      <c r="J62" s="22" t="n">
        <f aca="false">SUMPRODUCT(sobrestock_sustitutos!$C$73:$C$89*(sobrestock_sustitutos!$F$30:$F$46="Fábrica: cilindro vacío")*parametros_recargas!$C$51:$C$67*parametros_recargas!$H$107:$H$123)</f>
        <v>4.878</v>
      </c>
      <c r="K62" s="22" t="n">
        <f aca="false">SUMPRODUCT(sobrestock_sustitutos!$C$73:$C$89*(sobrestock_sustitutos!$F$30:$F$46="Fábrica: cilindro vacío")*parametros_recargas!$C$51:$C$67*parametros_recargas!$I$107:$I$123)</f>
        <v>4.878</v>
      </c>
      <c r="L62" s="22" t="n">
        <f aca="false">SUMPRODUCT(sobrestock_sustitutos!$C$73:$C$89*(sobrestock_sustitutos!$F$30:$F$46="Fábrica: cilindro vacío")*parametros_recargas!$C$51:$C$67*parametros_recargas!$J$107:$J$123)</f>
        <v>4.8582</v>
      </c>
      <c r="M62" s="22" t="n">
        <f aca="false">SUMPRODUCT(sobrestock_sustitutos!$C$73:$C$89*(sobrestock_sustitutos!$F$30:$F$46="Fábrica: cilindro vacío")*parametros_recargas!$C$51:$C$67*parametros_recargas!$K$107:$K$123)</f>
        <v>4.536</v>
      </c>
      <c r="N62" s="22" t="n">
        <f aca="false">SUMPRODUCT(sobrestock_sustitutos!$C$73:$C$89*(sobrestock_sustitutos!$F$30:$F$46="Fábrica: cilindro vacío")*parametros_recargas!$C$51:$C$67*parametros_recargas!$L$107:$L$123)</f>
        <v>4.2336</v>
      </c>
      <c r="O62" s="22" t="n">
        <f aca="false">SUMPRODUCT(sobrestock_sustitutos!$C$73:$C$89*(sobrestock_sustitutos!$F$30:$F$46="Fábrica: cilindro vacío")*parametros_recargas!$C$51:$C$67*parametros_recargas!$M$107:$M$123)</f>
        <v>6.534</v>
      </c>
      <c r="P62" s="7" t="n">
        <f aca="false">SUM(D62:O62)</f>
        <v>60.48</v>
      </c>
    </row>
    <row r="65" customFormat="false" ht="23.85" hidden="false" customHeight="false" outlineLevel="0" collapsed="false">
      <c r="A65" s="23" t="n">
        <v>2028</v>
      </c>
      <c r="B65" s="3" t="s">
        <v>353</v>
      </c>
      <c r="C65" s="3" t="s">
        <v>354</v>
      </c>
      <c r="D65" s="3" t="s">
        <v>147</v>
      </c>
      <c r="E65" s="3" t="s">
        <v>148</v>
      </c>
      <c r="F65" s="3" t="s">
        <v>149</v>
      </c>
      <c r="G65" s="3" t="s">
        <v>150</v>
      </c>
      <c r="H65" s="3" t="s">
        <v>151</v>
      </c>
      <c r="I65" s="3" t="s">
        <v>152</v>
      </c>
      <c r="J65" s="3" t="s">
        <v>153</v>
      </c>
      <c r="K65" s="3" t="s">
        <v>154</v>
      </c>
      <c r="L65" s="3" t="s">
        <v>155</v>
      </c>
      <c r="M65" s="3" t="s">
        <v>156</v>
      </c>
      <c r="N65" s="3" t="s">
        <v>157</v>
      </c>
      <c r="O65" s="3" t="s">
        <v>158</v>
      </c>
      <c r="P65" s="3" t="s">
        <v>83</v>
      </c>
      <c r="Q65" s="3" t="s">
        <v>355</v>
      </c>
    </row>
    <row r="66" customFormat="false" ht="15" hidden="false" customHeight="false" outlineLevel="0" collapsed="false">
      <c r="A66" s="9" t="str">
        <f aca="false">parametros_recargas!A51</f>
        <v>ABC 1 kg</v>
      </c>
      <c r="B66" s="9" t="str">
        <f aca="false">parametros_recargas!B51</f>
        <v>ABC</v>
      </c>
      <c r="C66" s="11" t="n">
        <f aca="false">parametros_recargas!C51</f>
        <v>1</v>
      </c>
      <c r="D66" s="21" t="n">
        <f aca="false">datos_base!$D$2*parametros_recargas!$B$39+sobrestock_sustitutos!$D$98/12</f>
        <v>1411.5341316251</v>
      </c>
      <c r="E66" s="21" t="n">
        <f aca="false">datos_base!$D$2*parametros_recargas!$C$39+sobrestock_sustitutos!$D$98/12</f>
        <v>1411.5341316251</v>
      </c>
      <c r="F66" s="21" t="n">
        <f aca="false">datos_base!$D$2*parametros_recargas!$D$39+sobrestock_sustitutos!$D$98/12</f>
        <v>1411.5341316251</v>
      </c>
      <c r="G66" s="21" t="n">
        <f aca="false">datos_base!$D$2*parametros_recargas!$E$39+sobrestock_sustitutos!$D$98/12</f>
        <v>1411.5341316251</v>
      </c>
      <c r="H66" s="21" t="n">
        <f aca="false">datos_base!$D$2*parametros_recargas!$F$39+sobrestock_sustitutos!$D$98/12</f>
        <v>1411.5341316251</v>
      </c>
      <c r="I66" s="21" t="n">
        <f aca="false">datos_base!$D$2*parametros_recargas!$G$39+sobrestock_sustitutos!$D$98/12</f>
        <v>1411.5341316251</v>
      </c>
      <c r="J66" s="21" t="n">
        <f aca="false">datos_base!$D$2*parametros_recargas!$H$39+sobrestock_sustitutos!$D$98/12</f>
        <v>1411.5341316251</v>
      </c>
      <c r="K66" s="21" t="n">
        <f aca="false">datos_base!$D$2*parametros_recargas!$I$39+sobrestock_sustitutos!$D$98/12</f>
        <v>1411.5341316251</v>
      </c>
      <c r="L66" s="21" t="n">
        <f aca="false">datos_base!$D$2*parametros_recargas!$J$39+sobrestock_sustitutos!$D$98/12</f>
        <v>1411.5341316251</v>
      </c>
      <c r="M66" s="21" t="n">
        <f aca="false">datos_base!$D$2*parametros_recargas!$K$39+sobrestock_sustitutos!$D$98/12</f>
        <v>1411.5341316251</v>
      </c>
      <c r="N66" s="21" t="n">
        <f aca="false">datos_base!$D$2*parametros_recargas!$L$39+sobrestock_sustitutos!$D$98/12</f>
        <v>1411.5341316251</v>
      </c>
      <c r="O66" s="21" t="n">
        <f aca="false">datos_base!$D$2*parametros_recargas!$M$39+sobrestock_sustitutos!$D$98/12</f>
        <v>1411.5341316251</v>
      </c>
      <c r="P66" s="7" t="n">
        <f aca="false">SUM(D66:O66)</f>
        <v>16938.4095795012</v>
      </c>
      <c r="Q66" s="6" t="n">
        <f aca="false">sobrestock_sustitutos!$D$98</f>
        <v>0</v>
      </c>
    </row>
    <row r="67" customFormat="false" ht="15" hidden="false" customHeight="false" outlineLevel="0" collapsed="false">
      <c r="A67" s="9" t="str">
        <f aca="false">parametros_recargas!A52</f>
        <v>ABC 2,5 kg</v>
      </c>
      <c r="B67" s="9" t="str">
        <f aca="false">parametros_recargas!B52</f>
        <v>ABC</v>
      </c>
      <c r="C67" s="11" t="n">
        <f aca="false">parametros_recargas!C52</f>
        <v>1</v>
      </c>
      <c r="D67" s="21" t="n">
        <f aca="false">datos_base!$D$3*parametros_recargas!$B$39+sobrestock_sustitutos!$D$99/12</f>
        <v>137.021958679203</v>
      </c>
      <c r="E67" s="21" t="n">
        <f aca="false">datos_base!$D$3*parametros_recargas!$C$39+sobrestock_sustitutos!$D$99/12</f>
        <v>137.021958679203</v>
      </c>
      <c r="F67" s="21" t="n">
        <f aca="false">datos_base!$D$3*parametros_recargas!$D$39+sobrestock_sustitutos!$D$99/12</f>
        <v>137.021958679203</v>
      </c>
      <c r="G67" s="21" t="n">
        <f aca="false">datos_base!$D$3*parametros_recargas!$E$39+sobrestock_sustitutos!$D$99/12</f>
        <v>137.021958679203</v>
      </c>
      <c r="H67" s="21" t="n">
        <f aca="false">datos_base!$D$3*parametros_recargas!$F$39+sobrestock_sustitutos!$D$99/12</f>
        <v>137.021958679203</v>
      </c>
      <c r="I67" s="21" t="n">
        <f aca="false">datos_base!$D$3*parametros_recargas!$G$39+sobrestock_sustitutos!$D$99/12</f>
        <v>137.021958679203</v>
      </c>
      <c r="J67" s="21" t="n">
        <f aca="false">datos_base!$D$3*parametros_recargas!$H$39+sobrestock_sustitutos!$D$99/12</f>
        <v>137.021958679203</v>
      </c>
      <c r="K67" s="21" t="n">
        <f aca="false">datos_base!$D$3*parametros_recargas!$I$39+sobrestock_sustitutos!$D$99/12</f>
        <v>137.021958679203</v>
      </c>
      <c r="L67" s="21" t="n">
        <f aca="false">datos_base!$D$3*parametros_recargas!$J$39+sobrestock_sustitutos!$D$99/12</f>
        <v>137.021958679203</v>
      </c>
      <c r="M67" s="21" t="n">
        <f aca="false">datos_base!$D$3*parametros_recargas!$K$39+sobrestock_sustitutos!$D$99/12</f>
        <v>137.021958679203</v>
      </c>
      <c r="N67" s="21" t="n">
        <f aca="false">datos_base!$D$3*parametros_recargas!$L$39+sobrestock_sustitutos!$D$99/12</f>
        <v>137.021958679203</v>
      </c>
      <c r="O67" s="21" t="n">
        <f aca="false">datos_base!$D$3*parametros_recargas!$M$39+sobrestock_sustitutos!$D$99/12</f>
        <v>137.021958679203</v>
      </c>
      <c r="P67" s="7" t="n">
        <f aca="false">SUM(D67:O67)</f>
        <v>1644.26350415044</v>
      </c>
      <c r="Q67" s="6" t="n">
        <f aca="false">sobrestock_sustitutos!$D$99</f>
        <v>10</v>
      </c>
    </row>
    <row r="68" customFormat="false" ht="15" hidden="false" customHeight="false" outlineLevel="0" collapsed="false">
      <c r="A68" s="9" t="str">
        <f aca="false">parametros_recargas!A53</f>
        <v>ABC 5 kg</v>
      </c>
      <c r="B68" s="9" t="str">
        <f aca="false">parametros_recargas!B53</f>
        <v>ABC</v>
      </c>
      <c r="C68" s="11" t="n">
        <f aca="false">parametros_recargas!C53</f>
        <v>1</v>
      </c>
      <c r="D68" s="21" t="n">
        <f aca="false">datos_base!$D$4*parametros_recargas!$B$39+sobrestock_sustitutos!$D$100/12</f>
        <v>826.421965659078</v>
      </c>
      <c r="E68" s="21" t="n">
        <f aca="false">datos_base!$D$4*parametros_recargas!$C$39+sobrestock_sustitutos!$D$100/12</f>
        <v>826.421965659078</v>
      </c>
      <c r="F68" s="21" t="n">
        <f aca="false">datos_base!$D$4*parametros_recargas!$D$39+sobrestock_sustitutos!$D$100/12</f>
        <v>826.421965659078</v>
      </c>
      <c r="G68" s="21" t="n">
        <f aca="false">datos_base!$D$4*parametros_recargas!$E$39+sobrestock_sustitutos!$D$100/12</f>
        <v>826.421965659078</v>
      </c>
      <c r="H68" s="21" t="n">
        <f aca="false">datos_base!$D$4*parametros_recargas!$F$39+sobrestock_sustitutos!$D$100/12</f>
        <v>826.421965659078</v>
      </c>
      <c r="I68" s="21" t="n">
        <f aca="false">datos_base!$D$4*parametros_recargas!$G$39+sobrestock_sustitutos!$D$100/12</f>
        <v>826.421965659078</v>
      </c>
      <c r="J68" s="21" t="n">
        <f aca="false">datos_base!$D$4*parametros_recargas!$H$39+sobrestock_sustitutos!$D$100/12</f>
        <v>826.421965659078</v>
      </c>
      <c r="K68" s="21" t="n">
        <f aca="false">datos_base!$D$4*parametros_recargas!$I$39+sobrestock_sustitutos!$D$100/12</f>
        <v>826.421965659078</v>
      </c>
      <c r="L68" s="21" t="n">
        <f aca="false">datos_base!$D$4*parametros_recargas!$J$39+sobrestock_sustitutos!$D$100/12</f>
        <v>826.421965659078</v>
      </c>
      <c r="M68" s="21" t="n">
        <f aca="false">datos_base!$D$4*parametros_recargas!$K$39+sobrestock_sustitutos!$D$100/12</f>
        <v>826.421965659078</v>
      </c>
      <c r="N68" s="21" t="n">
        <f aca="false">datos_base!$D$4*parametros_recargas!$L$39+sobrestock_sustitutos!$D$100/12</f>
        <v>826.421965659078</v>
      </c>
      <c r="O68" s="21" t="n">
        <f aca="false">datos_base!$D$4*parametros_recargas!$M$39+sobrestock_sustitutos!$D$100/12</f>
        <v>826.421965659078</v>
      </c>
      <c r="P68" s="7" t="n">
        <f aca="false">SUM(D68:O68)</f>
        <v>9917.06358790893</v>
      </c>
      <c r="Q68" s="6" t="n">
        <f aca="false">sobrestock_sustitutos!$D$100</f>
        <v>60</v>
      </c>
    </row>
    <row r="69" customFormat="false" ht="15" hidden="false" customHeight="false" outlineLevel="0" collapsed="false">
      <c r="A69" s="9" t="str">
        <f aca="false">parametros_recargas!A54</f>
        <v>ABC 10 kg</v>
      </c>
      <c r="B69" s="9" t="str">
        <f aca="false">parametros_recargas!B54</f>
        <v>ABC</v>
      </c>
      <c r="C69" s="11" t="n">
        <f aca="false">parametros_recargas!C54</f>
        <v>1</v>
      </c>
      <c r="D69" s="21" t="n">
        <f aca="false">datos_base!$D$5*parametros_recargas!$B$39+sobrestock_sustitutos!$D$101/12</f>
        <v>47.6973975099995</v>
      </c>
      <c r="E69" s="21" t="n">
        <f aca="false">datos_base!$D$5*parametros_recargas!$C$39+sobrestock_sustitutos!$D$101/12</f>
        <v>47.6973975099995</v>
      </c>
      <c r="F69" s="21" t="n">
        <f aca="false">datos_base!$D$5*parametros_recargas!$D$39+sobrestock_sustitutos!$D$101/12</f>
        <v>47.6973975099995</v>
      </c>
      <c r="G69" s="21" t="n">
        <f aca="false">datos_base!$D$5*parametros_recargas!$E$39+sobrestock_sustitutos!$D$101/12</f>
        <v>47.6973975099995</v>
      </c>
      <c r="H69" s="21" t="n">
        <f aca="false">datos_base!$D$5*parametros_recargas!$F$39+sobrestock_sustitutos!$D$101/12</f>
        <v>47.6973975099995</v>
      </c>
      <c r="I69" s="21" t="n">
        <f aca="false">datos_base!$D$5*parametros_recargas!$G$39+sobrestock_sustitutos!$D$101/12</f>
        <v>47.6973975099995</v>
      </c>
      <c r="J69" s="21" t="n">
        <f aca="false">datos_base!$D$5*parametros_recargas!$H$39+sobrestock_sustitutos!$D$101/12</f>
        <v>47.6973975099995</v>
      </c>
      <c r="K69" s="21" t="n">
        <f aca="false">datos_base!$D$5*parametros_recargas!$I$39+sobrestock_sustitutos!$D$101/12</f>
        <v>47.6973975099995</v>
      </c>
      <c r="L69" s="21" t="n">
        <f aca="false">datos_base!$D$5*parametros_recargas!$J$39+sobrestock_sustitutos!$D$101/12</f>
        <v>47.6973975099995</v>
      </c>
      <c r="M69" s="21" t="n">
        <f aca="false">datos_base!$D$5*parametros_recargas!$K$39+sobrestock_sustitutos!$D$101/12</f>
        <v>47.6973975099995</v>
      </c>
      <c r="N69" s="21" t="n">
        <f aca="false">datos_base!$D$5*parametros_recargas!$L$39+sobrestock_sustitutos!$D$101/12</f>
        <v>47.6973975099995</v>
      </c>
      <c r="O69" s="21" t="n">
        <f aca="false">datos_base!$D$5*parametros_recargas!$M$39+sobrestock_sustitutos!$D$101/12</f>
        <v>47.6973975099995</v>
      </c>
      <c r="P69" s="7" t="n">
        <f aca="false">SUM(D69:O69)</f>
        <v>572.368770119994</v>
      </c>
      <c r="Q69" s="6" t="n">
        <f aca="false">sobrestock_sustitutos!$D$101</f>
        <v>4</v>
      </c>
    </row>
    <row r="70" customFormat="false" ht="15" hidden="false" customHeight="false" outlineLevel="0" collapsed="false">
      <c r="A70" s="9" t="str">
        <f aca="false">parametros_recargas!A55</f>
        <v>Agua 10 l</v>
      </c>
      <c r="B70" s="9" t="str">
        <f aca="false">parametros_recargas!B55</f>
        <v>Agua</v>
      </c>
      <c r="C70" s="11" t="n">
        <f aca="false">parametros_recargas!C55</f>
        <v>1</v>
      </c>
      <c r="D70" s="21" t="n">
        <f aca="false">datos_base!$D$6*parametros_recargas!$B$39+sobrestock_sustitutos!$D$102/12</f>
        <v>68.630270181934</v>
      </c>
      <c r="E70" s="21" t="n">
        <f aca="false">datos_base!$D$6*parametros_recargas!$C$39+sobrestock_sustitutos!$D$102/12</f>
        <v>68.630270181934</v>
      </c>
      <c r="F70" s="21" t="n">
        <f aca="false">datos_base!$D$6*parametros_recargas!$D$39+sobrestock_sustitutos!$D$102/12</f>
        <v>68.630270181934</v>
      </c>
      <c r="G70" s="21" t="n">
        <f aca="false">datos_base!$D$6*parametros_recargas!$E$39+sobrestock_sustitutos!$D$102/12</f>
        <v>68.630270181934</v>
      </c>
      <c r="H70" s="21" t="n">
        <f aca="false">datos_base!$D$6*parametros_recargas!$F$39+sobrestock_sustitutos!$D$102/12</f>
        <v>68.630270181934</v>
      </c>
      <c r="I70" s="21" t="n">
        <f aca="false">datos_base!$D$6*parametros_recargas!$G$39+sobrestock_sustitutos!$D$102/12</f>
        <v>68.630270181934</v>
      </c>
      <c r="J70" s="21" t="n">
        <f aca="false">datos_base!$D$6*parametros_recargas!$H$39+sobrestock_sustitutos!$D$102/12</f>
        <v>68.630270181934</v>
      </c>
      <c r="K70" s="21" t="n">
        <f aca="false">datos_base!$D$6*parametros_recargas!$I$39+sobrestock_sustitutos!$D$102/12</f>
        <v>68.630270181934</v>
      </c>
      <c r="L70" s="21" t="n">
        <f aca="false">datos_base!$D$6*parametros_recargas!$J$39+sobrestock_sustitutos!$D$102/12</f>
        <v>68.630270181934</v>
      </c>
      <c r="M70" s="21" t="n">
        <f aca="false">datos_base!$D$6*parametros_recargas!$K$39+sobrestock_sustitutos!$D$102/12</f>
        <v>68.630270181934</v>
      </c>
      <c r="N70" s="21" t="n">
        <f aca="false">datos_base!$D$6*parametros_recargas!$L$39+sobrestock_sustitutos!$D$102/12</f>
        <v>68.630270181934</v>
      </c>
      <c r="O70" s="21" t="n">
        <f aca="false">datos_base!$D$6*parametros_recargas!$M$39+sobrestock_sustitutos!$D$102/12</f>
        <v>68.630270181934</v>
      </c>
      <c r="P70" s="7" t="n">
        <f aca="false">SUM(D70:O70)</f>
        <v>823.563242183208</v>
      </c>
      <c r="Q70" s="6" t="n">
        <f aca="false">sobrestock_sustitutos!$D$102</f>
        <v>6</v>
      </c>
    </row>
    <row r="71" customFormat="false" ht="15" hidden="false" customHeight="false" outlineLevel="0" collapsed="false">
      <c r="A71" s="9" t="str">
        <f aca="false">parametros_recargas!A56</f>
        <v>AFFF 10 l</v>
      </c>
      <c r="B71" s="9" t="str">
        <f aca="false">parametros_recargas!B56</f>
        <v>AFFF</v>
      </c>
      <c r="C71" s="11" t="n">
        <f aca="false">parametros_recargas!C56</f>
        <v>1</v>
      </c>
      <c r="D71" s="21" t="n">
        <f aca="false">datos_base!$D$7*parametros_recargas!$B$39+sobrestock_sustitutos!$D$103/12</f>
        <v>14.79708200178</v>
      </c>
      <c r="E71" s="21" t="n">
        <f aca="false">datos_base!$D$7*parametros_recargas!$C$39+sobrestock_sustitutos!$D$103/12</f>
        <v>14.79708200178</v>
      </c>
      <c r="F71" s="21" t="n">
        <f aca="false">datos_base!$D$7*parametros_recargas!$D$39+sobrestock_sustitutos!$D$103/12</f>
        <v>14.79708200178</v>
      </c>
      <c r="G71" s="21" t="n">
        <f aca="false">datos_base!$D$7*parametros_recargas!$E$39+sobrestock_sustitutos!$D$103/12</f>
        <v>14.79708200178</v>
      </c>
      <c r="H71" s="21" t="n">
        <f aca="false">datos_base!$D$7*parametros_recargas!$F$39+sobrestock_sustitutos!$D$103/12</f>
        <v>14.79708200178</v>
      </c>
      <c r="I71" s="21" t="n">
        <f aca="false">datos_base!$D$7*parametros_recargas!$G$39+sobrestock_sustitutos!$D$103/12</f>
        <v>14.79708200178</v>
      </c>
      <c r="J71" s="21" t="n">
        <f aca="false">datos_base!$D$7*parametros_recargas!$H$39+sobrestock_sustitutos!$D$103/12</f>
        <v>14.79708200178</v>
      </c>
      <c r="K71" s="21" t="n">
        <f aca="false">datos_base!$D$7*parametros_recargas!$I$39+sobrestock_sustitutos!$D$103/12</f>
        <v>14.79708200178</v>
      </c>
      <c r="L71" s="21" t="n">
        <f aca="false">datos_base!$D$7*parametros_recargas!$J$39+sobrestock_sustitutos!$D$103/12</f>
        <v>14.79708200178</v>
      </c>
      <c r="M71" s="21" t="n">
        <f aca="false">datos_base!$D$7*parametros_recargas!$K$39+sobrestock_sustitutos!$D$103/12</f>
        <v>14.79708200178</v>
      </c>
      <c r="N71" s="21" t="n">
        <f aca="false">datos_base!$D$7*parametros_recargas!$L$39+sobrestock_sustitutos!$D$103/12</f>
        <v>14.79708200178</v>
      </c>
      <c r="O71" s="21" t="n">
        <f aca="false">datos_base!$D$7*parametros_recargas!$M$39+sobrestock_sustitutos!$D$103/12</f>
        <v>14.79708200178</v>
      </c>
      <c r="P71" s="7" t="n">
        <f aca="false">SUM(D71:O71)</f>
        <v>177.56498402136</v>
      </c>
      <c r="Q71" s="6" t="n">
        <f aca="false">sobrestock_sustitutos!$D$103</f>
        <v>2</v>
      </c>
    </row>
    <row r="72" customFormat="false" ht="15" hidden="false" customHeight="false" outlineLevel="0" collapsed="false">
      <c r="A72" s="9" t="str">
        <f aca="false">parametros_recargas!A57</f>
        <v>AFFF 50 l s/ruedas</v>
      </c>
      <c r="B72" s="9" t="str">
        <f aca="false">parametros_recargas!B57</f>
        <v>AFFF</v>
      </c>
      <c r="C72" s="11" t="n">
        <f aca="false">parametros_recargas!C57</f>
        <v>3</v>
      </c>
      <c r="D72" s="21" t="n">
        <f aca="false">datos_base!$D$8*parametros_recargas!$B$39+sobrestock_sustitutos!$D$104/12</f>
        <v>7.68320352401441</v>
      </c>
      <c r="E72" s="21" t="n">
        <f aca="false">datos_base!$D$8*parametros_recargas!$C$39+sobrestock_sustitutos!$D$104/12</f>
        <v>7.68320352401441</v>
      </c>
      <c r="F72" s="21" t="n">
        <f aca="false">datos_base!$D$8*parametros_recargas!$D$39+sobrestock_sustitutos!$D$104/12</f>
        <v>7.68320352401441</v>
      </c>
      <c r="G72" s="21" t="n">
        <f aca="false">datos_base!$D$8*parametros_recargas!$E$39+sobrestock_sustitutos!$D$104/12</f>
        <v>7.68320352401441</v>
      </c>
      <c r="H72" s="21" t="n">
        <f aca="false">datos_base!$D$8*parametros_recargas!$F$39+sobrestock_sustitutos!$D$104/12</f>
        <v>7.68320352401441</v>
      </c>
      <c r="I72" s="21" t="n">
        <f aca="false">datos_base!$D$8*parametros_recargas!$G$39+sobrestock_sustitutos!$D$104/12</f>
        <v>7.68320352401441</v>
      </c>
      <c r="J72" s="21" t="n">
        <f aca="false">datos_base!$D$8*parametros_recargas!$H$39+sobrestock_sustitutos!$D$104/12</f>
        <v>7.68320352401441</v>
      </c>
      <c r="K72" s="21" t="n">
        <f aca="false">datos_base!$D$8*parametros_recargas!$I$39+sobrestock_sustitutos!$D$104/12</f>
        <v>7.68320352401441</v>
      </c>
      <c r="L72" s="21" t="n">
        <f aca="false">datos_base!$D$8*parametros_recargas!$J$39+sobrestock_sustitutos!$D$104/12</f>
        <v>7.68320352401441</v>
      </c>
      <c r="M72" s="21" t="n">
        <f aca="false">datos_base!$D$8*parametros_recargas!$K$39+sobrestock_sustitutos!$D$104/12</f>
        <v>7.68320352401441</v>
      </c>
      <c r="N72" s="21" t="n">
        <f aca="false">datos_base!$D$8*parametros_recargas!$L$39+sobrestock_sustitutos!$D$104/12</f>
        <v>7.68320352401441</v>
      </c>
      <c r="O72" s="21" t="n">
        <f aca="false">datos_base!$D$8*parametros_recargas!$M$39+sobrestock_sustitutos!$D$104/12</f>
        <v>7.68320352401441</v>
      </c>
      <c r="P72" s="7" t="n">
        <f aca="false">SUM(D72:O72)</f>
        <v>92.1984422881729</v>
      </c>
      <c r="Q72" s="6" t="n">
        <f aca="false">sobrestock_sustitutos!$D$104</f>
        <v>1</v>
      </c>
    </row>
    <row r="73" customFormat="false" ht="15" hidden="false" customHeight="false" outlineLevel="0" collapsed="false">
      <c r="A73" s="9" t="str">
        <f aca="false">parametros_recargas!A58</f>
        <v>BC 5 kg</v>
      </c>
      <c r="B73" s="9" t="str">
        <f aca="false">parametros_recargas!B58</f>
        <v>BC</v>
      </c>
      <c r="C73" s="11" t="n">
        <f aca="false">parametros_recargas!C58</f>
        <v>1</v>
      </c>
      <c r="D73" s="21" t="n">
        <f aca="false">datos_base!$D$9*parametros_recargas!$B$39+sobrestock_sustitutos!$D$105/12</f>
        <v>4.19092332720213</v>
      </c>
      <c r="E73" s="21" t="n">
        <f aca="false">datos_base!$D$9*parametros_recargas!$C$39+sobrestock_sustitutos!$D$105/12</f>
        <v>4.19092332720213</v>
      </c>
      <c r="F73" s="21" t="n">
        <f aca="false">datos_base!$D$9*parametros_recargas!$D$39+sobrestock_sustitutos!$D$105/12</f>
        <v>4.19092332720213</v>
      </c>
      <c r="G73" s="21" t="n">
        <f aca="false">datos_base!$D$9*parametros_recargas!$E$39+sobrestock_sustitutos!$D$105/12</f>
        <v>4.19092332720213</v>
      </c>
      <c r="H73" s="21" t="n">
        <f aca="false">datos_base!$D$9*parametros_recargas!$F$39+sobrestock_sustitutos!$D$105/12</f>
        <v>4.19092332720213</v>
      </c>
      <c r="I73" s="21" t="n">
        <f aca="false">datos_base!$D$9*parametros_recargas!$G$39+sobrestock_sustitutos!$D$105/12</f>
        <v>4.19092332720213</v>
      </c>
      <c r="J73" s="21" t="n">
        <f aca="false">datos_base!$D$9*parametros_recargas!$H$39+sobrestock_sustitutos!$D$105/12</f>
        <v>4.19092332720213</v>
      </c>
      <c r="K73" s="21" t="n">
        <f aca="false">datos_base!$D$9*parametros_recargas!$I$39+sobrestock_sustitutos!$D$105/12</f>
        <v>4.19092332720213</v>
      </c>
      <c r="L73" s="21" t="n">
        <f aca="false">datos_base!$D$9*parametros_recargas!$J$39+sobrestock_sustitutos!$D$105/12</f>
        <v>4.19092332720213</v>
      </c>
      <c r="M73" s="21" t="n">
        <f aca="false">datos_base!$D$9*parametros_recargas!$K$39+sobrestock_sustitutos!$D$105/12</f>
        <v>4.19092332720213</v>
      </c>
      <c r="N73" s="21" t="n">
        <f aca="false">datos_base!$D$9*parametros_recargas!$L$39+sobrestock_sustitutos!$D$105/12</f>
        <v>4.19092332720213</v>
      </c>
      <c r="O73" s="21" t="n">
        <f aca="false">datos_base!$D$9*parametros_recargas!$M$39+sobrestock_sustitutos!$D$105/12</f>
        <v>4.19092332720213</v>
      </c>
      <c r="P73" s="7" t="n">
        <f aca="false">SUM(D73:O73)</f>
        <v>50.2910799264256</v>
      </c>
      <c r="Q73" s="6" t="n">
        <f aca="false">sobrestock_sustitutos!$D$105</f>
        <v>1</v>
      </c>
    </row>
    <row r="74" customFormat="false" ht="15" hidden="false" customHeight="false" outlineLevel="0" collapsed="false">
      <c r="A74" s="9" t="str">
        <f aca="false">parametros_recargas!A59</f>
        <v>Sales K 6 l</v>
      </c>
      <c r="B74" s="9" t="str">
        <f aca="false">parametros_recargas!B59</f>
        <v>Sales K</v>
      </c>
      <c r="C74" s="11" t="n">
        <f aca="false">parametros_recargas!C59</f>
        <v>1</v>
      </c>
      <c r="D74" s="21" t="n">
        <f aca="false">datos_base!$D$10*parametros_recargas!$B$39+sobrestock_sustitutos!$D$106/12</f>
        <v>34.7502936011842</v>
      </c>
      <c r="E74" s="21" t="n">
        <f aca="false">datos_base!$D$10*parametros_recargas!$C$39+sobrestock_sustitutos!$D$106/12</f>
        <v>34.7502936011842</v>
      </c>
      <c r="F74" s="21" t="n">
        <f aca="false">datos_base!$D$10*parametros_recargas!$D$39+sobrestock_sustitutos!$D$106/12</f>
        <v>34.7502936011842</v>
      </c>
      <c r="G74" s="21" t="n">
        <f aca="false">datos_base!$D$10*parametros_recargas!$E$39+sobrestock_sustitutos!$D$106/12</f>
        <v>34.7502936011842</v>
      </c>
      <c r="H74" s="21" t="n">
        <f aca="false">datos_base!$D$10*parametros_recargas!$F$39+sobrestock_sustitutos!$D$106/12</f>
        <v>34.7502936011842</v>
      </c>
      <c r="I74" s="21" t="n">
        <f aca="false">datos_base!$D$10*parametros_recargas!$G$39+sobrestock_sustitutos!$D$106/12</f>
        <v>34.7502936011842</v>
      </c>
      <c r="J74" s="21" t="n">
        <f aca="false">datos_base!$D$10*parametros_recargas!$H$39+sobrestock_sustitutos!$D$106/12</f>
        <v>34.7502936011842</v>
      </c>
      <c r="K74" s="21" t="n">
        <f aca="false">datos_base!$D$10*parametros_recargas!$I$39+sobrestock_sustitutos!$D$106/12</f>
        <v>34.7502936011842</v>
      </c>
      <c r="L74" s="21" t="n">
        <f aca="false">datos_base!$D$10*parametros_recargas!$J$39+sobrestock_sustitutos!$D$106/12</f>
        <v>34.7502936011842</v>
      </c>
      <c r="M74" s="21" t="n">
        <f aca="false">datos_base!$D$10*parametros_recargas!$K$39+sobrestock_sustitutos!$D$106/12</f>
        <v>34.7502936011842</v>
      </c>
      <c r="N74" s="21" t="n">
        <f aca="false">datos_base!$D$10*parametros_recargas!$L$39+sobrestock_sustitutos!$D$106/12</f>
        <v>34.7502936011842</v>
      </c>
      <c r="O74" s="21" t="n">
        <f aca="false">datos_base!$D$10*parametros_recargas!$M$39+sobrestock_sustitutos!$D$106/12</f>
        <v>34.7502936011842</v>
      </c>
      <c r="P74" s="7" t="n">
        <f aca="false">SUM(D74:O74)</f>
        <v>417.00352321421</v>
      </c>
      <c r="Q74" s="6" t="n">
        <f aca="false">sobrestock_sustitutos!$D$106</f>
        <v>3</v>
      </c>
    </row>
    <row r="75" customFormat="false" ht="15" hidden="false" customHeight="false" outlineLevel="0" collapsed="false">
      <c r="A75" s="9" t="str">
        <f aca="false">parametros_recargas!A60</f>
        <v>CO₂ 2 kg</v>
      </c>
      <c r="B75" s="9" t="str">
        <f aca="false">parametros_recargas!B60</f>
        <v>CO₂</v>
      </c>
      <c r="C75" s="11" t="n">
        <f aca="false">parametros_recargas!C60</f>
        <v>1</v>
      </c>
      <c r="D75" s="21" t="n">
        <f aca="false">datos_base!$D$11*parametros_recargas!$B$39+sobrestock_sustitutos!$D$107/12</f>
        <v>183.852894083022</v>
      </c>
      <c r="E75" s="21" t="n">
        <f aca="false">datos_base!$D$11*parametros_recargas!$C$39+sobrestock_sustitutos!$D$107/12</f>
        <v>183.852894083022</v>
      </c>
      <c r="F75" s="21" t="n">
        <f aca="false">datos_base!$D$11*parametros_recargas!$D$39+sobrestock_sustitutos!$D$107/12</f>
        <v>183.852894083022</v>
      </c>
      <c r="G75" s="21" t="n">
        <f aca="false">datos_base!$D$11*parametros_recargas!$E$39+sobrestock_sustitutos!$D$107/12</f>
        <v>183.852894083022</v>
      </c>
      <c r="H75" s="21" t="n">
        <f aca="false">datos_base!$D$11*parametros_recargas!$F$39+sobrestock_sustitutos!$D$107/12</f>
        <v>183.852894083022</v>
      </c>
      <c r="I75" s="21" t="n">
        <f aca="false">datos_base!$D$11*parametros_recargas!$G$39+sobrestock_sustitutos!$D$107/12</f>
        <v>183.852894083022</v>
      </c>
      <c r="J75" s="21" t="n">
        <f aca="false">datos_base!$D$11*parametros_recargas!$H$39+sobrestock_sustitutos!$D$107/12</f>
        <v>183.852894083022</v>
      </c>
      <c r="K75" s="21" t="n">
        <f aca="false">datos_base!$D$11*parametros_recargas!$I$39+sobrestock_sustitutos!$D$107/12</f>
        <v>183.852894083022</v>
      </c>
      <c r="L75" s="21" t="n">
        <f aca="false">datos_base!$D$11*parametros_recargas!$J$39+sobrestock_sustitutos!$D$107/12</f>
        <v>183.852894083022</v>
      </c>
      <c r="M75" s="21" t="n">
        <f aca="false">datos_base!$D$11*parametros_recargas!$K$39+sobrestock_sustitutos!$D$107/12</f>
        <v>183.852894083022</v>
      </c>
      <c r="N75" s="21" t="n">
        <f aca="false">datos_base!$D$11*parametros_recargas!$L$39+sobrestock_sustitutos!$D$107/12</f>
        <v>183.852894083022</v>
      </c>
      <c r="O75" s="21" t="n">
        <f aca="false">datos_base!$D$11*parametros_recargas!$M$39+sobrestock_sustitutos!$D$107/12</f>
        <v>183.852894083022</v>
      </c>
      <c r="P75" s="7" t="n">
        <f aca="false">SUM(D75:O75)</f>
        <v>2206.23472899626</v>
      </c>
      <c r="Q75" s="6" t="n">
        <f aca="false">sobrestock_sustitutos!$D$107</f>
        <v>13</v>
      </c>
    </row>
    <row r="76" customFormat="false" ht="15" hidden="false" customHeight="false" outlineLevel="0" collapsed="false">
      <c r="A76" s="9" t="str">
        <f aca="false">parametros_recargas!A61</f>
        <v>CO₂ 5 kg</v>
      </c>
      <c r="B76" s="9" t="str">
        <f aca="false">parametros_recargas!B61</f>
        <v>CO₂</v>
      </c>
      <c r="C76" s="11" t="n">
        <f aca="false">parametros_recargas!C61</f>
        <v>1</v>
      </c>
      <c r="D76" s="21" t="n">
        <f aca="false">datos_base!$D$12*parametros_recargas!$B$39+sobrestock_sustitutos!$D$108/12</f>
        <v>64.0676807536453</v>
      </c>
      <c r="E76" s="21" t="n">
        <f aca="false">datos_base!$D$12*parametros_recargas!$C$39+sobrestock_sustitutos!$D$108/12</f>
        <v>64.0676807536453</v>
      </c>
      <c r="F76" s="21" t="n">
        <f aca="false">datos_base!$D$12*parametros_recargas!$D$39+sobrestock_sustitutos!$D$108/12</f>
        <v>64.0676807536453</v>
      </c>
      <c r="G76" s="21" t="n">
        <f aca="false">datos_base!$D$12*parametros_recargas!$E$39+sobrestock_sustitutos!$D$108/12</f>
        <v>64.0676807536453</v>
      </c>
      <c r="H76" s="21" t="n">
        <f aca="false">datos_base!$D$12*parametros_recargas!$F$39+sobrestock_sustitutos!$D$108/12</f>
        <v>64.0676807536453</v>
      </c>
      <c r="I76" s="21" t="n">
        <f aca="false">datos_base!$D$12*parametros_recargas!$G$39+sobrestock_sustitutos!$D$108/12</f>
        <v>64.0676807536453</v>
      </c>
      <c r="J76" s="21" t="n">
        <f aca="false">datos_base!$D$12*parametros_recargas!$H$39+sobrestock_sustitutos!$D$108/12</f>
        <v>64.0676807536453</v>
      </c>
      <c r="K76" s="21" t="n">
        <f aca="false">datos_base!$D$12*parametros_recargas!$I$39+sobrestock_sustitutos!$D$108/12</f>
        <v>64.0676807536453</v>
      </c>
      <c r="L76" s="21" t="n">
        <f aca="false">datos_base!$D$12*parametros_recargas!$J$39+sobrestock_sustitutos!$D$108/12</f>
        <v>64.0676807536453</v>
      </c>
      <c r="M76" s="21" t="n">
        <f aca="false">datos_base!$D$12*parametros_recargas!$K$39+sobrestock_sustitutos!$D$108/12</f>
        <v>64.0676807536453</v>
      </c>
      <c r="N76" s="21" t="n">
        <f aca="false">datos_base!$D$12*parametros_recargas!$L$39+sobrestock_sustitutos!$D$108/12</f>
        <v>64.0676807536453</v>
      </c>
      <c r="O76" s="21" t="n">
        <f aca="false">datos_base!$D$12*parametros_recargas!$M$39+sobrestock_sustitutos!$D$108/12</f>
        <v>64.0676807536453</v>
      </c>
      <c r="P76" s="7" t="n">
        <f aca="false">SUM(D76:O76)</f>
        <v>768.812169043744</v>
      </c>
      <c r="Q76" s="6" t="n">
        <f aca="false">sobrestock_sustitutos!$D$108</f>
        <v>6</v>
      </c>
    </row>
    <row r="77" customFormat="false" ht="15" hidden="false" customHeight="false" outlineLevel="0" collapsed="false">
      <c r="A77" s="9" t="str">
        <f aca="false">parametros_recargas!A62</f>
        <v>HCFC/HFC 5 kg</v>
      </c>
      <c r="B77" s="9" t="str">
        <f aca="false">parametros_recargas!B62</f>
        <v>Halogenado</v>
      </c>
      <c r="C77" s="11" t="n">
        <f aca="false">parametros_recargas!C62</f>
        <v>1</v>
      </c>
      <c r="D77" s="21" t="n">
        <f aca="false">datos_base!$D$13*parametros_recargas!$B$39+sobrestock_sustitutos!$D$109/12</f>
        <v>10.8344268782775</v>
      </c>
      <c r="E77" s="21" t="n">
        <f aca="false">datos_base!$D$13*parametros_recargas!$C$39+sobrestock_sustitutos!$D$109/12</f>
        <v>10.8344268782775</v>
      </c>
      <c r="F77" s="21" t="n">
        <f aca="false">datos_base!$D$13*parametros_recargas!$D$39+sobrestock_sustitutos!$D$109/12</f>
        <v>10.8344268782775</v>
      </c>
      <c r="G77" s="21" t="n">
        <f aca="false">datos_base!$D$13*parametros_recargas!$E$39+sobrestock_sustitutos!$D$109/12</f>
        <v>10.8344268782775</v>
      </c>
      <c r="H77" s="21" t="n">
        <f aca="false">datos_base!$D$13*parametros_recargas!$F$39+sobrestock_sustitutos!$D$109/12</f>
        <v>10.8344268782775</v>
      </c>
      <c r="I77" s="21" t="n">
        <f aca="false">datos_base!$D$13*parametros_recargas!$G$39+sobrestock_sustitutos!$D$109/12</f>
        <v>10.8344268782775</v>
      </c>
      <c r="J77" s="21" t="n">
        <f aca="false">datos_base!$D$13*parametros_recargas!$H$39+sobrestock_sustitutos!$D$109/12</f>
        <v>10.8344268782775</v>
      </c>
      <c r="K77" s="21" t="n">
        <f aca="false">datos_base!$D$13*parametros_recargas!$I$39+sobrestock_sustitutos!$D$109/12</f>
        <v>10.8344268782775</v>
      </c>
      <c r="L77" s="21" t="n">
        <f aca="false">datos_base!$D$13*parametros_recargas!$J$39+sobrestock_sustitutos!$D$109/12</f>
        <v>10.8344268782775</v>
      </c>
      <c r="M77" s="21" t="n">
        <f aca="false">datos_base!$D$13*parametros_recargas!$K$39+sobrestock_sustitutos!$D$109/12</f>
        <v>10.8344268782775</v>
      </c>
      <c r="N77" s="21" t="n">
        <f aca="false">datos_base!$D$13*parametros_recargas!$L$39+sobrestock_sustitutos!$D$109/12</f>
        <v>10.8344268782775</v>
      </c>
      <c r="O77" s="21" t="n">
        <f aca="false">datos_base!$D$13*parametros_recargas!$M$39+sobrestock_sustitutos!$D$109/12</f>
        <v>10.8344268782775</v>
      </c>
      <c r="P77" s="7" t="n">
        <f aca="false">SUM(D77:O77)</f>
        <v>130.01312253933</v>
      </c>
      <c r="Q77" s="6" t="n">
        <f aca="false">sobrestock_sustitutos!$D$109</f>
        <v>2</v>
      </c>
    </row>
    <row r="78" customFormat="false" ht="15" hidden="false" customHeight="false" outlineLevel="0" collapsed="false">
      <c r="A78" s="9" t="str">
        <f aca="false">parametros_recargas!A63</f>
        <v>Clase D 9 l</v>
      </c>
      <c r="B78" s="9" t="str">
        <f aca="false">parametros_recargas!B63</f>
        <v>Clase D</v>
      </c>
      <c r="C78" s="11" t="n">
        <f aca="false">parametros_recargas!C63</f>
        <v>1</v>
      </c>
      <c r="D78" s="21" t="n">
        <f aca="false">datos_base!$D$14*parametros_recargas!$B$39+sobrestock_sustitutos!$D$110/12</f>
        <v>4.19092332720213</v>
      </c>
      <c r="E78" s="21" t="n">
        <f aca="false">datos_base!$D$14*parametros_recargas!$C$39+sobrestock_sustitutos!$D$110/12</f>
        <v>4.19092332720213</v>
      </c>
      <c r="F78" s="21" t="n">
        <f aca="false">datos_base!$D$14*parametros_recargas!$D$39+sobrestock_sustitutos!$D$110/12</f>
        <v>4.19092332720213</v>
      </c>
      <c r="G78" s="21" t="n">
        <f aca="false">datos_base!$D$14*parametros_recargas!$E$39+sobrestock_sustitutos!$D$110/12</f>
        <v>4.19092332720213</v>
      </c>
      <c r="H78" s="21" t="n">
        <f aca="false">datos_base!$D$14*parametros_recargas!$F$39+sobrestock_sustitutos!$D$110/12</f>
        <v>4.19092332720213</v>
      </c>
      <c r="I78" s="21" t="n">
        <f aca="false">datos_base!$D$14*parametros_recargas!$G$39+sobrestock_sustitutos!$D$110/12</f>
        <v>4.19092332720213</v>
      </c>
      <c r="J78" s="21" t="n">
        <f aca="false">datos_base!$D$14*parametros_recargas!$H$39+sobrestock_sustitutos!$D$110/12</f>
        <v>4.19092332720213</v>
      </c>
      <c r="K78" s="21" t="n">
        <f aca="false">datos_base!$D$14*parametros_recargas!$I$39+sobrestock_sustitutos!$D$110/12</f>
        <v>4.19092332720213</v>
      </c>
      <c r="L78" s="21" t="n">
        <f aca="false">datos_base!$D$14*parametros_recargas!$J$39+sobrestock_sustitutos!$D$110/12</f>
        <v>4.19092332720213</v>
      </c>
      <c r="M78" s="21" t="n">
        <f aca="false">datos_base!$D$14*parametros_recargas!$K$39+sobrestock_sustitutos!$D$110/12</f>
        <v>4.19092332720213</v>
      </c>
      <c r="N78" s="21" t="n">
        <f aca="false">datos_base!$D$14*parametros_recargas!$L$39+sobrestock_sustitutos!$D$110/12</f>
        <v>4.19092332720213</v>
      </c>
      <c r="O78" s="21" t="n">
        <f aca="false">datos_base!$D$14*parametros_recargas!$M$39+sobrestock_sustitutos!$D$110/12</f>
        <v>4.19092332720213</v>
      </c>
      <c r="P78" s="7" t="n">
        <f aca="false">SUM(D78:O78)</f>
        <v>50.2910799264256</v>
      </c>
      <c r="Q78" s="6" t="n">
        <f aca="false">sobrestock_sustitutos!$D$110</f>
        <v>1</v>
      </c>
    </row>
    <row r="79" customFormat="false" ht="15" hidden="false" customHeight="false" outlineLevel="0" collapsed="false">
      <c r="A79" s="9" t="str">
        <f aca="false">parametros_recargas!A64</f>
        <v>ABC 25 kg s/ruedas</v>
      </c>
      <c r="B79" s="9" t="str">
        <f aca="false">parametros_recargas!B64</f>
        <v>ABC</v>
      </c>
      <c r="C79" s="11" t="n">
        <f aca="false">parametros_recargas!C64</f>
        <v>3</v>
      </c>
      <c r="D79" s="21" t="n">
        <f aca="false">datos_base!$D$15*parametros_recargas!$B$39+sobrestock_sustitutos!$D$111/12</f>
        <v>8.718571958433</v>
      </c>
      <c r="E79" s="21" t="n">
        <f aca="false">datos_base!$D$15*parametros_recargas!$C$39+sobrestock_sustitutos!$D$111/12</f>
        <v>8.718571958433</v>
      </c>
      <c r="F79" s="21" t="n">
        <f aca="false">datos_base!$D$15*parametros_recargas!$D$39+sobrestock_sustitutos!$D$111/12</f>
        <v>8.718571958433</v>
      </c>
      <c r="G79" s="21" t="n">
        <f aca="false">datos_base!$D$15*parametros_recargas!$E$39+sobrestock_sustitutos!$D$111/12</f>
        <v>8.718571958433</v>
      </c>
      <c r="H79" s="21" t="n">
        <f aca="false">datos_base!$D$15*parametros_recargas!$F$39+sobrestock_sustitutos!$D$111/12</f>
        <v>8.718571958433</v>
      </c>
      <c r="I79" s="21" t="n">
        <f aca="false">datos_base!$D$15*parametros_recargas!$G$39+sobrestock_sustitutos!$D$111/12</f>
        <v>8.718571958433</v>
      </c>
      <c r="J79" s="21" t="n">
        <f aca="false">datos_base!$D$15*parametros_recargas!$H$39+sobrestock_sustitutos!$D$111/12</f>
        <v>8.718571958433</v>
      </c>
      <c r="K79" s="21" t="n">
        <f aca="false">datos_base!$D$15*parametros_recargas!$I$39+sobrestock_sustitutos!$D$111/12</f>
        <v>8.718571958433</v>
      </c>
      <c r="L79" s="21" t="n">
        <f aca="false">datos_base!$D$15*parametros_recargas!$J$39+sobrestock_sustitutos!$D$111/12</f>
        <v>8.718571958433</v>
      </c>
      <c r="M79" s="21" t="n">
        <f aca="false">datos_base!$D$15*parametros_recargas!$K$39+sobrestock_sustitutos!$D$111/12</f>
        <v>8.718571958433</v>
      </c>
      <c r="N79" s="21" t="n">
        <f aca="false">datos_base!$D$15*parametros_recargas!$L$39+sobrestock_sustitutos!$D$111/12</f>
        <v>8.718571958433</v>
      </c>
      <c r="O79" s="21" t="n">
        <f aca="false">datos_base!$D$15*parametros_recargas!$M$39+sobrestock_sustitutos!$D$111/12</f>
        <v>8.718571958433</v>
      </c>
      <c r="P79" s="7" t="n">
        <f aca="false">SUM(D79:O79)</f>
        <v>104.622863501196</v>
      </c>
      <c r="Q79" s="6" t="n">
        <f aca="false">sobrestock_sustitutos!$D$111</f>
        <v>1</v>
      </c>
    </row>
    <row r="80" customFormat="false" ht="15" hidden="false" customHeight="false" outlineLevel="0" collapsed="false">
      <c r="A80" s="9" t="str">
        <f aca="false">parametros_recargas!A65</f>
        <v>ABC 50 kg s/ruedas</v>
      </c>
      <c r="B80" s="9" t="str">
        <f aca="false">parametros_recargas!B65</f>
        <v>ABC</v>
      </c>
      <c r="C80" s="11" t="n">
        <f aca="false">parametros_recargas!C65</f>
        <v>3</v>
      </c>
      <c r="D80" s="21" t="n">
        <f aca="false">datos_base!$D$16*parametros_recargas!$B$39+sobrestock_sustitutos!$D$112/12</f>
        <v>19.1641916696119</v>
      </c>
      <c r="E80" s="21" t="n">
        <f aca="false">datos_base!$D$16*parametros_recargas!$C$39+sobrestock_sustitutos!$D$112/12</f>
        <v>19.1641916696119</v>
      </c>
      <c r="F80" s="21" t="n">
        <f aca="false">datos_base!$D$16*parametros_recargas!$D$39+sobrestock_sustitutos!$D$112/12</f>
        <v>19.1641916696119</v>
      </c>
      <c r="G80" s="21" t="n">
        <f aca="false">datos_base!$D$16*parametros_recargas!$E$39+sobrestock_sustitutos!$D$112/12</f>
        <v>19.1641916696119</v>
      </c>
      <c r="H80" s="21" t="n">
        <f aca="false">datos_base!$D$16*parametros_recargas!$F$39+sobrestock_sustitutos!$D$112/12</f>
        <v>19.1641916696119</v>
      </c>
      <c r="I80" s="21" t="n">
        <f aca="false">datos_base!$D$16*parametros_recargas!$G$39+sobrestock_sustitutos!$D$112/12</f>
        <v>19.1641916696119</v>
      </c>
      <c r="J80" s="21" t="n">
        <f aca="false">datos_base!$D$16*parametros_recargas!$H$39+sobrestock_sustitutos!$D$112/12</f>
        <v>19.1641916696119</v>
      </c>
      <c r="K80" s="21" t="n">
        <f aca="false">datos_base!$D$16*parametros_recargas!$I$39+sobrestock_sustitutos!$D$112/12</f>
        <v>19.1641916696119</v>
      </c>
      <c r="L80" s="21" t="n">
        <f aca="false">datos_base!$D$16*parametros_recargas!$J$39+sobrestock_sustitutos!$D$112/12</f>
        <v>19.1641916696119</v>
      </c>
      <c r="M80" s="21" t="n">
        <f aca="false">datos_base!$D$16*parametros_recargas!$K$39+sobrestock_sustitutos!$D$112/12</f>
        <v>19.1641916696119</v>
      </c>
      <c r="N80" s="21" t="n">
        <f aca="false">datos_base!$D$16*parametros_recargas!$L$39+sobrestock_sustitutos!$D$112/12</f>
        <v>19.1641916696119</v>
      </c>
      <c r="O80" s="21" t="n">
        <f aca="false">datos_base!$D$16*parametros_recargas!$M$39+sobrestock_sustitutos!$D$112/12</f>
        <v>19.1641916696119</v>
      </c>
      <c r="P80" s="7" t="n">
        <f aca="false">SUM(D80:O80)</f>
        <v>229.970300035343</v>
      </c>
      <c r="Q80" s="6" t="n">
        <f aca="false">sobrestock_sustitutos!$D$112</f>
        <v>2</v>
      </c>
    </row>
    <row r="81" customFormat="false" ht="15" hidden="false" customHeight="false" outlineLevel="0" collapsed="false">
      <c r="A81" s="9" t="str">
        <f aca="false">parametros_recargas!A66</f>
        <v>ABC 70 kg s/ruedas</v>
      </c>
      <c r="B81" s="9" t="str">
        <f aca="false">parametros_recargas!B66</f>
        <v>ABC</v>
      </c>
      <c r="C81" s="11" t="n">
        <f aca="false">parametros_recargas!C66</f>
        <v>3</v>
      </c>
      <c r="D81" s="21" t="n">
        <f aca="false">datos_base!$D$17*parametros_recargas!$B$39+sobrestock_sustitutos!$D$113/12</f>
        <v>4.22824786598758</v>
      </c>
      <c r="E81" s="21" t="n">
        <f aca="false">datos_base!$D$17*parametros_recargas!$C$39+sobrestock_sustitutos!$D$113/12</f>
        <v>4.22824786598758</v>
      </c>
      <c r="F81" s="21" t="n">
        <f aca="false">datos_base!$D$17*parametros_recargas!$D$39+sobrestock_sustitutos!$D$113/12</f>
        <v>4.22824786598758</v>
      </c>
      <c r="G81" s="21" t="n">
        <f aca="false">datos_base!$D$17*parametros_recargas!$E$39+sobrestock_sustitutos!$D$113/12</f>
        <v>4.22824786598758</v>
      </c>
      <c r="H81" s="21" t="n">
        <f aca="false">datos_base!$D$17*parametros_recargas!$F$39+sobrestock_sustitutos!$D$113/12</f>
        <v>4.22824786598758</v>
      </c>
      <c r="I81" s="21" t="n">
        <f aca="false">datos_base!$D$17*parametros_recargas!$G$39+sobrestock_sustitutos!$D$113/12</f>
        <v>4.22824786598758</v>
      </c>
      <c r="J81" s="21" t="n">
        <f aca="false">datos_base!$D$17*parametros_recargas!$H$39+sobrestock_sustitutos!$D$113/12</f>
        <v>4.22824786598758</v>
      </c>
      <c r="K81" s="21" t="n">
        <f aca="false">datos_base!$D$17*parametros_recargas!$I$39+sobrestock_sustitutos!$D$113/12</f>
        <v>4.22824786598758</v>
      </c>
      <c r="L81" s="21" t="n">
        <f aca="false">datos_base!$D$17*parametros_recargas!$J$39+sobrestock_sustitutos!$D$113/12</f>
        <v>4.22824786598758</v>
      </c>
      <c r="M81" s="21" t="n">
        <f aca="false">datos_base!$D$17*parametros_recargas!$K$39+sobrestock_sustitutos!$D$113/12</f>
        <v>4.22824786598758</v>
      </c>
      <c r="N81" s="21" t="n">
        <f aca="false">datos_base!$D$17*parametros_recargas!$L$39+sobrestock_sustitutos!$D$113/12</f>
        <v>4.22824786598758</v>
      </c>
      <c r="O81" s="21" t="n">
        <f aca="false">datos_base!$D$17*parametros_recargas!$M$39+sobrestock_sustitutos!$D$113/12</f>
        <v>4.22824786598758</v>
      </c>
      <c r="P81" s="7" t="n">
        <f aca="false">SUM(D81:O81)</f>
        <v>50.7389743918509</v>
      </c>
      <c r="Q81" s="6" t="n">
        <f aca="false">sobrestock_sustitutos!$D$113</f>
        <v>1</v>
      </c>
    </row>
    <row r="82" customFormat="false" ht="15" hidden="false" customHeight="false" outlineLevel="0" collapsed="false">
      <c r="A82" s="9" t="str">
        <f aca="false">parametros_recargas!A67</f>
        <v>ABC 100 kg s/ruedas</v>
      </c>
      <c r="B82" s="9" t="str">
        <f aca="false">parametros_recargas!B67</f>
        <v>ABC</v>
      </c>
      <c r="C82" s="11" t="n">
        <f aca="false">parametros_recargas!C67</f>
        <v>3</v>
      </c>
      <c r="D82" s="21" t="n">
        <f aca="false">datos_base!$D$18*parametros_recargas!$B$39+sobrestock_sustitutos!$D$114/12</f>
        <v>2.84660971924282</v>
      </c>
      <c r="E82" s="21" t="n">
        <f aca="false">datos_base!$D$18*parametros_recargas!$C$39+sobrestock_sustitutos!$D$114/12</f>
        <v>2.84660971924282</v>
      </c>
      <c r="F82" s="21" t="n">
        <f aca="false">datos_base!$D$18*parametros_recargas!$D$39+sobrestock_sustitutos!$D$114/12</f>
        <v>2.84660971924282</v>
      </c>
      <c r="G82" s="21" t="n">
        <f aca="false">datos_base!$D$18*parametros_recargas!$E$39+sobrestock_sustitutos!$D$114/12</f>
        <v>2.84660971924282</v>
      </c>
      <c r="H82" s="21" t="n">
        <f aca="false">datos_base!$D$18*parametros_recargas!$F$39+sobrestock_sustitutos!$D$114/12</f>
        <v>2.84660971924282</v>
      </c>
      <c r="I82" s="21" t="n">
        <f aca="false">datos_base!$D$18*parametros_recargas!$G$39+sobrestock_sustitutos!$D$114/12</f>
        <v>2.84660971924282</v>
      </c>
      <c r="J82" s="21" t="n">
        <f aca="false">datos_base!$D$18*parametros_recargas!$H$39+sobrestock_sustitutos!$D$114/12</f>
        <v>2.84660971924282</v>
      </c>
      <c r="K82" s="21" t="n">
        <f aca="false">datos_base!$D$18*parametros_recargas!$I$39+sobrestock_sustitutos!$D$114/12</f>
        <v>2.84660971924282</v>
      </c>
      <c r="L82" s="21" t="n">
        <f aca="false">datos_base!$D$18*parametros_recargas!$J$39+sobrestock_sustitutos!$D$114/12</f>
        <v>2.84660971924282</v>
      </c>
      <c r="M82" s="21" t="n">
        <f aca="false">datos_base!$D$18*parametros_recargas!$K$39+sobrestock_sustitutos!$D$114/12</f>
        <v>2.84660971924282</v>
      </c>
      <c r="N82" s="21" t="n">
        <f aca="false">datos_base!$D$18*parametros_recargas!$L$39+sobrestock_sustitutos!$D$114/12</f>
        <v>2.84660971924282</v>
      </c>
      <c r="O82" s="21" t="n">
        <f aca="false">datos_base!$D$18*parametros_recargas!$M$39+sobrestock_sustitutos!$D$114/12</f>
        <v>2.84660971924282</v>
      </c>
      <c r="P82" s="7" t="n">
        <f aca="false">SUM(D82:O82)</f>
        <v>34.1593166309138</v>
      </c>
      <c r="Q82" s="6" t="n">
        <f aca="false">sobrestock_sustitutos!$D$114</f>
        <v>1</v>
      </c>
    </row>
    <row r="83" customFormat="false" ht="15" hidden="false" customHeight="false" outlineLevel="0" collapsed="false">
      <c r="A83" s="4" t="s">
        <v>356</v>
      </c>
      <c r="D83" s="7" t="n">
        <f aca="false">SUM(D66:D82)</f>
        <v>2850.63077236492</v>
      </c>
      <c r="E83" s="7" t="n">
        <f aca="false">SUM(E66:E82)</f>
        <v>2850.63077236492</v>
      </c>
      <c r="F83" s="7" t="n">
        <f aca="false">SUM(F66:F82)</f>
        <v>2850.63077236492</v>
      </c>
      <c r="G83" s="7" t="n">
        <f aca="false">SUM(G66:G82)</f>
        <v>2850.63077236492</v>
      </c>
      <c r="H83" s="7" t="n">
        <f aca="false">SUM(H66:H82)</f>
        <v>2850.63077236492</v>
      </c>
      <c r="I83" s="7" t="n">
        <f aca="false">SUM(I66:I82)</f>
        <v>2850.63077236492</v>
      </c>
      <c r="J83" s="7" t="n">
        <f aca="false">SUM(J66:J82)</f>
        <v>2850.63077236492</v>
      </c>
      <c r="K83" s="7" t="n">
        <f aca="false">SUM(K66:K82)</f>
        <v>2850.63077236492</v>
      </c>
      <c r="L83" s="7" t="n">
        <f aca="false">SUM(L66:L82)</f>
        <v>2850.63077236492</v>
      </c>
      <c r="M83" s="7" t="n">
        <f aca="false">SUM(M66:M82)</f>
        <v>2850.63077236492</v>
      </c>
      <c r="N83" s="7" t="n">
        <f aca="false">SUM(N66:N82)</f>
        <v>2850.63077236492</v>
      </c>
      <c r="O83" s="7" t="n">
        <f aca="false">SUM(O66:O82)</f>
        <v>2850.63077236492</v>
      </c>
      <c r="P83" s="7" t="n">
        <f aca="false">SUM(P66:P82)</f>
        <v>34207.569268379</v>
      </c>
    </row>
    <row r="84" customFormat="false" ht="15" hidden="false" customHeight="false" outlineLevel="0" collapsed="false">
      <c r="A84" s="4" t="s">
        <v>357</v>
      </c>
    </row>
    <row r="85" customFormat="false" ht="15" hidden="false" customHeight="false" outlineLevel="0" collapsed="false">
      <c r="A85" s="5" t="s">
        <v>165</v>
      </c>
      <c r="D85" s="21" t="n">
        <f aca="false">SUMPRODUCT(($B$66:$B$82=$A85)*D$66:D$82*$C$66:$C$82)</f>
        <v>2527.54831711321</v>
      </c>
      <c r="E85" s="21" t="n">
        <f aca="false">SUMPRODUCT(($B$66:$B$82=$A85)*E$66:E$82*$C$66:$C$82)</f>
        <v>2527.54831711321</v>
      </c>
      <c r="F85" s="21" t="n">
        <f aca="false">SUMPRODUCT(($B$66:$B$82=$A85)*F$66:F$82*$C$66:$C$82)</f>
        <v>2527.54831711321</v>
      </c>
      <c r="G85" s="21" t="n">
        <f aca="false">SUMPRODUCT(($B$66:$B$82=$A85)*G$66:G$82*$C$66:$C$82)</f>
        <v>2527.54831711321</v>
      </c>
      <c r="H85" s="21" t="n">
        <f aca="false">SUMPRODUCT(($B$66:$B$82=$A85)*H$66:H$82*$C$66:$C$82)</f>
        <v>2527.54831711321</v>
      </c>
      <c r="I85" s="21" t="n">
        <f aca="false">SUMPRODUCT(($B$66:$B$82=$A85)*I$66:I$82*$C$66:$C$82)</f>
        <v>2527.54831711321</v>
      </c>
      <c r="J85" s="21" t="n">
        <f aca="false">SUMPRODUCT(($B$66:$B$82=$A85)*J$66:J$82*$C$66:$C$82)</f>
        <v>2527.54831711321</v>
      </c>
      <c r="K85" s="21" t="n">
        <f aca="false">SUMPRODUCT(($B$66:$B$82=$A85)*K$66:K$82*$C$66:$C$82)</f>
        <v>2527.54831711321</v>
      </c>
      <c r="L85" s="21" t="n">
        <f aca="false">SUMPRODUCT(($B$66:$B$82=$A85)*L$66:L$82*$C$66:$C$82)</f>
        <v>2527.54831711321</v>
      </c>
      <c r="M85" s="21" t="n">
        <f aca="false">SUMPRODUCT(($B$66:$B$82=$A85)*M$66:M$82*$C$66:$C$82)</f>
        <v>2527.54831711321</v>
      </c>
      <c r="N85" s="21" t="n">
        <f aca="false">SUMPRODUCT(($B$66:$B$82=$A85)*N$66:N$82*$C$66:$C$82)</f>
        <v>2527.54831711321</v>
      </c>
      <c r="O85" s="21" t="n">
        <f aca="false">SUMPRODUCT(($B$66:$B$82=$A85)*O$66:O$82*$C$66:$C$82)</f>
        <v>2527.54831711321</v>
      </c>
      <c r="P85" s="21" t="n">
        <f aca="false">SUMPRODUCT(($B$66:$B$82=$A85)*P$66:P$82*$C$66:$C$82)</f>
        <v>30330.5798053585</v>
      </c>
    </row>
    <row r="86" customFormat="false" ht="15" hidden="false" customHeight="false" outlineLevel="0" collapsed="false">
      <c r="A86" s="5" t="s">
        <v>171</v>
      </c>
      <c r="D86" s="21" t="n">
        <f aca="false">SUMPRODUCT(($B$66:$B$82=$A86)*D$66:D$82*$C$66:$C$82)</f>
        <v>4.19092332720213</v>
      </c>
      <c r="E86" s="21" t="n">
        <f aca="false">SUMPRODUCT(($B$66:$B$82=$A86)*E$66:E$82*$C$66:$C$82)</f>
        <v>4.19092332720213</v>
      </c>
      <c r="F86" s="21" t="n">
        <f aca="false">SUMPRODUCT(($B$66:$B$82=$A86)*F$66:F$82*$C$66:$C$82)</f>
        <v>4.19092332720213</v>
      </c>
      <c r="G86" s="21" t="n">
        <f aca="false">SUMPRODUCT(($B$66:$B$82=$A86)*G$66:G$82*$C$66:$C$82)</f>
        <v>4.19092332720213</v>
      </c>
      <c r="H86" s="21" t="n">
        <f aca="false">SUMPRODUCT(($B$66:$B$82=$A86)*H$66:H$82*$C$66:$C$82)</f>
        <v>4.19092332720213</v>
      </c>
      <c r="I86" s="21" t="n">
        <f aca="false">SUMPRODUCT(($B$66:$B$82=$A86)*I$66:I$82*$C$66:$C$82)</f>
        <v>4.19092332720213</v>
      </c>
      <c r="J86" s="21" t="n">
        <f aca="false">SUMPRODUCT(($B$66:$B$82=$A86)*J$66:J$82*$C$66:$C$82)</f>
        <v>4.19092332720213</v>
      </c>
      <c r="K86" s="21" t="n">
        <f aca="false">SUMPRODUCT(($B$66:$B$82=$A86)*K$66:K$82*$C$66:$C$82)</f>
        <v>4.19092332720213</v>
      </c>
      <c r="L86" s="21" t="n">
        <f aca="false">SUMPRODUCT(($B$66:$B$82=$A86)*L$66:L$82*$C$66:$C$82)</f>
        <v>4.19092332720213</v>
      </c>
      <c r="M86" s="21" t="n">
        <f aca="false">SUMPRODUCT(($B$66:$B$82=$A86)*M$66:M$82*$C$66:$C$82)</f>
        <v>4.19092332720213</v>
      </c>
      <c r="N86" s="21" t="n">
        <f aca="false">SUMPRODUCT(($B$66:$B$82=$A86)*N$66:N$82*$C$66:$C$82)</f>
        <v>4.19092332720213</v>
      </c>
      <c r="O86" s="21" t="n">
        <f aca="false">SUMPRODUCT(($B$66:$B$82=$A86)*O$66:O$82*$C$66:$C$82)</f>
        <v>4.19092332720213</v>
      </c>
      <c r="P86" s="21" t="n">
        <f aca="false">SUMPRODUCT(($B$66:$B$82=$A86)*P$66:P$82*$C$66:$C$82)</f>
        <v>50.2910799264256</v>
      </c>
    </row>
    <row r="87" customFormat="false" ht="15" hidden="false" customHeight="false" outlineLevel="0" collapsed="false">
      <c r="A87" s="5" t="s">
        <v>177</v>
      </c>
      <c r="D87" s="21" t="n">
        <f aca="false">SUMPRODUCT(($B$66:$B$82=$A87)*D$66:D$82*$C$66:$C$82)</f>
        <v>4.19092332720213</v>
      </c>
      <c r="E87" s="21" t="n">
        <f aca="false">SUMPRODUCT(($B$66:$B$82=$A87)*E$66:E$82*$C$66:$C$82)</f>
        <v>4.19092332720213</v>
      </c>
      <c r="F87" s="21" t="n">
        <f aca="false">SUMPRODUCT(($B$66:$B$82=$A87)*F$66:F$82*$C$66:$C$82)</f>
        <v>4.19092332720213</v>
      </c>
      <c r="G87" s="21" t="n">
        <f aca="false">SUMPRODUCT(($B$66:$B$82=$A87)*G$66:G$82*$C$66:$C$82)</f>
        <v>4.19092332720213</v>
      </c>
      <c r="H87" s="21" t="n">
        <f aca="false">SUMPRODUCT(($B$66:$B$82=$A87)*H$66:H$82*$C$66:$C$82)</f>
        <v>4.19092332720213</v>
      </c>
      <c r="I87" s="21" t="n">
        <f aca="false">SUMPRODUCT(($B$66:$B$82=$A87)*I$66:I$82*$C$66:$C$82)</f>
        <v>4.19092332720213</v>
      </c>
      <c r="J87" s="21" t="n">
        <f aca="false">SUMPRODUCT(($B$66:$B$82=$A87)*J$66:J$82*$C$66:$C$82)</f>
        <v>4.19092332720213</v>
      </c>
      <c r="K87" s="21" t="n">
        <f aca="false">SUMPRODUCT(($B$66:$B$82=$A87)*K$66:K$82*$C$66:$C$82)</f>
        <v>4.19092332720213</v>
      </c>
      <c r="L87" s="21" t="n">
        <f aca="false">SUMPRODUCT(($B$66:$B$82=$A87)*L$66:L$82*$C$66:$C$82)</f>
        <v>4.19092332720213</v>
      </c>
      <c r="M87" s="21" t="n">
        <f aca="false">SUMPRODUCT(($B$66:$B$82=$A87)*M$66:M$82*$C$66:$C$82)</f>
        <v>4.19092332720213</v>
      </c>
      <c r="N87" s="21" t="n">
        <f aca="false">SUMPRODUCT(($B$66:$B$82=$A87)*N$66:N$82*$C$66:$C$82)</f>
        <v>4.19092332720213</v>
      </c>
      <c r="O87" s="21" t="n">
        <f aca="false">SUMPRODUCT(($B$66:$B$82=$A87)*O$66:O$82*$C$66:$C$82)</f>
        <v>4.19092332720213</v>
      </c>
      <c r="P87" s="21" t="n">
        <f aca="false">SUMPRODUCT(($B$66:$B$82=$A87)*P$66:P$82*$C$66:$C$82)</f>
        <v>50.2910799264256</v>
      </c>
    </row>
    <row r="88" customFormat="false" ht="15" hidden="false" customHeight="false" outlineLevel="0" collapsed="false">
      <c r="A88" s="5" t="s">
        <v>168</v>
      </c>
      <c r="D88" s="21" t="n">
        <f aca="false">SUMPRODUCT(($B$66:$B$82=$A88)*D$66:D$82*$C$66:$C$82)</f>
        <v>68.630270181934</v>
      </c>
      <c r="E88" s="21" t="n">
        <f aca="false">SUMPRODUCT(($B$66:$B$82=$A88)*E$66:E$82*$C$66:$C$82)</f>
        <v>68.630270181934</v>
      </c>
      <c r="F88" s="21" t="n">
        <f aca="false">SUMPRODUCT(($B$66:$B$82=$A88)*F$66:F$82*$C$66:$C$82)</f>
        <v>68.630270181934</v>
      </c>
      <c r="G88" s="21" t="n">
        <f aca="false">SUMPRODUCT(($B$66:$B$82=$A88)*G$66:G$82*$C$66:$C$82)</f>
        <v>68.630270181934</v>
      </c>
      <c r="H88" s="21" t="n">
        <f aca="false">SUMPRODUCT(($B$66:$B$82=$A88)*H$66:H$82*$C$66:$C$82)</f>
        <v>68.630270181934</v>
      </c>
      <c r="I88" s="21" t="n">
        <f aca="false">SUMPRODUCT(($B$66:$B$82=$A88)*I$66:I$82*$C$66:$C$82)</f>
        <v>68.630270181934</v>
      </c>
      <c r="J88" s="21" t="n">
        <f aca="false">SUMPRODUCT(($B$66:$B$82=$A88)*J$66:J$82*$C$66:$C$82)</f>
        <v>68.630270181934</v>
      </c>
      <c r="K88" s="21" t="n">
        <f aca="false">SUMPRODUCT(($B$66:$B$82=$A88)*K$66:K$82*$C$66:$C$82)</f>
        <v>68.630270181934</v>
      </c>
      <c r="L88" s="21" t="n">
        <f aca="false">SUMPRODUCT(($B$66:$B$82=$A88)*L$66:L$82*$C$66:$C$82)</f>
        <v>68.630270181934</v>
      </c>
      <c r="M88" s="21" t="n">
        <f aca="false">SUMPRODUCT(($B$66:$B$82=$A88)*M$66:M$82*$C$66:$C$82)</f>
        <v>68.630270181934</v>
      </c>
      <c r="N88" s="21" t="n">
        <f aca="false">SUMPRODUCT(($B$66:$B$82=$A88)*N$66:N$82*$C$66:$C$82)</f>
        <v>68.630270181934</v>
      </c>
      <c r="O88" s="21" t="n">
        <f aca="false">SUMPRODUCT(($B$66:$B$82=$A88)*O$66:O$82*$C$66:$C$82)</f>
        <v>68.630270181934</v>
      </c>
      <c r="P88" s="21" t="n">
        <f aca="false">SUMPRODUCT(($B$66:$B$82=$A88)*P$66:P$82*$C$66:$C$82)</f>
        <v>823.563242183208</v>
      </c>
    </row>
    <row r="89" customFormat="false" ht="15" hidden="false" customHeight="false" outlineLevel="0" collapsed="false">
      <c r="A89" s="5" t="s">
        <v>169</v>
      </c>
      <c r="D89" s="21" t="n">
        <f aca="false">SUMPRODUCT(($B$66:$B$82=$A89)*D$66:D$82*$C$66:$C$82)</f>
        <v>37.8466925738233</v>
      </c>
      <c r="E89" s="21" t="n">
        <f aca="false">SUMPRODUCT(($B$66:$B$82=$A89)*E$66:E$82*$C$66:$C$82)</f>
        <v>37.8466925738233</v>
      </c>
      <c r="F89" s="21" t="n">
        <f aca="false">SUMPRODUCT(($B$66:$B$82=$A89)*F$66:F$82*$C$66:$C$82)</f>
        <v>37.8466925738233</v>
      </c>
      <c r="G89" s="21" t="n">
        <f aca="false">SUMPRODUCT(($B$66:$B$82=$A89)*G$66:G$82*$C$66:$C$82)</f>
        <v>37.8466925738233</v>
      </c>
      <c r="H89" s="21" t="n">
        <f aca="false">SUMPRODUCT(($B$66:$B$82=$A89)*H$66:H$82*$C$66:$C$82)</f>
        <v>37.8466925738233</v>
      </c>
      <c r="I89" s="21" t="n">
        <f aca="false">SUMPRODUCT(($B$66:$B$82=$A89)*I$66:I$82*$C$66:$C$82)</f>
        <v>37.8466925738233</v>
      </c>
      <c r="J89" s="21" t="n">
        <f aca="false">SUMPRODUCT(($B$66:$B$82=$A89)*J$66:J$82*$C$66:$C$82)</f>
        <v>37.8466925738233</v>
      </c>
      <c r="K89" s="21" t="n">
        <f aca="false">SUMPRODUCT(($B$66:$B$82=$A89)*K$66:K$82*$C$66:$C$82)</f>
        <v>37.8466925738233</v>
      </c>
      <c r="L89" s="21" t="n">
        <f aca="false">SUMPRODUCT(($B$66:$B$82=$A89)*L$66:L$82*$C$66:$C$82)</f>
        <v>37.8466925738233</v>
      </c>
      <c r="M89" s="21" t="n">
        <f aca="false">SUMPRODUCT(($B$66:$B$82=$A89)*M$66:M$82*$C$66:$C$82)</f>
        <v>37.8466925738233</v>
      </c>
      <c r="N89" s="21" t="n">
        <f aca="false">SUMPRODUCT(($B$66:$B$82=$A89)*N$66:N$82*$C$66:$C$82)</f>
        <v>37.8466925738233</v>
      </c>
      <c r="O89" s="21" t="n">
        <f aca="false">SUMPRODUCT(($B$66:$B$82=$A89)*O$66:O$82*$C$66:$C$82)</f>
        <v>37.8466925738233</v>
      </c>
      <c r="P89" s="21" t="n">
        <f aca="false">SUMPRODUCT(($B$66:$B$82=$A89)*P$66:P$82*$C$66:$C$82)</f>
        <v>454.160310885879</v>
      </c>
    </row>
    <row r="90" customFormat="false" ht="15" hidden="false" customHeight="false" outlineLevel="0" collapsed="false">
      <c r="A90" s="5" t="s">
        <v>172</v>
      </c>
      <c r="D90" s="21" t="n">
        <f aca="false">SUMPRODUCT(($B$66:$B$82=$A90)*D$66:D$82*$C$66:$C$82)</f>
        <v>34.7502936011842</v>
      </c>
      <c r="E90" s="21" t="n">
        <f aca="false">SUMPRODUCT(($B$66:$B$82=$A90)*E$66:E$82*$C$66:$C$82)</f>
        <v>34.7502936011842</v>
      </c>
      <c r="F90" s="21" t="n">
        <f aca="false">SUMPRODUCT(($B$66:$B$82=$A90)*F$66:F$82*$C$66:$C$82)</f>
        <v>34.7502936011842</v>
      </c>
      <c r="G90" s="21" t="n">
        <f aca="false">SUMPRODUCT(($B$66:$B$82=$A90)*G$66:G$82*$C$66:$C$82)</f>
        <v>34.7502936011842</v>
      </c>
      <c r="H90" s="21" t="n">
        <f aca="false">SUMPRODUCT(($B$66:$B$82=$A90)*H$66:H$82*$C$66:$C$82)</f>
        <v>34.7502936011842</v>
      </c>
      <c r="I90" s="21" t="n">
        <f aca="false">SUMPRODUCT(($B$66:$B$82=$A90)*I$66:I$82*$C$66:$C$82)</f>
        <v>34.7502936011842</v>
      </c>
      <c r="J90" s="21" t="n">
        <f aca="false">SUMPRODUCT(($B$66:$B$82=$A90)*J$66:J$82*$C$66:$C$82)</f>
        <v>34.7502936011842</v>
      </c>
      <c r="K90" s="21" t="n">
        <f aca="false">SUMPRODUCT(($B$66:$B$82=$A90)*K$66:K$82*$C$66:$C$82)</f>
        <v>34.7502936011842</v>
      </c>
      <c r="L90" s="21" t="n">
        <f aca="false">SUMPRODUCT(($B$66:$B$82=$A90)*L$66:L$82*$C$66:$C$82)</f>
        <v>34.7502936011842</v>
      </c>
      <c r="M90" s="21" t="n">
        <f aca="false">SUMPRODUCT(($B$66:$B$82=$A90)*M$66:M$82*$C$66:$C$82)</f>
        <v>34.7502936011842</v>
      </c>
      <c r="N90" s="21" t="n">
        <f aca="false">SUMPRODUCT(($B$66:$B$82=$A90)*N$66:N$82*$C$66:$C$82)</f>
        <v>34.7502936011842</v>
      </c>
      <c r="O90" s="21" t="n">
        <f aca="false">SUMPRODUCT(($B$66:$B$82=$A90)*O$66:O$82*$C$66:$C$82)</f>
        <v>34.7502936011842</v>
      </c>
      <c r="P90" s="21" t="n">
        <f aca="false">SUMPRODUCT(($B$66:$B$82=$A90)*P$66:P$82*$C$66:$C$82)</f>
        <v>417.00352321421</v>
      </c>
    </row>
    <row r="91" customFormat="false" ht="15" hidden="false" customHeight="false" outlineLevel="0" collapsed="false">
      <c r="A91" s="5" t="s">
        <v>173</v>
      </c>
      <c r="D91" s="21" t="n">
        <f aca="false">SUMPRODUCT(($B$66:$B$82=$A91)*D$66:D$82*$C$66:$C$82)</f>
        <v>247.920574836667</v>
      </c>
      <c r="E91" s="21" t="n">
        <f aca="false">SUMPRODUCT(($B$66:$B$82=$A91)*E$66:E$82*$C$66:$C$82)</f>
        <v>247.920574836667</v>
      </c>
      <c r="F91" s="21" t="n">
        <f aca="false">SUMPRODUCT(($B$66:$B$82=$A91)*F$66:F$82*$C$66:$C$82)</f>
        <v>247.920574836667</v>
      </c>
      <c r="G91" s="21" t="n">
        <f aca="false">SUMPRODUCT(($B$66:$B$82=$A91)*G$66:G$82*$C$66:$C$82)</f>
        <v>247.920574836667</v>
      </c>
      <c r="H91" s="21" t="n">
        <f aca="false">SUMPRODUCT(($B$66:$B$82=$A91)*H$66:H$82*$C$66:$C$82)</f>
        <v>247.920574836667</v>
      </c>
      <c r="I91" s="21" t="n">
        <f aca="false">SUMPRODUCT(($B$66:$B$82=$A91)*I$66:I$82*$C$66:$C$82)</f>
        <v>247.920574836667</v>
      </c>
      <c r="J91" s="21" t="n">
        <f aca="false">SUMPRODUCT(($B$66:$B$82=$A91)*J$66:J$82*$C$66:$C$82)</f>
        <v>247.920574836667</v>
      </c>
      <c r="K91" s="21" t="n">
        <f aca="false">SUMPRODUCT(($B$66:$B$82=$A91)*K$66:K$82*$C$66:$C$82)</f>
        <v>247.920574836667</v>
      </c>
      <c r="L91" s="21" t="n">
        <f aca="false">SUMPRODUCT(($B$66:$B$82=$A91)*L$66:L$82*$C$66:$C$82)</f>
        <v>247.920574836667</v>
      </c>
      <c r="M91" s="21" t="n">
        <f aca="false">SUMPRODUCT(($B$66:$B$82=$A91)*M$66:M$82*$C$66:$C$82)</f>
        <v>247.920574836667</v>
      </c>
      <c r="N91" s="21" t="n">
        <f aca="false">SUMPRODUCT(($B$66:$B$82=$A91)*N$66:N$82*$C$66:$C$82)</f>
        <v>247.920574836667</v>
      </c>
      <c r="O91" s="21" t="n">
        <f aca="false">SUMPRODUCT(($B$66:$B$82=$A91)*O$66:O$82*$C$66:$C$82)</f>
        <v>247.920574836667</v>
      </c>
      <c r="P91" s="21" t="n">
        <f aca="false">SUMPRODUCT(($B$66:$B$82=$A91)*P$66:P$82*$C$66:$C$82)</f>
        <v>2975.04689804</v>
      </c>
    </row>
    <row r="92" customFormat="false" ht="15" hidden="false" customHeight="false" outlineLevel="0" collapsed="false">
      <c r="A92" s="5" t="s">
        <v>176</v>
      </c>
      <c r="D92" s="21" t="n">
        <f aca="false">SUMPRODUCT(($B$66:$B$82=$A92)*D$66:D$82*$C$66:$C$82)</f>
        <v>10.8344268782775</v>
      </c>
      <c r="E92" s="21" t="n">
        <f aca="false">SUMPRODUCT(($B$66:$B$82=$A92)*E$66:E$82*$C$66:$C$82)</f>
        <v>10.8344268782775</v>
      </c>
      <c r="F92" s="21" t="n">
        <f aca="false">SUMPRODUCT(($B$66:$B$82=$A92)*F$66:F$82*$C$66:$C$82)</f>
        <v>10.8344268782775</v>
      </c>
      <c r="G92" s="21" t="n">
        <f aca="false">SUMPRODUCT(($B$66:$B$82=$A92)*G$66:G$82*$C$66:$C$82)</f>
        <v>10.8344268782775</v>
      </c>
      <c r="H92" s="21" t="n">
        <f aca="false">SUMPRODUCT(($B$66:$B$82=$A92)*H$66:H$82*$C$66:$C$82)</f>
        <v>10.8344268782775</v>
      </c>
      <c r="I92" s="21" t="n">
        <f aca="false">SUMPRODUCT(($B$66:$B$82=$A92)*I$66:I$82*$C$66:$C$82)</f>
        <v>10.8344268782775</v>
      </c>
      <c r="J92" s="21" t="n">
        <f aca="false">SUMPRODUCT(($B$66:$B$82=$A92)*J$66:J$82*$C$66:$C$82)</f>
        <v>10.8344268782775</v>
      </c>
      <c r="K92" s="21" t="n">
        <f aca="false">SUMPRODUCT(($B$66:$B$82=$A92)*K$66:K$82*$C$66:$C$82)</f>
        <v>10.8344268782775</v>
      </c>
      <c r="L92" s="21" t="n">
        <f aca="false">SUMPRODUCT(($B$66:$B$82=$A92)*L$66:L$82*$C$66:$C$82)</f>
        <v>10.8344268782775</v>
      </c>
      <c r="M92" s="21" t="n">
        <f aca="false">SUMPRODUCT(($B$66:$B$82=$A92)*M$66:M$82*$C$66:$C$82)</f>
        <v>10.8344268782775</v>
      </c>
      <c r="N92" s="21" t="n">
        <f aca="false">SUMPRODUCT(($B$66:$B$82=$A92)*N$66:N$82*$C$66:$C$82)</f>
        <v>10.8344268782775</v>
      </c>
      <c r="O92" s="21" t="n">
        <f aca="false">SUMPRODUCT(($B$66:$B$82=$A92)*O$66:O$82*$C$66:$C$82)</f>
        <v>10.8344268782775</v>
      </c>
      <c r="P92" s="21" t="n">
        <f aca="false">SUMPRODUCT(($B$66:$B$82=$A92)*P$66:P$82*$C$66:$C$82)</f>
        <v>130.01312253933</v>
      </c>
    </row>
    <row r="93" customFormat="false" ht="15" hidden="false" customHeight="false" outlineLevel="0" collapsed="false">
      <c r="A93" s="4" t="s">
        <v>358</v>
      </c>
      <c r="D93" s="22" t="n">
        <f aca="false">SUMPRODUCT(D$66:D$82*parametros_recargas!$D$51:$D$67)</f>
        <v>106.708505490935</v>
      </c>
      <c r="E93" s="22" t="n">
        <f aca="false">SUMPRODUCT(E$66:E$82*parametros_recargas!$D$51:$D$67)</f>
        <v>106.708505490935</v>
      </c>
      <c r="F93" s="22" t="n">
        <f aca="false">SUMPRODUCT(F$66:F$82*parametros_recargas!$D$51:$D$67)</f>
        <v>106.708505490935</v>
      </c>
      <c r="G93" s="22" t="n">
        <f aca="false">SUMPRODUCT(G$66:G$82*parametros_recargas!$D$51:$D$67)</f>
        <v>106.708505490935</v>
      </c>
      <c r="H93" s="22" t="n">
        <f aca="false">SUMPRODUCT(H$66:H$82*parametros_recargas!$D$51:$D$67)</f>
        <v>106.708505490935</v>
      </c>
      <c r="I93" s="22" t="n">
        <f aca="false">SUMPRODUCT(I$66:I$82*parametros_recargas!$D$51:$D$67)</f>
        <v>106.708505490935</v>
      </c>
      <c r="J93" s="22" t="n">
        <f aca="false">SUMPRODUCT(J$66:J$82*parametros_recargas!$D$51:$D$67)</f>
        <v>106.708505490935</v>
      </c>
      <c r="K93" s="22" t="n">
        <f aca="false">SUMPRODUCT(K$66:K$82*parametros_recargas!$D$51:$D$67)</f>
        <v>106.708505490935</v>
      </c>
      <c r="L93" s="22" t="n">
        <f aca="false">SUMPRODUCT(L$66:L$82*parametros_recargas!$D$51:$D$67)</f>
        <v>106.708505490935</v>
      </c>
      <c r="M93" s="22" t="n">
        <f aca="false">SUMPRODUCT(M$66:M$82*parametros_recargas!$D$51:$D$67)</f>
        <v>106.708505490935</v>
      </c>
      <c r="N93" s="22" t="n">
        <f aca="false">SUMPRODUCT(N$66:N$82*parametros_recargas!$D$51:$D$67)</f>
        <v>106.708505490935</v>
      </c>
      <c r="O93" s="22" t="n">
        <f aca="false">SUMPRODUCT(O$66:O$82*parametros_recargas!$D$51:$D$67)</f>
        <v>106.708505490935</v>
      </c>
      <c r="P93" s="22" t="n">
        <f aca="false">SUMPRODUCT(P$66:P$82*parametros_recargas!$D$51:$D$67)</f>
        <v>1280.50206589122</v>
      </c>
    </row>
    <row r="94" customFormat="false" ht="15" hidden="false" customHeight="false" outlineLevel="0" collapsed="false">
      <c r="A94" s="4" t="s">
        <v>359</v>
      </c>
      <c r="D94" s="22" t="n">
        <f aca="false">SUMPRODUCT(sobrestock_sustitutos!$D$73:$D$89*(sobrestock_sustitutos!$F$30:$F$46="Fábrica: cilindro vacío")*parametros_recargas!$C$51:$C$67*parametros_recargas!$B$107:$B$123)</f>
        <v>10.459</v>
      </c>
      <c r="E94" s="22" t="n">
        <f aca="false">SUMPRODUCT(sobrestock_sustitutos!$D$73:$D$89*(sobrestock_sustitutos!$F$30:$F$46="Fábrica: cilindro vacío")*parametros_recargas!$C$51:$C$67*parametros_recargas!$C$107:$C$123)</f>
        <v>8.4386</v>
      </c>
      <c r="F94" s="22" t="n">
        <f aca="false">SUMPRODUCT(sobrestock_sustitutos!$D$73:$D$89*(sobrestock_sustitutos!$F$30:$F$46="Fábrica: cilindro vacío")*parametros_recargas!$C$51:$C$67*parametros_recargas!$D$107:$D$123)</f>
        <v>9.0712</v>
      </c>
      <c r="G94" s="22" t="n">
        <f aca="false">SUMPRODUCT(sobrestock_sustitutos!$D$73:$D$89*(sobrestock_sustitutos!$F$30:$F$46="Fábrica: cilindro vacío")*parametros_recargas!$C$51:$C$67*parametros_recargas!$E$107:$E$123)</f>
        <v>9.0712</v>
      </c>
      <c r="H94" s="22" t="n">
        <f aca="false">SUMPRODUCT(sobrestock_sustitutos!$D$73:$D$89*(sobrestock_sustitutos!$F$30:$F$46="Fábrica: cilindro vacío")*parametros_recargas!$C$51:$C$67*parametros_recargas!$F$107:$F$123)</f>
        <v>8.5916</v>
      </c>
      <c r="I94" s="22" t="n">
        <f aca="false">SUMPRODUCT(sobrestock_sustitutos!$D$73:$D$89*(sobrestock_sustitutos!$F$30:$F$46="Fábrica: cilindro vacío")*parametros_recargas!$C$51:$C$67*parametros_recargas!$G$107:$G$123)</f>
        <v>8.01</v>
      </c>
      <c r="J94" s="22" t="n">
        <f aca="false">SUMPRODUCT(sobrestock_sustitutos!$D$73:$D$89*(sobrestock_sustitutos!$F$30:$F$46="Fábrica: cilindro vacío")*parametros_recargas!$C$51:$C$67*parametros_recargas!$H$107:$H$123)</f>
        <v>8.5916</v>
      </c>
      <c r="K94" s="22" t="n">
        <f aca="false">SUMPRODUCT(sobrestock_sustitutos!$D$73:$D$89*(sobrestock_sustitutos!$F$30:$F$46="Fábrica: cilindro vacío")*parametros_recargas!$C$51:$C$67*parametros_recargas!$I$107:$I$123)</f>
        <v>8.5916</v>
      </c>
      <c r="L94" s="22" t="n">
        <f aca="false">SUMPRODUCT(sobrestock_sustitutos!$D$73:$D$89*(sobrestock_sustitutos!$F$30:$F$46="Fábrica: cilindro vacío")*parametros_recargas!$C$51:$C$67*parametros_recargas!$J$107:$J$123)</f>
        <v>8.5406</v>
      </c>
      <c r="M94" s="22" t="n">
        <f aca="false">SUMPRODUCT(sobrestock_sustitutos!$D$73:$D$89*(sobrestock_sustitutos!$F$30:$F$46="Fábrica: cilindro vacío")*parametros_recargas!$C$51:$C$67*parametros_recargas!$K$107:$K$123)</f>
        <v>7.959</v>
      </c>
      <c r="N94" s="22" t="n">
        <f aca="false">SUMPRODUCT(sobrestock_sustitutos!$D$73:$D$89*(sobrestock_sustitutos!$F$30:$F$46="Fábrica: cilindro vacío")*parametros_recargas!$C$51:$C$67*parametros_recargas!$L$107:$L$123)</f>
        <v>7.4284</v>
      </c>
      <c r="O94" s="22" t="n">
        <f aca="false">SUMPRODUCT(sobrestock_sustitutos!$D$73:$D$89*(sobrestock_sustitutos!$F$30:$F$46="Fábrica: cilindro vacío")*parametros_recargas!$C$51:$C$67*parametros_recargas!$M$107:$M$123)</f>
        <v>11.3672</v>
      </c>
      <c r="P94" s="7" t="n">
        <f aca="false">SUM(D94:O94)</f>
        <v>106.12</v>
      </c>
    </row>
    <row r="97" customFormat="false" ht="23.85" hidden="false" customHeight="false" outlineLevel="0" collapsed="false">
      <c r="A97" s="23" t="n">
        <v>2029</v>
      </c>
      <c r="B97" s="3" t="s">
        <v>353</v>
      </c>
      <c r="C97" s="3" t="s">
        <v>354</v>
      </c>
      <c r="D97" s="3" t="s">
        <v>147</v>
      </c>
      <c r="E97" s="3" t="s">
        <v>148</v>
      </c>
      <c r="F97" s="3" t="s">
        <v>149</v>
      </c>
      <c r="G97" s="3" t="s">
        <v>150</v>
      </c>
      <c r="H97" s="3" t="s">
        <v>151</v>
      </c>
      <c r="I97" s="3" t="s">
        <v>152</v>
      </c>
      <c r="J97" s="3" t="s">
        <v>153</v>
      </c>
      <c r="K97" s="3" t="s">
        <v>154</v>
      </c>
      <c r="L97" s="3" t="s">
        <v>155</v>
      </c>
      <c r="M97" s="3" t="s">
        <v>156</v>
      </c>
      <c r="N97" s="3" t="s">
        <v>157</v>
      </c>
      <c r="O97" s="3" t="s">
        <v>158</v>
      </c>
      <c r="P97" s="3" t="s">
        <v>83</v>
      </c>
      <c r="Q97" s="3" t="s">
        <v>355</v>
      </c>
    </row>
    <row r="98" customFormat="false" ht="15" hidden="false" customHeight="false" outlineLevel="0" collapsed="false">
      <c r="A98" s="9" t="str">
        <f aca="false">parametros_recargas!A51</f>
        <v>ABC 1 kg</v>
      </c>
      <c r="B98" s="9" t="str">
        <f aca="false">parametros_recargas!B51</f>
        <v>ABC</v>
      </c>
      <c r="C98" s="11" t="n">
        <f aca="false">parametros_recargas!C51</f>
        <v>1</v>
      </c>
      <c r="D98" s="21" t="n">
        <f aca="false">datos_base!$E$2*parametros_recargas!$B$40+sobrestock_sustitutos!$E$98/12</f>
        <v>2589.99123456477</v>
      </c>
      <c r="E98" s="21" t="n">
        <f aca="false">datos_base!$E$2*parametros_recargas!$C$40+sobrestock_sustitutos!$E$98/12</f>
        <v>2589.99123456477</v>
      </c>
      <c r="F98" s="21" t="n">
        <f aca="false">datos_base!$E$2*parametros_recargas!$D$40+sobrestock_sustitutos!$E$98/12</f>
        <v>2589.99123456477</v>
      </c>
      <c r="G98" s="21" t="n">
        <f aca="false">datos_base!$E$2*parametros_recargas!$E$40+sobrestock_sustitutos!$E$98/12</f>
        <v>2589.99123456477</v>
      </c>
      <c r="H98" s="21" t="n">
        <f aca="false">datos_base!$E$2*parametros_recargas!$F$40+sobrestock_sustitutos!$E$98/12</f>
        <v>2589.99123456477</v>
      </c>
      <c r="I98" s="21" t="n">
        <f aca="false">datos_base!$E$2*parametros_recargas!$G$40+sobrestock_sustitutos!$E$98/12</f>
        <v>2589.99123456477</v>
      </c>
      <c r="J98" s="21" t="n">
        <f aca="false">datos_base!$E$2*parametros_recargas!$H$40+sobrestock_sustitutos!$E$98/12</f>
        <v>2589.99123456477</v>
      </c>
      <c r="K98" s="21" t="n">
        <f aca="false">datos_base!$E$2*parametros_recargas!$I$40+sobrestock_sustitutos!$E$98/12</f>
        <v>2589.99123456477</v>
      </c>
      <c r="L98" s="21" t="n">
        <f aca="false">datos_base!$E$2*parametros_recargas!$J$40+sobrestock_sustitutos!$E$98/12</f>
        <v>2589.99123456477</v>
      </c>
      <c r="M98" s="21" t="n">
        <f aca="false">datos_base!$E$2*parametros_recargas!$K$40+sobrestock_sustitutos!$E$98/12</f>
        <v>2589.99123456477</v>
      </c>
      <c r="N98" s="21" t="n">
        <f aca="false">datos_base!$E$2*parametros_recargas!$L$40+sobrestock_sustitutos!$E$98/12</f>
        <v>2589.99123456477</v>
      </c>
      <c r="O98" s="21" t="n">
        <f aca="false">datos_base!$E$2*parametros_recargas!$M$40+sobrestock_sustitutos!$E$98/12</f>
        <v>2589.99123456477</v>
      </c>
      <c r="P98" s="7" t="n">
        <f aca="false">SUM(D98:O98)</f>
        <v>31079.8948147772</v>
      </c>
      <c r="Q98" s="6" t="n">
        <f aca="false">sobrestock_sustitutos!$E$98</f>
        <v>0</v>
      </c>
    </row>
    <row r="99" customFormat="false" ht="15" hidden="false" customHeight="false" outlineLevel="0" collapsed="false">
      <c r="A99" s="9" t="str">
        <f aca="false">parametros_recargas!A52</f>
        <v>ABC 2,5 kg</v>
      </c>
      <c r="B99" s="9" t="str">
        <f aca="false">parametros_recargas!B52</f>
        <v>ABC</v>
      </c>
      <c r="C99" s="11" t="n">
        <f aca="false">parametros_recargas!C52</f>
        <v>1</v>
      </c>
      <c r="D99" s="21" t="n">
        <f aca="false">datos_base!$E$3*parametros_recargas!$B$40+sobrestock_sustitutos!$E$99/12</f>
        <v>252.487341398832</v>
      </c>
      <c r="E99" s="21" t="n">
        <f aca="false">datos_base!$E$3*parametros_recargas!$C$40+sobrestock_sustitutos!$E$99/12</f>
        <v>252.487341398832</v>
      </c>
      <c r="F99" s="21" t="n">
        <f aca="false">datos_base!$E$3*parametros_recargas!$D$40+sobrestock_sustitutos!$E$99/12</f>
        <v>252.487341398832</v>
      </c>
      <c r="G99" s="21" t="n">
        <f aca="false">datos_base!$E$3*parametros_recargas!$E$40+sobrestock_sustitutos!$E$99/12</f>
        <v>252.487341398832</v>
      </c>
      <c r="H99" s="21" t="n">
        <f aca="false">datos_base!$E$3*parametros_recargas!$F$40+sobrestock_sustitutos!$E$99/12</f>
        <v>252.487341398832</v>
      </c>
      <c r="I99" s="21" t="n">
        <f aca="false">datos_base!$E$3*parametros_recargas!$G$40+sobrestock_sustitutos!$E$99/12</f>
        <v>252.487341398832</v>
      </c>
      <c r="J99" s="21" t="n">
        <f aca="false">datos_base!$E$3*parametros_recargas!$H$40+sobrestock_sustitutos!$E$99/12</f>
        <v>252.487341398832</v>
      </c>
      <c r="K99" s="21" t="n">
        <f aca="false">datos_base!$E$3*parametros_recargas!$I$40+sobrestock_sustitutos!$E$99/12</f>
        <v>252.487341398832</v>
      </c>
      <c r="L99" s="21" t="n">
        <f aca="false">datos_base!$E$3*parametros_recargas!$J$40+sobrestock_sustitutos!$E$99/12</f>
        <v>252.487341398832</v>
      </c>
      <c r="M99" s="21" t="n">
        <f aca="false">datos_base!$E$3*parametros_recargas!$K$40+sobrestock_sustitutos!$E$99/12</f>
        <v>252.487341398832</v>
      </c>
      <c r="N99" s="21" t="n">
        <f aca="false">datos_base!$E$3*parametros_recargas!$L$40+sobrestock_sustitutos!$E$99/12</f>
        <v>252.487341398832</v>
      </c>
      <c r="O99" s="21" t="n">
        <f aca="false">datos_base!$E$3*parametros_recargas!$M$40+sobrestock_sustitutos!$E$99/12</f>
        <v>252.487341398832</v>
      </c>
      <c r="P99" s="7" t="n">
        <f aca="false">SUM(D99:O99)</f>
        <v>3029.84809678598</v>
      </c>
      <c r="Q99" s="6" t="n">
        <f aca="false">sobrestock_sustitutos!$E$99</f>
        <v>21</v>
      </c>
    </row>
    <row r="100" customFormat="false" ht="15" hidden="false" customHeight="false" outlineLevel="0" collapsed="false">
      <c r="A100" s="9" t="str">
        <f aca="false">parametros_recargas!A53</f>
        <v>ABC 5 kg</v>
      </c>
      <c r="B100" s="9" t="str">
        <f aca="false">parametros_recargas!B53</f>
        <v>ABC</v>
      </c>
      <c r="C100" s="11" t="n">
        <f aca="false">parametros_recargas!C53</f>
        <v>1</v>
      </c>
      <c r="D100" s="21" t="n">
        <f aca="false">datos_base!$E$4*parametros_recargas!$B$40+sobrestock_sustitutos!$E$100/12</f>
        <v>1564.16258225234</v>
      </c>
      <c r="E100" s="21" t="n">
        <f aca="false">datos_base!$E$4*parametros_recargas!$C$40+sobrestock_sustitutos!$E$100/12</f>
        <v>1564.16258225234</v>
      </c>
      <c r="F100" s="21" t="n">
        <f aca="false">datos_base!$E$4*parametros_recargas!$D$40+sobrestock_sustitutos!$E$100/12</f>
        <v>1564.16258225234</v>
      </c>
      <c r="G100" s="21" t="n">
        <f aca="false">datos_base!$E$4*parametros_recargas!$E$40+sobrestock_sustitutos!$E$100/12</f>
        <v>1564.16258225234</v>
      </c>
      <c r="H100" s="21" t="n">
        <f aca="false">datos_base!$E$4*parametros_recargas!$F$40+sobrestock_sustitutos!$E$100/12</f>
        <v>1564.16258225234</v>
      </c>
      <c r="I100" s="21" t="n">
        <f aca="false">datos_base!$E$4*parametros_recargas!$G$40+sobrestock_sustitutos!$E$100/12</f>
        <v>1564.16258225234</v>
      </c>
      <c r="J100" s="21" t="n">
        <f aca="false">datos_base!$E$4*parametros_recargas!$H$40+sobrestock_sustitutos!$E$100/12</f>
        <v>1564.16258225234</v>
      </c>
      <c r="K100" s="21" t="n">
        <f aca="false">datos_base!$E$4*parametros_recargas!$I$40+sobrestock_sustitutos!$E$100/12</f>
        <v>1564.16258225234</v>
      </c>
      <c r="L100" s="21" t="n">
        <f aca="false">datos_base!$E$4*parametros_recargas!$J$40+sobrestock_sustitutos!$E$100/12</f>
        <v>1564.16258225234</v>
      </c>
      <c r="M100" s="21" t="n">
        <f aca="false">datos_base!$E$4*parametros_recargas!$K$40+sobrestock_sustitutos!$E$100/12</f>
        <v>1564.16258225234</v>
      </c>
      <c r="N100" s="21" t="n">
        <f aca="false">datos_base!$E$4*parametros_recargas!$L$40+sobrestock_sustitutos!$E$100/12</f>
        <v>1564.16258225234</v>
      </c>
      <c r="O100" s="21" t="n">
        <f aca="false">datos_base!$E$4*parametros_recargas!$M$40+sobrestock_sustitutos!$E$100/12</f>
        <v>1564.16258225234</v>
      </c>
      <c r="P100" s="7" t="n">
        <f aca="false">SUM(D100:O100)</f>
        <v>18769.9509870281</v>
      </c>
      <c r="Q100" s="6" t="n">
        <f aca="false">sobrestock_sustitutos!$E$100</f>
        <v>135</v>
      </c>
    </row>
    <row r="101" customFormat="false" ht="15" hidden="false" customHeight="false" outlineLevel="0" collapsed="false">
      <c r="A101" s="9" t="str">
        <f aca="false">parametros_recargas!A54</f>
        <v>ABC 10 kg</v>
      </c>
      <c r="B101" s="9" t="str">
        <f aca="false">parametros_recargas!B54</f>
        <v>ABC</v>
      </c>
      <c r="C101" s="11" t="n">
        <f aca="false">parametros_recargas!C54</f>
        <v>1</v>
      </c>
      <c r="D101" s="21" t="n">
        <f aca="false">datos_base!$E$5*parametros_recargas!$B$40+sobrestock_sustitutos!$E$101/12</f>
        <v>91.2571637344354</v>
      </c>
      <c r="E101" s="21" t="n">
        <f aca="false">datos_base!$E$5*parametros_recargas!$C$40+sobrestock_sustitutos!$E$101/12</f>
        <v>91.2571637344354</v>
      </c>
      <c r="F101" s="21" t="n">
        <f aca="false">datos_base!$E$5*parametros_recargas!$D$40+sobrestock_sustitutos!$E$101/12</f>
        <v>91.2571637344354</v>
      </c>
      <c r="G101" s="21" t="n">
        <f aca="false">datos_base!$E$5*parametros_recargas!$E$40+sobrestock_sustitutos!$E$101/12</f>
        <v>91.2571637344354</v>
      </c>
      <c r="H101" s="21" t="n">
        <f aca="false">datos_base!$E$5*parametros_recargas!$F$40+sobrestock_sustitutos!$E$101/12</f>
        <v>91.2571637344354</v>
      </c>
      <c r="I101" s="21" t="n">
        <f aca="false">datos_base!$E$5*parametros_recargas!$G$40+sobrestock_sustitutos!$E$101/12</f>
        <v>91.2571637344354</v>
      </c>
      <c r="J101" s="21" t="n">
        <f aca="false">datos_base!$E$5*parametros_recargas!$H$40+sobrestock_sustitutos!$E$101/12</f>
        <v>91.2571637344354</v>
      </c>
      <c r="K101" s="21" t="n">
        <f aca="false">datos_base!$E$5*parametros_recargas!$I$40+sobrestock_sustitutos!$E$101/12</f>
        <v>91.2571637344354</v>
      </c>
      <c r="L101" s="21" t="n">
        <f aca="false">datos_base!$E$5*parametros_recargas!$J$40+sobrestock_sustitutos!$E$101/12</f>
        <v>91.2571637344354</v>
      </c>
      <c r="M101" s="21" t="n">
        <f aca="false">datos_base!$E$5*parametros_recargas!$K$40+sobrestock_sustitutos!$E$101/12</f>
        <v>91.2571637344354</v>
      </c>
      <c r="N101" s="21" t="n">
        <f aca="false">datos_base!$E$5*parametros_recargas!$L$40+sobrestock_sustitutos!$E$101/12</f>
        <v>91.2571637344354</v>
      </c>
      <c r="O101" s="21" t="n">
        <f aca="false">datos_base!$E$5*parametros_recargas!$M$40+sobrestock_sustitutos!$E$101/12</f>
        <v>91.2571637344354</v>
      </c>
      <c r="P101" s="7" t="n">
        <f aca="false">SUM(D101:O101)</f>
        <v>1095.08596481323</v>
      </c>
      <c r="Q101" s="6" t="n">
        <f aca="false">sobrestock_sustitutos!$E$101</f>
        <v>8</v>
      </c>
    </row>
    <row r="102" customFormat="false" ht="15" hidden="false" customHeight="false" outlineLevel="0" collapsed="false">
      <c r="A102" s="9" t="str">
        <f aca="false">parametros_recargas!A55</f>
        <v>Agua 10 l</v>
      </c>
      <c r="B102" s="9" t="str">
        <f aca="false">parametros_recargas!B55</f>
        <v>Agua</v>
      </c>
      <c r="C102" s="11" t="n">
        <f aca="false">parametros_recargas!C55</f>
        <v>1</v>
      </c>
      <c r="D102" s="21" t="n">
        <f aca="false">datos_base!$E$6*parametros_recargas!$B$40+sobrestock_sustitutos!$E$102/12</f>
        <v>128.837649989683</v>
      </c>
      <c r="E102" s="21" t="n">
        <f aca="false">datos_base!$E$6*parametros_recargas!$C$40+sobrestock_sustitutos!$E$102/12</f>
        <v>128.837649989683</v>
      </c>
      <c r="F102" s="21" t="n">
        <f aca="false">datos_base!$E$6*parametros_recargas!$D$40+sobrestock_sustitutos!$E$102/12</f>
        <v>128.837649989683</v>
      </c>
      <c r="G102" s="21" t="n">
        <f aca="false">datos_base!$E$6*parametros_recargas!$E$40+sobrestock_sustitutos!$E$102/12</f>
        <v>128.837649989683</v>
      </c>
      <c r="H102" s="21" t="n">
        <f aca="false">datos_base!$E$6*parametros_recargas!$F$40+sobrestock_sustitutos!$E$102/12</f>
        <v>128.837649989683</v>
      </c>
      <c r="I102" s="21" t="n">
        <f aca="false">datos_base!$E$6*parametros_recargas!$G$40+sobrestock_sustitutos!$E$102/12</f>
        <v>128.837649989683</v>
      </c>
      <c r="J102" s="21" t="n">
        <f aca="false">datos_base!$E$6*parametros_recargas!$H$40+sobrestock_sustitutos!$E$102/12</f>
        <v>128.837649989683</v>
      </c>
      <c r="K102" s="21" t="n">
        <f aca="false">datos_base!$E$6*parametros_recargas!$I$40+sobrestock_sustitutos!$E$102/12</f>
        <v>128.837649989683</v>
      </c>
      <c r="L102" s="21" t="n">
        <f aca="false">datos_base!$E$6*parametros_recargas!$J$40+sobrestock_sustitutos!$E$102/12</f>
        <v>128.837649989683</v>
      </c>
      <c r="M102" s="21" t="n">
        <f aca="false">datos_base!$E$6*parametros_recargas!$K$40+sobrestock_sustitutos!$E$102/12</f>
        <v>128.837649989683</v>
      </c>
      <c r="N102" s="21" t="n">
        <f aca="false">datos_base!$E$6*parametros_recargas!$L$40+sobrestock_sustitutos!$E$102/12</f>
        <v>128.837649989683</v>
      </c>
      <c r="O102" s="21" t="n">
        <f aca="false">datos_base!$E$6*parametros_recargas!$M$40+sobrestock_sustitutos!$E$102/12</f>
        <v>128.837649989683</v>
      </c>
      <c r="P102" s="7" t="n">
        <f aca="false">SUM(D102:O102)</f>
        <v>1546.05179987619</v>
      </c>
      <c r="Q102" s="6" t="n">
        <f aca="false">sobrestock_sustitutos!$E$102</f>
        <v>12</v>
      </c>
    </row>
    <row r="103" customFormat="false" ht="15" hidden="false" customHeight="false" outlineLevel="0" collapsed="false">
      <c r="A103" s="9" t="str">
        <f aca="false">parametros_recargas!A56</f>
        <v>AFFF 10 l</v>
      </c>
      <c r="B103" s="9" t="str">
        <f aca="false">parametros_recargas!B56</f>
        <v>AFFF</v>
      </c>
      <c r="C103" s="11" t="n">
        <f aca="false">parametros_recargas!C56</f>
        <v>1</v>
      </c>
      <c r="D103" s="21" t="n">
        <f aca="false">datos_base!$E$7*parametros_recargas!$B$40+sobrestock_sustitutos!$E$103/12</f>
        <v>24.7042272483054</v>
      </c>
      <c r="E103" s="21" t="n">
        <f aca="false">datos_base!$E$7*parametros_recargas!$C$40+sobrestock_sustitutos!$E$103/12</f>
        <v>24.7042272483054</v>
      </c>
      <c r="F103" s="21" t="n">
        <f aca="false">datos_base!$E$7*parametros_recargas!$D$40+sobrestock_sustitutos!$E$103/12</f>
        <v>24.7042272483054</v>
      </c>
      <c r="G103" s="21" t="n">
        <f aca="false">datos_base!$E$7*parametros_recargas!$E$40+sobrestock_sustitutos!$E$103/12</f>
        <v>24.7042272483054</v>
      </c>
      <c r="H103" s="21" t="n">
        <f aca="false">datos_base!$E$7*parametros_recargas!$F$40+sobrestock_sustitutos!$E$103/12</f>
        <v>24.7042272483054</v>
      </c>
      <c r="I103" s="21" t="n">
        <f aca="false">datos_base!$E$7*parametros_recargas!$G$40+sobrestock_sustitutos!$E$103/12</f>
        <v>24.7042272483054</v>
      </c>
      <c r="J103" s="21" t="n">
        <f aca="false">datos_base!$E$7*parametros_recargas!$H$40+sobrestock_sustitutos!$E$103/12</f>
        <v>24.7042272483054</v>
      </c>
      <c r="K103" s="21" t="n">
        <f aca="false">datos_base!$E$7*parametros_recargas!$I$40+sobrestock_sustitutos!$E$103/12</f>
        <v>24.7042272483054</v>
      </c>
      <c r="L103" s="21" t="n">
        <f aca="false">datos_base!$E$7*parametros_recargas!$J$40+sobrestock_sustitutos!$E$103/12</f>
        <v>24.7042272483054</v>
      </c>
      <c r="M103" s="21" t="n">
        <f aca="false">datos_base!$E$7*parametros_recargas!$K$40+sobrestock_sustitutos!$E$103/12</f>
        <v>24.7042272483054</v>
      </c>
      <c r="N103" s="21" t="n">
        <f aca="false">datos_base!$E$7*parametros_recargas!$L$40+sobrestock_sustitutos!$E$103/12</f>
        <v>24.7042272483054</v>
      </c>
      <c r="O103" s="21" t="n">
        <f aca="false">datos_base!$E$7*parametros_recargas!$M$40+sobrestock_sustitutos!$E$103/12</f>
        <v>24.7042272483054</v>
      </c>
      <c r="P103" s="7" t="n">
        <f aca="false">SUM(D103:O103)</f>
        <v>296.450726979665</v>
      </c>
      <c r="Q103" s="6" t="n">
        <f aca="false">sobrestock_sustitutos!$E$103</f>
        <v>4</v>
      </c>
    </row>
    <row r="104" customFormat="false" ht="15" hidden="false" customHeight="false" outlineLevel="0" collapsed="false">
      <c r="A104" s="9" t="str">
        <f aca="false">parametros_recargas!A57</f>
        <v>AFFF 50 l s/ruedas</v>
      </c>
      <c r="B104" s="9" t="str">
        <f aca="false">parametros_recargas!B57</f>
        <v>AFFF</v>
      </c>
      <c r="C104" s="11" t="n">
        <f aca="false">parametros_recargas!C57</f>
        <v>3</v>
      </c>
      <c r="D104" s="21" t="n">
        <f aca="false">datos_base!$E$8*parametros_recargas!$B$40+sobrestock_sustitutos!$E$104/12</f>
        <v>13.1674348556023</v>
      </c>
      <c r="E104" s="21" t="n">
        <f aca="false">datos_base!$E$8*parametros_recargas!$C$40+sobrestock_sustitutos!$E$104/12</f>
        <v>13.1674348556023</v>
      </c>
      <c r="F104" s="21" t="n">
        <f aca="false">datos_base!$E$8*parametros_recargas!$D$40+sobrestock_sustitutos!$E$104/12</f>
        <v>13.1674348556023</v>
      </c>
      <c r="G104" s="21" t="n">
        <f aca="false">datos_base!$E$8*parametros_recargas!$E$40+sobrestock_sustitutos!$E$104/12</f>
        <v>13.1674348556023</v>
      </c>
      <c r="H104" s="21" t="n">
        <f aca="false">datos_base!$E$8*parametros_recargas!$F$40+sobrestock_sustitutos!$E$104/12</f>
        <v>13.1674348556023</v>
      </c>
      <c r="I104" s="21" t="n">
        <f aca="false">datos_base!$E$8*parametros_recargas!$G$40+sobrestock_sustitutos!$E$104/12</f>
        <v>13.1674348556023</v>
      </c>
      <c r="J104" s="21" t="n">
        <f aca="false">datos_base!$E$8*parametros_recargas!$H$40+sobrestock_sustitutos!$E$104/12</f>
        <v>13.1674348556023</v>
      </c>
      <c r="K104" s="21" t="n">
        <f aca="false">datos_base!$E$8*parametros_recargas!$I$40+sobrestock_sustitutos!$E$104/12</f>
        <v>13.1674348556023</v>
      </c>
      <c r="L104" s="21" t="n">
        <f aca="false">datos_base!$E$8*parametros_recargas!$J$40+sobrestock_sustitutos!$E$104/12</f>
        <v>13.1674348556023</v>
      </c>
      <c r="M104" s="21" t="n">
        <f aca="false">datos_base!$E$8*parametros_recargas!$K$40+sobrestock_sustitutos!$E$104/12</f>
        <v>13.1674348556023</v>
      </c>
      <c r="N104" s="21" t="n">
        <f aca="false">datos_base!$E$8*parametros_recargas!$L$40+sobrestock_sustitutos!$E$104/12</f>
        <v>13.1674348556023</v>
      </c>
      <c r="O104" s="21" t="n">
        <f aca="false">datos_base!$E$8*parametros_recargas!$M$40+sobrestock_sustitutos!$E$104/12</f>
        <v>13.1674348556023</v>
      </c>
      <c r="P104" s="7" t="n">
        <f aca="false">SUM(D104:O104)</f>
        <v>158.009218267227</v>
      </c>
      <c r="Q104" s="6" t="n">
        <f aca="false">sobrestock_sustitutos!$E$104</f>
        <v>2</v>
      </c>
    </row>
    <row r="105" customFormat="false" ht="15" hidden="false" customHeight="false" outlineLevel="0" collapsed="false">
      <c r="A105" s="9" t="str">
        <f aca="false">parametros_recargas!A58</f>
        <v>BC 5 kg</v>
      </c>
      <c r="B105" s="9" t="str">
        <f aca="false">parametros_recargas!B58</f>
        <v>BC</v>
      </c>
      <c r="C105" s="11" t="n">
        <f aca="false">parametros_recargas!C58</f>
        <v>1</v>
      </c>
      <c r="D105" s="21" t="n">
        <f aca="false">datos_base!$E$9*parametros_recargas!$B$40+sobrestock_sustitutos!$E$105/12</f>
        <v>7.5372733052683</v>
      </c>
      <c r="E105" s="21" t="n">
        <f aca="false">datos_base!$E$9*parametros_recargas!$C$40+sobrestock_sustitutos!$E$105/12</f>
        <v>7.5372733052683</v>
      </c>
      <c r="F105" s="21" t="n">
        <f aca="false">datos_base!$E$9*parametros_recargas!$D$40+sobrestock_sustitutos!$E$105/12</f>
        <v>7.5372733052683</v>
      </c>
      <c r="G105" s="21" t="n">
        <f aca="false">datos_base!$E$9*parametros_recargas!$E$40+sobrestock_sustitutos!$E$105/12</f>
        <v>7.5372733052683</v>
      </c>
      <c r="H105" s="21" t="n">
        <f aca="false">datos_base!$E$9*parametros_recargas!$F$40+sobrestock_sustitutos!$E$105/12</f>
        <v>7.5372733052683</v>
      </c>
      <c r="I105" s="21" t="n">
        <f aca="false">datos_base!$E$9*parametros_recargas!$G$40+sobrestock_sustitutos!$E$105/12</f>
        <v>7.5372733052683</v>
      </c>
      <c r="J105" s="21" t="n">
        <f aca="false">datos_base!$E$9*parametros_recargas!$H$40+sobrestock_sustitutos!$E$105/12</f>
        <v>7.5372733052683</v>
      </c>
      <c r="K105" s="21" t="n">
        <f aca="false">datos_base!$E$9*parametros_recargas!$I$40+sobrestock_sustitutos!$E$105/12</f>
        <v>7.5372733052683</v>
      </c>
      <c r="L105" s="21" t="n">
        <f aca="false">datos_base!$E$9*parametros_recargas!$J$40+sobrestock_sustitutos!$E$105/12</f>
        <v>7.5372733052683</v>
      </c>
      <c r="M105" s="21" t="n">
        <f aca="false">datos_base!$E$9*parametros_recargas!$K$40+sobrestock_sustitutos!$E$105/12</f>
        <v>7.5372733052683</v>
      </c>
      <c r="N105" s="21" t="n">
        <f aca="false">datos_base!$E$9*parametros_recargas!$L$40+sobrestock_sustitutos!$E$105/12</f>
        <v>7.5372733052683</v>
      </c>
      <c r="O105" s="21" t="n">
        <f aca="false">datos_base!$E$9*parametros_recargas!$M$40+sobrestock_sustitutos!$E$105/12</f>
        <v>7.5372733052683</v>
      </c>
      <c r="P105" s="7" t="n">
        <f aca="false">SUM(D105:O105)</f>
        <v>90.4472796632196</v>
      </c>
      <c r="Q105" s="6" t="n">
        <f aca="false">sobrestock_sustitutos!$E$105</f>
        <v>2</v>
      </c>
    </row>
    <row r="106" customFormat="false" ht="15" hidden="false" customHeight="false" outlineLevel="0" collapsed="false">
      <c r="A106" s="9" t="str">
        <f aca="false">parametros_recargas!A59</f>
        <v>Sales K 6 l</v>
      </c>
      <c r="B106" s="9" t="str">
        <f aca="false">parametros_recargas!B59</f>
        <v>Sales K</v>
      </c>
      <c r="C106" s="11" t="n">
        <f aca="false">parametros_recargas!C59</f>
        <v>1</v>
      </c>
      <c r="D106" s="21" t="n">
        <f aca="false">datos_base!$E$10*parametros_recargas!$B$40+sobrestock_sustitutos!$E$106/12</f>
        <v>63.3780652337077</v>
      </c>
      <c r="E106" s="21" t="n">
        <f aca="false">datos_base!$E$10*parametros_recargas!$C$40+sobrestock_sustitutos!$E$106/12</f>
        <v>63.3780652337077</v>
      </c>
      <c r="F106" s="21" t="n">
        <f aca="false">datos_base!$E$10*parametros_recargas!$D$40+sobrestock_sustitutos!$E$106/12</f>
        <v>63.3780652337077</v>
      </c>
      <c r="G106" s="21" t="n">
        <f aca="false">datos_base!$E$10*parametros_recargas!$E$40+sobrestock_sustitutos!$E$106/12</f>
        <v>63.3780652337077</v>
      </c>
      <c r="H106" s="21" t="n">
        <f aca="false">datos_base!$E$10*parametros_recargas!$F$40+sobrestock_sustitutos!$E$106/12</f>
        <v>63.3780652337077</v>
      </c>
      <c r="I106" s="21" t="n">
        <f aca="false">datos_base!$E$10*parametros_recargas!$G$40+sobrestock_sustitutos!$E$106/12</f>
        <v>63.3780652337077</v>
      </c>
      <c r="J106" s="21" t="n">
        <f aca="false">datos_base!$E$10*parametros_recargas!$H$40+sobrestock_sustitutos!$E$106/12</f>
        <v>63.3780652337077</v>
      </c>
      <c r="K106" s="21" t="n">
        <f aca="false">datos_base!$E$10*parametros_recargas!$I$40+sobrestock_sustitutos!$E$106/12</f>
        <v>63.3780652337077</v>
      </c>
      <c r="L106" s="21" t="n">
        <f aca="false">datos_base!$E$10*parametros_recargas!$J$40+sobrestock_sustitutos!$E$106/12</f>
        <v>63.3780652337077</v>
      </c>
      <c r="M106" s="21" t="n">
        <f aca="false">datos_base!$E$10*parametros_recargas!$K$40+sobrestock_sustitutos!$E$106/12</f>
        <v>63.3780652337077</v>
      </c>
      <c r="N106" s="21" t="n">
        <f aca="false">datos_base!$E$10*parametros_recargas!$L$40+sobrestock_sustitutos!$E$106/12</f>
        <v>63.3780652337077</v>
      </c>
      <c r="O106" s="21" t="n">
        <f aca="false">datos_base!$E$10*parametros_recargas!$M$40+sobrestock_sustitutos!$E$106/12</f>
        <v>63.3780652337077</v>
      </c>
      <c r="P106" s="7" t="n">
        <f aca="false">SUM(D106:O106)</f>
        <v>760.536782804492</v>
      </c>
      <c r="Q106" s="6" t="n">
        <f aca="false">sobrestock_sustitutos!$E$106</f>
        <v>7</v>
      </c>
    </row>
    <row r="107" customFormat="false" ht="15" hidden="false" customHeight="false" outlineLevel="0" collapsed="false">
      <c r="A107" s="9" t="str">
        <f aca="false">parametros_recargas!A60</f>
        <v>CO₂ 2 kg</v>
      </c>
      <c r="B107" s="9" t="str">
        <f aca="false">parametros_recargas!B60</f>
        <v>CO₂</v>
      </c>
      <c r="C107" s="11" t="n">
        <f aca="false">parametros_recargas!C60</f>
        <v>1</v>
      </c>
      <c r="D107" s="21" t="n">
        <f aca="false">datos_base!$E$11*parametros_recargas!$B$40+sobrestock_sustitutos!$E$107/12</f>
        <v>351.822341995544</v>
      </c>
      <c r="E107" s="21" t="n">
        <f aca="false">datos_base!$E$11*parametros_recargas!$C$40+sobrestock_sustitutos!$E$107/12</f>
        <v>351.822341995544</v>
      </c>
      <c r="F107" s="21" t="n">
        <f aca="false">datos_base!$E$11*parametros_recargas!$D$40+sobrestock_sustitutos!$E$107/12</f>
        <v>351.822341995544</v>
      </c>
      <c r="G107" s="21" t="n">
        <f aca="false">datos_base!$E$11*parametros_recargas!$E$40+sobrestock_sustitutos!$E$107/12</f>
        <v>351.822341995544</v>
      </c>
      <c r="H107" s="21" t="n">
        <f aca="false">datos_base!$E$11*parametros_recargas!$F$40+sobrestock_sustitutos!$E$107/12</f>
        <v>351.822341995544</v>
      </c>
      <c r="I107" s="21" t="n">
        <f aca="false">datos_base!$E$11*parametros_recargas!$G$40+sobrestock_sustitutos!$E$107/12</f>
        <v>351.822341995544</v>
      </c>
      <c r="J107" s="21" t="n">
        <f aca="false">datos_base!$E$11*parametros_recargas!$H$40+sobrestock_sustitutos!$E$107/12</f>
        <v>351.822341995544</v>
      </c>
      <c r="K107" s="21" t="n">
        <f aca="false">datos_base!$E$11*parametros_recargas!$I$40+sobrestock_sustitutos!$E$107/12</f>
        <v>351.822341995544</v>
      </c>
      <c r="L107" s="21" t="n">
        <f aca="false">datos_base!$E$11*parametros_recargas!$J$40+sobrestock_sustitutos!$E$107/12</f>
        <v>351.822341995544</v>
      </c>
      <c r="M107" s="21" t="n">
        <f aca="false">datos_base!$E$11*parametros_recargas!$K$40+sobrestock_sustitutos!$E$107/12</f>
        <v>351.822341995544</v>
      </c>
      <c r="N107" s="21" t="n">
        <f aca="false">datos_base!$E$11*parametros_recargas!$L$40+sobrestock_sustitutos!$E$107/12</f>
        <v>351.822341995544</v>
      </c>
      <c r="O107" s="21" t="n">
        <f aca="false">datos_base!$E$11*parametros_recargas!$M$40+sobrestock_sustitutos!$E$107/12</f>
        <v>351.822341995544</v>
      </c>
      <c r="P107" s="7" t="n">
        <f aca="false">SUM(D107:O107)</f>
        <v>4221.86810394653</v>
      </c>
      <c r="Q107" s="6" t="n">
        <f aca="false">sobrestock_sustitutos!$E$107</f>
        <v>29</v>
      </c>
    </row>
    <row r="108" customFormat="false" ht="15" hidden="false" customHeight="false" outlineLevel="0" collapsed="false">
      <c r="A108" s="9" t="str">
        <f aca="false">parametros_recargas!A61</f>
        <v>CO₂ 5 kg</v>
      </c>
      <c r="B108" s="9" t="str">
        <f aca="false">parametros_recargas!B61</f>
        <v>CO₂</v>
      </c>
      <c r="C108" s="11" t="n">
        <f aca="false">parametros_recargas!C61</f>
        <v>1</v>
      </c>
      <c r="D108" s="21" t="n">
        <f aca="false">datos_base!$E$12*parametros_recargas!$B$40+sobrestock_sustitutos!$E$108/12</f>
        <v>114.773015687298</v>
      </c>
      <c r="E108" s="21" t="n">
        <f aca="false">datos_base!$E$12*parametros_recargas!$C$40+sobrestock_sustitutos!$E$108/12</f>
        <v>114.773015687298</v>
      </c>
      <c r="F108" s="21" t="n">
        <f aca="false">datos_base!$E$12*parametros_recargas!$D$40+sobrestock_sustitutos!$E$108/12</f>
        <v>114.773015687298</v>
      </c>
      <c r="G108" s="21" t="n">
        <f aca="false">datos_base!$E$12*parametros_recargas!$E$40+sobrestock_sustitutos!$E$108/12</f>
        <v>114.773015687298</v>
      </c>
      <c r="H108" s="21" t="n">
        <f aca="false">datos_base!$E$12*parametros_recargas!$F$40+sobrestock_sustitutos!$E$108/12</f>
        <v>114.773015687298</v>
      </c>
      <c r="I108" s="21" t="n">
        <f aca="false">datos_base!$E$12*parametros_recargas!$G$40+sobrestock_sustitutos!$E$108/12</f>
        <v>114.773015687298</v>
      </c>
      <c r="J108" s="21" t="n">
        <f aca="false">datos_base!$E$12*parametros_recargas!$H$40+sobrestock_sustitutos!$E$108/12</f>
        <v>114.773015687298</v>
      </c>
      <c r="K108" s="21" t="n">
        <f aca="false">datos_base!$E$12*parametros_recargas!$I$40+sobrestock_sustitutos!$E$108/12</f>
        <v>114.773015687298</v>
      </c>
      <c r="L108" s="21" t="n">
        <f aca="false">datos_base!$E$12*parametros_recargas!$J$40+sobrestock_sustitutos!$E$108/12</f>
        <v>114.773015687298</v>
      </c>
      <c r="M108" s="21" t="n">
        <f aca="false">datos_base!$E$12*parametros_recargas!$K$40+sobrestock_sustitutos!$E$108/12</f>
        <v>114.773015687298</v>
      </c>
      <c r="N108" s="21" t="n">
        <f aca="false">datos_base!$E$12*parametros_recargas!$L$40+sobrestock_sustitutos!$E$108/12</f>
        <v>114.773015687298</v>
      </c>
      <c r="O108" s="21" t="n">
        <f aca="false">datos_base!$E$12*parametros_recargas!$M$40+sobrestock_sustitutos!$E$108/12</f>
        <v>114.773015687298</v>
      </c>
      <c r="P108" s="7" t="n">
        <f aca="false">SUM(D108:O108)</f>
        <v>1377.27618824758</v>
      </c>
      <c r="Q108" s="6" t="n">
        <f aca="false">sobrestock_sustitutos!$E$108</f>
        <v>13</v>
      </c>
    </row>
    <row r="109" customFormat="false" ht="15" hidden="false" customHeight="false" outlineLevel="0" collapsed="false">
      <c r="A109" s="9" t="str">
        <f aca="false">parametros_recargas!A62</f>
        <v>HCFC/HFC 5 kg</v>
      </c>
      <c r="B109" s="9" t="str">
        <f aca="false">parametros_recargas!B62</f>
        <v>Halogenado</v>
      </c>
      <c r="C109" s="11" t="n">
        <f aca="false">parametros_recargas!C62</f>
        <v>1</v>
      </c>
      <c r="D109" s="21" t="n">
        <f aca="false">datos_base!$E$13*parametros_recargas!$B$40+sobrestock_sustitutos!$E$109/12</f>
        <v>18.7670468652422</v>
      </c>
      <c r="E109" s="21" t="n">
        <f aca="false">datos_base!$E$13*parametros_recargas!$C$40+sobrestock_sustitutos!$E$109/12</f>
        <v>18.7670468652422</v>
      </c>
      <c r="F109" s="21" t="n">
        <f aca="false">datos_base!$E$13*parametros_recargas!$D$40+sobrestock_sustitutos!$E$109/12</f>
        <v>18.7670468652422</v>
      </c>
      <c r="G109" s="21" t="n">
        <f aca="false">datos_base!$E$13*parametros_recargas!$E$40+sobrestock_sustitutos!$E$109/12</f>
        <v>18.7670468652422</v>
      </c>
      <c r="H109" s="21" t="n">
        <f aca="false">datos_base!$E$13*parametros_recargas!$F$40+sobrestock_sustitutos!$E$109/12</f>
        <v>18.7670468652422</v>
      </c>
      <c r="I109" s="21" t="n">
        <f aca="false">datos_base!$E$13*parametros_recargas!$G$40+sobrestock_sustitutos!$E$109/12</f>
        <v>18.7670468652422</v>
      </c>
      <c r="J109" s="21" t="n">
        <f aca="false">datos_base!$E$13*parametros_recargas!$H$40+sobrestock_sustitutos!$E$109/12</f>
        <v>18.7670468652422</v>
      </c>
      <c r="K109" s="21" t="n">
        <f aca="false">datos_base!$E$13*parametros_recargas!$I$40+sobrestock_sustitutos!$E$109/12</f>
        <v>18.7670468652422</v>
      </c>
      <c r="L109" s="21" t="n">
        <f aca="false">datos_base!$E$13*parametros_recargas!$J$40+sobrestock_sustitutos!$E$109/12</f>
        <v>18.7670468652422</v>
      </c>
      <c r="M109" s="21" t="n">
        <f aca="false">datos_base!$E$13*parametros_recargas!$K$40+sobrestock_sustitutos!$E$109/12</f>
        <v>18.7670468652422</v>
      </c>
      <c r="N109" s="21" t="n">
        <f aca="false">datos_base!$E$13*parametros_recargas!$L$40+sobrestock_sustitutos!$E$109/12</f>
        <v>18.7670468652422</v>
      </c>
      <c r="O109" s="21" t="n">
        <f aca="false">datos_base!$E$13*parametros_recargas!$M$40+sobrestock_sustitutos!$E$109/12</f>
        <v>18.7670468652422</v>
      </c>
      <c r="P109" s="7" t="n">
        <f aca="false">SUM(D109:O109)</f>
        <v>225.204562382906</v>
      </c>
      <c r="Q109" s="6" t="n">
        <f aca="false">sobrestock_sustitutos!$E$109</f>
        <v>3</v>
      </c>
    </row>
    <row r="110" customFormat="false" ht="15" hidden="false" customHeight="false" outlineLevel="0" collapsed="false">
      <c r="A110" s="9" t="str">
        <f aca="false">parametros_recargas!A63</f>
        <v>Clase D 9 l</v>
      </c>
      <c r="B110" s="9" t="str">
        <f aca="false">parametros_recargas!B63</f>
        <v>Clase D</v>
      </c>
      <c r="C110" s="11" t="n">
        <f aca="false">parametros_recargas!C63</f>
        <v>1</v>
      </c>
      <c r="D110" s="21" t="n">
        <f aca="false">datos_base!$E$14*parametros_recargas!$B$40+sobrestock_sustitutos!$E$110/12</f>
        <v>7.0186444405788</v>
      </c>
      <c r="E110" s="21" t="n">
        <f aca="false">datos_base!$E$14*parametros_recargas!$C$40+sobrestock_sustitutos!$E$110/12</f>
        <v>7.0186444405788</v>
      </c>
      <c r="F110" s="21" t="n">
        <f aca="false">datos_base!$E$14*parametros_recargas!$D$40+sobrestock_sustitutos!$E$110/12</f>
        <v>7.0186444405788</v>
      </c>
      <c r="G110" s="21" t="n">
        <f aca="false">datos_base!$E$14*parametros_recargas!$E$40+sobrestock_sustitutos!$E$110/12</f>
        <v>7.0186444405788</v>
      </c>
      <c r="H110" s="21" t="n">
        <f aca="false">datos_base!$E$14*parametros_recargas!$F$40+sobrestock_sustitutos!$E$110/12</f>
        <v>7.0186444405788</v>
      </c>
      <c r="I110" s="21" t="n">
        <f aca="false">datos_base!$E$14*parametros_recargas!$G$40+sobrestock_sustitutos!$E$110/12</f>
        <v>7.0186444405788</v>
      </c>
      <c r="J110" s="21" t="n">
        <f aca="false">datos_base!$E$14*parametros_recargas!$H$40+sobrestock_sustitutos!$E$110/12</f>
        <v>7.0186444405788</v>
      </c>
      <c r="K110" s="21" t="n">
        <f aca="false">datos_base!$E$14*parametros_recargas!$I$40+sobrestock_sustitutos!$E$110/12</f>
        <v>7.0186444405788</v>
      </c>
      <c r="L110" s="21" t="n">
        <f aca="false">datos_base!$E$14*parametros_recargas!$J$40+sobrestock_sustitutos!$E$110/12</f>
        <v>7.0186444405788</v>
      </c>
      <c r="M110" s="21" t="n">
        <f aca="false">datos_base!$E$14*parametros_recargas!$K$40+sobrestock_sustitutos!$E$110/12</f>
        <v>7.0186444405788</v>
      </c>
      <c r="N110" s="21" t="n">
        <f aca="false">datos_base!$E$14*parametros_recargas!$L$40+sobrestock_sustitutos!$E$110/12</f>
        <v>7.0186444405788</v>
      </c>
      <c r="O110" s="21" t="n">
        <f aca="false">datos_base!$E$14*parametros_recargas!$M$40+sobrestock_sustitutos!$E$110/12</f>
        <v>7.0186444405788</v>
      </c>
      <c r="P110" s="7" t="n">
        <f aca="false">SUM(D110:O110)</f>
        <v>84.2237332869456</v>
      </c>
      <c r="Q110" s="6" t="n">
        <f aca="false">sobrestock_sustitutos!$E$110</f>
        <v>2</v>
      </c>
    </row>
    <row r="111" customFormat="false" ht="15" hidden="false" customHeight="false" outlineLevel="0" collapsed="false">
      <c r="A111" s="9" t="str">
        <f aca="false">parametros_recargas!A64</f>
        <v>ABC 25 kg s/ruedas</v>
      </c>
      <c r="B111" s="9" t="str">
        <f aca="false">parametros_recargas!B64</f>
        <v>ABC</v>
      </c>
      <c r="C111" s="11" t="n">
        <f aca="false">parametros_recargas!C64</f>
        <v>3</v>
      </c>
      <c r="D111" s="21" t="n">
        <f aca="false">datos_base!$E$15*parametros_recargas!$B$40+sobrestock_sustitutos!$E$111/12</f>
        <v>15.720188469578</v>
      </c>
      <c r="E111" s="21" t="n">
        <f aca="false">datos_base!$E$15*parametros_recargas!$C$40+sobrestock_sustitutos!$E$111/12</f>
        <v>15.720188469578</v>
      </c>
      <c r="F111" s="21" t="n">
        <f aca="false">datos_base!$E$15*parametros_recargas!$D$40+sobrestock_sustitutos!$E$111/12</f>
        <v>15.720188469578</v>
      </c>
      <c r="G111" s="21" t="n">
        <f aca="false">datos_base!$E$15*parametros_recargas!$E$40+sobrestock_sustitutos!$E$111/12</f>
        <v>15.720188469578</v>
      </c>
      <c r="H111" s="21" t="n">
        <f aca="false">datos_base!$E$15*parametros_recargas!$F$40+sobrestock_sustitutos!$E$111/12</f>
        <v>15.720188469578</v>
      </c>
      <c r="I111" s="21" t="n">
        <f aca="false">datos_base!$E$15*parametros_recargas!$G$40+sobrestock_sustitutos!$E$111/12</f>
        <v>15.720188469578</v>
      </c>
      <c r="J111" s="21" t="n">
        <f aca="false">datos_base!$E$15*parametros_recargas!$H$40+sobrestock_sustitutos!$E$111/12</f>
        <v>15.720188469578</v>
      </c>
      <c r="K111" s="21" t="n">
        <f aca="false">datos_base!$E$15*parametros_recargas!$I$40+sobrestock_sustitutos!$E$111/12</f>
        <v>15.720188469578</v>
      </c>
      <c r="L111" s="21" t="n">
        <f aca="false">datos_base!$E$15*parametros_recargas!$J$40+sobrestock_sustitutos!$E$111/12</f>
        <v>15.720188469578</v>
      </c>
      <c r="M111" s="21" t="n">
        <f aca="false">datos_base!$E$15*parametros_recargas!$K$40+sobrestock_sustitutos!$E$111/12</f>
        <v>15.720188469578</v>
      </c>
      <c r="N111" s="21" t="n">
        <f aca="false">datos_base!$E$15*parametros_recargas!$L$40+sobrestock_sustitutos!$E$111/12</f>
        <v>15.720188469578</v>
      </c>
      <c r="O111" s="21" t="n">
        <f aca="false">datos_base!$E$15*parametros_recargas!$M$40+sobrestock_sustitutos!$E$111/12</f>
        <v>15.720188469578</v>
      </c>
      <c r="P111" s="7" t="n">
        <f aca="false">SUM(D111:O111)</f>
        <v>188.642261634937</v>
      </c>
      <c r="Q111" s="6" t="n">
        <f aca="false">sobrestock_sustitutos!$E$111</f>
        <v>2</v>
      </c>
    </row>
    <row r="112" customFormat="false" ht="15" hidden="false" customHeight="false" outlineLevel="0" collapsed="false">
      <c r="A112" s="9" t="str">
        <f aca="false">parametros_recargas!A65</f>
        <v>ABC 50 kg s/ruedas</v>
      </c>
      <c r="B112" s="9" t="str">
        <f aca="false">parametros_recargas!B65</f>
        <v>ABC</v>
      </c>
      <c r="C112" s="11" t="n">
        <f aca="false">parametros_recargas!C65</f>
        <v>3</v>
      </c>
      <c r="D112" s="21" t="n">
        <f aca="false">datos_base!$E$16*parametros_recargas!$B$40+sobrestock_sustitutos!$E$112/12</f>
        <v>34.5510812904964</v>
      </c>
      <c r="E112" s="21" t="n">
        <f aca="false">datos_base!$E$16*parametros_recargas!$C$40+sobrestock_sustitutos!$E$112/12</f>
        <v>34.5510812904964</v>
      </c>
      <c r="F112" s="21" t="n">
        <f aca="false">datos_base!$E$16*parametros_recargas!$D$40+sobrestock_sustitutos!$E$112/12</f>
        <v>34.5510812904964</v>
      </c>
      <c r="G112" s="21" t="n">
        <f aca="false">datos_base!$E$16*parametros_recargas!$E$40+sobrestock_sustitutos!$E$112/12</f>
        <v>34.5510812904964</v>
      </c>
      <c r="H112" s="21" t="n">
        <f aca="false">datos_base!$E$16*parametros_recargas!$F$40+sobrestock_sustitutos!$E$112/12</f>
        <v>34.5510812904964</v>
      </c>
      <c r="I112" s="21" t="n">
        <f aca="false">datos_base!$E$16*parametros_recargas!$G$40+sobrestock_sustitutos!$E$112/12</f>
        <v>34.5510812904964</v>
      </c>
      <c r="J112" s="21" t="n">
        <f aca="false">datos_base!$E$16*parametros_recargas!$H$40+sobrestock_sustitutos!$E$112/12</f>
        <v>34.5510812904964</v>
      </c>
      <c r="K112" s="21" t="n">
        <f aca="false">datos_base!$E$16*parametros_recargas!$I$40+sobrestock_sustitutos!$E$112/12</f>
        <v>34.5510812904964</v>
      </c>
      <c r="L112" s="21" t="n">
        <f aca="false">datos_base!$E$16*parametros_recargas!$J$40+sobrestock_sustitutos!$E$112/12</f>
        <v>34.5510812904964</v>
      </c>
      <c r="M112" s="21" t="n">
        <f aca="false">datos_base!$E$16*parametros_recargas!$K$40+sobrestock_sustitutos!$E$112/12</f>
        <v>34.5510812904964</v>
      </c>
      <c r="N112" s="21" t="n">
        <f aca="false">datos_base!$E$16*parametros_recargas!$L$40+sobrestock_sustitutos!$E$112/12</f>
        <v>34.5510812904964</v>
      </c>
      <c r="O112" s="21" t="n">
        <f aca="false">datos_base!$E$16*parametros_recargas!$M$40+sobrestock_sustitutos!$E$112/12</f>
        <v>34.5510812904964</v>
      </c>
      <c r="P112" s="7" t="n">
        <f aca="false">SUM(D112:O112)</f>
        <v>414.612975485956</v>
      </c>
      <c r="Q112" s="6" t="n">
        <f aca="false">sobrestock_sustitutos!$E$112</f>
        <v>4</v>
      </c>
    </row>
    <row r="113" customFormat="false" ht="15" hidden="false" customHeight="false" outlineLevel="0" collapsed="false">
      <c r="A113" s="9" t="str">
        <f aca="false">parametros_recargas!A66</f>
        <v>ABC 70 kg s/ruedas</v>
      </c>
      <c r="B113" s="9" t="str">
        <f aca="false">parametros_recargas!B66</f>
        <v>ABC</v>
      </c>
      <c r="C113" s="11" t="n">
        <f aca="false">parametros_recargas!C66</f>
        <v>3</v>
      </c>
      <c r="D113" s="21" t="n">
        <f aca="false">datos_base!$E$17*parametros_recargas!$B$40+sobrestock_sustitutos!$E$113/12</f>
        <v>7.549023795034</v>
      </c>
      <c r="E113" s="21" t="n">
        <f aca="false">datos_base!$E$17*parametros_recargas!$C$40+sobrestock_sustitutos!$E$113/12</f>
        <v>7.549023795034</v>
      </c>
      <c r="F113" s="21" t="n">
        <f aca="false">datos_base!$E$17*parametros_recargas!$D$40+sobrestock_sustitutos!$E$113/12</f>
        <v>7.549023795034</v>
      </c>
      <c r="G113" s="21" t="n">
        <f aca="false">datos_base!$E$17*parametros_recargas!$E$40+sobrestock_sustitutos!$E$113/12</f>
        <v>7.549023795034</v>
      </c>
      <c r="H113" s="21" t="n">
        <f aca="false">datos_base!$E$17*parametros_recargas!$F$40+sobrestock_sustitutos!$E$113/12</f>
        <v>7.549023795034</v>
      </c>
      <c r="I113" s="21" t="n">
        <f aca="false">datos_base!$E$17*parametros_recargas!$G$40+sobrestock_sustitutos!$E$113/12</f>
        <v>7.549023795034</v>
      </c>
      <c r="J113" s="21" t="n">
        <f aca="false">datos_base!$E$17*parametros_recargas!$H$40+sobrestock_sustitutos!$E$113/12</f>
        <v>7.549023795034</v>
      </c>
      <c r="K113" s="21" t="n">
        <f aca="false">datos_base!$E$17*parametros_recargas!$I$40+sobrestock_sustitutos!$E$113/12</f>
        <v>7.549023795034</v>
      </c>
      <c r="L113" s="21" t="n">
        <f aca="false">datos_base!$E$17*parametros_recargas!$J$40+sobrestock_sustitutos!$E$113/12</f>
        <v>7.549023795034</v>
      </c>
      <c r="M113" s="21" t="n">
        <f aca="false">datos_base!$E$17*parametros_recargas!$K$40+sobrestock_sustitutos!$E$113/12</f>
        <v>7.549023795034</v>
      </c>
      <c r="N113" s="21" t="n">
        <f aca="false">datos_base!$E$17*parametros_recargas!$L$40+sobrestock_sustitutos!$E$113/12</f>
        <v>7.549023795034</v>
      </c>
      <c r="O113" s="21" t="n">
        <f aca="false">datos_base!$E$17*parametros_recargas!$M$40+sobrestock_sustitutos!$E$113/12</f>
        <v>7.549023795034</v>
      </c>
      <c r="P113" s="7" t="n">
        <f aca="false">SUM(D113:O113)</f>
        <v>90.5882855404079</v>
      </c>
      <c r="Q113" s="6" t="n">
        <f aca="false">sobrestock_sustitutos!$E$113</f>
        <v>1</v>
      </c>
    </row>
    <row r="114" customFormat="false" ht="15" hidden="false" customHeight="false" outlineLevel="0" collapsed="false">
      <c r="A114" s="9" t="str">
        <f aca="false">parametros_recargas!A67</f>
        <v>ABC 100 kg s/ruedas</v>
      </c>
      <c r="B114" s="9" t="str">
        <f aca="false">parametros_recargas!B67</f>
        <v>ABC</v>
      </c>
      <c r="C114" s="11" t="n">
        <f aca="false">parametros_recargas!C67</f>
        <v>3</v>
      </c>
      <c r="D114" s="21" t="n">
        <f aca="false">datos_base!$E$18*parametros_recargas!$B$40+sobrestock_sustitutos!$E$114/12</f>
        <v>5.06046032320377</v>
      </c>
      <c r="E114" s="21" t="n">
        <f aca="false">datos_base!$E$18*parametros_recargas!$C$40+sobrestock_sustitutos!$E$114/12</f>
        <v>5.06046032320377</v>
      </c>
      <c r="F114" s="21" t="n">
        <f aca="false">datos_base!$E$18*parametros_recargas!$D$40+sobrestock_sustitutos!$E$114/12</f>
        <v>5.06046032320377</v>
      </c>
      <c r="G114" s="21" t="n">
        <f aca="false">datos_base!$E$18*parametros_recargas!$E$40+sobrestock_sustitutos!$E$114/12</f>
        <v>5.06046032320377</v>
      </c>
      <c r="H114" s="21" t="n">
        <f aca="false">datos_base!$E$18*parametros_recargas!$F$40+sobrestock_sustitutos!$E$114/12</f>
        <v>5.06046032320377</v>
      </c>
      <c r="I114" s="21" t="n">
        <f aca="false">datos_base!$E$18*parametros_recargas!$G$40+sobrestock_sustitutos!$E$114/12</f>
        <v>5.06046032320377</v>
      </c>
      <c r="J114" s="21" t="n">
        <f aca="false">datos_base!$E$18*parametros_recargas!$H$40+sobrestock_sustitutos!$E$114/12</f>
        <v>5.06046032320377</v>
      </c>
      <c r="K114" s="21" t="n">
        <f aca="false">datos_base!$E$18*parametros_recargas!$I$40+sobrestock_sustitutos!$E$114/12</f>
        <v>5.06046032320377</v>
      </c>
      <c r="L114" s="21" t="n">
        <f aca="false">datos_base!$E$18*parametros_recargas!$J$40+sobrestock_sustitutos!$E$114/12</f>
        <v>5.06046032320377</v>
      </c>
      <c r="M114" s="21" t="n">
        <f aca="false">datos_base!$E$18*parametros_recargas!$K$40+sobrestock_sustitutos!$E$114/12</f>
        <v>5.06046032320377</v>
      </c>
      <c r="N114" s="21" t="n">
        <f aca="false">datos_base!$E$18*parametros_recargas!$L$40+sobrestock_sustitutos!$E$114/12</f>
        <v>5.06046032320377</v>
      </c>
      <c r="O114" s="21" t="n">
        <f aca="false">datos_base!$E$18*parametros_recargas!$M$40+sobrestock_sustitutos!$E$114/12</f>
        <v>5.06046032320377</v>
      </c>
      <c r="P114" s="7" t="n">
        <f aca="false">SUM(D114:O114)</f>
        <v>60.7255238784452</v>
      </c>
      <c r="Q114" s="6" t="n">
        <f aca="false">sobrestock_sustitutos!$E$114</f>
        <v>1</v>
      </c>
    </row>
    <row r="115" customFormat="false" ht="15" hidden="false" customHeight="false" outlineLevel="0" collapsed="false">
      <c r="A115" s="4" t="s">
        <v>356</v>
      </c>
      <c r="D115" s="7" t="n">
        <f aca="false">SUM(D98:D114)</f>
        <v>5290.78477544992</v>
      </c>
      <c r="E115" s="7" t="n">
        <f aca="false">SUM(E98:E114)</f>
        <v>5290.78477544992</v>
      </c>
      <c r="F115" s="7" t="n">
        <f aca="false">SUM(F98:F114)</f>
        <v>5290.78477544992</v>
      </c>
      <c r="G115" s="7" t="n">
        <f aca="false">SUM(G98:G114)</f>
        <v>5290.78477544992</v>
      </c>
      <c r="H115" s="7" t="n">
        <f aca="false">SUM(H98:H114)</f>
        <v>5290.78477544992</v>
      </c>
      <c r="I115" s="7" t="n">
        <f aca="false">SUM(I98:I114)</f>
        <v>5290.78477544992</v>
      </c>
      <c r="J115" s="7" t="n">
        <f aca="false">SUM(J98:J114)</f>
        <v>5290.78477544992</v>
      </c>
      <c r="K115" s="7" t="n">
        <f aca="false">SUM(K98:K114)</f>
        <v>5290.78477544992</v>
      </c>
      <c r="L115" s="7" t="n">
        <f aca="false">SUM(L98:L114)</f>
        <v>5290.78477544992</v>
      </c>
      <c r="M115" s="7" t="n">
        <f aca="false">SUM(M98:M114)</f>
        <v>5290.78477544992</v>
      </c>
      <c r="N115" s="7" t="n">
        <f aca="false">SUM(N98:N114)</f>
        <v>5290.78477544992</v>
      </c>
      <c r="O115" s="7" t="n">
        <f aca="false">SUM(O98:O114)</f>
        <v>5290.78477544992</v>
      </c>
      <c r="P115" s="7" t="n">
        <f aca="false">SUM(P98:P114)</f>
        <v>63489.417305399</v>
      </c>
    </row>
    <row r="116" customFormat="false" ht="15" hidden="false" customHeight="false" outlineLevel="0" collapsed="false">
      <c r="A116" s="4" t="s">
        <v>357</v>
      </c>
    </row>
    <row r="117" customFormat="false" ht="15" hidden="false" customHeight="false" outlineLevel="0" collapsed="false">
      <c r="A117" s="5" t="s">
        <v>165</v>
      </c>
      <c r="D117" s="21" t="n">
        <f aca="false">SUMPRODUCT(($B$98:$B$114=$A117)*D$98:D$114*$C$98:$C$114)</f>
        <v>4686.54058358531</v>
      </c>
      <c r="E117" s="21" t="n">
        <f aca="false">SUMPRODUCT(($B$98:$B$114=$A117)*E$98:E$114*$C$98:$C$114)</f>
        <v>4686.54058358531</v>
      </c>
      <c r="F117" s="21" t="n">
        <f aca="false">SUMPRODUCT(($B$98:$B$114=$A117)*F$98:F$114*$C$98:$C$114)</f>
        <v>4686.54058358531</v>
      </c>
      <c r="G117" s="21" t="n">
        <f aca="false">SUMPRODUCT(($B$98:$B$114=$A117)*G$98:G$114*$C$98:$C$114)</f>
        <v>4686.54058358531</v>
      </c>
      <c r="H117" s="21" t="n">
        <f aca="false">SUMPRODUCT(($B$98:$B$114=$A117)*H$98:H$114*$C$98:$C$114)</f>
        <v>4686.54058358531</v>
      </c>
      <c r="I117" s="21" t="n">
        <f aca="false">SUMPRODUCT(($B$98:$B$114=$A117)*I$98:I$114*$C$98:$C$114)</f>
        <v>4686.54058358531</v>
      </c>
      <c r="J117" s="21" t="n">
        <f aca="false">SUMPRODUCT(($B$98:$B$114=$A117)*J$98:J$114*$C$98:$C$114)</f>
        <v>4686.54058358531</v>
      </c>
      <c r="K117" s="21" t="n">
        <f aca="false">SUMPRODUCT(($B$98:$B$114=$A117)*K$98:K$114*$C$98:$C$114)</f>
        <v>4686.54058358531</v>
      </c>
      <c r="L117" s="21" t="n">
        <f aca="false">SUMPRODUCT(($B$98:$B$114=$A117)*L$98:L$114*$C$98:$C$114)</f>
        <v>4686.54058358531</v>
      </c>
      <c r="M117" s="21" t="n">
        <f aca="false">SUMPRODUCT(($B$98:$B$114=$A117)*M$98:M$114*$C$98:$C$114)</f>
        <v>4686.54058358531</v>
      </c>
      <c r="N117" s="21" t="n">
        <f aca="false">SUMPRODUCT(($B$98:$B$114=$A117)*N$98:N$114*$C$98:$C$114)</f>
        <v>4686.54058358531</v>
      </c>
      <c r="O117" s="21" t="n">
        <f aca="false">SUMPRODUCT(($B$98:$B$114=$A117)*O$98:O$114*$C$98:$C$114)</f>
        <v>4686.54058358531</v>
      </c>
      <c r="P117" s="21" t="n">
        <f aca="false">SUMPRODUCT(($B$98:$B$114=$A117)*P$98:P$114*$C$98:$C$114)</f>
        <v>56238.4870030237</v>
      </c>
    </row>
    <row r="118" customFormat="false" ht="15" hidden="false" customHeight="false" outlineLevel="0" collapsed="false">
      <c r="A118" s="5" t="s">
        <v>171</v>
      </c>
      <c r="D118" s="21" t="n">
        <f aca="false">SUMPRODUCT(($B$98:$B$114=$A118)*D$98:D$114*$C$98:$C$114)</f>
        <v>7.5372733052683</v>
      </c>
      <c r="E118" s="21" t="n">
        <f aca="false">SUMPRODUCT(($B$98:$B$114=$A118)*E$98:E$114*$C$98:$C$114)</f>
        <v>7.5372733052683</v>
      </c>
      <c r="F118" s="21" t="n">
        <f aca="false">SUMPRODUCT(($B$98:$B$114=$A118)*F$98:F$114*$C$98:$C$114)</f>
        <v>7.5372733052683</v>
      </c>
      <c r="G118" s="21" t="n">
        <f aca="false">SUMPRODUCT(($B$98:$B$114=$A118)*G$98:G$114*$C$98:$C$114)</f>
        <v>7.5372733052683</v>
      </c>
      <c r="H118" s="21" t="n">
        <f aca="false">SUMPRODUCT(($B$98:$B$114=$A118)*H$98:H$114*$C$98:$C$114)</f>
        <v>7.5372733052683</v>
      </c>
      <c r="I118" s="21" t="n">
        <f aca="false">SUMPRODUCT(($B$98:$B$114=$A118)*I$98:I$114*$C$98:$C$114)</f>
        <v>7.5372733052683</v>
      </c>
      <c r="J118" s="21" t="n">
        <f aca="false">SUMPRODUCT(($B$98:$B$114=$A118)*J$98:J$114*$C$98:$C$114)</f>
        <v>7.5372733052683</v>
      </c>
      <c r="K118" s="21" t="n">
        <f aca="false">SUMPRODUCT(($B$98:$B$114=$A118)*K$98:K$114*$C$98:$C$114)</f>
        <v>7.5372733052683</v>
      </c>
      <c r="L118" s="21" t="n">
        <f aca="false">SUMPRODUCT(($B$98:$B$114=$A118)*L$98:L$114*$C$98:$C$114)</f>
        <v>7.5372733052683</v>
      </c>
      <c r="M118" s="21" t="n">
        <f aca="false">SUMPRODUCT(($B$98:$B$114=$A118)*M$98:M$114*$C$98:$C$114)</f>
        <v>7.5372733052683</v>
      </c>
      <c r="N118" s="21" t="n">
        <f aca="false">SUMPRODUCT(($B$98:$B$114=$A118)*N$98:N$114*$C$98:$C$114)</f>
        <v>7.5372733052683</v>
      </c>
      <c r="O118" s="21" t="n">
        <f aca="false">SUMPRODUCT(($B$98:$B$114=$A118)*O$98:O$114*$C$98:$C$114)</f>
        <v>7.5372733052683</v>
      </c>
      <c r="P118" s="21" t="n">
        <f aca="false">SUMPRODUCT(($B$98:$B$114=$A118)*P$98:P$114*$C$98:$C$114)</f>
        <v>90.4472796632196</v>
      </c>
    </row>
    <row r="119" customFormat="false" ht="15" hidden="false" customHeight="false" outlineLevel="0" collapsed="false">
      <c r="A119" s="5" t="s">
        <v>177</v>
      </c>
      <c r="D119" s="21" t="n">
        <f aca="false">SUMPRODUCT(($B$98:$B$114=$A119)*D$98:D$114*$C$98:$C$114)</f>
        <v>7.0186444405788</v>
      </c>
      <c r="E119" s="21" t="n">
        <f aca="false">SUMPRODUCT(($B$98:$B$114=$A119)*E$98:E$114*$C$98:$C$114)</f>
        <v>7.0186444405788</v>
      </c>
      <c r="F119" s="21" t="n">
        <f aca="false">SUMPRODUCT(($B$98:$B$114=$A119)*F$98:F$114*$C$98:$C$114)</f>
        <v>7.0186444405788</v>
      </c>
      <c r="G119" s="21" t="n">
        <f aca="false">SUMPRODUCT(($B$98:$B$114=$A119)*G$98:G$114*$C$98:$C$114)</f>
        <v>7.0186444405788</v>
      </c>
      <c r="H119" s="21" t="n">
        <f aca="false">SUMPRODUCT(($B$98:$B$114=$A119)*H$98:H$114*$C$98:$C$114)</f>
        <v>7.0186444405788</v>
      </c>
      <c r="I119" s="21" t="n">
        <f aca="false">SUMPRODUCT(($B$98:$B$114=$A119)*I$98:I$114*$C$98:$C$114)</f>
        <v>7.0186444405788</v>
      </c>
      <c r="J119" s="21" t="n">
        <f aca="false">SUMPRODUCT(($B$98:$B$114=$A119)*J$98:J$114*$C$98:$C$114)</f>
        <v>7.0186444405788</v>
      </c>
      <c r="K119" s="21" t="n">
        <f aca="false">SUMPRODUCT(($B$98:$B$114=$A119)*K$98:K$114*$C$98:$C$114)</f>
        <v>7.0186444405788</v>
      </c>
      <c r="L119" s="21" t="n">
        <f aca="false">SUMPRODUCT(($B$98:$B$114=$A119)*L$98:L$114*$C$98:$C$114)</f>
        <v>7.0186444405788</v>
      </c>
      <c r="M119" s="21" t="n">
        <f aca="false">SUMPRODUCT(($B$98:$B$114=$A119)*M$98:M$114*$C$98:$C$114)</f>
        <v>7.0186444405788</v>
      </c>
      <c r="N119" s="21" t="n">
        <f aca="false">SUMPRODUCT(($B$98:$B$114=$A119)*N$98:N$114*$C$98:$C$114)</f>
        <v>7.0186444405788</v>
      </c>
      <c r="O119" s="21" t="n">
        <f aca="false">SUMPRODUCT(($B$98:$B$114=$A119)*O$98:O$114*$C$98:$C$114)</f>
        <v>7.0186444405788</v>
      </c>
      <c r="P119" s="21" t="n">
        <f aca="false">SUMPRODUCT(($B$98:$B$114=$A119)*P$98:P$114*$C$98:$C$114)</f>
        <v>84.2237332869456</v>
      </c>
    </row>
    <row r="120" customFormat="false" ht="15" hidden="false" customHeight="false" outlineLevel="0" collapsed="false">
      <c r="A120" s="5" t="s">
        <v>168</v>
      </c>
      <c r="D120" s="21" t="n">
        <f aca="false">SUMPRODUCT(($B$98:$B$114=$A120)*D$98:D$114*$C$98:$C$114)</f>
        <v>128.837649989683</v>
      </c>
      <c r="E120" s="21" t="n">
        <f aca="false">SUMPRODUCT(($B$98:$B$114=$A120)*E$98:E$114*$C$98:$C$114)</f>
        <v>128.837649989683</v>
      </c>
      <c r="F120" s="21" t="n">
        <f aca="false">SUMPRODUCT(($B$98:$B$114=$A120)*F$98:F$114*$C$98:$C$114)</f>
        <v>128.837649989683</v>
      </c>
      <c r="G120" s="21" t="n">
        <f aca="false">SUMPRODUCT(($B$98:$B$114=$A120)*G$98:G$114*$C$98:$C$114)</f>
        <v>128.837649989683</v>
      </c>
      <c r="H120" s="21" t="n">
        <f aca="false">SUMPRODUCT(($B$98:$B$114=$A120)*H$98:H$114*$C$98:$C$114)</f>
        <v>128.837649989683</v>
      </c>
      <c r="I120" s="21" t="n">
        <f aca="false">SUMPRODUCT(($B$98:$B$114=$A120)*I$98:I$114*$C$98:$C$114)</f>
        <v>128.837649989683</v>
      </c>
      <c r="J120" s="21" t="n">
        <f aca="false">SUMPRODUCT(($B$98:$B$114=$A120)*J$98:J$114*$C$98:$C$114)</f>
        <v>128.837649989683</v>
      </c>
      <c r="K120" s="21" t="n">
        <f aca="false">SUMPRODUCT(($B$98:$B$114=$A120)*K$98:K$114*$C$98:$C$114)</f>
        <v>128.837649989683</v>
      </c>
      <c r="L120" s="21" t="n">
        <f aca="false">SUMPRODUCT(($B$98:$B$114=$A120)*L$98:L$114*$C$98:$C$114)</f>
        <v>128.837649989683</v>
      </c>
      <c r="M120" s="21" t="n">
        <f aca="false">SUMPRODUCT(($B$98:$B$114=$A120)*M$98:M$114*$C$98:$C$114)</f>
        <v>128.837649989683</v>
      </c>
      <c r="N120" s="21" t="n">
        <f aca="false">SUMPRODUCT(($B$98:$B$114=$A120)*N$98:N$114*$C$98:$C$114)</f>
        <v>128.837649989683</v>
      </c>
      <c r="O120" s="21" t="n">
        <f aca="false">SUMPRODUCT(($B$98:$B$114=$A120)*O$98:O$114*$C$98:$C$114)</f>
        <v>128.837649989683</v>
      </c>
      <c r="P120" s="21" t="n">
        <f aca="false">SUMPRODUCT(($B$98:$B$114=$A120)*P$98:P$114*$C$98:$C$114)</f>
        <v>1546.05179987619</v>
      </c>
    </row>
    <row r="121" customFormat="false" ht="15" hidden="false" customHeight="false" outlineLevel="0" collapsed="false">
      <c r="A121" s="5" t="s">
        <v>169</v>
      </c>
      <c r="D121" s="21" t="n">
        <f aca="false">SUMPRODUCT(($B$98:$B$114=$A121)*D$98:D$114*$C$98:$C$114)</f>
        <v>64.2065318151121</v>
      </c>
      <c r="E121" s="21" t="n">
        <f aca="false">SUMPRODUCT(($B$98:$B$114=$A121)*E$98:E$114*$C$98:$C$114)</f>
        <v>64.2065318151121</v>
      </c>
      <c r="F121" s="21" t="n">
        <f aca="false">SUMPRODUCT(($B$98:$B$114=$A121)*F$98:F$114*$C$98:$C$114)</f>
        <v>64.2065318151121</v>
      </c>
      <c r="G121" s="21" t="n">
        <f aca="false">SUMPRODUCT(($B$98:$B$114=$A121)*G$98:G$114*$C$98:$C$114)</f>
        <v>64.2065318151121</v>
      </c>
      <c r="H121" s="21" t="n">
        <f aca="false">SUMPRODUCT(($B$98:$B$114=$A121)*H$98:H$114*$C$98:$C$114)</f>
        <v>64.2065318151121</v>
      </c>
      <c r="I121" s="21" t="n">
        <f aca="false">SUMPRODUCT(($B$98:$B$114=$A121)*I$98:I$114*$C$98:$C$114)</f>
        <v>64.2065318151121</v>
      </c>
      <c r="J121" s="21" t="n">
        <f aca="false">SUMPRODUCT(($B$98:$B$114=$A121)*J$98:J$114*$C$98:$C$114)</f>
        <v>64.2065318151121</v>
      </c>
      <c r="K121" s="21" t="n">
        <f aca="false">SUMPRODUCT(($B$98:$B$114=$A121)*K$98:K$114*$C$98:$C$114)</f>
        <v>64.2065318151121</v>
      </c>
      <c r="L121" s="21" t="n">
        <f aca="false">SUMPRODUCT(($B$98:$B$114=$A121)*L$98:L$114*$C$98:$C$114)</f>
        <v>64.2065318151121</v>
      </c>
      <c r="M121" s="21" t="n">
        <f aca="false">SUMPRODUCT(($B$98:$B$114=$A121)*M$98:M$114*$C$98:$C$114)</f>
        <v>64.2065318151121</v>
      </c>
      <c r="N121" s="21" t="n">
        <f aca="false">SUMPRODUCT(($B$98:$B$114=$A121)*N$98:N$114*$C$98:$C$114)</f>
        <v>64.2065318151121</v>
      </c>
      <c r="O121" s="21" t="n">
        <f aca="false">SUMPRODUCT(($B$98:$B$114=$A121)*O$98:O$114*$C$98:$C$114)</f>
        <v>64.2065318151121</v>
      </c>
      <c r="P121" s="21" t="n">
        <f aca="false">SUMPRODUCT(($B$98:$B$114=$A121)*P$98:P$114*$C$98:$C$114)</f>
        <v>770.478381781346</v>
      </c>
    </row>
    <row r="122" customFormat="false" ht="15" hidden="false" customHeight="false" outlineLevel="0" collapsed="false">
      <c r="A122" s="5" t="s">
        <v>172</v>
      </c>
      <c r="D122" s="21" t="n">
        <f aca="false">SUMPRODUCT(($B$98:$B$114=$A122)*D$98:D$114*$C$98:$C$114)</f>
        <v>63.3780652337077</v>
      </c>
      <c r="E122" s="21" t="n">
        <f aca="false">SUMPRODUCT(($B$98:$B$114=$A122)*E$98:E$114*$C$98:$C$114)</f>
        <v>63.3780652337077</v>
      </c>
      <c r="F122" s="21" t="n">
        <f aca="false">SUMPRODUCT(($B$98:$B$114=$A122)*F$98:F$114*$C$98:$C$114)</f>
        <v>63.3780652337077</v>
      </c>
      <c r="G122" s="21" t="n">
        <f aca="false">SUMPRODUCT(($B$98:$B$114=$A122)*G$98:G$114*$C$98:$C$114)</f>
        <v>63.3780652337077</v>
      </c>
      <c r="H122" s="21" t="n">
        <f aca="false">SUMPRODUCT(($B$98:$B$114=$A122)*H$98:H$114*$C$98:$C$114)</f>
        <v>63.3780652337077</v>
      </c>
      <c r="I122" s="21" t="n">
        <f aca="false">SUMPRODUCT(($B$98:$B$114=$A122)*I$98:I$114*$C$98:$C$114)</f>
        <v>63.3780652337077</v>
      </c>
      <c r="J122" s="21" t="n">
        <f aca="false">SUMPRODUCT(($B$98:$B$114=$A122)*J$98:J$114*$C$98:$C$114)</f>
        <v>63.3780652337077</v>
      </c>
      <c r="K122" s="21" t="n">
        <f aca="false">SUMPRODUCT(($B$98:$B$114=$A122)*K$98:K$114*$C$98:$C$114)</f>
        <v>63.3780652337077</v>
      </c>
      <c r="L122" s="21" t="n">
        <f aca="false">SUMPRODUCT(($B$98:$B$114=$A122)*L$98:L$114*$C$98:$C$114)</f>
        <v>63.3780652337077</v>
      </c>
      <c r="M122" s="21" t="n">
        <f aca="false">SUMPRODUCT(($B$98:$B$114=$A122)*M$98:M$114*$C$98:$C$114)</f>
        <v>63.3780652337077</v>
      </c>
      <c r="N122" s="21" t="n">
        <f aca="false">SUMPRODUCT(($B$98:$B$114=$A122)*N$98:N$114*$C$98:$C$114)</f>
        <v>63.3780652337077</v>
      </c>
      <c r="O122" s="21" t="n">
        <f aca="false">SUMPRODUCT(($B$98:$B$114=$A122)*O$98:O$114*$C$98:$C$114)</f>
        <v>63.3780652337077</v>
      </c>
      <c r="P122" s="21" t="n">
        <f aca="false">SUMPRODUCT(($B$98:$B$114=$A122)*P$98:P$114*$C$98:$C$114)</f>
        <v>760.536782804492</v>
      </c>
    </row>
    <row r="123" customFormat="false" ht="15" hidden="false" customHeight="false" outlineLevel="0" collapsed="false">
      <c r="A123" s="5" t="s">
        <v>173</v>
      </c>
      <c r="D123" s="21" t="n">
        <f aca="false">SUMPRODUCT(($B$98:$B$114=$A123)*D$98:D$114*$C$98:$C$114)</f>
        <v>466.595357682842</v>
      </c>
      <c r="E123" s="21" t="n">
        <f aca="false">SUMPRODUCT(($B$98:$B$114=$A123)*E$98:E$114*$C$98:$C$114)</f>
        <v>466.595357682842</v>
      </c>
      <c r="F123" s="21" t="n">
        <f aca="false">SUMPRODUCT(($B$98:$B$114=$A123)*F$98:F$114*$C$98:$C$114)</f>
        <v>466.595357682842</v>
      </c>
      <c r="G123" s="21" t="n">
        <f aca="false">SUMPRODUCT(($B$98:$B$114=$A123)*G$98:G$114*$C$98:$C$114)</f>
        <v>466.595357682842</v>
      </c>
      <c r="H123" s="21" t="n">
        <f aca="false">SUMPRODUCT(($B$98:$B$114=$A123)*H$98:H$114*$C$98:$C$114)</f>
        <v>466.595357682842</v>
      </c>
      <c r="I123" s="21" t="n">
        <f aca="false">SUMPRODUCT(($B$98:$B$114=$A123)*I$98:I$114*$C$98:$C$114)</f>
        <v>466.595357682842</v>
      </c>
      <c r="J123" s="21" t="n">
        <f aca="false">SUMPRODUCT(($B$98:$B$114=$A123)*J$98:J$114*$C$98:$C$114)</f>
        <v>466.595357682842</v>
      </c>
      <c r="K123" s="21" t="n">
        <f aca="false">SUMPRODUCT(($B$98:$B$114=$A123)*K$98:K$114*$C$98:$C$114)</f>
        <v>466.595357682842</v>
      </c>
      <c r="L123" s="21" t="n">
        <f aca="false">SUMPRODUCT(($B$98:$B$114=$A123)*L$98:L$114*$C$98:$C$114)</f>
        <v>466.595357682842</v>
      </c>
      <c r="M123" s="21" t="n">
        <f aca="false">SUMPRODUCT(($B$98:$B$114=$A123)*M$98:M$114*$C$98:$C$114)</f>
        <v>466.595357682842</v>
      </c>
      <c r="N123" s="21" t="n">
        <f aca="false">SUMPRODUCT(($B$98:$B$114=$A123)*N$98:N$114*$C$98:$C$114)</f>
        <v>466.595357682842</v>
      </c>
      <c r="O123" s="21" t="n">
        <f aca="false">SUMPRODUCT(($B$98:$B$114=$A123)*O$98:O$114*$C$98:$C$114)</f>
        <v>466.595357682842</v>
      </c>
      <c r="P123" s="21" t="n">
        <f aca="false">SUMPRODUCT(($B$98:$B$114=$A123)*P$98:P$114*$C$98:$C$114)</f>
        <v>5599.14429219411</v>
      </c>
    </row>
    <row r="124" customFormat="false" ht="15" hidden="false" customHeight="false" outlineLevel="0" collapsed="false">
      <c r="A124" s="5" t="s">
        <v>176</v>
      </c>
      <c r="D124" s="21" t="n">
        <f aca="false">SUMPRODUCT(($B$98:$B$114=$A124)*D$98:D$114*$C$98:$C$114)</f>
        <v>18.7670468652422</v>
      </c>
      <c r="E124" s="21" t="n">
        <f aca="false">SUMPRODUCT(($B$98:$B$114=$A124)*E$98:E$114*$C$98:$C$114)</f>
        <v>18.7670468652422</v>
      </c>
      <c r="F124" s="21" t="n">
        <f aca="false">SUMPRODUCT(($B$98:$B$114=$A124)*F$98:F$114*$C$98:$C$114)</f>
        <v>18.7670468652422</v>
      </c>
      <c r="G124" s="21" t="n">
        <f aca="false">SUMPRODUCT(($B$98:$B$114=$A124)*G$98:G$114*$C$98:$C$114)</f>
        <v>18.7670468652422</v>
      </c>
      <c r="H124" s="21" t="n">
        <f aca="false">SUMPRODUCT(($B$98:$B$114=$A124)*H$98:H$114*$C$98:$C$114)</f>
        <v>18.7670468652422</v>
      </c>
      <c r="I124" s="21" t="n">
        <f aca="false">SUMPRODUCT(($B$98:$B$114=$A124)*I$98:I$114*$C$98:$C$114)</f>
        <v>18.7670468652422</v>
      </c>
      <c r="J124" s="21" t="n">
        <f aca="false">SUMPRODUCT(($B$98:$B$114=$A124)*J$98:J$114*$C$98:$C$114)</f>
        <v>18.7670468652422</v>
      </c>
      <c r="K124" s="21" t="n">
        <f aca="false">SUMPRODUCT(($B$98:$B$114=$A124)*K$98:K$114*$C$98:$C$114)</f>
        <v>18.7670468652422</v>
      </c>
      <c r="L124" s="21" t="n">
        <f aca="false">SUMPRODUCT(($B$98:$B$114=$A124)*L$98:L$114*$C$98:$C$114)</f>
        <v>18.7670468652422</v>
      </c>
      <c r="M124" s="21" t="n">
        <f aca="false">SUMPRODUCT(($B$98:$B$114=$A124)*M$98:M$114*$C$98:$C$114)</f>
        <v>18.7670468652422</v>
      </c>
      <c r="N124" s="21" t="n">
        <f aca="false">SUMPRODUCT(($B$98:$B$114=$A124)*N$98:N$114*$C$98:$C$114)</f>
        <v>18.7670468652422</v>
      </c>
      <c r="O124" s="21" t="n">
        <f aca="false">SUMPRODUCT(($B$98:$B$114=$A124)*O$98:O$114*$C$98:$C$114)</f>
        <v>18.7670468652422</v>
      </c>
      <c r="P124" s="21" t="n">
        <f aca="false">SUMPRODUCT(($B$98:$B$114=$A124)*P$98:P$114*$C$98:$C$114)</f>
        <v>225.204562382906</v>
      </c>
    </row>
    <row r="125" customFormat="false" ht="15" hidden="false" customHeight="false" outlineLevel="0" collapsed="false">
      <c r="A125" s="4" t="s">
        <v>358</v>
      </c>
      <c r="D125" s="22" t="n">
        <f aca="false">SUMPRODUCT(D$98:D$114*parametros_recargas!$D$51:$D$67)</f>
        <v>190.821204421213</v>
      </c>
      <c r="E125" s="22" t="n">
        <f aca="false">SUMPRODUCT(E$98:E$114*parametros_recargas!$D$51:$D$67)</f>
        <v>190.821204421213</v>
      </c>
      <c r="F125" s="22" t="n">
        <f aca="false">SUMPRODUCT(F$98:F$114*parametros_recargas!$D$51:$D$67)</f>
        <v>190.821204421213</v>
      </c>
      <c r="G125" s="22" t="n">
        <f aca="false">SUMPRODUCT(G$98:G$114*parametros_recargas!$D$51:$D$67)</f>
        <v>190.821204421213</v>
      </c>
      <c r="H125" s="22" t="n">
        <f aca="false">SUMPRODUCT(H$98:H$114*parametros_recargas!$D$51:$D$67)</f>
        <v>190.821204421213</v>
      </c>
      <c r="I125" s="22" t="n">
        <f aca="false">SUMPRODUCT(I$98:I$114*parametros_recargas!$D$51:$D$67)</f>
        <v>190.821204421213</v>
      </c>
      <c r="J125" s="22" t="n">
        <f aca="false">SUMPRODUCT(J$98:J$114*parametros_recargas!$D$51:$D$67)</f>
        <v>190.821204421213</v>
      </c>
      <c r="K125" s="22" t="n">
        <f aca="false">SUMPRODUCT(K$98:K$114*parametros_recargas!$D$51:$D$67)</f>
        <v>190.821204421213</v>
      </c>
      <c r="L125" s="22" t="n">
        <f aca="false">SUMPRODUCT(L$98:L$114*parametros_recargas!$D$51:$D$67)</f>
        <v>190.821204421213</v>
      </c>
      <c r="M125" s="22" t="n">
        <f aca="false">SUMPRODUCT(M$98:M$114*parametros_recargas!$D$51:$D$67)</f>
        <v>190.821204421213</v>
      </c>
      <c r="N125" s="22" t="n">
        <f aca="false">SUMPRODUCT(N$98:N$114*parametros_recargas!$D$51:$D$67)</f>
        <v>190.821204421213</v>
      </c>
      <c r="O125" s="22" t="n">
        <f aca="false">SUMPRODUCT(O$98:O$114*parametros_recargas!$D$51:$D$67)</f>
        <v>190.821204421213</v>
      </c>
      <c r="P125" s="22" t="n">
        <f aca="false">SUMPRODUCT(P$98:P$114*parametros_recargas!$D$51:$D$67)</f>
        <v>2289.85445305455</v>
      </c>
    </row>
    <row r="126" customFormat="false" ht="15" hidden="false" customHeight="false" outlineLevel="0" collapsed="false">
      <c r="A126" s="4" t="s">
        <v>359</v>
      </c>
      <c r="D126" s="22" t="n">
        <f aca="false">SUMPRODUCT(sobrestock_sustitutos!$E$73:$E$89*(sobrestock_sustitutos!$F$30:$F$46="Fábrica: cilindro vacío")*parametros_recargas!$C$51:$C$67*parametros_recargas!$B$107:$B$123)</f>
        <v>17.4052</v>
      </c>
      <c r="E126" s="22" t="n">
        <f aca="false">SUMPRODUCT(sobrestock_sustitutos!$E$73:$E$89*(sobrestock_sustitutos!$F$30:$F$46="Fábrica: cilindro vacío")*parametros_recargas!$C$51:$C$67*parametros_recargas!$C$107:$C$123)</f>
        <v>14.0636</v>
      </c>
      <c r="F126" s="22" t="n">
        <f aca="false">SUMPRODUCT(sobrestock_sustitutos!$E$73:$E$89*(sobrestock_sustitutos!$F$30:$F$46="Fábrica: cilindro vacío")*parametros_recargas!$C$51:$C$67*parametros_recargas!$D$107:$D$123)</f>
        <v>15.148</v>
      </c>
      <c r="G126" s="22" t="n">
        <f aca="false">SUMPRODUCT(sobrestock_sustitutos!$E$73:$E$89*(sobrestock_sustitutos!$F$30:$F$46="Fábrica: cilindro vacío")*parametros_recargas!$C$51:$C$67*parametros_recargas!$E$107:$E$123)</f>
        <v>15.148</v>
      </c>
      <c r="H126" s="22" t="n">
        <f aca="false">SUMPRODUCT(sobrestock_sustitutos!$E$73:$E$89*(sobrestock_sustitutos!$F$30:$F$46="Fábrica: cilindro vacío")*parametros_recargas!$C$51:$C$67*parametros_recargas!$F$107:$F$123)</f>
        <v>14.3624</v>
      </c>
      <c r="I126" s="22" t="n">
        <f aca="false">SUMPRODUCT(sobrestock_sustitutos!$E$73:$E$89*(sobrestock_sustitutos!$F$30:$F$46="Fábrica: cilindro vacío")*parametros_recargas!$C$51:$C$67*parametros_recargas!$G$107:$G$123)</f>
        <v>13.3776</v>
      </c>
      <c r="J126" s="22" t="n">
        <f aca="false">SUMPRODUCT(sobrestock_sustitutos!$E$73:$E$89*(sobrestock_sustitutos!$F$30:$F$46="Fábrica: cilindro vacío")*parametros_recargas!$C$51:$C$67*parametros_recargas!$H$107:$H$123)</f>
        <v>14.3624</v>
      </c>
      <c r="K126" s="22" t="n">
        <f aca="false">SUMPRODUCT(sobrestock_sustitutos!$E$73:$E$89*(sobrestock_sustitutos!$F$30:$F$46="Fábrica: cilindro vacío")*parametros_recargas!$C$51:$C$67*parametros_recargas!$I$107:$I$123)</f>
        <v>14.3624</v>
      </c>
      <c r="L126" s="22" t="n">
        <f aca="false">SUMPRODUCT(sobrestock_sustitutos!$E$73:$E$89*(sobrestock_sustitutos!$F$30:$F$46="Fábrica: cilindro vacío")*parametros_recargas!$C$51:$C$67*parametros_recargas!$J$107:$J$123)</f>
        <v>14.2628</v>
      </c>
      <c r="M126" s="22" t="n">
        <f aca="false">SUMPRODUCT(sobrestock_sustitutos!$E$73:$E$89*(sobrestock_sustitutos!$F$30:$F$46="Fábrica: cilindro vacío")*parametros_recargas!$C$51:$C$67*parametros_recargas!$K$107:$K$123)</f>
        <v>13.278</v>
      </c>
      <c r="N126" s="22" t="n">
        <f aca="false">SUMPRODUCT(sobrestock_sustitutos!$E$73:$E$89*(sobrestock_sustitutos!$F$30:$F$46="Fábrica: cilindro vacío")*parametros_recargas!$C$51:$C$67*parametros_recargas!$L$107:$L$123)</f>
        <v>12.3928</v>
      </c>
      <c r="O126" s="22" t="n">
        <f aca="false">SUMPRODUCT(sobrestock_sustitutos!$E$73:$E$89*(sobrestock_sustitutos!$F$30:$F$46="Fábrica: cilindro vacío")*parametros_recargas!$C$51:$C$67*parametros_recargas!$M$107:$M$123)</f>
        <v>18.8768</v>
      </c>
      <c r="P126" s="7" t="n">
        <f aca="false">SUM(D126:O126)</f>
        <v>177.04</v>
      </c>
    </row>
    <row r="129" customFormat="false" ht="23.85" hidden="false" customHeight="false" outlineLevel="0" collapsed="false">
      <c r="A129" s="23" t="n">
        <v>2030</v>
      </c>
      <c r="B129" s="3" t="s">
        <v>353</v>
      </c>
      <c r="C129" s="3" t="s">
        <v>354</v>
      </c>
      <c r="D129" s="3" t="s">
        <v>147</v>
      </c>
      <c r="E129" s="3" t="s">
        <v>148</v>
      </c>
      <c r="F129" s="3" t="s">
        <v>149</v>
      </c>
      <c r="G129" s="3" t="s">
        <v>150</v>
      </c>
      <c r="H129" s="3" t="s">
        <v>151</v>
      </c>
      <c r="I129" s="3" t="s">
        <v>152</v>
      </c>
      <c r="J129" s="3" t="s">
        <v>153</v>
      </c>
      <c r="K129" s="3" t="s">
        <v>154</v>
      </c>
      <c r="L129" s="3" t="s">
        <v>155</v>
      </c>
      <c r="M129" s="3" t="s">
        <v>156</v>
      </c>
      <c r="N129" s="3" t="s">
        <v>157</v>
      </c>
      <c r="O129" s="3" t="s">
        <v>158</v>
      </c>
      <c r="P129" s="3" t="s">
        <v>83</v>
      </c>
      <c r="Q129" s="3" t="s">
        <v>355</v>
      </c>
    </row>
    <row r="130" customFormat="false" ht="15" hidden="false" customHeight="false" outlineLevel="0" collapsed="false">
      <c r="A130" s="9" t="str">
        <f aca="false">parametros_recargas!A51</f>
        <v>ABC 1 kg</v>
      </c>
      <c r="B130" s="9" t="str">
        <f aca="false">parametros_recargas!B51</f>
        <v>ABC</v>
      </c>
      <c r="C130" s="11" t="n">
        <f aca="false">parametros_recargas!C51</f>
        <v>1</v>
      </c>
      <c r="D130" s="21" t="n">
        <f aca="false">datos_base!$F$2*parametros_recargas!$B$41+sobrestock_sustitutos!$F$98/12</f>
        <v>3894.12531588763</v>
      </c>
      <c r="E130" s="21" t="n">
        <f aca="false">datos_base!$F$2*parametros_recargas!$C$41+sobrestock_sustitutos!$F$98/12</f>
        <v>3894.12531588763</v>
      </c>
      <c r="F130" s="21" t="n">
        <f aca="false">datos_base!$F$2*parametros_recargas!$D$41+sobrestock_sustitutos!$F$98/12</f>
        <v>3894.12531588763</v>
      </c>
      <c r="G130" s="21" t="n">
        <f aca="false">datos_base!$F$2*parametros_recargas!$E$41+sobrestock_sustitutos!$F$98/12</f>
        <v>3894.12531588763</v>
      </c>
      <c r="H130" s="21" t="n">
        <f aca="false">datos_base!$F$2*parametros_recargas!$F$41+sobrestock_sustitutos!$F$98/12</f>
        <v>3894.12531588763</v>
      </c>
      <c r="I130" s="21" t="n">
        <f aca="false">datos_base!$F$2*parametros_recargas!$G$41+sobrestock_sustitutos!$F$98/12</f>
        <v>3894.12531588763</v>
      </c>
      <c r="J130" s="21" t="n">
        <f aca="false">datos_base!$F$2*parametros_recargas!$H$41+sobrestock_sustitutos!$F$98/12</f>
        <v>3894.12531588763</v>
      </c>
      <c r="K130" s="21" t="n">
        <f aca="false">datos_base!$F$2*parametros_recargas!$I$41+sobrestock_sustitutos!$F$98/12</f>
        <v>3894.12531588763</v>
      </c>
      <c r="L130" s="21" t="n">
        <f aca="false">datos_base!$F$2*parametros_recargas!$J$41+sobrestock_sustitutos!$F$98/12</f>
        <v>3894.12531588763</v>
      </c>
      <c r="M130" s="21" t="n">
        <f aca="false">datos_base!$F$2*parametros_recargas!$K$41+sobrestock_sustitutos!$F$98/12</f>
        <v>3894.12531588763</v>
      </c>
      <c r="N130" s="21" t="n">
        <f aca="false">datos_base!$F$2*parametros_recargas!$L$41+sobrestock_sustitutos!$F$98/12</f>
        <v>3894.12531588763</v>
      </c>
      <c r="O130" s="21" t="n">
        <f aca="false">datos_base!$F$2*parametros_recargas!$M$41+sobrestock_sustitutos!$F$98/12</f>
        <v>3894.12531588763</v>
      </c>
      <c r="P130" s="7" t="n">
        <f aca="false">SUM(D130:O130)</f>
        <v>46729.5037906515</v>
      </c>
      <c r="Q130" s="6" t="n">
        <f aca="false">sobrestock_sustitutos!$F$98</f>
        <v>0</v>
      </c>
    </row>
    <row r="131" customFormat="false" ht="15" hidden="false" customHeight="false" outlineLevel="0" collapsed="false">
      <c r="A131" s="9" t="str">
        <f aca="false">parametros_recargas!A52</f>
        <v>ABC 2,5 kg</v>
      </c>
      <c r="B131" s="9" t="str">
        <f aca="false">parametros_recargas!B52</f>
        <v>ABC</v>
      </c>
      <c r="C131" s="11" t="n">
        <f aca="false">parametros_recargas!C52</f>
        <v>1</v>
      </c>
      <c r="D131" s="21" t="n">
        <f aca="false">datos_base!$F$3*parametros_recargas!$B$41+sobrestock_sustitutos!$F$99/12</f>
        <v>366.038800173287</v>
      </c>
      <c r="E131" s="21" t="n">
        <f aca="false">datos_base!$F$3*parametros_recargas!$C$41+sobrestock_sustitutos!$F$99/12</f>
        <v>366.038800173287</v>
      </c>
      <c r="F131" s="21" t="n">
        <f aca="false">datos_base!$F$3*parametros_recargas!$D$41+sobrestock_sustitutos!$F$99/12</f>
        <v>366.038800173287</v>
      </c>
      <c r="G131" s="21" t="n">
        <f aca="false">datos_base!$F$3*parametros_recargas!$E$41+sobrestock_sustitutos!$F$99/12</f>
        <v>366.038800173287</v>
      </c>
      <c r="H131" s="21" t="n">
        <f aca="false">datos_base!$F$3*parametros_recargas!$F$41+sobrestock_sustitutos!$F$99/12</f>
        <v>366.038800173287</v>
      </c>
      <c r="I131" s="21" t="n">
        <f aca="false">datos_base!$F$3*parametros_recargas!$G$41+sobrestock_sustitutos!$F$99/12</f>
        <v>366.038800173287</v>
      </c>
      <c r="J131" s="21" t="n">
        <f aca="false">datos_base!$F$3*parametros_recargas!$H$41+sobrestock_sustitutos!$F$99/12</f>
        <v>366.038800173287</v>
      </c>
      <c r="K131" s="21" t="n">
        <f aca="false">datos_base!$F$3*parametros_recargas!$I$41+sobrestock_sustitutos!$F$99/12</f>
        <v>366.038800173287</v>
      </c>
      <c r="L131" s="21" t="n">
        <f aca="false">datos_base!$F$3*parametros_recargas!$J$41+sobrestock_sustitutos!$F$99/12</f>
        <v>366.038800173287</v>
      </c>
      <c r="M131" s="21" t="n">
        <f aca="false">datos_base!$F$3*parametros_recargas!$K$41+sobrestock_sustitutos!$F$99/12</f>
        <v>366.038800173287</v>
      </c>
      <c r="N131" s="21" t="n">
        <f aca="false">datos_base!$F$3*parametros_recargas!$L$41+sobrestock_sustitutos!$F$99/12</f>
        <v>366.038800173287</v>
      </c>
      <c r="O131" s="21" t="n">
        <f aca="false">datos_base!$F$3*parametros_recargas!$M$41+sobrestock_sustitutos!$F$99/12</f>
        <v>366.038800173287</v>
      </c>
      <c r="P131" s="7" t="n">
        <f aca="false">SUM(D131:O131)</f>
        <v>4392.46560207945</v>
      </c>
      <c r="Q131" s="6" t="n">
        <f aca="false">sobrestock_sustitutos!$F$99</f>
        <v>39</v>
      </c>
    </row>
    <row r="132" customFormat="false" ht="15" hidden="false" customHeight="false" outlineLevel="0" collapsed="false">
      <c r="A132" s="9" t="str">
        <f aca="false">parametros_recargas!A53</f>
        <v>ABC 5 kg</v>
      </c>
      <c r="B132" s="9" t="str">
        <f aca="false">parametros_recargas!B53</f>
        <v>ABC</v>
      </c>
      <c r="C132" s="11" t="n">
        <f aca="false">parametros_recargas!C53</f>
        <v>1</v>
      </c>
      <c r="D132" s="21" t="n">
        <f aca="false">datos_base!$F$4*parametros_recargas!$B$41+sobrestock_sustitutos!$F$100/12</f>
        <v>2258.07951043548</v>
      </c>
      <c r="E132" s="21" t="n">
        <f aca="false">datos_base!$F$4*parametros_recargas!$C$41+sobrestock_sustitutos!$F$100/12</f>
        <v>2258.07951043548</v>
      </c>
      <c r="F132" s="21" t="n">
        <f aca="false">datos_base!$F$4*parametros_recargas!$D$41+sobrestock_sustitutos!$F$100/12</f>
        <v>2258.07951043548</v>
      </c>
      <c r="G132" s="21" t="n">
        <f aca="false">datos_base!$F$4*parametros_recargas!$E$41+sobrestock_sustitutos!$F$100/12</f>
        <v>2258.07951043548</v>
      </c>
      <c r="H132" s="21" t="n">
        <f aca="false">datos_base!$F$4*parametros_recargas!$F$41+sobrestock_sustitutos!$F$100/12</f>
        <v>2258.07951043548</v>
      </c>
      <c r="I132" s="21" t="n">
        <f aca="false">datos_base!$F$4*parametros_recargas!$G$41+sobrestock_sustitutos!$F$100/12</f>
        <v>2258.07951043548</v>
      </c>
      <c r="J132" s="21" t="n">
        <f aca="false">datos_base!$F$4*parametros_recargas!$H$41+sobrestock_sustitutos!$F$100/12</f>
        <v>2258.07951043548</v>
      </c>
      <c r="K132" s="21" t="n">
        <f aca="false">datos_base!$F$4*parametros_recargas!$I$41+sobrestock_sustitutos!$F$100/12</f>
        <v>2258.07951043548</v>
      </c>
      <c r="L132" s="21" t="n">
        <f aca="false">datos_base!$F$4*parametros_recargas!$J$41+sobrestock_sustitutos!$F$100/12</f>
        <v>2258.07951043548</v>
      </c>
      <c r="M132" s="21" t="n">
        <f aca="false">datos_base!$F$4*parametros_recargas!$K$41+sobrestock_sustitutos!$F$100/12</f>
        <v>2258.07951043548</v>
      </c>
      <c r="N132" s="21" t="n">
        <f aca="false">datos_base!$F$4*parametros_recargas!$L$41+sobrestock_sustitutos!$F$100/12</f>
        <v>2258.07951043548</v>
      </c>
      <c r="O132" s="21" t="n">
        <f aca="false">datos_base!$F$4*parametros_recargas!$M$41+sobrestock_sustitutos!$F$100/12</f>
        <v>2258.07951043548</v>
      </c>
      <c r="P132" s="7" t="n">
        <f aca="false">SUM(D132:O132)</f>
        <v>27096.9541252258</v>
      </c>
      <c r="Q132" s="6" t="n">
        <f aca="false">sobrestock_sustitutos!$F$100</f>
        <v>254</v>
      </c>
    </row>
    <row r="133" customFormat="false" ht="15" hidden="false" customHeight="false" outlineLevel="0" collapsed="false">
      <c r="A133" s="9" t="str">
        <f aca="false">parametros_recargas!A54</f>
        <v>ABC 10 kg</v>
      </c>
      <c r="B133" s="9" t="str">
        <f aca="false">parametros_recargas!B54</f>
        <v>ABC</v>
      </c>
      <c r="C133" s="11" t="n">
        <f aca="false">parametros_recargas!C54</f>
        <v>1</v>
      </c>
      <c r="D133" s="21" t="n">
        <f aca="false">datos_base!$F$5*parametros_recargas!$B$41+sobrestock_sustitutos!$F$101/12</f>
        <v>132.716318151705</v>
      </c>
      <c r="E133" s="21" t="n">
        <f aca="false">datos_base!$F$5*parametros_recargas!$C$41+sobrestock_sustitutos!$F$101/12</f>
        <v>132.716318151705</v>
      </c>
      <c r="F133" s="21" t="n">
        <f aca="false">datos_base!$F$5*parametros_recargas!$D$41+sobrestock_sustitutos!$F$101/12</f>
        <v>132.716318151705</v>
      </c>
      <c r="G133" s="21" t="n">
        <f aca="false">datos_base!$F$5*parametros_recargas!$E$41+sobrestock_sustitutos!$F$101/12</f>
        <v>132.716318151705</v>
      </c>
      <c r="H133" s="21" t="n">
        <f aca="false">datos_base!$F$5*parametros_recargas!$F$41+sobrestock_sustitutos!$F$101/12</f>
        <v>132.716318151705</v>
      </c>
      <c r="I133" s="21" t="n">
        <f aca="false">datos_base!$F$5*parametros_recargas!$G$41+sobrestock_sustitutos!$F$101/12</f>
        <v>132.716318151705</v>
      </c>
      <c r="J133" s="21" t="n">
        <f aca="false">datos_base!$F$5*parametros_recargas!$H$41+sobrestock_sustitutos!$F$101/12</f>
        <v>132.716318151705</v>
      </c>
      <c r="K133" s="21" t="n">
        <f aca="false">datos_base!$F$5*parametros_recargas!$I$41+sobrestock_sustitutos!$F$101/12</f>
        <v>132.716318151705</v>
      </c>
      <c r="L133" s="21" t="n">
        <f aca="false">datos_base!$F$5*parametros_recargas!$J$41+sobrestock_sustitutos!$F$101/12</f>
        <v>132.716318151705</v>
      </c>
      <c r="M133" s="21" t="n">
        <f aca="false">datos_base!$F$5*parametros_recargas!$K$41+sobrestock_sustitutos!$F$101/12</f>
        <v>132.716318151705</v>
      </c>
      <c r="N133" s="21" t="n">
        <f aca="false">datos_base!$F$5*parametros_recargas!$L$41+sobrestock_sustitutos!$F$101/12</f>
        <v>132.716318151705</v>
      </c>
      <c r="O133" s="21" t="n">
        <f aca="false">datos_base!$F$5*parametros_recargas!$M$41+sobrestock_sustitutos!$F$101/12</f>
        <v>132.716318151705</v>
      </c>
      <c r="P133" s="7" t="n">
        <f aca="false">SUM(D133:O133)</f>
        <v>1592.59581782047</v>
      </c>
      <c r="Q133" s="6" t="n">
        <f aca="false">sobrestock_sustitutos!$F$101</f>
        <v>15</v>
      </c>
    </row>
    <row r="134" customFormat="false" ht="15" hidden="false" customHeight="false" outlineLevel="0" collapsed="false">
      <c r="A134" s="9" t="str">
        <f aca="false">parametros_recargas!A55</f>
        <v>Agua 10 l</v>
      </c>
      <c r="B134" s="9" t="str">
        <f aca="false">parametros_recargas!B55</f>
        <v>Agua</v>
      </c>
      <c r="C134" s="11" t="n">
        <f aca="false">parametros_recargas!C55</f>
        <v>1</v>
      </c>
      <c r="D134" s="21" t="n">
        <f aca="false">datos_base!$F$6*parametros_recargas!$B$41+sobrestock_sustitutos!$F$102/12</f>
        <v>186.278854348113</v>
      </c>
      <c r="E134" s="21" t="n">
        <f aca="false">datos_base!$F$6*parametros_recargas!$C$41+sobrestock_sustitutos!$F$102/12</f>
        <v>186.278854348113</v>
      </c>
      <c r="F134" s="21" t="n">
        <f aca="false">datos_base!$F$6*parametros_recargas!$D$41+sobrestock_sustitutos!$F$102/12</f>
        <v>186.278854348113</v>
      </c>
      <c r="G134" s="21" t="n">
        <f aca="false">datos_base!$F$6*parametros_recargas!$E$41+sobrestock_sustitutos!$F$102/12</f>
        <v>186.278854348113</v>
      </c>
      <c r="H134" s="21" t="n">
        <f aca="false">datos_base!$F$6*parametros_recargas!$F$41+sobrestock_sustitutos!$F$102/12</f>
        <v>186.278854348113</v>
      </c>
      <c r="I134" s="21" t="n">
        <f aca="false">datos_base!$F$6*parametros_recargas!$G$41+sobrestock_sustitutos!$F$102/12</f>
        <v>186.278854348113</v>
      </c>
      <c r="J134" s="21" t="n">
        <f aca="false">datos_base!$F$6*parametros_recargas!$H$41+sobrestock_sustitutos!$F$102/12</f>
        <v>186.278854348113</v>
      </c>
      <c r="K134" s="21" t="n">
        <f aca="false">datos_base!$F$6*parametros_recargas!$I$41+sobrestock_sustitutos!$F$102/12</f>
        <v>186.278854348113</v>
      </c>
      <c r="L134" s="21" t="n">
        <f aca="false">datos_base!$F$6*parametros_recargas!$J$41+sobrestock_sustitutos!$F$102/12</f>
        <v>186.278854348113</v>
      </c>
      <c r="M134" s="21" t="n">
        <f aca="false">datos_base!$F$6*parametros_recargas!$K$41+sobrestock_sustitutos!$F$102/12</f>
        <v>186.278854348113</v>
      </c>
      <c r="N134" s="21" t="n">
        <f aca="false">datos_base!$F$6*parametros_recargas!$L$41+sobrestock_sustitutos!$F$102/12</f>
        <v>186.278854348113</v>
      </c>
      <c r="O134" s="21" t="n">
        <f aca="false">datos_base!$F$6*parametros_recargas!$M$41+sobrestock_sustitutos!$F$102/12</f>
        <v>186.278854348113</v>
      </c>
      <c r="P134" s="7" t="n">
        <f aca="false">SUM(D134:O134)</f>
        <v>2235.34625217735</v>
      </c>
      <c r="Q134" s="6" t="n">
        <f aca="false">sobrestock_sustitutos!$F$102</f>
        <v>22</v>
      </c>
    </row>
    <row r="135" customFormat="false" ht="15" hidden="false" customHeight="false" outlineLevel="0" collapsed="false">
      <c r="A135" s="9" t="str">
        <f aca="false">parametros_recargas!A56</f>
        <v>AFFF 10 l</v>
      </c>
      <c r="B135" s="9" t="str">
        <f aca="false">parametros_recargas!B56</f>
        <v>AFFF</v>
      </c>
      <c r="C135" s="11" t="n">
        <f aca="false">parametros_recargas!C56</f>
        <v>1</v>
      </c>
      <c r="D135" s="21" t="n">
        <f aca="false">datos_base!$F$7*parametros_recargas!$B$41+sobrestock_sustitutos!$F$103/12</f>
        <v>34.9538043443855</v>
      </c>
      <c r="E135" s="21" t="n">
        <f aca="false">datos_base!$F$7*parametros_recargas!$C$41+sobrestock_sustitutos!$F$103/12</f>
        <v>34.9538043443855</v>
      </c>
      <c r="F135" s="21" t="n">
        <f aca="false">datos_base!$F$7*parametros_recargas!$D$41+sobrestock_sustitutos!$F$103/12</f>
        <v>34.9538043443855</v>
      </c>
      <c r="G135" s="21" t="n">
        <f aca="false">datos_base!$F$7*parametros_recargas!$E$41+sobrestock_sustitutos!$F$103/12</f>
        <v>34.9538043443855</v>
      </c>
      <c r="H135" s="21" t="n">
        <f aca="false">datos_base!$F$7*parametros_recargas!$F$41+sobrestock_sustitutos!$F$103/12</f>
        <v>34.9538043443855</v>
      </c>
      <c r="I135" s="21" t="n">
        <f aca="false">datos_base!$F$7*parametros_recargas!$G$41+sobrestock_sustitutos!$F$103/12</f>
        <v>34.9538043443855</v>
      </c>
      <c r="J135" s="21" t="n">
        <f aca="false">datos_base!$F$7*parametros_recargas!$H$41+sobrestock_sustitutos!$F$103/12</f>
        <v>34.9538043443855</v>
      </c>
      <c r="K135" s="21" t="n">
        <f aca="false">datos_base!$F$7*parametros_recargas!$I$41+sobrestock_sustitutos!$F$103/12</f>
        <v>34.9538043443855</v>
      </c>
      <c r="L135" s="21" t="n">
        <f aca="false">datos_base!$F$7*parametros_recargas!$J$41+sobrestock_sustitutos!$F$103/12</f>
        <v>34.9538043443855</v>
      </c>
      <c r="M135" s="21" t="n">
        <f aca="false">datos_base!$F$7*parametros_recargas!$K$41+sobrestock_sustitutos!$F$103/12</f>
        <v>34.9538043443855</v>
      </c>
      <c r="N135" s="21" t="n">
        <f aca="false">datos_base!$F$7*parametros_recargas!$L$41+sobrestock_sustitutos!$F$103/12</f>
        <v>34.9538043443855</v>
      </c>
      <c r="O135" s="21" t="n">
        <f aca="false">datos_base!$F$7*parametros_recargas!$M$41+sobrestock_sustitutos!$F$103/12</f>
        <v>34.9538043443855</v>
      </c>
      <c r="P135" s="7" t="n">
        <f aca="false">SUM(D135:O135)</f>
        <v>419.445652132626</v>
      </c>
      <c r="Q135" s="6" t="n">
        <f aca="false">sobrestock_sustitutos!$F$103</f>
        <v>7</v>
      </c>
    </row>
    <row r="136" customFormat="false" ht="15" hidden="false" customHeight="false" outlineLevel="0" collapsed="false">
      <c r="A136" s="9" t="str">
        <f aca="false">parametros_recargas!A57</f>
        <v>AFFF 50 l s/ruedas</v>
      </c>
      <c r="B136" s="9" t="str">
        <f aca="false">parametros_recargas!B57</f>
        <v>AFFF</v>
      </c>
      <c r="C136" s="11" t="n">
        <f aca="false">parametros_recargas!C57</f>
        <v>3</v>
      </c>
      <c r="D136" s="21" t="n">
        <f aca="false">datos_base!$F$8*parametros_recargas!$B$41+sobrestock_sustitutos!$F$104/12</f>
        <v>18.7666095947696</v>
      </c>
      <c r="E136" s="21" t="n">
        <f aca="false">datos_base!$F$8*parametros_recargas!$C$41+sobrestock_sustitutos!$F$104/12</f>
        <v>18.7666095947696</v>
      </c>
      <c r="F136" s="21" t="n">
        <f aca="false">datos_base!$F$8*parametros_recargas!$D$41+sobrestock_sustitutos!$F$104/12</f>
        <v>18.7666095947696</v>
      </c>
      <c r="G136" s="21" t="n">
        <f aca="false">datos_base!$F$8*parametros_recargas!$E$41+sobrestock_sustitutos!$F$104/12</f>
        <v>18.7666095947696</v>
      </c>
      <c r="H136" s="21" t="n">
        <f aca="false">datos_base!$F$8*parametros_recargas!$F$41+sobrestock_sustitutos!$F$104/12</f>
        <v>18.7666095947696</v>
      </c>
      <c r="I136" s="21" t="n">
        <f aca="false">datos_base!$F$8*parametros_recargas!$G$41+sobrestock_sustitutos!$F$104/12</f>
        <v>18.7666095947696</v>
      </c>
      <c r="J136" s="21" t="n">
        <f aca="false">datos_base!$F$8*parametros_recargas!$H$41+sobrestock_sustitutos!$F$104/12</f>
        <v>18.7666095947696</v>
      </c>
      <c r="K136" s="21" t="n">
        <f aca="false">datos_base!$F$8*parametros_recargas!$I$41+sobrestock_sustitutos!$F$104/12</f>
        <v>18.7666095947696</v>
      </c>
      <c r="L136" s="21" t="n">
        <f aca="false">datos_base!$F$8*parametros_recargas!$J$41+sobrestock_sustitutos!$F$104/12</f>
        <v>18.7666095947696</v>
      </c>
      <c r="M136" s="21" t="n">
        <f aca="false">datos_base!$F$8*parametros_recargas!$K$41+sobrestock_sustitutos!$F$104/12</f>
        <v>18.7666095947696</v>
      </c>
      <c r="N136" s="21" t="n">
        <f aca="false">datos_base!$F$8*parametros_recargas!$L$41+sobrestock_sustitutos!$F$104/12</f>
        <v>18.7666095947696</v>
      </c>
      <c r="O136" s="21" t="n">
        <f aca="false">datos_base!$F$8*parametros_recargas!$M$41+sobrestock_sustitutos!$F$104/12</f>
        <v>18.7666095947696</v>
      </c>
      <c r="P136" s="7" t="n">
        <f aca="false">SUM(D136:O136)</f>
        <v>225.199315137235</v>
      </c>
      <c r="Q136" s="6" t="n">
        <f aca="false">sobrestock_sustitutos!$F$104</f>
        <v>4</v>
      </c>
    </row>
    <row r="137" customFormat="false" ht="15" hidden="false" customHeight="false" outlineLevel="0" collapsed="false">
      <c r="A137" s="9" t="str">
        <f aca="false">parametros_recargas!A58</f>
        <v>BC 5 kg</v>
      </c>
      <c r="B137" s="9" t="str">
        <f aca="false">parametros_recargas!B58</f>
        <v>BC</v>
      </c>
      <c r="C137" s="11" t="n">
        <f aca="false">parametros_recargas!C58</f>
        <v>1</v>
      </c>
      <c r="D137" s="21" t="n">
        <f aca="false">datos_base!$F$9*parametros_recargas!$B$41+sobrestock_sustitutos!$F$105/12</f>
        <v>10.3234443786876</v>
      </c>
      <c r="E137" s="21" t="n">
        <f aca="false">datos_base!$F$9*parametros_recargas!$C$41+sobrestock_sustitutos!$F$105/12</f>
        <v>10.3234443786876</v>
      </c>
      <c r="F137" s="21" t="n">
        <f aca="false">datos_base!$F$9*parametros_recargas!$D$41+sobrestock_sustitutos!$F$105/12</f>
        <v>10.3234443786876</v>
      </c>
      <c r="G137" s="21" t="n">
        <f aca="false">datos_base!$F$9*parametros_recargas!$E$41+sobrestock_sustitutos!$F$105/12</f>
        <v>10.3234443786876</v>
      </c>
      <c r="H137" s="21" t="n">
        <f aca="false">datos_base!$F$9*parametros_recargas!$F$41+sobrestock_sustitutos!$F$105/12</f>
        <v>10.3234443786876</v>
      </c>
      <c r="I137" s="21" t="n">
        <f aca="false">datos_base!$F$9*parametros_recargas!$G$41+sobrestock_sustitutos!$F$105/12</f>
        <v>10.3234443786876</v>
      </c>
      <c r="J137" s="21" t="n">
        <f aca="false">datos_base!$F$9*parametros_recargas!$H$41+sobrestock_sustitutos!$F$105/12</f>
        <v>10.3234443786876</v>
      </c>
      <c r="K137" s="21" t="n">
        <f aca="false">datos_base!$F$9*parametros_recargas!$I$41+sobrestock_sustitutos!$F$105/12</f>
        <v>10.3234443786876</v>
      </c>
      <c r="L137" s="21" t="n">
        <f aca="false">datos_base!$F$9*parametros_recargas!$J$41+sobrestock_sustitutos!$F$105/12</f>
        <v>10.3234443786876</v>
      </c>
      <c r="M137" s="21" t="n">
        <f aca="false">datos_base!$F$9*parametros_recargas!$K$41+sobrestock_sustitutos!$F$105/12</f>
        <v>10.3234443786876</v>
      </c>
      <c r="N137" s="21" t="n">
        <f aca="false">datos_base!$F$9*parametros_recargas!$L$41+sobrestock_sustitutos!$F$105/12</f>
        <v>10.3234443786876</v>
      </c>
      <c r="O137" s="21" t="n">
        <f aca="false">datos_base!$F$9*parametros_recargas!$M$41+sobrestock_sustitutos!$F$105/12</f>
        <v>10.3234443786876</v>
      </c>
      <c r="P137" s="7" t="n">
        <f aca="false">SUM(D137:O137)</f>
        <v>123.881332544252</v>
      </c>
      <c r="Q137" s="6" t="n">
        <f aca="false">sobrestock_sustitutos!$F$105</f>
        <v>2</v>
      </c>
    </row>
    <row r="138" customFormat="false" ht="15" hidden="false" customHeight="false" outlineLevel="0" collapsed="false">
      <c r="A138" s="9" t="str">
        <f aca="false">parametros_recargas!A59</f>
        <v>Sales K 6 l</v>
      </c>
      <c r="B138" s="9" t="str">
        <f aca="false">parametros_recargas!B59</f>
        <v>Sales K</v>
      </c>
      <c r="C138" s="11" t="n">
        <f aca="false">parametros_recargas!C59</f>
        <v>1</v>
      </c>
      <c r="D138" s="21" t="n">
        <f aca="false">datos_base!$F$10*parametros_recargas!$B$41+sobrestock_sustitutos!$F$106/12</f>
        <v>91.5402343674638</v>
      </c>
      <c r="E138" s="21" t="n">
        <f aca="false">datos_base!$F$10*parametros_recargas!$C$41+sobrestock_sustitutos!$F$106/12</f>
        <v>91.5402343674638</v>
      </c>
      <c r="F138" s="21" t="n">
        <f aca="false">datos_base!$F$10*parametros_recargas!$D$41+sobrestock_sustitutos!$F$106/12</f>
        <v>91.5402343674638</v>
      </c>
      <c r="G138" s="21" t="n">
        <f aca="false">datos_base!$F$10*parametros_recargas!$E$41+sobrestock_sustitutos!$F$106/12</f>
        <v>91.5402343674638</v>
      </c>
      <c r="H138" s="21" t="n">
        <f aca="false">datos_base!$F$10*parametros_recargas!$F$41+sobrestock_sustitutos!$F$106/12</f>
        <v>91.5402343674638</v>
      </c>
      <c r="I138" s="21" t="n">
        <f aca="false">datos_base!$F$10*parametros_recargas!$G$41+sobrestock_sustitutos!$F$106/12</f>
        <v>91.5402343674638</v>
      </c>
      <c r="J138" s="21" t="n">
        <f aca="false">datos_base!$F$10*parametros_recargas!$H$41+sobrestock_sustitutos!$F$106/12</f>
        <v>91.5402343674638</v>
      </c>
      <c r="K138" s="21" t="n">
        <f aca="false">datos_base!$F$10*parametros_recargas!$I$41+sobrestock_sustitutos!$F$106/12</f>
        <v>91.5402343674638</v>
      </c>
      <c r="L138" s="21" t="n">
        <f aca="false">datos_base!$F$10*parametros_recargas!$J$41+sobrestock_sustitutos!$F$106/12</f>
        <v>91.5402343674638</v>
      </c>
      <c r="M138" s="21" t="n">
        <f aca="false">datos_base!$F$10*parametros_recargas!$K$41+sobrestock_sustitutos!$F$106/12</f>
        <v>91.5402343674638</v>
      </c>
      <c r="N138" s="21" t="n">
        <f aca="false">datos_base!$F$10*parametros_recargas!$L$41+sobrestock_sustitutos!$F$106/12</f>
        <v>91.5402343674638</v>
      </c>
      <c r="O138" s="21" t="n">
        <f aca="false">datos_base!$F$10*parametros_recargas!$M$41+sobrestock_sustitutos!$F$106/12</f>
        <v>91.5402343674638</v>
      </c>
      <c r="P138" s="7" t="n">
        <f aca="false">SUM(D138:O138)</f>
        <v>1098.48281240957</v>
      </c>
      <c r="Q138" s="6" t="n">
        <f aca="false">sobrestock_sustitutos!$F$106</f>
        <v>11</v>
      </c>
    </row>
    <row r="139" customFormat="false" ht="15" hidden="false" customHeight="false" outlineLevel="0" collapsed="false">
      <c r="A139" s="9" t="str">
        <f aca="false">parametros_recargas!A60</f>
        <v>CO₂ 2 kg</v>
      </c>
      <c r="B139" s="9" t="str">
        <f aca="false">parametros_recargas!B60</f>
        <v>CO₂</v>
      </c>
      <c r="C139" s="11" t="n">
        <f aca="false">parametros_recargas!C60</f>
        <v>1</v>
      </c>
      <c r="D139" s="21" t="n">
        <f aca="false">datos_base!$F$11*parametros_recargas!$B$41+sobrestock_sustitutos!$F$107/12</f>
        <v>509.202987399282</v>
      </c>
      <c r="E139" s="21" t="n">
        <f aca="false">datos_base!$F$11*parametros_recargas!$C$41+sobrestock_sustitutos!$F$107/12</f>
        <v>509.202987399282</v>
      </c>
      <c r="F139" s="21" t="n">
        <f aca="false">datos_base!$F$11*parametros_recargas!$D$41+sobrestock_sustitutos!$F$107/12</f>
        <v>509.202987399282</v>
      </c>
      <c r="G139" s="21" t="n">
        <f aca="false">datos_base!$F$11*parametros_recargas!$E$41+sobrestock_sustitutos!$F$107/12</f>
        <v>509.202987399282</v>
      </c>
      <c r="H139" s="21" t="n">
        <f aca="false">datos_base!$F$11*parametros_recargas!$F$41+sobrestock_sustitutos!$F$107/12</f>
        <v>509.202987399282</v>
      </c>
      <c r="I139" s="21" t="n">
        <f aca="false">datos_base!$F$11*parametros_recargas!$G$41+sobrestock_sustitutos!$F$107/12</f>
        <v>509.202987399282</v>
      </c>
      <c r="J139" s="21" t="n">
        <f aca="false">datos_base!$F$11*parametros_recargas!$H$41+sobrestock_sustitutos!$F$107/12</f>
        <v>509.202987399282</v>
      </c>
      <c r="K139" s="21" t="n">
        <f aca="false">datos_base!$F$11*parametros_recargas!$I$41+sobrestock_sustitutos!$F$107/12</f>
        <v>509.202987399282</v>
      </c>
      <c r="L139" s="21" t="n">
        <f aca="false">datos_base!$F$11*parametros_recargas!$J$41+sobrestock_sustitutos!$F$107/12</f>
        <v>509.202987399282</v>
      </c>
      <c r="M139" s="21" t="n">
        <f aca="false">datos_base!$F$11*parametros_recargas!$K$41+sobrestock_sustitutos!$F$107/12</f>
        <v>509.202987399282</v>
      </c>
      <c r="N139" s="21" t="n">
        <f aca="false">datos_base!$F$11*parametros_recargas!$L$41+sobrestock_sustitutos!$F$107/12</f>
        <v>509.202987399282</v>
      </c>
      <c r="O139" s="21" t="n">
        <f aca="false">datos_base!$F$11*parametros_recargas!$M$41+sobrestock_sustitutos!$F$107/12</f>
        <v>509.202987399282</v>
      </c>
      <c r="P139" s="7" t="n">
        <f aca="false">SUM(D139:O139)</f>
        <v>6110.43584879139</v>
      </c>
      <c r="Q139" s="6" t="n">
        <f aca="false">sobrestock_sustitutos!$F$107</f>
        <v>55</v>
      </c>
    </row>
    <row r="140" customFormat="false" ht="15" hidden="false" customHeight="false" outlineLevel="0" collapsed="false">
      <c r="A140" s="9" t="str">
        <f aca="false">parametros_recargas!A61</f>
        <v>CO₂ 5 kg</v>
      </c>
      <c r="B140" s="9" t="str">
        <f aca="false">parametros_recargas!B61</f>
        <v>CO₂</v>
      </c>
      <c r="C140" s="11" t="n">
        <f aca="false">parametros_recargas!C61</f>
        <v>1</v>
      </c>
      <c r="D140" s="21" t="n">
        <f aca="false">datos_base!$F$12*parametros_recargas!$B$41+sobrestock_sustitutos!$F$108/12</f>
        <v>165.742947059198</v>
      </c>
      <c r="E140" s="21" t="n">
        <f aca="false">datos_base!$F$12*parametros_recargas!$C$41+sobrestock_sustitutos!$F$108/12</f>
        <v>165.742947059198</v>
      </c>
      <c r="F140" s="21" t="n">
        <f aca="false">datos_base!$F$12*parametros_recargas!$D$41+sobrestock_sustitutos!$F$108/12</f>
        <v>165.742947059198</v>
      </c>
      <c r="G140" s="21" t="n">
        <f aca="false">datos_base!$F$12*parametros_recargas!$E$41+sobrestock_sustitutos!$F$108/12</f>
        <v>165.742947059198</v>
      </c>
      <c r="H140" s="21" t="n">
        <f aca="false">datos_base!$F$12*parametros_recargas!$F$41+sobrestock_sustitutos!$F$108/12</f>
        <v>165.742947059198</v>
      </c>
      <c r="I140" s="21" t="n">
        <f aca="false">datos_base!$F$12*parametros_recargas!$G$41+sobrestock_sustitutos!$F$108/12</f>
        <v>165.742947059198</v>
      </c>
      <c r="J140" s="21" t="n">
        <f aca="false">datos_base!$F$12*parametros_recargas!$H$41+sobrestock_sustitutos!$F$108/12</f>
        <v>165.742947059198</v>
      </c>
      <c r="K140" s="21" t="n">
        <f aca="false">datos_base!$F$12*parametros_recargas!$I$41+sobrestock_sustitutos!$F$108/12</f>
        <v>165.742947059198</v>
      </c>
      <c r="L140" s="21" t="n">
        <f aca="false">datos_base!$F$12*parametros_recargas!$J$41+sobrestock_sustitutos!$F$108/12</f>
        <v>165.742947059198</v>
      </c>
      <c r="M140" s="21" t="n">
        <f aca="false">datos_base!$F$12*parametros_recargas!$K$41+sobrestock_sustitutos!$F$108/12</f>
        <v>165.742947059198</v>
      </c>
      <c r="N140" s="21" t="n">
        <f aca="false">datos_base!$F$12*parametros_recargas!$L$41+sobrestock_sustitutos!$F$108/12</f>
        <v>165.742947059198</v>
      </c>
      <c r="O140" s="21" t="n">
        <f aca="false">datos_base!$F$12*parametros_recargas!$M$41+sobrestock_sustitutos!$F$108/12</f>
        <v>165.742947059198</v>
      </c>
      <c r="P140" s="7" t="n">
        <f aca="false">SUM(D140:O140)</f>
        <v>1988.91536471038</v>
      </c>
      <c r="Q140" s="6" t="n">
        <f aca="false">sobrestock_sustitutos!$F$108</f>
        <v>23</v>
      </c>
    </row>
    <row r="141" customFormat="false" ht="15" hidden="false" customHeight="false" outlineLevel="0" collapsed="false">
      <c r="A141" s="9" t="str">
        <f aca="false">parametros_recargas!A62</f>
        <v>HCFC/HFC 5 kg</v>
      </c>
      <c r="B141" s="9" t="str">
        <f aca="false">parametros_recargas!B62</f>
        <v>Halogenado</v>
      </c>
      <c r="C141" s="11" t="n">
        <f aca="false">parametros_recargas!C62</f>
        <v>1</v>
      </c>
      <c r="D141" s="21" t="n">
        <f aca="false">datos_base!$F$13*parametros_recargas!$B$41+sobrestock_sustitutos!$F$109/12</f>
        <v>26.9646590960247</v>
      </c>
      <c r="E141" s="21" t="n">
        <f aca="false">datos_base!$F$13*parametros_recargas!$C$41+sobrestock_sustitutos!$F$109/12</f>
        <v>26.9646590960247</v>
      </c>
      <c r="F141" s="21" t="n">
        <f aca="false">datos_base!$F$13*parametros_recargas!$D$41+sobrestock_sustitutos!$F$109/12</f>
        <v>26.9646590960247</v>
      </c>
      <c r="G141" s="21" t="n">
        <f aca="false">datos_base!$F$13*parametros_recargas!$E$41+sobrestock_sustitutos!$F$109/12</f>
        <v>26.9646590960247</v>
      </c>
      <c r="H141" s="21" t="n">
        <f aca="false">datos_base!$F$13*parametros_recargas!$F$41+sobrestock_sustitutos!$F$109/12</f>
        <v>26.9646590960247</v>
      </c>
      <c r="I141" s="21" t="n">
        <f aca="false">datos_base!$F$13*parametros_recargas!$G$41+sobrestock_sustitutos!$F$109/12</f>
        <v>26.9646590960247</v>
      </c>
      <c r="J141" s="21" t="n">
        <f aca="false">datos_base!$F$13*parametros_recargas!$H$41+sobrestock_sustitutos!$F$109/12</f>
        <v>26.9646590960247</v>
      </c>
      <c r="K141" s="21" t="n">
        <f aca="false">datos_base!$F$13*parametros_recargas!$I$41+sobrestock_sustitutos!$F$109/12</f>
        <v>26.9646590960247</v>
      </c>
      <c r="L141" s="21" t="n">
        <f aca="false">datos_base!$F$13*parametros_recargas!$J$41+sobrestock_sustitutos!$F$109/12</f>
        <v>26.9646590960247</v>
      </c>
      <c r="M141" s="21" t="n">
        <f aca="false">datos_base!$F$13*parametros_recargas!$K$41+sobrestock_sustitutos!$F$109/12</f>
        <v>26.9646590960247</v>
      </c>
      <c r="N141" s="21" t="n">
        <f aca="false">datos_base!$F$13*parametros_recargas!$L$41+sobrestock_sustitutos!$F$109/12</f>
        <v>26.9646590960247</v>
      </c>
      <c r="O141" s="21" t="n">
        <f aca="false">datos_base!$F$13*parametros_recargas!$M$41+sobrestock_sustitutos!$F$109/12</f>
        <v>26.9646590960247</v>
      </c>
      <c r="P141" s="7" t="n">
        <f aca="false">SUM(D141:O141)</f>
        <v>323.575909152296</v>
      </c>
      <c r="Q141" s="6" t="n">
        <f aca="false">sobrestock_sustitutos!$F$109</f>
        <v>5</v>
      </c>
    </row>
    <row r="142" customFormat="false" ht="15" hidden="false" customHeight="false" outlineLevel="0" collapsed="false">
      <c r="A142" s="9" t="str">
        <f aca="false">parametros_recargas!A63</f>
        <v>Clase D 9 l</v>
      </c>
      <c r="B142" s="9" t="str">
        <f aca="false">parametros_recargas!B63</f>
        <v>Clase D</v>
      </c>
      <c r="C142" s="11" t="n">
        <f aca="false">parametros_recargas!C63</f>
        <v>1</v>
      </c>
      <c r="D142" s="21" t="n">
        <f aca="false">datos_base!$F$14*parametros_recargas!$B$41+sobrestock_sustitutos!$F$110/12</f>
        <v>9.6501581104198</v>
      </c>
      <c r="E142" s="21" t="n">
        <f aca="false">datos_base!$F$14*parametros_recargas!$C$41+sobrestock_sustitutos!$F$110/12</f>
        <v>9.6501581104198</v>
      </c>
      <c r="F142" s="21" t="n">
        <f aca="false">datos_base!$F$14*parametros_recargas!$D$41+sobrestock_sustitutos!$F$110/12</f>
        <v>9.6501581104198</v>
      </c>
      <c r="G142" s="21" t="n">
        <f aca="false">datos_base!$F$14*parametros_recargas!$E$41+sobrestock_sustitutos!$F$110/12</f>
        <v>9.6501581104198</v>
      </c>
      <c r="H142" s="21" t="n">
        <f aca="false">datos_base!$F$14*parametros_recargas!$F$41+sobrestock_sustitutos!$F$110/12</f>
        <v>9.6501581104198</v>
      </c>
      <c r="I142" s="21" t="n">
        <f aca="false">datos_base!$F$14*parametros_recargas!$G$41+sobrestock_sustitutos!$F$110/12</f>
        <v>9.6501581104198</v>
      </c>
      <c r="J142" s="21" t="n">
        <f aca="false">datos_base!$F$14*parametros_recargas!$H$41+sobrestock_sustitutos!$F$110/12</f>
        <v>9.6501581104198</v>
      </c>
      <c r="K142" s="21" t="n">
        <f aca="false">datos_base!$F$14*parametros_recargas!$I$41+sobrestock_sustitutos!$F$110/12</f>
        <v>9.6501581104198</v>
      </c>
      <c r="L142" s="21" t="n">
        <f aca="false">datos_base!$F$14*parametros_recargas!$J$41+sobrestock_sustitutos!$F$110/12</f>
        <v>9.6501581104198</v>
      </c>
      <c r="M142" s="21" t="n">
        <f aca="false">datos_base!$F$14*parametros_recargas!$K$41+sobrestock_sustitutos!$F$110/12</f>
        <v>9.6501581104198</v>
      </c>
      <c r="N142" s="21" t="n">
        <f aca="false">datos_base!$F$14*parametros_recargas!$L$41+sobrestock_sustitutos!$F$110/12</f>
        <v>9.6501581104198</v>
      </c>
      <c r="O142" s="21" t="n">
        <f aca="false">datos_base!$F$14*parametros_recargas!$M$41+sobrestock_sustitutos!$F$110/12</f>
        <v>9.6501581104198</v>
      </c>
      <c r="P142" s="7" t="n">
        <f aca="false">SUM(D142:O142)</f>
        <v>115.801897325038</v>
      </c>
      <c r="Q142" s="6" t="n">
        <f aca="false">sobrestock_sustitutos!$F$110</f>
        <v>2</v>
      </c>
    </row>
    <row r="143" customFormat="false" ht="15" hidden="false" customHeight="false" outlineLevel="0" collapsed="false">
      <c r="A143" s="9" t="str">
        <f aca="false">parametros_recargas!A64</f>
        <v>ABC 25 kg s/ruedas</v>
      </c>
      <c r="B143" s="9" t="str">
        <f aca="false">parametros_recargas!B64</f>
        <v>ABC</v>
      </c>
      <c r="C143" s="11" t="n">
        <f aca="false">parametros_recargas!C64</f>
        <v>3</v>
      </c>
      <c r="D143" s="21" t="n">
        <f aca="false">datos_base!$F$15*parametros_recargas!$B$41+sobrestock_sustitutos!$F$111/12</f>
        <v>22.7050901529949</v>
      </c>
      <c r="E143" s="21" t="n">
        <f aca="false">datos_base!$F$15*parametros_recargas!$C$41+sobrestock_sustitutos!$F$111/12</f>
        <v>22.7050901529949</v>
      </c>
      <c r="F143" s="21" t="n">
        <f aca="false">datos_base!$F$15*parametros_recargas!$D$41+sobrestock_sustitutos!$F$111/12</f>
        <v>22.7050901529949</v>
      </c>
      <c r="G143" s="21" t="n">
        <f aca="false">datos_base!$F$15*parametros_recargas!$E$41+sobrestock_sustitutos!$F$111/12</f>
        <v>22.7050901529949</v>
      </c>
      <c r="H143" s="21" t="n">
        <f aca="false">datos_base!$F$15*parametros_recargas!$F$41+sobrestock_sustitutos!$F$111/12</f>
        <v>22.7050901529949</v>
      </c>
      <c r="I143" s="21" t="n">
        <f aca="false">datos_base!$F$15*parametros_recargas!$G$41+sobrestock_sustitutos!$F$111/12</f>
        <v>22.7050901529949</v>
      </c>
      <c r="J143" s="21" t="n">
        <f aca="false">datos_base!$F$15*parametros_recargas!$H$41+sobrestock_sustitutos!$F$111/12</f>
        <v>22.7050901529949</v>
      </c>
      <c r="K143" s="21" t="n">
        <f aca="false">datos_base!$F$15*parametros_recargas!$I$41+sobrestock_sustitutos!$F$111/12</f>
        <v>22.7050901529949</v>
      </c>
      <c r="L143" s="21" t="n">
        <f aca="false">datos_base!$F$15*parametros_recargas!$J$41+sobrestock_sustitutos!$F$111/12</f>
        <v>22.7050901529949</v>
      </c>
      <c r="M143" s="21" t="n">
        <f aca="false">datos_base!$F$15*parametros_recargas!$K$41+sobrestock_sustitutos!$F$111/12</f>
        <v>22.7050901529949</v>
      </c>
      <c r="N143" s="21" t="n">
        <f aca="false">datos_base!$F$15*parametros_recargas!$L$41+sobrestock_sustitutos!$F$111/12</f>
        <v>22.7050901529949</v>
      </c>
      <c r="O143" s="21" t="n">
        <f aca="false">datos_base!$F$15*parametros_recargas!$M$41+sobrestock_sustitutos!$F$111/12</f>
        <v>22.7050901529949</v>
      </c>
      <c r="P143" s="7" t="n">
        <f aca="false">SUM(D143:O143)</f>
        <v>272.461081835939</v>
      </c>
      <c r="Q143" s="6" t="n">
        <f aca="false">sobrestock_sustitutos!$F$111</f>
        <v>4</v>
      </c>
    </row>
    <row r="144" customFormat="false" ht="15" hidden="false" customHeight="false" outlineLevel="0" collapsed="false">
      <c r="A144" s="9" t="str">
        <f aca="false">parametros_recargas!A65</f>
        <v>ABC 50 kg s/ruedas</v>
      </c>
      <c r="B144" s="9" t="str">
        <f aca="false">parametros_recargas!B65</f>
        <v>ABC</v>
      </c>
      <c r="C144" s="11" t="n">
        <f aca="false">parametros_recargas!C65</f>
        <v>3</v>
      </c>
      <c r="D144" s="21" t="n">
        <f aca="false">datos_base!$F$16*parametros_recargas!$B$41+sobrestock_sustitutos!$F$112/12</f>
        <v>49.8011983088628</v>
      </c>
      <c r="E144" s="21" t="n">
        <f aca="false">datos_base!$F$16*parametros_recargas!$C$41+sobrestock_sustitutos!$F$112/12</f>
        <v>49.8011983088628</v>
      </c>
      <c r="F144" s="21" t="n">
        <f aca="false">datos_base!$F$16*parametros_recargas!$D$41+sobrestock_sustitutos!$F$112/12</f>
        <v>49.8011983088628</v>
      </c>
      <c r="G144" s="21" t="n">
        <f aca="false">datos_base!$F$16*parametros_recargas!$E$41+sobrestock_sustitutos!$F$112/12</f>
        <v>49.8011983088628</v>
      </c>
      <c r="H144" s="21" t="n">
        <f aca="false">datos_base!$F$16*parametros_recargas!$F$41+sobrestock_sustitutos!$F$112/12</f>
        <v>49.8011983088628</v>
      </c>
      <c r="I144" s="21" t="n">
        <f aca="false">datos_base!$F$16*parametros_recargas!$G$41+sobrestock_sustitutos!$F$112/12</f>
        <v>49.8011983088628</v>
      </c>
      <c r="J144" s="21" t="n">
        <f aca="false">datos_base!$F$16*parametros_recargas!$H$41+sobrestock_sustitutos!$F$112/12</f>
        <v>49.8011983088628</v>
      </c>
      <c r="K144" s="21" t="n">
        <f aca="false">datos_base!$F$16*parametros_recargas!$I$41+sobrestock_sustitutos!$F$112/12</f>
        <v>49.8011983088628</v>
      </c>
      <c r="L144" s="21" t="n">
        <f aca="false">datos_base!$F$16*parametros_recargas!$J$41+sobrestock_sustitutos!$F$112/12</f>
        <v>49.8011983088628</v>
      </c>
      <c r="M144" s="21" t="n">
        <f aca="false">datos_base!$F$16*parametros_recargas!$K$41+sobrestock_sustitutos!$F$112/12</f>
        <v>49.8011983088628</v>
      </c>
      <c r="N144" s="21" t="n">
        <f aca="false">datos_base!$F$16*parametros_recargas!$L$41+sobrestock_sustitutos!$F$112/12</f>
        <v>49.8011983088628</v>
      </c>
      <c r="O144" s="21" t="n">
        <f aca="false">datos_base!$F$16*parametros_recargas!$M$41+sobrestock_sustitutos!$F$112/12</f>
        <v>49.8011983088628</v>
      </c>
      <c r="P144" s="7" t="n">
        <f aca="false">SUM(D144:O144)</f>
        <v>597.614379706353</v>
      </c>
      <c r="Q144" s="6" t="n">
        <f aca="false">sobrestock_sustitutos!$F$112</f>
        <v>7</v>
      </c>
    </row>
    <row r="145" customFormat="false" ht="15" hidden="false" customHeight="false" outlineLevel="0" collapsed="false">
      <c r="A145" s="9" t="str">
        <f aca="false">parametros_recargas!A66</f>
        <v>ABC 70 kg s/ruedas</v>
      </c>
      <c r="B145" s="9" t="str">
        <f aca="false">parametros_recargas!B66</f>
        <v>ABC</v>
      </c>
      <c r="C145" s="11" t="n">
        <f aca="false">parametros_recargas!C66</f>
        <v>3</v>
      </c>
      <c r="D145" s="21" t="n">
        <f aca="false">datos_base!$F$17*parametros_recargas!$B$41+sobrestock_sustitutos!$F$113/12</f>
        <v>10.9051099382558</v>
      </c>
      <c r="E145" s="21" t="n">
        <f aca="false">datos_base!$F$17*parametros_recargas!$C$41+sobrestock_sustitutos!$F$113/12</f>
        <v>10.9051099382558</v>
      </c>
      <c r="F145" s="21" t="n">
        <f aca="false">datos_base!$F$17*parametros_recargas!$D$41+sobrestock_sustitutos!$F$113/12</f>
        <v>10.9051099382558</v>
      </c>
      <c r="G145" s="21" t="n">
        <f aca="false">datos_base!$F$17*parametros_recargas!$E$41+sobrestock_sustitutos!$F$113/12</f>
        <v>10.9051099382558</v>
      </c>
      <c r="H145" s="21" t="n">
        <f aca="false">datos_base!$F$17*parametros_recargas!$F$41+sobrestock_sustitutos!$F$113/12</f>
        <v>10.9051099382558</v>
      </c>
      <c r="I145" s="21" t="n">
        <f aca="false">datos_base!$F$17*parametros_recargas!$G$41+sobrestock_sustitutos!$F$113/12</f>
        <v>10.9051099382558</v>
      </c>
      <c r="J145" s="21" t="n">
        <f aca="false">datos_base!$F$17*parametros_recargas!$H$41+sobrestock_sustitutos!$F$113/12</f>
        <v>10.9051099382558</v>
      </c>
      <c r="K145" s="21" t="n">
        <f aca="false">datos_base!$F$17*parametros_recargas!$I$41+sobrestock_sustitutos!$F$113/12</f>
        <v>10.9051099382558</v>
      </c>
      <c r="L145" s="21" t="n">
        <f aca="false">datos_base!$F$17*parametros_recargas!$J$41+sobrestock_sustitutos!$F$113/12</f>
        <v>10.9051099382558</v>
      </c>
      <c r="M145" s="21" t="n">
        <f aca="false">datos_base!$F$17*parametros_recargas!$K$41+sobrestock_sustitutos!$F$113/12</f>
        <v>10.9051099382558</v>
      </c>
      <c r="N145" s="21" t="n">
        <f aca="false">datos_base!$F$17*parametros_recargas!$L$41+sobrestock_sustitutos!$F$113/12</f>
        <v>10.9051099382558</v>
      </c>
      <c r="O145" s="21" t="n">
        <f aca="false">datos_base!$F$17*parametros_recargas!$M$41+sobrestock_sustitutos!$F$113/12</f>
        <v>10.9051099382558</v>
      </c>
      <c r="P145" s="7" t="n">
        <f aca="false">SUM(D145:O145)</f>
        <v>130.86131925907</v>
      </c>
      <c r="Q145" s="6" t="n">
        <f aca="false">sobrestock_sustitutos!$F$113</f>
        <v>2</v>
      </c>
    </row>
    <row r="146" customFormat="false" ht="15" hidden="false" customHeight="false" outlineLevel="0" collapsed="false">
      <c r="A146" s="9" t="str">
        <f aca="false">parametros_recargas!A67</f>
        <v>ABC 100 kg s/ruedas</v>
      </c>
      <c r="B146" s="9" t="str">
        <f aca="false">parametros_recargas!B67</f>
        <v>ABC</v>
      </c>
      <c r="C146" s="11" t="n">
        <f aca="false">parametros_recargas!C67</f>
        <v>3</v>
      </c>
      <c r="D146" s="21" t="n">
        <f aca="false">datos_base!$F$18*parametros_recargas!$B$41+sobrestock_sustitutos!$F$114/12</f>
        <v>7.24229549898944</v>
      </c>
      <c r="E146" s="21" t="n">
        <f aca="false">datos_base!$F$18*parametros_recargas!$C$41+sobrestock_sustitutos!$F$114/12</f>
        <v>7.24229549898944</v>
      </c>
      <c r="F146" s="21" t="n">
        <f aca="false">datos_base!$F$18*parametros_recargas!$D$41+sobrestock_sustitutos!$F$114/12</f>
        <v>7.24229549898944</v>
      </c>
      <c r="G146" s="21" t="n">
        <f aca="false">datos_base!$F$18*parametros_recargas!$E$41+sobrestock_sustitutos!$F$114/12</f>
        <v>7.24229549898944</v>
      </c>
      <c r="H146" s="21" t="n">
        <f aca="false">datos_base!$F$18*parametros_recargas!$F$41+sobrestock_sustitutos!$F$114/12</f>
        <v>7.24229549898944</v>
      </c>
      <c r="I146" s="21" t="n">
        <f aca="false">datos_base!$F$18*parametros_recargas!$G$41+sobrestock_sustitutos!$F$114/12</f>
        <v>7.24229549898944</v>
      </c>
      <c r="J146" s="21" t="n">
        <f aca="false">datos_base!$F$18*parametros_recargas!$H$41+sobrestock_sustitutos!$F$114/12</f>
        <v>7.24229549898944</v>
      </c>
      <c r="K146" s="21" t="n">
        <f aca="false">datos_base!$F$18*parametros_recargas!$I$41+sobrestock_sustitutos!$F$114/12</f>
        <v>7.24229549898944</v>
      </c>
      <c r="L146" s="21" t="n">
        <f aca="false">datos_base!$F$18*parametros_recargas!$J$41+sobrestock_sustitutos!$F$114/12</f>
        <v>7.24229549898944</v>
      </c>
      <c r="M146" s="21" t="n">
        <f aca="false">datos_base!$F$18*parametros_recargas!$K$41+sobrestock_sustitutos!$F$114/12</f>
        <v>7.24229549898944</v>
      </c>
      <c r="N146" s="21" t="n">
        <f aca="false">datos_base!$F$18*parametros_recargas!$L$41+sobrestock_sustitutos!$F$114/12</f>
        <v>7.24229549898944</v>
      </c>
      <c r="O146" s="21" t="n">
        <f aca="false">datos_base!$F$18*parametros_recargas!$M$41+sobrestock_sustitutos!$F$114/12</f>
        <v>7.24229549898944</v>
      </c>
      <c r="P146" s="7" t="n">
        <f aca="false">SUM(D146:O146)</f>
        <v>86.9075459878732</v>
      </c>
      <c r="Q146" s="6" t="n">
        <f aca="false">sobrestock_sustitutos!$F$114</f>
        <v>1</v>
      </c>
    </row>
    <row r="147" customFormat="false" ht="15" hidden="false" customHeight="false" outlineLevel="0" collapsed="false">
      <c r="A147" s="4" t="s">
        <v>356</v>
      </c>
      <c r="D147" s="7" t="n">
        <f aca="false">SUM(D130:D146)</f>
        <v>7795.03733724555</v>
      </c>
      <c r="E147" s="7" t="n">
        <f aca="false">SUM(E130:E146)</f>
        <v>7795.03733724555</v>
      </c>
      <c r="F147" s="7" t="n">
        <f aca="false">SUM(F130:F146)</f>
        <v>7795.03733724555</v>
      </c>
      <c r="G147" s="7" t="n">
        <f aca="false">SUM(G130:G146)</f>
        <v>7795.03733724555</v>
      </c>
      <c r="H147" s="7" t="n">
        <f aca="false">SUM(H130:H146)</f>
        <v>7795.03733724555</v>
      </c>
      <c r="I147" s="7" t="n">
        <f aca="false">SUM(I130:I146)</f>
        <v>7795.03733724555</v>
      </c>
      <c r="J147" s="7" t="n">
        <f aca="false">SUM(J130:J146)</f>
        <v>7795.03733724555</v>
      </c>
      <c r="K147" s="7" t="n">
        <f aca="false">SUM(K130:K146)</f>
        <v>7795.03733724555</v>
      </c>
      <c r="L147" s="7" t="n">
        <f aca="false">SUM(L130:L146)</f>
        <v>7795.03733724555</v>
      </c>
      <c r="M147" s="7" t="n">
        <f aca="false">SUM(M130:M146)</f>
        <v>7795.03733724555</v>
      </c>
      <c r="N147" s="7" t="n">
        <f aca="false">SUM(N130:N146)</f>
        <v>7795.03733724555</v>
      </c>
      <c r="O147" s="7" t="n">
        <f aca="false">SUM(O130:O146)</f>
        <v>7795.03733724555</v>
      </c>
      <c r="P147" s="7" t="n">
        <f aca="false">SUM(P130:P146)</f>
        <v>93540.4480469466</v>
      </c>
    </row>
    <row r="148" customFormat="false" ht="15" hidden="false" customHeight="false" outlineLevel="0" collapsed="false">
      <c r="A148" s="4" t="s">
        <v>357</v>
      </c>
    </row>
    <row r="149" customFormat="false" ht="15" hidden="false" customHeight="false" outlineLevel="0" collapsed="false">
      <c r="A149" s="5" t="s">
        <v>165</v>
      </c>
      <c r="D149" s="21" t="n">
        <f aca="false">SUMPRODUCT(($B$130:$B$146=$A149)*D$130:D$146*$C$130:$C$146)</f>
        <v>6922.92102634541</v>
      </c>
      <c r="E149" s="21" t="n">
        <f aca="false">SUMPRODUCT(($B$130:$B$146=$A149)*E$130:E$146*$C$130:$C$146)</f>
        <v>6922.92102634541</v>
      </c>
      <c r="F149" s="21" t="n">
        <f aca="false">SUMPRODUCT(($B$130:$B$146=$A149)*F$130:F$146*$C$130:$C$146)</f>
        <v>6922.92102634541</v>
      </c>
      <c r="G149" s="21" t="n">
        <f aca="false">SUMPRODUCT(($B$130:$B$146=$A149)*G$130:G$146*$C$130:$C$146)</f>
        <v>6922.92102634541</v>
      </c>
      <c r="H149" s="21" t="n">
        <f aca="false">SUMPRODUCT(($B$130:$B$146=$A149)*H$130:H$146*$C$130:$C$146)</f>
        <v>6922.92102634541</v>
      </c>
      <c r="I149" s="21" t="n">
        <f aca="false">SUMPRODUCT(($B$130:$B$146=$A149)*I$130:I$146*$C$130:$C$146)</f>
        <v>6922.92102634541</v>
      </c>
      <c r="J149" s="21" t="n">
        <f aca="false">SUMPRODUCT(($B$130:$B$146=$A149)*J$130:J$146*$C$130:$C$146)</f>
        <v>6922.92102634541</v>
      </c>
      <c r="K149" s="21" t="n">
        <f aca="false">SUMPRODUCT(($B$130:$B$146=$A149)*K$130:K$146*$C$130:$C$146)</f>
        <v>6922.92102634541</v>
      </c>
      <c r="L149" s="21" t="n">
        <f aca="false">SUMPRODUCT(($B$130:$B$146=$A149)*L$130:L$146*$C$130:$C$146)</f>
        <v>6922.92102634541</v>
      </c>
      <c r="M149" s="21" t="n">
        <f aca="false">SUMPRODUCT(($B$130:$B$146=$A149)*M$130:M$146*$C$130:$C$146)</f>
        <v>6922.92102634541</v>
      </c>
      <c r="N149" s="21" t="n">
        <f aca="false">SUMPRODUCT(($B$130:$B$146=$A149)*N$130:N$146*$C$130:$C$146)</f>
        <v>6922.92102634541</v>
      </c>
      <c r="O149" s="21" t="n">
        <f aca="false">SUMPRODUCT(($B$130:$B$146=$A149)*O$130:O$146*$C$130:$C$146)</f>
        <v>6922.92102634541</v>
      </c>
      <c r="P149" s="21" t="n">
        <f aca="false">SUMPRODUCT(($B$130:$B$146=$A149)*P$130:P$146*$C$130:$C$146)</f>
        <v>83075.0523161449</v>
      </c>
    </row>
    <row r="150" customFormat="false" ht="15" hidden="false" customHeight="false" outlineLevel="0" collapsed="false">
      <c r="A150" s="5" t="s">
        <v>171</v>
      </c>
      <c r="D150" s="21" t="n">
        <f aca="false">SUMPRODUCT(($B$130:$B$146=$A150)*D$130:D$146*$C$130:$C$146)</f>
        <v>10.3234443786876</v>
      </c>
      <c r="E150" s="21" t="n">
        <f aca="false">SUMPRODUCT(($B$130:$B$146=$A150)*E$130:E$146*$C$130:$C$146)</f>
        <v>10.3234443786876</v>
      </c>
      <c r="F150" s="21" t="n">
        <f aca="false">SUMPRODUCT(($B$130:$B$146=$A150)*F$130:F$146*$C$130:$C$146)</f>
        <v>10.3234443786876</v>
      </c>
      <c r="G150" s="21" t="n">
        <f aca="false">SUMPRODUCT(($B$130:$B$146=$A150)*G$130:G$146*$C$130:$C$146)</f>
        <v>10.3234443786876</v>
      </c>
      <c r="H150" s="21" t="n">
        <f aca="false">SUMPRODUCT(($B$130:$B$146=$A150)*H$130:H$146*$C$130:$C$146)</f>
        <v>10.3234443786876</v>
      </c>
      <c r="I150" s="21" t="n">
        <f aca="false">SUMPRODUCT(($B$130:$B$146=$A150)*I$130:I$146*$C$130:$C$146)</f>
        <v>10.3234443786876</v>
      </c>
      <c r="J150" s="21" t="n">
        <f aca="false">SUMPRODUCT(($B$130:$B$146=$A150)*J$130:J$146*$C$130:$C$146)</f>
        <v>10.3234443786876</v>
      </c>
      <c r="K150" s="21" t="n">
        <f aca="false">SUMPRODUCT(($B$130:$B$146=$A150)*K$130:K$146*$C$130:$C$146)</f>
        <v>10.3234443786876</v>
      </c>
      <c r="L150" s="21" t="n">
        <f aca="false">SUMPRODUCT(($B$130:$B$146=$A150)*L$130:L$146*$C$130:$C$146)</f>
        <v>10.3234443786876</v>
      </c>
      <c r="M150" s="21" t="n">
        <f aca="false">SUMPRODUCT(($B$130:$B$146=$A150)*M$130:M$146*$C$130:$C$146)</f>
        <v>10.3234443786876</v>
      </c>
      <c r="N150" s="21" t="n">
        <f aca="false">SUMPRODUCT(($B$130:$B$146=$A150)*N$130:N$146*$C$130:$C$146)</f>
        <v>10.3234443786876</v>
      </c>
      <c r="O150" s="21" t="n">
        <f aca="false">SUMPRODUCT(($B$130:$B$146=$A150)*O$130:O$146*$C$130:$C$146)</f>
        <v>10.3234443786876</v>
      </c>
      <c r="P150" s="21" t="n">
        <f aca="false">SUMPRODUCT(($B$130:$B$146=$A150)*P$130:P$146*$C$130:$C$146)</f>
        <v>123.881332544252</v>
      </c>
    </row>
    <row r="151" customFormat="false" ht="15" hidden="false" customHeight="false" outlineLevel="0" collapsed="false">
      <c r="A151" s="5" t="s">
        <v>177</v>
      </c>
      <c r="D151" s="21" t="n">
        <f aca="false">SUMPRODUCT(($B$130:$B$146=$A151)*D$130:D$146*$C$130:$C$146)</f>
        <v>9.6501581104198</v>
      </c>
      <c r="E151" s="21" t="n">
        <f aca="false">SUMPRODUCT(($B$130:$B$146=$A151)*E$130:E$146*$C$130:$C$146)</f>
        <v>9.6501581104198</v>
      </c>
      <c r="F151" s="21" t="n">
        <f aca="false">SUMPRODUCT(($B$130:$B$146=$A151)*F$130:F$146*$C$130:$C$146)</f>
        <v>9.6501581104198</v>
      </c>
      <c r="G151" s="21" t="n">
        <f aca="false">SUMPRODUCT(($B$130:$B$146=$A151)*G$130:G$146*$C$130:$C$146)</f>
        <v>9.6501581104198</v>
      </c>
      <c r="H151" s="21" t="n">
        <f aca="false">SUMPRODUCT(($B$130:$B$146=$A151)*H$130:H$146*$C$130:$C$146)</f>
        <v>9.6501581104198</v>
      </c>
      <c r="I151" s="21" t="n">
        <f aca="false">SUMPRODUCT(($B$130:$B$146=$A151)*I$130:I$146*$C$130:$C$146)</f>
        <v>9.6501581104198</v>
      </c>
      <c r="J151" s="21" t="n">
        <f aca="false">SUMPRODUCT(($B$130:$B$146=$A151)*J$130:J$146*$C$130:$C$146)</f>
        <v>9.6501581104198</v>
      </c>
      <c r="K151" s="21" t="n">
        <f aca="false">SUMPRODUCT(($B$130:$B$146=$A151)*K$130:K$146*$C$130:$C$146)</f>
        <v>9.6501581104198</v>
      </c>
      <c r="L151" s="21" t="n">
        <f aca="false">SUMPRODUCT(($B$130:$B$146=$A151)*L$130:L$146*$C$130:$C$146)</f>
        <v>9.6501581104198</v>
      </c>
      <c r="M151" s="21" t="n">
        <f aca="false">SUMPRODUCT(($B$130:$B$146=$A151)*M$130:M$146*$C$130:$C$146)</f>
        <v>9.6501581104198</v>
      </c>
      <c r="N151" s="21" t="n">
        <f aca="false">SUMPRODUCT(($B$130:$B$146=$A151)*N$130:N$146*$C$130:$C$146)</f>
        <v>9.6501581104198</v>
      </c>
      <c r="O151" s="21" t="n">
        <f aca="false">SUMPRODUCT(($B$130:$B$146=$A151)*O$130:O$146*$C$130:$C$146)</f>
        <v>9.6501581104198</v>
      </c>
      <c r="P151" s="21" t="n">
        <f aca="false">SUMPRODUCT(($B$130:$B$146=$A151)*P$130:P$146*$C$130:$C$146)</f>
        <v>115.801897325038</v>
      </c>
    </row>
    <row r="152" customFormat="false" ht="15" hidden="false" customHeight="false" outlineLevel="0" collapsed="false">
      <c r="A152" s="5" t="s">
        <v>168</v>
      </c>
      <c r="D152" s="21" t="n">
        <f aca="false">SUMPRODUCT(($B$130:$B$146=$A152)*D$130:D$146*$C$130:$C$146)</f>
        <v>186.278854348113</v>
      </c>
      <c r="E152" s="21" t="n">
        <f aca="false">SUMPRODUCT(($B$130:$B$146=$A152)*E$130:E$146*$C$130:$C$146)</f>
        <v>186.278854348113</v>
      </c>
      <c r="F152" s="21" t="n">
        <f aca="false">SUMPRODUCT(($B$130:$B$146=$A152)*F$130:F$146*$C$130:$C$146)</f>
        <v>186.278854348113</v>
      </c>
      <c r="G152" s="21" t="n">
        <f aca="false">SUMPRODUCT(($B$130:$B$146=$A152)*G$130:G$146*$C$130:$C$146)</f>
        <v>186.278854348113</v>
      </c>
      <c r="H152" s="21" t="n">
        <f aca="false">SUMPRODUCT(($B$130:$B$146=$A152)*H$130:H$146*$C$130:$C$146)</f>
        <v>186.278854348113</v>
      </c>
      <c r="I152" s="21" t="n">
        <f aca="false">SUMPRODUCT(($B$130:$B$146=$A152)*I$130:I$146*$C$130:$C$146)</f>
        <v>186.278854348113</v>
      </c>
      <c r="J152" s="21" t="n">
        <f aca="false">SUMPRODUCT(($B$130:$B$146=$A152)*J$130:J$146*$C$130:$C$146)</f>
        <v>186.278854348113</v>
      </c>
      <c r="K152" s="21" t="n">
        <f aca="false">SUMPRODUCT(($B$130:$B$146=$A152)*K$130:K$146*$C$130:$C$146)</f>
        <v>186.278854348113</v>
      </c>
      <c r="L152" s="21" t="n">
        <f aca="false">SUMPRODUCT(($B$130:$B$146=$A152)*L$130:L$146*$C$130:$C$146)</f>
        <v>186.278854348113</v>
      </c>
      <c r="M152" s="21" t="n">
        <f aca="false">SUMPRODUCT(($B$130:$B$146=$A152)*M$130:M$146*$C$130:$C$146)</f>
        <v>186.278854348113</v>
      </c>
      <c r="N152" s="21" t="n">
        <f aca="false">SUMPRODUCT(($B$130:$B$146=$A152)*N$130:N$146*$C$130:$C$146)</f>
        <v>186.278854348113</v>
      </c>
      <c r="O152" s="21" t="n">
        <f aca="false">SUMPRODUCT(($B$130:$B$146=$A152)*O$130:O$146*$C$130:$C$146)</f>
        <v>186.278854348113</v>
      </c>
      <c r="P152" s="21" t="n">
        <f aca="false">SUMPRODUCT(($B$130:$B$146=$A152)*P$130:P$146*$C$130:$C$146)</f>
        <v>2235.34625217735</v>
      </c>
    </row>
    <row r="153" customFormat="false" ht="15" hidden="false" customHeight="false" outlineLevel="0" collapsed="false">
      <c r="A153" s="5" t="s">
        <v>169</v>
      </c>
      <c r="D153" s="21" t="n">
        <f aca="false">SUMPRODUCT(($B$130:$B$146=$A153)*D$130:D$146*$C$130:$C$146)</f>
        <v>91.2536331286942</v>
      </c>
      <c r="E153" s="21" t="n">
        <f aca="false">SUMPRODUCT(($B$130:$B$146=$A153)*E$130:E$146*$C$130:$C$146)</f>
        <v>91.2536331286942</v>
      </c>
      <c r="F153" s="21" t="n">
        <f aca="false">SUMPRODUCT(($B$130:$B$146=$A153)*F$130:F$146*$C$130:$C$146)</f>
        <v>91.2536331286942</v>
      </c>
      <c r="G153" s="21" t="n">
        <f aca="false">SUMPRODUCT(($B$130:$B$146=$A153)*G$130:G$146*$C$130:$C$146)</f>
        <v>91.2536331286942</v>
      </c>
      <c r="H153" s="21" t="n">
        <f aca="false">SUMPRODUCT(($B$130:$B$146=$A153)*H$130:H$146*$C$130:$C$146)</f>
        <v>91.2536331286942</v>
      </c>
      <c r="I153" s="21" t="n">
        <f aca="false">SUMPRODUCT(($B$130:$B$146=$A153)*I$130:I$146*$C$130:$C$146)</f>
        <v>91.2536331286942</v>
      </c>
      <c r="J153" s="21" t="n">
        <f aca="false">SUMPRODUCT(($B$130:$B$146=$A153)*J$130:J$146*$C$130:$C$146)</f>
        <v>91.2536331286942</v>
      </c>
      <c r="K153" s="21" t="n">
        <f aca="false">SUMPRODUCT(($B$130:$B$146=$A153)*K$130:K$146*$C$130:$C$146)</f>
        <v>91.2536331286942</v>
      </c>
      <c r="L153" s="21" t="n">
        <f aca="false">SUMPRODUCT(($B$130:$B$146=$A153)*L$130:L$146*$C$130:$C$146)</f>
        <v>91.2536331286942</v>
      </c>
      <c r="M153" s="21" t="n">
        <f aca="false">SUMPRODUCT(($B$130:$B$146=$A153)*M$130:M$146*$C$130:$C$146)</f>
        <v>91.2536331286942</v>
      </c>
      <c r="N153" s="21" t="n">
        <f aca="false">SUMPRODUCT(($B$130:$B$146=$A153)*N$130:N$146*$C$130:$C$146)</f>
        <v>91.2536331286942</v>
      </c>
      <c r="O153" s="21" t="n">
        <f aca="false">SUMPRODUCT(($B$130:$B$146=$A153)*O$130:O$146*$C$130:$C$146)</f>
        <v>91.2536331286942</v>
      </c>
      <c r="P153" s="21" t="n">
        <f aca="false">SUMPRODUCT(($B$130:$B$146=$A153)*P$130:P$146*$C$130:$C$146)</f>
        <v>1095.04359754433</v>
      </c>
    </row>
    <row r="154" customFormat="false" ht="15" hidden="false" customHeight="false" outlineLevel="0" collapsed="false">
      <c r="A154" s="5" t="s">
        <v>172</v>
      </c>
      <c r="D154" s="21" t="n">
        <f aca="false">SUMPRODUCT(($B$130:$B$146=$A154)*D$130:D$146*$C$130:$C$146)</f>
        <v>91.5402343674638</v>
      </c>
      <c r="E154" s="21" t="n">
        <f aca="false">SUMPRODUCT(($B$130:$B$146=$A154)*E$130:E$146*$C$130:$C$146)</f>
        <v>91.5402343674638</v>
      </c>
      <c r="F154" s="21" t="n">
        <f aca="false">SUMPRODUCT(($B$130:$B$146=$A154)*F$130:F$146*$C$130:$C$146)</f>
        <v>91.5402343674638</v>
      </c>
      <c r="G154" s="21" t="n">
        <f aca="false">SUMPRODUCT(($B$130:$B$146=$A154)*G$130:G$146*$C$130:$C$146)</f>
        <v>91.5402343674638</v>
      </c>
      <c r="H154" s="21" t="n">
        <f aca="false">SUMPRODUCT(($B$130:$B$146=$A154)*H$130:H$146*$C$130:$C$146)</f>
        <v>91.5402343674638</v>
      </c>
      <c r="I154" s="21" t="n">
        <f aca="false">SUMPRODUCT(($B$130:$B$146=$A154)*I$130:I$146*$C$130:$C$146)</f>
        <v>91.5402343674638</v>
      </c>
      <c r="J154" s="21" t="n">
        <f aca="false">SUMPRODUCT(($B$130:$B$146=$A154)*J$130:J$146*$C$130:$C$146)</f>
        <v>91.5402343674638</v>
      </c>
      <c r="K154" s="21" t="n">
        <f aca="false">SUMPRODUCT(($B$130:$B$146=$A154)*K$130:K$146*$C$130:$C$146)</f>
        <v>91.5402343674638</v>
      </c>
      <c r="L154" s="21" t="n">
        <f aca="false">SUMPRODUCT(($B$130:$B$146=$A154)*L$130:L$146*$C$130:$C$146)</f>
        <v>91.5402343674638</v>
      </c>
      <c r="M154" s="21" t="n">
        <f aca="false">SUMPRODUCT(($B$130:$B$146=$A154)*M$130:M$146*$C$130:$C$146)</f>
        <v>91.5402343674638</v>
      </c>
      <c r="N154" s="21" t="n">
        <f aca="false">SUMPRODUCT(($B$130:$B$146=$A154)*N$130:N$146*$C$130:$C$146)</f>
        <v>91.5402343674638</v>
      </c>
      <c r="O154" s="21" t="n">
        <f aca="false">SUMPRODUCT(($B$130:$B$146=$A154)*O$130:O$146*$C$130:$C$146)</f>
        <v>91.5402343674638</v>
      </c>
      <c r="P154" s="21" t="n">
        <f aca="false">SUMPRODUCT(($B$130:$B$146=$A154)*P$130:P$146*$C$130:$C$146)</f>
        <v>1098.48281240957</v>
      </c>
    </row>
    <row r="155" customFormat="false" ht="15" hidden="false" customHeight="false" outlineLevel="0" collapsed="false">
      <c r="A155" s="5" t="s">
        <v>173</v>
      </c>
      <c r="D155" s="21" t="n">
        <f aca="false">SUMPRODUCT(($B$130:$B$146=$A155)*D$130:D$146*$C$130:$C$146)</f>
        <v>674.945934458481</v>
      </c>
      <c r="E155" s="21" t="n">
        <f aca="false">SUMPRODUCT(($B$130:$B$146=$A155)*E$130:E$146*$C$130:$C$146)</f>
        <v>674.945934458481</v>
      </c>
      <c r="F155" s="21" t="n">
        <f aca="false">SUMPRODUCT(($B$130:$B$146=$A155)*F$130:F$146*$C$130:$C$146)</f>
        <v>674.945934458481</v>
      </c>
      <c r="G155" s="21" t="n">
        <f aca="false">SUMPRODUCT(($B$130:$B$146=$A155)*G$130:G$146*$C$130:$C$146)</f>
        <v>674.945934458481</v>
      </c>
      <c r="H155" s="21" t="n">
        <f aca="false">SUMPRODUCT(($B$130:$B$146=$A155)*H$130:H$146*$C$130:$C$146)</f>
        <v>674.945934458481</v>
      </c>
      <c r="I155" s="21" t="n">
        <f aca="false">SUMPRODUCT(($B$130:$B$146=$A155)*I$130:I$146*$C$130:$C$146)</f>
        <v>674.945934458481</v>
      </c>
      <c r="J155" s="21" t="n">
        <f aca="false">SUMPRODUCT(($B$130:$B$146=$A155)*J$130:J$146*$C$130:$C$146)</f>
        <v>674.945934458481</v>
      </c>
      <c r="K155" s="21" t="n">
        <f aca="false">SUMPRODUCT(($B$130:$B$146=$A155)*K$130:K$146*$C$130:$C$146)</f>
        <v>674.945934458481</v>
      </c>
      <c r="L155" s="21" t="n">
        <f aca="false">SUMPRODUCT(($B$130:$B$146=$A155)*L$130:L$146*$C$130:$C$146)</f>
        <v>674.945934458481</v>
      </c>
      <c r="M155" s="21" t="n">
        <f aca="false">SUMPRODUCT(($B$130:$B$146=$A155)*M$130:M$146*$C$130:$C$146)</f>
        <v>674.945934458481</v>
      </c>
      <c r="N155" s="21" t="n">
        <f aca="false">SUMPRODUCT(($B$130:$B$146=$A155)*N$130:N$146*$C$130:$C$146)</f>
        <v>674.945934458481</v>
      </c>
      <c r="O155" s="21" t="n">
        <f aca="false">SUMPRODUCT(($B$130:$B$146=$A155)*O$130:O$146*$C$130:$C$146)</f>
        <v>674.945934458481</v>
      </c>
      <c r="P155" s="21" t="n">
        <f aca="false">SUMPRODUCT(($B$130:$B$146=$A155)*P$130:P$146*$C$130:$C$146)</f>
        <v>8099.35121350177</v>
      </c>
    </row>
    <row r="156" customFormat="false" ht="15" hidden="false" customHeight="false" outlineLevel="0" collapsed="false">
      <c r="A156" s="5" t="s">
        <v>176</v>
      </c>
      <c r="D156" s="21" t="n">
        <f aca="false">SUMPRODUCT(($B$130:$B$146=$A156)*D$130:D$146*$C$130:$C$146)</f>
        <v>26.9646590960247</v>
      </c>
      <c r="E156" s="21" t="n">
        <f aca="false">SUMPRODUCT(($B$130:$B$146=$A156)*E$130:E$146*$C$130:$C$146)</f>
        <v>26.9646590960247</v>
      </c>
      <c r="F156" s="21" t="n">
        <f aca="false">SUMPRODUCT(($B$130:$B$146=$A156)*F$130:F$146*$C$130:$C$146)</f>
        <v>26.9646590960247</v>
      </c>
      <c r="G156" s="21" t="n">
        <f aca="false">SUMPRODUCT(($B$130:$B$146=$A156)*G$130:G$146*$C$130:$C$146)</f>
        <v>26.9646590960247</v>
      </c>
      <c r="H156" s="21" t="n">
        <f aca="false">SUMPRODUCT(($B$130:$B$146=$A156)*H$130:H$146*$C$130:$C$146)</f>
        <v>26.9646590960247</v>
      </c>
      <c r="I156" s="21" t="n">
        <f aca="false">SUMPRODUCT(($B$130:$B$146=$A156)*I$130:I$146*$C$130:$C$146)</f>
        <v>26.9646590960247</v>
      </c>
      <c r="J156" s="21" t="n">
        <f aca="false">SUMPRODUCT(($B$130:$B$146=$A156)*J$130:J$146*$C$130:$C$146)</f>
        <v>26.9646590960247</v>
      </c>
      <c r="K156" s="21" t="n">
        <f aca="false">SUMPRODUCT(($B$130:$B$146=$A156)*K$130:K$146*$C$130:$C$146)</f>
        <v>26.9646590960247</v>
      </c>
      <c r="L156" s="21" t="n">
        <f aca="false">SUMPRODUCT(($B$130:$B$146=$A156)*L$130:L$146*$C$130:$C$146)</f>
        <v>26.9646590960247</v>
      </c>
      <c r="M156" s="21" t="n">
        <f aca="false">SUMPRODUCT(($B$130:$B$146=$A156)*M$130:M$146*$C$130:$C$146)</f>
        <v>26.9646590960247</v>
      </c>
      <c r="N156" s="21" t="n">
        <f aca="false">SUMPRODUCT(($B$130:$B$146=$A156)*N$130:N$146*$C$130:$C$146)</f>
        <v>26.9646590960247</v>
      </c>
      <c r="O156" s="21" t="n">
        <f aca="false">SUMPRODUCT(($B$130:$B$146=$A156)*O$130:O$146*$C$130:$C$146)</f>
        <v>26.9646590960247</v>
      </c>
      <c r="P156" s="21" t="n">
        <f aca="false">SUMPRODUCT(($B$130:$B$146=$A156)*P$130:P$146*$C$130:$C$146)</f>
        <v>323.575909152296</v>
      </c>
    </row>
    <row r="157" customFormat="false" ht="15" hidden="false" customHeight="false" outlineLevel="0" collapsed="false">
      <c r="A157" s="4" t="s">
        <v>358</v>
      </c>
      <c r="D157" s="22" t="n">
        <f aca="false">SUMPRODUCT(D$130:D$146*parametros_recargas!$D$51:$D$67)</f>
        <v>275.163250553071</v>
      </c>
      <c r="E157" s="22" t="n">
        <f aca="false">SUMPRODUCT(E$130:E$146*parametros_recargas!$D$51:$D$67)</f>
        <v>275.163250553071</v>
      </c>
      <c r="F157" s="22" t="n">
        <f aca="false">SUMPRODUCT(F$130:F$146*parametros_recargas!$D$51:$D$67)</f>
        <v>275.163250553071</v>
      </c>
      <c r="G157" s="22" t="n">
        <f aca="false">SUMPRODUCT(G$130:G$146*parametros_recargas!$D$51:$D$67)</f>
        <v>275.163250553071</v>
      </c>
      <c r="H157" s="22" t="n">
        <f aca="false">SUMPRODUCT(H$130:H$146*parametros_recargas!$D$51:$D$67)</f>
        <v>275.163250553071</v>
      </c>
      <c r="I157" s="22" t="n">
        <f aca="false">SUMPRODUCT(I$130:I$146*parametros_recargas!$D$51:$D$67)</f>
        <v>275.163250553071</v>
      </c>
      <c r="J157" s="22" t="n">
        <f aca="false">SUMPRODUCT(J$130:J$146*parametros_recargas!$D$51:$D$67)</f>
        <v>275.163250553071</v>
      </c>
      <c r="K157" s="22" t="n">
        <f aca="false">SUMPRODUCT(K$130:K$146*parametros_recargas!$D$51:$D$67)</f>
        <v>275.163250553071</v>
      </c>
      <c r="L157" s="22" t="n">
        <f aca="false">SUMPRODUCT(L$130:L$146*parametros_recargas!$D$51:$D$67)</f>
        <v>275.163250553071</v>
      </c>
      <c r="M157" s="22" t="n">
        <f aca="false">SUMPRODUCT(M$130:M$146*parametros_recargas!$D$51:$D$67)</f>
        <v>275.163250553071</v>
      </c>
      <c r="N157" s="22" t="n">
        <f aca="false">SUMPRODUCT(N$130:N$146*parametros_recargas!$D$51:$D$67)</f>
        <v>275.163250553071</v>
      </c>
      <c r="O157" s="22" t="n">
        <f aca="false">SUMPRODUCT(O$130:O$146*parametros_recargas!$D$51:$D$67)</f>
        <v>275.163250553071</v>
      </c>
      <c r="P157" s="22" t="n">
        <f aca="false">SUMPRODUCT(P$130:P$146*parametros_recargas!$D$51:$D$67)</f>
        <v>3301.95900663685</v>
      </c>
    </row>
    <row r="158" customFormat="false" ht="15" hidden="false" customHeight="false" outlineLevel="0" collapsed="false">
      <c r="A158" s="4" t="s">
        <v>359</v>
      </c>
      <c r="D158" s="22" t="n">
        <f aca="false">SUMPRODUCT(sobrestock_sustitutos!$F$73:$F$89*(sobrestock_sustitutos!$F$30:$F$46="Fábrica: cilindro vacío")*parametros_recargas!$C$51:$C$67*parametros_recargas!$B$107:$B$123)</f>
        <v>17.7796</v>
      </c>
      <c r="E158" s="22" t="n">
        <f aca="false">SUMPRODUCT(sobrestock_sustitutos!$F$73:$F$89*(sobrestock_sustitutos!$F$30:$F$46="Fábrica: cilindro vacío")*parametros_recargas!$C$51:$C$67*parametros_recargas!$C$107:$C$123)</f>
        <v>14.3732</v>
      </c>
      <c r="F158" s="22" t="n">
        <f aca="false">SUMPRODUCT(sobrestock_sustitutos!$F$73:$F$89*(sobrestock_sustitutos!$F$30:$F$46="Fábrica: cilindro vacío")*parametros_recargas!$C$51:$C$67*parametros_recargas!$D$107:$D$123)</f>
        <v>15.4918</v>
      </c>
      <c r="G158" s="22" t="n">
        <f aca="false">SUMPRODUCT(sobrestock_sustitutos!$F$73:$F$89*(sobrestock_sustitutos!$F$30:$F$46="Fábrica: cilindro vacío")*parametros_recargas!$C$51:$C$67*parametros_recargas!$E$107:$E$123)</f>
        <v>15.4918</v>
      </c>
      <c r="H158" s="22" t="n">
        <f aca="false">SUMPRODUCT(sobrestock_sustitutos!$F$73:$F$89*(sobrestock_sustitutos!$F$30:$F$46="Fábrica: cilindro vacío")*parametros_recargas!$C$51:$C$67*parametros_recargas!$F$107:$F$123)</f>
        <v>14.6936</v>
      </c>
      <c r="I158" s="22" t="n">
        <f aca="false">SUMPRODUCT(sobrestock_sustitutos!$F$73:$F$89*(sobrestock_sustitutos!$F$30:$F$46="Fábrica: cilindro vacío")*parametros_recargas!$C$51:$C$67*parametros_recargas!$G$107:$G$123)</f>
        <v>13.6818</v>
      </c>
      <c r="J158" s="22" t="n">
        <f aca="false">SUMPRODUCT(sobrestock_sustitutos!$F$73:$F$89*(sobrestock_sustitutos!$F$30:$F$46="Fábrica: cilindro vacío")*parametros_recargas!$C$51:$C$67*parametros_recargas!$H$107:$H$123)</f>
        <v>14.6936</v>
      </c>
      <c r="K158" s="22" t="n">
        <f aca="false">SUMPRODUCT(sobrestock_sustitutos!$F$73:$F$89*(sobrestock_sustitutos!$F$30:$F$46="Fábrica: cilindro vacío")*parametros_recargas!$C$51:$C$67*parametros_recargas!$I$107:$I$123)</f>
        <v>14.6936</v>
      </c>
      <c r="L158" s="22" t="n">
        <f aca="false">SUMPRODUCT(sobrestock_sustitutos!$F$73:$F$89*(sobrestock_sustitutos!$F$30:$F$46="Fábrica: cilindro vacío")*parametros_recargas!$C$51:$C$67*parametros_recargas!$J$107:$J$123)</f>
        <v>14.5868</v>
      </c>
      <c r="M158" s="22" t="n">
        <f aca="false">SUMPRODUCT(sobrestock_sustitutos!$F$73:$F$89*(sobrestock_sustitutos!$F$30:$F$46="Fábrica: cilindro vacío")*parametros_recargas!$C$51:$C$67*parametros_recargas!$K$107:$K$123)</f>
        <v>13.575</v>
      </c>
      <c r="N158" s="22" t="n">
        <f aca="false">SUMPRODUCT(sobrestock_sustitutos!$F$73:$F$89*(sobrestock_sustitutos!$F$30:$F$46="Fábrica: cilindro vacío")*parametros_recargas!$C$51:$C$67*parametros_recargas!$L$107:$L$123)</f>
        <v>12.67</v>
      </c>
      <c r="O158" s="22" t="n">
        <f aca="false">SUMPRODUCT(sobrestock_sustitutos!$F$73:$F$89*(sobrestock_sustitutos!$F$30:$F$46="Fábrica: cilindro vacío")*parametros_recargas!$C$51:$C$67*parametros_recargas!$M$107:$M$123)</f>
        <v>19.2692</v>
      </c>
      <c r="P158" s="7" t="n">
        <f aca="false">SUM(D158:O158)</f>
        <v>181</v>
      </c>
    </row>
    <row r="161" customFormat="false" ht="23.85" hidden="false" customHeight="false" outlineLevel="0" collapsed="false">
      <c r="A161" s="23" t="n">
        <v>2031</v>
      </c>
      <c r="B161" s="3" t="s">
        <v>353</v>
      </c>
      <c r="C161" s="3" t="s">
        <v>354</v>
      </c>
      <c r="D161" s="3" t="s">
        <v>147</v>
      </c>
      <c r="E161" s="3" t="s">
        <v>148</v>
      </c>
      <c r="F161" s="3" t="s">
        <v>149</v>
      </c>
      <c r="G161" s="3" t="s">
        <v>150</v>
      </c>
      <c r="H161" s="3" t="s">
        <v>151</v>
      </c>
      <c r="I161" s="3" t="s">
        <v>152</v>
      </c>
      <c r="J161" s="3" t="s">
        <v>153</v>
      </c>
      <c r="K161" s="3" t="s">
        <v>154</v>
      </c>
      <c r="L161" s="3" t="s">
        <v>155</v>
      </c>
      <c r="M161" s="3" t="s">
        <v>156</v>
      </c>
      <c r="N161" s="3" t="s">
        <v>157</v>
      </c>
      <c r="O161" s="3" t="s">
        <v>158</v>
      </c>
      <c r="P161" s="3" t="s">
        <v>83</v>
      </c>
      <c r="Q161" s="3" t="s">
        <v>355</v>
      </c>
    </row>
    <row r="162" customFormat="false" ht="15" hidden="false" customHeight="false" outlineLevel="0" collapsed="false">
      <c r="A162" s="9" t="str">
        <f aca="false">parametros_recargas!A51</f>
        <v>ABC 1 kg</v>
      </c>
      <c r="B162" s="9" t="str">
        <f aca="false">parametros_recargas!B51</f>
        <v>ABC</v>
      </c>
      <c r="C162" s="11" t="n">
        <f aca="false">parametros_recargas!C51</f>
        <v>1</v>
      </c>
      <c r="D162" s="21" t="n">
        <f aca="false">datos_base!$G$2*parametros_recargas!$B$42+sobrestock_sustitutos!$G$98/12</f>
        <v>5425.41295085245</v>
      </c>
      <c r="E162" s="21" t="n">
        <f aca="false">datos_base!$G$2*parametros_recargas!$C$42+sobrestock_sustitutos!$G$98/12</f>
        <v>5425.41295085245</v>
      </c>
      <c r="F162" s="21" t="n">
        <f aca="false">datos_base!$G$2*parametros_recargas!$D$42+sobrestock_sustitutos!$G$98/12</f>
        <v>5425.41295085245</v>
      </c>
      <c r="G162" s="21" t="n">
        <f aca="false">datos_base!$G$2*parametros_recargas!$E$42+sobrestock_sustitutos!$G$98/12</f>
        <v>5425.41295085245</v>
      </c>
      <c r="H162" s="21" t="n">
        <f aca="false">datos_base!$G$2*parametros_recargas!$F$42+sobrestock_sustitutos!$G$98/12</f>
        <v>5425.41295085245</v>
      </c>
      <c r="I162" s="21" t="n">
        <f aca="false">datos_base!$G$2*parametros_recargas!$G$42+sobrestock_sustitutos!$G$98/12</f>
        <v>5425.41295085245</v>
      </c>
      <c r="J162" s="21" t="n">
        <f aca="false">datos_base!$G$2*parametros_recargas!$H$42+sobrestock_sustitutos!$G$98/12</f>
        <v>5425.41295085245</v>
      </c>
      <c r="K162" s="21" t="n">
        <f aca="false">datos_base!$G$2*parametros_recargas!$I$42+sobrestock_sustitutos!$G$98/12</f>
        <v>5425.41295085245</v>
      </c>
      <c r="L162" s="21" t="n">
        <f aca="false">datos_base!$G$2*parametros_recargas!$J$42+sobrestock_sustitutos!$G$98/12</f>
        <v>5425.41295085245</v>
      </c>
      <c r="M162" s="21" t="n">
        <f aca="false">datos_base!$G$2*parametros_recargas!$K$42+sobrestock_sustitutos!$G$98/12</f>
        <v>5425.41295085245</v>
      </c>
      <c r="N162" s="21" t="n">
        <f aca="false">datos_base!$G$2*parametros_recargas!$L$42+sobrestock_sustitutos!$G$98/12</f>
        <v>5425.41295085245</v>
      </c>
      <c r="O162" s="21" t="n">
        <f aca="false">datos_base!$G$2*parametros_recargas!$M$42+sobrestock_sustitutos!$G$98/12</f>
        <v>5425.41295085245</v>
      </c>
      <c r="P162" s="7" t="n">
        <f aca="false">SUM(D162:O162)</f>
        <v>65104.9554102294</v>
      </c>
      <c r="Q162" s="6" t="n">
        <f aca="false">sobrestock_sustitutos!$G$98</f>
        <v>0</v>
      </c>
    </row>
    <row r="163" customFormat="false" ht="15" hidden="false" customHeight="false" outlineLevel="0" collapsed="false">
      <c r="A163" s="9" t="str">
        <f aca="false">parametros_recargas!A52</f>
        <v>ABC 2,5 kg</v>
      </c>
      <c r="B163" s="9" t="str">
        <f aca="false">parametros_recargas!B52</f>
        <v>ABC</v>
      </c>
      <c r="C163" s="11" t="n">
        <f aca="false">parametros_recargas!C52</f>
        <v>1</v>
      </c>
      <c r="D163" s="21" t="n">
        <f aca="false">datos_base!$G$3*parametros_recargas!$B$42+sobrestock_sustitutos!$G$99/12</f>
        <v>486.356875925526</v>
      </c>
      <c r="E163" s="21" t="n">
        <f aca="false">datos_base!$G$3*parametros_recargas!$C$42+sobrestock_sustitutos!$G$99/12</f>
        <v>486.356875925526</v>
      </c>
      <c r="F163" s="21" t="n">
        <f aca="false">datos_base!$G$3*parametros_recargas!$D$42+sobrestock_sustitutos!$G$99/12</f>
        <v>486.356875925526</v>
      </c>
      <c r="G163" s="21" t="n">
        <f aca="false">datos_base!$G$3*parametros_recargas!$E$42+sobrestock_sustitutos!$G$99/12</f>
        <v>486.356875925526</v>
      </c>
      <c r="H163" s="21" t="n">
        <f aca="false">datos_base!$G$3*parametros_recargas!$F$42+sobrestock_sustitutos!$G$99/12</f>
        <v>486.356875925526</v>
      </c>
      <c r="I163" s="21" t="n">
        <f aca="false">datos_base!$G$3*parametros_recargas!$G$42+sobrestock_sustitutos!$G$99/12</f>
        <v>486.356875925526</v>
      </c>
      <c r="J163" s="21" t="n">
        <f aca="false">datos_base!$G$3*parametros_recargas!$H$42+sobrestock_sustitutos!$G$99/12</f>
        <v>486.356875925526</v>
      </c>
      <c r="K163" s="21" t="n">
        <f aca="false">datos_base!$G$3*parametros_recargas!$I$42+sobrestock_sustitutos!$G$99/12</f>
        <v>486.356875925526</v>
      </c>
      <c r="L163" s="21" t="n">
        <f aca="false">datos_base!$G$3*parametros_recargas!$J$42+sobrestock_sustitutos!$G$99/12</f>
        <v>486.356875925526</v>
      </c>
      <c r="M163" s="21" t="n">
        <f aca="false">datos_base!$G$3*parametros_recargas!$K$42+sobrestock_sustitutos!$G$99/12</f>
        <v>486.356875925526</v>
      </c>
      <c r="N163" s="21" t="n">
        <f aca="false">datos_base!$G$3*parametros_recargas!$L$42+sobrestock_sustitutos!$G$99/12</f>
        <v>486.356875925526</v>
      </c>
      <c r="O163" s="21" t="n">
        <f aca="false">datos_base!$G$3*parametros_recargas!$M$42+sobrestock_sustitutos!$G$99/12</f>
        <v>486.356875925526</v>
      </c>
      <c r="P163" s="7" t="n">
        <f aca="false">SUM(D163:O163)</f>
        <v>5836.28251110631</v>
      </c>
      <c r="Q163" s="6" t="n">
        <f aca="false">sobrestock_sustitutos!$G$99</f>
        <v>56</v>
      </c>
    </row>
    <row r="164" customFormat="false" ht="15" hidden="false" customHeight="false" outlineLevel="0" collapsed="false">
      <c r="A164" s="9" t="str">
        <f aca="false">parametros_recargas!A53</f>
        <v>ABC 5 kg</v>
      </c>
      <c r="B164" s="9" t="str">
        <f aca="false">parametros_recargas!B53</f>
        <v>ABC</v>
      </c>
      <c r="C164" s="11" t="n">
        <f aca="false">parametros_recargas!C53</f>
        <v>1</v>
      </c>
      <c r="D164" s="21" t="n">
        <f aca="false">datos_base!$G$4*parametros_recargas!$B$42+sobrestock_sustitutos!$G$100/12</f>
        <v>3002.86640637739</v>
      </c>
      <c r="E164" s="21" t="n">
        <f aca="false">datos_base!$G$4*parametros_recargas!$C$42+sobrestock_sustitutos!$G$100/12</f>
        <v>3002.86640637739</v>
      </c>
      <c r="F164" s="21" t="n">
        <f aca="false">datos_base!$G$4*parametros_recargas!$D$42+sobrestock_sustitutos!$G$100/12</f>
        <v>3002.86640637739</v>
      </c>
      <c r="G164" s="21" t="n">
        <f aca="false">datos_base!$G$4*parametros_recargas!$E$42+sobrestock_sustitutos!$G$100/12</f>
        <v>3002.86640637739</v>
      </c>
      <c r="H164" s="21" t="n">
        <f aca="false">datos_base!$G$4*parametros_recargas!$F$42+sobrestock_sustitutos!$G$100/12</f>
        <v>3002.86640637739</v>
      </c>
      <c r="I164" s="21" t="n">
        <f aca="false">datos_base!$G$4*parametros_recargas!$G$42+sobrestock_sustitutos!$G$100/12</f>
        <v>3002.86640637739</v>
      </c>
      <c r="J164" s="21" t="n">
        <f aca="false">datos_base!$G$4*parametros_recargas!$H$42+sobrestock_sustitutos!$G$100/12</f>
        <v>3002.86640637739</v>
      </c>
      <c r="K164" s="21" t="n">
        <f aca="false">datos_base!$G$4*parametros_recargas!$I$42+sobrestock_sustitutos!$G$100/12</f>
        <v>3002.86640637739</v>
      </c>
      <c r="L164" s="21" t="n">
        <f aca="false">datos_base!$G$4*parametros_recargas!$J$42+sobrestock_sustitutos!$G$100/12</f>
        <v>3002.86640637739</v>
      </c>
      <c r="M164" s="21" t="n">
        <f aca="false">datos_base!$G$4*parametros_recargas!$K$42+sobrestock_sustitutos!$G$100/12</f>
        <v>3002.86640637739</v>
      </c>
      <c r="N164" s="21" t="n">
        <f aca="false">datos_base!$G$4*parametros_recargas!$L$42+sobrestock_sustitutos!$G$100/12</f>
        <v>3002.86640637739</v>
      </c>
      <c r="O164" s="21" t="n">
        <f aca="false">datos_base!$G$4*parametros_recargas!$M$42+sobrestock_sustitutos!$G$100/12</f>
        <v>3002.86640637739</v>
      </c>
      <c r="P164" s="7" t="n">
        <f aca="false">SUM(D164:O164)</f>
        <v>36034.3968765287</v>
      </c>
      <c r="Q164" s="6" t="n">
        <f aca="false">sobrestock_sustitutos!$G$100</f>
        <v>366</v>
      </c>
    </row>
    <row r="165" customFormat="false" ht="15" hidden="false" customHeight="false" outlineLevel="0" collapsed="false">
      <c r="A165" s="9" t="str">
        <f aca="false">parametros_recargas!A54</f>
        <v>ABC 10 kg</v>
      </c>
      <c r="B165" s="9" t="str">
        <f aca="false">parametros_recargas!B54</f>
        <v>ABC</v>
      </c>
      <c r="C165" s="11" t="n">
        <f aca="false">parametros_recargas!C54</f>
        <v>1</v>
      </c>
      <c r="D165" s="21" t="n">
        <f aca="false">datos_base!$G$5*parametros_recargas!$B$42+sobrestock_sustitutos!$G$101/12</f>
        <v>177.828067734871</v>
      </c>
      <c r="E165" s="21" t="n">
        <f aca="false">datos_base!$G$5*parametros_recargas!$C$42+sobrestock_sustitutos!$G$101/12</f>
        <v>177.828067734871</v>
      </c>
      <c r="F165" s="21" t="n">
        <f aca="false">datos_base!$G$5*parametros_recargas!$D$42+sobrestock_sustitutos!$G$101/12</f>
        <v>177.828067734871</v>
      </c>
      <c r="G165" s="21" t="n">
        <f aca="false">datos_base!$G$5*parametros_recargas!$E$42+sobrestock_sustitutos!$G$101/12</f>
        <v>177.828067734871</v>
      </c>
      <c r="H165" s="21" t="n">
        <f aca="false">datos_base!$G$5*parametros_recargas!$F$42+sobrestock_sustitutos!$G$101/12</f>
        <v>177.828067734871</v>
      </c>
      <c r="I165" s="21" t="n">
        <f aca="false">datos_base!$G$5*parametros_recargas!$G$42+sobrestock_sustitutos!$G$101/12</f>
        <v>177.828067734871</v>
      </c>
      <c r="J165" s="21" t="n">
        <f aca="false">datos_base!$G$5*parametros_recargas!$H$42+sobrestock_sustitutos!$G$101/12</f>
        <v>177.828067734871</v>
      </c>
      <c r="K165" s="21" t="n">
        <f aca="false">datos_base!$G$5*parametros_recargas!$I$42+sobrestock_sustitutos!$G$101/12</f>
        <v>177.828067734871</v>
      </c>
      <c r="L165" s="21" t="n">
        <f aca="false">datos_base!$G$5*parametros_recargas!$J$42+sobrestock_sustitutos!$G$101/12</f>
        <v>177.828067734871</v>
      </c>
      <c r="M165" s="21" t="n">
        <f aca="false">datos_base!$G$5*parametros_recargas!$K$42+sobrestock_sustitutos!$G$101/12</f>
        <v>177.828067734871</v>
      </c>
      <c r="N165" s="21" t="n">
        <f aca="false">datos_base!$G$5*parametros_recargas!$L$42+sobrestock_sustitutos!$G$101/12</f>
        <v>177.828067734871</v>
      </c>
      <c r="O165" s="21" t="n">
        <f aca="false">datos_base!$G$5*parametros_recargas!$M$42+sobrestock_sustitutos!$G$101/12</f>
        <v>177.828067734871</v>
      </c>
      <c r="P165" s="7" t="n">
        <f aca="false">SUM(D165:O165)</f>
        <v>2133.93681281845</v>
      </c>
      <c r="Q165" s="6" t="n">
        <f aca="false">sobrestock_sustitutos!$G$101</f>
        <v>21</v>
      </c>
    </row>
    <row r="166" customFormat="false" ht="15" hidden="false" customHeight="false" outlineLevel="0" collapsed="false">
      <c r="A166" s="9" t="str">
        <f aca="false">parametros_recargas!A55</f>
        <v>Agua 10 l</v>
      </c>
      <c r="B166" s="9" t="str">
        <f aca="false">parametros_recargas!B55</f>
        <v>Agua</v>
      </c>
      <c r="C166" s="11" t="n">
        <f aca="false">parametros_recargas!C55</f>
        <v>1</v>
      </c>
      <c r="D166" s="21" t="n">
        <f aca="false">datos_base!$G$6*parametros_recargas!$B$42+sobrestock_sustitutos!$G$102/12</f>
        <v>249.231825163314</v>
      </c>
      <c r="E166" s="21" t="n">
        <f aca="false">datos_base!$G$6*parametros_recargas!$C$42+sobrestock_sustitutos!$G$102/12</f>
        <v>249.231825163314</v>
      </c>
      <c r="F166" s="21" t="n">
        <f aca="false">datos_base!$G$6*parametros_recargas!$D$42+sobrestock_sustitutos!$G$102/12</f>
        <v>249.231825163314</v>
      </c>
      <c r="G166" s="21" t="n">
        <f aca="false">datos_base!$G$6*parametros_recargas!$E$42+sobrestock_sustitutos!$G$102/12</f>
        <v>249.231825163314</v>
      </c>
      <c r="H166" s="21" t="n">
        <f aca="false">datos_base!$G$6*parametros_recargas!$F$42+sobrestock_sustitutos!$G$102/12</f>
        <v>249.231825163314</v>
      </c>
      <c r="I166" s="21" t="n">
        <f aca="false">datos_base!$G$6*parametros_recargas!$G$42+sobrestock_sustitutos!$G$102/12</f>
        <v>249.231825163314</v>
      </c>
      <c r="J166" s="21" t="n">
        <f aca="false">datos_base!$G$6*parametros_recargas!$H$42+sobrestock_sustitutos!$G$102/12</f>
        <v>249.231825163314</v>
      </c>
      <c r="K166" s="21" t="n">
        <f aca="false">datos_base!$G$6*parametros_recargas!$I$42+sobrestock_sustitutos!$G$102/12</f>
        <v>249.231825163314</v>
      </c>
      <c r="L166" s="21" t="n">
        <f aca="false">datos_base!$G$6*parametros_recargas!$J$42+sobrestock_sustitutos!$G$102/12</f>
        <v>249.231825163314</v>
      </c>
      <c r="M166" s="21" t="n">
        <f aca="false">datos_base!$G$6*parametros_recargas!$K$42+sobrestock_sustitutos!$G$102/12</f>
        <v>249.231825163314</v>
      </c>
      <c r="N166" s="21" t="n">
        <f aca="false">datos_base!$G$6*parametros_recargas!$L$42+sobrestock_sustitutos!$G$102/12</f>
        <v>249.231825163314</v>
      </c>
      <c r="O166" s="21" t="n">
        <f aca="false">datos_base!$G$6*parametros_recargas!$M$42+sobrestock_sustitutos!$G$102/12</f>
        <v>249.231825163314</v>
      </c>
      <c r="P166" s="7" t="n">
        <f aca="false">SUM(D166:O166)</f>
        <v>2990.78190195977</v>
      </c>
      <c r="Q166" s="6" t="n">
        <f aca="false">sobrestock_sustitutos!$G$102</f>
        <v>32</v>
      </c>
    </row>
    <row r="167" customFormat="false" ht="15" hidden="false" customHeight="false" outlineLevel="0" collapsed="false">
      <c r="A167" s="9" t="str">
        <f aca="false">parametros_recargas!A56</f>
        <v>AFFF 10 l</v>
      </c>
      <c r="B167" s="9" t="str">
        <f aca="false">parametros_recargas!B56</f>
        <v>AFFF</v>
      </c>
      <c r="C167" s="11" t="n">
        <f aca="false">parametros_recargas!C56</f>
        <v>1</v>
      </c>
      <c r="D167" s="21" t="n">
        <f aca="false">datos_base!$G$7*parametros_recargas!$B$42+sobrestock_sustitutos!$G$103/12</f>
        <v>45.2444020698093</v>
      </c>
      <c r="E167" s="21" t="n">
        <f aca="false">datos_base!$G$7*parametros_recargas!$C$42+sobrestock_sustitutos!$G$103/12</f>
        <v>45.2444020698093</v>
      </c>
      <c r="F167" s="21" t="n">
        <f aca="false">datos_base!$G$7*parametros_recargas!$D$42+sobrestock_sustitutos!$G$103/12</f>
        <v>45.2444020698093</v>
      </c>
      <c r="G167" s="21" t="n">
        <f aca="false">datos_base!$G$7*parametros_recargas!$E$42+sobrestock_sustitutos!$G$103/12</f>
        <v>45.2444020698093</v>
      </c>
      <c r="H167" s="21" t="n">
        <f aca="false">datos_base!$G$7*parametros_recargas!$F$42+sobrestock_sustitutos!$G$103/12</f>
        <v>45.2444020698093</v>
      </c>
      <c r="I167" s="21" t="n">
        <f aca="false">datos_base!$G$7*parametros_recargas!$G$42+sobrestock_sustitutos!$G$103/12</f>
        <v>45.2444020698093</v>
      </c>
      <c r="J167" s="21" t="n">
        <f aca="false">datos_base!$G$7*parametros_recargas!$H$42+sobrestock_sustitutos!$G$103/12</f>
        <v>45.2444020698093</v>
      </c>
      <c r="K167" s="21" t="n">
        <f aca="false">datos_base!$G$7*parametros_recargas!$I$42+sobrestock_sustitutos!$G$103/12</f>
        <v>45.2444020698093</v>
      </c>
      <c r="L167" s="21" t="n">
        <f aca="false">datos_base!$G$7*parametros_recargas!$J$42+sobrestock_sustitutos!$G$103/12</f>
        <v>45.2444020698093</v>
      </c>
      <c r="M167" s="21" t="n">
        <f aca="false">datos_base!$G$7*parametros_recargas!$K$42+sobrestock_sustitutos!$G$103/12</f>
        <v>45.2444020698093</v>
      </c>
      <c r="N167" s="21" t="n">
        <f aca="false">datos_base!$G$7*parametros_recargas!$L$42+sobrestock_sustitutos!$G$103/12</f>
        <v>45.2444020698093</v>
      </c>
      <c r="O167" s="21" t="n">
        <f aca="false">datos_base!$G$7*parametros_recargas!$M$42+sobrestock_sustitutos!$G$103/12</f>
        <v>45.2444020698093</v>
      </c>
      <c r="P167" s="7" t="n">
        <f aca="false">SUM(D167:O167)</f>
        <v>542.932824837711</v>
      </c>
      <c r="Q167" s="6" t="n">
        <f aca="false">sobrestock_sustitutos!$G$103</f>
        <v>9</v>
      </c>
    </row>
    <row r="168" customFormat="false" ht="15" hidden="false" customHeight="false" outlineLevel="0" collapsed="false">
      <c r="A168" s="9" t="str">
        <f aca="false">parametros_recargas!A57</f>
        <v>AFFF 50 l s/ruedas</v>
      </c>
      <c r="B168" s="9" t="str">
        <f aca="false">parametros_recargas!B57</f>
        <v>AFFF</v>
      </c>
      <c r="C168" s="11" t="n">
        <f aca="false">parametros_recargas!C57</f>
        <v>3</v>
      </c>
      <c r="D168" s="21" t="n">
        <f aca="false">datos_base!$G$8*parametros_recargas!$B$42+sobrestock_sustitutos!$G$104/12</f>
        <v>24.1929612650505</v>
      </c>
      <c r="E168" s="21" t="n">
        <f aca="false">datos_base!$G$8*parametros_recargas!$C$42+sobrestock_sustitutos!$G$104/12</f>
        <v>24.1929612650505</v>
      </c>
      <c r="F168" s="21" t="n">
        <f aca="false">datos_base!$G$8*parametros_recargas!$D$42+sobrestock_sustitutos!$G$104/12</f>
        <v>24.1929612650505</v>
      </c>
      <c r="G168" s="21" t="n">
        <f aca="false">datos_base!$G$8*parametros_recargas!$E$42+sobrestock_sustitutos!$G$104/12</f>
        <v>24.1929612650505</v>
      </c>
      <c r="H168" s="21" t="n">
        <f aca="false">datos_base!$G$8*parametros_recargas!$F$42+sobrestock_sustitutos!$G$104/12</f>
        <v>24.1929612650505</v>
      </c>
      <c r="I168" s="21" t="n">
        <f aca="false">datos_base!$G$8*parametros_recargas!$G$42+sobrestock_sustitutos!$G$104/12</f>
        <v>24.1929612650505</v>
      </c>
      <c r="J168" s="21" t="n">
        <f aca="false">datos_base!$G$8*parametros_recargas!$H$42+sobrestock_sustitutos!$G$104/12</f>
        <v>24.1929612650505</v>
      </c>
      <c r="K168" s="21" t="n">
        <f aca="false">datos_base!$G$8*parametros_recargas!$I$42+sobrestock_sustitutos!$G$104/12</f>
        <v>24.1929612650505</v>
      </c>
      <c r="L168" s="21" t="n">
        <f aca="false">datos_base!$G$8*parametros_recargas!$J$42+sobrestock_sustitutos!$G$104/12</f>
        <v>24.1929612650505</v>
      </c>
      <c r="M168" s="21" t="n">
        <f aca="false">datos_base!$G$8*parametros_recargas!$K$42+sobrestock_sustitutos!$G$104/12</f>
        <v>24.1929612650505</v>
      </c>
      <c r="N168" s="21" t="n">
        <f aca="false">datos_base!$G$8*parametros_recargas!$L$42+sobrestock_sustitutos!$G$104/12</f>
        <v>24.1929612650505</v>
      </c>
      <c r="O168" s="21" t="n">
        <f aca="false">datos_base!$G$8*parametros_recargas!$M$42+sobrestock_sustitutos!$G$104/12</f>
        <v>24.1929612650505</v>
      </c>
      <c r="P168" s="7" t="n">
        <f aca="false">SUM(D168:O168)</f>
        <v>290.315535180606</v>
      </c>
      <c r="Q168" s="6" t="n">
        <f aca="false">sobrestock_sustitutos!$G$104</f>
        <v>5</v>
      </c>
    </row>
    <row r="169" customFormat="false" ht="15" hidden="false" customHeight="false" outlineLevel="0" collapsed="false">
      <c r="A169" s="9" t="str">
        <f aca="false">parametros_recargas!A58</f>
        <v>BC 5 kg</v>
      </c>
      <c r="B169" s="9" t="str">
        <f aca="false">parametros_recargas!B58</f>
        <v>BC</v>
      </c>
      <c r="C169" s="11" t="n">
        <f aca="false">parametros_recargas!C58</f>
        <v>1</v>
      </c>
      <c r="D169" s="21" t="n">
        <f aca="false">datos_base!$G$9*parametros_recargas!$B$42+sobrestock_sustitutos!$G$105/12</f>
        <v>13.7372995565284</v>
      </c>
      <c r="E169" s="21" t="n">
        <f aca="false">datos_base!$G$9*parametros_recargas!$C$42+sobrestock_sustitutos!$G$105/12</f>
        <v>13.7372995565284</v>
      </c>
      <c r="F169" s="21" t="n">
        <f aca="false">datos_base!$G$9*parametros_recargas!$D$42+sobrestock_sustitutos!$G$105/12</f>
        <v>13.7372995565284</v>
      </c>
      <c r="G169" s="21" t="n">
        <f aca="false">datos_base!$G$9*parametros_recargas!$E$42+sobrestock_sustitutos!$G$105/12</f>
        <v>13.7372995565284</v>
      </c>
      <c r="H169" s="21" t="n">
        <f aca="false">datos_base!$G$9*parametros_recargas!$F$42+sobrestock_sustitutos!$G$105/12</f>
        <v>13.7372995565284</v>
      </c>
      <c r="I169" s="21" t="n">
        <f aca="false">datos_base!$G$9*parametros_recargas!$G$42+sobrestock_sustitutos!$G$105/12</f>
        <v>13.7372995565284</v>
      </c>
      <c r="J169" s="21" t="n">
        <f aca="false">datos_base!$G$9*parametros_recargas!$H$42+sobrestock_sustitutos!$G$105/12</f>
        <v>13.7372995565284</v>
      </c>
      <c r="K169" s="21" t="n">
        <f aca="false">datos_base!$G$9*parametros_recargas!$I$42+sobrestock_sustitutos!$G$105/12</f>
        <v>13.7372995565284</v>
      </c>
      <c r="L169" s="21" t="n">
        <f aca="false">datos_base!$G$9*parametros_recargas!$J$42+sobrestock_sustitutos!$G$105/12</f>
        <v>13.7372995565284</v>
      </c>
      <c r="M169" s="21" t="n">
        <f aca="false">datos_base!$G$9*parametros_recargas!$K$42+sobrestock_sustitutos!$G$105/12</f>
        <v>13.7372995565284</v>
      </c>
      <c r="N169" s="21" t="n">
        <f aca="false">datos_base!$G$9*parametros_recargas!$L$42+sobrestock_sustitutos!$G$105/12</f>
        <v>13.7372995565284</v>
      </c>
      <c r="O169" s="21" t="n">
        <f aca="false">datos_base!$G$9*parametros_recargas!$M$42+sobrestock_sustitutos!$G$105/12</f>
        <v>13.7372995565284</v>
      </c>
      <c r="P169" s="7" t="n">
        <f aca="false">SUM(D169:O169)</f>
        <v>164.847594678341</v>
      </c>
      <c r="Q169" s="6" t="n">
        <f aca="false">sobrestock_sustitutos!$G$105</f>
        <v>3</v>
      </c>
    </row>
    <row r="170" customFormat="false" ht="15" hidden="false" customHeight="false" outlineLevel="0" collapsed="false">
      <c r="A170" s="9" t="str">
        <f aca="false">parametros_recargas!A59</f>
        <v>Sales K 6 l</v>
      </c>
      <c r="B170" s="9" t="str">
        <f aca="false">parametros_recargas!B59</f>
        <v>Sales K</v>
      </c>
      <c r="C170" s="11" t="n">
        <f aca="false">parametros_recargas!C59</f>
        <v>1</v>
      </c>
      <c r="D170" s="21" t="n">
        <f aca="false">datos_base!$G$10*parametros_recargas!$B$42+sobrestock_sustitutos!$G$106/12</f>
        <v>121.411875441923</v>
      </c>
      <c r="E170" s="21" t="n">
        <f aca="false">datos_base!$G$10*parametros_recargas!$C$42+sobrestock_sustitutos!$G$106/12</f>
        <v>121.411875441923</v>
      </c>
      <c r="F170" s="21" t="n">
        <f aca="false">datos_base!$G$10*parametros_recargas!$D$42+sobrestock_sustitutos!$G$106/12</f>
        <v>121.411875441923</v>
      </c>
      <c r="G170" s="21" t="n">
        <f aca="false">datos_base!$G$10*parametros_recargas!$E$42+sobrestock_sustitutos!$G$106/12</f>
        <v>121.411875441923</v>
      </c>
      <c r="H170" s="21" t="n">
        <f aca="false">datos_base!$G$10*parametros_recargas!$F$42+sobrestock_sustitutos!$G$106/12</f>
        <v>121.411875441923</v>
      </c>
      <c r="I170" s="21" t="n">
        <f aca="false">datos_base!$G$10*parametros_recargas!$G$42+sobrestock_sustitutos!$G$106/12</f>
        <v>121.411875441923</v>
      </c>
      <c r="J170" s="21" t="n">
        <f aca="false">datos_base!$G$10*parametros_recargas!$H$42+sobrestock_sustitutos!$G$106/12</f>
        <v>121.411875441923</v>
      </c>
      <c r="K170" s="21" t="n">
        <f aca="false">datos_base!$G$10*parametros_recargas!$I$42+sobrestock_sustitutos!$G$106/12</f>
        <v>121.411875441923</v>
      </c>
      <c r="L170" s="21" t="n">
        <f aca="false">datos_base!$G$10*parametros_recargas!$J$42+sobrestock_sustitutos!$G$106/12</f>
        <v>121.411875441923</v>
      </c>
      <c r="M170" s="21" t="n">
        <f aca="false">datos_base!$G$10*parametros_recargas!$K$42+sobrestock_sustitutos!$G$106/12</f>
        <v>121.411875441923</v>
      </c>
      <c r="N170" s="21" t="n">
        <f aca="false">datos_base!$G$10*parametros_recargas!$L$42+sobrestock_sustitutos!$G$106/12</f>
        <v>121.411875441923</v>
      </c>
      <c r="O170" s="21" t="n">
        <f aca="false">datos_base!$G$10*parametros_recargas!$M$42+sobrestock_sustitutos!$G$106/12</f>
        <v>121.411875441923</v>
      </c>
      <c r="P170" s="7" t="n">
        <f aca="false">SUM(D170:O170)</f>
        <v>1456.94250530308</v>
      </c>
      <c r="Q170" s="6" t="n">
        <f aca="false">sobrestock_sustitutos!$G$106</f>
        <v>16</v>
      </c>
    </row>
    <row r="171" customFormat="false" ht="15" hidden="false" customHeight="false" outlineLevel="0" collapsed="false">
      <c r="A171" s="9" t="str">
        <f aca="false">parametros_recargas!A60</f>
        <v>CO₂ 2 kg</v>
      </c>
      <c r="B171" s="9" t="str">
        <f aca="false">parametros_recargas!B60</f>
        <v>CO₂</v>
      </c>
      <c r="C171" s="11" t="n">
        <f aca="false">parametros_recargas!C60</f>
        <v>1</v>
      </c>
      <c r="D171" s="21" t="n">
        <f aca="false">datos_base!$G$11*parametros_recargas!$B$42+sobrestock_sustitutos!$G$107/12</f>
        <v>677.315863529822</v>
      </c>
      <c r="E171" s="21" t="n">
        <f aca="false">datos_base!$G$11*parametros_recargas!$C$42+sobrestock_sustitutos!$G$107/12</f>
        <v>677.315863529822</v>
      </c>
      <c r="F171" s="21" t="n">
        <f aca="false">datos_base!$G$11*parametros_recargas!$D$42+sobrestock_sustitutos!$G$107/12</f>
        <v>677.315863529822</v>
      </c>
      <c r="G171" s="21" t="n">
        <f aca="false">datos_base!$G$11*parametros_recargas!$E$42+sobrestock_sustitutos!$G$107/12</f>
        <v>677.315863529822</v>
      </c>
      <c r="H171" s="21" t="n">
        <f aca="false">datos_base!$G$11*parametros_recargas!$F$42+sobrestock_sustitutos!$G$107/12</f>
        <v>677.315863529822</v>
      </c>
      <c r="I171" s="21" t="n">
        <f aca="false">datos_base!$G$11*parametros_recargas!$G$42+sobrestock_sustitutos!$G$107/12</f>
        <v>677.315863529822</v>
      </c>
      <c r="J171" s="21" t="n">
        <f aca="false">datos_base!$G$11*parametros_recargas!$H$42+sobrestock_sustitutos!$G$107/12</f>
        <v>677.315863529822</v>
      </c>
      <c r="K171" s="21" t="n">
        <f aca="false">datos_base!$G$11*parametros_recargas!$I$42+sobrestock_sustitutos!$G$107/12</f>
        <v>677.315863529822</v>
      </c>
      <c r="L171" s="21" t="n">
        <f aca="false">datos_base!$G$11*parametros_recargas!$J$42+sobrestock_sustitutos!$G$107/12</f>
        <v>677.315863529822</v>
      </c>
      <c r="M171" s="21" t="n">
        <f aca="false">datos_base!$G$11*parametros_recargas!$K$42+sobrestock_sustitutos!$G$107/12</f>
        <v>677.315863529822</v>
      </c>
      <c r="N171" s="21" t="n">
        <f aca="false">datos_base!$G$11*parametros_recargas!$L$42+sobrestock_sustitutos!$G$107/12</f>
        <v>677.315863529822</v>
      </c>
      <c r="O171" s="21" t="n">
        <f aca="false">datos_base!$G$11*parametros_recargas!$M$42+sobrestock_sustitutos!$G$107/12</f>
        <v>677.315863529822</v>
      </c>
      <c r="P171" s="7" t="n">
        <f aca="false">SUM(D171:O171)</f>
        <v>8127.79036235787</v>
      </c>
      <c r="Q171" s="6" t="n">
        <f aca="false">sobrestock_sustitutos!$G$107</f>
        <v>79</v>
      </c>
    </row>
    <row r="172" customFormat="false" ht="15" hidden="false" customHeight="false" outlineLevel="0" collapsed="false">
      <c r="A172" s="9" t="str">
        <f aca="false">parametros_recargas!A61</f>
        <v>CO₂ 5 kg</v>
      </c>
      <c r="B172" s="9" t="str">
        <f aca="false">parametros_recargas!B61</f>
        <v>CO₂</v>
      </c>
      <c r="C172" s="11" t="n">
        <f aca="false">parametros_recargas!C61</f>
        <v>1</v>
      </c>
      <c r="D172" s="21" t="n">
        <f aca="false">datos_base!$G$12*parametros_recargas!$B$42+sobrestock_sustitutos!$G$108/12</f>
        <v>221.021066263984</v>
      </c>
      <c r="E172" s="21" t="n">
        <f aca="false">datos_base!$G$12*parametros_recargas!$C$42+sobrestock_sustitutos!$G$108/12</f>
        <v>221.021066263984</v>
      </c>
      <c r="F172" s="21" t="n">
        <f aca="false">datos_base!$G$12*parametros_recargas!$D$42+sobrestock_sustitutos!$G$108/12</f>
        <v>221.021066263984</v>
      </c>
      <c r="G172" s="21" t="n">
        <f aca="false">datos_base!$G$12*parametros_recargas!$E$42+sobrestock_sustitutos!$G$108/12</f>
        <v>221.021066263984</v>
      </c>
      <c r="H172" s="21" t="n">
        <f aca="false">datos_base!$G$12*parametros_recargas!$F$42+sobrestock_sustitutos!$G$108/12</f>
        <v>221.021066263984</v>
      </c>
      <c r="I172" s="21" t="n">
        <f aca="false">datos_base!$G$12*parametros_recargas!$G$42+sobrestock_sustitutos!$G$108/12</f>
        <v>221.021066263984</v>
      </c>
      <c r="J172" s="21" t="n">
        <f aca="false">datos_base!$G$12*parametros_recargas!$H$42+sobrestock_sustitutos!$G$108/12</f>
        <v>221.021066263984</v>
      </c>
      <c r="K172" s="21" t="n">
        <f aca="false">datos_base!$G$12*parametros_recargas!$I$42+sobrestock_sustitutos!$G$108/12</f>
        <v>221.021066263984</v>
      </c>
      <c r="L172" s="21" t="n">
        <f aca="false">datos_base!$G$12*parametros_recargas!$J$42+sobrestock_sustitutos!$G$108/12</f>
        <v>221.021066263984</v>
      </c>
      <c r="M172" s="21" t="n">
        <f aca="false">datos_base!$G$12*parametros_recargas!$K$42+sobrestock_sustitutos!$G$108/12</f>
        <v>221.021066263984</v>
      </c>
      <c r="N172" s="21" t="n">
        <f aca="false">datos_base!$G$12*parametros_recargas!$L$42+sobrestock_sustitutos!$G$108/12</f>
        <v>221.021066263984</v>
      </c>
      <c r="O172" s="21" t="n">
        <f aca="false">datos_base!$G$12*parametros_recargas!$M$42+sobrestock_sustitutos!$G$108/12</f>
        <v>221.021066263984</v>
      </c>
      <c r="P172" s="7" t="n">
        <f aca="false">SUM(D172:O172)</f>
        <v>2652.25279516781</v>
      </c>
      <c r="Q172" s="6" t="n">
        <f aca="false">sobrestock_sustitutos!$G$108</f>
        <v>33</v>
      </c>
    </row>
    <row r="173" customFormat="false" ht="15" hidden="false" customHeight="false" outlineLevel="0" collapsed="false">
      <c r="A173" s="9" t="str">
        <f aca="false">parametros_recargas!A62</f>
        <v>HCFC/HFC 5 kg</v>
      </c>
      <c r="B173" s="9" t="str">
        <f aca="false">parametros_recargas!B62</f>
        <v>Halogenado</v>
      </c>
      <c r="C173" s="11" t="n">
        <f aca="false">parametros_recargas!C62</f>
        <v>1</v>
      </c>
      <c r="D173" s="21" t="n">
        <f aca="false">datos_base!$G$13*parametros_recargas!$B$42+sobrestock_sustitutos!$G$109/12</f>
        <v>35.4416281588598</v>
      </c>
      <c r="E173" s="21" t="n">
        <f aca="false">datos_base!$G$13*parametros_recargas!$C$42+sobrestock_sustitutos!$G$109/12</f>
        <v>35.4416281588598</v>
      </c>
      <c r="F173" s="21" t="n">
        <f aca="false">datos_base!$G$13*parametros_recargas!$D$42+sobrestock_sustitutos!$G$109/12</f>
        <v>35.4416281588598</v>
      </c>
      <c r="G173" s="21" t="n">
        <f aca="false">datos_base!$G$13*parametros_recargas!$E$42+sobrestock_sustitutos!$G$109/12</f>
        <v>35.4416281588598</v>
      </c>
      <c r="H173" s="21" t="n">
        <f aca="false">datos_base!$G$13*parametros_recargas!$F$42+sobrestock_sustitutos!$G$109/12</f>
        <v>35.4416281588598</v>
      </c>
      <c r="I173" s="21" t="n">
        <f aca="false">datos_base!$G$13*parametros_recargas!$G$42+sobrestock_sustitutos!$G$109/12</f>
        <v>35.4416281588598</v>
      </c>
      <c r="J173" s="21" t="n">
        <f aca="false">datos_base!$G$13*parametros_recargas!$H$42+sobrestock_sustitutos!$G$109/12</f>
        <v>35.4416281588598</v>
      </c>
      <c r="K173" s="21" t="n">
        <f aca="false">datos_base!$G$13*parametros_recargas!$I$42+sobrestock_sustitutos!$G$109/12</f>
        <v>35.4416281588598</v>
      </c>
      <c r="L173" s="21" t="n">
        <f aca="false">datos_base!$G$13*parametros_recargas!$J$42+sobrestock_sustitutos!$G$109/12</f>
        <v>35.4416281588598</v>
      </c>
      <c r="M173" s="21" t="n">
        <f aca="false">datos_base!$G$13*parametros_recargas!$K$42+sobrestock_sustitutos!$G$109/12</f>
        <v>35.4416281588598</v>
      </c>
      <c r="N173" s="21" t="n">
        <f aca="false">datos_base!$G$13*parametros_recargas!$L$42+sobrestock_sustitutos!$G$109/12</f>
        <v>35.4416281588598</v>
      </c>
      <c r="O173" s="21" t="n">
        <f aca="false">datos_base!$G$13*parametros_recargas!$M$42+sobrestock_sustitutos!$G$109/12</f>
        <v>35.4416281588598</v>
      </c>
      <c r="P173" s="7" t="n">
        <f aca="false">SUM(D173:O173)</f>
        <v>425.299537906318</v>
      </c>
      <c r="Q173" s="6" t="n">
        <f aca="false">sobrestock_sustitutos!$G$109</f>
        <v>7</v>
      </c>
    </row>
    <row r="174" customFormat="false" ht="15" hidden="false" customHeight="false" outlineLevel="0" collapsed="false">
      <c r="A174" s="9" t="str">
        <f aca="false">parametros_recargas!A63</f>
        <v>Clase D 9 l</v>
      </c>
      <c r="B174" s="9" t="str">
        <f aca="false">parametros_recargas!B63</f>
        <v>Clase D</v>
      </c>
      <c r="C174" s="11" t="n">
        <f aca="false">parametros_recargas!C63</f>
        <v>1</v>
      </c>
      <c r="D174" s="21" t="n">
        <f aca="false">datos_base!$G$14*parametros_recargas!$B$42+sobrestock_sustitutos!$G$110/12</f>
        <v>12.0689017854267</v>
      </c>
      <c r="E174" s="21" t="n">
        <f aca="false">datos_base!$G$14*parametros_recargas!$C$42+sobrestock_sustitutos!$G$110/12</f>
        <v>12.0689017854267</v>
      </c>
      <c r="F174" s="21" t="n">
        <f aca="false">datos_base!$G$14*parametros_recargas!$D$42+sobrestock_sustitutos!$G$110/12</f>
        <v>12.0689017854267</v>
      </c>
      <c r="G174" s="21" t="n">
        <f aca="false">datos_base!$G$14*parametros_recargas!$E$42+sobrestock_sustitutos!$G$110/12</f>
        <v>12.0689017854267</v>
      </c>
      <c r="H174" s="21" t="n">
        <f aca="false">datos_base!$G$14*parametros_recargas!$F$42+sobrestock_sustitutos!$G$110/12</f>
        <v>12.0689017854267</v>
      </c>
      <c r="I174" s="21" t="n">
        <f aca="false">datos_base!$G$14*parametros_recargas!$G$42+sobrestock_sustitutos!$G$110/12</f>
        <v>12.0689017854267</v>
      </c>
      <c r="J174" s="21" t="n">
        <f aca="false">datos_base!$G$14*parametros_recargas!$H$42+sobrestock_sustitutos!$G$110/12</f>
        <v>12.0689017854267</v>
      </c>
      <c r="K174" s="21" t="n">
        <f aca="false">datos_base!$G$14*parametros_recargas!$I$42+sobrestock_sustitutos!$G$110/12</f>
        <v>12.0689017854267</v>
      </c>
      <c r="L174" s="21" t="n">
        <f aca="false">datos_base!$G$14*parametros_recargas!$J$42+sobrestock_sustitutos!$G$110/12</f>
        <v>12.0689017854267</v>
      </c>
      <c r="M174" s="21" t="n">
        <f aca="false">datos_base!$G$14*parametros_recargas!$K$42+sobrestock_sustitutos!$G$110/12</f>
        <v>12.0689017854267</v>
      </c>
      <c r="N174" s="21" t="n">
        <f aca="false">datos_base!$G$14*parametros_recargas!$L$42+sobrestock_sustitutos!$G$110/12</f>
        <v>12.0689017854267</v>
      </c>
      <c r="O174" s="21" t="n">
        <f aca="false">datos_base!$G$14*parametros_recargas!$M$42+sobrestock_sustitutos!$G$110/12</f>
        <v>12.0689017854267</v>
      </c>
      <c r="P174" s="7" t="n">
        <f aca="false">SUM(D174:O174)</f>
        <v>144.826821425121</v>
      </c>
      <c r="Q174" s="6" t="n">
        <f aca="false">sobrestock_sustitutos!$G$110</f>
        <v>3</v>
      </c>
    </row>
    <row r="175" customFormat="false" ht="15" hidden="false" customHeight="false" outlineLevel="0" collapsed="false">
      <c r="A175" s="9" t="str">
        <f aca="false">parametros_recargas!A64</f>
        <v>ABC 25 kg s/ruedas</v>
      </c>
      <c r="B175" s="9" t="str">
        <f aca="false">parametros_recargas!B64</f>
        <v>ABC</v>
      </c>
      <c r="C175" s="11" t="n">
        <f aca="false">parametros_recargas!C64</f>
        <v>3</v>
      </c>
      <c r="D175" s="21" t="n">
        <f aca="false">datos_base!$G$15*parametros_recargas!$B$42+sobrestock_sustitutos!$G$111/12</f>
        <v>30.1398666621131</v>
      </c>
      <c r="E175" s="21" t="n">
        <f aca="false">datos_base!$G$15*parametros_recargas!$C$42+sobrestock_sustitutos!$G$111/12</f>
        <v>30.1398666621131</v>
      </c>
      <c r="F175" s="21" t="n">
        <f aca="false">datos_base!$G$15*parametros_recargas!$D$42+sobrestock_sustitutos!$G$111/12</f>
        <v>30.1398666621131</v>
      </c>
      <c r="G175" s="21" t="n">
        <f aca="false">datos_base!$G$15*parametros_recargas!$E$42+sobrestock_sustitutos!$G$111/12</f>
        <v>30.1398666621131</v>
      </c>
      <c r="H175" s="21" t="n">
        <f aca="false">datos_base!$G$15*parametros_recargas!$F$42+sobrestock_sustitutos!$G$111/12</f>
        <v>30.1398666621131</v>
      </c>
      <c r="I175" s="21" t="n">
        <f aca="false">datos_base!$G$15*parametros_recargas!$G$42+sobrestock_sustitutos!$G$111/12</f>
        <v>30.1398666621131</v>
      </c>
      <c r="J175" s="21" t="n">
        <f aca="false">datos_base!$G$15*parametros_recargas!$H$42+sobrestock_sustitutos!$G$111/12</f>
        <v>30.1398666621131</v>
      </c>
      <c r="K175" s="21" t="n">
        <f aca="false">datos_base!$G$15*parametros_recargas!$I$42+sobrestock_sustitutos!$G$111/12</f>
        <v>30.1398666621131</v>
      </c>
      <c r="L175" s="21" t="n">
        <f aca="false">datos_base!$G$15*parametros_recargas!$J$42+sobrestock_sustitutos!$G$111/12</f>
        <v>30.1398666621131</v>
      </c>
      <c r="M175" s="21" t="n">
        <f aca="false">datos_base!$G$15*parametros_recargas!$K$42+sobrestock_sustitutos!$G$111/12</f>
        <v>30.1398666621131</v>
      </c>
      <c r="N175" s="21" t="n">
        <f aca="false">datos_base!$G$15*parametros_recargas!$L$42+sobrestock_sustitutos!$G$111/12</f>
        <v>30.1398666621131</v>
      </c>
      <c r="O175" s="21" t="n">
        <f aca="false">datos_base!$G$15*parametros_recargas!$M$42+sobrestock_sustitutos!$G$111/12</f>
        <v>30.1398666621131</v>
      </c>
      <c r="P175" s="7" t="n">
        <f aca="false">SUM(D175:O175)</f>
        <v>361.678399945357</v>
      </c>
      <c r="Q175" s="6" t="n">
        <f aca="false">sobrestock_sustitutos!$G$111</f>
        <v>5</v>
      </c>
    </row>
    <row r="176" customFormat="false" ht="15" hidden="false" customHeight="false" outlineLevel="0" collapsed="false">
      <c r="A176" s="9" t="str">
        <f aca="false">parametros_recargas!A65</f>
        <v>ABC 50 kg s/ruedas</v>
      </c>
      <c r="B176" s="9" t="str">
        <f aca="false">parametros_recargas!B65</f>
        <v>ABC</v>
      </c>
      <c r="C176" s="11" t="n">
        <f aca="false">parametros_recargas!C65</f>
        <v>3</v>
      </c>
      <c r="D176" s="21" t="n">
        <f aca="false">datos_base!$G$16*parametros_recargas!$B$42+sobrestock_sustitutos!$G$112/12</f>
        <v>66.2243733695255</v>
      </c>
      <c r="E176" s="21" t="n">
        <f aca="false">datos_base!$G$16*parametros_recargas!$C$42+sobrestock_sustitutos!$G$112/12</f>
        <v>66.2243733695255</v>
      </c>
      <c r="F176" s="21" t="n">
        <f aca="false">datos_base!$G$16*parametros_recargas!$D$42+sobrestock_sustitutos!$G$112/12</f>
        <v>66.2243733695255</v>
      </c>
      <c r="G176" s="21" t="n">
        <f aca="false">datos_base!$G$16*parametros_recargas!$E$42+sobrestock_sustitutos!$G$112/12</f>
        <v>66.2243733695255</v>
      </c>
      <c r="H176" s="21" t="n">
        <f aca="false">datos_base!$G$16*parametros_recargas!$F$42+sobrestock_sustitutos!$G$112/12</f>
        <v>66.2243733695255</v>
      </c>
      <c r="I176" s="21" t="n">
        <f aca="false">datos_base!$G$16*parametros_recargas!$G$42+sobrestock_sustitutos!$G$112/12</f>
        <v>66.2243733695255</v>
      </c>
      <c r="J176" s="21" t="n">
        <f aca="false">datos_base!$G$16*parametros_recargas!$H$42+sobrestock_sustitutos!$G$112/12</f>
        <v>66.2243733695255</v>
      </c>
      <c r="K176" s="21" t="n">
        <f aca="false">datos_base!$G$16*parametros_recargas!$I$42+sobrestock_sustitutos!$G$112/12</f>
        <v>66.2243733695255</v>
      </c>
      <c r="L176" s="21" t="n">
        <f aca="false">datos_base!$G$16*parametros_recargas!$J$42+sobrestock_sustitutos!$G$112/12</f>
        <v>66.2243733695255</v>
      </c>
      <c r="M176" s="21" t="n">
        <f aca="false">datos_base!$G$16*parametros_recargas!$K$42+sobrestock_sustitutos!$G$112/12</f>
        <v>66.2243733695255</v>
      </c>
      <c r="N176" s="21" t="n">
        <f aca="false">datos_base!$G$16*parametros_recargas!$L$42+sobrestock_sustitutos!$G$112/12</f>
        <v>66.2243733695255</v>
      </c>
      <c r="O176" s="21" t="n">
        <f aca="false">datos_base!$G$16*parametros_recargas!$M$42+sobrestock_sustitutos!$G$112/12</f>
        <v>66.2243733695255</v>
      </c>
      <c r="P176" s="7" t="n">
        <f aca="false">SUM(D176:O176)</f>
        <v>794.692480434306</v>
      </c>
      <c r="Q176" s="6" t="n">
        <f aca="false">sobrestock_sustitutos!$G$112</f>
        <v>10</v>
      </c>
    </row>
    <row r="177" customFormat="false" ht="15" hidden="false" customHeight="false" outlineLevel="0" collapsed="false">
      <c r="A177" s="9" t="str">
        <f aca="false">parametros_recargas!A66</f>
        <v>ABC 70 kg s/ruedas</v>
      </c>
      <c r="B177" s="9" t="str">
        <f aca="false">parametros_recargas!B66</f>
        <v>ABC</v>
      </c>
      <c r="C177" s="11" t="n">
        <f aca="false">parametros_recargas!C66</f>
        <v>3</v>
      </c>
      <c r="D177" s="21" t="n">
        <f aca="false">datos_base!$G$17*parametros_recargas!$B$42+sobrestock_sustitutos!$G$113/12</f>
        <v>14.5171360070563</v>
      </c>
      <c r="E177" s="21" t="n">
        <f aca="false">datos_base!$G$17*parametros_recargas!$C$42+sobrestock_sustitutos!$G$113/12</f>
        <v>14.5171360070563</v>
      </c>
      <c r="F177" s="21" t="n">
        <f aca="false">datos_base!$G$17*parametros_recargas!$D$42+sobrestock_sustitutos!$G$113/12</f>
        <v>14.5171360070563</v>
      </c>
      <c r="G177" s="21" t="n">
        <f aca="false">datos_base!$G$17*parametros_recargas!$E$42+sobrestock_sustitutos!$G$113/12</f>
        <v>14.5171360070563</v>
      </c>
      <c r="H177" s="21" t="n">
        <f aca="false">datos_base!$G$17*parametros_recargas!$F$42+sobrestock_sustitutos!$G$113/12</f>
        <v>14.5171360070563</v>
      </c>
      <c r="I177" s="21" t="n">
        <f aca="false">datos_base!$G$17*parametros_recargas!$G$42+sobrestock_sustitutos!$G$113/12</f>
        <v>14.5171360070563</v>
      </c>
      <c r="J177" s="21" t="n">
        <f aca="false">datos_base!$G$17*parametros_recargas!$H$42+sobrestock_sustitutos!$G$113/12</f>
        <v>14.5171360070563</v>
      </c>
      <c r="K177" s="21" t="n">
        <f aca="false">datos_base!$G$17*parametros_recargas!$I$42+sobrestock_sustitutos!$G$113/12</f>
        <v>14.5171360070563</v>
      </c>
      <c r="L177" s="21" t="n">
        <f aca="false">datos_base!$G$17*parametros_recargas!$J$42+sobrestock_sustitutos!$G$113/12</f>
        <v>14.5171360070563</v>
      </c>
      <c r="M177" s="21" t="n">
        <f aca="false">datos_base!$G$17*parametros_recargas!$K$42+sobrestock_sustitutos!$G$113/12</f>
        <v>14.5171360070563</v>
      </c>
      <c r="N177" s="21" t="n">
        <f aca="false">datos_base!$G$17*parametros_recargas!$L$42+sobrestock_sustitutos!$G$113/12</f>
        <v>14.5171360070563</v>
      </c>
      <c r="O177" s="21" t="n">
        <f aca="false">datos_base!$G$17*parametros_recargas!$M$42+sobrestock_sustitutos!$G$113/12</f>
        <v>14.5171360070563</v>
      </c>
      <c r="P177" s="7" t="n">
        <f aca="false">SUM(D177:O177)</f>
        <v>174.205632084676</v>
      </c>
      <c r="Q177" s="6" t="n">
        <f aca="false">sobrestock_sustitutos!$G$113</f>
        <v>3</v>
      </c>
    </row>
    <row r="178" customFormat="false" ht="15" hidden="false" customHeight="false" outlineLevel="0" collapsed="false">
      <c r="A178" s="9" t="str">
        <f aca="false">parametros_recargas!A67</f>
        <v>ABC 100 kg s/ruedas</v>
      </c>
      <c r="B178" s="9" t="str">
        <f aca="false">parametros_recargas!B67</f>
        <v>ABC</v>
      </c>
      <c r="C178" s="11" t="n">
        <f aca="false">parametros_recargas!C67</f>
        <v>3</v>
      </c>
      <c r="D178" s="21" t="n">
        <f aca="false">datos_base!$G$18*parametros_recargas!$B$42+sobrestock_sustitutos!$G$114/12</f>
        <v>9.67809065596754</v>
      </c>
      <c r="E178" s="21" t="n">
        <f aca="false">datos_base!$G$18*parametros_recargas!$C$42+sobrestock_sustitutos!$G$114/12</f>
        <v>9.67809065596754</v>
      </c>
      <c r="F178" s="21" t="n">
        <f aca="false">datos_base!$G$18*parametros_recargas!$D$42+sobrestock_sustitutos!$G$114/12</f>
        <v>9.67809065596754</v>
      </c>
      <c r="G178" s="21" t="n">
        <f aca="false">datos_base!$G$18*parametros_recargas!$E$42+sobrestock_sustitutos!$G$114/12</f>
        <v>9.67809065596754</v>
      </c>
      <c r="H178" s="21" t="n">
        <f aca="false">datos_base!$G$18*parametros_recargas!$F$42+sobrestock_sustitutos!$G$114/12</f>
        <v>9.67809065596754</v>
      </c>
      <c r="I178" s="21" t="n">
        <f aca="false">datos_base!$G$18*parametros_recargas!$G$42+sobrestock_sustitutos!$G$114/12</f>
        <v>9.67809065596754</v>
      </c>
      <c r="J178" s="21" t="n">
        <f aca="false">datos_base!$G$18*parametros_recargas!$H$42+sobrestock_sustitutos!$G$114/12</f>
        <v>9.67809065596754</v>
      </c>
      <c r="K178" s="21" t="n">
        <f aca="false">datos_base!$G$18*parametros_recargas!$I$42+sobrestock_sustitutos!$G$114/12</f>
        <v>9.67809065596754</v>
      </c>
      <c r="L178" s="21" t="n">
        <f aca="false">datos_base!$G$18*parametros_recargas!$J$42+sobrestock_sustitutos!$G$114/12</f>
        <v>9.67809065596754</v>
      </c>
      <c r="M178" s="21" t="n">
        <f aca="false">datos_base!$G$18*parametros_recargas!$K$42+sobrestock_sustitutos!$G$114/12</f>
        <v>9.67809065596754</v>
      </c>
      <c r="N178" s="21" t="n">
        <f aca="false">datos_base!$G$18*parametros_recargas!$L$42+sobrestock_sustitutos!$G$114/12</f>
        <v>9.67809065596754</v>
      </c>
      <c r="O178" s="21" t="n">
        <f aca="false">datos_base!$G$18*parametros_recargas!$M$42+sobrestock_sustitutos!$G$114/12</f>
        <v>9.67809065596754</v>
      </c>
      <c r="P178" s="7" t="n">
        <f aca="false">SUM(D178:O178)</f>
        <v>116.13708787161</v>
      </c>
      <c r="Q178" s="6" t="n">
        <f aca="false">sobrestock_sustitutos!$G$114</f>
        <v>2</v>
      </c>
    </row>
    <row r="179" customFormat="false" ht="15" hidden="false" customHeight="false" outlineLevel="0" collapsed="false">
      <c r="A179" s="4" t="s">
        <v>356</v>
      </c>
      <c r="D179" s="7" t="n">
        <f aca="false">SUM(D162:D178)</f>
        <v>10612.6895908196</v>
      </c>
      <c r="E179" s="7" t="n">
        <f aca="false">SUM(E162:E178)</f>
        <v>10612.6895908196</v>
      </c>
      <c r="F179" s="7" t="n">
        <f aca="false">SUM(F162:F178)</f>
        <v>10612.6895908196</v>
      </c>
      <c r="G179" s="7" t="n">
        <f aca="false">SUM(G162:G178)</f>
        <v>10612.6895908196</v>
      </c>
      <c r="H179" s="7" t="n">
        <f aca="false">SUM(H162:H178)</f>
        <v>10612.6895908196</v>
      </c>
      <c r="I179" s="7" t="n">
        <f aca="false">SUM(I162:I178)</f>
        <v>10612.6895908196</v>
      </c>
      <c r="J179" s="7" t="n">
        <f aca="false">SUM(J162:J178)</f>
        <v>10612.6895908196</v>
      </c>
      <c r="K179" s="7" t="n">
        <f aca="false">SUM(K162:K178)</f>
        <v>10612.6895908196</v>
      </c>
      <c r="L179" s="7" t="n">
        <f aca="false">SUM(L162:L178)</f>
        <v>10612.6895908196</v>
      </c>
      <c r="M179" s="7" t="n">
        <f aca="false">SUM(M162:M178)</f>
        <v>10612.6895908196</v>
      </c>
      <c r="N179" s="7" t="n">
        <f aca="false">SUM(N162:N178)</f>
        <v>10612.6895908196</v>
      </c>
      <c r="O179" s="7" t="n">
        <f aca="false">SUM(O162:O178)</f>
        <v>10612.6895908196</v>
      </c>
      <c r="P179" s="7" t="n">
        <f aca="false">SUM(P162:P178)</f>
        <v>127352.275089835</v>
      </c>
    </row>
    <row r="180" customFormat="false" ht="15" hidden="false" customHeight="false" outlineLevel="0" collapsed="false">
      <c r="A180" s="4" t="s">
        <v>357</v>
      </c>
    </row>
    <row r="181" customFormat="false" ht="15" hidden="false" customHeight="false" outlineLevel="0" collapsed="false">
      <c r="A181" s="5" t="s">
        <v>165</v>
      </c>
      <c r="D181" s="21" t="n">
        <f aca="false">SUMPRODUCT(($B$162:$B$178=$A181)*D$162:D$178*$C$162:$C$178)</f>
        <v>9454.14270097423</v>
      </c>
      <c r="E181" s="21" t="n">
        <f aca="false">SUMPRODUCT(($B$162:$B$178=$A181)*E$162:E$178*$C$162:$C$178)</f>
        <v>9454.14270097423</v>
      </c>
      <c r="F181" s="21" t="n">
        <f aca="false">SUMPRODUCT(($B$162:$B$178=$A181)*F$162:F$178*$C$162:$C$178)</f>
        <v>9454.14270097423</v>
      </c>
      <c r="G181" s="21" t="n">
        <f aca="false">SUMPRODUCT(($B$162:$B$178=$A181)*G$162:G$178*$C$162:$C$178)</f>
        <v>9454.14270097423</v>
      </c>
      <c r="H181" s="21" t="n">
        <f aca="false">SUMPRODUCT(($B$162:$B$178=$A181)*H$162:H$178*$C$162:$C$178)</f>
        <v>9454.14270097423</v>
      </c>
      <c r="I181" s="21" t="n">
        <f aca="false">SUMPRODUCT(($B$162:$B$178=$A181)*I$162:I$178*$C$162:$C$178)</f>
        <v>9454.14270097423</v>
      </c>
      <c r="J181" s="21" t="n">
        <f aca="false">SUMPRODUCT(($B$162:$B$178=$A181)*J$162:J$178*$C$162:$C$178)</f>
        <v>9454.14270097423</v>
      </c>
      <c r="K181" s="21" t="n">
        <f aca="false">SUMPRODUCT(($B$162:$B$178=$A181)*K$162:K$178*$C$162:$C$178)</f>
        <v>9454.14270097423</v>
      </c>
      <c r="L181" s="21" t="n">
        <f aca="false">SUMPRODUCT(($B$162:$B$178=$A181)*L$162:L$178*$C$162:$C$178)</f>
        <v>9454.14270097423</v>
      </c>
      <c r="M181" s="21" t="n">
        <f aca="false">SUMPRODUCT(($B$162:$B$178=$A181)*M$162:M$178*$C$162:$C$178)</f>
        <v>9454.14270097423</v>
      </c>
      <c r="N181" s="21" t="n">
        <f aca="false">SUMPRODUCT(($B$162:$B$178=$A181)*N$162:N$178*$C$162:$C$178)</f>
        <v>9454.14270097423</v>
      </c>
      <c r="O181" s="21" t="n">
        <f aca="false">SUMPRODUCT(($B$162:$B$178=$A181)*O$162:O$178*$C$162:$C$178)</f>
        <v>9454.14270097423</v>
      </c>
      <c r="P181" s="21" t="n">
        <f aca="false">SUMPRODUCT(($B$162:$B$178=$A181)*P$162:P$178*$C$162:$C$178)</f>
        <v>113449.712411691</v>
      </c>
    </row>
    <row r="182" customFormat="false" ht="15" hidden="false" customHeight="false" outlineLevel="0" collapsed="false">
      <c r="A182" s="5" t="s">
        <v>171</v>
      </c>
      <c r="D182" s="21" t="n">
        <f aca="false">SUMPRODUCT(($B$162:$B$178=$A182)*D$162:D$178*$C$162:$C$178)</f>
        <v>13.7372995565284</v>
      </c>
      <c r="E182" s="21" t="n">
        <f aca="false">SUMPRODUCT(($B$162:$B$178=$A182)*E$162:E$178*$C$162:$C$178)</f>
        <v>13.7372995565284</v>
      </c>
      <c r="F182" s="21" t="n">
        <f aca="false">SUMPRODUCT(($B$162:$B$178=$A182)*F$162:F$178*$C$162:$C$178)</f>
        <v>13.7372995565284</v>
      </c>
      <c r="G182" s="21" t="n">
        <f aca="false">SUMPRODUCT(($B$162:$B$178=$A182)*G$162:G$178*$C$162:$C$178)</f>
        <v>13.7372995565284</v>
      </c>
      <c r="H182" s="21" t="n">
        <f aca="false">SUMPRODUCT(($B$162:$B$178=$A182)*H$162:H$178*$C$162:$C$178)</f>
        <v>13.7372995565284</v>
      </c>
      <c r="I182" s="21" t="n">
        <f aca="false">SUMPRODUCT(($B$162:$B$178=$A182)*I$162:I$178*$C$162:$C$178)</f>
        <v>13.7372995565284</v>
      </c>
      <c r="J182" s="21" t="n">
        <f aca="false">SUMPRODUCT(($B$162:$B$178=$A182)*J$162:J$178*$C$162:$C$178)</f>
        <v>13.7372995565284</v>
      </c>
      <c r="K182" s="21" t="n">
        <f aca="false">SUMPRODUCT(($B$162:$B$178=$A182)*K$162:K$178*$C$162:$C$178)</f>
        <v>13.7372995565284</v>
      </c>
      <c r="L182" s="21" t="n">
        <f aca="false">SUMPRODUCT(($B$162:$B$178=$A182)*L$162:L$178*$C$162:$C$178)</f>
        <v>13.7372995565284</v>
      </c>
      <c r="M182" s="21" t="n">
        <f aca="false">SUMPRODUCT(($B$162:$B$178=$A182)*M$162:M$178*$C$162:$C$178)</f>
        <v>13.7372995565284</v>
      </c>
      <c r="N182" s="21" t="n">
        <f aca="false">SUMPRODUCT(($B$162:$B$178=$A182)*N$162:N$178*$C$162:$C$178)</f>
        <v>13.7372995565284</v>
      </c>
      <c r="O182" s="21" t="n">
        <f aca="false">SUMPRODUCT(($B$162:$B$178=$A182)*O$162:O$178*$C$162:$C$178)</f>
        <v>13.7372995565284</v>
      </c>
      <c r="P182" s="21" t="n">
        <f aca="false">SUMPRODUCT(($B$162:$B$178=$A182)*P$162:P$178*$C$162:$C$178)</f>
        <v>164.847594678341</v>
      </c>
    </row>
    <row r="183" customFormat="false" ht="15" hidden="false" customHeight="false" outlineLevel="0" collapsed="false">
      <c r="A183" s="5" t="s">
        <v>177</v>
      </c>
      <c r="D183" s="21" t="n">
        <f aca="false">SUMPRODUCT(($B$162:$B$178=$A183)*D$162:D$178*$C$162:$C$178)</f>
        <v>12.0689017854267</v>
      </c>
      <c r="E183" s="21" t="n">
        <f aca="false">SUMPRODUCT(($B$162:$B$178=$A183)*E$162:E$178*$C$162:$C$178)</f>
        <v>12.0689017854267</v>
      </c>
      <c r="F183" s="21" t="n">
        <f aca="false">SUMPRODUCT(($B$162:$B$178=$A183)*F$162:F$178*$C$162:$C$178)</f>
        <v>12.0689017854267</v>
      </c>
      <c r="G183" s="21" t="n">
        <f aca="false">SUMPRODUCT(($B$162:$B$178=$A183)*G$162:G$178*$C$162:$C$178)</f>
        <v>12.0689017854267</v>
      </c>
      <c r="H183" s="21" t="n">
        <f aca="false">SUMPRODUCT(($B$162:$B$178=$A183)*H$162:H$178*$C$162:$C$178)</f>
        <v>12.0689017854267</v>
      </c>
      <c r="I183" s="21" t="n">
        <f aca="false">SUMPRODUCT(($B$162:$B$178=$A183)*I$162:I$178*$C$162:$C$178)</f>
        <v>12.0689017854267</v>
      </c>
      <c r="J183" s="21" t="n">
        <f aca="false">SUMPRODUCT(($B$162:$B$178=$A183)*J$162:J$178*$C$162:$C$178)</f>
        <v>12.0689017854267</v>
      </c>
      <c r="K183" s="21" t="n">
        <f aca="false">SUMPRODUCT(($B$162:$B$178=$A183)*K$162:K$178*$C$162:$C$178)</f>
        <v>12.0689017854267</v>
      </c>
      <c r="L183" s="21" t="n">
        <f aca="false">SUMPRODUCT(($B$162:$B$178=$A183)*L$162:L$178*$C$162:$C$178)</f>
        <v>12.0689017854267</v>
      </c>
      <c r="M183" s="21" t="n">
        <f aca="false">SUMPRODUCT(($B$162:$B$178=$A183)*M$162:M$178*$C$162:$C$178)</f>
        <v>12.0689017854267</v>
      </c>
      <c r="N183" s="21" t="n">
        <f aca="false">SUMPRODUCT(($B$162:$B$178=$A183)*N$162:N$178*$C$162:$C$178)</f>
        <v>12.0689017854267</v>
      </c>
      <c r="O183" s="21" t="n">
        <f aca="false">SUMPRODUCT(($B$162:$B$178=$A183)*O$162:O$178*$C$162:$C$178)</f>
        <v>12.0689017854267</v>
      </c>
      <c r="P183" s="21" t="n">
        <f aca="false">SUMPRODUCT(($B$162:$B$178=$A183)*P$162:P$178*$C$162:$C$178)</f>
        <v>144.826821425121</v>
      </c>
    </row>
    <row r="184" customFormat="false" ht="15" hidden="false" customHeight="false" outlineLevel="0" collapsed="false">
      <c r="A184" s="5" t="s">
        <v>168</v>
      </c>
      <c r="D184" s="21" t="n">
        <f aca="false">SUMPRODUCT(($B$162:$B$178=$A184)*D$162:D$178*$C$162:$C$178)</f>
        <v>249.231825163314</v>
      </c>
      <c r="E184" s="21" t="n">
        <f aca="false">SUMPRODUCT(($B$162:$B$178=$A184)*E$162:E$178*$C$162:$C$178)</f>
        <v>249.231825163314</v>
      </c>
      <c r="F184" s="21" t="n">
        <f aca="false">SUMPRODUCT(($B$162:$B$178=$A184)*F$162:F$178*$C$162:$C$178)</f>
        <v>249.231825163314</v>
      </c>
      <c r="G184" s="21" t="n">
        <f aca="false">SUMPRODUCT(($B$162:$B$178=$A184)*G$162:G$178*$C$162:$C$178)</f>
        <v>249.231825163314</v>
      </c>
      <c r="H184" s="21" t="n">
        <f aca="false">SUMPRODUCT(($B$162:$B$178=$A184)*H$162:H$178*$C$162:$C$178)</f>
        <v>249.231825163314</v>
      </c>
      <c r="I184" s="21" t="n">
        <f aca="false">SUMPRODUCT(($B$162:$B$178=$A184)*I$162:I$178*$C$162:$C$178)</f>
        <v>249.231825163314</v>
      </c>
      <c r="J184" s="21" t="n">
        <f aca="false">SUMPRODUCT(($B$162:$B$178=$A184)*J$162:J$178*$C$162:$C$178)</f>
        <v>249.231825163314</v>
      </c>
      <c r="K184" s="21" t="n">
        <f aca="false">SUMPRODUCT(($B$162:$B$178=$A184)*K$162:K$178*$C$162:$C$178)</f>
        <v>249.231825163314</v>
      </c>
      <c r="L184" s="21" t="n">
        <f aca="false">SUMPRODUCT(($B$162:$B$178=$A184)*L$162:L$178*$C$162:$C$178)</f>
        <v>249.231825163314</v>
      </c>
      <c r="M184" s="21" t="n">
        <f aca="false">SUMPRODUCT(($B$162:$B$178=$A184)*M$162:M$178*$C$162:$C$178)</f>
        <v>249.231825163314</v>
      </c>
      <c r="N184" s="21" t="n">
        <f aca="false">SUMPRODUCT(($B$162:$B$178=$A184)*N$162:N$178*$C$162:$C$178)</f>
        <v>249.231825163314</v>
      </c>
      <c r="O184" s="21" t="n">
        <f aca="false">SUMPRODUCT(($B$162:$B$178=$A184)*O$162:O$178*$C$162:$C$178)</f>
        <v>249.231825163314</v>
      </c>
      <c r="P184" s="21" t="n">
        <f aca="false">SUMPRODUCT(($B$162:$B$178=$A184)*P$162:P$178*$C$162:$C$178)</f>
        <v>2990.78190195977</v>
      </c>
    </row>
    <row r="185" customFormat="false" ht="15" hidden="false" customHeight="false" outlineLevel="0" collapsed="false">
      <c r="A185" s="5" t="s">
        <v>169</v>
      </c>
      <c r="D185" s="21" t="n">
        <f aca="false">SUMPRODUCT(($B$162:$B$178=$A185)*D$162:D$178*$C$162:$C$178)</f>
        <v>117.823285864961</v>
      </c>
      <c r="E185" s="21" t="n">
        <f aca="false">SUMPRODUCT(($B$162:$B$178=$A185)*E$162:E$178*$C$162:$C$178)</f>
        <v>117.823285864961</v>
      </c>
      <c r="F185" s="21" t="n">
        <f aca="false">SUMPRODUCT(($B$162:$B$178=$A185)*F$162:F$178*$C$162:$C$178)</f>
        <v>117.823285864961</v>
      </c>
      <c r="G185" s="21" t="n">
        <f aca="false">SUMPRODUCT(($B$162:$B$178=$A185)*G$162:G$178*$C$162:$C$178)</f>
        <v>117.823285864961</v>
      </c>
      <c r="H185" s="21" t="n">
        <f aca="false">SUMPRODUCT(($B$162:$B$178=$A185)*H$162:H$178*$C$162:$C$178)</f>
        <v>117.823285864961</v>
      </c>
      <c r="I185" s="21" t="n">
        <f aca="false">SUMPRODUCT(($B$162:$B$178=$A185)*I$162:I$178*$C$162:$C$178)</f>
        <v>117.823285864961</v>
      </c>
      <c r="J185" s="21" t="n">
        <f aca="false">SUMPRODUCT(($B$162:$B$178=$A185)*J$162:J$178*$C$162:$C$178)</f>
        <v>117.823285864961</v>
      </c>
      <c r="K185" s="21" t="n">
        <f aca="false">SUMPRODUCT(($B$162:$B$178=$A185)*K$162:K$178*$C$162:$C$178)</f>
        <v>117.823285864961</v>
      </c>
      <c r="L185" s="21" t="n">
        <f aca="false">SUMPRODUCT(($B$162:$B$178=$A185)*L$162:L$178*$C$162:$C$178)</f>
        <v>117.823285864961</v>
      </c>
      <c r="M185" s="21" t="n">
        <f aca="false">SUMPRODUCT(($B$162:$B$178=$A185)*M$162:M$178*$C$162:$C$178)</f>
        <v>117.823285864961</v>
      </c>
      <c r="N185" s="21" t="n">
        <f aca="false">SUMPRODUCT(($B$162:$B$178=$A185)*N$162:N$178*$C$162:$C$178)</f>
        <v>117.823285864961</v>
      </c>
      <c r="O185" s="21" t="n">
        <f aca="false">SUMPRODUCT(($B$162:$B$178=$A185)*O$162:O$178*$C$162:$C$178)</f>
        <v>117.823285864961</v>
      </c>
      <c r="P185" s="21" t="n">
        <f aca="false">SUMPRODUCT(($B$162:$B$178=$A185)*P$162:P$178*$C$162:$C$178)</f>
        <v>1413.87943037953</v>
      </c>
    </row>
    <row r="186" customFormat="false" ht="15" hidden="false" customHeight="false" outlineLevel="0" collapsed="false">
      <c r="A186" s="5" t="s">
        <v>172</v>
      </c>
      <c r="D186" s="21" t="n">
        <f aca="false">SUMPRODUCT(($B$162:$B$178=$A186)*D$162:D$178*$C$162:$C$178)</f>
        <v>121.411875441923</v>
      </c>
      <c r="E186" s="21" t="n">
        <f aca="false">SUMPRODUCT(($B$162:$B$178=$A186)*E$162:E$178*$C$162:$C$178)</f>
        <v>121.411875441923</v>
      </c>
      <c r="F186" s="21" t="n">
        <f aca="false">SUMPRODUCT(($B$162:$B$178=$A186)*F$162:F$178*$C$162:$C$178)</f>
        <v>121.411875441923</v>
      </c>
      <c r="G186" s="21" t="n">
        <f aca="false">SUMPRODUCT(($B$162:$B$178=$A186)*G$162:G$178*$C$162:$C$178)</f>
        <v>121.411875441923</v>
      </c>
      <c r="H186" s="21" t="n">
        <f aca="false">SUMPRODUCT(($B$162:$B$178=$A186)*H$162:H$178*$C$162:$C$178)</f>
        <v>121.411875441923</v>
      </c>
      <c r="I186" s="21" t="n">
        <f aca="false">SUMPRODUCT(($B$162:$B$178=$A186)*I$162:I$178*$C$162:$C$178)</f>
        <v>121.411875441923</v>
      </c>
      <c r="J186" s="21" t="n">
        <f aca="false">SUMPRODUCT(($B$162:$B$178=$A186)*J$162:J$178*$C$162:$C$178)</f>
        <v>121.411875441923</v>
      </c>
      <c r="K186" s="21" t="n">
        <f aca="false">SUMPRODUCT(($B$162:$B$178=$A186)*K$162:K$178*$C$162:$C$178)</f>
        <v>121.411875441923</v>
      </c>
      <c r="L186" s="21" t="n">
        <f aca="false">SUMPRODUCT(($B$162:$B$178=$A186)*L$162:L$178*$C$162:$C$178)</f>
        <v>121.411875441923</v>
      </c>
      <c r="M186" s="21" t="n">
        <f aca="false">SUMPRODUCT(($B$162:$B$178=$A186)*M$162:M$178*$C$162:$C$178)</f>
        <v>121.411875441923</v>
      </c>
      <c r="N186" s="21" t="n">
        <f aca="false">SUMPRODUCT(($B$162:$B$178=$A186)*N$162:N$178*$C$162:$C$178)</f>
        <v>121.411875441923</v>
      </c>
      <c r="O186" s="21" t="n">
        <f aca="false">SUMPRODUCT(($B$162:$B$178=$A186)*O$162:O$178*$C$162:$C$178)</f>
        <v>121.411875441923</v>
      </c>
      <c r="P186" s="21" t="n">
        <f aca="false">SUMPRODUCT(($B$162:$B$178=$A186)*P$162:P$178*$C$162:$C$178)</f>
        <v>1456.94250530308</v>
      </c>
    </row>
    <row r="187" customFormat="false" ht="15" hidden="false" customHeight="false" outlineLevel="0" collapsed="false">
      <c r="A187" s="5" t="s">
        <v>173</v>
      </c>
      <c r="D187" s="21" t="n">
        <f aca="false">SUMPRODUCT(($B$162:$B$178=$A187)*D$162:D$178*$C$162:$C$178)</f>
        <v>898.336929793806</v>
      </c>
      <c r="E187" s="21" t="n">
        <f aca="false">SUMPRODUCT(($B$162:$B$178=$A187)*E$162:E$178*$C$162:$C$178)</f>
        <v>898.336929793806</v>
      </c>
      <c r="F187" s="21" t="n">
        <f aca="false">SUMPRODUCT(($B$162:$B$178=$A187)*F$162:F$178*$C$162:$C$178)</f>
        <v>898.336929793806</v>
      </c>
      <c r="G187" s="21" t="n">
        <f aca="false">SUMPRODUCT(($B$162:$B$178=$A187)*G$162:G$178*$C$162:$C$178)</f>
        <v>898.336929793806</v>
      </c>
      <c r="H187" s="21" t="n">
        <f aca="false">SUMPRODUCT(($B$162:$B$178=$A187)*H$162:H$178*$C$162:$C$178)</f>
        <v>898.336929793806</v>
      </c>
      <c r="I187" s="21" t="n">
        <f aca="false">SUMPRODUCT(($B$162:$B$178=$A187)*I$162:I$178*$C$162:$C$178)</f>
        <v>898.336929793806</v>
      </c>
      <c r="J187" s="21" t="n">
        <f aca="false">SUMPRODUCT(($B$162:$B$178=$A187)*J$162:J$178*$C$162:$C$178)</f>
        <v>898.336929793806</v>
      </c>
      <c r="K187" s="21" t="n">
        <f aca="false">SUMPRODUCT(($B$162:$B$178=$A187)*K$162:K$178*$C$162:$C$178)</f>
        <v>898.336929793806</v>
      </c>
      <c r="L187" s="21" t="n">
        <f aca="false">SUMPRODUCT(($B$162:$B$178=$A187)*L$162:L$178*$C$162:$C$178)</f>
        <v>898.336929793806</v>
      </c>
      <c r="M187" s="21" t="n">
        <f aca="false">SUMPRODUCT(($B$162:$B$178=$A187)*M$162:M$178*$C$162:$C$178)</f>
        <v>898.336929793806</v>
      </c>
      <c r="N187" s="21" t="n">
        <f aca="false">SUMPRODUCT(($B$162:$B$178=$A187)*N$162:N$178*$C$162:$C$178)</f>
        <v>898.336929793806</v>
      </c>
      <c r="O187" s="21" t="n">
        <f aca="false">SUMPRODUCT(($B$162:$B$178=$A187)*O$162:O$178*$C$162:$C$178)</f>
        <v>898.336929793806</v>
      </c>
      <c r="P187" s="21" t="n">
        <f aca="false">SUMPRODUCT(($B$162:$B$178=$A187)*P$162:P$178*$C$162:$C$178)</f>
        <v>10780.0431575257</v>
      </c>
    </row>
    <row r="188" customFormat="false" ht="15" hidden="false" customHeight="false" outlineLevel="0" collapsed="false">
      <c r="A188" s="5" t="s">
        <v>176</v>
      </c>
      <c r="D188" s="21" t="n">
        <f aca="false">SUMPRODUCT(($B$162:$B$178=$A188)*D$162:D$178*$C$162:$C$178)</f>
        <v>35.4416281588598</v>
      </c>
      <c r="E188" s="21" t="n">
        <f aca="false">SUMPRODUCT(($B$162:$B$178=$A188)*E$162:E$178*$C$162:$C$178)</f>
        <v>35.4416281588598</v>
      </c>
      <c r="F188" s="21" t="n">
        <f aca="false">SUMPRODUCT(($B$162:$B$178=$A188)*F$162:F$178*$C$162:$C$178)</f>
        <v>35.4416281588598</v>
      </c>
      <c r="G188" s="21" t="n">
        <f aca="false">SUMPRODUCT(($B$162:$B$178=$A188)*G$162:G$178*$C$162:$C$178)</f>
        <v>35.4416281588598</v>
      </c>
      <c r="H188" s="21" t="n">
        <f aca="false">SUMPRODUCT(($B$162:$B$178=$A188)*H$162:H$178*$C$162:$C$178)</f>
        <v>35.4416281588598</v>
      </c>
      <c r="I188" s="21" t="n">
        <f aca="false">SUMPRODUCT(($B$162:$B$178=$A188)*I$162:I$178*$C$162:$C$178)</f>
        <v>35.4416281588598</v>
      </c>
      <c r="J188" s="21" t="n">
        <f aca="false">SUMPRODUCT(($B$162:$B$178=$A188)*J$162:J$178*$C$162:$C$178)</f>
        <v>35.4416281588598</v>
      </c>
      <c r="K188" s="21" t="n">
        <f aca="false">SUMPRODUCT(($B$162:$B$178=$A188)*K$162:K$178*$C$162:$C$178)</f>
        <v>35.4416281588598</v>
      </c>
      <c r="L188" s="21" t="n">
        <f aca="false">SUMPRODUCT(($B$162:$B$178=$A188)*L$162:L$178*$C$162:$C$178)</f>
        <v>35.4416281588598</v>
      </c>
      <c r="M188" s="21" t="n">
        <f aca="false">SUMPRODUCT(($B$162:$B$178=$A188)*M$162:M$178*$C$162:$C$178)</f>
        <v>35.4416281588598</v>
      </c>
      <c r="N188" s="21" t="n">
        <f aca="false">SUMPRODUCT(($B$162:$B$178=$A188)*N$162:N$178*$C$162:$C$178)</f>
        <v>35.4416281588598</v>
      </c>
      <c r="O188" s="21" t="n">
        <f aca="false">SUMPRODUCT(($B$162:$B$178=$A188)*O$162:O$178*$C$162:$C$178)</f>
        <v>35.4416281588598</v>
      </c>
      <c r="P188" s="21" t="n">
        <f aca="false">SUMPRODUCT(($B$162:$B$178=$A188)*P$162:P$178*$C$162:$C$178)</f>
        <v>425.299537906318</v>
      </c>
    </row>
    <row r="189" customFormat="false" ht="15" hidden="false" customHeight="false" outlineLevel="0" collapsed="false">
      <c r="A189" s="4" t="s">
        <v>358</v>
      </c>
      <c r="D189" s="22" t="n">
        <f aca="false">SUMPRODUCT(D$162:D$178*parametros_recargas!$D$51:$D$67)</f>
        <v>365.773494223697</v>
      </c>
      <c r="E189" s="22" t="n">
        <f aca="false">SUMPRODUCT(E$162:E$178*parametros_recargas!$D$51:$D$67)</f>
        <v>365.773494223697</v>
      </c>
      <c r="F189" s="22" t="n">
        <f aca="false">SUMPRODUCT(F$162:F$178*parametros_recargas!$D$51:$D$67)</f>
        <v>365.773494223697</v>
      </c>
      <c r="G189" s="22" t="n">
        <f aca="false">SUMPRODUCT(G$162:G$178*parametros_recargas!$D$51:$D$67)</f>
        <v>365.773494223697</v>
      </c>
      <c r="H189" s="22" t="n">
        <f aca="false">SUMPRODUCT(H$162:H$178*parametros_recargas!$D$51:$D$67)</f>
        <v>365.773494223697</v>
      </c>
      <c r="I189" s="22" t="n">
        <f aca="false">SUMPRODUCT(I$162:I$178*parametros_recargas!$D$51:$D$67)</f>
        <v>365.773494223697</v>
      </c>
      <c r="J189" s="22" t="n">
        <f aca="false">SUMPRODUCT(J$162:J$178*parametros_recargas!$D$51:$D$67)</f>
        <v>365.773494223697</v>
      </c>
      <c r="K189" s="22" t="n">
        <f aca="false">SUMPRODUCT(K$162:K$178*parametros_recargas!$D$51:$D$67)</f>
        <v>365.773494223697</v>
      </c>
      <c r="L189" s="22" t="n">
        <f aca="false">SUMPRODUCT(L$162:L$178*parametros_recargas!$D$51:$D$67)</f>
        <v>365.773494223697</v>
      </c>
      <c r="M189" s="22" t="n">
        <f aca="false">SUMPRODUCT(M$162:M$178*parametros_recargas!$D$51:$D$67)</f>
        <v>365.773494223697</v>
      </c>
      <c r="N189" s="22" t="n">
        <f aca="false">SUMPRODUCT(N$162:N$178*parametros_recargas!$D$51:$D$67)</f>
        <v>365.773494223697</v>
      </c>
      <c r="O189" s="22" t="n">
        <f aca="false">SUMPRODUCT(O$162:O$178*parametros_recargas!$D$51:$D$67)</f>
        <v>365.773494223697</v>
      </c>
      <c r="P189" s="22" t="n">
        <f aca="false">SUMPRODUCT(P$162:P$178*parametros_recargas!$D$51:$D$67)</f>
        <v>4389.28193068436</v>
      </c>
    </row>
    <row r="190" customFormat="false" ht="15" hidden="false" customHeight="false" outlineLevel="0" collapsed="false">
      <c r="A190" s="4" t="s">
        <v>359</v>
      </c>
      <c r="D190" s="22" t="n">
        <f aca="false">SUMPRODUCT(sobrestock_sustitutos!$G$73:$G$89*(sobrestock_sustitutos!$F$30:$F$46="Fábrica: cilindro vacío")*parametros_recargas!$C$51:$C$67*parametros_recargas!$B$107:$B$123)</f>
        <v>19.472</v>
      </c>
      <c r="E190" s="22" t="n">
        <f aca="false">SUMPRODUCT(sobrestock_sustitutos!$G$73:$G$89*(sobrestock_sustitutos!$F$30:$F$46="Fábrica: cilindro vacío")*parametros_recargas!$C$51:$C$67*parametros_recargas!$C$107:$C$123)</f>
        <v>15.6952</v>
      </c>
      <c r="F190" s="22" t="n">
        <f aca="false">SUMPRODUCT(sobrestock_sustitutos!$G$73:$G$89*(sobrestock_sustitutos!$F$30:$F$46="Fábrica: cilindro vacío")*parametros_recargas!$C$51:$C$67*parametros_recargas!$D$107:$D$123)</f>
        <v>16.8494</v>
      </c>
      <c r="G190" s="22" t="n">
        <f aca="false">SUMPRODUCT(sobrestock_sustitutos!$G$73:$G$89*(sobrestock_sustitutos!$F$30:$F$46="Fábrica: cilindro vacío")*parametros_recargas!$C$51:$C$67*parametros_recargas!$E$107:$E$123)</f>
        <v>16.8494</v>
      </c>
      <c r="H190" s="22" t="n">
        <f aca="false">SUMPRODUCT(sobrestock_sustitutos!$G$73:$G$89*(sobrestock_sustitutos!$F$30:$F$46="Fábrica: cilindro vacío")*parametros_recargas!$C$51:$C$67*parametros_recargas!$F$107:$F$123)</f>
        <v>15.9472</v>
      </c>
      <c r="I190" s="22" t="n">
        <f aca="false">SUMPRODUCT(sobrestock_sustitutos!$G$73:$G$89*(sobrestock_sustitutos!$F$30:$F$46="Fábrica: cilindro vacío")*parametros_recargas!$C$51:$C$67*parametros_recargas!$G$107:$G$123)</f>
        <v>14.877</v>
      </c>
      <c r="J190" s="22" t="n">
        <f aca="false">SUMPRODUCT(sobrestock_sustitutos!$G$73:$G$89*(sobrestock_sustitutos!$F$30:$F$46="Fábrica: cilindro vacío")*parametros_recargas!$C$51:$C$67*parametros_recargas!$H$107:$H$123)</f>
        <v>15.9472</v>
      </c>
      <c r="K190" s="22" t="n">
        <f aca="false">SUMPRODUCT(sobrestock_sustitutos!$G$73:$G$89*(sobrestock_sustitutos!$F$30:$F$46="Fábrica: cilindro vacío")*parametros_recargas!$C$51:$C$67*parametros_recargas!$I$107:$I$123)</f>
        <v>15.9472</v>
      </c>
      <c r="L190" s="22" t="n">
        <f aca="false">SUMPRODUCT(sobrestock_sustitutos!$G$73:$G$89*(sobrestock_sustitutos!$F$30:$F$46="Fábrica: cilindro vacío")*parametros_recargas!$C$51:$C$67*parametros_recargas!$J$107:$J$123)</f>
        <v>15.8632</v>
      </c>
      <c r="M190" s="22" t="n">
        <f aca="false">SUMPRODUCT(sobrestock_sustitutos!$G$73:$G$89*(sobrestock_sustitutos!$F$30:$F$46="Fábrica: cilindro vacío")*parametros_recargas!$C$51:$C$67*parametros_recargas!$K$107:$K$123)</f>
        <v>14.793</v>
      </c>
      <c r="N190" s="22" t="n">
        <f aca="false">SUMPRODUCT(sobrestock_sustitutos!$G$73:$G$89*(sobrestock_sustitutos!$F$30:$F$46="Fábrica: cilindro vacío")*parametros_recargas!$C$51:$C$67*parametros_recargas!$L$107:$L$123)</f>
        <v>13.8068</v>
      </c>
      <c r="O190" s="22" t="n">
        <f aca="false">SUMPRODUCT(sobrestock_sustitutos!$G$73:$G$89*(sobrestock_sustitutos!$F$30:$F$46="Fábrica: cilindro vacío")*parametros_recargas!$C$51:$C$67*parametros_recargas!$M$107:$M$123)</f>
        <v>21.1924</v>
      </c>
      <c r="P190" s="7" t="n">
        <f aca="false">SUM(D190:O190)</f>
        <v>197.24</v>
      </c>
    </row>
    <row r="193" customFormat="false" ht="23.85" hidden="false" customHeight="false" outlineLevel="0" collapsed="false">
      <c r="A193" s="23" t="n">
        <v>2032</v>
      </c>
      <c r="B193" s="3" t="s">
        <v>353</v>
      </c>
      <c r="C193" s="3" t="s">
        <v>354</v>
      </c>
      <c r="D193" s="3" t="s">
        <v>147</v>
      </c>
      <c r="E193" s="3" t="s">
        <v>148</v>
      </c>
      <c r="F193" s="3" t="s">
        <v>149</v>
      </c>
      <c r="G193" s="3" t="s">
        <v>150</v>
      </c>
      <c r="H193" s="3" t="s">
        <v>151</v>
      </c>
      <c r="I193" s="3" t="s">
        <v>152</v>
      </c>
      <c r="J193" s="3" t="s">
        <v>153</v>
      </c>
      <c r="K193" s="3" t="s">
        <v>154</v>
      </c>
      <c r="L193" s="3" t="s">
        <v>155</v>
      </c>
      <c r="M193" s="3" t="s">
        <v>156</v>
      </c>
      <c r="N193" s="3" t="s">
        <v>157</v>
      </c>
      <c r="O193" s="3" t="s">
        <v>158</v>
      </c>
      <c r="P193" s="3" t="s">
        <v>83</v>
      </c>
      <c r="Q193" s="3" t="s">
        <v>355</v>
      </c>
    </row>
    <row r="194" customFormat="false" ht="15" hidden="false" customHeight="false" outlineLevel="0" collapsed="false">
      <c r="A194" s="9" t="str">
        <f aca="false">parametros_recargas!A51</f>
        <v>ABC 1 kg</v>
      </c>
      <c r="B194" s="9" t="str">
        <f aca="false">parametros_recargas!B51</f>
        <v>ABC</v>
      </c>
      <c r="C194" s="11" t="n">
        <f aca="false">parametros_recargas!C51</f>
        <v>1</v>
      </c>
      <c r="D194" s="21" t="n">
        <f aca="false">datos_base!$H$2*parametros_recargas!$B$43+sobrestock_sustitutos!$H$98/12</f>
        <v>6821.08425931459</v>
      </c>
      <c r="E194" s="21" t="n">
        <f aca="false">datos_base!$H$2*parametros_recargas!$C$43+sobrestock_sustitutos!$H$98/12</f>
        <v>6821.08425931459</v>
      </c>
      <c r="F194" s="21" t="n">
        <f aca="false">datos_base!$H$2*parametros_recargas!$D$43+sobrestock_sustitutos!$H$98/12</f>
        <v>6821.08425931459</v>
      </c>
      <c r="G194" s="21" t="n">
        <f aca="false">datos_base!$H$2*parametros_recargas!$E$43+sobrestock_sustitutos!$H$98/12</f>
        <v>6821.08425931459</v>
      </c>
      <c r="H194" s="21" t="n">
        <f aca="false">datos_base!$H$2*parametros_recargas!$F$43+sobrestock_sustitutos!$H$98/12</f>
        <v>6821.08425931459</v>
      </c>
      <c r="I194" s="21" t="n">
        <f aca="false">datos_base!$H$2*parametros_recargas!$G$43+sobrestock_sustitutos!$H$98/12</f>
        <v>6821.08425931459</v>
      </c>
      <c r="J194" s="21" t="n">
        <f aca="false">datos_base!$H$2*parametros_recargas!$H$43+sobrestock_sustitutos!$H$98/12</f>
        <v>6821.08425931459</v>
      </c>
      <c r="K194" s="21" t="n">
        <f aca="false">datos_base!$H$2*parametros_recargas!$I$43+sobrestock_sustitutos!$H$98/12</f>
        <v>6821.08425931459</v>
      </c>
      <c r="L194" s="21" t="n">
        <f aca="false">datos_base!$H$2*parametros_recargas!$J$43+sobrestock_sustitutos!$H$98/12</f>
        <v>6821.08425931459</v>
      </c>
      <c r="M194" s="21" t="n">
        <f aca="false">datos_base!$H$2*parametros_recargas!$K$43+sobrestock_sustitutos!$H$98/12</f>
        <v>6821.08425931459</v>
      </c>
      <c r="N194" s="21" t="n">
        <f aca="false">datos_base!$H$2*parametros_recargas!$L$43+sobrestock_sustitutos!$H$98/12</f>
        <v>6821.08425931459</v>
      </c>
      <c r="O194" s="21" t="n">
        <f aca="false">datos_base!$H$2*parametros_recargas!$M$43+sobrestock_sustitutos!$H$98/12</f>
        <v>6821.08425931459</v>
      </c>
      <c r="P194" s="7" t="n">
        <f aca="false">SUM(D194:O194)</f>
        <v>81853.011111775</v>
      </c>
      <c r="Q194" s="6" t="n">
        <f aca="false">sobrestock_sustitutos!$H$98</f>
        <v>0</v>
      </c>
    </row>
    <row r="195" customFormat="false" ht="15" hidden="false" customHeight="false" outlineLevel="0" collapsed="false">
      <c r="A195" s="9" t="str">
        <f aca="false">parametros_recargas!A52</f>
        <v>ABC 2,5 kg</v>
      </c>
      <c r="B195" s="9" t="str">
        <f aca="false">parametros_recargas!B52</f>
        <v>ABC</v>
      </c>
      <c r="C195" s="11" t="n">
        <f aca="false">parametros_recargas!C52</f>
        <v>1</v>
      </c>
      <c r="D195" s="21" t="n">
        <f aca="false">datos_base!$H$3*parametros_recargas!$B$43+sobrestock_sustitutos!$H$99/12</f>
        <v>598.111668703786</v>
      </c>
      <c r="E195" s="21" t="n">
        <f aca="false">datos_base!$H$3*parametros_recargas!$C$43+sobrestock_sustitutos!$H$99/12</f>
        <v>598.111668703786</v>
      </c>
      <c r="F195" s="21" t="n">
        <f aca="false">datos_base!$H$3*parametros_recargas!$D$43+sobrestock_sustitutos!$H$99/12</f>
        <v>598.111668703786</v>
      </c>
      <c r="G195" s="21" t="n">
        <f aca="false">datos_base!$H$3*parametros_recargas!$E$43+sobrestock_sustitutos!$H$99/12</f>
        <v>598.111668703786</v>
      </c>
      <c r="H195" s="21" t="n">
        <f aca="false">datos_base!$H$3*parametros_recargas!$F$43+sobrestock_sustitutos!$H$99/12</f>
        <v>598.111668703786</v>
      </c>
      <c r="I195" s="21" t="n">
        <f aca="false">datos_base!$H$3*parametros_recargas!$G$43+sobrestock_sustitutos!$H$99/12</f>
        <v>598.111668703786</v>
      </c>
      <c r="J195" s="21" t="n">
        <f aca="false">datos_base!$H$3*parametros_recargas!$H$43+sobrestock_sustitutos!$H$99/12</f>
        <v>598.111668703786</v>
      </c>
      <c r="K195" s="21" t="n">
        <f aca="false">datos_base!$H$3*parametros_recargas!$I$43+sobrestock_sustitutos!$H$99/12</f>
        <v>598.111668703786</v>
      </c>
      <c r="L195" s="21" t="n">
        <f aca="false">datos_base!$H$3*parametros_recargas!$J$43+sobrestock_sustitutos!$H$99/12</f>
        <v>598.111668703786</v>
      </c>
      <c r="M195" s="21" t="n">
        <f aca="false">datos_base!$H$3*parametros_recargas!$K$43+sobrestock_sustitutos!$H$99/12</f>
        <v>598.111668703786</v>
      </c>
      <c r="N195" s="21" t="n">
        <f aca="false">datos_base!$H$3*parametros_recargas!$L$43+sobrestock_sustitutos!$H$99/12</f>
        <v>598.111668703786</v>
      </c>
      <c r="O195" s="21" t="n">
        <f aca="false">datos_base!$H$3*parametros_recargas!$M$43+sobrestock_sustitutos!$H$99/12</f>
        <v>598.111668703786</v>
      </c>
      <c r="P195" s="7" t="n">
        <f aca="false">SUM(D195:O195)</f>
        <v>7177.34002444543</v>
      </c>
      <c r="Q195" s="6" t="n">
        <f aca="false">sobrestock_sustitutos!$H$99</f>
        <v>74</v>
      </c>
    </row>
    <row r="196" customFormat="false" ht="15" hidden="false" customHeight="false" outlineLevel="0" collapsed="false">
      <c r="A196" s="9" t="str">
        <f aca="false">parametros_recargas!A53</f>
        <v>ABC 5 kg</v>
      </c>
      <c r="B196" s="9" t="str">
        <f aca="false">parametros_recargas!B53</f>
        <v>ABC</v>
      </c>
      <c r="C196" s="11" t="n">
        <f aca="false">parametros_recargas!C53</f>
        <v>1</v>
      </c>
      <c r="D196" s="21" t="n">
        <f aca="false">datos_base!$H$4*parametros_recargas!$B$43+sobrestock_sustitutos!$H$100/12</f>
        <v>3678.20033618196</v>
      </c>
      <c r="E196" s="21" t="n">
        <f aca="false">datos_base!$H$4*parametros_recargas!$C$43+sobrestock_sustitutos!$H$100/12</f>
        <v>3678.20033618196</v>
      </c>
      <c r="F196" s="21" t="n">
        <f aca="false">datos_base!$H$4*parametros_recargas!$D$43+sobrestock_sustitutos!$H$100/12</f>
        <v>3678.20033618196</v>
      </c>
      <c r="G196" s="21" t="n">
        <f aca="false">datos_base!$H$4*parametros_recargas!$E$43+sobrestock_sustitutos!$H$100/12</f>
        <v>3678.20033618196</v>
      </c>
      <c r="H196" s="21" t="n">
        <f aca="false">datos_base!$H$4*parametros_recargas!$F$43+sobrestock_sustitutos!$H$100/12</f>
        <v>3678.20033618196</v>
      </c>
      <c r="I196" s="21" t="n">
        <f aca="false">datos_base!$H$4*parametros_recargas!$G$43+sobrestock_sustitutos!$H$100/12</f>
        <v>3678.20033618196</v>
      </c>
      <c r="J196" s="21" t="n">
        <f aca="false">datos_base!$H$4*parametros_recargas!$H$43+sobrestock_sustitutos!$H$100/12</f>
        <v>3678.20033618196</v>
      </c>
      <c r="K196" s="21" t="n">
        <f aca="false">datos_base!$H$4*parametros_recargas!$I$43+sobrestock_sustitutos!$H$100/12</f>
        <v>3678.20033618196</v>
      </c>
      <c r="L196" s="21" t="n">
        <f aca="false">datos_base!$H$4*parametros_recargas!$J$43+sobrestock_sustitutos!$H$100/12</f>
        <v>3678.20033618196</v>
      </c>
      <c r="M196" s="21" t="n">
        <f aca="false">datos_base!$H$4*parametros_recargas!$K$43+sobrestock_sustitutos!$H$100/12</f>
        <v>3678.20033618196</v>
      </c>
      <c r="N196" s="21" t="n">
        <f aca="false">datos_base!$H$4*parametros_recargas!$L$43+sobrestock_sustitutos!$H$100/12</f>
        <v>3678.20033618196</v>
      </c>
      <c r="O196" s="21" t="n">
        <f aca="false">datos_base!$H$4*parametros_recargas!$M$43+sobrestock_sustitutos!$H$100/12</f>
        <v>3678.20033618196</v>
      </c>
      <c r="P196" s="7" t="n">
        <f aca="false">SUM(D196:O196)</f>
        <v>44138.4040341835</v>
      </c>
      <c r="Q196" s="6" t="n">
        <f aca="false">sobrestock_sustitutos!$H$100</f>
        <v>486</v>
      </c>
    </row>
    <row r="197" customFormat="false" ht="15" hidden="false" customHeight="false" outlineLevel="0" collapsed="false">
      <c r="A197" s="9" t="str">
        <f aca="false">parametros_recargas!A54</f>
        <v>ABC 10 kg</v>
      </c>
      <c r="B197" s="9" t="str">
        <f aca="false">parametros_recargas!B54</f>
        <v>ABC</v>
      </c>
      <c r="C197" s="11" t="n">
        <f aca="false">parametros_recargas!C54</f>
        <v>1</v>
      </c>
      <c r="D197" s="21" t="n">
        <f aca="false">datos_base!$H$5*parametros_recargas!$B$43+sobrestock_sustitutos!$H$101/12</f>
        <v>217.841795474171</v>
      </c>
      <c r="E197" s="21" t="n">
        <f aca="false">datos_base!$H$5*parametros_recargas!$C$43+sobrestock_sustitutos!$H$101/12</f>
        <v>217.841795474171</v>
      </c>
      <c r="F197" s="21" t="n">
        <f aca="false">datos_base!$H$5*parametros_recargas!$D$43+sobrestock_sustitutos!$H$101/12</f>
        <v>217.841795474171</v>
      </c>
      <c r="G197" s="21" t="n">
        <f aca="false">datos_base!$H$5*parametros_recargas!$E$43+sobrestock_sustitutos!$H$101/12</f>
        <v>217.841795474171</v>
      </c>
      <c r="H197" s="21" t="n">
        <f aca="false">datos_base!$H$5*parametros_recargas!$F$43+sobrestock_sustitutos!$H$101/12</f>
        <v>217.841795474171</v>
      </c>
      <c r="I197" s="21" t="n">
        <f aca="false">datos_base!$H$5*parametros_recargas!$G$43+sobrestock_sustitutos!$H$101/12</f>
        <v>217.841795474171</v>
      </c>
      <c r="J197" s="21" t="n">
        <f aca="false">datos_base!$H$5*parametros_recargas!$H$43+sobrestock_sustitutos!$H$101/12</f>
        <v>217.841795474171</v>
      </c>
      <c r="K197" s="21" t="n">
        <f aca="false">datos_base!$H$5*parametros_recargas!$I$43+sobrestock_sustitutos!$H$101/12</f>
        <v>217.841795474171</v>
      </c>
      <c r="L197" s="21" t="n">
        <f aca="false">datos_base!$H$5*parametros_recargas!$J$43+sobrestock_sustitutos!$H$101/12</f>
        <v>217.841795474171</v>
      </c>
      <c r="M197" s="21" t="n">
        <f aca="false">datos_base!$H$5*parametros_recargas!$K$43+sobrestock_sustitutos!$H$101/12</f>
        <v>217.841795474171</v>
      </c>
      <c r="N197" s="21" t="n">
        <f aca="false">datos_base!$H$5*parametros_recargas!$L$43+sobrestock_sustitutos!$H$101/12</f>
        <v>217.841795474171</v>
      </c>
      <c r="O197" s="21" t="n">
        <f aca="false">datos_base!$H$5*parametros_recargas!$M$43+sobrestock_sustitutos!$H$101/12</f>
        <v>217.841795474171</v>
      </c>
      <c r="P197" s="7" t="n">
        <f aca="false">SUM(D197:O197)</f>
        <v>2614.10154569006</v>
      </c>
      <c r="Q197" s="6" t="n">
        <f aca="false">sobrestock_sustitutos!$H$101</f>
        <v>28</v>
      </c>
    </row>
    <row r="198" customFormat="false" ht="15" hidden="false" customHeight="false" outlineLevel="0" collapsed="false">
      <c r="A198" s="9" t="str">
        <f aca="false">parametros_recargas!A55</f>
        <v>Agua 10 l</v>
      </c>
      <c r="B198" s="9" t="str">
        <f aca="false">parametros_recargas!B55</f>
        <v>Agua</v>
      </c>
      <c r="C198" s="11" t="n">
        <f aca="false">parametros_recargas!C55</f>
        <v>1</v>
      </c>
      <c r="D198" s="21" t="n">
        <f aca="false">datos_base!$H$6*parametros_recargas!$B$43+sobrestock_sustitutos!$H$102/12</f>
        <v>305.665147891423</v>
      </c>
      <c r="E198" s="21" t="n">
        <f aca="false">datos_base!$H$6*parametros_recargas!$C$43+sobrestock_sustitutos!$H$102/12</f>
        <v>305.665147891423</v>
      </c>
      <c r="F198" s="21" t="n">
        <f aca="false">datos_base!$H$6*parametros_recargas!$D$43+sobrestock_sustitutos!$H$102/12</f>
        <v>305.665147891423</v>
      </c>
      <c r="G198" s="21" t="n">
        <f aca="false">datos_base!$H$6*parametros_recargas!$E$43+sobrestock_sustitutos!$H$102/12</f>
        <v>305.665147891423</v>
      </c>
      <c r="H198" s="21" t="n">
        <f aca="false">datos_base!$H$6*parametros_recargas!$F$43+sobrestock_sustitutos!$H$102/12</f>
        <v>305.665147891423</v>
      </c>
      <c r="I198" s="21" t="n">
        <f aca="false">datos_base!$H$6*parametros_recargas!$G$43+sobrestock_sustitutos!$H$102/12</f>
        <v>305.665147891423</v>
      </c>
      <c r="J198" s="21" t="n">
        <f aca="false">datos_base!$H$6*parametros_recargas!$H$43+sobrestock_sustitutos!$H$102/12</f>
        <v>305.665147891423</v>
      </c>
      <c r="K198" s="21" t="n">
        <f aca="false">datos_base!$H$6*parametros_recargas!$I$43+sobrestock_sustitutos!$H$102/12</f>
        <v>305.665147891423</v>
      </c>
      <c r="L198" s="21" t="n">
        <f aca="false">datos_base!$H$6*parametros_recargas!$J$43+sobrestock_sustitutos!$H$102/12</f>
        <v>305.665147891423</v>
      </c>
      <c r="M198" s="21" t="n">
        <f aca="false">datos_base!$H$6*parametros_recargas!$K$43+sobrestock_sustitutos!$H$102/12</f>
        <v>305.665147891423</v>
      </c>
      <c r="N198" s="21" t="n">
        <f aca="false">datos_base!$H$6*parametros_recargas!$L$43+sobrestock_sustitutos!$H$102/12</f>
        <v>305.665147891423</v>
      </c>
      <c r="O198" s="21" t="n">
        <f aca="false">datos_base!$H$6*parametros_recargas!$M$43+sobrestock_sustitutos!$H$102/12</f>
        <v>305.665147891423</v>
      </c>
      <c r="P198" s="7" t="n">
        <f aca="false">SUM(D198:O198)</f>
        <v>3667.98177469707</v>
      </c>
      <c r="Q198" s="6" t="n">
        <f aca="false">sobrestock_sustitutos!$H$102</f>
        <v>42</v>
      </c>
    </row>
    <row r="199" customFormat="false" ht="15" hidden="false" customHeight="false" outlineLevel="0" collapsed="false">
      <c r="A199" s="9" t="str">
        <f aca="false">parametros_recargas!A56</f>
        <v>AFFF 10 l</v>
      </c>
      <c r="B199" s="9" t="str">
        <f aca="false">parametros_recargas!B56</f>
        <v>AFFF</v>
      </c>
      <c r="C199" s="11" t="n">
        <f aca="false">parametros_recargas!C56</f>
        <v>1</v>
      </c>
      <c r="D199" s="21" t="n">
        <f aca="false">datos_base!$H$7*parametros_recargas!$B$43+sobrestock_sustitutos!$H$103/12</f>
        <v>56.2182533855192</v>
      </c>
      <c r="E199" s="21" t="n">
        <f aca="false">datos_base!$H$7*parametros_recargas!$C$43+sobrestock_sustitutos!$H$103/12</f>
        <v>56.2182533855192</v>
      </c>
      <c r="F199" s="21" t="n">
        <f aca="false">datos_base!$H$7*parametros_recargas!$D$43+sobrestock_sustitutos!$H$103/12</f>
        <v>56.2182533855192</v>
      </c>
      <c r="G199" s="21" t="n">
        <f aca="false">datos_base!$H$7*parametros_recargas!$E$43+sobrestock_sustitutos!$H$103/12</f>
        <v>56.2182533855192</v>
      </c>
      <c r="H199" s="21" t="n">
        <f aca="false">datos_base!$H$7*parametros_recargas!$F$43+sobrestock_sustitutos!$H$103/12</f>
        <v>56.2182533855192</v>
      </c>
      <c r="I199" s="21" t="n">
        <f aca="false">datos_base!$H$7*parametros_recargas!$G$43+sobrestock_sustitutos!$H$103/12</f>
        <v>56.2182533855192</v>
      </c>
      <c r="J199" s="21" t="n">
        <f aca="false">datos_base!$H$7*parametros_recargas!$H$43+sobrestock_sustitutos!$H$103/12</f>
        <v>56.2182533855192</v>
      </c>
      <c r="K199" s="21" t="n">
        <f aca="false">datos_base!$H$7*parametros_recargas!$I$43+sobrestock_sustitutos!$H$103/12</f>
        <v>56.2182533855192</v>
      </c>
      <c r="L199" s="21" t="n">
        <f aca="false">datos_base!$H$7*parametros_recargas!$J$43+sobrestock_sustitutos!$H$103/12</f>
        <v>56.2182533855192</v>
      </c>
      <c r="M199" s="21" t="n">
        <f aca="false">datos_base!$H$7*parametros_recargas!$K$43+sobrestock_sustitutos!$H$103/12</f>
        <v>56.2182533855192</v>
      </c>
      <c r="N199" s="21" t="n">
        <f aca="false">datos_base!$H$7*parametros_recargas!$L$43+sobrestock_sustitutos!$H$103/12</f>
        <v>56.2182533855192</v>
      </c>
      <c r="O199" s="21" t="n">
        <f aca="false">datos_base!$H$7*parametros_recargas!$M$43+sobrestock_sustitutos!$H$103/12</f>
        <v>56.2182533855192</v>
      </c>
      <c r="P199" s="7" t="n">
        <f aca="false">SUM(D199:O199)</f>
        <v>674.61904062623</v>
      </c>
      <c r="Q199" s="6" t="n">
        <f aca="false">sobrestock_sustitutos!$H$103</f>
        <v>12</v>
      </c>
    </row>
    <row r="200" customFormat="false" ht="15" hidden="false" customHeight="false" outlineLevel="0" collapsed="false">
      <c r="A200" s="9" t="str">
        <f aca="false">parametros_recargas!A57</f>
        <v>AFFF 50 l s/ruedas</v>
      </c>
      <c r="B200" s="9" t="str">
        <f aca="false">parametros_recargas!B57</f>
        <v>AFFF</v>
      </c>
      <c r="C200" s="11" t="n">
        <f aca="false">parametros_recargas!C57</f>
        <v>3</v>
      </c>
      <c r="D200" s="21" t="n">
        <f aca="false">datos_base!$H$8*parametros_recargas!$B$43+sobrestock_sustitutos!$H$104/12</f>
        <v>29.5691032986331</v>
      </c>
      <c r="E200" s="21" t="n">
        <f aca="false">datos_base!$H$8*parametros_recargas!$C$43+sobrestock_sustitutos!$H$104/12</f>
        <v>29.5691032986331</v>
      </c>
      <c r="F200" s="21" t="n">
        <f aca="false">datos_base!$H$8*parametros_recargas!$D$43+sobrestock_sustitutos!$H$104/12</f>
        <v>29.5691032986331</v>
      </c>
      <c r="G200" s="21" t="n">
        <f aca="false">datos_base!$H$8*parametros_recargas!$E$43+sobrestock_sustitutos!$H$104/12</f>
        <v>29.5691032986331</v>
      </c>
      <c r="H200" s="21" t="n">
        <f aca="false">datos_base!$H$8*parametros_recargas!$F$43+sobrestock_sustitutos!$H$104/12</f>
        <v>29.5691032986331</v>
      </c>
      <c r="I200" s="21" t="n">
        <f aca="false">datos_base!$H$8*parametros_recargas!$G$43+sobrestock_sustitutos!$H$104/12</f>
        <v>29.5691032986331</v>
      </c>
      <c r="J200" s="21" t="n">
        <f aca="false">datos_base!$H$8*parametros_recargas!$H$43+sobrestock_sustitutos!$H$104/12</f>
        <v>29.5691032986331</v>
      </c>
      <c r="K200" s="21" t="n">
        <f aca="false">datos_base!$H$8*parametros_recargas!$I$43+sobrestock_sustitutos!$H$104/12</f>
        <v>29.5691032986331</v>
      </c>
      <c r="L200" s="21" t="n">
        <f aca="false">datos_base!$H$8*parametros_recargas!$J$43+sobrestock_sustitutos!$H$104/12</f>
        <v>29.5691032986331</v>
      </c>
      <c r="M200" s="21" t="n">
        <f aca="false">datos_base!$H$8*parametros_recargas!$K$43+sobrestock_sustitutos!$H$104/12</f>
        <v>29.5691032986331</v>
      </c>
      <c r="N200" s="21" t="n">
        <f aca="false">datos_base!$H$8*parametros_recargas!$L$43+sobrestock_sustitutos!$H$104/12</f>
        <v>29.5691032986331</v>
      </c>
      <c r="O200" s="21" t="n">
        <f aca="false">datos_base!$H$8*parametros_recargas!$M$43+sobrestock_sustitutos!$H$104/12</f>
        <v>29.5691032986331</v>
      </c>
      <c r="P200" s="7" t="n">
        <f aca="false">SUM(D200:O200)</f>
        <v>354.829239583597</v>
      </c>
      <c r="Q200" s="6" t="n">
        <f aca="false">sobrestock_sustitutos!$H$104</f>
        <v>6</v>
      </c>
    </row>
    <row r="201" customFormat="false" ht="15" hidden="false" customHeight="false" outlineLevel="0" collapsed="false">
      <c r="A201" s="9" t="str">
        <f aca="false">parametros_recargas!A58</f>
        <v>BC 5 kg</v>
      </c>
      <c r="B201" s="9" t="str">
        <f aca="false">parametros_recargas!B58</f>
        <v>BC</v>
      </c>
      <c r="C201" s="11" t="n">
        <f aca="false">parametros_recargas!C58</f>
        <v>1</v>
      </c>
      <c r="D201" s="21" t="n">
        <f aca="false">datos_base!$H$9*parametros_recargas!$B$43+sobrestock_sustitutos!$H$105/12</f>
        <v>17.377614357389</v>
      </c>
      <c r="E201" s="21" t="n">
        <f aca="false">datos_base!$H$9*parametros_recargas!$C$43+sobrestock_sustitutos!$H$105/12</f>
        <v>17.377614357389</v>
      </c>
      <c r="F201" s="21" t="n">
        <f aca="false">datos_base!$H$9*parametros_recargas!$D$43+sobrestock_sustitutos!$H$105/12</f>
        <v>17.377614357389</v>
      </c>
      <c r="G201" s="21" t="n">
        <f aca="false">datos_base!$H$9*parametros_recargas!$E$43+sobrestock_sustitutos!$H$105/12</f>
        <v>17.377614357389</v>
      </c>
      <c r="H201" s="21" t="n">
        <f aca="false">datos_base!$H$9*parametros_recargas!$F$43+sobrestock_sustitutos!$H$105/12</f>
        <v>17.377614357389</v>
      </c>
      <c r="I201" s="21" t="n">
        <f aca="false">datos_base!$H$9*parametros_recargas!$G$43+sobrestock_sustitutos!$H$105/12</f>
        <v>17.377614357389</v>
      </c>
      <c r="J201" s="21" t="n">
        <f aca="false">datos_base!$H$9*parametros_recargas!$H$43+sobrestock_sustitutos!$H$105/12</f>
        <v>17.377614357389</v>
      </c>
      <c r="K201" s="21" t="n">
        <f aca="false">datos_base!$H$9*parametros_recargas!$I$43+sobrestock_sustitutos!$H$105/12</f>
        <v>17.377614357389</v>
      </c>
      <c r="L201" s="21" t="n">
        <f aca="false">datos_base!$H$9*parametros_recargas!$J$43+sobrestock_sustitutos!$H$105/12</f>
        <v>17.377614357389</v>
      </c>
      <c r="M201" s="21" t="n">
        <f aca="false">datos_base!$H$9*parametros_recargas!$K$43+sobrestock_sustitutos!$H$105/12</f>
        <v>17.377614357389</v>
      </c>
      <c r="N201" s="21" t="n">
        <f aca="false">datos_base!$H$9*parametros_recargas!$L$43+sobrestock_sustitutos!$H$105/12</f>
        <v>17.377614357389</v>
      </c>
      <c r="O201" s="21" t="n">
        <f aca="false">datos_base!$H$9*parametros_recargas!$M$43+sobrestock_sustitutos!$H$105/12</f>
        <v>17.377614357389</v>
      </c>
      <c r="P201" s="7" t="n">
        <f aca="false">SUM(D201:O201)</f>
        <v>208.531372288667</v>
      </c>
      <c r="Q201" s="6" t="n">
        <f aca="false">sobrestock_sustitutos!$H$105</f>
        <v>4</v>
      </c>
    </row>
    <row r="202" customFormat="false" ht="15" hidden="false" customHeight="false" outlineLevel="0" collapsed="false">
      <c r="A202" s="9" t="str">
        <f aca="false">parametros_recargas!A59</f>
        <v>Sales K 6 l</v>
      </c>
      <c r="B202" s="9" t="str">
        <f aca="false">parametros_recargas!B59</f>
        <v>Sales K</v>
      </c>
      <c r="C202" s="11" t="n">
        <f aca="false">parametros_recargas!C59</f>
        <v>1</v>
      </c>
      <c r="D202" s="21" t="n">
        <f aca="false">datos_base!$H$10*parametros_recargas!$B$43+sobrestock_sustitutos!$H$106/12</f>
        <v>149.495475705046</v>
      </c>
      <c r="E202" s="21" t="n">
        <f aca="false">datos_base!$H$10*parametros_recargas!$C$43+sobrestock_sustitutos!$H$106/12</f>
        <v>149.495475705046</v>
      </c>
      <c r="F202" s="21" t="n">
        <f aca="false">datos_base!$H$10*parametros_recargas!$D$43+sobrestock_sustitutos!$H$106/12</f>
        <v>149.495475705046</v>
      </c>
      <c r="G202" s="21" t="n">
        <f aca="false">datos_base!$H$10*parametros_recargas!$E$43+sobrestock_sustitutos!$H$106/12</f>
        <v>149.495475705046</v>
      </c>
      <c r="H202" s="21" t="n">
        <f aca="false">datos_base!$H$10*parametros_recargas!$F$43+sobrestock_sustitutos!$H$106/12</f>
        <v>149.495475705046</v>
      </c>
      <c r="I202" s="21" t="n">
        <f aca="false">datos_base!$H$10*parametros_recargas!$G$43+sobrestock_sustitutos!$H$106/12</f>
        <v>149.495475705046</v>
      </c>
      <c r="J202" s="21" t="n">
        <f aca="false">datos_base!$H$10*parametros_recargas!$H$43+sobrestock_sustitutos!$H$106/12</f>
        <v>149.495475705046</v>
      </c>
      <c r="K202" s="21" t="n">
        <f aca="false">datos_base!$H$10*parametros_recargas!$I$43+sobrestock_sustitutos!$H$106/12</f>
        <v>149.495475705046</v>
      </c>
      <c r="L202" s="21" t="n">
        <f aca="false">datos_base!$H$10*parametros_recargas!$J$43+sobrestock_sustitutos!$H$106/12</f>
        <v>149.495475705046</v>
      </c>
      <c r="M202" s="21" t="n">
        <f aca="false">datos_base!$H$10*parametros_recargas!$K$43+sobrestock_sustitutos!$H$106/12</f>
        <v>149.495475705046</v>
      </c>
      <c r="N202" s="21" t="n">
        <f aca="false">datos_base!$H$10*parametros_recargas!$L$43+sobrestock_sustitutos!$H$106/12</f>
        <v>149.495475705046</v>
      </c>
      <c r="O202" s="21" t="n">
        <f aca="false">datos_base!$H$10*parametros_recargas!$M$43+sobrestock_sustitutos!$H$106/12</f>
        <v>149.495475705046</v>
      </c>
      <c r="P202" s="7" t="n">
        <f aca="false">SUM(D202:O202)</f>
        <v>1793.94570846055</v>
      </c>
      <c r="Q202" s="6" t="n">
        <f aca="false">sobrestock_sustitutos!$H$106</f>
        <v>21</v>
      </c>
    </row>
    <row r="203" customFormat="false" ht="15" hidden="false" customHeight="false" outlineLevel="0" collapsed="false">
      <c r="A203" s="9" t="str">
        <f aca="false">parametros_recargas!A60</f>
        <v>CO₂ 2 kg</v>
      </c>
      <c r="B203" s="9" t="str">
        <f aca="false">parametros_recargas!B60</f>
        <v>CO₂</v>
      </c>
      <c r="C203" s="11" t="n">
        <f aca="false">parametros_recargas!C60</f>
        <v>1</v>
      </c>
      <c r="D203" s="21" t="n">
        <f aca="false">datos_base!$H$11*parametros_recargas!$B$43+sobrestock_sustitutos!$H$107/12</f>
        <v>828.815345132453</v>
      </c>
      <c r="E203" s="21" t="n">
        <f aca="false">datos_base!$H$11*parametros_recargas!$C$43+sobrestock_sustitutos!$H$107/12</f>
        <v>828.815345132453</v>
      </c>
      <c r="F203" s="21" t="n">
        <f aca="false">datos_base!$H$11*parametros_recargas!$D$43+sobrestock_sustitutos!$H$107/12</f>
        <v>828.815345132453</v>
      </c>
      <c r="G203" s="21" t="n">
        <f aca="false">datos_base!$H$11*parametros_recargas!$E$43+sobrestock_sustitutos!$H$107/12</f>
        <v>828.815345132453</v>
      </c>
      <c r="H203" s="21" t="n">
        <f aca="false">datos_base!$H$11*parametros_recargas!$F$43+sobrestock_sustitutos!$H$107/12</f>
        <v>828.815345132453</v>
      </c>
      <c r="I203" s="21" t="n">
        <f aca="false">datos_base!$H$11*parametros_recargas!$G$43+sobrestock_sustitutos!$H$107/12</f>
        <v>828.815345132453</v>
      </c>
      <c r="J203" s="21" t="n">
        <f aca="false">datos_base!$H$11*parametros_recargas!$H$43+sobrestock_sustitutos!$H$107/12</f>
        <v>828.815345132453</v>
      </c>
      <c r="K203" s="21" t="n">
        <f aca="false">datos_base!$H$11*parametros_recargas!$I$43+sobrestock_sustitutos!$H$107/12</f>
        <v>828.815345132453</v>
      </c>
      <c r="L203" s="21" t="n">
        <f aca="false">datos_base!$H$11*parametros_recargas!$J$43+sobrestock_sustitutos!$H$107/12</f>
        <v>828.815345132453</v>
      </c>
      <c r="M203" s="21" t="n">
        <f aca="false">datos_base!$H$11*parametros_recargas!$K$43+sobrestock_sustitutos!$H$107/12</f>
        <v>828.815345132453</v>
      </c>
      <c r="N203" s="21" t="n">
        <f aca="false">datos_base!$H$11*parametros_recargas!$L$43+sobrestock_sustitutos!$H$107/12</f>
        <v>828.815345132453</v>
      </c>
      <c r="O203" s="21" t="n">
        <f aca="false">datos_base!$H$11*parametros_recargas!$M$43+sobrestock_sustitutos!$H$107/12</f>
        <v>828.815345132453</v>
      </c>
      <c r="P203" s="7" t="n">
        <f aca="false">SUM(D203:O203)</f>
        <v>9945.78414158944</v>
      </c>
      <c r="Q203" s="6" t="n">
        <f aca="false">sobrestock_sustitutos!$H$107</f>
        <v>105</v>
      </c>
    </row>
    <row r="204" customFormat="false" ht="15" hidden="false" customHeight="false" outlineLevel="0" collapsed="false">
      <c r="A204" s="9" t="str">
        <f aca="false">parametros_recargas!A61</f>
        <v>CO₂ 5 kg</v>
      </c>
      <c r="B204" s="9" t="str">
        <f aca="false">parametros_recargas!B61</f>
        <v>CO₂</v>
      </c>
      <c r="C204" s="11" t="n">
        <f aca="false">parametros_recargas!C61</f>
        <v>1</v>
      </c>
      <c r="D204" s="21" t="n">
        <f aca="false">datos_base!$H$12*parametros_recargas!$B$43+sobrestock_sustitutos!$H$108/12</f>
        <v>274.175497570827</v>
      </c>
      <c r="E204" s="21" t="n">
        <f aca="false">datos_base!$H$12*parametros_recargas!$C$43+sobrestock_sustitutos!$H$108/12</f>
        <v>274.175497570827</v>
      </c>
      <c r="F204" s="21" t="n">
        <f aca="false">datos_base!$H$12*parametros_recargas!$D$43+sobrestock_sustitutos!$H$108/12</f>
        <v>274.175497570827</v>
      </c>
      <c r="G204" s="21" t="n">
        <f aca="false">datos_base!$H$12*parametros_recargas!$E$43+sobrestock_sustitutos!$H$108/12</f>
        <v>274.175497570827</v>
      </c>
      <c r="H204" s="21" t="n">
        <f aca="false">datos_base!$H$12*parametros_recargas!$F$43+sobrestock_sustitutos!$H$108/12</f>
        <v>274.175497570827</v>
      </c>
      <c r="I204" s="21" t="n">
        <f aca="false">datos_base!$H$12*parametros_recargas!$G$43+sobrestock_sustitutos!$H$108/12</f>
        <v>274.175497570827</v>
      </c>
      <c r="J204" s="21" t="n">
        <f aca="false">datos_base!$H$12*parametros_recargas!$H$43+sobrestock_sustitutos!$H$108/12</f>
        <v>274.175497570827</v>
      </c>
      <c r="K204" s="21" t="n">
        <f aca="false">datos_base!$H$12*parametros_recargas!$I$43+sobrestock_sustitutos!$H$108/12</f>
        <v>274.175497570827</v>
      </c>
      <c r="L204" s="21" t="n">
        <f aca="false">datos_base!$H$12*parametros_recargas!$J$43+sobrestock_sustitutos!$H$108/12</f>
        <v>274.175497570827</v>
      </c>
      <c r="M204" s="21" t="n">
        <f aca="false">datos_base!$H$12*parametros_recargas!$K$43+sobrestock_sustitutos!$H$108/12</f>
        <v>274.175497570827</v>
      </c>
      <c r="N204" s="21" t="n">
        <f aca="false">datos_base!$H$12*parametros_recargas!$L$43+sobrestock_sustitutos!$H$108/12</f>
        <v>274.175497570827</v>
      </c>
      <c r="O204" s="21" t="n">
        <f aca="false">datos_base!$H$12*parametros_recargas!$M$43+sobrestock_sustitutos!$H$108/12</f>
        <v>274.175497570827</v>
      </c>
      <c r="P204" s="7" t="n">
        <f aca="false">SUM(D204:O204)</f>
        <v>3290.10597084992</v>
      </c>
      <c r="Q204" s="6" t="n">
        <f aca="false">sobrestock_sustitutos!$H$108</f>
        <v>44</v>
      </c>
    </row>
    <row r="205" customFormat="false" ht="15" hidden="false" customHeight="false" outlineLevel="0" collapsed="false">
      <c r="A205" s="9" t="str">
        <f aca="false">parametros_recargas!A62</f>
        <v>HCFC/HFC 5 kg</v>
      </c>
      <c r="B205" s="9" t="str">
        <f aca="false">parametros_recargas!B62</f>
        <v>Halogenado</v>
      </c>
      <c r="C205" s="11" t="n">
        <f aca="false">parametros_recargas!C62</f>
        <v>1</v>
      </c>
      <c r="D205" s="21" t="n">
        <f aca="false">datos_base!$H$13*parametros_recargas!$B$43+sobrestock_sustitutos!$H$109/12</f>
        <v>44.411444338064</v>
      </c>
      <c r="E205" s="21" t="n">
        <f aca="false">datos_base!$H$13*parametros_recargas!$C$43+sobrestock_sustitutos!$H$109/12</f>
        <v>44.411444338064</v>
      </c>
      <c r="F205" s="21" t="n">
        <f aca="false">datos_base!$H$13*parametros_recargas!$D$43+sobrestock_sustitutos!$H$109/12</f>
        <v>44.411444338064</v>
      </c>
      <c r="G205" s="21" t="n">
        <f aca="false">datos_base!$H$13*parametros_recargas!$E$43+sobrestock_sustitutos!$H$109/12</f>
        <v>44.411444338064</v>
      </c>
      <c r="H205" s="21" t="n">
        <f aca="false">datos_base!$H$13*parametros_recargas!$F$43+sobrestock_sustitutos!$H$109/12</f>
        <v>44.411444338064</v>
      </c>
      <c r="I205" s="21" t="n">
        <f aca="false">datos_base!$H$13*parametros_recargas!$G$43+sobrestock_sustitutos!$H$109/12</f>
        <v>44.411444338064</v>
      </c>
      <c r="J205" s="21" t="n">
        <f aca="false">datos_base!$H$13*parametros_recargas!$H$43+sobrestock_sustitutos!$H$109/12</f>
        <v>44.411444338064</v>
      </c>
      <c r="K205" s="21" t="n">
        <f aca="false">datos_base!$H$13*parametros_recargas!$I$43+sobrestock_sustitutos!$H$109/12</f>
        <v>44.411444338064</v>
      </c>
      <c r="L205" s="21" t="n">
        <f aca="false">datos_base!$H$13*parametros_recargas!$J$43+sobrestock_sustitutos!$H$109/12</f>
        <v>44.411444338064</v>
      </c>
      <c r="M205" s="21" t="n">
        <f aca="false">datos_base!$H$13*parametros_recargas!$K$43+sobrestock_sustitutos!$H$109/12</f>
        <v>44.411444338064</v>
      </c>
      <c r="N205" s="21" t="n">
        <f aca="false">datos_base!$H$13*parametros_recargas!$L$43+sobrestock_sustitutos!$H$109/12</f>
        <v>44.411444338064</v>
      </c>
      <c r="O205" s="21" t="n">
        <f aca="false">datos_base!$H$13*parametros_recargas!$M$43+sobrestock_sustitutos!$H$109/12</f>
        <v>44.411444338064</v>
      </c>
      <c r="P205" s="7" t="n">
        <f aca="false">SUM(D205:O205)</f>
        <v>532.937332056768</v>
      </c>
      <c r="Q205" s="6" t="n">
        <f aca="false">sobrestock_sustitutos!$H$109</f>
        <v>9</v>
      </c>
    </row>
    <row r="206" customFormat="false" ht="15" hidden="false" customHeight="false" outlineLevel="0" collapsed="false">
      <c r="A206" s="9" t="str">
        <f aca="false">parametros_recargas!A63</f>
        <v>Clase D 9 l</v>
      </c>
      <c r="B206" s="9" t="str">
        <f aca="false">parametros_recargas!B63</f>
        <v>Clase D</v>
      </c>
      <c r="C206" s="11" t="n">
        <f aca="false">parametros_recargas!C63</f>
        <v>1</v>
      </c>
      <c r="D206" s="21" t="n">
        <f aca="false">datos_base!$H$14*parametros_recargas!$B$43+sobrestock_sustitutos!$H$110/12</f>
        <v>15.4261841055938</v>
      </c>
      <c r="E206" s="21" t="n">
        <f aca="false">datos_base!$H$14*parametros_recargas!$C$43+sobrestock_sustitutos!$H$110/12</f>
        <v>15.4261841055938</v>
      </c>
      <c r="F206" s="21" t="n">
        <f aca="false">datos_base!$H$14*parametros_recargas!$D$43+sobrestock_sustitutos!$H$110/12</f>
        <v>15.4261841055938</v>
      </c>
      <c r="G206" s="21" t="n">
        <f aca="false">datos_base!$H$14*parametros_recargas!$E$43+sobrestock_sustitutos!$H$110/12</f>
        <v>15.4261841055938</v>
      </c>
      <c r="H206" s="21" t="n">
        <f aca="false">datos_base!$H$14*parametros_recargas!$F$43+sobrestock_sustitutos!$H$110/12</f>
        <v>15.4261841055938</v>
      </c>
      <c r="I206" s="21" t="n">
        <f aca="false">datos_base!$H$14*parametros_recargas!$G$43+sobrestock_sustitutos!$H$110/12</f>
        <v>15.4261841055938</v>
      </c>
      <c r="J206" s="21" t="n">
        <f aca="false">datos_base!$H$14*parametros_recargas!$H$43+sobrestock_sustitutos!$H$110/12</f>
        <v>15.4261841055938</v>
      </c>
      <c r="K206" s="21" t="n">
        <f aca="false">datos_base!$H$14*parametros_recargas!$I$43+sobrestock_sustitutos!$H$110/12</f>
        <v>15.4261841055938</v>
      </c>
      <c r="L206" s="21" t="n">
        <f aca="false">datos_base!$H$14*parametros_recargas!$J$43+sobrestock_sustitutos!$H$110/12</f>
        <v>15.4261841055938</v>
      </c>
      <c r="M206" s="21" t="n">
        <f aca="false">datos_base!$H$14*parametros_recargas!$K$43+sobrestock_sustitutos!$H$110/12</f>
        <v>15.4261841055938</v>
      </c>
      <c r="N206" s="21" t="n">
        <f aca="false">datos_base!$H$14*parametros_recargas!$L$43+sobrestock_sustitutos!$H$110/12</f>
        <v>15.4261841055938</v>
      </c>
      <c r="O206" s="21" t="n">
        <f aca="false">datos_base!$H$14*parametros_recargas!$M$43+sobrestock_sustitutos!$H$110/12</f>
        <v>15.4261841055938</v>
      </c>
      <c r="P206" s="7" t="n">
        <f aca="false">SUM(D206:O206)</f>
        <v>185.114209267126</v>
      </c>
      <c r="Q206" s="6" t="n">
        <f aca="false">sobrestock_sustitutos!$H$110</f>
        <v>3</v>
      </c>
    </row>
    <row r="207" customFormat="false" ht="15" hidden="false" customHeight="false" outlineLevel="0" collapsed="false">
      <c r="A207" s="9" t="str">
        <f aca="false">parametros_recargas!A64</f>
        <v>ABC 25 kg s/ruedas</v>
      </c>
      <c r="B207" s="9" t="str">
        <f aca="false">parametros_recargas!B64</f>
        <v>ABC</v>
      </c>
      <c r="C207" s="11" t="n">
        <f aca="false">parametros_recargas!C64</f>
        <v>3</v>
      </c>
      <c r="D207" s="21" t="n">
        <f aca="false">datos_base!$H$15*parametros_recargas!$B$43+sobrestock_sustitutos!$H$111/12</f>
        <v>37.118253555826</v>
      </c>
      <c r="E207" s="21" t="n">
        <f aca="false">datos_base!$H$15*parametros_recargas!$C$43+sobrestock_sustitutos!$H$111/12</f>
        <v>37.118253555826</v>
      </c>
      <c r="F207" s="21" t="n">
        <f aca="false">datos_base!$H$15*parametros_recargas!$D$43+sobrestock_sustitutos!$H$111/12</f>
        <v>37.118253555826</v>
      </c>
      <c r="G207" s="21" t="n">
        <f aca="false">datos_base!$H$15*parametros_recargas!$E$43+sobrestock_sustitutos!$H$111/12</f>
        <v>37.118253555826</v>
      </c>
      <c r="H207" s="21" t="n">
        <f aca="false">datos_base!$H$15*parametros_recargas!$F$43+sobrestock_sustitutos!$H$111/12</f>
        <v>37.118253555826</v>
      </c>
      <c r="I207" s="21" t="n">
        <f aca="false">datos_base!$H$15*parametros_recargas!$G$43+sobrestock_sustitutos!$H$111/12</f>
        <v>37.118253555826</v>
      </c>
      <c r="J207" s="21" t="n">
        <f aca="false">datos_base!$H$15*parametros_recargas!$H$43+sobrestock_sustitutos!$H$111/12</f>
        <v>37.118253555826</v>
      </c>
      <c r="K207" s="21" t="n">
        <f aca="false">datos_base!$H$15*parametros_recargas!$I$43+sobrestock_sustitutos!$H$111/12</f>
        <v>37.118253555826</v>
      </c>
      <c r="L207" s="21" t="n">
        <f aca="false">datos_base!$H$15*parametros_recargas!$J$43+sobrestock_sustitutos!$H$111/12</f>
        <v>37.118253555826</v>
      </c>
      <c r="M207" s="21" t="n">
        <f aca="false">datos_base!$H$15*parametros_recargas!$K$43+sobrestock_sustitutos!$H$111/12</f>
        <v>37.118253555826</v>
      </c>
      <c r="N207" s="21" t="n">
        <f aca="false">datos_base!$H$15*parametros_recargas!$L$43+sobrestock_sustitutos!$H$111/12</f>
        <v>37.118253555826</v>
      </c>
      <c r="O207" s="21" t="n">
        <f aca="false">datos_base!$H$15*parametros_recargas!$M$43+sobrestock_sustitutos!$H$111/12</f>
        <v>37.118253555826</v>
      </c>
      <c r="P207" s="7" t="n">
        <f aca="false">SUM(D207:O207)</f>
        <v>445.419042669912</v>
      </c>
      <c r="Q207" s="6" t="n">
        <f aca="false">sobrestock_sustitutos!$H$111</f>
        <v>6</v>
      </c>
    </row>
    <row r="208" customFormat="false" ht="15" hidden="false" customHeight="false" outlineLevel="0" collapsed="false">
      <c r="A208" s="9" t="str">
        <f aca="false">parametros_recargas!A65</f>
        <v>ABC 50 kg s/ruedas</v>
      </c>
      <c r="B208" s="9" t="str">
        <f aca="false">parametros_recargas!B65</f>
        <v>ABC</v>
      </c>
      <c r="C208" s="11" t="n">
        <f aca="false">parametros_recargas!C65</f>
        <v>3</v>
      </c>
      <c r="D208" s="21" t="n">
        <f aca="false">datos_base!$H$16*parametros_recargas!$B$43+sobrestock_sustitutos!$H$112/12</f>
        <v>81.6434911838765</v>
      </c>
      <c r="E208" s="21" t="n">
        <f aca="false">datos_base!$H$16*parametros_recargas!$C$43+sobrestock_sustitutos!$H$112/12</f>
        <v>81.6434911838765</v>
      </c>
      <c r="F208" s="21" t="n">
        <f aca="false">datos_base!$H$16*parametros_recargas!$D$43+sobrestock_sustitutos!$H$112/12</f>
        <v>81.6434911838765</v>
      </c>
      <c r="G208" s="21" t="n">
        <f aca="false">datos_base!$H$16*parametros_recargas!$E$43+sobrestock_sustitutos!$H$112/12</f>
        <v>81.6434911838765</v>
      </c>
      <c r="H208" s="21" t="n">
        <f aca="false">datos_base!$H$16*parametros_recargas!$F$43+sobrestock_sustitutos!$H$112/12</f>
        <v>81.6434911838765</v>
      </c>
      <c r="I208" s="21" t="n">
        <f aca="false">datos_base!$H$16*parametros_recargas!$G$43+sobrestock_sustitutos!$H$112/12</f>
        <v>81.6434911838765</v>
      </c>
      <c r="J208" s="21" t="n">
        <f aca="false">datos_base!$H$16*parametros_recargas!$H$43+sobrestock_sustitutos!$H$112/12</f>
        <v>81.6434911838765</v>
      </c>
      <c r="K208" s="21" t="n">
        <f aca="false">datos_base!$H$16*parametros_recargas!$I$43+sobrestock_sustitutos!$H$112/12</f>
        <v>81.6434911838765</v>
      </c>
      <c r="L208" s="21" t="n">
        <f aca="false">datos_base!$H$16*parametros_recargas!$J$43+sobrestock_sustitutos!$H$112/12</f>
        <v>81.6434911838765</v>
      </c>
      <c r="M208" s="21" t="n">
        <f aca="false">datos_base!$H$16*parametros_recargas!$K$43+sobrestock_sustitutos!$H$112/12</f>
        <v>81.6434911838765</v>
      </c>
      <c r="N208" s="21" t="n">
        <f aca="false">datos_base!$H$16*parametros_recargas!$L$43+sobrestock_sustitutos!$H$112/12</f>
        <v>81.6434911838765</v>
      </c>
      <c r="O208" s="21" t="n">
        <f aca="false">datos_base!$H$16*parametros_recargas!$M$43+sobrestock_sustitutos!$H$112/12</f>
        <v>81.6434911838765</v>
      </c>
      <c r="P208" s="7" t="n">
        <f aca="false">SUM(D208:O208)</f>
        <v>979.721894206518</v>
      </c>
      <c r="Q208" s="6" t="n">
        <f aca="false">sobrestock_sustitutos!$H$112</f>
        <v>13</v>
      </c>
    </row>
    <row r="209" customFormat="false" ht="15" hidden="false" customHeight="false" outlineLevel="0" collapsed="false">
      <c r="A209" s="9" t="str">
        <f aca="false">parametros_recargas!A66</f>
        <v>ABC 70 kg s/ruedas</v>
      </c>
      <c r="B209" s="9" t="str">
        <f aca="false">parametros_recargas!B66</f>
        <v>ABC</v>
      </c>
      <c r="C209" s="11" t="n">
        <f aca="false">parametros_recargas!C66</f>
        <v>3</v>
      </c>
      <c r="D209" s="21" t="n">
        <f aca="false">datos_base!$H$17*parametros_recargas!$B$43+sobrestock_sustitutos!$H$113/12</f>
        <v>17.8267616994029</v>
      </c>
      <c r="E209" s="21" t="n">
        <f aca="false">datos_base!$H$17*parametros_recargas!$C$43+sobrestock_sustitutos!$H$113/12</f>
        <v>17.8267616994029</v>
      </c>
      <c r="F209" s="21" t="n">
        <f aca="false">datos_base!$H$17*parametros_recargas!$D$43+sobrestock_sustitutos!$H$113/12</f>
        <v>17.8267616994029</v>
      </c>
      <c r="G209" s="21" t="n">
        <f aca="false">datos_base!$H$17*parametros_recargas!$E$43+sobrestock_sustitutos!$H$113/12</f>
        <v>17.8267616994029</v>
      </c>
      <c r="H209" s="21" t="n">
        <f aca="false">datos_base!$H$17*parametros_recargas!$F$43+sobrestock_sustitutos!$H$113/12</f>
        <v>17.8267616994029</v>
      </c>
      <c r="I209" s="21" t="n">
        <f aca="false">datos_base!$H$17*parametros_recargas!$G$43+sobrestock_sustitutos!$H$113/12</f>
        <v>17.8267616994029</v>
      </c>
      <c r="J209" s="21" t="n">
        <f aca="false">datos_base!$H$17*parametros_recargas!$H$43+sobrestock_sustitutos!$H$113/12</f>
        <v>17.8267616994029</v>
      </c>
      <c r="K209" s="21" t="n">
        <f aca="false">datos_base!$H$17*parametros_recargas!$I$43+sobrestock_sustitutos!$H$113/12</f>
        <v>17.8267616994029</v>
      </c>
      <c r="L209" s="21" t="n">
        <f aca="false">datos_base!$H$17*parametros_recargas!$J$43+sobrestock_sustitutos!$H$113/12</f>
        <v>17.8267616994029</v>
      </c>
      <c r="M209" s="21" t="n">
        <f aca="false">datos_base!$H$17*parametros_recargas!$K$43+sobrestock_sustitutos!$H$113/12</f>
        <v>17.8267616994029</v>
      </c>
      <c r="N209" s="21" t="n">
        <f aca="false">datos_base!$H$17*parametros_recargas!$L$43+sobrestock_sustitutos!$H$113/12</f>
        <v>17.8267616994029</v>
      </c>
      <c r="O209" s="21" t="n">
        <f aca="false">datos_base!$H$17*parametros_recargas!$M$43+sobrestock_sustitutos!$H$113/12</f>
        <v>17.8267616994029</v>
      </c>
      <c r="P209" s="7" t="n">
        <f aca="false">SUM(D209:O209)</f>
        <v>213.921140392835</v>
      </c>
      <c r="Q209" s="6" t="n">
        <f aca="false">sobrestock_sustitutos!$H$113</f>
        <v>3</v>
      </c>
    </row>
    <row r="210" customFormat="false" ht="15" hidden="false" customHeight="false" outlineLevel="0" collapsed="false">
      <c r="A210" s="9" t="str">
        <f aca="false">parametros_recargas!A67</f>
        <v>ABC 100 kg s/ruedas</v>
      </c>
      <c r="B210" s="9" t="str">
        <f aca="false">parametros_recargas!B67</f>
        <v>ABC</v>
      </c>
      <c r="C210" s="11" t="n">
        <f aca="false">parametros_recargas!C67</f>
        <v>3</v>
      </c>
      <c r="D210" s="21" t="n">
        <f aca="false">datos_base!$H$18*parametros_recargas!$B$43+sobrestock_sustitutos!$H$114/12</f>
        <v>11.8845078304086</v>
      </c>
      <c r="E210" s="21" t="n">
        <f aca="false">datos_base!$H$18*parametros_recargas!$C$43+sobrestock_sustitutos!$H$114/12</f>
        <v>11.8845078304086</v>
      </c>
      <c r="F210" s="21" t="n">
        <f aca="false">datos_base!$H$18*parametros_recargas!$D$43+sobrestock_sustitutos!$H$114/12</f>
        <v>11.8845078304086</v>
      </c>
      <c r="G210" s="21" t="n">
        <f aca="false">datos_base!$H$18*parametros_recargas!$E$43+sobrestock_sustitutos!$H$114/12</f>
        <v>11.8845078304086</v>
      </c>
      <c r="H210" s="21" t="n">
        <f aca="false">datos_base!$H$18*parametros_recargas!$F$43+sobrestock_sustitutos!$H$114/12</f>
        <v>11.8845078304086</v>
      </c>
      <c r="I210" s="21" t="n">
        <f aca="false">datos_base!$H$18*parametros_recargas!$G$43+sobrestock_sustitutos!$H$114/12</f>
        <v>11.8845078304086</v>
      </c>
      <c r="J210" s="21" t="n">
        <f aca="false">datos_base!$H$18*parametros_recargas!$H$43+sobrestock_sustitutos!$H$114/12</f>
        <v>11.8845078304086</v>
      </c>
      <c r="K210" s="21" t="n">
        <f aca="false">datos_base!$H$18*parametros_recargas!$I$43+sobrestock_sustitutos!$H$114/12</f>
        <v>11.8845078304086</v>
      </c>
      <c r="L210" s="21" t="n">
        <f aca="false">datos_base!$H$18*parametros_recargas!$J$43+sobrestock_sustitutos!$H$114/12</f>
        <v>11.8845078304086</v>
      </c>
      <c r="M210" s="21" t="n">
        <f aca="false">datos_base!$H$18*parametros_recargas!$K$43+sobrestock_sustitutos!$H$114/12</f>
        <v>11.8845078304086</v>
      </c>
      <c r="N210" s="21" t="n">
        <f aca="false">datos_base!$H$18*parametros_recargas!$L$43+sobrestock_sustitutos!$H$114/12</f>
        <v>11.8845078304086</v>
      </c>
      <c r="O210" s="21" t="n">
        <f aca="false">datos_base!$H$18*parametros_recargas!$M$43+sobrestock_sustitutos!$H$114/12</f>
        <v>11.8845078304086</v>
      </c>
      <c r="P210" s="7" t="n">
        <f aca="false">SUM(D210:O210)</f>
        <v>142.614093964903</v>
      </c>
      <c r="Q210" s="6" t="n">
        <f aca="false">sobrestock_sustitutos!$H$114</f>
        <v>2</v>
      </c>
    </row>
    <row r="211" customFormat="false" ht="15" hidden="false" customHeight="false" outlineLevel="0" collapsed="false">
      <c r="A211" s="4" t="s">
        <v>356</v>
      </c>
      <c r="D211" s="7" t="n">
        <f aca="false">SUM(D194:D210)</f>
        <v>13184.865139729</v>
      </c>
      <c r="E211" s="7" t="n">
        <f aca="false">SUM(E194:E210)</f>
        <v>13184.865139729</v>
      </c>
      <c r="F211" s="7" t="n">
        <f aca="false">SUM(F194:F210)</f>
        <v>13184.865139729</v>
      </c>
      <c r="G211" s="7" t="n">
        <f aca="false">SUM(G194:G210)</f>
        <v>13184.865139729</v>
      </c>
      <c r="H211" s="7" t="n">
        <f aca="false">SUM(H194:H210)</f>
        <v>13184.865139729</v>
      </c>
      <c r="I211" s="7" t="n">
        <f aca="false">SUM(I194:I210)</f>
        <v>13184.865139729</v>
      </c>
      <c r="J211" s="7" t="n">
        <f aca="false">SUM(J194:J210)</f>
        <v>13184.865139729</v>
      </c>
      <c r="K211" s="7" t="n">
        <f aca="false">SUM(K194:K210)</f>
        <v>13184.865139729</v>
      </c>
      <c r="L211" s="7" t="n">
        <f aca="false">SUM(L194:L210)</f>
        <v>13184.865139729</v>
      </c>
      <c r="M211" s="7" t="n">
        <f aca="false">SUM(M194:M210)</f>
        <v>13184.865139729</v>
      </c>
      <c r="N211" s="7" t="n">
        <f aca="false">SUM(N194:N210)</f>
        <v>13184.865139729</v>
      </c>
      <c r="O211" s="7" t="n">
        <f aca="false">SUM(O194:O210)</f>
        <v>13184.865139729</v>
      </c>
      <c r="P211" s="7" t="n">
        <f aca="false">SUM(P194:P210)</f>
        <v>158218.381676748</v>
      </c>
    </row>
    <row r="212" customFormat="false" ht="15" hidden="false" customHeight="false" outlineLevel="0" collapsed="false">
      <c r="A212" s="4" t="s">
        <v>357</v>
      </c>
    </row>
    <row r="213" customFormat="false" ht="15" hidden="false" customHeight="false" outlineLevel="0" collapsed="false">
      <c r="A213" s="5" t="s">
        <v>165</v>
      </c>
      <c r="D213" s="21" t="n">
        <f aca="false">SUMPRODUCT(($B$194:$B$210=$A213)*D$194:D$210*$C$194:$C$210)</f>
        <v>11760.657102483</v>
      </c>
      <c r="E213" s="21" t="n">
        <f aca="false">SUMPRODUCT(($B$194:$B$210=$A213)*E$194:E$210*$C$194:$C$210)</f>
        <v>11760.657102483</v>
      </c>
      <c r="F213" s="21" t="n">
        <f aca="false">SUMPRODUCT(($B$194:$B$210=$A213)*F$194:F$210*$C$194:$C$210)</f>
        <v>11760.657102483</v>
      </c>
      <c r="G213" s="21" t="n">
        <f aca="false">SUMPRODUCT(($B$194:$B$210=$A213)*G$194:G$210*$C$194:$C$210)</f>
        <v>11760.657102483</v>
      </c>
      <c r="H213" s="21" t="n">
        <f aca="false">SUMPRODUCT(($B$194:$B$210=$A213)*H$194:H$210*$C$194:$C$210)</f>
        <v>11760.657102483</v>
      </c>
      <c r="I213" s="21" t="n">
        <f aca="false">SUMPRODUCT(($B$194:$B$210=$A213)*I$194:I$210*$C$194:$C$210)</f>
        <v>11760.657102483</v>
      </c>
      <c r="J213" s="21" t="n">
        <f aca="false">SUMPRODUCT(($B$194:$B$210=$A213)*J$194:J$210*$C$194:$C$210)</f>
        <v>11760.657102483</v>
      </c>
      <c r="K213" s="21" t="n">
        <f aca="false">SUMPRODUCT(($B$194:$B$210=$A213)*K$194:K$210*$C$194:$C$210)</f>
        <v>11760.657102483</v>
      </c>
      <c r="L213" s="21" t="n">
        <f aca="false">SUMPRODUCT(($B$194:$B$210=$A213)*L$194:L$210*$C$194:$C$210)</f>
        <v>11760.657102483</v>
      </c>
      <c r="M213" s="21" t="n">
        <f aca="false">SUMPRODUCT(($B$194:$B$210=$A213)*M$194:M$210*$C$194:$C$210)</f>
        <v>11760.657102483</v>
      </c>
      <c r="N213" s="21" t="n">
        <f aca="false">SUMPRODUCT(($B$194:$B$210=$A213)*N$194:N$210*$C$194:$C$210)</f>
        <v>11760.657102483</v>
      </c>
      <c r="O213" s="21" t="n">
        <f aca="false">SUMPRODUCT(($B$194:$B$210=$A213)*O$194:O$210*$C$194:$C$210)</f>
        <v>11760.657102483</v>
      </c>
      <c r="P213" s="21" t="n">
        <f aca="false">SUMPRODUCT(($B$194:$B$210=$A213)*P$194:P$210*$C$194:$C$210)</f>
        <v>141127.885229797</v>
      </c>
    </row>
    <row r="214" customFormat="false" ht="15" hidden="false" customHeight="false" outlineLevel="0" collapsed="false">
      <c r="A214" s="5" t="s">
        <v>171</v>
      </c>
      <c r="D214" s="21" t="n">
        <f aca="false">SUMPRODUCT(($B$194:$B$210=$A214)*D$194:D$210*$C$194:$C$210)</f>
        <v>17.377614357389</v>
      </c>
      <c r="E214" s="21" t="n">
        <f aca="false">SUMPRODUCT(($B$194:$B$210=$A214)*E$194:E$210*$C$194:$C$210)</f>
        <v>17.377614357389</v>
      </c>
      <c r="F214" s="21" t="n">
        <f aca="false">SUMPRODUCT(($B$194:$B$210=$A214)*F$194:F$210*$C$194:$C$210)</f>
        <v>17.377614357389</v>
      </c>
      <c r="G214" s="21" t="n">
        <f aca="false">SUMPRODUCT(($B$194:$B$210=$A214)*G$194:G$210*$C$194:$C$210)</f>
        <v>17.377614357389</v>
      </c>
      <c r="H214" s="21" t="n">
        <f aca="false">SUMPRODUCT(($B$194:$B$210=$A214)*H$194:H$210*$C$194:$C$210)</f>
        <v>17.377614357389</v>
      </c>
      <c r="I214" s="21" t="n">
        <f aca="false">SUMPRODUCT(($B$194:$B$210=$A214)*I$194:I$210*$C$194:$C$210)</f>
        <v>17.377614357389</v>
      </c>
      <c r="J214" s="21" t="n">
        <f aca="false">SUMPRODUCT(($B$194:$B$210=$A214)*J$194:J$210*$C$194:$C$210)</f>
        <v>17.377614357389</v>
      </c>
      <c r="K214" s="21" t="n">
        <f aca="false">SUMPRODUCT(($B$194:$B$210=$A214)*K$194:K$210*$C$194:$C$210)</f>
        <v>17.377614357389</v>
      </c>
      <c r="L214" s="21" t="n">
        <f aca="false">SUMPRODUCT(($B$194:$B$210=$A214)*L$194:L$210*$C$194:$C$210)</f>
        <v>17.377614357389</v>
      </c>
      <c r="M214" s="21" t="n">
        <f aca="false">SUMPRODUCT(($B$194:$B$210=$A214)*M$194:M$210*$C$194:$C$210)</f>
        <v>17.377614357389</v>
      </c>
      <c r="N214" s="21" t="n">
        <f aca="false">SUMPRODUCT(($B$194:$B$210=$A214)*N$194:N$210*$C$194:$C$210)</f>
        <v>17.377614357389</v>
      </c>
      <c r="O214" s="21" t="n">
        <f aca="false">SUMPRODUCT(($B$194:$B$210=$A214)*O$194:O$210*$C$194:$C$210)</f>
        <v>17.377614357389</v>
      </c>
      <c r="P214" s="21" t="n">
        <f aca="false">SUMPRODUCT(($B$194:$B$210=$A214)*P$194:P$210*$C$194:$C$210)</f>
        <v>208.531372288667</v>
      </c>
    </row>
    <row r="215" customFormat="false" ht="15" hidden="false" customHeight="false" outlineLevel="0" collapsed="false">
      <c r="A215" s="5" t="s">
        <v>177</v>
      </c>
      <c r="D215" s="21" t="n">
        <f aca="false">SUMPRODUCT(($B$194:$B$210=$A215)*D$194:D$210*$C$194:$C$210)</f>
        <v>15.4261841055938</v>
      </c>
      <c r="E215" s="21" t="n">
        <f aca="false">SUMPRODUCT(($B$194:$B$210=$A215)*E$194:E$210*$C$194:$C$210)</f>
        <v>15.4261841055938</v>
      </c>
      <c r="F215" s="21" t="n">
        <f aca="false">SUMPRODUCT(($B$194:$B$210=$A215)*F$194:F$210*$C$194:$C$210)</f>
        <v>15.4261841055938</v>
      </c>
      <c r="G215" s="21" t="n">
        <f aca="false">SUMPRODUCT(($B$194:$B$210=$A215)*G$194:G$210*$C$194:$C$210)</f>
        <v>15.4261841055938</v>
      </c>
      <c r="H215" s="21" t="n">
        <f aca="false">SUMPRODUCT(($B$194:$B$210=$A215)*H$194:H$210*$C$194:$C$210)</f>
        <v>15.4261841055938</v>
      </c>
      <c r="I215" s="21" t="n">
        <f aca="false">SUMPRODUCT(($B$194:$B$210=$A215)*I$194:I$210*$C$194:$C$210)</f>
        <v>15.4261841055938</v>
      </c>
      <c r="J215" s="21" t="n">
        <f aca="false">SUMPRODUCT(($B$194:$B$210=$A215)*J$194:J$210*$C$194:$C$210)</f>
        <v>15.4261841055938</v>
      </c>
      <c r="K215" s="21" t="n">
        <f aca="false">SUMPRODUCT(($B$194:$B$210=$A215)*K$194:K$210*$C$194:$C$210)</f>
        <v>15.4261841055938</v>
      </c>
      <c r="L215" s="21" t="n">
        <f aca="false">SUMPRODUCT(($B$194:$B$210=$A215)*L$194:L$210*$C$194:$C$210)</f>
        <v>15.4261841055938</v>
      </c>
      <c r="M215" s="21" t="n">
        <f aca="false">SUMPRODUCT(($B$194:$B$210=$A215)*M$194:M$210*$C$194:$C$210)</f>
        <v>15.4261841055938</v>
      </c>
      <c r="N215" s="21" t="n">
        <f aca="false">SUMPRODUCT(($B$194:$B$210=$A215)*N$194:N$210*$C$194:$C$210)</f>
        <v>15.4261841055938</v>
      </c>
      <c r="O215" s="21" t="n">
        <f aca="false">SUMPRODUCT(($B$194:$B$210=$A215)*O$194:O$210*$C$194:$C$210)</f>
        <v>15.4261841055938</v>
      </c>
      <c r="P215" s="21" t="n">
        <f aca="false">SUMPRODUCT(($B$194:$B$210=$A215)*P$194:P$210*$C$194:$C$210)</f>
        <v>185.114209267126</v>
      </c>
    </row>
    <row r="216" customFormat="false" ht="15" hidden="false" customHeight="false" outlineLevel="0" collapsed="false">
      <c r="A216" s="5" t="s">
        <v>168</v>
      </c>
      <c r="D216" s="21" t="n">
        <f aca="false">SUMPRODUCT(($B$194:$B$210=$A216)*D$194:D$210*$C$194:$C$210)</f>
        <v>305.665147891423</v>
      </c>
      <c r="E216" s="21" t="n">
        <f aca="false">SUMPRODUCT(($B$194:$B$210=$A216)*E$194:E$210*$C$194:$C$210)</f>
        <v>305.665147891423</v>
      </c>
      <c r="F216" s="21" t="n">
        <f aca="false">SUMPRODUCT(($B$194:$B$210=$A216)*F$194:F$210*$C$194:$C$210)</f>
        <v>305.665147891423</v>
      </c>
      <c r="G216" s="21" t="n">
        <f aca="false">SUMPRODUCT(($B$194:$B$210=$A216)*G$194:G$210*$C$194:$C$210)</f>
        <v>305.665147891423</v>
      </c>
      <c r="H216" s="21" t="n">
        <f aca="false">SUMPRODUCT(($B$194:$B$210=$A216)*H$194:H$210*$C$194:$C$210)</f>
        <v>305.665147891423</v>
      </c>
      <c r="I216" s="21" t="n">
        <f aca="false">SUMPRODUCT(($B$194:$B$210=$A216)*I$194:I$210*$C$194:$C$210)</f>
        <v>305.665147891423</v>
      </c>
      <c r="J216" s="21" t="n">
        <f aca="false">SUMPRODUCT(($B$194:$B$210=$A216)*J$194:J$210*$C$194:$C$210)</f>
        <v>305.665147891423</v>
      </c>
      <c r="K216" s="21" t="n">
        <f aca="false">SUMPRODUCT(($B$194:$B$210=$A216)*K$194:K$210*$C$194:$C$210)</f>
        <v>305.665147891423</v>
      </c>
      <c r="L216" s="21" t="n">
        <f aca="false">SUMPRODUCT(($B$194:$B$210=$A216)*L$194:L$210*$C$194:$C$210)</f>
        <v>305.665147891423</v>
      </c>
      <c r="M216" s="21" t="n">
        <f aca="false">SUMPRODUCT(($B$194:$B$210=$A216)*M$194:M$210*$C$194:$C$210)</f>
        <v>305.665147891423</v>
      </c>
      <c r="N216" s="21" t="n">
        <f aca="false">SUMPRODUCT(($B$194:$B$210=$A216)*N$194:N$210*$C$194:$C$210)</f>
        <v>305.665147891423</v>
      </c>
      <c r="O216" s="21" t="n">
        <f aca="false">SUMPRODUCT(($B$194:$B$210=$A216)*O$194:O$210*$C$194:$C$210)</f>
        <v>305.665147891423</v>
      </c>
      <c r="P216" s="21" t="n">
        <f aca="false">SUMPRODUCT(($B$194:$B$210=$A216)*P$194:P$210*$C$194:$C$210)</f>
        <v>3667.98177469707</v>
      </c>
    </row>
    <row r="217" customFormat="false" ht="15" hidden="false" customHeight="false" outlineLevel="0" collapsed="false">
      <c r="A217" s="5" t="s">
        <v>169</v>
      </c>
      <c r="D217" s="21" t="n">
        <f aca="false">SUMPRODUCT(($B$194:$B$210=$A217)*D$194:D$210*$C$194:$C$210)</f>
        <v>144.925563281418</v>
      </c>
      <c r="E217" s="21" t="n">
        <f aca="false">SUMPRODUCT(($B$194:$B$210=$A217)*E$194:E$210*$C$194:$C$210)</f>
        <v>144.925563281418</v>
      </c>
      <c r="F217" s="21" t="n">
        <f aca="false">SUMPRODUCT(($B$194:$B$210=$A217)*F$194:F$210*$C$194:$C$210)</f>
        <v>144.925563281418</v>
      </c>
      <c r="G217" s="21" t="n">
        <f aca="false">SUMPRODUCT(($B$194:$B$210=$A217)*G$194:G$210*$C$194:$C$210)</f>
        <v>144.925563281418</v>
      </c>
      <c r="H217" s="21" t="n">
        <f aca="false">SUMPRODUCT(($B$194:$B$210=$A217)*H$194:H$210*$C$194:$C$210)</f>
        <v>144.925563281418</v>
      </c>
      <c r="I217" s="21" t="n">
        <f aca="false">SUMPRODUCT(($B$194:$B$210=$A217)*I$194:I$210*$C$194:$C$210)</f>
        <v>144.925563281418</v>
      </c>
      <c r="J217" s="21" t="n">
        <f aca="false">SUMPRODUCT(($B$194:$B$210=$A217)*J$194:J$210*$C$194:$C$210)</f>
        <v>144.925563281418</v>
      </c>
      <c r="K217" s="21" t="n">
        <f aca="false">SUMPRODUCT(($B$194:$B$210=$A217)*K$194:K$210*$C$194:$C$210)</f>
        <v>144.925563281418</v>
      </c>
      <c r="L217" s="21" t="n">
        <f aca="false">SUMPRODUCT(($B$194:$B$210=$A217)*L$194:L$210*$C$194:$C$210)</f>
        <v>144.925563281418</v>
      </c>
      <c r="M217" s="21" t="n">
        <f aca="false">SUMPRODUCT(($B$194:$B$210=$A217)*M$194:M$210*$C$194:$C$210)</f>
        <v>144.925563281418</v>
      </c>
      <c r="N217" s="21" t="n">
        <f aca="false">SUMPRODUCT(($B$194:$B$210=$A217)*N$194:N$210*$C$194:$C$210)</f>
        <v>144.925563281418</v>
      </c>
      <c r="O217" s="21" t="n">
        <f aca="false">SUMPRODUCT(($B$194:$B$210=$A217)*O$194:O$210*$C$194:$C$210)</f>
        <v>144.925563281418</v>
      </c>
      <c r="P217" s="21" t="n">
        <f aca="false">SUMPRODUCT(($B$194:$B$210=$A217)*P$194:P$210*$C$194:$C$210)</f>
        <v>1739.10675937702</v>
      </c>
    </row>
    <row r="218" customFormat="false" ht="15" hidden="false" customHeight="false" outlineLevel="0" collapsed="false">
      <c r="A218" s="5" t="s">
        <v>172</v>
      </c>
      <c r="D218" s="21" t="n">
        <f aca="false">SUMPRODUCT(($B$194:$B$210=$A218)*D$194:D$210*$C$194:$C$210)</f>
        <v>149.495475705046</v>
      </c>
      <c r="E218" s="21" t="n">
        <f aca="false">SUMPRODUCT(($B$194:$B$210=$A218)*E$194:E$210*$C$194:$C$210)</f>
        <v>149.495475705046</v>
      </c>
      <c r="F218" s="21" t="n">
        <f aca="false">SUMPRODUCT(($B$194:$B$210=$A218)*F$194:F$210*$C$194:$C$210)</f>
        <v>149.495475705046</v>
      </c>
      <c r="G218" s="21" t="n">
        <f aca="false">SUMPRODUCT(($B$194:$B$210=$A218)*G$194:G$210*$C$194:$C$210)</f>
        <v>149.495475705046</v>
      </c>
      <c r="H218" s="21" t="n">
        <f aca="false">SUMPRODUCT(($B$194:$B$210=$A218)*H$194:H$210*$C$194:$C$210)</f>
        <v>149.495475705046</v>
      </c>
      <c r="I218" s="21" t="n">
        <f aca="false">SUMPRODUCT(($B$194:$B$210=$A218)*I$194:I$210*$C$194:$C$210)</f>
        <v>149.495475705046</v>
      </c>
      <c r="J218" s="21" t="n">
        <f aca="false">SUMPRODUCT(($B$194:$B$210=$A218)*J$194:J$210*$C$194:$C$210)</f>
        <v>149.495475705046</v>
      </c>
      <c r="K218" s="21" t="n">
        <f aca="false">SUMPRODUCT(($B$194:$B$210=$A218)*K$194:K$210*$C$194:$C$210)</f>
        <v>149.495475705046</v>
      </c>
      <c r="L218" s="21" t="n">
        <f aca="false">SUMPRODUCT(($B$194:$B$210=$A218)*L$194:L$210*$C$194:$C$210)</f>
        <v>149.495475705046</v>
      </c>
      <c r="M218" s="21" t="n">
        <f aca="false">SUMPRODUCT(($B$194:$B$210=$A218)*M$194:M$210*$C$194:$C$210)</f>
        <v>149.495475705046</v>
      </c>
      <c r="N218" s="21" t="n">
        <f aca="false">SUMPRODUCT(($B$194:$B$210=$A218)*N$194:N$210*$C$194:$C$210)</f>
        <v>149.495475705046</v>
      </c>
      <c r="O218" s="21" t="n">
        <f aca="false">SUMPRODUCT(($B$194:$B$210=$A218)*O$194:O$210*$C$194:$C$210)</f>
        <v>149.495475705046</v>
      </c>
      <c r="P218" s="21" t="n">
        <f aca="false">SUMPRODUCT(($B$194:$B$210=$A218)*P$194:P$210*$C$194:$C$210)</f>
        <v>1793.94570846055</v>
      </c>
    </row>
    <row r="219" customFormat="false" ht="15" hidden="false" customHeight="false" outlineLevel="0" collapsed="false">
      <c r="A219" s="5" t="s">
        <v>173</v>
      </c>
      <c r="D219" s="21" t="n">
        <f aca="false">SUMPRODUCT(($B$194:$B$210=$A219)*D$194:D$210*$C$194:$C$210)</f>
        <v>1102.99084270328</v>
      </c>
      <c r="E219" s="21" t="n">
        <f aca="false">SUMPRODUCT(($B$194:$B$210=$A219)*E$194:E$210*$C$194:$C$210)</f>
        <v>1102.99084270328</v>
      </c>
      <c r="F219" s="21" t="n">
        <f aca="false">SUMPRODUCT(($B$194:$B$210=$A219)*F$194:F$210*$C$194:$C$210)</f>
        <v>1102.99084270328</v>
      </c>
      <c r="G219" s="21" t="n">
        <f aca="false">SUMPRODUCT(($B$194:$B$210=$A219)*G$194:G$210*$C$194:$C$210)</f>
        <v>1102.99084270328</v>
      </c>
      <c r="H219" s="21" t="n">
        <f aca="false">SUMPRODUCT(($B$194:$B$210=$A219)*H$194:H$210*$C$194:$C$210)</f>
        <v>1102.99084270328</v>
      </c>
      <c r="I219" s="21" t="n">
        <f aca="false">SUMPRODUCT(($B$194:$B$210=$A219)*I$194:I$210*$C$194:$C$210)</f>
        <v>1102.99084270328</v>
      </c>
      <c r="J219" s="21" t="n">
        <f aca="false">SUMPRODUCT(($B$194:$B$210=$A219)*J$194:J$210*$C$194:$C$210)</f>
        <v>1102.99084270328</v>
      </c>
      <c r="K219" s="21" t="n">
        <f aca="false">SUMPRODUCT(($B$194:$B$210=$A219)*K$194:K$210*$C$194:$C$210)</f>
        <v>1102.99084270328</v>
      </c>
      <c r="L219" s="21" t="n">
        <f aca="false">SUMPRODUCT(($B$194:$B$210=$A219)*L$194:L$210*$C$194:$C$210)</f>
        <v>1102.99084270328</v>
      </c>
      <c r="M219" s="21" t="n">
        <f aca="false">SUMPRODUCT(($B$194:$B$210=$A219)*M$194:M$210*$C$194:$C$210)</f>
        <v>1102.99084270328</v>
      </c>
      <c r="N219" s="21" t="n">
        <f aca="false">SUMPRODUCT(($B$194:$B$210=$A219)*N$194:N$210*$C$194:$C$210)</f>
        <v>1102.99084270328</v>
      </c>
      <c r="O219" s="21" t="n">
        <f aca="false">SUMPRODUCT(($B$194:$B$210=$A219)*O$194:O$210*$C$194:$C$210)</f>
        <v>1102.99084270328</v>
      </c>
      <c r="P219" s="21" t="n">
        <f aca="false">SUMPRODUCT(($B$194:$B$210=$A219)*P$194:P$210*$C$194:$C$210)</f>
        <v>13235.8901124394</v>
      </c>
    </row>
    <row r="220" customFormat="false" ht="15" hidden="false" customHeight="false" outlineLevel="0" collapsed="false">
      <c r="A220" s="5" t="s">
        <v>176</v>
      </c>
      <c r="D220" s="21" t="n">
        <f aca="false">SUMPRODUCT(($B$194:$B$210=$A220)*D$194:D$210*$C$194:$C$210)</f>
        <v>44.411444338064</v>
      </c>
      <c r="E220" s="21" t="n">
        <f aca="false">SUMPRODUCT(($B$194:$B$210=$A220)*E$194:E$210*$C$194:$C$210)</f>
        <v>44.411444338064</v>
      </c>
      <c r="F220" s="21" t="n">
        <f aca="false">SUMPRODUCT(($B$194:$B$210=$A220)*F$194:F$210*$C$194:$C$210)</f>
        <v>44.411444338064</v>
      </c>
      <c r="G220" s="21" t="n">
        <f aca="false">SUMPRODUCT(($B$194:$B$210=$A220)*G$194:G$210*$C$194:$C$210)</f>
        <v>44.411444338064</v>
      </c>
      <c r="H220" s="21" t="n">
        <f aca="false">SUMPRODUCT(($B$194:$B$210=$A220)*H$194:H$210*$C$194:$C$210)</f>
        <v>44.411444338064</v>
      </c>
      <c r="I220" s="21" t="n">
        <f aca="false">SUMPRODUCT(($B$194:$B$210=$A220)*I$194:I$210*$C$194:$C$210)</f>
        <v>44.411444338064</v>
      </c>
      <c r="J220" s="21" t="n">
        <f aca="false">SUMPRODUCT(($B$194:$B$210=$A220)*J$194:J$210*$C$194:$C$210)</f>
        <v>44.411444338064</v>
      </c>
      <c r="K220" s="21" t="n">
        <f aca="false">SUMPRODUCT(($B$194:$B$210=$A220)*K$194:K$210*$C$194:$C$210)</f>
        <v>44.411444338064</v>
      </c>
      <c r="L220" s="21" t="n">
        <f aca="false">SUMPRODUCT(($B$194:$B$210=$A220)*L$194:L$210*$C$194:$C$210)</f>
        <v>44.411444338064</v>
      </c>
      <c r="M220" s="21" t="n">
        <f aca="false">SUMPRODUCT(($B$194:$B$210=$A220)*M$194:M$210*$C$194:$C$210)</f>
        <v>44.411444338064</v>
      </c>
      <c r="N220" s="21" t="n">
        <f aca="false">SUMPRODUCT(($B$194:$B$210=$A220)*N$194:N$210*$C$194:$C$210)</f>
        <v>44.411444338064</v>
      </c>
      <c r="O220" s="21" t="n">
        <f aca="false">SUMPRODUCT(($B$194:$B$210=$A220)*O$194:O$210*$C$194:$C$210)</f>
        <v>44.411444338064</v>
      </c>
      <c r="P220" s="21" t="n">
        <f aca="false">SUMPRODUCT(($B$194:$B$210=$A220)*P$194:P$210*$C$194:$C$210)</f>
        <v>532.937332056768</v>
      </c>
    </row>
    <row r="221" customFormat="false" ht="15" hidden="false" customHeight="false" outlineLevel="0" collapsed="false">
      <c r="A221" s="4" t="s">
        <v>358</v>
      </c>
      <c r="D221" s="22" t="n">
        <f aca="false">SUMPRODUCT(D$194:D$210*parametros_recargas!$D$51:$D$67)</f>
        <v>452.217615138974</v>
      </c>
      <c r="E221" s="22" t="n">
        <f aca="false">SUMPRODUCT(E$194:E$210*parametros_recargas!$D$51:$D$67)</f>
        <v>452.217615138974</v>
      </c>
      <c r="F221" s="22" t="n">
        <f aca="false">SUMPRODUCT(F$194:F$210*parametros_recargas!$D$51:$D$67)</f>
        <v>452.217615138974</v>
      </c>
      <c r="G221" s="22" t="n">
        <f aca="false">SUMPRODUCT(G$194:G$210*parametros_recargas!$D$51:$D$67)</f>
        <v>452.217615138974</v>
      </c>
      <c r="H221" s="22" t="n">
        <f aca="false">SUMPRODUCT(H$194:H$210*parametros_recargas!$D$51:$D$67)</f>
        <v>452.217615138974</v>
      </c>
      <c r="I221" s="22" t="n">
        <f aca="false">SUMPRODUCT(I$194:I$210*parametros_recargas!$D$51:$D$67)</f>
        <v>452.217615138974</v>
      </c>
      <c r="J221" s="22" t="n">
        <f aca="false">SUMPRODUCT(J$194:J$210*parametros_recargas!$D$51:$D$67)</f>
        <v>452.217615138974</v>
      </c>
      <c r="K221" s="22" t="n">
        <f aca="false">SUMPRODUCT(K$194:K$210*parametros_recargas!$D$51:$D$67)</f>
        <v>452.217615138974</v>
      </c>
      <c r="L221" s="22" t="n">
        <f aca="false">SUMPRODUCT(L$194:L$210*parametros_recargas!$D$51:$D$67)</f>
        <v>452.217615138974</v>
      </c>
      <c r="M221" s="22" t="n">
        <f aca="false">SUMPRODUCT(M$194:M$210*parametros_recargas!$D$51:$D$67)</f>
        <v>452.217615138974</v>
      </c>
      <c r="N221" s="22" t="n">
        <f aca="false">SUMPRODUCT(N$194:N$210*parametros_recargas!$D$51:$D$67)</f>
        <v>452.217615138974</v>
      </c>
      <c r="O221" s="22" t="n">
        <f aca="false">SUMPRODUCT(O$194:O$210*parametros_recargas!$D$51:$D$67)</f>
        <v>452.217615138974</v>
      </c>
      <c r="P221" s="22" t="n">
        <f aca="false">SUMPRODUCT(P$194:P$210*parametros_recargas!$D$51:$D$67)</f>
        <v>5426.61138166768</v>
      </c>
    </row>
    <row r="222" customFormat="false" ht="15" hidden="false" customHeight="false" outlineLevel="0" collapsed="false">
      <c r="A222" s="4" t="s">
        <v>359</v>
      </c>
      <c r="D222" s="22" t="n">
        <f aca="false">SUMPRODUCT(sobrestock_sustitutos!$H$73:$H$89*(sobrestock_sustitutos!$F$30:$F$46="Fábrica: cilindro vacío")*parametros_recargas!$C$51:$C$67*parametros_recargas!$B$107:$B$123)</f>
        <v>15.7036</v>
      </c>
      <c r="E222" s="22" t="n">
        <f aca="false">SUMPRODUCT(sobrestock_sustitutos!$H$73:$H$89*(sobrestock_sustitutos!$F$30:$F$46="Fábrica: cilindro vacío")*parametros_recargas!$C$51:$C$67*parametros_recargas!$C$107:$C$123)</f>
        <v>12.6452</v>
      </c>
      <c r="F222" s="22" t="n">
        <f aca="false">SUMPRODUCT(sobrestock_sustitutos!$H$73:$H$89*(sobrestock_sustitutos!$F$30:$F$46="Fábrica: cilindro vacío")*parametros_recargas!$C$51:$C$67*parametros_recargas!$D$107:$D$123)</f>
        <v>13.5568</v>
      </c>
      <c r="G222" s="22" t="n">
        <f aca="false">SUMPRODUCT(sobrestock_sustitutos!$H$73:$H$89*(sobrestock_sustitutos!$F$30:$F$46="Fábrica: cilindro vacío")*parametros_recargas!$C$51:$C$67*parametros_recargas!$E$107:$E$123)</f>
        <v>13.5568</v>
      </c>
      <c r="H222" s="22" t="n">
        <f aca="false">SUMPRODUCT(sobrestock_sustitutos!$H$73:$H$89*(sobrestock_sustitutos!$F$30:$F$46="Fábrica: cilindro vacío")*parametros_recargas!$C$51:$C$67*parametros_recargas!$F$107:$F$123)</f>
        <v>12.8216</v>
      </c>
      <c r="I222" s="22" t="n">
        <f aca="false">SUMPRODUCT(sobrestock_sustitutos!$H$73:$H$89*(sobrestock_sustitutos!$F$30:$F$46="Fábrica: cilindro vacío")*parametros_recargas!$C$51:$C$67*parametros_recargas!$G$107:$G$123)</f>
        <v>11.9688</v>
      </c>
      <c r="J222" s="22" t="n">
        <f aca="false">SUMPRODUCT(sobrestock_sustitutos!$H$73:$H$89*(sobrestock_sustitutos!$F$30:$F$46="Fábrica: cilindro vacío")*parametros_recargas!$C$51:$C$67*parametros_recargas!$H$107:$H$123)</f>
        <v>12.8216</v>
      </c>
      <c r="K222" s="22" t="n">
        <f aca="false">SUMPRODUCT(sobrestock_sustitutos!$H$73:$H$89*(sobrestock_sustitutos!$F$30:$F$46="Fábrica: cilindro vacío")*parametros_recargas!$C$51:$C$67*parametros_recargas!$I$107:$I$123)</f>
        <v>12.8216</v>
      </c>
      <c r="L222" s="22" t="n">
        <f aca="false">SUMPRODUCT(sobrestock_sustitutos!$H$73:$H$89*(sobrestock_sustitutos!$F$30:$F$46="Fábrica: cilindro vacío")*parametros_recargas!$C$51:$C$67*parametros_recargas!$J$107:$J$123)</f>
        <v>12.7628</v>
      </c>
      <c r="M222" s="22" t="n">
        <f aca="false">SUMPRODUCT(sobrestock_sustitutos!$H$73:$H$89*(sobrestock_sustitutos!$F$30:$F$46="Fábrica: cilindro vacío")*parametros_recargas!$C$51:$C$67*parametros_recargas!$K$107:$K$123)</f>
        <v>11.91</v>
      </c>
      <c r="N222" s="22" t="n">
        <f aca="false">SUMPRODUCT(sobrestock_sustitutos!$H$73:$H$89*(sobrestock_sustitutos!$F$30:$F$46="Fábrica: cilindro vacío")*parametros_recargas!$C$51:$C$67*parametros_recargas!$L$107:$L$123)</f>
        <v>11.116</v>
      </c>
      <c r="O222" s="22" t="n">
        <f aca="false">SUMPRODUCT(sobrestock_sustitutos!$H$73:$H$89*(sobrestock_sustitutos!$F$30:$F$46="Fábrica: cilindro vacío")*parametros_recargas!$C$51:$C$67*parametros_recargas!$M$107:$M$123)</f>
        <v>17.1152</v>
      </c>
      <c r="P222" s="7" t="n">
        <f aca="false">SUM(D222:O222)</f>
        <v>158.8</v>
      </c>
    </row>
    <row r="225" customFormat="false" ht="23.85" hidden="false" customHeight="false" outlineLevel="0" collapsed="false">
      <c r="A225" s="23" t="n">
        <v>2033</v>
      </c>
      <c r="B225" s="3" t="s">
        <v>353</v>
      </c>
      <c r="C225" s="3" t="s">
        <v>354</v>
      </c>
      <c r="D225" s="3" t="s">
        <v>147</v>
      </c>
      <c r="E225" s="3" t="s">
        <v>148</v>
      </c>
      <c r="F225" s="3" t="s">
        <v>149</v>
      </c>
      <c r="G225" s="3" t="s">
        <v>150</v>
      </c>
      <c r="H225" s="3" t="s">
        <v>151</v>
      </c>
      <c r="I225" s="3" t="s">
        <v>152</v>
      </c>
      <c r="J225" s="3" t="s">
        <v>153</v>
      </c>
      <c r="K225" s="3" t="s">
        <v>154</v>
      </c>
      <c r="L225" s="3" t="s">
        <v>155</v>
      </c>
      <c r="M225" s="3" t="s">
        <v>156</v>
      </c>
      <c r="N225" s="3" t="s">
        <v>157</v>
      </c>
      <c r="O225" s="3" t="s">
        <v>158</v>
      </c>
      <c r="P225" s="3" t="s">
        <v>83</v>
      </c>
      <c r="Q225" s="3" t="s">
        <v>355</v>
      </c>
    </row>
    <row r="226" customFormat="false" ht="15" hidden="false" customHeight="false" outlineLevel="0" collapsed="false">
      <c r="A226" s="9" t="str">
        <f aca="false">parametros_recargas!A51</f>
        <v>ABC 1 kg</v>
      </c>
      <c r="B226" s="9" t="str">
        <f aca="false">parametros_recargas!B51</f>
        <v>ABC</v>
      </c>
      <c r="C226" s="11" t="n">
        <f aca="false">parametros_recargas!C51</f>
        <v>1</v>
      </c>
      <c r="D226" s="21" t="n">
        <f aca="false">datos_base!$I$2*parametros_recargas!$B$44+sobrestock_sustitutos!$I$98/12</f>
        <v>7920.59177847378</v>
      </c>
      <c r="E226" s="21" t="n">
        <f aca="false">datos_base!$I$2*parametros_recargas!$C$44+sobrestock_sustitutos!$I$98/12</f>
        <v>7920.59177847378</v>
      </c>
      <c r="F226" s="21" t="n">
        <f aca="false">datos_base!$I$2*parametros_recargas!$D$44+sobrestock_sustitutos!$I$98/12</f>
        <v>7920.59177847378</v>
      </c>
      <c r="G226" s="21" t="n">
        <f aca="false">datos_base!$I$2*parametros_recargas!$E$44+sobrestock_sustitutos!$I$98/12</f>
        <v>7920.59177847378</v>
      </c>
      <c r="H226" s="21" t="n">
        <f aca="false">datos_base!$I$2*parametros_recargas!$F$44+sobrestock_sustitutos!$I$98/12</f>
        <v>7920.59177847378</v>
      </c>
      <c r="I226" s="21" t="n">
        <f aca="false">datos_base!$I$2*parametros_recargas!$G$44+sobrestock_sustitutos!$I$98/12</f>
        <v>7920.59177847378</v>
      </c>
      <c r="J226" s="21" t="n">
        <f aca="false">datos_base!$I$2*parametros_recargas!$H$44+sobrestock_sustitutos!$I$98/12</f>
        <v>7920.59177847378</v>
      </c>
      <c r="K226" s="21" t="n">
        <f aca="false">datos_base!$I$2*parametros_recargas!$I$44+sobrestock_sustitutos!$I$98/12</f>
        <v>7920.59177847378</v>
      </c>
      <c r="L226" s="21" t="n">
        <f aca="false">datos_base!$I$2*parametros_recargas!$J$44+sobrestock_sustitutos!$I$98/12</f>
        <v>7920.59177847378</v>
      </c>
      <c r="M226" s="21" t="n">
        <f aca="false">datos_base!$I$2*parametros_recargas!$K$44+sobrestock_sustitutos!$I$98/12</f>
        <v>7920.59177847378</v>
      </c>
      <c r="N226" s="21" t="n">
        <f aca="false">datos_base!$I$2*parametros_recargas!$L$44+sobrestock_sustitutos!$I$98/12</f>
        <v>7920.59177847378</v>
      </c>
      <c r="O226" s="21" t="n">
        <f aca="false">datos_base!$I$2*parametros_recargas!$M$44+sobrestock_sustitutos!$I$98/12</f>
        <v>7920.59177847378</v>
      </c>
      <c r="P226" s="7" t="n">
        <f aca="false">SUM(D226:O226)</f>
        <v>95047.1013416854</v>
      </c>
      <c r="Q226" s="6" t="n">
        <f aca="false">sobrestock_sustitutos!$I$98</f>
        <v>0</v>
      </c>
    </row>
    <row r="227" customFormat="false" ht="15" hidden="false" customHeight="false" outlineLevel="0" collapsed="false">
      <c r="A227" s="9" t="str">
        <f aca="false">parametros_recargas!A52</f>
        <v>ABC 2,5 kg</v>
      </c>
      <c r="B227" s="9" t="str">
        <f aca="false">parametros_recargas!B52</f>
        <v>ABC</v>
      </c>
      <c r="C227" s="11" t="n">
        <f aca="false">parametros_recargas!C52</f>
        <v>1</v>
      </c>
      <c r="D227" s="21" t="n">
        <f aca="false">datos_base!$I$3*parametros_recargas!$B$44+sobrestock_sustitutos!$I$99/12</f>
        <v>666.512742931172</v>
      </c>
      <c r="E227" s="21" t="n">
        <f aca="false">datos_base!$I$3*parametros_recargas!$C$44+sobrestock_sustitutos!$I$99/12</f>
        <v>666.512742931172</v>
      </c>
      <c r="F227" s="21" t="n">
        <f aca="false">datos_base!$I$3*parametros_recargas!$D$44+sobrestock_sustitutos!$I$99/12</f>
        <v>666.512742931172</v>
      </c>
      <c r="G227" s="21" t="n">
        <f aca="false">datos_base!$I$3*parametros_recargas!$E$44+sobrestock_sustitutos!$I$99/12</f>
        <v>666.512742931172</v>
      </c>
      <c r="H227" s="21" t="n">
        <f aca="false">datos_base!$I$3*parametros_recargas!$F$44+sobrestock_sustitutos!$I$99/12</f>
        <v>666.512742931172</v>
      </c>
      <c r="I227" s="21" t="n">
        <f aca="false">datos_base!$I$3*parametros_recargas!$G$44+sobrestock_sustitutos!$I$99/12</f>
        <v>666.512742931172</v>
      </c>
      <c r="J227" s="21" t="n">
        <f aca="false">datos_base!$I$3*parametros_recargas!$H$44+sobrestock_sustitutos!$I$99/12</f>
        <v>666.512742931172</v>
      </c>
      <c r="K227" s="21" t="n">
        <f aca="false">datos_base!$I$3*parametros_recargas!$I$44+sobrestock_sustitutos!$I$99/12</f>
        <v>666.512742931172</v>
      </c>
      <c r="L227" s="21" t="n">
        <f aca="false">datos_base!$I$3*parametros_recargas!$J$44+sobrestock_sustitutos!$I$99/12</f>
        <v>666.512742931172</v>
      </c>
      <c r="M227" s="21" t="n">
        <f aca="false">datos_base!$I$3*parametros_recargas!$K$44+sobrestock_sustitutos!$I$99/12</f>
        <v>666.512742931172</v>
      </c>
      <c r="N227" s="21" t="n">
        <f aca="false">datos_base!$I$3*parametros_recargas!$L$44+sobrestock_sustitutos!$I$99/12</f>
        <v>666.512742931172</v>
      </c>
      <c r="O227" s="21" t="n">
        <f aca="false">datos_base!$I$3*parametros_recargas!$M$44+sobrestock_sustitutos!$I$99/12</f>
        <v>666.512742931172</v>
      </c>
      <c r="P227" s="7" t="n">
        <f aca="false">SUM(D227:O227)</f>
        <v>7998.15291517406</v>
      </c>
      <c r="Q227" s="6" t="n">
        <f aca="false">sobrestock_sustitutos!$I$99</f>
        <v>89</v>
      </c>
    </row>
    <row r="228" customFormat="false" ht="15" hidden="false" customHeight="false" outlineLevel="0" collapsed="false">
      <c r="A228" s="9" t="str">
        <f aca="false">parametros_recargas!A53</f>
        <v>ABC 5 kg</v>
      </c>
      <c r="B228" s="9" t="str">
        <f aca="false">parametros_recargas!B53</f>
        <v>ABC</v>
      </c>
      <c r="C228" s="11" t="n">
        <f aca="false">parametros_recargas!C53</f>
        <v>1</v>
      </c>
      <c r="D228" s="21" t="n">
        <f aca="false">datos_base!$I$4*parametros_recargas!$B$44+sobrestock_sustitutos!$I$100/12</f>
        <v>4078.39635353432</v>
      </c>
      <c r="E228" s="21" t="n">
        <f aca="false">datos_base!$I$4*parametros_recargas!$C$44+sobrestock_sustitutos!$I$100/12</f>
        <v>4078.39635353432</v>
      </c>
      <c r="F228" s="21" t="n">
        <f aca="false">datos_base!$I$4*parametros_recargas!$D$44+sobrestock_sustitutos!$I$100/12</f>
        <v>4078.39635353432</v>
      </c>
      <c r="G228" s="21" t="n">
        <f aca="false">datos_base!$I$4*parametros_recargas!$E$44+sobrestock_sustitutos!$I$100/12</f>
        <v>4078.39635353432</v>
      </c>
      <c r="H228" s="21" t="n">
        <f aca="false">datos_base!$I$4*parametros_recargas!$F$44+sobrestock_sustitutos!$I$100/12</f>
        <v>4078.39635353432</v>
      </c>
      <c r="I228" s="21" t="n">
        <f aca="false">datos_base!$I$4*parametros_recargas!$G$44+sobrestock_sustitutos!$I$100/12</f>
        <v>4078.39635353432</v>
      </c>
      <c r="J228" s="21" t="n">
        <f aca="false">datos_base!$I$4*parametros_recargas!$H$44+sobrestock_sustitutos!$I$100/12</f>
        <v>4078.39635353432</v>
      </c>
      <c r="K228" s="21" t="n">
        <f aca="false">datos_base!$I$4*parametros_recargas!$I$44+sobrestock_sustitutos!$I$100/12</f>
        <v>4078.39635353432</v>
      </c>
      <c r="L228" s="21" t="n">
        <f aca="false">datos_base!$I$4*parametros_recargas!$J$44+sobrestock_sustitutos!$I$100/12</f>
        <v>4078.39635353432</v>
      </c>
      <c r="M228" s="21" t="n">
        <f aca="false">datos_base!$I$4*parametros_recargas!$K$44+sobrestock_sustitutos!$I$100/12</f>
        <v>4078.39635353432</v>
      </c>
      <c r="N228" s="21" t="n">
        <f aca="false">datos_base!$I$4*parametros_recargas!$L$44+sobrestock_sustitutos!$I$100/12</f>
        <v>4078.39635353432</v>
      </c>
      <c r="O228" s="21" t="n">
        <f aca="false">datos_base!$I$4*parametros_recargas!$M$44+sobrestock_sustitutos!$I$100/12</f>
        <v>4078.39635353432</v>
      </c>
      <c r="P228" s="7" t="n">
        <f aca="false">SUM(D228:O228)</f>
        <v>48940.7562424118</v>
      </c>
      <c r="Q228" s="6" t="n">
        <f aca="false">sobrestock_sustitutos!$I$100</f>
        <v>566</v>
      </c>
    </row>
    <row r="229" customFormat="false" ht="15" hidden="false" customHeight="false" outlineLevel="0" collapsed="false">
      <c r="A229" s="9" t="str">
        <f aca="false">parametros_recargas!A54</f>
        <v>ABC 10 kg</v>
      </c>
      <c r="B229" s="9" t="str">
        <f aca="false">parametros_recargas!B54</f>
        <v>ABC</v>
      </c>
      <c r="C229" s="11" t="n">
        <f aca="false">parametros_recargas!C54</f>
        <v>1</v>
      </c>
      <c r="D229" s="21" t="n">
        <f aca="false">datos_base!$I$5*parametros_recargas!$B$44+sobrestock_sustitutos!$I$101/12</f>
        <v>241.40210655541</v>
      </c>
      <c r="E229" s="21" t="n">
        <f aca="false">datos_base!$I$5*parametros_recargas!$C$44+sobrestock_sustitutos!$I$101/12</f>
        <v>241.40210655541</v>
      </c>
      <c r="F229" s="21" t="n">
        <f aca="false">datos_base!$I$5*parametros_recargas!$D$44+sobrestock_sustitutos!$I$101/12</f>
        <v>241.40210655541</v>
      </c>
      <c r="G229" s="21" t="n">
        <f aca="false">datos_base!$I$5*parametros_recargas!$E$44+sobrestock_sustitutos!$I$101/12</f>
        <v>241.40210655541</v>
      </c>
      <c r="H229" s="21" t="n">
        <f aca="false">datos_base!$I$5*parametros_recargas!$F$44+sobrestock_sustitutos!$I$101/12</f>
        <v>241.40210655541</v>
      </c>
      <c r="I229" s="21" t="n">
        <f aca="false">datos_base!$I$5*parametros_recargas!$G$44+sobrestock_sustitutos!$I$101/12</f>
        <v>241.40210655541</v>
      </c>
      <c r="J229" s="21" t="n">
        <f aca="false">datos_base!$I$5*parametros_recargas!$H$44+sobrestock_sustitutos!$I$101/12</f>
        <v>241.40210655541</v>
      </c>
      <c r="K229" s="21" t="n">
        <f aca="false">datos_base!$I$5*parametros_recargas!$I$44+sobrestock_sustitutos!$I$101/12</f>
        <v>241.40210655541</v>
      </c>
      <c r="L229" s="21" t="n">
        <f aca="false">datos_base!$I$5*parametros_recargas!$J$44+sobrestock_sustitutos!$I$101/12</f>
        <v>241.40210655541</v>
      </c>
      <c r="M229" s="21" t="n">
        <f aca="false">datos_base!$I$5*parametros_recargas!$K$44+sobrestock_sustitutos!$I$101/12</f>
        <v>241.40210655541</v>
      </c>
      <c r="N229" s="21" t="n">
        <f aca="false">datos_base!$I$5*parametros_recargas!$L$44+sobrestock_sustitutos!$I$101/12</f>
        <v>241.40210655541</v>
      </c>
      <c r="O229" s="21" t="n">
        <f aca="false">datos_base!$I$5*parametros_recargas!$M$44+sobrestock_sustitutos!$I$101/12</f>
        <v>241.40210655541</v>
      </c>
      <c r="P229" s="7" t="n">
        <f aca="false">SUM(D229:O229)</f>
        <v>2896.82527866492</v>
      </c>
      <c r="Q229" s="6" t="n">
        <f aca="false">sobrestock_sustitutos!$I$101</f>
        <v>33</v>
      </c>
    </row>
    <row r="230" customFormat="false" ht="15" hidden="false" customHeight="false" outlineLevel="0" collapsed="false">
      <c r="A230" s="9" t="str">
        <f aca="false">parametros_recargas!A55</f>
        <v>Agua 10 l</v>
      </c>
      <c r="B230" s="9" t="str">
        <f aca="false">parametros_recargas!B55</f>
        <v>Agua</v>
      </c>
      <c r="C230" s="11" t="n">
        <f aca="false">parametros_recargas!C55</f>
        <v>1</v>
      </c>
      <c r="D230" s="21" t="n">
        <f aca="false">datos_base!$I$6*parametros_recargas!$B$44+sobrestock_sustitutos!$I$102/12</f>
        <v>339.93820927985</v>
      </c>
      <c r="E230" s="21" t="n">
        <f aca="false">datos_base!$I$6*parametros_recargas!$C$44+sobrestock_sustitutos!$I$102/12</f>
        <v>339.93820927985</v>
      </c>
      <c r="F230" s="21" t="n">
        <f aca="false">datos_base!$I$6*parametros_recargas!$D$44+sobrestock_sustitutos!$I$102/12</f>
        <v>339.93820927985</v>
      </c>
      <c r="G230" s="21" t="n">
        <f aca="false">datos_base!$I$6*parametros_recargas!$E$44+sobrestock_sustitutos!$I$102/12</f>
        <v>339.93820927985</v>
      </c>
      <c r="H230" s="21" t="n">
        <f aca="false">datos_base!$I$6*parametros_recargas!$F$44+sobrestock_sustitutos!$I$102/12</f>
        <v>339.93820927985</v>
      </c>
      <c r="I230" s="21" t="n">
        <f aca="false">datos_base!$I$6*parametros_recargas!$G$44+sobrestock_sustitutos!$I$102/12</f>
        <v>339.93820927985</v>
      </c>
      <c r="J230" s="21" t="n">
        <f aca="false">datos_base!$I$6*parametros_recargas!$H$44+sobrestock_sustitutos!$I$102/12</f>
        <v>339.93820927985</v>
      </c>
      <c r="K230" s="21" t="n">
        <f aca="false">datos_base!$I$6*parametros_recargas!$I$44+sobrestock_sustitutos!$I$102/12</f>
        <v>339.93820927985</v>
      </c>
      <c r="L230" s="21" t="n">
        <f aca="false">datos_base!$I$6*parametros_recargas!$J$44+sobrestock_sustitutos!$I$102/12</f>
        <v>339.93820927985</v>
      </c>
      <c r="M230" s="21" t="n">
        <f aca="false">datos_base!$I$6*parametros_recargas!$K$44+sobrestock_sustitutos!$I$102/12</f>
        <v>339.93820927985</v>
      </c>
      <c r="N230" s="21" t="n">
        <f aca="false">datos_base!$I$6*parametros_recargas!$L$44+sobrestock_sustitutos!$I$102/12</f>
        <v>339.93820927985</v>
      </c>
      <c r="O230" s="21" t="n">
        <f aca="false">datos_base!$I$6*parametros_recargas!$M$44+sobrestock_sustitutos!$I$102/12</f>
        <v>339.93820927985</v>
      </c>
      <c r="P230" s="7" t="n">
        <f aca="false">SUM(D230:O230)</f>
        <v>4079.2585113582</v>
      </c>
      <c r="Q230" s="6" t="n">
        <f aca="false">sobrestock_sustitutos!$I$102</f>
        <v>48</v>
      </c>
    </row>
    <row r="231" customFormat="false" ht="15" hidden="false" customHeight="false" outlineLevel="0" collapsed="false">
      <c r="A231" s="9" t="str">
        <f aca="false">parametros_recargas!A56</f>
        <v>AFFF 10 l</v>
      </c>
      <c r="B231" s="9" t="str">
        <f aca="false">parametros_recargas!B56</f>
        <v>AFFF</v>
      </c>
      <c r="C231" s="11" t="n">
        <f aca="false">parametros_recargas!C56</f>
        <v>1</v>
      </c>
      <c r="D231" s="21" t="n">
        <f aca="false">datos_base!$I$7*parametros_recargas!$B$44+sobrestock_sustitutos!$I$103/12</f>
        <v>63.4582006174928</v>
      </c>
      <c r="E231" s="21" t="n">
        <f aca="false">datos_base!$I$7*parametros_recargas!$C$44+sobrestock_sustitutos!$I$103/12</f>
        <v>63.4582006174928</v>
      </c>
      <c r="F231" s="21" t="n">
        <f aca="false">datos_base!$I$7*parametros_recargas!$D$44+sobrestock_sustitutos!$I$103/12</f>
        <v>63.4582006174928</v>
      </c>
      <c r="G231" s="21" t="n">
        <f aca="false">datos_base!$I$7*parametros_recargas!$E$44+sobrestock_sustitutos!$I$103/12</f>
        <v>63.4582006174928</v>
      </c>
      <c r="H231" s="21" t="n">
        <f aca="false">datos_base!$I$7*parametros_recargas!$F$44+sobrestock_sustitutos!$I$103/12</f>
        <v>63.4582006174928</v>
      </c>
      <c r="I231" s="21" t="n">
        <f aca="false">datos_base!$I$7*parametros_recargas!$G$44+sobrestock_sustitutos!$I$103/12</f>
        <v>63.4582006174928</v>
      </c>
      <c r="J231" s="21" t="n">
        <f aca="false">datos_base!$I$7*parametros_recargas!$H$44+sobrestock_sustitutos!$I$103/12</f>
        <v>63.4582006174928</v>
      </c>
      <c r="K231" s="21" t="n">
        <f aca="false">datos_base!$I$7*parametros_recargas!$I$44+sobrestock_sustitutos!$I$103/12</f>
        <v>63.4582006174928</v>
      </c>
      <c r="L231" s="21" t="n">
        <f aca="false">datos_base!$I$7*parametros_recargas!$J$44+sobrestock_sustitutos!$I$103/12</f>
        <v>63.4582006174928</v>
      </c>
      <c r="M231" s="21" t="n">
        <f aca="false">datos_base!$I$7*parametros_recargas!$K$44+sobrestock_sustitutos!$I$103/12</f>
        <v>63.4582006174928</v>
      </c>
      <c r="N231" s="21" t="n">
        <f aca="false">datos_base!$I$7*parametros_recargas!$L$44+sobrestock_sustitutos!$I$103/12</f>
        <v>63.4582006174928</v>
      </c>
      <c r="O231" s="21" t="n">
        <f aca="false">datos_base!$I$7*parametros_recargas!$M$44+sobrestock_sustitutos!$I$103/12</f>
        <v>63.4582006174928</v>
      </c>
      <c r="P231" s="7" t="n">
        <f aca="false">SUM(D231:O231)</f>
        <v>761.498407409914</v>
      </c>
      <c r="Q231" s="6" t="n">
        <f aca="false">sobrestock_sustitutos!$I$103</f>
        <v>12</v>
      </c>
    </row>
    <row r="232" customFormat="false" ht="15" hidden="false" customHeight="false" outlineLevel="0" collapsed="false">
      <c r="A232" s="9" t="str">
        <f aca="false">parametros_recargas!A57</f>
        <v>AFFF 50 l s/ruedas</v>
      </c>
      <c r="B232" s="9" t="str">
        <f aca="false">parametros_recargas!B57</f>
        <v>AFFF</v>
      </c>
      <c r="C232" s="11" t="n">
        <f aca="false">parametros_recargas!C57</f>
        <v>3</v>
      </c>
      <c r="D232" s="21" t="n">
        <f aca="false">datos_base!$I$8*parametros_recargas!$B$44+sobrestock_sustitutos!$I$104/12</f>
        <v>33.3635210149915</v>
      </c>
      <c r="E232" s="21" t="n">
        <f aca="false">datos_base!$I$8*parametros_recargas!$C$44+sobrestock_sustitutos!$I$104/12</f>
        <v>33.3635210149915</v>
      </c>
      <c r="F232" s="21" t="n">
        <f aca="false">datos_base!$I$8*parametros_recargas!$D$44+sobrestock_sustitutos!$I$104/12</f>
        <v>33.3635210149915</v>
      </c>
      <c r="G232" s="21" t="n">
        <f aca="false">datos_base!$I$8*parametros_recargas!$E$44+sobrestock_sustitutos!$I$104/12</f>
        <v>33.3635210149915</v>
      </c>
      <c r="H232" s="21" t="n">
        <f aca="false">datos_base!$I$8*parametros_recargas!$F$44+sobrestock_sustitutos!$I$104/12</f>
        <v>33.3635210149915</v>
      </c>
      <c r="I232" s="21" t="n">
        <f aca="false">datos_base!$I$8*parametros_recargas!$G$44+sobrestock_sustitutos!$I$104/12</f>
        <v>33.3635210149915</v>
      </c>
      <c r="J232" s="21" t="n">
        <f aca="false">datos_base!$I$8*parametros_recargas!$H$44+sobrestock_sustitutos!$I$104/12</f>
        <v>33.3635210149915</v>
      </c>
      <c r="K232" s="21" t="n">
        <f aca="false">datos_base!$I$8*parametros_recargas!$I$44+sobrestock_sustitutos!$I$104/12</f>
        <v>33.3635210149915</v>
      </c>
      <c r="L232" s="21" t="n">
        <f aca="false">datos_base!$I$8*parametros_recargas!$J$44+sobrestock_sustitutos!$I$104/12</f>
        <v>33.3635210149915</v>
      </c>
      <c r="M232" s="21" t="n">
        <f aca="false">datos_base!$I$8*parametros_recargas!$K$44+sobrestock_sustitutos!$I$104/12</f>
        <v>33.3635210149915</v>
      </c>
      <c r="N232" s="21" t="n">
        <f aca="false">datos_base!$I$8*parametros_recargas!$L$44+sobrestock_sustitutos!$I$104/12</f>
        <v>33.3635210149915</v>
      </c>
      <c r="O232" s="21" t="n">
        <f aca="false">datos_base!$I$8*parametros_recargas!$M$44+sobrestock_sustitutos!$I$104/12</f>
        <v>33.3635210149915</v>
      </c>
      <c r="P232" s="7" t="n">
        <f aca="false">SUM(D232:O232)</f>
        <v>400.362252179898</v>
      </c>
      <c r="Q232" s="6" t="n">
        <f aca="false">sobrestock_sustitutos!$I$104</f>
        <v>6</v>
      </c>
    </row>
    <row r="233" customFormat="false" ht="15" hidden="false" customHeight="false" outlineLevel="0" collapsed="false">
      <c r="A233" s="9" t="str">
        <f aca="false">parametros_recargas!A58</f>
        <v>BC 5 kg</v>
      </c>
      <c r="B233" s="9" t="str">
        <f aca="false">parametros_recargas!B58</f>
        <v>BC</v>
      </c>
      <c r="C233" s="11" t="n">
        <f aca="false">parametros_recargas!C58</f>
        <v>1</v>
      </c>
      <c r="D233" s="21" t="n">
        <f aca="false">datos_base!$I$9*parametros_recargas!$B$44+sobrestock_sustitutos!$I$105/12</f>
        <v>19.2059021651652</v>
      </c>
      <c r="E233" s="21" t="n">
        <f aca="false">datos_base!$I$9*parametros_recargas!$C$44+sobrestock_sustitutos!$I$105/12</f>
        <v>19.2059021651652</v>
      </c>
      <c r="F233" s="21" t="n">
        <f aca="false">datos_base!$I$9*parametros_recargas!$D$44+sobrestock_sustitutos!$I$105/12</f>
        <v>19.2059021651652</v>
      </c>
      <c r="G233" s="21" t="n">
        <f aca="false">datos_base!$I$9*parametros_recargas!$E$44+sobrestock_sustitutos!$I$105/12</f>
        <v>19.2059021651652</v>
      </c>
      <c r="H233" s="21" t="n">
        <f aca="false">datos_base!$I$9*parametros_recargas!$F$44+sobrestock_sustitutos!$I$105/12</f>
        <v>19.2059021651652</v>
      </c>
      <c r="I233" s="21" t="n">
        <f aca="false">datos_base!$I$9*parametros_recargas!$G$44+sobrestock_sustitutos!$I$105/12</f>
        <v>19.2059021651652</v>
      </c>
      <c r="J233" s="21" t="n">
        <f aca="false">datos_base!$I$9*parametros_recargas!$H$44+sobrestock_sustitutos!$I$105/12</f>
        <v>19.2059021651652</v>
      </c>
      <c r="K233" s="21" t="n">
        <f aca="false">datos_base!$I$9*parametros_recargas!$I$44+sobrestock_sustitutos!$I$105/12</f>
        <v>19.2059021651652</v>
      </c>
      <c r="L233" s="21" t="n">
        <f aca="false">datos_base!$I$9*parametros_recargas!$J$44+sobrestock_sustitutos!$I$105/12</f>
        <v>19.2059021651652</v>
      </c>
      <c r="M233" s="21" t="n">
        <f aca="false">datos_base!$I$9*parametros_recargas!$K$44+sobrestock_sustitutos!$I$105/12</f>
        <v>19.2059021651652</v>
      </c>
      <c r="N233" s="21" t="n">
        <f aca="false">datos_base!$I$9*parametros_recargas!$L$44+sobrestock_sustitutos!$I$105/12</f>
        <v>19.2059021651652</v>
      </c>
      <c r="O233" s="21" t="n">
        <f aca="false">datos_base!$I$9*parametros_recargas!$M$44+sobrestock_sustitutos!$I$105/12</f>
        <v>19.2059021651652</v>
      </c>
      <c r="P233" s="7" t="n">
        <f aca="false">SUM(D233:O233)</f>
        <v>230.470825981982</v>
      </c>
      <c r="Q233" s="6" t="n">
        <f aca="false">sobrestock_sustitutos!$I$105</f>
        <v>4</v>
      </c>
    </row>
    <row r="234" customFormat="false" ht="15" hidden="false" customHeight="false" outlineLevel="0" collapsed="false">
      <c r="A234" s="9" t="str">
        <f aca="false">parametros_recargas!A59</f>
        <v>Sales K 6 l</v>
      </c>
      <c r="B234" s="9" t="str">
        <f aca="false">parametros_recargas!B59</f>
        <v>Sales K</v>
      </c>
      <c r="C234" s="11" t="n">
        <f aca="false">parametros_recargas!C59</f>
        <v>1</v>
      </c>
      <c r="D234" s="21" t="n">
        <f aca="false">datos_base!$I$10*parametros_recargas!$B$44+sobrestock_sustitutos!$I$106/12</f>
        <v>167.364230213866</v>
      </c>
      <c r="E234" s="21" t="n">
        <f aca="false">datos_base!$I$10*parametros_recargas!$C$44+sobrestock_sustitutos!$I$106/12</f>
        <v>167.364230213866</v>
      </c>
      <c r="F234" s="21" t="n">
        <f aca="false">datos_base!$I$10*parametros_recargas!$D$44+sobrestock_sustitutos!$I$106/12</f>
        <v>167.364230213866</v>
      </c>
      <c r="G234" s="21" t="n">
        <f aca="false">datos_base!$I$10*parametros_recargas!$E$44+sobrestock_sustitutos!$I$106/12</f>
        <v>167.364230213866</v>
      </c>
      <c r="H234" s="21" t="n">
        <f aca="false">datos_base!$I$10*parametros_recargas!$F$44+sobrestock_sustitutos!$I$106/12</f>
        <v>167.364230213866</v>
      </c>
      <c r="I234" s="21" t="n">
        <f aca="false">datos_base!$I$10*parametros_recargas!$G$44+sobrestock_sustitutos!$I$106/12</f>
        <v>167.364230213866</v>
      </c>
      <c r="J234" s="21" t="n">
        <f aca="false">datos_base!$I$10*parametros_recargas!$H$44+sobrestock_sustitutos!$I$106/12</f>
        <v>167.364230213866</v>
      </c>
      <c r="K234" s="21" t="n">
        <f aca="false">datos_base!$I$10*parametros_recargas!$I$44+sobrestock_sustitutos!$I$106/12</f>
        <v>167.364230213866</v>
      </c>
      <c r="L234" s="21" t="n">
        <f aca="false">datos_base!$I$10*parametros_recargas!$J$44+sobrestock_sustitutos!$I$106/12</f>
        <v>167.364230213866</v>
      </c>
      <c r="M234" s="21" t="n">
        <f aca="false">datos_base!$I$10*parametros_recargas!$K$44+sobrestock_sustitutos!$I$106/12</f>
        <v>167.364230213866</v>
      </c>
      <c r="N234" s="21" t="n">
        <f aca="false">datos_base!$I$10*parametros_recargas!$L$44+sobrestock_sustitutos!$I$106/12</f>
        <v>167.364230213866</v>
      </c>
      <c r="O234" s="21" t="n">
        <f aca="false">datos_base!$I$10*parametros_recargas!$M$44+sobrestock_sustitutos!$I$106/12</f>
        <v>167.364230213866</v>
      </c>
      <c r="P234" s="7" t="n">
        <f aca="false">SUM(D234:O234)</f>
        <v>2008.37076256639</v>
      </c>
      <c r="Q234" s="6" t="n">
        <f aca="false">sobrestock_sustitutos!$I$106</f>
        <v>24</v>
      </c>
    </row>
    <row r="235" customFormat="false" ht="15" hidden="false" customHeight="false" outlineLevel="0" collapsed="false">
      <c r="A235" s="9" t="str">
        <f aca="false">parametros_recargas!A60</f>
        <v>CO₂ 2 kg</v>
      </c>
      <c r="B235" s="9" t="str">
        <f aca="false">parametros_recargas!B60</f>
        <v>CO₂</v>
      </c>
      <c r="C235" s="11" t="n">
        <f aca="false">parametros_recargas!C60</f>
        <v>1</v>
      </c>
      <c r="D235" s="21" t="n">
        <f aca="false">datos_base!$I$11*parametros_recargas!$B$44+sobrestock_sustitutos!$I$107/12</f>
        <v>916.927304135571</v>
      </c>
      <c r="E235" s="21" t="n">
        <f aca="false">datos_base!$I$11*parametros_recargas!$C$44+sobrestock_sustitutos!$I$107/12</f>
        <v>916.927304135571</v>
      </c>
      <c r="F235" s="21" t="n">
        <f aca="false">datos_base!$I$11*parametros_recargas!$D$44+sobrestock_sustitutos!$I$107/12</f>
        <v>916.927304135571</v>
      </c>
      <c r="G235" s="21" t="n">
        <f aca="false">datos_base!$I$11*parametros_recargas!$E$44+sobrestock_sustitutos!$I$107/12</f>
        <v>916.927304135571</v>
      </c>
      <c r="H235" s="21" t="n">
        <f aca="false">datos_base!$I$11*parametros_recargas!$F$44+sobrestock_sustitutos!$I$107/12</f>
        <v>916.927304135571</v>
      </c>
      <c r="I235" s="21" t="n">
        <f aca="false">datos_base!$I$11*parametros_recargas!$G$44+sobrestock_sustitutos!$I$107/12</f>
        <v>916.927304135571</v>
      </c>
      <c r="J235" s="21" t="n">
        <f aca="false">datos_base!$I$11*parametros_recargas!$H$44+sobrestock_sustitutos!$I$107/12</f>
        <v>916.927304135571</v>
      </c>
      <c r="K235" s="21" t="n">
        <f aca="false">datos_base!$I$11*parametros_recargas!$I$44+sobrestock_sustitutos!$I$107/12</f>
        <v>916.927304135571</v>
      </c>
      <c r="L235" s="21" t="n">
        <f aca="false">datos_base!$I$11*parametros_recargas!$J$44+sobrestock_sustitutos!$I$107/12</f>
        <v>916.927304135571</v>
      </c>
      <c r="M235" s="21" t="n">
        <f aca="false">datos_base!$I$11*parametros_recargas!$K$44+sobrestock_sustitutos!$I$107/12</f>
        <v>916.927304135571</v>
      </c>
      <c r="N235" s="21" t="n">
        <f aca="false">datos_base!$I$11*parametros_recargas!$L$44+sobrestock_sustitutos!$I$107/12</f>
        <v>916.927304135571</v>
      </c>
      <c r="O235" s="21" t="n">
        <f aca="false">datos_base!$I$11*parametros_recargas!$M$44+sobrestock_sustitutos!$I$107/12</f>
        <v>916.927304135571</v>
      </c>
      <c r="P235" s="7" t="n">
        <f aca="false">SUM(D235:O235)</f>
        <v>11003.1276496269</v>
      </c>
      <c r="Q235" s="6" t="n">
        <f aca="false">sobrestock_sustitutos!$I$107</f>
        <v>125</v>
      </c>
    </row>
    <row r="236" customFormat="false" ht="15" hidden="false" customHeight="false" outlineLevel="0" collapsed="false">
      <c r="A236" s="9" t="str">
        <f aca="false">parametros_recargas!A61</f>
        <v>CO₂ 5 kg</v>
      </c>
      <c r="B236" s="9" t="str">
        <f aca="false">parametros_recargas!B61</f>
        <v>CO₂</v>
      </c>
      <c r="C236" s="11" t="n">
        <f aca="false">parametros_recargas!C61</f>
        <v>1</v>
      </c>
      <c r="D236" s="21" t="n">
        <f aca="false">datos_base!$I$12*parametros_recargas!$B$44+sobrestock_sustitutos!$I$108/12</f>
        <v>309.293455272483</v>
      </c>
      <c r="E236" s="21" t="n">
        <f aca="false">datos_base!$I$12*parametros_recargas!$C$44+sobrestock_sustitutos!$I$108/12</f>
        <v>309.293455272483</v>
      </c>
      <c r="F236" s="21" t="n">
        <f aca="false">datos_base!$I$12*parametros_recargas!$D$44+sobrestock_sustitutos!$I$108/12</f>
        <v>309.293455272483</v>
      </c>
      <c r="G236" s="21" t="n">
        <f aca="false">datos_base!$I$12*parametros_recargas!$E$44+sobrestock_sustitutos!$I$108/12</f>
        <v>309.293455272483</v>
      </c>
      <c r="H236" s="21" t="n">
        <f aca="false">datos_base!$I$12*parametros_recargas!$F$44+sobrestock_sustitutos!$I$108/12</f>
        <v>309.293455272483</v>
      </c>
      <c r="I236" s="21" t="n">
        <f aca="false">datos_base!$I$12*parametros_recargas!$G$44+sobrestock_sustitutos!$I$108/12</f>
        <v>309.293455272483</v>
      </c>
      <c r="J236" s="21" t="n">
        <f aca="false">datos_base!$I$12*parametros_recargas!$H$44+sobrestock_sustitutos!$I$108/12</f>
        <v>309.293455272483</v>
      </c>
      <c r="K236" s="21" t="n">
        <f aca="false">datos_base!$I$12*parametros_recargas!$I$44+sobrestock_sustitutos!$I$108/12</f>
        <v>309.293455272483</v>
      </c>
      <c r="L236" s="21" t="n">
        <f aca="false">datos_base!$I$12*parametros_recargas!$J$44+sobrestock_sustitutos!$I$108/12</f>
        <v>309.293455272483</v>
      </c>
      <c r="M236" s="21" t="n">
        <f aca="false">datos_base!$I$12*parametros_recargas!$K$44+sobrestock_sustitutos!$I$108/12</f>
        <v>309.293455272483</v>
      </c>
      <c r="N236" s="21" t="n">
        <f aca="false">datos_base!$I$12*parametros_recargas!$L$44+sobrestock_sustitutos!$I$108/12</f>
        <v>309.293455272483</v>
      </c>
      <c r="O236" s="21" t="n">
        <f aca="false">datos_base!$I$12*parametros_recargas!$M$44+sobrestock_sustitutos!$I$108/12</f>
        <v>309.293455272483</v>
      </c>
      <c r="P236" s="7" t="n">
        <f aca="false">SUM(D236:O236)</f>
        <v>3711.5214632698</v>
      </c>
      <c r="Q236" s="6" t="n">
        <f aca="false">sobrestock_sustitutos!$I$108</f>
        <v>47</v>
      </c>
    </row>
    <row r="237" customFormat="false" ht="15" hidden="false" customHeight="false" outlineLevel="0" collapsed="false">
      <c r="A237" s="9" t="str">
        <f aca="false">parametros_recargas!A62</f>
        <v>HCFC/HFC 5 kg</v>
      </c>
      <c r="B237" s="9" t="str">
        <f aca="false">parametros_recargas!B62</f>
        <v>Halogenado</v>
      </c>
      <c r="C237" s="11" t="n">
        <f aca="false">parametros_recargas!C62</f>
        <v>1</v>
      </c>
      <c r="D237" s="21" t="n">
        <f aca="false">datos_base!$I$13*parametros_recargas!$B$44+sobrestock_sustitutos!$I$109/12</f>
        <v>50.2979408168706</v>
      </c>
      <c r="E237" s="21" t="n">
        <f aca="false">datos_base!$I$13*parametros_recargas!$C$44+sobrestock_sustitutos!$I$109/12</f>
        <v>50.2979408168706</v>
      </c>
      <c r="F237" s="21" t="n">
        <f aca="false">datos_base!$I$13*parametros_recargas!$D$44+sobrestock_sustitutos!$I$109/12</f>
        <v>50.2979408168706</v>
      </c>
      <c r="G237" s="21" t="n">
        <f aca="false">datos_base!$I$13*parametros_recargas!$E$44+sobrestock_sustitutos!$I$109/12</f>
        <v>50.2979408168706</v>
      </c>
      <c r="H237" s="21" t="n">
        <f aca="false">datos_base!$I$13*parametros_recargas!$F$44+sobrestock_sustitutos!$I$109/12</f>
        <v>50.2979408168706</v>
      </c>
      <c r="I237" s="21" t="n">
        <f aca="false">datos_base!$I$13*parametros_recargas!$G$44+sobrestock_sustitutos!$I$109/12</f>
        <v>50.2979408168706</v>
      </c>
      <c r="J237" s="21" t="n">
        <f aca="false">datos_base!$I$13*parametros_recargas!$H$44+sobrestock_sustitutos!$I$109/12</f>
        <v>50.2979408168706</v>
      </c>
      <c r="K237" s="21" t="n">
        <f aca="false">datos_base!$I$13*parametros_recargas!$I$44+sobrestock_sustitutos!$I$109/12</f>
        <v>50.2979408168706</v>
      </c>
      <c r="L237" s="21" t="n">
        <f aca="false">datos_base!$I$13*parametros_recargas!$J$44+sobrestock_sustitutos!$I$109/12</f>
        <v>50.2979408168706</v>
      </c>
      <c r="M237" s="21" t="n">
        <f aca="false">datos_base!$I$13*parametros_recargas!$K$44+sobrestock_sustitutos!$I$109/12</f>
        <v>50.2979408168706</v>
      </c>
      <c r="N237" s="21" t="n">
        <f aca="false">datos_base!$I$13*parametros_recargas!$L$44+sobrestock_sustitutos!$I$109/12</f>
        <v>50.2979408168706</v>
      </c>
      <c r="O237" s="21" t="n">
        <f aca="false">datos_base!$I$13*parametros_recargas!$M$44+sobrestock_sustitutos!$I$109/12</f>
        <v>50.2979408168706</v>
      </c>
      <c r="P237" s="7" t="n">
        <f aca="false">SUM(D237:O237)</f>
        <v>603.575289802447</v>
      </c>
      <c r="Q237" s="6" t="n">
        <f aca="false">sobrestock_sustitutos!$I$109</f>
        <v>9</v>
      </c>
    </row>
    <row r="238" customFormat="false" ht="15" hidden="false" customHeight="false" outlineLevel="0" collapsed="false">
      <c r="A238" s="9" t="str">
        <f aca="false">parametros_recargas!A63</f>
        <v>Clase D 9 l</v>
      </c>
      <c r="B238" s="9" t="str">
        <f aca="false">parametros_recargas!B63</f>
        <v>Clase D</v>
      </c>
      <c r="C238" s="11" t="n">
        <f aca="false">parametros_recargas!C63</f>
        <v>1</v>
      </c>
      <c r="D238" s="21" t="n">
        <f aca="false">datos_base!$I$14*parametros_recargas!$B$44+sobrestock_sustitutos!$I$110/12</f>
        <v>17.2881473109352</v>
      </c>
      <c r="E238" s="21" t="n">
        <f aca="false">datos_base!$I$14*parametros_recargas!$C$44+sobrestock_sustitutos!$I$110/12</f>
        <v>17.2881473109352</v>
      </c>
      <c r="F238" s="21" t="n">
        <f aca="false">datos_base!$I$14*parametros_recargas!$D$44+sobrestock_sustitutos!$I$110/12</f>
        <v>17.2881473109352</v>
      </c>
      <c r="G238" s="21" t="n">
        <f aca="false">datos_base!$I$14*parametros_recargas!$E$44+sobrestock_sustitutos!$I$110/12</f>
        <v>17.2881473109352</v>
      </c>
      <c r="H238" s="21" t="n">
        <f aca="false">datos_base!$I$14*parametros_recargas!$F$44+sobrestock_sustitutos!$I$110/12</f>
        <v>17.2881473109352</v>
      </c>
      <c r="I238" s="21" t="n">
        <f aca="false">datos_base!$I$14*parametros_recargas!$G$44+sobrestock_sustitutos!$I$110/12</f>
        <v>17.2881473109352</v>
      </c>
      <c r="J238" s="21" t="n">
        <f aca="false">datos_base!$I$14*parametros_recargas!$H$44+sobrestock_sustitutos!$I$110/12</f>
        <v>17.2881473109352</v>
      </c>
      <c r="K238" s="21" t="n">
        <f aca="false">datos_base!$I$14*parametros_recargas!$I$44+sobrestock_sustitutos!$I$110/12</f>
        <v>17.2881473109352</v>
      </c>
      <c r="L238" s="21" t="n">
        <f aca="false">datos_base!$I$14*parametros_recargas!$J$44+sobrestock_sustitutos!$I$110/12</f>
        <v>17.2881473109352</v>
      </c>
      <c r="M238" s="21" t="n">
        <f aca="false">datos_base!$I$14*parametros_recargas!$K$44+sobrestock_sustitutos!$I$110/12</f>
        <v>17.2881473109352</v>
      </c>
      <c r="N238" s="21" t="n">
        <f aca="false">datos_base!$I$14*parametros_recargas!$L$44+sobrestock_sustitutos!$I$110/12</f>
        <v>17.2881473109352</v>
      </c>
      <c r="O238" s="21" t="n">
        <f aca="false">datos_base!$I$14*parametros_recargas!$M$44+sobrestock_sustitutos!$I$110/12</f>
        <v>17.2881473109352</v>
      </c>
      <c r="P238" s="7" t="n">
        <f aca="false">SUM(D238:O238)</f>
        <v>207.457767731223</v>
      </c>
      <c r="Q238" s="6" t="n">
        <f aca="false">sobrestock_sustitutos!$I$110</f>
        <v>4</v>
      </c>
    </row>
    <row r="239" customFormat="false" ht="15" hidden="false" customHeight="false" outlineLevel="0" collapsed="false">
      <c r="A239" s="9" t="str">
        <f aca="false">parametros_recargas!A64</f>
        <v>ABC 25 kg s/ruedas</v>
      </c>
      <c r="B239" s="9" t="str">
        <f aca="false">parametros_recargas!B64</f>
        <v>ABC</v>
      </c>
      <c r="C239" s="11" t="n">
        <f aca="false">parametros_recargas!C64</f>
        <v>3</v>
      </c>
      <c r="D239" s="21" t="n">
        <f aca="false">datos_base!$I$15*parametros_recargas!$B$44+sobrestock_sustitutos!$I$111/12</f>
        <v>41.6953208158992</v>
      </c>
      <c r="E239" s="21" t="n">
        <f aca="false">datos_base!$I$15*parametros_recargas!$C$44+sobrestock_sustitutos!$I$111/12</f>
        <v>41.6953208158992</v>
      </c>
      <c r="F239" s="21" t="n">
        <f aca="false">datos_base!$I$15*parametros_recargas!$D$44+sobrestock_sustitutos!$I$111/12</f>
        <v>41.6953208158992</v>
      </c>
      <c r="G239" s="21" t="n">
        <f aca="false">datos_base!$I$15*parametros_recargas!$E$44+sobrestock_sustitutos!$I$111/12</f>
        <v>41.6953208158992</v>
      </c>
      <c r="H239" s="21" t="n">
        <f aca="false">datos_base!$I$15*parametros_recargas!$F$44+sobrestock_sustitutos!$I$111/12</f>
        <v>41.6953208158992</v>
      </c>
      <c r="I239" s="21" t="n">
        <f aca="false">datos_base!$I$15*parametros_recargas!$G$44+sobrestock_sustitutos!$I$111/12</f>
        <v>41.6953208158992</v>
      </c>
      <c r="J239" s="21" t="n">
        <f aca="false">datos_base!$I$15*parametros_recargas!$H$44+sobrestock_sustitutos!$I$111/12</f>
        <v>41.6953208158992</v>
      </c>
      <c r="K239" s="21" t="n">
        <f aca="false">datos_base!$I$15*parametros_recargas!$I$44+sobrestock_sustitutos!$I$111/12</f>
        <v>41.6953208158992</v>
      </c>
      <c r="L239" s="21" t="n">
        <f aca="false">datos_base!$I$15*parametros_recargas!$J$44+sobrestock_sustitutos!$I$111/12</f>
        <v>41.6953208158992</v>
      </c>
      <c r="M239" s="21" t="n">
        <f aca="false">datos_base!$I$15*parametros_recargas!$K$44+sobrestock_sustitutos!$I$111/12</f>
        <v>41.6953208158992</v>
      </c>
      <c r="N239" s="21" t="n">
        <f aca="false">datos_base!$I$15*parametros_recargas!$L$44+sobrestock_sustitutos!$I$111/12</f>
        <v>41.6953208158992</v>
      </c>
      <c r="O239" s="21" t="n">
        <f aca="false">datos_base!$I$15*parametros_recargas!$M$44+sobrestock_sustitutos!$I$111/12</f>
        <v>41.6953208158992</v>
      </c>
      <c r="P239" s="7" t="n">
        <f aca="false">SUM(D239:O239)</f>
        <v>500.343849790791</v>
      </c>
      <c r="Q239" s="6" t="n">
        <f aca="false">sobrestock_sustitutos!$I$111</f>
        <v>7</v>
      </c>
    </row>
    <row r="240" customFormat="false" ht="15" hidden="false" customHeight="false" outlineLevel="0" collapsed="false">
      <c r="A240" s="9" t="str">
        <f aca="false">parametros_recargas!A65</f>
        <v>ABC 50 kg s/ruedas</v>
      </c>
      <c r="B240" s="9" t="str">
        <f aca="false">parametros_recargas!B65</f>
        <v>ABC</v>
      </c>
      <c r="C240" s="11" t="n">
        <f aca="false">parametros_recargas!C65</f>
        <v>3</v>
      </c>
      <c r="D240" s="21" t="n">
        <f aca="false">datos_base!$I$16*parametros_recargas!$B$44+sobrestock_sustitutos!$I$112/12</f>
        <v>91.6130391098276</v>
      </c>
      <c r="E240" s="21" t="n">
        <f aca="false">datos_base!$I$16*parametros_recargas!$C$44+sobrestock_sustitutos!$I$112/12</f>
        <v>91.6130391098276</v>
      </c>
      <c r="F240" s="21" t="n">
        <f aca="false">datos_base!$I$16*parametros_recargas!$D$44+sobrestock_sustitutos!$I$112/12</f>
        <v>91.6130391098276</v>
      </c>
      <c r="G240" s="21" t="n">
        <f aca="false">datos_base!$I$16*parametros_recargas!$E$44+sobrestock_sustitutos!$I$112/12</f>
        <v>91.6130391098276</v>
      </c>
      <c r="H240" s="21" t="n">
        <f aca="false">datos_base!$I$16*parametros_recargas!$F$44+sobrestock_sustitutos!$I$112/12</f>
        <v>91.6130391098276</v>
      </c>
      <c r="I240" s="21" t="n">
        <f aca="false">datos_base!$I$16*parametros_recargas!$G$44+sobrestock_sustitutos!$I$112/12</f>
        <v>91.6130391098276</v>
      </c>
      <c r="J240" s="21" t="n">
        <f aca="false">datos_base!$I$16*parametros_recargas!$H$44+sobrestock_sustitutos!$I$112/12</f>
        <v>91.6130391098276</v>
      </c>
      <c r="K240" s="21" t="n">
        <f aca="false">datos_base!$I$16*parametros_recargas!$I$44+sobrestock_sustitutos!$I$112/12</f>
        <v>91.6130391098276</v>
      </c>
      <c r="L240" s="21" t="n">
        <f aca="false">datos_base!$I$16*parametros_recargas!$J$44+sobrestock_sustitutos!$I$112/12</f>
        <v>91.6130391098276</v>
      </c>
      <c r="M240" s="21" t="n">
        <f aca="false">datos_base!$I$16*parametros_recargas!$K$44+sobrestock_sustitutos!$I$112/12</f>
        <v>91.6130391098276</v>
      </c>
      <c r="N240" s="21" t="n">
        <f aca="false">datos_base!$I$16*parametros_recargas!$L$44+sobrestock_sustitutos!$I$112/12</f>
        <v>91.6130391098276</v>
      </c>
      <c r="O240" s="21" t="n">
        <f aca="false">datos_base!$I$16*parametros_recargas!$M$44+sobrestock_sustitutos!$I$112/12</f>
        <v>91.6130391098276</v>
      </c>
      <c r="P240" s="7" t="n">
        <f aca="false">SUM(D240:O240)</f>
        <v>1099.35646931793</v>
      </c>
      <c r="Q240" s="6" t="n">
        <f aca="false">sobrestock_sustitutos!$I$112</f>
        <v>14</v>
      </c>
    </row>
    <row r="241" customFormat="false" ht="15" hidden="false" customHeight="false" outlineLevel="0" collapsed="false">
      <c r="A241" s="9" t="str">
        <f aca="false">parametros_recargas!A66</f>
        <v>ABC 70 kg s/ruedas</v>
      </c>
      <c r="B241" s="9" t="str">
        <f aca="false">parametros_recargas!B66</f>
        <v>ABC</v>
      </c>
      <c r="C241" s="11" t="n">
        <f aca="false">parametros_recargas!C66</f>
        <v>3</v>
      </c>
      <c r="D241" s="21" t="n">
        <f aca="false">datos_base!$I$17*parametros_recargas!$B$44+sobrestock_sustitutos!$I$113/12</f>
        <v>19.983753974996</v>
      </c>
      <c r="E241" s="21" t="n">
        <f aca="false">datos_base!$I$17*parametros_recargas!$C$44+sobrestock_sustitutos!$I$113/12</f>
        <v>19.983753974996</v>
      </c>
      <c r="F241" s="21" t="n">
        <f aca="false">datos_base!$I$17*parametros_recargas!$D$44+sobrestock_sustitutos!$I$113/12</f>
        <v>19.983753974996</v>
      </c>
      <c r="G241" s="21" t="n">
        <f aca="false">datos_base!$I$17*parametros_recargas!$E$44+sobrestock_sustitutos!$I$113/12</f>
        <v>19.983753974996</v>
      </c>
      <c r="H241" s="21" t="n">
        <f aca="false">datos_base!$I$17*parametros_recargas!$F$44+sobrestock_sustitutos!$I$113/12</f>
        <v>19.983753974996</v>
      </c>
      <c r="I241" s="21" t="n">
        <f aca="false">datos_base!$I$17*parametros_recargas!$G$44+sobrestock_sustitutos!$I$113/12</f>
        <v>19.983753974996</v>
      </c>
      <c r="J241" s="21" t="n">
        <f aca="false">datos_base!$I$17*parametros_recargas!$H$44+sobrestock_sustitutos!$I$113/12</f>
        <v>19.983753974996</v>
      </c>
      <c r="K241" s="21" t="n">
        <f aca="false">datos_base!$I$17*parametros_recargas!$I$44+sobrestock_sustitutos!$I$113/12</f>
        <v>19.983753974996</v>
      </c>
      <c r="L241" s="21" t="n">
        <f aca="false">datos_base!$I$17*parametros_recargas!$J$44+sobrestock_sustitutos!$I$113/12</f>
        <v>19.983753974996</v>
      </c>
      <c r="M241" s="21" t="n">
        <f aca="false">datos_base!$I$17*parametros_recargas!$K$44+sobrestock_sustitutos!$I$113/12</f>
        <v>19.983753974996</v>
      </c>
      <c r="N241" s="21" t="n">
        <f aca="false">datos_base!$I$17*parametros_recargas!$L$44+sobrestock_sustitutos!$I$113/12</f>
        <v>19.983753974996</v>
      </c>
      <c r="O241" s="21" t="n">
        <f aca="false">datos_base!$I$17*parametros_recargas!$M$44+sobrestock_sustitutos!$I$113/12</f>
        <v>19.983753974996</v>
      </c>
      <c r="P241" s="7" t="n">
        <f aca="false">SUM(D241:O241)</f>
        <v>239.805047699952</v>
      </c>
      <c r="Q241" s="6" t="n">
        <f aca="false">sobrestock_sustitutos!$I$113</f>
        <v>3</v>
      </c>
    </row>
    <row r="242" customFormat="false" ht="15" hidden="false" customHeight="false" outlineLevel="0" collapsed="false">
      <c r="A242" s="9" t="str">
        <f aca="false">parametros_recargas!A67</f>
        <v>ABC 100 kg s/ruedas</v>
      </c>
      <c r="B242" s="9" t="str">
        <f aca="false">parametros_recargas!B67</f>
        <v>ABC</v>
      </c>
      <c r="C242" s="11" t="n">
        <f aca="false">parametros_recargas!C67</f>
        <v>3</v>
      </c>
      <c r="D242" s="21" t="n">
        <f aca="false">datos_base!$I$18*parametros_recargas!$B$44+sobrestock_sustitutos!$I$114/12</f>
        <v>13.3225026499974</v>
      </c>
      <c r="E242" s="21" t="n">
        <f aca="false">datos_base!$I$18*parametros_recargas!$C$44+sobrestock_sustitutos!$I$114/12</f>
        <v>13.3225026499974</v>
      </c>
      <c r="F242" s="21" t="n">
        <f aca="false">datos_base!$I$18*parametros_recargas!$D$44+sobrestock_sustitutos!$I$114/12</f>
        <v>13.3225026499974</v>
      </c>
      <c r="G242" s="21" t="n">
        <f aca="false">datos_base!$I$18*parametros_recargas!$E$44+sobrestock_sustitutos!$I$114/12</f>
        <v>13.3225026499974</v>
      </c>
      <c r="H242" s="21" t="n">
        <f aca="false">datos_base!$I$18*parametros_recargas!$F$44+sobrestock_sustitutos!$I$114/12</f>
        <v>13.3225026499974</v>
      </c>
      <c r="I242" s="21" t="n">
        <f aca="false">datos_base!$I$18*parametros_recargas!$G$44+sobrestock_sustitutos!$I$114/12</f>
        <v>13.3225026499974</v>
      </c>
      <c r="J242" s="21" t="n">
        <f aca="false">datos_base!$I$18*parametros_recargas!$H$44+sobrestock_sustitutos!$I$114/12</f>
        <v>13.3225026499974</v>
      </c>
      <c r="K242" s="21" t="n">
        <f aca="false">datos_base!$I$18*parametros_recargas!$I$44+sobrestock_sustitutos!$I$114/12</f>
        <v>13.3225026499974</v>
      </c>
      <c r="L242" s="21" t="n">
        <f aca="false">datos_base!$I$18*parametros_recargas!$J$44+sobrestock_sustitutos!$I$114/12</f>
        <v>13.3225026499974</v>
      </c>
      <c r="M242" s="21" t="n">
        <f aca="false">datos_base!$I$18*parametros_recargas!$K$44+sobrestock_sustitutos!$I$114/12</f>
        <v>13.3225026499974</v>
      </c>
      <c r="N242" s="21" t="n">
        <f aca="false">datos_base!$I$18*parametros_recargas!$L$44+sobrestock_sustitutos!$I$114/12</f>
        <v>13.3225026499974</v>
      </c>
      <c r="O242" s="21" t="n">
        <f aca="false">datos_base!$I$18*parametros_recargas!$M$44+sobrestock_sustitutos!$I$114/12</f>
        <v>13.3225026499974</v>
      </c>
      <c r="P242" s="7" t="n">
        <f aca="false">SUM(D242:O242)</f>
        <v>159.870031799968</v>
      </c>
      <c r="Q242" s="6" t="n">
        <f aca="false">sobrestock_sustitutos!$I$114</f>
        <v>2</v>
      </c>
    </row>
    <row r="243" customFormat="false" ht="15" hidden="false" customHeight="false" outlineLevel="0" collapsed="false">
      <c r="A243" s="4" t="s">
        <v>356</v>
      </c>
      <c r="D243" s="7" t="n">
        <f aca="false">SUM(D226:D242)</f>
        <v>14990.6545088726</v>
      </c>
      <c r="E243" s="7" t="n">
        <f aca="false">SUM(E226:E242)</f>
        <v>14990.6545088726</v>
      </c>
      <c r="F243" s="7" t="n">
        <f aca="false">SUM(F226:F242)</f>
        <v>14990.6545088726</v>
      </c>
      <c r="G243" s="7" t="n">
        <f aca="false">SUM(G226:G242)</f>
        <v>14990.6545088726</v>
      </c>
      <c r="H243" s="7" t="n">
        <f aca="false">SUM(H226:H242)</f>
        <v>14990.6545088726</v>
      </c>
      <c r="I243" s="7" t="n">
        <f aca="false">SUM(I226:I242)</f>
        <v>14990.6545088726</v>
      </c>
      <c r="J243" s="7" t="n">
        <f aca="false">SUM(J226:J242)</f>
        <v>14990.6545088726</v>
      </c>
      <c r="K243" s="7" t="n">
        <f aca="false">SUM(K226:K242)</f>
        <v>14990.6545088726</v>
      </c>
      <c r="L243" s="7" t="n">
        <f aca="false">SUM(L226:L242)</f>
        <v>14990.6545088726</v>
      </c>
      <c r="M243" s="7" t="n">
        <f aca="false">SUM(M226:M242)</f>
        <v>14990.6545088726</v>
      </c>
      <c r="N243" s="7" t="n">
        <f aca="false">SUM(N226:N242)</f>
        <v>14990.6545088726</v>
      </c>
      <c r="O243" s="7" t="n">
        <f aca="false">SUM(O226:O242)</f>
        <v>14990.6545088726</v>
      </c>
      <c r="P243" s="7" t="n">
        <f aca="false">SUM(P226:P242)</f>
        <v>179887.854106472</v>
      </c>
    </row>
    <row r="244" customFormat="false" ht="15" hidden="false" customHeight="false" outlineLevel="0" collapsed="false">
      <c r="A244" s="4" t="s">
        <v>357</v>
      </c>
    </row>
    <row r="245" customFormat="false" ht="15" hidden="false" customHeight="false" outlineLevel="0" collapsed="false">
      <c r="A245" s="5" t="s">
        <v>165</v>
      </c>
      <c r="D245" s="21" t="n">
        <f aca="false">SUMPRODUCT(($B$226:$B$242=$A245)*D$226:D$242*$C$226:$C$242)</f>
        <v>13406.7468311468</v>
      </c>
      <c r="E245" s="21" t="n">
        <f aca="false">SUMPRODUCT(($B$226:$B$242=$A245)*E$226:E$242*$C$226:$C$242)</f>
        <v>13406.7468311468</v>
      </c>
      <c r="F245" s="21" t="n">
        <f aca="false">SUMPRODUCT(($B$226:$B$242=$A245)*F$226:F$242*$C$226:$C$242)</f>
        <v>13406.7468311468</v>
      </c>
      <c r="G245" s="21" t="n">
        <f aca="false">SUMPRODUCT(($B$226:$B$242=$A245)*G$226:G$242*$C$226:$C$242)</f>
        <v>13406.7468311468</v>
      </c>
      <c r="H245" s="21" t="n">
        <f aca="false">SUMPRODUCT(($B$226:$B$242=$A245)*H$226:H$242*$C$226:$C$242)</f>
        <v>13406.7468311468</v>
      </c>
      <c r="I245" s="21" t="n">
        <f aca="false">SUMPRODUCT(($B$226:$B$242=$A245)*I$226:I$242*$C$226:$C$242)</f>
        <v>13406.7468311468</v>
      </c>
      <c r="J245" s="21" t="n">
        <f aca="false">SUMPRODUCT(($B$226:$B$242=$A245)*J$226:J$242*$C$226:$C$242)</f>
        <v>13406.7468311468</v>
      </c>
      <c r="K245" s="21" t="n">
        <f aca="false">SUMPRODUCT(($B$226:$B$242=$A245)*K$226:K$242*$C$226:$C$242)</f>
        <v>13406.7468311468</v>
      </c>
      <c r="L245" s="21" t="n">
        <f aca="false">SUMPRODUCT(($B$226:$B$242=$A245)*L$226:L$242*$C$226:$C$242)</f>
        <v>13406.7468311468</v>
      </c>
      <c r="M245" s="21" t="n">
        <f aca="false">SUMPRODUCT(($B$226:$B$242=$A245)*M$226:M$242*$C$226:$C$242)</f>
        <v>13406.7468311468</v>
      </c>
      <c r="N245" s="21" t="n">
        <f aca="false">SUMPRODUCT(($B$226:$B$242=$A245)*N$226:N$242*$C$226:$C$242)</f>
        <v>13406.7468311468</v>
      </c>
      <c r="O245" s="21" t="n">
        <f aca="false">SUMPRODUCT(($B$226:$B$242=$A245)*O$226:O$242*$C$226:$C$242)</f>
        <v>13406.7468311468</v>
      </c>
      <c r="P245" s="21" t="n">
        <f aca="false">SUMPRODUCT(($B$226:$B$242=$A245)*P$226:P$242*$C$226:$C$242)</f>
        <v>160880.961973762</v>
      </c>
    </row>
    <row r="246" customFormat="false" ht="15" hidden="false" customHeight="false" outlineLevel="0" collapsed="false">
      <c r="A246" s="5" t="s">
        <v>171</v>
      </c>
      <c r="D246" s="21" t="n">
        <f aca="false">SUMPRODUCT(($B$226:$B$242=$A246)*D$226:D$242*$C$226:$C$242)</f>
        <v>19.2059021651652</v>
      </c>
      <c r="E246" s="21" t="n">
        <f aca="false">SUMPRODUCT(($B$226:$B$242=$A246)*E$226:E$242*$C$226:$C$242)</f>
        <v>19.2059021651652</v>
      </c>
      <c r="F246" s="21" t="n">
        <f aca="false">SUMPRODUCT(($B$226:$B$242=$A246)*F$226:F$242*$C$226:$C$242)</f>
        <v>19.2059021651652</v>
      </c>
      <c r="G246" s="21" t="n">
        <f aca="false">SUMPRODUCT(($B$226:$B$242=$A246)*G$226:G$242*$C$226:$C$242)</f>
        <v>19.2059021651652</v>
      </c>
      <c r="H246" s="21" t="n">
        <f aca="false">SUMPRODUCT(($B$226:$B$242=$A246)*H$226:H$242*$C$226:$C$242)</f>
        <v>19.2059021651652</v>
      </c>
      <c r="I246" s="21" t="n">
        <f aca="false">SUMPRODUCT(($B$226:$B$242=$A246)*I$226:I$242*$C$226:$C$242)</f>
        <v>19.2059021651652</v>
      </c>
      <c r="J246" s="21" t="n">
        <f aca="false">SUMPRODUCT(($B$226:$B$242=$A246)*J$226:J$242*$C$226:$C$242)</f>
        <v>19.2059021651652</v>
      </c>
      <c r="K246" s="21" t="n">
        <f aca="false">SUMPRODUCT(($B$226:$B$242=$A246)*K$226:K$242*$C$226:$C$242)</f>
        <v>19.2059021651652</v>
      </c>
      <c r="L246" s="21" t="n">
        <f aca="false">SUMPRODUCT(($B$226:$B$242=$A246)*L$226:L$242*$C$226:$C$242)</f>
        <v>19.2059021651652</v>
      </c>
      <c r="M246" s="21" t="n">
        <f aca="false">SUMPRODUCT(($B$226:$B$242=$A246)*M$226:M$242*$C$226:$C$242)</f>
        <v>19.2059021651652</v>
      </c>
      <c r="N246" s="21" t="n">
        <f aca="false">SUMPRODUCT(($B$226:$B$242=$A246)*N$226:N$242*$C$226:$C$242)</f>
        <v>19.2059021651652</v>
      </c>
      <c r="O246" s="21" t="n">
        <f aca="false">SUMPRODUCT(($B$226:$B$242=$A246)*O$226:O$242*$C$226:$C$242)</f>
        <v>19.2059021651652</v>
      </c>
      <c r="P246" s="21" t="n">
        <f aca="false">SUMPRODUCT(($B$226:$B$242=$A246)*P$226:P$242*$C$226:$C$242)</f>
        <v>230.470825981982</v>
      </c>
    </row>
    <row r="247" customFormat="false" ht="15" hidden="false" customHeight="false" outlineLevel="0" collapsed="false">
      <c r="A247" s="5" t="s">
        <v>177</v>
      </c>
      <c r="D247" s="21" t="n">
        <f aca="false">SUMPRODUCT(($B$226:$B$242=$A247)*D$226:D$242*$C$226:$C$242)</f>
        <v>17.2881473109352</v>
      </c>
      <c r="E247" s="21" t="n">
        <f aca="false">SUMPRODUCT(($B$226:$B$242=$A247)*E$226:E$242*$C$226:$C$242)</f>
        <v>17.2881473109352</v>
      </c>
      <c r="F247" s="21" t="n">
        <f aca="false">SUMPRODUCT(($B$226:$B$242=$A247)*F$226:F$242*$C$226:$C$242)</f>
        <v>17.2881473109352</v>
      </c>
      <c r="G247" s="21" t="n">
        <f aca="false">SUMPRODUCT(($B$226:$B$242=$A247)*G$226:G$242*$C$226:$C$242)</f>
        <v>17.2881473109352</v>
      </c>
      <c r="H247" s="21" t="n">
        <f aca="false">SUMPRODUCT(($B$226:$B$242=$A247)*H$226:H$242*$C$226:$C$242)</f>
        <v>17.2881473109352</v>
      </c>
      <c r="I247" s="21" t="n">
        <f aca="false">SUMPRODUCT(($B$226:$B$242=$A247)*I$226:I$242*$C$226:$C$242)</f>
        <v>17.2881473109352</v>
      </c>
      <c r="J247" s="21" t="n">
        <f aca="false">SUMPRODUCT(($B$226:$B$242=$A247)*J$226:J$242*$C$226:$C$242)</f>
        <v>17.2881473109352</v>
      </c>
      <c r="K247" s="21" t="n">
        <f aca="false">SUMPRODUCT(($B$226:$B$242=$A247)*K$226:K$242*$C$226:$C$242)</f>
        <v>17.2881473109352</v>
      </c>
      <c r="L247" s="21" t="n">
        <f aca="false">SUMPRODUCT(($B$226:$B$242=$A247)*L$226:L$242*$C$226:$C$242)</f>
        <v>17.2881473109352</v>
      </c>
      <c r="M247" s="21" t="n">
        <f aca="false">SUMPRODUCT(($B$226:$B$242=$A247)*M$226:M$242*$C$226:$C$242)</f>
        <v>17.2881473109352</v>
      </c>
      <c r="N247" s="21" t="n">
        <f aca="false">SUMPRODUCT(($B$226:$B$242=$A247)*N$226:N$242*$C$226:$C$242)</f>
        <v>17.2881473109352</v>
      </c>
      <c r="O247" s="21" t="n">
        <f aca="false">SUMPRODUCT(($B$226:$B$242=$A247)*O$226:O$242*$C$226:$C$242)</f>
        <v>17.2881473109352</v>
      </c>
      <c r="P247" s="21" t="n">
        <f aca="false">SUMPRODUCT(($B$226:$B$242=$A247)*P$226:P$242*$C$226:$C$242)</f>
        <v>207.457767731223</v>
      </c>
    </row>
    <row r="248" customFormat="false" ht="15" hidden="false" customHeight="false" outlineLevel="0" collapsed="false">
      <c r="A248" s="5" t="s">
        <v>168</v>
      </c>
      <c r="D248" s="21" t="n">
        <f aca="false">SUMPRODUCT(($B$226:$B$242=$A248)*D$226:D$242*$C$226:$C$242)</f>
        <v>339.93820927985</v>
      </c>
      <c r="E248" s="21" t="n">
        <f aca="false">SUMPRODUCT(($B$226:$B$242=$A248)*E$226:E$242*$C$226:$C$242)</f>
        <v>339.93820927985</v>
      </c>
      <c r="F248" s="21" t="n">
        <f aca="false">SUMPRODUCT(($B$226:$B$242=$A248)*F$226:F$242*$C$226:$C$242)</f>
        <v>339.93820927985</v>
      </c>
      <c r="G248" s="21" t="n">
        <f aca="false">SUMPRODUCT(($B$226:$B$242=$A248)*G$226:G$242*$C$226:$C$242)</f>
        <v>339.93820927985</v>
      </c>
      <c r="H248" s="21" t="n">
        <f aca="false">SUMPRODUCT(($B$226:$B$242=$A248)*H$226:H$242*$C$226:$C$242)</f>
        <v>339.93820927985</v>
      </c>
      <c r="I248" s="21" t="n">
        <f aca="false">SUMPRODUCT(($B$226:$B$242=$A248)*I$226:I$242*$C$226:$C$242)</f>
        <v>339.93820927985</v>
      </c>
      <c r="J248" s="21" t="n">
        <f aca="false">SUMPRODUCT(($B$226:$B$242=$A248)*J$226:J$242*$C$226:$C$242)</f>
        <v>339.93820927985</v>
      </c>
      <c r="K248" s="21" t="n">
        <f aca="false">SUMPRODUCT(($B$226:$B$242=$A248)*K$226:K$242*$C$226:$C$242)</f>
        <v>339.93820927985</v>
      </c>
      <c r="L248" s="21" t="n">
        <f aca="false">SUMPRODUCT(($B$226:$B$242=$A248)*L$226:L$242*$C$226:$C$242)</f>
        <v>339.93820927985</v>
      </c>
      <c r="M248" s="21" t="n">
        <f aca="false">SUMPRODUCT(($B$226:$B$242=$A248)*M$226:M$242*$C$226:$C$242)</f>
        <v>339.93820927985</v>
      </c>
      <c r="N248" s="21" t="n">
        <f aca="false">SUMPRODUCT(($B$226:$B$242=$A248)*N$226:N$242*$C$226:$C$242)</f>
        <v>339.93820927985</v>
      </c>
      <c r="O248" s="21" t="n">
        <f aca="false">SUMPRODUCT(($B$226:$B$242=$A248)*O$226:O$242*$C$226:$C$242)</f>
        <v>339.93820927985</v>
      </c>
      <c r="P248" s="21" t="n">
        <f aca="false">SUMPRODUCT(($B$226:$B$242=$A248)*P$226:P$242*$C$226:$C$242)</f>
        <v>4079.2585113582</v>
      </c>
    </row>
    <row r="249" customFormat="false" ht="15" hidden="false" customHeight="false" outlineLevel="0" collapsed="false">
      <c r="A249" s="5" t="s">
        <v>169</v>
      </c>
      <c r="D249" s="21" t="n">
        <f aca="false">SUMPRODUCT(($B$226:$B$242=$A249)*D$226:D$242*$C$226:$C$242)</f>
        <v>163.548763662467</v>
      </c>
      <c r="E249" s="21" t="n">
        <f aca="false">SUMPRODUCT(($B$226:$B$242=$A249)*E$226:E$242*$C$226:$C$242)</f>
        <v>163.548763662467</v>
      </c>
      <c r="F249" s="21" t="n">
        <f aca="false">SUMPRODUCT(($B$226:$B$242=$A249)*F$226:F$242*$C$226:$C$242)</f>
        <v>163.548763662467</v>
      </c>
      <c r="G249" s="21" t="n">
        <f aca="false">SUMPRODUCT(($B$226:$B$242=$A249)*G$226:G$242*$C$226:$C$242)</f>
        <v>163.548763662467</v>
      </c>
      <c r="H249" s="21" t="n">
        <f aca="false">SUMPRODUCT(($B$226:$B$242=$A249)*H$226:H$242*$C$226:$C$242)</f>
        <v>163.548763662467</v>
      </c>
      <c r="I249" s="21" t="n">
        <f aca="false">SUMPRODUCT(($B$226:$B$242=$A249)*I$226:I$242*$C$226:$C$242)</f>
        <v>163.548763662467</v>
      </c>
      <c r="J249" s="21" t="n">
        <f aca="false">SUMPRODUCT(($B$226:$B$242=$A249)*J$226:J$242*$C$226:$C$242)</f>
        <v>163.548763662467</v>
      </c>
      <c r="K249" s="21" t="n">
        <f aca="false">SUMPRODUCT(($B$226:$B$242=$A249)*K$226:K$242*$C$226:$C$242)</f>
        <v>163.548763662467</v>
      </c>
      <c r="L249" s="21" t="n">
        <f aca="false">SUMPRODUCT(($B$226:$B$242=$A249)*L$226:L$242*$C$226:$C$242)</f>
        <v>163.548763662467</v>
      </c>
      <c r="M249" s="21" t="n">
        <f aca="false">SUMPRODUCT(($B$226:$B$242=$A249)*M$226:M$242*$C$226:$C$242)</f>
        <v>163.548763662467</v>
      </c>
      <c r="N249" s="21" t="n">
        <f aca="false">SUMPRODUCT(($B$226:$B$242=$A249)*N$226:N$242*$C$226:$C$242)</f>
        <v>163.548763662467</v>
      </c>
      <c r="O249" s="21" t="n">
        <f aca="false">SUMPRODUCT(($B$226:$B$242=$A249)*O$226:O$242*$C$226:$C$242)</f>
        <v>163.548763662467</v>
      </c>
      <c r="P249" s="21" t="n">
        <f aca="false">SUMPRODUCT(($B$226:$B$242=$A249)*P$226:P$242*$C$226:$C$242)</f>
        <v>1962.58516394961</v>
      </c>
    </row>
    <row r="250" customFormat="false" ht="15" hidden="false" customHeight="false" outlineLevel="0" collapsed="false">
      <c r="A250" s="5" t="s">
        <v>172</v>
      </c>
      <c r="D250" s="21" t="n">
        <f aca="false">SUMPRODUCT(($B$226:$B$242=$A250)*D$226:D$242*$C$226:$C$242)</f>
        <v>167.364230213866</v>
      </c>
      <c r="E250" s="21" t="n">
        <f aca="false">SUMPRODUCT(($B$226:$B$242=$A250)*E$226:E$242*$C$226:$C$242)</f>
        <v>167.364230213866</v>
      </c>
      <c r="F250" s="21" t="n">
        <f aca="false">SUMPRODUCT(($B$226:$B$242=$A250)*F$226:F$242*$C$226:$C$242)</f>
        <v>167.364230213866</v>
      </c>
      <c r="G250" s="21" t="n">
        <f aca="false">SUMPRODUCT(($B$226:$B$242=$A250)*G$226:G$242*$C$226:$C$242)</f>
        <v>167.364230213866</v>
      </c>
      <c r="H250" s="21" t="n">
        <f aca="false">SUMPRODUCT(($B$226:$B$242=$A250)*H$226:H$242*$C$226:$C$242)</f>
        <v>167.364230213866</v>
      </c>
      <c r="I250" s="21" t="n">
        <f aca="false">SUMPRODUCT(($B$226:$B$242=$A250)*I$226:I$242*$C$226:$C$242)</f>
        <v>167.364230213866</v>
      </c>
      <c r="J250" s="21" t="n">
        <f aca="false">SUMPRODUCT(($B$226:$B$242=$A250)*J$226:J$242*$C$226:$C$242)</f>
        <v>167.364230213866</v>
      </c>
      <c r="K250" s="21" t="n">
        <f aca="false">SUMPRODUCT(($B$226:$B$242=$A250)*K$226:K$242*$C$226:$C$242)</f>
        <v>167.364230213866</v>
      </c>
      <c r="L250" s="21" t="n">
        <f aca="false">SUMPRODUCT(($B$226:$B$242=$A250)*L$226:L$242*$C$226:$C$242)</f>
        <v>167.364230213866</v>
      </c>
      <c r="M250" s="21" t="n">
        <f aca="false">SUMPRODUCT(($B$226:$B$242=$A250)*M$226:M$242*$C$226:$C$242)</f>
        <v>167.364230213866</v>
      </c>
      <c r="N250" s="21" t="n">
        <f aca="false">SUMPRODUCT(($B$226:$B$242=$A250)*N$226:N$242*$C$226:$C$242)</f>
        <v>167.364230213866</v>
      </c>
      <c r="O250" s="21" t="n">
        <f aca="false">SUMPRODUCT(($B$226:$B$242=$A250)*O$226:O$242*$C$226:$C$242)</f>
        <v>167.364230213866</v>
      </c>
      <c r="P250" s="21" t="n">
        <f aca="false">SUMPRODUCT(($B$226:$B$242=$A250)*P$226:P$242*$C$226:$C$242)</f>
        <v>2008.37076256639</v>
      </c>
    </row>
    <row r="251" customFormat="false" ht="15" hidden="false" customHeight="false" outlineLevel="0" collapsed="false">
      <c r="A251" s="5" t="s">
        <v>173</v>
      </c>
      <c r="D251" s="21" t="n">
        <f aca="false">SUMPRODUCT(($B$226:$B$242=$A251)*D$226:D$242*$C$226:$C$242)</f>
        <v>1226.22075940805</v>
      </c>
      <c r="E251" s="21" t="n">
        <f aca="false">SUMPRODUCT(($B$226:$B$242=$A251)*E$226:E$242*$C$226:$C$242)</f>
        <v>1226.22075940805</v>
      </c>
      <c r="F251" s="21" t="n">
        <f aca="false">SUMPRODUCT(($B$226:$B$242=$A251)*F$226:F$242*$C$226:$C$242)</f>
        <v>1226.22075940805</v>
      </c>
      <c r="G251" s="21" t="n">
        <f aca="false">SUMPRODUCT(($B$226:$B$242=$A251)*G$226:G$242*$C$226:$C$242)</f>
        <v>1226.22075940805</v>
      </c>
      <c r="H251" s="21" t="n">
        <f aca="false">SUMPRODUCT(($B$226:$B$242=$A251)*H$226:H$242*$C$226:$C$242)</f>
        <v>1226.22075940805</v>
      </c>
      <c r="I251" s="21" t="n">
        <f aca="false">SUMPRODUCT(($B$226:$B$242=$A251)*I$226:I$242*$C$226:$C$242)</f>
        <v>1226.22075940805</v>
      </c>
      <c r="J251" s="21" t="n">
        <f aca="false">SUMPRODUCT(($B$226:$B$242=$A251)*J$226:J$242*$C$226:$C$242)</f>
        <v>1226.22075940805</v>
      </c>
      <c r="K251" s="21" t="n">
        <f aca="false">SUMPRODUCT(($B$226:$B$242=$A251)*K$226:K$242*$C$226:$C$242)</f>
        <v>1226.22075940805</v>
      </c>
      <c r="L251" s="21" t="n">
        <f aca="false">SUMPRODUCT(($B$226:$B$242=$A251)*L$226:L$242*$C$226:$C$242)</f>
        <v>1226.22075940805</v>
      </c>
      <c r="M251" s="21" t="n">
        <f aca="false">SUMPRODUCT(($B$226:$B$242=$A251)*M$226:M$242*$C$226:$C$242)</f>
        <v>1226.22075940805</v>
      </c>
      <c r="N251" s="21" t="n">
        <f aca="false">SUMPRODUCT(($B$226:$B$242=$A251)*N$226:N$242*$C$226:$C$242)</f>
        <v>1226.22075940805</v>
      </c>
      <c r="O251" s="21" t="n">
        <f aca="false">SUMPRODUCT(($B$226:$B$242=$A251)*O$226:O$242*$C$226:$C$242)</f>
        <v>1226.22075940805</v>
      </c>
      <c r="P251" s="21" t="n">
        <f aca="false">SUMPRODUCT(($B$226:$B$242=$A251)*P$226:P$242*$C$226:$C$242)</f>
        <v>14714.6491128967</v>
      </c>
    </row>
    <row r="252" customFormat="false" ht="15" hidden="false" customHeight="false" outlineLevel="0" collapsed="false">
      <c r="A252" s="5" t="s">
        <v>176</v>
      </c>
      <c r="D252" s="21" t="n">
        <f aca="false">SUMPRODUCT(($B$226:$B$242=$A252)*D$226:D$242*$C$226:$C$242)</f>
        <v>50.2979408168706</v>
      </c>
      <c r="E252" s="21" t="n">
        <f aca="false">SUMPRODUCT(($B$226:$B$242=$A252)*E$226:E$242*$C$226:$C$242)</f>
        <v>50.2979408168706</v>
      </c>
      <c r="F252" s="21" t="n">
        <f aca="false">SUMPRODUCT(($B$226:$B$242=$A252)*F$226:F$242*$C$226:$C$242)</f>
        <v>50.2979408168706</v>
      </c>
      <c r="G252" s="21" t="n">
        <f aca="false">SUMPRODUCT(($B$226:$B$242=$A252)*G$226:G$242*$C$226:$C$242)</f>
        <v>50.2979408168706</v>
      </c>
      <c r="H252" s="21" t="n">
        <f aca="false">SUMPRODUCT(($B$226:$B$242=$A252)*H$226:H$242*$C$226:$C$242)</f>
        <v>50.2979408168706</v>
      </c>
      <c r="I252" s="21" t="n">
        <f aca="false">SUMPRODUCT(($B$226:$B$242=$A252)*I$226:I$242*$C$226:$C$242)</f>
        <v>50.2979408168706</v>
      </c>
      <c r="J252" s="21" t="n">
        <f aca="false">SUMPRODUCT(($B$226:$B$242=$A252)*J$226:J$242*$C$226:$C$242)</f>
        <v>50.2979408168706</v>
      </c>
      <c r="K252" s="21" t="n">
        <f aca="false">SUMPRODUCT(($B$226:$B$242=$A252)*K$226:K$242*$C$226:$C$242)</f>
        <v>50.2979408168706</v>
      </c>
      <c r="L252" s="21" t="n">
        <f aca="false">SUMPRODUCT(($B$226:$B$242=$A252)*L$226:L$242*$C$226:$C$242)</f>
        <v>50.2979408168706</v>
      </c>
      <c r="M252" s="21" t="n">
        <f aca="false">SUMPRODUCT(($B$226:$B$242=$A252)*M$226:M$242*$C$226:$C$242)</f>
        <v>50.2979408168706</v>
      </c>
      <c r="N252" s="21" t="n">
        <f aca="false">SUMPRODUCT(($B$226:$B$242=$A252)*N$226:N$242*$C$226:$C$242)</f>
        <v>50.2979408168706</v>
      </c>
      <c r="O252" s="21" t="n">
        <f aca="false">SUMPRODUCT(($B$226:$B$242=$A252)*O$226:O$242*$C$226:$C$242)</f>
        <v>50.2979408168706</v>
      </c>
      <c r="P252" s="21" t="n">
        <f aca="false">SUMPRODUCT(($B$226:$B$242=$A252)*P$226:P$242*$C$226:$C$242)</f>
        <v>603.575289802447</v>
      </c>
    </row>
    <row r="253" customFormat="false" ht="15" hidden="false" customHeight="false" outlineLevel="0" collapsed="false">
      <c r="A253" s="4" t="s">
        <v>358</v>
      </c>
      <c r="D253" s="22" t="n">
        <f aca="false">SUMPRODUCT(D$226:D$242*parametros_recargas!$D$51:$D$67)</f>
        <v>509.271592838195</v>
      </c>
      <c r="E253" s="22" t="n">
        <f aca="false">SUMPRODUCT(E$226:E$242*parametros_recargas!$D$51:$D$67)</f>
        <v>509.271592838195</v>
      </c>
      <c r="F253" s="22" t="n">
        <f aca="false">SUMPRODUCT(F$226:F$242*parametros_recargas!$D$51:$D$67)</f>
        <v>509.271592838195</v>
      </c>
      <c r="G253" s="22" t="n">
        <f aca="false">SUMPRODUCT(G$226:G$242*parametros_recargas!$D$51:$D$67)</f>
        <v>509.271592838195</v>
      </c>
      <c r="H253" s="22" t="n">
        <f aca="false">SUMPRODUCT(H$226:H$242*parametros_recargas!$D$51:$D$67)</f>
        <v>509.271592838195</v>
      </c>
      <c r="I253" s="22" t="n">
        <f aca="false">SUMPRODUCT(I$226:I$242*parametros_recargas!$D$51:$D$67)</f>
        <v>509.271592838195</v>
      </c>
      <c r="J253" s="22" t="n">
        <f aca="false">SUMPRODUCT(J$226:J$242*parametros_recargas!$D$51:$D$67)</f>
        <v>509.271592838195</v>
      </c>
      <c r="K253" s="22" t="n">
        <f aca="false">SUMPRODUCT(K$226:K$242*parametros_recargas!$D$51:$D$67)</f>
        <v>509.271592838195</v>
      </c>
      <c r="L253" s="22" t="n">
        <f aca="false">SUMPRODUCT(L$226:L$242*parametros_recargas!$D$51:$D$67)</f>
        <v>509.271592838195</v>
      </c>
      <c r="M253" s="22" t="n">
        <f aca="false">SUMPRODUCT(M$226:M$242*parametros_recargas!$D$51:$D$67)</f>
        <v>509.271592838195</v>
      </c>
      <c r="N253" s="22" t="n">
        <f aca="false">SUMPRODUCT(N$226:N$242*parametros_recargas!$D$51:$D$67)</f>
        <v>509.271592838195</v>
      </c>
      <c r="O253" s="22" t="n">
        <f aca="false">SUMPRODUCT(O$226:O$242*parametros_recargas!$D$51:$D$67)</f>
        <v>509.271592838195</v>
      </c>
      <c r="P253" s="22" t="n">
        <f aca="false">SUMPRODUCT(P$226:P$242*parametros_recargas!$D$51:$D$67)</f>
        <v>6111.25911405834</v>
      </c>
    </row>
    <row r="254" customFormat="false" ht="15" hidden="false" customHeight="false" outlineLevel="0" collapsed="false">
      <c r="A254" s="4" t="s">
        <v>359</v>
      </c>
      <c r="D254" s="22" t="n">
        <f aca="false">SUMPRODUCT(sobrestock_sustitutos!$I$73:$I$89*(sobrestock_sustitutos!$F$30:$F$46="Fábrica: cilindro vacío")*parametros_recargas!$C$51:$C$67*parametros_recargas!$B$107:$B$123)</f>
        <v>14.4544</v>
      </c>
      <c r="E254" s="22" t="n">
        <f aca="false">SUMPRODUCT(sobrestock_sustitutos!$I$73:$I$89*(sobrestock_sustitutos!$F$30:$F$46="Fábrica: cilindro vacío")*parametros_recargas!$C$51:$C$67*parametros_recargas!$C$107:$C$123)</f>
        <v>11.6912</v>
      </c>
      <c r="F254" s="22" t="n">
        <f aca="false">SUMPRODUCT(sobrestock_sustitutos!$I$73:$I$89*(sobrestock_sustitutos!$F$30:$F$46="Fábrica: cilindro vacío")*parametros_recargas!$C$51:$C$67*parametros_recargas!$D$107:$D$123)</f>
        <v>12.61</v>
      </c>
      <c r="G254" s="22" t="n">
        <f aca="false">SUMPRODUCT(sobrestock_sustitutos!$I$73:$I$89*(sobrestock_sustitutos!$F$30:$F$46="Fábrica: cilindro vacío")*parametros_recargas!$C$51:$C$67*parametros_recargas!$E$107:$E$123)</f>
        <v>12.61</v>
      </c>
      <c r="H254" s="22" t="n">
        <f aca="false">SUMPRODUCT(sobrestock_sustitutos!$I$73:$I$89*(sobrestock_sustitutos!$F$30:$F$46="Fábrica: cilindro vacío")*parametros_recargas!$C$51:$C$67*parametros_recargas!$F$107:$F$123)</f>
        <v>11.9648</v>
      </c>
      <c r="I254" s="22" t="n">
        <f aca="false">SUMPRODUCT(sobrestock_sustitutos!$I$73:$I$89*(sobrestock_sustitutos!$F$30:$F$46="Fábrica: cilindro vacío")*parametros_recargas!$C$51:$C$67*parametros_recargas!$G$107:$G$123)</f>
        <v>11.1372</v>
      </c>
      <c r="J254" s="22" t="n">
        <f aca="false">SUMPRODUCT(sobrestock_sustitutos!$I$73:$I$89*(sobrestock_sustitutos!$F$30:$F$46="Fábrica: cilindro vacío")*parametros_recargas!$C$51:$C$67*parametros_recargas!$H$107:$H$123)</f>
        <v>11.9648</v>
      </c>
      <c r="K254" s="22" t="n">
        <f aca="false">SUMPRODUCT(sobrestock_sustitutos!$I$73:$I$89*(sobrestock_sustitutos!$F$30:$F$46="Fábrica: cilindro vacío")*parametros_recargas!$C$51:$C$67*parametros_recargas!$I$107:$I$123)</f>
        <v>11.9648</v>
      </c>
      <c r="L254" s="22" t="n">
        <f aca="false">SUMPRODUCT(sobrestock_sustitutos!$I$73:$I$89*(sobrestock_sustitutos!$F$30:$F$46="Fábrica: cilindro vacío")*parametros_recargas!$C$51:$C$67*parametros_recargas!$J$107:$J$123)</f>
        <v>11.8736</v>
      </c>
      <c r="M254" s="22" t="n">
        <f aca="false">SUMPRODUCT(sobrestock_sustitutos!$I$73:$I$89*(sobrestock_sustitutos!$F$30:$F$46="Fábrica: cilindro vacío")*parametros_recargas!$C$51:$C$67*parametros_recargas!$K$107:$K$123)</f>
        <v>11.046</v>
      </c>
      <c r="N254" s="22" t="n">
        <f aca="false">SUMPRODUCT(sobrestock_sustitutos!$I$73:$I$89*(sobrestock_sustitutos!$F$30:$F$46="Fábrica: cilindro vacío")*parametros_recargas!$C$51:$C$67*parametros_recargas!$L$107:$L$123)</f>
        <v>10.3096</v>
      </c>
      <c r="O254" s="22" t="n">
        <f aca="false">SUMPRODUCT(sobrestock_sustitutos!$I$73:$I$89*(sobrestock_sustitutos!$F$30:$F$46="Fábrica: cilindro vacío")*parametros_recargas!$C$51:$C$67*parametros_recargas!$M$107:$M$123)</f>
        <v>15.6536</v>
      </c>
      <c r="P254" s="7" t="n">
        <f aca="false">SUM(D254:O254)</f>
        <v>147.28</v>
      </c>
    </row>
    <row r="257" customFormat="false" ht="23.85" hidden="false" customHeight="false" outlineLevel="0" collapsed="false">
      <c r="A257" s="23" t="n">
        <v>2034</v>
      </c>
      <c r="B257" s="3" t="s">
        <v>353</v>
      </c>
      <c r="C257" s="3" t="s">
        <v>354</v>
      </c>
      <c r="D257" s="3" t="s">
        <v>147</v>
      </c>
      <c r="E257" s="3" t="s">
        <v>148</v>
      </c>
      <c r="F257" s="3" t="s">
        <v>149</v>
      </c>
      <c r="G257" s="3" t="s">
        <v>150</v>
      </c>
      <c r="H257" s="3" t="s">
        <v>151</v>
      </c>
      <c r="I257" s="3" t="s">
        <v>152</v>
      </c>
      <c r="J257" s="3" t="s">
        <v>153</v>
      </c>
      <c r="K257" s="3" t="s">
        <v>154</v>
      </c>
      <c r="L257" s="3" t="s">
        <v>155</v>
      </c>
      <c r="M257" s="3" t="s">
        <v>156</v>
      </c>
      <c r="N257" s="3" t="s">
        <v>157</v>
      </c>
      <c r="O257" s="3" t="s">
        <v>158</v>
      </c>
      <c r="P257" s="3" t="s">
        <v>83</v>
      </c>
      <c r="Q257" s="3" t="s">
        <v>355</v>
      </c>
    </row>
    <row r="258" customFormat="false" ht="15" hidden="false" customHeight="false" outlineLevel="0" collapsed="false">
      <c r="A258" s="9" t="str">
        <f aca="false">parametros_recargas!A51</f>
        <v>ABC 1 kg</v>
      </c>
      <c r="B258" s="9" t="str">
        <f aca="false">parametros_recargas!B51</f>
        <v>ABC</v>
      </c>
      <c r="C258" s="11" t="n">
        <f aca="false">parametros_recargas!C51</f>
        <v>1</v>
      </c>
      <c r="D258" s="21" t="n">
        <f aca="false">datos_base!$J$2*parametros_recargas!$B$45+sobrestock_sustitutos!$J$98/12</f>
        <v>8488.33705805943</v>
      </c>
      <c r="E258" s="21" t="n">
        <f aca="false">datos_base!$J$2*parametros_recargas!$C$45+sobrestock_sustitutos!$J$98/12</f>
        <v>8488.33705805943</v>
      </c>
      <c r="F258" s="21" t="n">
        <f aca="false">datos_base!$J$2*parametros_recargas!$D$45+sobrestock_sustitutos!$J$98/12</f>
        <v>8488.33705805943</v>
      </c>
      <c r="G258" s="21" t="n">
        <f aca="false">datos_base!$J$2*parametros_recargas!$E$45+sobrestock_sustitutos!$J$98/12</f>
        <v>8488.33705805943</v>
      </c>
      <c r="H258" s="21" t="n">
        <f aca="false">datos_base!$J$2*parametros_recargas!$F$45+sobrestock_sustitutos!$J$98/12</f>
        <v>8488.33705805943</v>
      </c>
      <c r="I258" s="21" t="n">
        <f aca="false">datos_base!$J$2*parametros_recargas!$G$45+sobrestock_sustitutos!$J$98/12</f>
        <v>8488.33705805943</v>
      </c>
      <c r="J258" s="21" t="n">
        <f aca="false">datos_base!$J$2*parametros_recargas!$H$45+sobrestock_sustitutos!$J$98/12</f>
        <v>8488.33705805943</v>
      </c>
      <c r="K258" s="21" t="n">
        <f aca="false">datos_base!$J$2*parametros_recargas!$I$45+sobrestock_sustitutos!$J$98/12</f>
        <v>8488.33705805943</v>
      </c>
      <c r="L258" s="21" t="n">
        <f aca="false">datos_base!$J$2*parametros_recargas!$J$45+sobrestock_sustitutos!$J$98/12</f>
        <v>8488.33705805943</v>
      </c>
      <c r="M258" s="21" t="n">
        <f aca="false">datos_base!$J$2*parametros_recargas!$K$45+sobrestock_sustitutos!$J$98/12</f>
        <v>8488.33705805943</v>
      </c>
      <c r="N258" s="21" t="n">
        <f aca="false">datos_base!$J$2*parametros_recargas!$L$45+sobrestock_sustitutos!$J$98/12</f>
        <v>8488.33705805943</v>
      </c>
      <c r="O258" s="21" t="n">
        <f aca="false">datos_base!$J$2*parametros_recargas!$M$45+sobrestock_sustitutos!$J$98/12</f>
        <v>8488.33705805943</v>
      </c>
      <c r="P258" s="7" t="n">
        <f aca="false">SUM(D258:O258)</f>
        <v>101860.044696713</v>
      </c>
      <c r="Q258" s="6" t="n">
        <f aca="false">sobrestock_sustitutos!$J$98</f>
        <v>0</v>
      </c>
    </row>
    <row r="259" customFormat="false" ht="15" hidden="false" customHeight="false" outlineLevel="0" collapsed="false">
      <c r="A259" s="9" t="str">
        <f aca="false">parametros_recargas!A52</f>
        <v>ABC 2,5 kg</v>
      </c>
      <c r="B259" s="9" t="str">
        <f aca="false">parametros_recargas!B52</f>
        <v>ABC</v>
      </c>
      <c r="C259" s="11" t="n">
        <f aca="false">parametros_recargas!C52</f>
        <v>1</v>
      </c>
      <c r="D259" s="21" t="n">
        <f aca="false">datos_base!$J$3*parametros_recargas!$B$45+sobrestock_sustitutos!$J$99/12</f>
        <v>721.402579050774</v>
      </c>
      <c r="E259" s="21" t="n">
        <f aca="false">datos_base!$J$3*parametros_recargas!$C$45+sobrestock_sustitutos!$J$99/12</f>
        <v>721.402579050774</v>
      </c>
      <c r="F259" s="21" t="n">
        <f aca="false">datos_base!$J$3*parametros_recargas!$D$45+sobrestock_sustitutos!$J$99/12</f>
        <v>721.402579050774</v>
      </c>
      <c r="G259" s="21" t="n">
        <f aca="false">datos_base!$J$3*parametros_recargas!$E$45+sobrestock_sustitutos!$J$99/12</f>
        <v>721.402579050774</v>
      </c>
      <c r="H259" s="21" t="n">
        <f aca="false">datos_base!$J$3*parametros_recargas!$F$45+sobrestock_sustitutos!$J$99/12</f>
        <v>721.402579050774</v>
      </c>
      <c r="I259" s="21" t="n">
        <f aca="false">datos_base!$J$3*parametros_recargas!$G$45+sobrestock_sustitutos!$J$99/12</f>
        <v>721.402579050774</v>
      </c>
      <c r="J259" s="21" t="n">
        <f aca="false">datos_base!$J$3*parametros_recargas!$H$45+sobrestock_sustitutos!$J$99/12</f>
        <v>721.402579050774</v>
      </c>
      <c r="K259" s="21" t="n">
        <f aca="false">datos_base!$J$3*parametros_recargas!$I$45+sobrestock_sustitutos!$J$99/12</f>
        <v>721.402579050774</v>
      </c>
      <c r="L259" s="21" t="n">
        <f aca="false">datos_base!$J$3*parametros_recargas!$J$45+sobrestock_sustitutos!$J$99/12</f>
        <v>721.402579050774</v>
      </c>
      <c r="M259" s="21" t="n">
        <f aca="false">datos_base!$J$3*parametros_recargas!$K$45+sobrestock_sustitutos!$J$99/12</f>
        <v>721.402579050774</v>
      </c>
      <c r="N259" s="21" t="n">
        <f aca="false">datos_base!$J$3*parametros_recargas!$L$45+sobrestock_sustitutos!$J$99/12</f>
        <v>721.402579050774</v>
      </c>
      <c r="O259" s="21" t="n">
        <f aca="false">datos_base!$J$3*parametros_recargas!$M$45+sobrestock_sustitutos!$J$99/12</f>
        <v>721.402579050774</v>
      </c>
      <c r="P259" s="7" t="n">
        <f aca="false">SUM(D259:O259)</f>
        <v>8656.83094860928</v>
      </c>
      <c r="Q259" s="6" t="n">
        <f aca="false">sobrestock_sustitutos!$J$99</f>
        <v>99</v>
      </c>
    </row>
    <row r="260" customFormat="false" ht="15" hidden="false" customHeight="false" outlineLevel="0" collapsed="false">
      <c r="A260" s="9" t="str">
        <f aca="false">parametros_recargas!A53</f>
        <v>ABC 5 kg</v>
      </c>
      <c r="B260" s="9" t="str">
        <f aca="false">parametros_recargas!B53</f>
        <v>ABC</v>
      </c>
      <c r="C260" s="11" t="n">
        <f aca="false">parametros_recargas!C53</f>
        <v>1</v>
      </c>
      <c r="D260" s="21" t="n">
        <f aca="false">datos_base!$J$4*parametros_recargas!$B$45+sobrestock_sustitutos!$J$100/12</f>
        <v>4400.77843271913</v>
      </c>
      <c r="E260" s="21" t="n">
        <f aca="false">datos_base!$J$4*parametros_recargas!$C$45+sobrestock_sustitutos!$J$100/12</f>
        <v>4400.77843271913</v>
      </c>
      <c r="F260" s="21" t="n">
        <f aca="false">datos_base!$J$4*parametros_recargas!$D$45+sobrestock_sustitutos!$J$100/12</f>
        <v>4400.77843271913</v>
      </c>
      <c r="G260" s="21" t="n">
        <f aca="false">datos_base!$J$4*parametros_recargas!$E$45+sobrestock_sustitutos!$J$100/12</f>
        <v>4400.77843271913</v>
      </c>
      <c r="H260" s="21" t="n">
        <f aca="false">datos_base!$J$4*parametros_recargas!$F$45+sobrestock_sustitutos!$J$100/12</f>
        <v>4400.77843271913</v>
      </c>
      <c r="I260" s="21" t="n">
        <f aca="false">datos_base!$J$4*parametros_recargas!$G$45+sobrestock_sustitutos!$J$100/12</f>
        <v>4400.77843271913</v>
      </c>
      <c r="J260" s="21" t="n">
        <f aca="false">datos_base!$J$4*parametros_recargas!$H$45+sobrestock_sustitutos!$J$100/12</f>
        <v>4400.77843271913</v>
      </c>
      <c r="K260" s="21" t="n">
        <f aca="false">datos_base!$J$4*parametros_recargas!$I$45+sobrestock_sustitutos!$J$100/12</f>
        <v>4400.77843271913</v>
      </c>
      <c r="L260" s="21" t="n">
        <f aca="false">datos_base!$J$4*parametros_recargas!$J$45+sobrestock_sustitutos!$J$100/12</f>
        <v>4400.77843271913</v>
      </c>
      <c r="M260" s="21" t="n">
        <f aca="false">datos_base!$J$4*parametros_recargas!$K$45+sobrestock_sustitutos!$J$100/12</f>
        <v>4400.77843271913</v>
      </c>
      <c r="N260" s="21" t="n">
        <f aca="false">datos_base!$J$4*parametros_recargas!$L$45+sobrestock_sustitutos!$J$100/12</f>
        <v>4400.77843271913</v>
      </c>
      <c r="O260" s="21" t="n">
        <f aca="false">datos_base!$J$4*parametros_recargas!$M$45+sobrestock_sustitutos!$J$100/12</f>
        <v>4400.77843271913</v>
      </c>
      <c r="P260" s="7" t="n">
        <f aca="false">SUM(D260:O260)</f>
        <v>52809.3411926296</v>
      </c>
      <c r="Q260" s="6" t="n">
        <f aca="false">sobrestock_sustitutos!$J$100</f>
        <v>627</v>
      </c>
    </row>
    <row r="261" customFormat="false" ht="15" hidden="false" customHeight="false" outlineLevel="0" collapsed="false">
      <c r="A261" s="9" t="str">
        <f aca="false">parametros_recargas!A54</f>
        <v>ABC 10 kg</v>
      </c>
      <c r="B261" s="9" t="str">
        <f aca="false">parametros_recargas!B54</f>
        <v>ABC</v>
      </c>
      <c r="C261" s="11" t="n">
        <f aca="false">parametros_recargas!C54</f>
        <v>1</v>
      </c>
      <c r="D261" s="21" t="n">
        <f aca="false">datos_base!$J$5*parametros_recargas!$B$45+sobrestock_sustitutos!$J$101/12</f>
        <v>260.460942169361</v>
      </c>
      <c r="E261" s="21" t="n">
        <f aca="false">datos_base!$J$5*parametros_recargas!$C$45+sobrestock_sustitutos!$J$101/12</f>
        <v>260.460942169361</v>
      </c>
      <c r="F261" s="21" t="n">
        <f aca="false">datos_base!$J$5*parametros_recargas!$D$45+sobrestock_sustitutos!$J$101/12</f>
        <v>260.460942169361</v>
      </c>
      <c r="G261" s="21" t="n">
        <f aca="false">datos_base!$J$5*parametros_recargas!$E$45+sobrestock_sustitutos!$J$101/12</f>
        <v>260.460942169361</v>
      </c>
      <c r="H261" s="21" t="n">
        <f aca="false">datos_base!$J$5*parametros_recargas!$F$45+sobrestock_sustitutos!$J$101/12</f>
        <v>260.460942169361</v>
      </c>
      <c r="I261" s="21" t="n">
        <f aca="false">datos_base!$J$5*parametros_recargas!$G$45+sobrestock_sustitutos!$J$101/12</f>
        <v>260.460942169361</v>
      </c>
      <c r="J261" s="21" t="n">
        <f aca="false">datos_base!$J$5*parametros_recargas!$H$45+sobrestock_sustitutos!$J$101/12</f>
        <v>260.460942169361</v>
      </c>
      <c r="K261" s="21" t="n">
        <f aca="false">datos_base!$J$5*parametros_recargas!$I$45+sobrestock_sustitutos!$J$101/12</f>
        <v>260.460942169361</v>
      </c>
      <c r="L261" s="21" t="n">
        <f aca="false">datos_base!$J$5*parametros_recargas!$J$45+sobrestock_sustitutos!$J$101/12</f>
        <v>260.460942169361</v>
      </c>
      <c r="M261" s="21" t="n">
        <f aca="false">datos_base!$J$5*parametros_recargas!$K$45+sobrestock_sustitutos!$J$101/12</f>
        <v>260.460942169361</v>
      </c>
      <c r="N261" s="21" t="n">
        <f aca="false">datos_base!$J$5*parametros_recargas!$L$45+sobrestock_sustitutos!$J$101/12</f>
        <v>260.460942169361</v>
      </c>
      <c r="O261" s="21" t="n">
        <f aca="false">datos_base!$J$5*parametros_recargas!$M$45+sobrestock_sustitutos!$J$101/12</f>
        <v>260.460942169361</v>
      </c>
      <c r="P261" s="7" t="n">
        <f aca="false">SUM(D261:O261)</f>
        <v>3125.53130603234</v>
      </c>
      <c r="Q261" s="6" t="n">
        <f aca="false">sobrestock_sustitutos!$J$101</f>
        <v>36</v>
      </c>
    </row>
    <row r="262" customFormat="false" ht="15" hidden="false" customHeight="false" outlineLevel="0" collapsed="false">
      <c r="A262" s="9" t="str">
        <f aca="false">parametros_recargas!A55</f>
        <v>Agua 10 l</v>
      </c>
      <c r="B262" s="9" t="str">
        <f aca="false">parametros_recargas!B55</f>
        <v>Agua</v>
      </c>
      <c r="C262" s="11" t="n">
        <f aca="false">parametros_recargas!C55</f>
        <v>1</v>
      </c>
      <c r="D262" s="21" t="n">
        <f aca="false">datos_base!$J$6*parametros_recargas!$B$45+sobrestock_sustitutos!$J$102/12</f>
        <v>367.416442377254</v>
      </c>
      <c r="E262" s="21" t="n">
        <f aca="false">datos_base!$J$6*parametros_recargas!$C$45+sobrestock_sustitutos!$J$102/12</f>
        <v>367.416442377254</v>
      </c>
      <c r="F262" s="21" t="n">
        <f aca="false">datos_base!$J$6*parametros_recargas!$D$45+sobrestock_sustitutos!$J$102/12</f>
        <v>367.416442377254</v>
      </c>
      <c r="G262" s="21" t="n">
        <f aca="false">datos_base!$J$6*parametros_recargas!$E$45+sobrestock_sustitutos!$J$102/12</f>
        <v>367.416442377254</v>
      </c>
      <c r="H262" s="21" t="n">
        <f aca="false">datos_base!$J$6*parametros_recargas!$F$45+sobrestock_sustitutos!$J$102/12</f>
        <v>367.416442377254</v>
      </c>
      <c r="I262" s="21" t="n">
        <f aca="false">datos_base!$J$6*parametros_recargas!$G$45+sobrestock_sustitutos!$J$102/12</f>
        <v>367.416442377254</v>
      </c>
      <c r="J262" s="21" t="n">
        <f aca="false">datos_base!$J$6*parametros_recargas!$H$45+sobrestock_sustitutos!$J$102/12</f>
        <v>367.416442377254</v>
      </c>
      <c r="K262" s="21" t="n">
        <f aca="false">datos_base!$J$6*parametros_recargas!$I$45+sobrestock_sustitutos!$J$102/12</f>
        <v>367.416442377254</v>
      </c>
      <c r="L262" s="21" t="n">
        <f aca="false">datos_base!$J$6*parametros_recargas!$J$45+sobrestock_sustitutos!$J$102/12</f>
        <v>367.416442377254</v>
      </c>
      <c r="M262" s="21" t="n">
        <f aca="false">datos_base!$J$6*parametros_recargas!$K$45+sobrestock_sustitutos!$J$102/12</f>
        <v>367.416442377254</v>
      </c>
      <c r="N262" s="21" t="n">
        <f aca="false">datos_base!$J$6*parametros_recargas!$L$45+sobrestock_sustitutos!$J$102/12</f>
        <v>367.416442377254</v>
      </c>
      <c r="O262" s="21" t="n">
        <f aca="false">datos_base!$J$6*parametros_recargas!$M$45+sobrestock_sustitutos!$J$102/12</f>
        <v>367.416442377254</v>
      </c>
      <c r="P262" s="7" t="n">
        <f aca="false">SUM(D262:O262)</f>
        <v>4408.99730852705</v>
      </c>
      <c r="Q262" s="6" t="n">
        <f aca="false">sobrestock_sustitutos!$J$102</f>
        <v>53</v>
      </c>
    </row>
    <row r="263" customFormat="false" ht="15" hidden="false" customHeight="false" outlineLevel="0" collapsed="false">
      <c r="A263" s="9" t="str">
        <f aca="false">parametros_recargas!A56</f>
        <v>AFFF 10 l</v>
      </c>
      <c r="B263" s="9" t="str">
        <f aca="false">parametros_recargas!B56</f>
        <v>AFFF</v>
      </c>
      <c r="C263" s="11" t="n">
        <f aca="false">parametros_recargas!C56</f>
        <v>1</v>
      </c>
      <c r="D263" s="21" t="n">
        <f aca="false">datos_base!$J$7*parametros_recargas!$B$45+sobrestock_sustitutos!$J$103/12</f>
        <v>69.3608340049327</v>
      </c>
      <c r="E263" s="21" t="n">
        <f aca="false">datos_base!$J$7*parametros_recargas!$C$45+sobrestock_sustitutos!$J$103/12</f>
        <v>69.3608340049327</v>
      </c>
      <c r="F263" s="21" t="n">
        <f aca="false">datos_base!$J$7*parametros_recargas!$D$45+sobrestock_sustitutos!$J$103/12</f>
        <v>69.3608340049327</v>
      </c>
      <c r="G263" s="21" t="n">
        <f aca="false">datos_base!$J$7*parametros_recargas!$E$45+sobrestock_sustitutos!$J$103/12</f>
        <v>69.3608340049327</v>
      </c>
      <c r="H263" s="21" t="n">
        <f aca="false">datos_base!$J$7*parametros_recargas!$F$45+sobrestock_sustitutos!$J$103/12</f>
        <v>69.3608340049327</v>
      </c>
      <c r="I263" s="21" t="n">
        <f aca="false">datos_base!$J$7*parametros_recargas!$G$45+sobrestock_sustitutos!$J$103/12</f>
        <v>69.3608340049327</v>
      </c>
      <c r="J263" s="21" t="n">
        <f aca="false">datos_base!$J$7*parametros_recargas!$H$45+sobrestock_sustitutos!$J$103/12</f>
        <v>69.3608340049327</v>
      </c>
      <c r="K263" s="21" t="n">
        <f aca="false">datos_base!$J$7*parametros_recargas!$I$45+sobrestock_sustitutos!$J$103/12</f>
        <v>69.3608340049327</v>
      </c>
      <c r="L263" s="21" t="n">
        <f aca="false">datos_base!$J$7*parametros_recargas!$J$45+sobrestock_sustitutos!$J$103/12</f>
        <v>69.3608340049327</v>
      </c>
      <c r="M263" s="21" t="n">
        <f aca="false">datos_base!$J$7*parametros_recargas!$K$45+sobrestock_sustitutos!$J$103/12</f>
        <v>69.3608340049327</v>
      </c>
      <c r="N263" s="21" t="n">
        <f aca="false">datos_base!$J$7*parametros_recargas!$L$45+sobrestock_sustitutos!$J$103/12</f>
        <v>69.3608340049327</v>
      </c>
      <c r="O263" s="21" t="n">
        <f aca="false">datos_base!$J$7*parametros_recargas!$M$45+sobrestock_sustitutos!$J$103/12</f>
        <v>69.3608340049327</v>
      </c>
      <c r="P263" s="7" t="n">
        <f aca="false">SUM(D263:O263)</f>
        <v>832.330008059193</v>
      </c>
      <c r="Q263" s="6" t="n">
        <f aca="false">sobrestock_sustitutos!$J$103</f>
        <v>13</v>
      </c>
    </row>
    <row r="264" customFormat="false" ht="15" hidden="false" customHeight="false" outlineLevel="0" collapsed="false">
      <c r="A264" s="9" t="str">
        <f aca="false">parametros_recargas!A57</f>
        <v>AFFF 50 l s/ruedas</v>
      </c>
      <c r="B264" s="9" t="str">
        <f aca="false">parametros_recargas!B57</f>
        <v>AFFF</v>
      </c>
      <c r="C264" s="11" t="n">
        <f aca="false">parametros_recargas!C57</f>
        <v>3</v>
      </c>
      <c r="D264" s="21" t="n">
        <f aca="false">datos_base!$J$8*parametros_recargas!$B$45+sobrestock_sustitutos!$J$104/12</f>
        <v>36.3226378909994</v>
      </c>
      <c r="E264" s="21" t="n">
        <f aca="false">datos_base!$J$8*parametros_recargas!$C$45+sobrestock_sustitutos!$J$104/12</f>
        <v>36.3226378909994</v>
      </c>
      <c r="F264" s="21" t="n">
        <f aca="false">datos_base!$J$8*parametros_recargas!$D$45+sobrestock_sustitutos!$J$104/12</f>
        <v>36.3226378909994</v>
      </c>
      <c r="G264" s="21" t="n">
        <f aca="false">datos_base!$J$8*parametros_recargas!$E$45+sobrestock_sustitutos!$J$104/12</f>
        <v>36.3226378909994</v>
      </c>
      <c r="H264" s="21" t="n">
        <f aca="false">datos_base!$J$8*parametros_recargas!$F$45+sobrestock_sustitutos!$J$104/12</f>
        <v>36.3226378909994</v>
      </c>
      <c r="I264" s="21" t="n">
        <f aca="false">datos_base!$J$8*parametros_recargas!$G$45+sobrestock_sustitutos!$J$104/12</f>
        <v>36.3226378909994</v>
      </c>
      <c r="J264" s="21" t="n">
        <f aca="false">datos_base!$J$8*parametros_recargas!$H$45+sobrestock_sustitutos!$J$104/12</f>
        <v>36.3226378909994</v>
      </c>
      <c r="K264" s="21" t="n">
        <f aca="false">datos_base!$J$8*parametros_recargas!$I$45+sobrestock_sustitutos!$J$104/12</f>
        <v>36.3226378909994</v>
      </c>
      <c r="L264" s="21" t="n">
        <f aca="false">datos_base!$J$8*parametros_recargas!$J$45+sobrestock_sustitutos!$J$104/12</f>
        <v>36.3226378909994</v>
      </c>
      <c r="M264" s="21" t="n">
        <f aca="false">datos_base!$J$8*parametros_recargas!$K$45+sobrestock_sustitutos!$J$104/12</f>
        <v>36.3226378909994</v>
      </c>
      <c r="N264" s="21" t="n">
        <f aca="false">datos_base!$J$8*parametros_recargas!$L$45+sobrestock_sustitutos!$J$104/12</f>
        <v>36.3226378909994</v>
      </c>
      <c r="O264" s="21" t="n">
        <f aca="false">datos_base!$J$8*parametros_recargas!$M$45+sobrestock_sustitutos!$J$104/12</f>
        <v>36.3226378909994</v>
      </c>
      <c r="P264" s="7" t="n">
        <f aca="false">SUM(D264:O264)</f>
        <v>435.871654691993</v>
      </c>
      <c r="Q264" s="6" t="n">
        <f aca="false">sobrestock_sustitutos!$J$104</f>
        <v>7</v>
      </c>
    </row>
    <row r="265" customFormat="false" ht="15" hidden="false" customHeight="false" outlineLevel="0" collapsed="false">
      <c r="A265" s="9" t="str">
        <f aca="false">parametros_recargas!A58</f>
        <v>BC 5 kg</v>
      </c>
      <c r="B265" s="9" t="str">
        <f aca="false">parametros_recargas!B58</f>
        <v>BC</v>
      </c>
      <c r="C265" s="11" t="n">
        <f aca="false">parametros_recargas!C58</f>
        <v>1</v>
      </c>
      <c r="D265" s="21" t="n">
        <f aca="false">datos_base!$J$9*parametros_recargas!$B$45+sobrestock_sustitutos!$J$105/12</f>
        <v>20.9329072661012</v>
      </c>
      <c r="E265" s="21" t="n">
        <f aca="false">datos_base!$J$9*parametros_recargas!$C$45+sobrestock_sustitutos!$J$105/12</f>
        <v>20.9329072661012</v>
      </c>
      <c r="F265" s="21" t="n">
        <f aca="false">datos_base!$J$9*parametros_recargas!$D$45+sobrestock_sustitutos!$J$105/12</f>
        <v>20.9329072661012</v>
      </c>
      <c r="G265" s="21" t="n">
        <f aca="false">datos_base!$J$9*parametros_recargas!$E$45+sobrestock_sustitutos!$J$105/12</f>
        <v>20.9329072661012</v>
      </c>
      <c r="H265" s="21" t="n">
        <f aca="false">datos_base!$J$9*parametros_recargas!$F$45+sobrestock_sustitutos!$J$105/12</f>
        <v>20.9329072661012</v>
      </c>
      <c r="I265" s="21" t="n">
        <f aca="false">datos_base!$J$9*parametros_recargas!$G$45+sobrestock_sustitutos!$J$105/12</f>
        <v>20.9329072661012</v>
      </c>
      <c r="J265" s="21" t="n">
        <f aca="false">datos_base!$J$9*parametros_recargas!$H$45+sobrestock_sustitutos!$J$105/12</f>
        <v>20.9329072661012</v>
      </c>
      <c r="K265" s="21" t="n">
        <f aca="false">datos_base!$J$9*parametros_recargas!$I$45+sobrestock_sustitutos!$J$105/12</f>
        <v>20.9329072661012</v>
      </c>
      <c r="L265" s="21" t="n">
        <f aca="false">datos_base!$J$9*parametros_recargas!$J$45+sobrestock_sustitutos!$J$105/12</f>
        <v>20.9329072661012</v>
      </c>
      <c r="M265" s="21" t="n">
        <f aca="false">datos_base!$J$9*parametros_recargas!$K$45+sobrestock_sustitutos!$J$105/12</f>
        <v>20.9329072661012</v>
      </c>
      <c r="N265" s="21" t="n">
        <f aca="false">datos_base!$J$9*parametros_recargas!$L$45+sobrestock_sustitutos!$J$105/12</f>
        <v>20.9329072661012</v>
      </c>
      <c r="O265" s="21" t="n">
        <f aca="false">datos_base!$J$9*parametros_recargas!$M$45+sobrestock_sustitutos!$J$105/12</f>
        <v>20.9329072661012</v>
      </c>
      <c r="P265" s="7" t="n">
        <f aca="false">SUM(D265:O265)</f>
        <v>251.194887193214</v>
      </c>
      <c r="Q265" s="6" t="n">
        <f aca="false">sobrestock_sustitutos!$J$105</f>
        <v>4</v>
      </c>
    </row>
    <row r="266" customFormat="false" ht="15" hidden="false" customHeight="false" outlineLevel="0" collapsed="false">
      <c r="A266" s="9" t="str">
        <f aca="false">parametros_recargas!A59</f>
        <v>Sales K 6 l</v>
      </c>
      <c r="B266" s="9" t="str">
        <f aca="false">parametros_recargas!B59</f>
        <v>Sales K</v>
      </c>
      <c r="C266" s="11" t="n">
        <f aca="false">parametros_recargas!C59</f>
        <v>1</v>
      </c>
      <c r="D266" s="21" t="n">
        <f aca="false">datos_base!$J$10*parametros_recargas!$B$45+sobrestock_sustitutos!$J$106/12</f>
        <v>181.117180720345</v>
      </c>
      <c r="E266" s="21" t="n">
        <f aca="false">datos_base!$J$10*parametros_recargas!$C$45+sobrestock_sustitutos!$J$106/12</f>
        <v>181.117180720345</v>
      </c>
      <c r="F266" s="21" t="n">
        <f aca="false">datos_base!$J$10*parametros_recargas!$D$45+sobrestock_sustitutos!$J$106/12</f>
        <v>181.117180720345</v>
      </c>
      <c r="G266" s="21" t="n">
        <f aca="false">datos_base!$J$10*parametros_recargas!$E$45+sobrestock_sustitutos!$J$106/12</f>
        <v>181.117180720345</v>
      </c>
      <c r="H266" s="21" t="n">
        <f aca="false">datos_base!$J$10*parametros_recargas!$F$45+sobrestock_sustitutos!$J$106/12</f>
        <v>181.117180720345</v>
      </c>
      <c r="I266" s="21" t="n">
        <f aca="false">datos_base!$J$10*parametros_recargas!$G$45+sobrestock_sustitutos!$J$106/12</f>
        <v>181.117180720345</v>
      </c>
      <c r="J266" s="21" t="n">
        <f aca="false">datos_base!$J$10*parametros_recargas!$H$45+sobrestock_sustitutos!$J$106/12</f>
        <v>181.117180720345</v>
      </c>
      <c r="K266" s="21" t="n">
        <f aca="false">datos_base!$J$10*parametros_recargas!$I$45+sobrestock_sustitutos!$J$106/12</f>
        <v>181.117180720345</v>
      </c>
      <c r="L266" s="21" t="n">
        <f aca="false">datos_base!$J$10*parametros_recargas!$J$45+sobrestock_sustitutos!$J$106/12</f>
        <v>181.117180720345</v>
      </c>
      <c r="M266" s="21" t="n">
        <f aca="false">datos_base!$J$10*parametros_recargas!$K$45+sobrestock_sustitutos!$J$106/12</f>
        <v>181.117180720345</v>
      </c>
      <c r="N266" s="21" t="n">
        <f aca="false">datos_base!$J$10*parametros_recargas!$L$45+sobrestock_sustitutos!$J$106/12</f>
        <v>181.117180720345</v>
      </c>
      <c r="O266" s="21" t="n">
        <f aca="false">datos_base!$J$10*parametros_recargas!$M$45+sobrestock_sustitutos!$J$106/12</f>
        <v>181.117180720345</v>
      </c>
      <c r="P266" s="7" t="n">
        <f aca="false">SUM(D266:O266)</f>
        <v>2173.40616864414</v>
      </c>
      <c r="Q266" s="6" t="n">
        <f aca="false">sobrestock_sustitutos!$J$106</f>
        <v>27</v>
      </c>
    </row>
    <row r="267" customFormat="false" ht="15" hidden="false" customHeight="false" outlineLevel="0" collapsed="false">
      <c r="A267" s="9" t="str">
        <f aca="false">parametros_recargas!A60</f>
        <v>CO₂ 2 kg</v>
      </c>
      <c r="B267" s="9" t="str">
        <f aca="false">parametros_recargas!B60</f>
        <v>CO₂</v>
      </c>
      <c r="C267" s="11" t="n">
        <f aca="false">parametros_recargas!C60</f>
        <v>1</v>
      </c>
      <c r="D267" s="21" t="n">
        <f aca="false">datos_base!$J$11*parametros_recargas!$B$45+sobrestock_sustitutos!$J$107/12</f>
        <v>989.386606366866</v>
      </c>
      <c r="E267" s="21" t="n">
        <f aca="false">datos_base!$J$11*parametros_recargas!$C$45+sobrestock_sustitutos!$J$107/12</f>
        <v>989.386606366866</v>
      </c>
      <c r="F267" s="21" t="n">
        <f aca="false">datos_base!$J$11*parametros_recargas!$D$45+sobrestock_sustitutos!$J$107/12</f>
        <v>989.386606366866</v>
      </c>
      <c r="G267" s="21" t="n">
        <f aca="false">datos_base!$J$11*parametros_recargas!$E$45+sobrestock_sustitutos!$J$107/12</f>
        <v>989.386606366866</v>
      </c>
      <c r="H267" s="21" t="n">
        <f aca="false">datos_base!$J$11*parametros_recargas!$F$45+sobrestock_sustitutos!$J$107/12</f>
        <v>989.386606366866</v>
      </c>
      <c r="I267" s="21" t="n">
        <f aca="false">datos_base!$J$11*parametros_recargas!$G$45+sobrestock_sustitutos!$J$107/12</f>
        <v>989.386606366866</v>
      </c>
      <c r="J267" s="21" t="n">
        <f aca="false">datos_base!$J$11*parametros_recargas!$H$45+sobrestock_sustitutos!$J$107/12</f>
        <v>989.386606366866</v>
      </c>
      <c r="K267" s="21" t="n">
        <f aca="false">datos_base!$J$11*parametros_recargas!$I$45+sobrestock_sustitutos!$J$107/12</f>
        <v>989.386606366866</v>
      </c>
      <c r="L267" s="21" t="n">
        <f aca="false">datos_base!$J$11*parametros_recargas!$J$45+sobrestock_sustitutos!$J$107/12</f>
        <v>989.386606366866</v>
      </c>
      <c r="M267" s="21" t="n">
        <f aca="false">datos_base!$J$11*parametros_recargas!$K$45+sobrestock_sustitutos!$J$107/12</f>
        <v>989.386606366866</v>
      </c>
      <c r="N267" s="21" t="n">
        <f aca="false">datos_base!$J$11*parametros_recargas!$L$45+sobrestock_sustitutos!$J$107/12</f>
        <v>989.386606366866</v>
      </c>
      <c r="O267" s="21" t="n">
        <f aca="false">datos_base!$J$11*parametros_recargas!$M$45+sobrestock_sustitutos!$J$107/12</f>
        <v>989.386606366866</v>
      </c>
      <c r="P267" s="7" t="n">
        <f aca="false">SUM(D267:O267)</f>
        <v>11872.6392764024</v>
      </c>
      <c r="Q267" s="6" t="n">
        <f aca="false">sobrestock_sustitutos!$J$107</f>
        <v>138</v>
      </c>
    </row>
    <row r="268" customFormat="false" ht="15" hidden="false" customHeight="false" outlineLevel="0" collapsed="false">
      <c r="A268" s="9" t="str">
        <f aca="false">parametros_recargas!A61</f>
        <v>CO₂ 5 kg</v>
      </c>
      <c r="B268" s="9" t="str">
        <f aca="false">parametros_recargas!B61</f>
        <v>CO₂</v>
      </c>
      <c r="C268" s="11" t="n">
        <f aca="false">parametros_recargas!C61</f>
        <v>1</v>
      </c>
      <c r="D268" s="21" t="n">
        <f aca="false">datos_base!$J$12*parametros_recargas!$B$45+sobrestock_sustitutos!$J$108/12</f>
        <v>336.468095342998</v>
      </c>
      <c r="E268" s="21" t="n">
        <f aca="false">datos_base!$J$12*parametros_recargas!$C$45+sobrestock_sustitutos!$J$108/12</f>
        <v>336.468095342998</v>
      </c>
      <c r="F268" s="21" t="n">
        <f aca="false">datos_base!$J$12*parametros_recargas!$D$45+sobrestock_sustitutos!$J$108/12</f>
        <v>336.468095342998</v>
      </c>
      <c r="G268" s="21" t="n">
        <f aca="false">datos_base!$J$12*parametros_recargas!$E$45+sobrestock_sustitutos!$J$108/12</f>
        <v>336.468095342998</v>
      </c>
      <c r="H268" s="21" t="n">
        <f aca="false">datos_base!$J$12*parametros_recargas!$F$45+sobrestock_sustitutos!$J$108/12</f>
        <v>336.468095342998</v>
      </c>
      <c r="I268" s="21" t="n">
        <f aca="false">datos_base!$J$12*parametros_recargas!$G$45+sobrestock_sustitutos!$J$108/12</f>
        <v>336.468095342998</v>
      </c>
      <c r="J268" s="21" t="n">
        <f aca="false">datos_base!$J$12*parametros_recargas!$H$45+sobrestock_sustitutos!$J$108/12</f>
        <v>336.468095342998</v>
      </c>
      <c r="K268" s="21" t="n">
        <f aca="false">datos_base!$J$12*parametros_recargas!$I$45+sobrestock_sustitutos!$J$108/12</f>
        <v>336.468095342998</v>
      </c>
      <c r="L268" s="21" t="n">
        <f aca="false">datos_base!$J$12*parametros_recargas!$J$45+sobrestock_sustitutos!$J$108/12</f>
        <v>336.468095342998</v>
      </c>
      <c r="M268" s="21" t="n">
        <f aca="false">datos_base!$J$12*parametros_recargas!$K$45+sobrestock_sustitutos!$J$108/12</f>
        <v>336.468095342998</v>
      </c>
      <c r="N268" s="21" t="n">
        <f aca="false">datos_base!$J$12*parametros_recargas!$L$45+sobrestock_sustitutos!$J$108/12</f>
        <v>336.468095342998</v>
      </c>
      <c r="O268" s="21" t="n">
        <f aca="false">datos_base!$J$12*parametros_recargas!$M$45+sobrestock_sustitutos!$J$108/12</f>
        <v>336.468095342998</v>
      </c>
      <c r="P268" s="7" t="n">
        <f aca="false">SUM(D268:O268)</f>
        <v>4037.61714411598</v>
      </c>
      <c r="Q268" s="6" t="n">
        <f aca="false">sobrestock_sustitutos!$J$108</f>
        <v>53</v>
      </c>
    </row>
    <row r="269" customFormat="false" ht="15" hidden="false" customHeight="false" outlineLevel="0" collapsed="false">
      <c r="A269" s="9" t="str">
        <f aca="false">parametros_recargas!A62</f>
        <v>HCFC/HFC 5 kg</v>
      </c>
      <c r="B269" s="9" t="str">
        <f aca="false">parametros_recargas!B62</f>
        <v>Halogenado</v>
      </c>
      <c r="C269" s="11" t="n">
        <f aca="false">parametros_recargas!C62</f>
        <v>1</v>
      </c>
      <c r="D269" s="21" t="n">
        <f aca="false">datos_base!$J$13*parametros_recargas!$B$45+sobrestock_sustitutos!$J$109/12</f>
        <v>54.9773685853166</v>
      </c>
      <c r="E269" s="21" t="n">
        <f aca="false">datos_base!$J$13*parametros_recargas!$C$45+sobrestock_sustitutos!$J$109/12</f>
        <v>54.9773685853166</v>
      </c>
      <c r="F269" s="21" t="n">
        <f aca="false">datos_base!$J$13*parametros_recargas!$D$45+sobrestock_sustitutos!$J$109/12</f>
        <v>54.9773685853166</v>
      </c>
      <c r="G269" s="21" t="n">
        <f aca="false">datos_base!$J$13*parametros_recargas!$E$45+sobrestock_sustitutos!$J$109/12</f>
        <v>54.9773685853166</v>
      </c>
      <c r="H269" s="21" t="n">
        <f aca="false">datos_base!$J$13*parametros_recargas!$F$45+sobrestock_sustitutos!$J$109/12</f>
        <v>54.9773685853166</v>
      </c>
      <c r="I269" s="21" t="n">
        <f aca="false">datos_base!$J$13*parametros_recargas!$G$45+sobrestock_sustitutos!$J$109/12</f>
        <v>54.9773685853166</v>
      </c>
      <c r="J269" s="21" t="n">
        <f aca="false">datos_base!$J$13*parametros_recargas!$H$45+sobrestock_sustitutos!$J$109/12</f>
        <v>54.9773685853166</v>
      </c>
      <c r="K269" s="21" t="n">
        <f aca="false">datos_base!$J$13*parametros_recargas!$I$45+sobrestock_sustitutos!$J$109/12</f>
        <v>54.9773685853166</v>
      </c>
      <c r="L269" s="21" t="n">
        <f aca="false">datos_base!$J$13*parametros_recargas!$J$45+sobrestock_sustitutos!$J$109/12</f>
        <v>54.9773685853166</v>
      </c>
      <c r="M269" s="21" t="n">
        <f aca="false">datos_base!$J$13*parametros_recargas!$K$45+sobrestock_sustitutos!$J$109/12</f>
        <v>54.9773685853166</v>
      </c>
      <c r="N269" s="21" t="n">
        <f aca="false">datos_base!$J$13*parametros_recargas!$L$45+sobrestock_sustitutos!$J$109/12</f>
        <v>54.9773685853166</v>
      </c>
      <c r="O269" s="21" t="n">
        <f aca="false">datos_base!$J$13*parametros_recargas!$M$45+sobrestock_sustitutos!$J$109/12</f>
        <v>54.9773685853166</v>
      </c>
      <c r="P269" s="7" t="n">
        <f aca="false">SUM(D269:O269)</f>
        <v>659.728423023799</v>
      </c>
      <c r="Q269" s="6" t="n">
        <f aca="false">sobrestock_sustitutos!$J$109</f>
        <v>10</v>
      </c>
    </row>
    <row r="270" customFormat="false" ht="15" hidden="false" customHeight="false" outlineLevel="0" collapsed="false">
      <c r="A270" s="9" t="str">
        <f aca="false">parametros_recargas!A63</f>
        <v>Clase D 9 l</v>
      </c>
      <c r="B270" s="9" t="str">
        <f aca="false">parametros_recargas!B63</f>
        <v>Clase D</v>
      </c>
      <c r="C270" s="11" t="n">
        <f aca="false">parametros_recargas!C63</f>
        <v>1</v>
      </c>
      <c r="D270" s="21" t="n">
        <f aca="false">datos_base!$J$14*parametros_recargas!$B$45+sobrestock_sustitutos!$J$110/12</f>
        <v>18.8950362738789</v>
      </c>
      <c r="E270" s="21" t="n">
        <f aca="false">datos_base!$J$14*parametros_recargas!$C$45+sobrestock_sustitutos!$J$110/12</f>
        <v>18.8950362738789</v>
      </c>
      <c r="F270" s="21" t="n">
        <f aca="false">datos_base!$J$14*parametros_recargas!$D$45+sobrestock_sustitutos!$J$110/12</f>
        <v>18.8950362738789</v>
      </c>
      <c r="G270" s="21" t="n">
        <f aca="false">datos_base!$J$14*parametros_recargas!$E$45+sobrestock_sustitutos!$J$110/12</f>
        <v>18.8950362738789</v>
      </c>
      <c r="H270" s="21" t="n">
        <f aca="false">datos_base!$J$14*parametros_recargas!$F$45+sobrestock_sustitutos!$J$110/12</f>
        <v>18.8950362738789</v>
      </c>
      <c r="I270" s="21" t="n">
        <f aca="false">datos_base!$J$14*parametros_recargas!$G$45+sobrestock_sustitutos!$J$110/12</f>
        <v>18.8950362738789</v>
      </c>
      <c r="J270" s="21" t="n">
        <f aca="false">datos_base!$J$14*parametros_recargas!$H$45+sobrestock_sustitutos!$J$110/12</f>
        <v>18.8950362738789</v>
      </c>
      <c r="K270" s="21" t="n">
        <f aca="false">datos_base!$J$14*parametros_recargas!$I$45+sobrestock_sustitutos!$J$110/12</f>
        <v>18.8950362738789</v>
      </c>
      <c r="L270" s="21" t="n">
        <f aca="false">datos_base!$J$14*parametros_recargas!$J$45+sobrestock_sustitutos!$J$110/12</f>
        <v>18.8950362738789</v>
      </c>
      <c r="M270" s="21" t="n">
        <f aca="false">datos_base!$J$14*parametros_recargas!$K$45+sobrestock_sustitutos!$J$110/12</f>
        <v>18.8950362738789</v>
      </c>
      <c r="N270" s="21" t="n">
        <f aca="false">datos_base!$J$14*parametros_recargas!$L$45+sobrestock_sustitutos!$J$110/12</f>
        <v>18.8950362738789</v>
      </c>
      <c r="O270" s="21" t="n">
        <f aca="false">datos_base!$J$14*parametros_recargas!$M$45+sobrestock_sustitutos!$J$110/12</f>
        <v>18.8950362738789</v>
      </c>
      <c r="P270" s="7" t="n">
        <f aca="false">SUM(D270:O270)</f>
        <v>226.740435286546</v>
      </c>
      <c r="Q270" s="6" t="n">
        <f aca="false">sobrestock_sustitutos!$J$110</f>
        <v>4</v>
      </c>
    </row>
    <row r="271" customFormat="false" ht="15" hidden="false" customHeight="false" outlineLevel="0" collapsed="false">
      <c r="A271" s="9" t="str">
        <f aca="false">parametros_recargas!A64</f>
        <v>ABC 25 kg s/ruedas</v>
      </c>
      <c r="B271" s="9" t="str">
        <f aca="false">parametros_recargas!B64</f>
        <v>ABC</v>
      </c>
      <c r="C271" s="11" t="n">
        <f aca="false">parametros_recargas!C64</f>
        <v>3</v>
      </c>
      <c r="D271" s="21" t="n">
        <f aca="false">datos_base!$J$15*parametros_recargas!$B$45+sobrestock_sustitutos!$J$111/12</f>
        <v>45.1903387228724</v>
      </c>
      <c r="E271" s="21" t="n">
        <f aca="false">datos_base!$J$15*parametros_recargas!$C$45+sobrestock_sustitutos!$J$111/12</f>
        <v>45.1903387228724</v>
      </c>
      <c r="F271" s="21" t="n">
        <f aca="false">datos_base!$J$15*parametros_recargas!$D$45+sobrestock_sustitutos!$J$111/12</f>
        <v>45.1903387228724</v>
      </c>
      <c r="G271" s="21" t="n">
        <f aca="false">datos_base!$J$15*parametros_recargas!$E$45+sobrestock_sustitutos!$J$111/12</f>
        <v>45.1903387228724</v>
      </c>
      <c r="H271" s="21" t="n">
        <f aca="false">datos_base!$J$15*parametros_recargas!$F$45+sobrestock_sustitutos!$J$111/12</f>
        <v>45.1903387228724</v>
      </c>
      <c r="I271" s="21" t="n">
        <f aca="false">datos_base!$J$15*parametros_recargas!$G$45+sobrestock_sustitutos!$J$111/12</f>
        <v>45.1903387228724</v>
      </c>
      <c r="J271" s="21" t="n">
        <f aca="false">datos_base!$J$15*parametros_recargas!$H$45+sobrestock_sustitutos!$J$111/12</f>
        <v>45.1903387228724</v>
      </c>
      <c r="K271" s="21" t="n">
        <f aca="false">datos_base!$J$15*parametros_recargas!$I$45+sobrestock_sustitutos!$J$111/12</f>
        <v>45.1903387228724</v>
      </c>
      <c r="L271" s="21" t="n">
        <f aca="false">datos_base!$J$15*parametros_recargas!$J$45+sobrestock_sustitutos!$J$111/12</f>
        <v>45.1903387228724</v>
      </c>
      <c r="M271" s="21" t="n">
        <f aca="false">datos_base!$J$15*parametros_recargas!$K$45+sobrestock_sustitutos!$J$111/12</f>
        <v>45.1903387228724</v>
      </c>
      <c r="N271" s="21" t="n">
        <f aca="false">datos_base!$J$15*parametros_recargas!$L$45+sobrestock_sustitutos!$J$111/12</f>
        <v>45.1903387228724</v>
      </c>
      <c r="O271" s="21" t="n">
        <f aca="false">datos_base!$J$15*parametros_recargas!$M$45+sobrestock_sustitutos!$J$111/12</f>
        <v>45.1903387228724</v>
      </c>
      <c r="P271" s="7" t="n">
        <f aca="false">SUM(D271:O271)</f>
        <v>542.284064674469</v>
      </c>
      <c r="Q271" s="6" t="n">
        <f aca="false">sobrestock_sustitutos!$J$111</f>
        <v>7</v>
      </c>
    </row>
    <row r="272" customFormat="false" ht="15" hidden="false" customHeight="false" outlineLevel="0" collapsed="false">
      <c r="A272" s="9" t="str">
        <f aca="false">parametros_recargas!A65</f>
        <v>ABC 50 kg s/ruedas</v>
      </c>
      <c r="B272" s="9" t="str">
        <f aca="false">parametros_recargas!B65</f>
        <v>ABC</v>
      </c>
      <c r="C272" s="11" t="n">
        <f aca="false">parametros_recargas!C65</f>
        <v>3</v>
      </c>
      <c r="D272" s="21" t="n">
        <f aca="false">datos_base!$J$16*parametros_recargas!$B$45+sobrestock_sustitutos!$J$112/12</f>
        <v>99.4687451441094</v>
      </c>
      <c r="E272" s="21" t="n">
        <f aca="false">datos_base!$J$16*parametros_recargas!$C$45+sobrestock_sustitutos!$J$112/12</f>
        <v>99.4687451441094</v>
      </c>
      <c r="F272" s="21" t="n">
        <f aca="false">datos_base!$J$16*parametros_recargas!$D$45+sobrestock_sustitutos!$J$112/12</f>
        <v>99.4687451441094</v>
      </c>
      <c r="G272" s="21" t="n">
        <f aca="false">datos_base!$J$16*parametros_recargas!$E$45+sobrestock_sustitutos!$J$112/12</f>
        <v>99.4687451441094</v>
      </c>
      <c r="H272" s="21" t="n">
        <f aca="false">datos_base!$J$16*parametros_recargas!$F$45+sobrestock_sustitutos!$J$112/12</f>
        <v>99.4687451441094</v>
      </c>
      <c r="I272" s="21" t="n">
        <f aca="false">datos_base!$J$16*parametros_recargas!$G$45+sobrestock_sustitutos!$J$112/12</f>
        <v>99.4687451441094</v>
      </c>
      <c r="J272" s="21" t="n">
        <f aca="false">datos_base!$J$16*parametros_recargas!$H$45+sobrestock_sustitutos!$J$112/12</f>
        <v>99.4687451441094</v>
      </c>
      <c r="K272" s="21" t="n">
        <f aca="false">datos_base!$J$16*parametros_recargas!$I$45+sobrestock_sustitutos!$J$112/12</f>
        <v>99.4687451441094</v>
      </c>
      <c r="L272" s="21" t="n">
        <f aca="false">datos_base!$J$16*parametros_recargas!$J$45+sobrestock_sustitutos!$J$112/12</f>
        <v>99.4687451441094</v>
      </c>
      <c r="M272" s="21" t="n">
        <f aca="false">datos_base!$J$16*parametros_recargas!$K$45+sobrestock_sustitutos!$J$112/12</f>
        <v>99.4687451441094</v>
      </c>
      <c r="N272" s="21" t="n">
        <f aca="false">datos_base!$J$16*parametros_recargas!$L$45+sobrestock_sustitutos!$J$112/12</f>
        <v>99.4687451441094</v>
      </c>
      <c r="O272" s="21" t="n">
        <f aca="false">datos_base!$J$16*parametros_recargas!$M$45+sobrestock_sustitutos!$J$112/12</f>
        <v>99.4687451441094</v>
      </c>
      <c r="P272" s="7" t="n">
        <f aca="false">SUM(D272:O272)</f>
        <v>1193.62494172931</v>
      </c>
      <c r="Q272" s="6" t="n">
        <f aca="false">sobrestock_sustitutos!$J$112</f>
        <v>16</v>
      </c>
    </row>
    <row r="273" customFormat="false" ht="15" hidden="false" customHeight="false" outlineLevel="0" collapsed="false">
      <c r="A273" s="9" t="str">
        <f aca="false">parametros_recargas!A66</f>
        <v>ABC 70 kg s/ruedas</v>
      </c>
      <c r="B273" s="9" t="str">
        <f aca="false">parametros_recargas!B66</f>
        <v>ABC</v>
      </c>
      <c r="C273" s="11" t="n">
        <f aca="false">parametros_recargas!C66</f>
        <v>3</v>
      </c>
      <c r="D273" s="21" t="n">
        <f aca="false">datos_base!$J$17*parametros_recargas!$B$45+sobrestock_sustitutos!$J$113/12</f>
        <v>21.7446959295541</v>
      </c>
      <c r="E273" s="21" t="n">
        <f aca="false">datos_base!$J$17*parametros_recargas!$C$45+sobrestock_sustitutos!$J$113/12</f>
        <v>21.7446959295541</v>
      </c>
      <c r="F273" s="21" t="n">
        <f aca="false">datos_base!$J$17*parametros_recargas!$D$45+sobrestock_sustitutos!$J$113/12</f>
        <v>21.7446959295541</v>
      </c>
      <c r="G273" s="21" t="n">
        <f aca="false">datos_base!$J$17*parametros_recargas!$E$45+sobrestock_sustitutos!$J$113/12</f>
        <v>21.7446959295541</v>
      </c>
      <c r="H273" s="21" t="n">
        <f aca="false">datos_base!$J$17*parametros_recargas!$F$45+sobrestock_sustitutos!$J$113/12</f>
        <v>21.7446959295541</v>
      </c>
      <c r="I273" s="21" t="n">
        <f aca="false">datos_base!$J$17*parametros_recargas!$G$45+sobrestock_sustitutos!$J$113/12</f>
        <v>21.7446959295541</v>
      </c>
      <c r="J273" s="21" t="n">
        <f aca="false">datos_base!$J$17*parametros_recargas!$H$45+sobrestock_sustitutos!$J$113/12</f>
        <v>21.7446959295541</v>
      </c>
      <c r="K273" s="21" t="n">
        <f aca="false">datos_base!$J$17*parametros_recargas!$I$45+sobrestock_sustitutos!$J$113/12</f>
        <v>21.7446959295541</v>
      </c>
      <c r="L273" s="21" t="n">
        <f aca="false">datos_base!$J$17*parametros_recargas!$J$45+sobrestock_sustitutos!$J$113/12</f>
        <v>21.7446959295541</v>
      </c>
      <c r="M273" s="21" t="n">
        <f aca="false">datos_base!$J$17*parametros_recargas!$K$45+sobrestock_sustitutos!$J$113/12</f>
        <v>21.7446959295541</v>
      </c>
      <c r="N273" s="21" t="n">
        <f aca="false">datos_base!$J$17*parametros_recargas!$L$45+sobrestock_sustitutos!$J$113/12</f>
        <v>21.7446959295541</v>
      </c>
      <c r="O273" s="21" t="n">
        <f aca="false">datos_base!$J$17*parametros_recargas!$M$45+sobrestock_sustitutos!$J$113/12</f>
        <v>21.7446959295541</v>
      </c>
      <c r="P273" s="7" t="n">
        <f aca="false">SUM(D273:O273)</f>
        <v>260.936351154649</v>
      </c>
      <c r="Q273" s="6" t="n">
        <f aca="false">sobrestock_sustitutos!$J$113</f>
        <v>4</v>
      </c>
    </row>
    <row r="274" customFormat="false" ht="15" hidden="false" customHeight="false" outlineLevel="0" collapsed="false">
      <c r="A274" s="9" t="str">
        <f aca="false">parametros_recargas!A67</f>
        <v>ABC 100 kg s/ruedas</v>
      </c>
      <c r="B274" s="9" t="str">
        <f aca="false">parametros_recargas!B67</f>
        <v>ABC</v>
      </c>
      <c r="C274" s="11" t="n">
        <f aca="false">parametros_recargas!C67</f>
        <v>3</v>
      </c>
      <c r="D274" s="21" t="n">
        <f aca="false">datos_base!$J$18*parametros_recargas!$B$45+sobrestock_sustitutos!$J$114/12</f>
        <v>14.5242417154105</v>
      </c>
      <c r="E274" s="21" t="n">
        <f aca="false">datos_base!$J$18*parametros_recargas!$C$45+sobrestock_sustitutos!$J$114/12</f>
        <v>14.5242417154105</v>
      </c>
      <c r="F274" s="21" t="n">
        <f aca="false">datos_base!$J$18*parametros_recargas!$D$45+sobrestock_sustitutos!$J$114/12</f>
        <v>14.5242417154105</v>
      </c>
      <c r="G274" s="21" t="n">
        <f aca="false">datos_base!$J$18*parametros_recargas!$E$45+sobrestock_sustitutos!$J$114/12</f>
        <v>14.5242417154105</v>
      </c>
      <c r="H274" s="21" t="n">
        <f aca="false">datos_base!$J$18*parametros_recargas!$F$45+sobrestock_sustitutos!$J$114/12</f>
        <v>14.5242417154105</v>
      </c>
      <c r="I274" s="21" t="n">
        <f aca="false">datos_base!$J$18*parametros_recargas!$G$45+sobrestock_sustitutos!$J$114/12</f>
        <v>14.5242417154105</v>
      </c>
      <c r="J274" s="21" t="n">
        <f aca="false">datos_base!$J$18*parametros_recargas!$H$45+sobrestock_sustitutos!$J$114/12</f>
        <v>14.5242417154105</v>
      </c>
      <c r="K274" s="21" t="n">
        <f aca="false">datos_base!$J$18*parametros_recargas!$I$45+sobrestock_sustitutos!$J$114/12</f>
        <v>14.5242417154105</v>
      </c>
      <c r="L274" s="21" t="n">
        <f aca="false">datos_base!$J$18*parametros_recargas!$J$45+sobrestock_sustitutos!$J$114/12</f>
        <v>14.5242417154105</v>
      </c>
      <c r="M274" s="21" t="n">
        <f aca="false">datos_base!$J$18*parametros_recargas!$K$45+sobrestock_sustitutos!$J$114/12</f>
        <v>14.5242417154105</v>
      </c>
      <c r="N274" s="21" t="n">
        <f aca="false">datos_base!$J$18*parametros_recargas!$L$45+sobrestock_sustitutos!$J$114/12</f>
        <v>14.5242417154105</v>
      </c>
      <c r="O274" s="21" t="n">
        <f aca="false">datos_base!$J$18*parametros_recargas!$M$45+sobrestock_sustitutos!$J$114/12</f>
        <v>14.5242417154105</v>
      </c>
      <c r="P274" s="7" t="n">
        <f aca="false">SUM(D274:O274)</f>
        <v>174.290900584926</v>
      </c>
      <c r="Q274" s="6" t="n">
        <f aca="false">sobrestock_sustitutos!$J$114</f>
        <v>3</v>
      </c>
    </row>
    <row r="275" customFormat="false" ht="15" hidden="false" customHeight="false" outlineLevel="0" collapsed="false">
      <c r="A275" s="4" t="s">
        <v>356</v>
      </c>
      <c r="D275" s="7" t="n">
        <f aca="false">SUM(D258:D274)</f>
        <v>16126.7841423393</v>
      </c>
      <c r="E275" s="7" t="n">
        <f aca="false">SUM(E258:E274)</f>
        <v>16126.7841423393</v>
      </c>
      <c r="F275" s="7" t="n">
        <f aca="false">SUM(F258:F274)</f>
        <v>16126.7841423393</v>
      </c>
      <c r="G275" s="7" t="n">
        <f aca="false">SUM(G258:G274)</f>
        <v>16126.7841423393</v>
      </c>
      <c r="H275" s="7" t="n">
        <f aca="false">SUM(H258:H274)</f>
        <v>16126.7841423393</v>
      </c>
      <c r="I275" s="7" t="n">
        <f aca="false">SUM(I258:I274)</f>
        <v>16126.7841423393</v>
      </c>
      <c r="J275" s="7" t="n">
        <f aca="false">SUM(J258:J274)</f>
        <v>16126.7841423393</v>
      </c>
      <c r="K275" s="7" t="n">
        <f aca="false">SUM(K258:K274)</f>
        <v>16126.7841423393</v>
      </c>
      <c r="L275" s="7" t="n">
        <f aca="false">SUM(L258:L274)</f>
        <v>16126.7841423393</v>
      </c>
      <c r="M275" s="7" t="n">
        <f aca="false">SUM(M258:M274)</f>
        <v>16126.7841423393</v>
      </c>
      <c r="N275" s="7" t="n">
        <f aca="false">SUM(N258:N274)</f>
        <v>16126.7841423393</v>
      </c>
      <c r="O275" s="7" t="n">
        <f aca="false">SUM(O258:O274)</f>
        <v>16126.7841423393</v>
      </c>
      <c r="P275" s="7" t="n">
        <f aca="false">SUM(P258:P274)</f>
        <v>193521.409708072</v>
      </c>
    </row>
    <row r="276" customFormat="false" ht="15" hidden="false" customHeight="false" outlineLevel="0" collapsed="false">
      <c r="A276" s="4" t="s">
        <v>357</v>
      </c>
    </row>
    <row r="277" customFormat="false" ht="15" hidden="false" customHeight="false" outlineLevel="0" collapsed="false">
      <c r="A277" s="5" t="s">
        <v>165</v>
      </c>
      <c r="D277" s="21" t="n">
        <f aca="false">SUMPRODUCT(($B$258:$B$274=$A277)*D$258:D$274*$C$258:$C$274)</f>
        <v>14413.7630765345</v>
      </c>
      <c r="E277" s="21" t="n">
        <f aca="false">SUMPRODUCT(($B$258:$B$274=$A277)*E$258:E$274*$C$258:$C$274)</f>
        <v>14413.7630765345</v>
      </c>
      <c r="F277" s="21" t="n">
        <f aca="false">SUMPRODUCT(($B$258:$B$274=$A277)*F$258:F$274*$C$258:$C$274)</f>
        <v>14413.7630765345</v>
      </c>
      <c r="G277" s="21" t="n">
        <f aca="false">SUMPRODUCT(($B$258:$B$274=$A277)*G$258:G$274*$C$258:$C$274)</f>
        <v>14413.7630765345</v>
      </c>
      <c r="H277" s="21" t="n">
        <f aca="false">SUMPRODUCT(($B$258:$B$274=$A277)*H$258:H$274*$C$258:$C$274)</f>
        <v>14413.7630765345</v>
      </c>
      <c r="I277" s="21" t="n">
        <f aca="false">SUMPRODUCT(($B$258:$B$274=$A277)*I$258:I$274*$C$258:$C$274)</f>
        <v>14413.7630765345</v>
      </c>
      <c r="J277" s="21" t="n">
        <f aca="false">SUMPRODUCT(($B$258:$B$274=$A277)*J$258:J$274*$C$258:$C$274)</f>
        <v>14413.7630765345</v>
      </c>
      <c r="K277" s="21" t="n">
        <f aca="false">SUMPRODUCT(($B$258:$B$274=$A277)*K$258:K$274*$C$258:$C$274)</f>
        <v>14413.7630765345</v>
      </c>
      <c r="L277" s="21" t="n">
        <f aca="false">SUMPRODUCT(($B$258:$B$274=$A277)*L$258:L$274*$C$258:$C$274)</f>
        <v>14413.7630765345</v>
      </c>
      <c r="M277" s="21" t="n">
        <f aca="false">SUMPRODUCT(($B$258:$B$274=$A277)*M$258:M$274*$C$258:$C$274)</f>
        <v>14413.7630765345</v>
      </c>
      <c r="N277" s="21" t="n">
        <f aca="false">SUMPRODUCT(($B$258:$B$274=$A277)*N$258:N$274*$C$258:$C$274)</f>
        <v>14413.7630765345</v>
      </c>
      <c r="O277" s="21" t="n">
        <f aca="false">SUMPRODUCT(($B$258:$B$274=$A277)*O$258:O$274*$C$258:$C$274)</f>
        <v>14413.7630765345</v>
      </c>
      <c r="P277" s="21" t="n">
        <f aca="false">SUMPRODUCT(($B$258:$B$274=$A277)*P$258:P$274*$C$258:$C$274)</f>
        <v>172965.156918414</v>
      </c>
    </row>
    <row r="278" customFormat="false" ht="15" hidden="false" customHeight="false" outlineLevel="0" collapsed="false">
      <c r="A278" s="5" t="s">
        <v>171</v>
      </c>
      <c r="D278" s="21" t="n">
        <f aca="false">SUMPRODUCT(($B$258:$B$274=$A278)*D$258:D$274*$C$258:$C$274)</f>
        <v>20.9329072661012</v>
      </c>
      <c r="E278" s="21" t="n">
        <f aca="false">SUMPRODUCT(($B$258:$B$274=$A278)*E$258:E$274*$C$258:$C$274)</f>
        <v>20.9329072661012</v>
      </c>
      <c r="F278" s="21" t="n">
        <f aca="false">SUMPRODUCT(($B$258:$B$274=$A278)*F$258:F$274*$C$258:$C$274)</f>
        <v>20.9329072661012</v>
      </c>
      <c r="G278" s="21" t="n">
        <f aca="false">SUMPRODUCT(($B$258:$B$274=$A278)*G$258:G$274*$C$258:$C$274)</f>
        <v>20.9329072661012</v>
      </c>
      <c r="H278" s="21" t="n">
        <f aca="false">SUMPRODUCT(($B$258:$B$274=$A278)*H$258:H$274*$C$258:$C$274)</f>
        <v>20.9329072661012</v>
      </c>
      <c r="I278" s="21" t="n">
        <f aca="false">SUMPRODUCT(($B$258:$B$274=$A278)*I$258:I$274*$C$258:$C$274)</f>
        <v>20.9329072661012</v>
      </c>
      <c r="J278" s="21" t="n">
        <f aca="false">SUMPRODUCT(($B$258:$B$274=$A278)*J$258:J$274*$C$258:$C$274)</f>
        <v>20.9329072661012</v>
      </c>
      <c r="K278" s="21" t="n">
        <f aca="false">SUMPRODUCT(($B$258:$B$274=$A278)*K$258:K$274*$C$258:$C$274)</f>
        <v>20.9329072661012</v>
      </c>
      <c r="L278" s="21" t="n">
        <f aca="false">SUMPRODUCT(($B$258:$B$274=$A278)*L$258:L$274*$C$258:$C$274)</f>
        <v>20.9329072661012</v>
      </c>
      <c r="M278" s="21" t="n">
        <f aca="false">SUMPRODUCT(($B$258:$B$274=$A278)*M$258:M$274*$C$258:$C$274)</f>
        <v>20.9329072661012</v>
      </c>
      <c r="N278" s="21" t="n">
        <f aca="false">SUMPRODUCT(($B$258:$B$274=$A278)*N$258:N$274*$C$258:$C$274)</f>
        <v>20.9329072661012</v>
      </c>
      <c r="O278" s="21" t="n">
        <f aca="false">SUMPRODUCT(($B$258:$B$274=$A278)*O$258:O$274*$C$258:$C$274)</f>
        <v>20.9329072661012</v>
      </c>
      <c r="P278" s="21" t="n">
        <f aca="false">SUMPRODUCT(($B$258:$B$274=$A278)*P$258:P$274*$C$258:$C$274)</f>
        <v>251.194887193214</v>
      </c>
    </row>
    <row r="279" customFormat="false" ht="15" hidden="false" customHeight="false" outlineLevel="0" collapsed="false">
      <c r="A279" s="5" t="s">
        <v>177</v>
      </c>
      <c r="D279" s="21" t="n">
        <f aca="false">SUMPRODUCT(($B$258:$B$274=$A279)*D$258:D$274*$C$258:$C$274)</f>
        <v>18.8950362738789</v>
      </c>
      <c r="E279" s="21" t="n">
        <f aca="false">SUMPRODUCT(($B$258:$B$274=$A279)*E$258:E$274*$C$258:$C$274)</f>
        <v>18.8950362738789</v>
      </c>
      <c r="F279" s="21" t="n">
        <f aca="false">SUMPRODUCT(($B$258:$B$274=$A279)*F$258:F$274*$C$258:$C$274)</f>
        <v>18.8950362738789</v>
      </c>
      <c r="G279" s="21" t="n">
        <f aca="false">SUMPRODUCT(($B$258:$B$274=$A279)*G$258:G$274*$C$258:$C$274)</f>
        <v>18.8950362738789</v>
      </c>
      <c r="H279" s="21" t="n">
        <f aca="false">SUMPRODUCT(($B$258:$B$274=$A279)*H$258:H$274*$C$258:$C$274)</f>
        <v>18.8950362738789</v>
      </c>
      <c r="I279" s="21" t="n">
        <f aca="false">SUMPRODUCT(($B$258:$B$274=$A279)*I$258:I$274*$C$258:$C$274)</f>
        <v>18.8950362738789</v>
      </c>
      <c r="J279" s="21" t="n">
        <f aca="false">SUMPRODUCT(($B$258:$B$274=$A279)*J$258:J$274*$C$258:$C$274)</f>
        <v>18.8950362738789</v>
      </c>
      <c r="K279" s="21" t="n">
        <f aca="false">SUMPRODUCT(($B$258:$B$274=$A279)*K$258:K$274*$C$258:$C$274)</f>
        <v>18.8950362738789</v>
      </c>
      <c r="L279" s="21" t="n">
        <f aca="false">SUMPRODUCT(($B$258:$B$274=$A279)*L$258:L$274*$C$258:$C$274)</f>
        <v>18.8950362738789</v>
      </c>
      <c r="M279" s="21" t="n">
        <f aca="false">SUMPRODUCT(($B$258:$B$274=$A279)*M$258:M$274*$C$258:$C$274)</f>
        <v>18.8950362738789</v>
      </c>
      <c r="N279" s="21" t="n">
        <f aca="false">SUMPRODUCT(($B$258:$B$274=$A279)*N$258:N$274*$C$258:$C$274)</f>
        <v>18.8950362738789</v>
      </c>
      <c r="O279" s="21" t="n">
        <f aca="false">SUMPRODUCT(($B$258:$B$274=$A279)*O$258:O$274*$C$258:$C$274)</f>
        <v>18.8950362738789</v>
      </c>
      <c r="P279" s="21" t="n">
        <f aca="false">SUMPRODUCT(($B$258:$B$274=$A279)*P$258:P$274*$C$258:$C$274)</f>
        <v>226.740435286546</v>
      </c>
    </row>
    <row r="280" customFormat="false" ht="15" hidden="false" customHeight="false" outlineLevel="0" collapsed="false">
      <c r="A280" s="5" t="s">
        <v>168</v>
      </c>
      <c r="D280" s="21" t="n">
        <f aca="false">SUMPRODUCT(($B$258:$B$274=$A280)*D$258:D$274*$C$258:$C$274)</f>
        <v>367.416442377254</v>
      </c>
      <c r="E280" s="21" t="n">
        <f aca="false">SUMPRODUCT(($B$258:$B$274=$A280)*E$258:E$274*$C$258:$C$274)</f>
        <v>367.416442377254</v>
      </c>
      <c r="F280" s="21" t="n">
        <f aca="false">SUMPRODUCT(($B$258:$B$274=$A280)*F$258:F$274*$C$258:$C$274)</f>
        <v>367.416442377254</v>
      </c>
      <c r="G280" s="21" t="n">
        <f aca="false">SUMPRODUCT(($B$258:$B$274=$A280)*G$258:G$274*$C$258:$C$274)</f>
        <v>367.416442377254</v>
      </c>
      <c r="H280" s="21" t="n">
        <f aca="false">SUMPRODUCT(($B$258:$B$274=$A280)*H$258:H$274*$C$258:$C$274)</f>
        <v>367.416442377254</v>
      </c>
      <c r="I280" s="21" t="n">
        <f aca="false">SUMPRODUCT(($B$258:$B$274=$A280)*I$258:I$274*$C$258:$C$274)</f>
        <v>367.416442377254</v>
      </c>
      <c r="J280" s="21" t="n">
        <f aca="false">SUMPRODUCT(($B$258:$B$274=$A280)*J$258:J$274*$C$258:$C$274)</f>
        <v>367.416442377254</v>
      </c>
      <c r="K280" s="21" t="n">
        <f aca="false">SUMPRODUCT(($B$258:$B$274=$A280)*K$258:K$274*$C$258:$C$274)</f>
        <v>367.416442377254</v>
      </c>
      <c r="L280" s="21" t="n">
        <f aca="false">SUMPRODUCT(($B$258:$B$274=$A280)*L$258:L$274*$C$258:$C$274)</f>
        <v>367.416442377254</v>
      </c>
      <c r="M280" s="21" t="n">
        <f aca="false">SUMPRODUCT(($B$258:$B$274=$A280)*M$258:M$274*$C$258:$C$274)</f>
        <v>367.416442377254</v>
      </c>
      <c r="N280" s="21" t="n">
        <f aca="false">SUMPRODUCT(($B$258:$B$274=$A280)*N$258:N$274*$C$258:$C$274)</f>
        <v>367.416442377254</v>
      </c>
      <c r="O280" s="21" t="n">
        <f aca="false">SUMPRODUCT(($B$258:$B$274=$A280)*O$258:O$274*$C$258:$C$274)</f>
        <v>367.416442377254</v>
      </c>
      <c r="P280" s="21" t="n">
        <f aca="false">SUMPRODUCT(($B$258:$B$274=$A280)*P$258:P$274*$C$258:$C$274)</f>
        <v>4408.99730852705</v>
      </c>
    </row>
    <row r="281" customFormat="false" ht="15" hidden="false" customHeight="false" outlineLevel="0" collapsed="false">
      <c r="A281" s="5" t="s">
        <v>169</v>
      </c>
      <c r="D281" s="21" t="n">
        <f aca="false">SUMPRODUCT(($B$258:$B$274=$A281)*D$258:D$274*$C$258:$C$274)</f>
        <v>178.328747677931</v>
      </c>
      <c r="E281" s="21" t="n">
        <f aca="false">SUMPRODUCT(($B$258:$B$274=$A281)*E$258:E$274*$C$258:$C$274)</f>
        <v>178.328747677931</v>
      </c>
      <c r="F281" s="21" t="n">
        <f aca="false">SUMPRODUCT(($B$258:$B$274=$A281)*F$258:F$274*$C$258:$C$274)</f>
        <v>178.328747677931</v>
      </c>
      <c r="G281" s="21" t="n">
        <f aca="false">SUMPRODUCT(($B$258:$B$274=$A281)*G$258:G$274*$C$258:$C$274)</f>
        <v>178.328747677931</v>
      </c>
      <c r="H281" s="21" t="n">
        <f aca="false">SUMPRODUCT(($B$258:$B$274=$A281)*H$258:H$274*$C$258:$C$274)</f>
        <v>178.328747677931</v>
      </c>
      <c r="I281" s="21" t="n">
        <f aca="false">SUMPRODUCT(($B$258:$B$274=$A281)*I$258:I$274*$C$258:$C$274)</f>
        <v>178.328747677931</v>
      </c>
      <c r="J281" s="21" t="n">
        <f aca="false">SUMPRODUCT(($B$258:$B$274=$A281)*J$258:J$274*$C$258:$C$274)</f>
        <v>178.328747677931</v>
      </c>
      <c r="K281" s="21" t="n">
        <f aca="false">SUMPRODUCT(($B$258:$B$274=$A281)*K$258:K$274*$C$258:$C$274)</f>
        <v>178.328747677931</v>
      </c>
      <c r="L281" s="21" t="n">
        <f aca="false">SUMPRODUCT(($B$258:$B$274=$A281)*L$258:L$274*$C$258:$C$274)</f>
        <v>178.328747677931</v>
      </c>
      <c r="M281" s="21" t="n">
        <f aca="false">SUMPRODUCT(($B$258:$B$274=$A281)*M$258:M$274*$C$258:$C$274)</f>
        <v>178.328747677931</v>
      </c>
      <c r="N281" s="21" t="n">
        <f aca="false">SUMPRODUCT(($B$258:$B$274=$A281)*N$258:N$274*$C$258:$C$274)</f>
        <v>178.328747677931</v>
      </c>
      <c r="O281" s="21" t="n">
        <f aca="false">SUMPRODUCT(($B$258:$B$274=$A281)*O$258:O$274*$C$258:$C$274)</f>
        <v>178.328747677931</v>
      </c>
      <c r="P281" s="21" t="n">
        <f aca="false">SUMPRODUCT(($B$258:$B$274=$A281)*P$258:P$274*$C$258:$C$274)</f>
        <v>2139.94497213517</v>
      </c>
    </row>
    <row r="282" customFormat="false" ht="15" hidden="false" customHeight="false" outlineLevel="0" collapsed="false">
      <c r="A282" s="5" t="s">
        <v>172</v>
      </c>
      <c r="D282" s="21" t="n">
        <f aca="false">SUMPRODUCT(($B$258:$B$274=$A282)*D$258:D$274*$C$258:$C$274)</f>
        <v>181.117180720345</v>
      </c>
      <c r="E282" s="21" t="n">
        <f aca="false">SUMPRODUCT(($B$258:$B$274=$A282)*E$258:E$274*$C$258:$C$274)</f>
        <v>181.117180720345</v>
      </c>
      <c r="F282" s="21" t="n">
        <f aca="false">SUMPRODUCT(($B$258:$B$274=$A282)*F$258:F$274*$C$258:$C$274)</f>
        <v>181.117180720345</v>
      </c>
      <c r="G282" s="21" t="n">
        <f aca="false">SUMPRODUCT(($B$258:$B$274=$A282)*G$258:G$274*$C$258:$C$274)</f>
        <v>181.117180720345</v>
      </c>
      <c r="H282" s="21" t="n">
        <f aca="false">SUMPRODUCT(($B$258:$B$274=$A282)*H$258:H$274*$C$258:$C$274)</f>
        <v>181.117180720345</v>
      </c>
      <c r="I282" s="21" t="n">
        <f aca="false">SUMPRODUCT(($B$258:$B$274=$A282)*I$258:I$274*$C$258:$C$274)</f>
        <v>181.117180720345</v>
      </c>
      <c r="J282" s="21" t="n">
        <f aca="false">SUMPRODUCT(($B$258:$B$274=$A282)*J$258:J$274*$C$258:$C$274)</f>
        <v>181.117180720345</v>
      </c>
      <c r="K282" s="21" t="n">
        <f aca="false">SUMPRODUCT(($B$258:$B$274=$A282)*K$258:K$274*$C$258:$C$274)</f>
        <v>181.117180720345</v>
      </c>
      <c r="L282" s="21" t="n">
        <f aca="false">SUMPRODUCT(($B$258:$B$274=$A282)*L$258:L$274*$C$258:$C$274)</f>
        <v>181.117180720345</v>
      </c>
      <c r="M282" s="21" t="n">
        <f aca="false">SUMPRODUCT(($B$258:$B$274=$A282)*M$258:M$274*$C$258:$C$274)</f>
        <v>181.117180720345</v>
      </c>
      <c r="N282" s="21" t="n">
        <f aca="false">SUMPRODUCT(($B$258:$B$274=$A282)*N$258:N$274*$C$258:$C$274)</f>
        <v>181.117180720345</v>
      </c>
      <c r="O282" s="21" t="n">
        <f aca="false">SUMPRODUCT(($B$258:$B$274=$A282)*O$258:O$274*$C$258:$C$274)</f>
        <v>181.117180720345</v>
      </c>
      <c r="P282" s="21" t="n">
        <f aca="false">SUMPRODUCT(($B$258:$B$274=$A282)*P$258:P$274*$C$258:$C$274)</f>
        <v>2173.40616864414</v>
      </c>
    </row>
    <row r="283" customFormat="false" ht="15" hidden="false" customHeight="false" outlineLevel="0" collapsed="false">
      <c r="A283" s="5" t="s">
        <v>173</v>
      </c>
      <c r="D283" s="21" t="n">
        <f aca="false">SUMPRODUCT(($B$258:$B$274=$A283)*D$258:D$274*$C$258:$C$274)</f>
        <v>1325.85470170986</v>
      </c>
      <c r="E283" s="21" t="n">
        <f aca="false">SUMPRODUCT(($B$258:$B$274=$A283)*E$258:E$274*$C$258:$C$274)</f>
        <v>1325.85470170986</v>
      </c>
      <c r="F283" s="21" t="n">
        <f aca="false">SUMPRODUCT(($B$258:$B$274=$A283)*F$258:F$274*$C$258:$C$274)</f>
        <v>1325.85470170986</v>
      </c>
      <c r="G283" s="21" t="n">
        <f aca="false">SUMPRODUCT(($B$258:$B$274=$A283)*G$258:G$274*$C$258:$C$274)</f>
        <v>1325.85470170986</v>
      </c>
      <c r="H283" s="21" t="n">
        <f aca="false">SUMPRODUCT(($B$258:$B$274=$A283)*H$258:H$274*$C$258:$C$274)</f>
        <v>1325.85470170986</v>
      </c>
      <c r="I283" s="21" t="n">
        <f aca="false">SUMPRODUCT(($B$258:$B$274=$A283)*I$258:I$274*$C$258:$C$274)</f>
        <v>1325.85470170986</v>
      </c>
      <c r="J283" s="21" t="n">
        <f aca="false">SUMPRODUCT(($B$258:$B$274=$A283)*J$258:J$274*$C$258:$C$274)</f>
        <v>1325.85470170986</v>
      </c>
      <c r="K283" s="21" t="n">
        <f aca="false">SUMPRODUCT(($B$258:$B$274=$A283)*K$258:K$274*$C$258:$C$274)</f>
        <v>1325.85470170986</v>
      </c>
      <c r="L283" s="21" t="n">
        <f aca="false">SUMPRODUCT(($B$258:$B$274=$A283)*L$258:L$274*$C$258:$C$274)</f>
        <v>1325.85470170986</v>
      </c>
      <c r="M283" s="21" t="n">
        <f aca="false">SUMPRODUCT(($B$258:$B$274=$A283)*M$258:M$274*$C$258:$C$274)</f>
        <v>1325.85470170986</v>
      </c>
      <c r="N283" s="21" t="n">
        <f aca="false">SUMPRODUCT(($B$258:$B$274=$A283)*N$258:N$274*$C$258:$C$274)</f>
        <v>1325.85470170986</v>
      </c>
      <c r="O283" s="21" t="n">
        <f aca="false">SUMPRODUCT(($B$258:$B$274=$A283)*O$258:O$274*$C$258:$C$274)</f>
        <v>1325.85470170986</v>
      </c>
      <c r="P283" s="21" t="n">
        <f aca="false">SUMPRODUCT(($B$258:$B$274=$A283)*P$258:P$274*$C$258:$C$274)</f>
        <v>15910.2564205184</v>
      </c>
    </row>
    <row r="284" customFormat="false" ht="15" hidden="false" customHeight="false" outlineLevel="0" collapsed="false">
      <c r="A284" s="5" t="s">
        <v>176</v>
      </c>
      <c r="D284" s="21" t="n">
        <f aca="false">SUMPRODUCT(($B$258:$B$274=$A284)*D$258:D$274*$C$258:$C$274)</f>
        <v>54.9773685853166</v>
      </c>
      <c r="E284" s="21" t="n">
        <f aca="false">SUMPRODUCT(($B$258:$B$274=$A284)*E$258:E$274*$C$258:$C$274)</f>
        <v>54.9773685853166</v>
      </c>
      <c r="F284" s="21" t="n">
        <f aca="false">SUMPRODUCT(($B$258:$B$274=$A284)*F$258:F$274*$C$258:$C$274)</f>
        <v>54.9773685853166</v>
      </c>
      <c r="G284" s="21" t="n">
        <f aca="false">SUMPRODUCT(($B$258:$B$274=$A284)*G$258:G$274*$C$258:$C$274)</f>
        <v>54.9773685853166</v>
      </c>
      <c r="H284" s="21" t="n">
        <f aca="false">SUMPRODUCT(($B$258:$B$274=$A284)*H$258:H$274*$C$258:$C$274)</f>
        <v>54.9773685853166</v>
      </c>
      <c r="I284" s="21" t="n">
        <f aca="false">SUMPRODUCT(($B$258:$B$274=$A284)*I$258:I$274*$C$258:$C$274)</f>
        <v>54.9773685853166</v>
      </c>
      <c r="J284" s="21" t="n">
        <f aca="false">SUMPRODUCT(($B$258:$B$274=$A284)*J$258:J$274*$C$258:$C$274)</f>
        <v>54.9773685853166</v>
      </c>
      <c r="K284" s="21" t="n">
        <f aca="false">SUMPRODUCT(($B$258:$B$274=$A284)*K$258:K$274*$C$258:$C$274)</f>
        <v>54.9773685853166</v>
      </c>
      <c r="L284" s="21" t="n">
        <f aca="false">SUMPRODUCT(($B$258:$B$274=$A284)*L$258:L$274*$C$258:$C$274)</f>
        <v>54.9773685853166</v>
      </c>
      <c r="M284" s="21" t="n">
        <f aca="false">SUMPRODUCT(($B$258:$B$274=$A284)*M$258:M$274*$C$258:$C$274)</f>
        <v>54.9773685853166</v>
      </c>
      <c r="N284" s="21" t="n">
        <f aca="false">SUMPRODUCT(($B$258:$B$274=$A284)*N$258:N$274*$C$258:$C$274)</f>
        <v>54.9773685853166</v>
      </c>
      <c r="O284" s="21" t="n">
        <f aca="false">SUMPRODUCT(($B$258:$B$274=$A284)*O$258:O$274*$C$258:$C$274)</f>
        <v>54.9773685853166</v>
      </c>
      <c r="P284" s="21" t="n">
        <f aca="false">SUMPRODUCT(($B$258:$B$274=$A284)*P$258:P$274*$C$258:$C$274)</f>
        <v>659.728423023799</v>
      </c>
    </row>
    <row r="285" customFormat="false" ht="15" hidden="false" customHeight="false" outlineLevel="0" collapsed="false">
      <c r="A285" s="4" t="s">
        <v>358</v>
      </c>
      <c r="D285" s="22" t="n">
        <f aca="false">SUMPRODUCT(D$258:D$274*parametros_recargas!$D$51:$D$67)</f>
        <v>553.718754745944</v>
      </c>
      <c r="E285" s="22" t="n">
        <f aca="false">SUMPRODUCT(E$258:E$274*parametros_recargas!$D$51:$D$67)</f>
        <v>553.718754745944</v>
      </c>
      <c r="F285" s="22" t="n">
        <f aca="false">SUMPRODUCT(F$258:F$274*parametros_recargas!$D$51:$D$67)</f>
        <v>553.718754745944</v>
      </c>
      <c r="G285" s="22" t="n">
        <f aca="false">SUMPRODUCT(G$258:G$274*parametros_recargas!$D$51:$D$67)</f>
        <v>553.718754745944</v>
      </c>
      <c r="H285" s="22" t="n">
        <f aca="false">SUMPRODUCT(H$258:H$274*parametros_recargas!$D$51:$D$67)</f>
        <v>553.718754745944</v>
      </c>
      <c r="I285" s="22" t="n">
        <f aca="false">SUMPRODUCT(I$258:I$274*parametros_recargas!$D$51:$D$67)</f>
        <v>553.718754745944</v>
      </c>
      <c r="J285" s="22" t="n">
        <f aca="false">SUMPRODUCT(J$258:J$274*parametros_recargas!$D$51:$D$67)</f>
        <v>553.718754745944</v>
      </c>
      <c r="K285" s="22" t="n">
        <f aca="false">SUMPRODUCT(K$258:K$274*parametros_recargas!$D$51:$D$67)</f>
        <v>553.718754745944</v>
      </c>
      <c r="L285" s="22" t="n">
        <f aca="false">SUMPRODUCT(L$258:L$274*parametros_recargas!$D$51:$D$67)</f>
        <v>553.718754745944</v>
      </c>
      <c r="M285" s="22" t="n">
        <f aca="false">SUMPRODUCT(M$258:M$274*parametros_recargas!$D$51:$D$67)</f>
        <v>553.718754745944</v>
      </c>
      <c r="N285" s="22" t="n">
        <f aca="false">SUMPRODUCT(N$258:N$274*parametros_recargas!$D$51:$D$67)</f>
        <v>553.718754745944</v>
      </c>
      <c r="O285" s="22" t="n">
        <f aca="false">SUMPRODUCT(O$258:O$274*parametros_recargas!$D$51:$D$67)</f>
        <v>553.718754745944</v>
      </c>
      <c r="P285" s="22" t="n">
        <f aca="false">SUMPRODUCT(P$258:P$274*parametros_recargas!$D$51:$D$67)</f>
        <v>6644.62505695133</v>
      </c>
    </row>
    <row r="286" customFormat="false" ht="15" hidden="false" customHeight="false" outlineLevel="0" collapsed="false">
      <c r="A286" s="4" t="s">
        <v>359</v>
      </c>
      <c r="D286" s="22" t="n">
        <f aca="false">SUMPRODUCT(sobrestock_sustitutos!$J$73:$J$89*(sobrestock_sustitutos!$F$30:$F$46="Fábrica: cilindro vacío")*parametros_recargas!$C$51:$C$67*parametros_recargas!$B$107:$B$123)</f>
        <v>13.318</v>
      </c>
      <c r="E286" s="22" t="n">
        <f aca="false">SUMPRODUCT(sobrestock_sustitutos!$J$73:$J$89*(sobrestock_sustitutos!$F$30:$F$46="Fábrica: cilindro vacío")*parametros_recargas!$C$51:$C$67*parametros_recargas!$C$107:$C$123)</f>
        <v>10.7468</v>
      </c>
      <c r="F286" s="22" t="n">
        <f aca="false">SUMPRODUCT(sobrestock_sustitutos!$J$73:$J$89*(sobrestock_sustitutos!$F$30:$F$46="Fábrica: cilindro vacío")*parametros_recargas!$C$51:$C$67*parametros_recargas!$D$107:$D$123)</f>
        <v>11.5546</v>
      </c>
      <c r="G286" s="22" t="n">
        <f aca="false">SUMPRODUCT(sobrestock_sustitutos!$J$73:$J$89*(sobrestock_sustitutos!$F$30:$F$46="Fábrica: cilindro vacío")*parametros_recargas!$C$51:$C$67*parametros_recargas!$E$107:$E$123)</f>
        <v>11.5546</v>
      </c>
      <c r="H286" s="22" t="n">
        <f aca="false">SUMPRODUCT(sobrestock_sustitutos!$J$73:$J$89*(sobrestock_sustitutos!$F$30:$F$46="Fábrica: cilindro vacío")*parametros_recargas!$C$51:$C$67*parametros_recargas!$F$107:$F$123)</f>
        <v>10.9448</v>
      </c>
      <c r="I286" s="22" t="n">
        <f aca="false">SUMPRODUCT(sobrestock_sustitutos!$J$73:$J$89*(sobrestock_sustitutos!$F$30:$F$46="Fábrica: cilindro vacío")*parametros_recargas!$C$51:$C$67*parametros_recargas!$G$107:$G$123)</f>
        <v>10.203</v>
      </c>
      <c r="J286" s="22" t="n">
        <f aca="false">SUMPRODUCT(sobrestock_sustitutos!$J$73:$J$89*(sobrestock_sustitutos!$F$30:$F$46="Fábrica: cilindro vacío")*parametros_recargas!$C$51:$C$67*parametros_recargas!$H$107:$H$123)</f>
        <v>10.9448</v>
      </c>
      <c r="K286" s="22" t="n">
        <f aca="false">SUMPRODUCT(sobrestock_sustitutos!$J$73:$J$89*(sobrestock_sustitutos!$F$30:$F$46="Fábrica: cilindro vacío")*parametros_recargas!$C$51:$C$67*parametros_recargas!$I$107:$I$123)</f>
        <v>10.9448</v>
      </c>
      <c r="L286" s="22" t="n">
        <f aca="false">SUMPRODUCT(sobrestock_sustitutos!$J$73:$J$89*(sobrestock_sustitutos!$F$30:$F$46="Fábrica: cilindro vacío")*parametros_recargas!$C$51:$C$67*parametros_recargas!$J$107:$J$123)</f>
        <v>10.8788</v>
      </c>
      <c r="M286" s="22" t="n">
        <f aca="false">SUMPRODUCT(sobrestock_sustitutos!$J$73:$J$89*(sobrestock_sustitutos!$F$30:$F$46="Fábrica: cilindro vacío")*parametros_recargas!$C$51:$C$67*parametros_recargas!$K$107:$K$123)</f>
        <v>10.137</v>
      </c>
      <c r="N286" s="22" t="n">
        <f aca="false">SUMPRODUCT(sobrestock_sustitutos!$J$73:$J$89*(sobrestock_sustitutos!$F$30:$F$46="Fábrica: cilindro vacío")*parametros_recargas!$C$51:$C$67*parametros_recargas!$L$107:$L$123)</f>
        <v>9.4612</v>
      </c>
      <c r="O286" s="22" t="n">
        <f aca="false">SUMPRODUCT(sobrestock_sustitutos!$J$73:$J$89*(sobrestock_sustitutos!$F$30:$F$46="Fábrica: cilindro vacío")*parametros_recargas!$C$51:$C$67*parametros_recargas!$M$107:$M$123)</f>
        <v>14.4716</v>
      </c>
      <c r="P286" s="7" t="n">
        <f aca="false">SUM(D286:O286)</f>
        <v>135.16</v>
      </c>
    </row>
    <row r="289" customFormat="false" ht="23.85" hidden="false" customHeight="false" outlineLevel="0" collapsed="false">
      <c r="A289" s="23" t="n">
        <v>2035</v>
      </c>
      <c r="B289" s="3" t="s">
        <v>353</v>
      </c>
      <c r="C289" s="3" t="s">
        <v>354</v>
      </c>
      <c r="D289" s="3" t="s">
        <v>147</v>
      </c>
      <c r="E289" s="3" t="s">
        <v>148</v>
      </c>
      <c r="F289" s="3" t="s">
        <v>149</v>
      </c>
      <c r="G289" s="3" t="s">
        <v>150</v>
      </c>
      <c r="H289" s="3" t="s">
        <v>151</v>
      </c>
      <c r="I289" s="3" t="s">
        <v>152</v>
      </c>
      <c r="J289" s="3" t="s">
        <v>153</v>
      </c>
      <c r="K289" s="3" t="s">
        <v>154</v>
      </c>
      <c r="L289" s="3" t="s">
        <v>155</v>
      </c>
      <c r="M289" s="3" t="s">
        <v>156</v>
      </c>
      <c r="N289" s="3" t="s">
        <v>157</v>
      </c>
      <c r="O289" s="3" t="s">
        <v>158</v>
      </c>
      <c r="P289" s="3" t="s">
        <v>83</v>
      </c>
      <c r="Q289" s="3" t="s">
        <v>355</v>
      </c>
    </row>
    <row r="290" customFormat="false" ht="15" hidden="false" customHeight="false" outlineLevel="0" collapsed="false">
      <c r="A290" s="9" t="str">
        <f aca="false">parametros_recargas!A51</f>
        <v>ABC 1 kg</v>
      </c>
      <c r="B290" s="9" t="str">
        <f aca="false">parametros_recargas!B51</f>
        <v>ABC</v>
      </c>
      <c r="C290" s="11" t="n">
        <f aca="false">parametros_recargas!C51</f>
        <v>1</v>
      </c>
      <c r="D290" s="21" t="n">
        <f aca="false">datos_base!$K$2*parametros_recargas!$B$46+sobrestock_sustitutos!$K$98/12</f>
        <v>9070.21886646279</v>
      </c>
      <c r="E290" s="21" t="n">
        <f aca="false">datos_base!$K$2*parametros_recargas!$C$46+sobrestock_sustitutos!$K$98/12</f>
        <v>9070.21886646279</v>
      </c>
      <c r="F290" s="21" t="n">
        <f aca="false">datos_base!$K$2*parametros_recargas!$D$46+sobrestock_sustitutos!$K$98/12</f>
        <v>9070.21886646279</v>
      </c>
      <c r="G290" s="21" t="n">
        <f aca="false">datos_base!$K$2*parametros_recargas!$E$46+sobrestock_sustitutos!$K$98/12</f>
        <v>9070.21886646279</v>
      </c>
      <c r="H290" s="21" t="n">
        <f aca="false">datos_base!$K$2*parametros_recargas!$F$46+sobrestock_sustitutos!$K$98/12</f>
        <v>9070.21886646279</v>
      </c>
      <c r="I290" s="21" t="n">
        <f aca="false">datos_base!$K$2*parametros_recargas!$G$46+sobrestock_sustitutos!$K$98/12</f>
        <v>9070.21886646279</v>
      </c>
      <c r="J290" s="21" t="n">
        <f aca="false">datos_base!$K$2*parametros_recargas!$H$46+sobrestock_sustitutos!$K$98/12</f>
        <v>9070.21886646279</v>
      </c>
      <c r="K290" s="21" t="n">
        <f aca="false">datos_base!$K$2*parametros_recargas!$I$46+sobrestock_sustitutos!$K$98/12</f>
        <v>9070.21886646279</v>
      </c>
      <c r="L290" s="21" t="n">
        <f aca="false">datos_base!$K$2*parametros_recargas!$J$46+sobrestock_sustitutos!$K$98/12</f>
        <v>9070.21886646279</v>
      </c>
      <c r="M290" s="21" t="n">
        <f aca="false">datos_base!$K$2*parametros_recargas!$K$46+sobrestock_sustitutos!$K$98/12</f>
        <v>9070.21886646279</v>
      </c>
      <c r="N290" s="21" t="n">
        <f aca="false">datos_base!$K$2*parametros_recargas!$L$46+sobrestock_sustitutos!$K$98/12</f>
        <v>9070.21886646279</v>
      </c>
      <c r="O290" s="21" t="n">
        <f aca="false">datos_base!$K$2*parametros_recargas!$M$46+sobrestock_sustitutos!$K$98/12</f>
        <v>9070.21886646279</v>
      </c>
      <c r="P290" s="7" t="n">
        <f aca="false">SUM(D290:O290)</f>
        <v>108842.626397553</v>
      </c>
      <c r="Q290" s="6" t="n">
        <f aca="false">sobrestock_sustitutos!$K$98</f>
        <v>0</v>
      </c>
    </row>
    <row r="291" customFormat="false" ht="15" hidden="false" customHeight="false" outlineLevel="0" collapsed="false">
      <c r="A291" s="9" t="str">
        <f aca="false">parametros_recargas!A52</f>
        <v>ABC 2,5 kg</v>
      </c>
      <c r="B291" s="9" t="str">
        <f aca="false">parametros_recargas!B52</f>
        <v>ABC</v>
      </c>
      <c r="C291" s="11" t="n">
        <f aca="false">parametros_recargas!C52</f>
        <v>1</v>
      </c>
      <c r="D291" s="21" t="n">
        <f aca="false">datos_base!$K$3*parametros_recargas!$B$46+sobrestock_sustitutos!$K$99/12</f>
        <v>776.961678692305</v>
      </c>
      <c r="E291" s="21" t="n">
        <f aca="false">datos_base!$K$3*parametros_recargas!$C$46+sobrestock_sustitutos!$K$99/12</f>
        <v>776.961678692305</v>
      </c>
      <c r="F291" s="21" t="n">
        <f aca="false">datos_base!$K$3*parametros_recargas!$D$46+sobrestock_sustitutos!$K$99/12</f>
        <v>776.961678692305</v>
      </c>
      <c r="G291" s="21" t="n">
        <f aca="false">datos_base!$K$3*parametros_recargas!$E$46+sobrestock_sustitutos!$K$99/12</f>
        <v>776.961678692305</v>
      </c>
      <c r="H291" s="21" t="n">
        <f aca="false">datos_base!$K$3*parametros_recargas!$F$46+sobrestock_sustitutos!$K$99/12</f>
        <v>776.961678692305</v>
      </c>
      <c r="I291" s="21" t="n">
        <f aca="false">datos_base!$K$3*parametros_recargas!$G$46+sobrestock_sustitutos!$K$99/12</f>
        <v>776.961678692305</v>
      </c>
      <c r="J291" s="21" t="n">
        <f aca="false">datos_base!$K$3*parametros_recargas!$H$46+sobrestock_sustitutos!$K$99/12</f>
        <v>776.961678692305</v>
      </c>
      <c r="K291" s="21" t="n">
        <f aca="false">datos_base!$K$3*parametros_recargas!$I$46+sobrestock_sustitutos!$K$99/12</f>
        <v>776.961678692305</v>
      </c>
      <c r="L291" s="21" t="n">
        <f aca="false">datos_base!$K$3*parametros_recargas!$J$46+sobrestock_sustitutos!$K$99/12</f>
        <v>776.961678692305</v>
      </c>
      <c r="M291" s="21" t="n">
        <f aca="false">datos_base!$K$3*parametros_recargas!$K$46+sobrestock_sustitutos!$K$99/12</f>
        <v>776.961678692305</v>
      </c>
      <c r="N291" s="21" t="n">
        <f aca="false">datos_base!$K$3*parametros_recargas!$L$46+sobrestock_sustitutos!$K$99/12</f>
        <v>776.961678692305</v>
      </c>
      <c r="O291" s="21" t="n">
        <f aca="false">datos_base!$K$3*parametros_recargas!$M$46+sobrestock_sustitutos!$K$99/12</f>
        <v>776.961678692305</v>
      </c>
      <c r="P291" s="7" t="n">
        <f aca="false">SUM(D291:O291)</f>
        <v>9323.54014430766</v>
      </c>
      <c r="Q291" s="6" t="n">
        <f aca="false">sobrestock_sustitutos!$K$99</f>
        <v>107</v>
      </c>
    </row>
    <row r="292" customFormat="false" ht="15" hidden="false" customHeight="false" outlineLevel="0" collapsed="false">
      <c r="A292" s="9" t="str">
        <f aca="false">parametros_recargas!A53</f>
        <v>ABC 5 kg</v>
      </c>
      <c r="B292" s="9" t="str">
        <f aca="false">parametros_recargas!B53</f>
        <v>ABC</v>
      </c>
      <c r="C292" s="11" t="n">
        <f aca="false">parametros_recargas!C53</f>
        <v>1</v>
      </c>
      <c r="D292" s="21" t="n">
        <f aca="false">datos_base!$K$4*parametros_recargas!$B$46+sobrestock_sustitutos!$K$100/12</f>
        <v>4728.02255920612</v>
      </c>
      <c r="E292" s="21" t="n">
        <f aca="false">datos_base!$K$4*parametros_recargas!$C$46+sobrestock_sustitutos!$K$100/12</f>
        <v>4728.02255920612</v>
      </c>
      <c r="F292" s="21" t="n">
        <f aca="false">datos_base!$K$4*parametros_recargas!$D$46+sobrestock_sustitutos!$K$100/12</f>
        <v>4728.02255920612</v>
      </c>
      <c r="G292" s="21" t="n">
        <f aca="false">datos_base!$K$4*parametros_recargas!$E$46+sobrestock_sustitutos!$K$100/12</f>
        <v>4728.02255920612</v>
      </c>
      <c r="H292" s="21" t="n">
        <f aca="false">datos_base!$K$4*parametros_recargas!$F$46+sobrestock_sustitutos!$K$100/12</f>
        <v>4728.02255920612</v>
      </c>
      <c r="I292" s="21" t="n">
        <f aca="false">datos_base!$K$4*parametros_recargas!$G$46+sobrestock_sustitutos!$K$100/12</f>
        <v>4728.02255920612</v>
      </c>
      <c r="J292" s="21" t="n">
        <f aca="false">datos_base!$K$4*parametros_recargas!$H$46+sobrestock_sustitutos!$K$100/12</f>
        <v>4728.02255920612</v>
      </c>
      <c r="K292" s="21" t="n">
        <f aca="false">datos_base!$K$4*parametros_recargas!$I$46+sobrestock_sustitutos!$K$100/12</f>
        <v>4728.02255920612</v>
      </c>
      <c r="L292" s="21" t="n">
        <f aca="false">datos_base!$K$4*parametros_recargas!$J$46+sobrestock_sustitutos!$K$100/12</f>
        <v>4728.02255920612</v>
      </c>
      <c r="M292" s="21" t="n">
        <f aca="false">datos_base!$K$4*parametros_recargas!$K$46+sobrestock_sustitutos!$K$100/12</f>
        <v>4728.02255920612</v>
      </c>
      <c r="N292" s="21" t="n">
        <f aca="false">datos_base!$K$4*parametros_recargas!$L$46+sobrestock_sustitutos!$K$100/12</f>
        <v>4728.02255920612</v>
      </c>
      <c r="O292" s="21" t="n">
        <f aca="false">datos_base!$K$4*parametros_recargas!$M$46+sobrestock_sustitutos!$K$100/12</f>
        <v>4728.02255920612</v>
      </c>
      <c r="P292" s="7" t="n">
        <f aca="false">SUM(D292:O292)</f>
        <v>56736.2707104735</v>
      </c>
      <c r="Q292" s="6" t="n">
        <f aca="false">sobrestock_sustitutos!$K$100</f>
        <v>677</v>
      </c>
    </row>
    <row r="293" customFormat="false" ht="15" hidden="false" customHeight="false" outlineLevel="0" collapsed="false">
      <c r="A293" s="9" t="str">
        <f aca="false">parametros_recargas!A54</f>
        <v>ABC 10 kg</v>
      </c>
      <c r="B293" s="9" t="str">
        <f aca="false">parametros_recargas!B54</f>
        <v>ABC</v>
      </c>
      <c r="C293" s="11" t="n">
        <f aca="false">parametros_recargas!C54</f>
        <v>1</v>
      </c>
      <c r="D293" s="21" t="n">
        <f aca="false">datos_base!$K$5*parametros_recargas!$B$46+sobrestock_sustitutos!$K$101/12</f>
        <v>279.860658765236</v>
      </c>
      <c r="E293" s="21" t="n">
        <f aca="false">datos_base!$K$5*parametros_recargas!$C$46+sobrestock_sustitutos!$K$101/12</f>
        <v>279.860658765236</v>
      </c>
      <c r="F293" s="21" t="n">
        <f aca="false">datos_base!$K$5*parametros_recargas!$D$46+sobrestock_sustitutos!$K$101/12</f>
        <v>279.860658765236</v>
      </c>
      <c r="G293" s="21" t="n">
        <f aca="false">datos_base!$K$5*parametros_recargas!$E$46+sobrestock_sustitutos!$K$101/12</f>
        <v>279.860658765236</v>
      </c>
      <c r="H293" s="21" t="n">
        <f aca="false">datos_base!$K$5*parametros_recargas!$F$46+sobrestock_sustitutos!$K$101/12</f>
        <v>279.860658765236</v>
      </c>
      <c r="I293" s="21" t="n">
        <f aca="false">datos_base!$K$5*parametros_recargas!$G$46+sobrestock_sustitutos!$K$101/12</f>
        <v>279.860658765236</v>
      </c>
      <c r="J293" s="21" t="n">
        <f aca="false">datos_base!$K$5*parametros_recargas!$H$46+sobrestock_sustitutos!$K$101/12</f>
        <v>279.860658765236</v>
      </c>
      <c r="K293" s="21" t="n">
        <f aca="false">datos_base!$K$5*parametros_recargas!$I$46+sobrestock_sustitutos!$K$101/12</f>
        <v>279.860658765236</v>
      </c>
      <c r="L293" s="21" t="n">
        <f aca="false">datos_base!$K$5*parametros_recargas!$J$46+sobrestock_sustitutos!$K$101/12</f>
        <v>279.860658765236</v>
      </c>
      <c r="M293" s="21" t="n">
        <f aca="false">datos_base!$K$5*parametros_recargas!$K$46+sobrestock_sustitutos!$K$101/12</f>
        <v>279.860658765236</v>
      </c>
      <c r="N293" s="21" t="n">
        <f aca="false">datos_base!$K$5*parametros_recargas!$L$46+sobrestock_sustitutos!$K$101/12</f>
        <v>279.860658765236</v>
      </c>
      <c r="O293" s="21" t="n">
        <f aca="false">datos_base!$K$5*parametros_recargas!$M$46+sobrestock_sustitutos!$K$101/12</f>
        <v>279.860658765236</v>
      </c>
      <c r="P293" s="7" t="n">
        <f aca="false">SUM(D293:O293)</f>
        <v>3358.32790518283</v>
      </c>
      <c r="Q293" s="6" t="n">
        <f aca="false">sobrestock_sustitutos!$K$101</f>
        <v>39</v>
      </c>
    </row>
    <row r="294" customFormat="false" ht="15" hidden="false" customHeight="false" outlineLevel="0" collapsed="false">
      <c r="A294" s="9" t="str">
        <f aca="false">parametros_recargas!A55</f>
        <v>Agua 10 l</v>
      </c>
      <c r="B294" s="9" t="str">
        <f aca="false">parametros_recargas!B55</f>
        <v>Agua</v>
      </c>
      <c r="C294" s="11" t="n">
        <f aca="false">parametros_recargas!C55</f>
        <v>1</v>
      </c>
      <c r="D294" s="21" t="n">
        <f aca="false">datos_base!$K$6*parametros_recargas!$B$46+sobrestock_sustitutos!$K$102/12</f>
        <v>395.345268140714</v>
      </c>
      <c r="E294" s="21" t="n">
        <f aca="false">datos_base!$K$6*parametros_recargas!$C$46+sobrestock_sustitutos!$K$102/12</f>
        <v>395.345268140714</v>
      </c>
      <c r="F294" s="21" t="n">
        <f aca="false">datos_base!$K$6*parametros_recargas!$D$46+sobrestock_sustitutos!$K$102/12</f>
        <v>395.345268140714</v>
      </c>
      <c r="G294" s="21" t="n">
        <f aca="false">datos_base!$K$6*parametros_recargas!$E$46+sobrestock_sustitutos!$K$102/12</f>
        <v>395.345268140714</v>
      </c>
      <c r="H294" s="21" t="n">
        <f aca="false">datos_base!$K$6*parametros_recargas!$F$46+sobrestock_sustitutos!$K$102/12</f>
        <v>395.345268140714</v>
      </c>
      <c r="I294" s="21" t="n">
        <f aca="false">datos_base!$K$6*parametros_recargas!$G$46+sobrestock_sustitutos!$K$102/12</f>
        <v>395.345268140714</v>
      </c>
      <c r="J294" s="21" t="n">
        <f aca="false">datos_base!$K$6*parametros_recargas!$H$46+sobrestock_sustitutos!$K$102/12</f>
        <v>395.345268140714</v>
      </c>
      <c r="K294" s="21" t="n">
        <f aca="false">datos_base!$K$6*parametros_recargas!$I$46+sobrestock_sustitutos!$K$102/12</f>
        <v>395.345268140714</v>
      </c>
      <c r="L294" s="21" t="n">
        <f aca="false">datos_base!$K$6*parametros_recargas!$J$46+sobrestock_sustitutos!$K$102/12</f>
        <v>395.345268140714</v>
      </c>
      <c r="M294" s="21" t="n">
        <f aca="false">datos_base!$K$6*parametros_recargas!$K$46+sobrestock_sustitutos!$K$102/12</f>
        <v>395.345268140714</v>
      </c>
      <c r="N294" s="21" t="n">
        <f aca="false">datos_base!$K$6*parametros_recargas!$L$46+sobrestock_sustitutos!$K$102/12</f>
        <v>395.345268140714</v>
      </c>
      <c r="O294" s="21" t="n">
        <f aca="false">datos_base!$K$6*parametros_recargas!$M$46+sobrestock_sustitutos!$K$102/12</f>
        <v>395.345268140714</v>
      </c>
      <c r="P294" s="7" t="n">
        <f aca="false">SUM(D294:O294)</f>
        <v>4744.14321768856</v>
      </c>
      <c r="Q294" s="6" t="n">
        <f aca="false">sobrestock_sustitutos!$K$102</f>
        <v>58</v>
      </c>
    </row>
    <row r="295" customFormat="false" ht="15" hidden="false" customHeight="false" outlineLevel="0" collapsed="false">
      <c r="A295" s="9" t="str">
        <f aca="false">parametros_recargas!A56</f>
        <v>AFFF 10 l</v>
      </c>
      <c r="B295" s="9" t="str">
        <f aca="false">parametros_recargas!B56</f>
        <v>AFFF</v>
      </c>
      <c r="C295" s="11" t="n">
        <f aca="false">parametros_recargas!C56</f>
        <v>1</v>
      </c>
      <c r="D295" s="21" t="n">
        <f aca="false">datos_base!$K$7*parametros_recargas!$B$46+sobrestock_sustitutos!$K$103/12</f>
        <v>75.3078698673154</v>
      </c>
      <c r="E295" s="21" t="n">
        <f aca="false">datos_base!$K$7*parametros_recargas!$C$46+sobrestock_sustitutos!$K$103/12</f>
        <v>75.3078698673154</v>
      </c>
      <c r="F295" s="21" t="n">
        <f aca="false">datos_base!$K$7*parametros_recargas!$D$46+sobrestock_sustitutos!$K$103/12</f>
        <v>75.3078698673154</v>
      </c>
      <c r="G295" s="21" t="n">
        <f aca="false">datos_base!$K$7*parametros_recargas!$E$46+sobrestock_sustitutos!$K$103/12</f>
        <v>75.3078698673154</v>
      </c>
      <c r="H295" s="21" t="n">
        <f aca="false">datos_base!$K$7*parametros_recargas!$F$46+sobrestock_sustitutos!$K$103/12</f>
        <v>75.3078698673154</v>
      </c>
      <c r="I295" s="21" t="n">
        <f aca="false">datos_base!$K$7*parametros_recargas!$G$46+sobrestock_sustitutos!$K$103/12</f>
        <v>75.3078698673154</v>
      </c>
      <c r="J295" s="21" t="n">
        <f aca="false">datos_base!$K$7*parametros_recargas!$H$46+sobrestock_sustitutos!$K$103/12</f>
        <v>75.3078698673154</v>
      </c>
      <c r="K295" s="21" t="n">
        <f aca="false">datos_base!$K$7*parametros_recargas!$I$46+sobrestock_sustitutos!$K$103/12</f>
        <v>75.3078698673154</v>
      </c>
      <c r="L295" s="21" t="n">
        <f aca="false">datos_base!$K$7*parametros_recargas!$J$46+sobrestock_sustitutos!$K$103/12</f>
        <v>75.3078698673154</v>
      </c>
      <c r="M295" s="21" t="n">
        <f aca="false">datos_base!$K$7*parametros_recargas!$K$46+sobrestock_sustitutos!$K$103/12</f>
        <v>75.3078698673154</v>
      </c>
      <c r="N295" s="21" t="n">
        <f aca="false">datos_base!$K$7*parametros_recargas!$L$46+sobrestock_sustitutos!$K$103/12</f>
        <v>75.3078698673154</v>
      </c>
      <c r="O295" s="21" t="n">
        <f aca="false">datos_base!$K$7*parametros_recargas!$M$46+sobrestock_sustitutos!$K$103/12</f>
        <v>75.3078698673154</v>
      </c>
      <c r="P295" s="7" t="n">
        <f aca="false">SUM(D295:O295)</f>
        <v>903.694438407785</v>
      </c>
      <c r="Q295" s="6" t="n">
        <f aca="false">sobrestock_sustitutos!$K$103</f>
        <v>14</v>
      </c>
    </row>
    <row r="296" customFormat="false" ht="15" hidden="false" customHeight="false" outlineLevel="0" collapsed="false">
      <c r="A296" s="9" t="str">
        <f aca="false">parametros_recargas!A57</f>
        <v>AFFF 50 l s/ruedas</v>
      </c>
      <c r="B296" s="9" t="str">
        <f aca="false">parametros_recargas!B57</f>
        <v>AFFF</v>
      </c>
      <c r="C296" s="11" t="n">
        <f aca="false">parametros_recargas!C57</f>
        <v>3</v>
      </c>
      <c r="D296" s="21" t="n">
        <f aca="false">datos_base!$K$8*parametros_recargas!$B$46+sobrestock_sustitutos!$K$104/12</f>
        <v>39.3144191681171</v>
      </c>
      <c r="E296" s="21" t="n">
        <f aca="false">datos_base!$K$8*parametros_recargas!$C$46+sobrestock_sustitutos!$K$104/12</f>
        <v>39.3144191681171</v>
      </c>
      <c r="F296" s="21" t="n">
        <f aca="false">datos_base!$K$8*parametros_recargas!$D$46+sobrestock_sustitutos!$K$104/12</f>
        <v>39.3144191681171</v>
      </c>
      <c r="G296" s="21" t="n">
        <f aca="false">datos_base!$K$8*parametros_recargas!$E$46+sobrestock_sustitutos!$K$104/12</f>
        <v>39.3144191681171</v>
      </c>
      <c r="H296" s="21" t="n">
        <f aca="false">datos_base!$K$8*parametros_recargas!$F$46+sobrestock_sustitutos!$K$104/12</f>
        <v>39.3144191681171</v>
      </c>
      <c r="I296" s="21" t="n">
        <f aca="false">datos_base!$K$8*parametros_recargas!$G$46+sobrestock_sustitutos!$K$104/12</f>
        <v>39.3144191681171</v>
      </c>
      <c r="J296" s="21" t="n">
        <f aca="false">datos_base!$K$8*parametros_recargas!$H$46+sobrestock_sustitutos!$K$104/12</f>
        <v>39.3144191681171</v>
      </c>
      <c r="K296" s="21" t="n">
        <f aca="false">datos_base!$K$8*parametros_recargas!$I$46+sobrestock_sustitutos!$K$104/12</f>
        <v>39.3144191681171</v>
      </c>
      <c r="L296" s="21" t="n">
        <f aca="false">datos_base!$K$8*parametros_recargas!$J$46+sobrestock_sustitutos!$K$104/12</f>
        <v>39.3144191681171</v>
      </c>
      <c r="M296" s="21" t="n">
        <f aca="false">datos_base!$K$8*parametros_recargas!$K$46+sobrestock_sustitutos!$K$104/12</f>
        <v>39.3144191681171</v>
      </c>
      <c r="N296" s="21" t="n">
        <f aca="false">datos_base!$K$8*parametros_recargas!$L$46+sobrestock_sustitutos!$K$104/12</f>
        <v>39.3144191681171</v>
      </c>
      <c r="O296" s="21" t="n">
        <f aca="false">datos_base!$K$8*parametros_recargas!$M$46+sobrestock_sustitutos!$K$104/12</f>
        <v>39.3144191681171</v>
      </c>
      <c r="P296" s="7" t="n">
        <f aca="false">SUM(D296:O296)</f>
        <v>471.773030017405</v>
      </c>
      <c r="Q296" s="6" t="n">
        <f aca="false">sobrestock_sustitutos!$K$104</f>
        <v>8</v>
      </c>
    </row>
    <row r="297" customFormat="false" ht="15" hidden="false" customHeight="false" outlineLevel="0" collapsed="false">
      <c r="A297" s="9" t="str">
        <f aca="false">parametros_recargas!A58</f>
        <v>BC 5 kg</v>
      </c>
      <c r="B297" s="9" t="str">
        <f aca="false">parametros_recargas!B58</f>
        <v>BC</v>
      </c>
      <c r="C297" s="11" t="n">
        <f aca="false">parametros_recargas!C58</f>
        <v>1</v>
      </c>
      <c r="D297" s="21" t="n">
        <f aca="false">datos_base!$K$9*parametros_recargas!$B$46+sobrestock_sustitutos!$K$105/12</f>
        <v>22.758230117595</v>
      </c>
      <c r="E297" s="21" t="n">
        <f aca="false">datos_base!$K$9*parametros_recargas!$C$46+sobrestock_sustitutos!$K$105/12</f>
        <v>22.758230117595</v>
      </c>
      <c r="F297" s="21" t="n">
        <f aca="false">datos_base!$K$9*parametros_recargas!$D$46+sobrestock_sustitutos!$K$105/12</f>
        <v>22.758230117595</v>
      </c>
      <c r="G297" s="21" t="n">
        <f aca="false">datos_base!$K$9*parametros_recargas!$E$46+sobrestock_sustitutos!$K$105/12</f>
        <v>22.758230117595</v>
      </c>
      <c r="H297" s="21" t="n">
        <f aca="false">datos_base!$K$9*parametros_recargas!$F$46+sobrestock_sustitutos!$K$105/12</f>
        <v>22.758230117595</v>
      </c>
      <c r="I297" s="21" t="n">
        <f aca="false">datos_base!$K$9*parametros_recargas!$G$46+sobrestock_sustitutos!$K$105/12</f>
        <v>22.758230117595</v>
      </c>
      <c r="J297" s="21" t="n">
        <f aca="false">datos_base!$K$9*parametros_recargas!$H$46+sobrestock_sustitutos!$K$105/12</f>
        <v>22.758230117595</v>
      </c>
      <c r="K297" s="21" t="n">
        <f aca="false">datos_base!$K$9*parametros_recargas!$I$46+sobrestock_sustitutos!$K$105/12</f>
        <v>22.758230117595</v>
      </c>
      <c r="L297" s="21" t="n">
        <f aca="false">datos_base!$K$9*parametros_recargas!$J$46+sobrestock_sustitutos!$K$105/12</f>
        <v>22.758230117595</v>
      </c>
      <c r="M297" s="21" t="n">
        <f aca="false">datos_base!$K$9*parametros_recargas!$K$46+sobrestock_sustitutos!$K$105/12</f>
        <v>22.758230117595</v>
      </c>
      <c r="N297" s="21" t="n">
        <f aca="false">datos_base!$K$9*parametros_recargas!$L$46+sobrestock_sustitutos!$K$105/12</f>
        <v>22.758230117595</v>
      </c>
      <c r="O297" s="21" t="n">
        <f aca="false">datos_base!$K$9*parametros_recargas!$M$46+sobrestock_sustitutos!$K$105/12</f>
        <v>22.758230117595</v>
      </c>
      <c r="P297" s="7" t="n">
        <f aca="false">SUM(D297:O297)</f>
        <v>273.09876141114</v>
      </c>
      <c r="Q297" s="6" t="n">
        <f aca="false">sobrestock_sustitutos!$K$105</f>
        <v>5</v>
      </c>
    </row>
    <row r="298" customFormat="false" ht="15" hidden="false" customHeight="false" outlineLevel="0" collapsed="false">
      <c r="A298" s="9" t="str">
        <f aca="false">parametros_recargas!A59</f>
        <v>Sales K 6 l</v>
      </c>
      <c r="B298" s="9" t="str">
        <f aca="false">parametros_recargas!B59</f>
        <v>Sales K</v>
      </c>
      <c r="C298" s="11" t="n">
        <f aca="false">parametros_recargas!C59</f>
        <v>1</v>
      </c>
      <c r="D298" s="21" t="n">
        <f aca="false">datos_base!$K$10*parametros_recargas!$B$46+sobrestock_sustitutos!$K$106/12</f>
        <v>194.999506120135</v>
      </c>
      <c r="E298" s="21" t="n">
        <f aca="false">datos_base!$K$10*parametros_recargas!$C$46+sobrestock_sustitutos!$K$106/12</f>
        <v>194.999506120135</v>
      </c>
      <c r="F298" s="21" t="n">
        <f aca="false">datos_base!$K$10*parametros_recargas!$D$46+sobrestock_sustitutos!$K$106/12</f>
        <v>194.999506120135</v>
      </c>
      <c r="G298" s="21" t="n">
        <f aca="false">datos_base!$K$10*parametros_recargas!$E$46+sobrestock_sustitutos!$K$106/12</f>
        <v>194.999506120135</v>
      </c>
      <c r="H298" s="21" t="n">
        <f aca="false">datos_base!$K$10*parametros_recargas!$F$46+sobrestock_sustitutos!$K$106/12</f>
        <v>194.999506120135</v>
      </c>
      <c r="I298" s="21" t="n">
        <f aca="false">datos_base!$K$10*parametros_recargas!$G$46+sobrestock_sustitutos!$K$106/12</f>
        <v>194.999506120135</v>
      </c>
      <c r="J298" s="21" t="n">
        <f aca="false">datos_base!$K$10*parametros_recargas!$H$46+sobrestock_sustitutos!$K$106/12</f>
        <v>194.999506120135</v>
      </c>
      <c r="K298" s="21" t="n">
        <f aca="false">datos_base!$K$10*parametros_recargas!$I$46+sobrestock_sustitutos!$K$106/12</f>
        <v>194.999506120135</v>
      </c>
      <c r="L298" s="21" t="n">
        <f aca="false">datos_base!$K$10*parametros_recargas!$J$46+sobrestock_sustitutos!$K$106/12</f>
        <v>194.999506120135</v>
      </c>
      <c r="M298" s="21" t="n">
        <f aca="false">datos_base!$K$10*parametros_recargas!$K$46+sobrestock_sustitutos!$K$106/12</f>
        <v>194.999506120135</v>
      </c>
      <c r="N298" s="21" t="n">
        <f aca="false">datos_base!$K$10*parametros_recargas!$L$46+sobrestock_sustitutos!$K$106/12</f>
        <v>194.999506120135</v>
      </c>
      <c r="O298" s="21" t="n">
        <f aca="false">datos_base!$K$10*parametros_recargas!$M$46+sobrestock_sustitutos!$K$106/12</f>
        <v>194.999506120135</v>
      </c>
      <c r="P298" s="7" t="n">
        <f aca="false">SUM(D298:O298)</f>
        <v>2339.99407344162</v>
      </c>
      <c r="Q298" s="6" t="n">
        <f aca="false">sobrestock_sustitutos!$K$106</f>
        <v>29</v>
      </c>
    </row>
    <row r="299" customFormat="false" ht="15" hidden="false" customHeight="false" outlineLevel="0" collapsed="false">
      <c r="A299" s="9" t="str">
        <f aca="false">parametros_recargas!A60</f>
        <v>CO₂ 2 kg</v>
      </c>
      <c r="B299" s="9" t="str">
        <f aca="false">parametros_recargas!B60</f>
        <v>CO₂</v>
      </c>
      <c r="C299" s="11" t="n">
        <f aca="false">parametros_recargas!C60</f>
        <v>1</v>
      </c>
      <c r="D299" s="21" t="n">
        <f aca="false">datos_base!$K$11*parametros_recargas!$B$46+sobrestock_sustitutos!$K$107/12</f>
        <v>1062.9774960209</v>
      </c>
      <c r="E299" s="21" t="n">
        <f aca="false">datos_base!$K$11*parametros_recargas!$C$46+sobrestock_sustitutos!$K$107/12</f>
        <v>1062.9774960209</v>
      </c>
      <c r="F299" s="21" t="n">
        <f aca="false">datos_base!$K$11*parametros_recargas!$D$46+sobrestock_sustitutos!$K$107/12</f>
        <v>1062.9774960209</v>
      </c>
      <c r="G299" s="21" t="n">
        <f aca="false">datos_base!$K$11*parametros_recargas!$E$46+sobrestock_sustitutos!$K$107/12</f>
        <v>1062.9774960209</v>
      </c>
      <c r="H299" s="21" t="n">
        <f aca="false">datos_base!$K$11*parametros_recargas!$F$46+sobrestock_sustitutos!$K$107/12</f>
        <v>1062.9774960209</v>
      </c>
      <c r="I299" s="21" t="n">
        <f aca="false">datos_base!$K$11*parametros_recargas!$G$46+sobrestock_sustitutos!$K$107/12</f>
        <v>1062.9774960209</v>
      </c>
      <c r="J299" s="21" t="n">
        <f aca="false">datos_base!$K$11*parametros_recargas!$H$46+sobrestock_sustitutos!$K$107/12</f>
        <v>1062.9774960209</v>
      </c>
      <c r="K299" s="21" t="n">
        <f aca="false">datos_base!$K$11*parametros_recargas!$I$46+sobrestock_sustitutos!$K$107/12</f>
        <v>1062.9774960209</v>
      </c>
      <c r="L299" s="21" t="n">
        <f aca="false">datos_base!$K$11*parametros_recargas!$J$46+sobrestock_sustitutos!$K$107/12</f>
        <v>1062.9774960209</v>
      </c>
      <c r="M299" s="21" t="n">
        <f aca="false">datos_base!$K$11*parametros_recargas!$K$46+sobrestock_sustitutos!$K$107/12</f>
        <v>1062.9774960209</v>
      </c>
      <c r="N299" s="21" t="n">
        <f aca="false">datos_base!$K$11*parametros_recargas!$L$46+sobrestock_sustitutos!$K$107/12</f>
        <v>1062.9774960209</v>
      </c>
      <c r="O299" s="21" t="n">
        <f aca="false">datos_base!$K$11*parametros_recargas!$M$46+sobrestock_sustitutos!$K$107/12</f>
        <v>1062.9774960209</v>
      </c>
      <c r="P299" s="7" t="n">
        <f aca="false">SUM(D299:O299)</f>
        <v>12755.7299522508</v>
      </c>
      <c r="Q299" s="6" t="n">
        <f aca="false">sobrestock_sustitutos!$K$107</f>
        <v>149</v>
      </c>
    </row>
    <row r="300" customFormat="false" ht="15" hidden="false" customHeight="false" outlineLevel="0" collapsed="false">
      <c r="A300" s="9" t="str">
        <f aca="false">parametros_recargas!A61</f>
        <v>CO₂ 5 kg</v>
      </c>
      <c r="B300" s="9" t="str">
        <f aca="false">parametros_recargas!B61</f>
        <v>CO₂</v>
      </c>
      <c r="C300" s="11" t="n">
        <f aca="false">parametros_recargas!C61</f>
        <v>1</v>
      </c>
      <c r="D300" s="21" t="n">
        <f aca="false">datos_base!$K$12*parametros_recargas!$B$46+sobrestock_sustitutos!$K$108/12</f>
        <v>363.781989985621</v>
      </c>
      <c r="E300" s="21" t="n">
        <f aca="false">datos_base!$K$12*parametros_recargas!$C$46+sobrestock_sustitutos!$K$108/12</f>
        <v>363.781989985621</v>
      </c>
      <c r="F300" s="21" t="n">
        <f aca="false">datos_base!$K$12*parametros_recargas!$D$46+sobrestock_sustitutos!$K$108/12</f>
        <v>363.781989985621</v>
      </c>
      <c r="G300" s="21" t="n">
        <f aca="false">datos_base!$K$12*parametros_recargas!$E$46+sobrestock_sustitutos!$K$108/12</f>
        <v>363.781989985621</v>
      </c>
      <c r="H300" s="21" t="n">
        <f aca="false">datos_base!$K$12*parametros_recargas!$F$46+sobrestock_sustitutos!$K$108/12</f>
        <v>363.781989985621</v>
      </c>
      <c r="I300" s="21" t="n">
        <f aca="false">datos_base!$K$12*parametros_recargas!$G$46+sobrestock_sustitutos!$K$108/12</f>
        <v>363.781989985621</v>
      </c>
      <c r="J300" s="21" t="n">
        <f aca="false">datos_base!$K$12*parametros_recargas!$H$46+sobrestock_sustitutos!$K$108/12</f>
        <v>363.781989985621</v>
      </c>
      <c r="K300" s="21" t="n">
        <f aca="false">datos_base!$K$12*parametros_recargas!$I$46+sobrestock_sustitutos!$K$108/12</f>
        <v>363.781989985621</v>
      </c>
      <c r="L300" s="21" t="n">
        <f aca="false">datos_base!$K$12*parametros_recargas!$J$46+sobrestock_sustitutos!$K$108/12</f>
        <v>363.781989985621</v>
      </c>
      <c r="M300" s="21" t="n">
        <f aca="false">datos_base!$K$12*parametros_recargas!$K$46+sobrestock_sustitutos!$K$108/12</f>
        <v>363.781989985621</v>
      </c>
      <c r="N300" s="21" t="n">
        <f aca="false">datos_base!$K$12*parametros_recargas!$L$46+sobrestock_sustitutos!$K$108/12</f>
        <v>363.781989985621</v>
      </c>
      <c r="O300" s="21" t="n">
        <f aca="false">datos_base!$K$12*parametros_recargas!$M$46+sobrestock_sustitutos!$K$108/12</f>
        <v>363.781989985621</v>
      </c>
      <c r="P300" s="7" t="n">
        <f aca="false">SUM(D300:O300)</f>
        <v>4365.38387982745</v>
      </c>
      <c r="Q300" s="6" t="n">
        <f aca="false">sobrestock_sustitutos!$K$108</f>
        <v>57</v>
      </c>
    </row>
    <row r="301" customFormat="false" ht="15" hidden="false" customHeight="false" outlineLevel="0" collapsed="false">
      <c r="A301" s="9" t="str">
        <f aca="false">parametros_recargas!A62</f>
        <v>HCFC/HFC 5 kg</v>
      </c>
      <c r="B301" s="9" t="str">
        <f aca="false">parametros_recargas!B62</f>
        <v>Halogenado</v>
      </c>
      <c r="C301" s="11" t="n">
        <f aca="false">parametros_recargas!C62</f>
        <v>1</v>
      </c>
      <c r="D301" s="21" t="n">
        <f aca="false">datos_base!$K$13*parametros_recargas!$B$46+sobrestock_sustitutos!$K$109/12</f>
        <v>59.6930371761382</v>
      </c>
      <c r="E301" s="21" t="n">
        <f aca="false">datos_base!$K$13*parametros_recargas!$C$46+sobrestock_sustitutos!$K$109/12</f>
        <v>59.6930371761382</v>
      </c>
      <c r="F301" s="21" t="n">
        <f aca="false">datos_base!$K$13*parametros_recargas!$D$46+sobrestock_sustitutos!$K$109/12</f>
        <v>59.6930371761382</v>
      </c>
      <c r="G301" s="21" t="n">
        <f aca="false">datos_base!$K$13*parametros_recargas!$E$46+sobrestock_sustitutos!$K$109/12</f>
        <v>59.6930371761382</v>
      </c>
      <c r="H301" s="21" t="n">
        <f aca="false">datos_base!$K$13*parametros_recargas!$F$46+sobrestock_sustitutos!$K$109/12</f>
        <v>59.6930371761382</v>
      </c>
      <c r="I301" s="21" t="n">
        <f aca="false">datos_base!$K$13*parametros_recargas!$G$46+sobrestock_sustitutos!$K$109/12</f>
        <v>59.6930371761382</v>
      </c>
      <c r="J301" s="21" t="n">
        <f aca="false">datos_base!$K$13*parametros_recargas!$H$46+sobrestock_sustitutos!$K$109/12</f>
        <v>59.6930371761382</v>
      </c>
      <c r="K301" s="21" t="n">
        <f aca="false">datos_base!$K$13*parametros_recargas!$I$46+sobrestock_sustitutos!$K$109/12</f>
        <v>59.6930371761382</v>
      </c>
      <c r="L301" s="21" t="n">
        <f aca="false">datos_base!$K$13*parametros_recargas!$J$46+sobrestock_sustitutos!$K$109/12</f>
        <v>59.6930371761382</v>
      </c>
      <c r="M301" s="21" t="n">
        <f aca="false">datos_base!$K$13*parametros_recargas!$K$46+sobrestock_sustitutos!$K$109/12</f>
        <v>59.6930371761382</v>
      </c>
      <c r="N301" s="21" t="n">
        <f aca="false">datos_base!$K$13*parametros_recargas!$L$46+sobrestock_sustitutos!$K$109/12</f>
        <v>59.6930371761382</v>
      </c>
      <c r="O301" s="21" t="n">
        <f aca="false">datos_base!$K$13*parametros_recargas!$M$46+sobrestock_sustitutos!$K$109/12</f>
        <v>59.6930371761382</v>
      </c>
      <c r="P301" s="7" t="n">
        <f aca="false">SUM(D301:O301)</f>
        <v>716.316446113659</v>
      </c>
      <c r="Q301" s="6" t="n">
        <f aca="false">sobrestock_sustitutos!$K$109</f>
        <v>11</v>
      </c>
    </row>
    <row r="302" customFormat="false" ht="15" hidden="false" customHeight="false" outlineLevel="0" collapsed="false">
      <c r="A302" s="9" t="str">
        <f aca="false">parametros_recargas!A63</f>
        <v>Clase D 9 l</v>
      </c>
      <c r="B302" s="9" t="str">
        <f aca="false">parametros_recargas!B63</f>
        <v>Clase D</v>
      </c>
      <c r="C302" s="11" t="n">
        <f aca="false">parametros_recargas!C63</f>
        <v>1</v>
      </c>
      <c r="D302" s="21" t="n">
        <f aca="false">datos_base!$K$14*parametros_recargas!$B$46+sobrestock_sustitutos!$K$110/12</f>
        <v>20.5126200279768</v>
      </c>
      <c r="E302" s="21" t="n">
        <f aca="false">datos_base!$K$14*parametros_recargas!$C$46+sobrestock_sustitutos!$K$110/12</f>
        <v>20.5126200279768</v>
      </c>
      <c r="F302" s="21" t="n">
        <f aca="false">datos_base!$K$14*parametros_recargas!$D$46+sobrestock_sustitutos!$K$110/12</f>
        <v>20.5126200279768</v>
      </c>
      <c r="G302" s="21" t="n">
        <f aca="false">datos_base!$K$14*parametros_recargas!$E$46+sobrestock_sustitutos!$K$110/12</f>
        <v>20.5126200279768</v>
      </c>
      <c r="H302" s="21" t="n">
        <f aca="false">datos_base!$K$14*parametros_recargas!$F$46+sobrestock_sustitutos!$K$110/12</f>
        <v>20.5126200279768</v>
      </c>
      <c r="I302" s="21" t="n">
        <f aca="false">datos_base!$K$14*parametros_recargas!$G$46+sobrestock_sustitutos!$K$110/12</f>
        <v>20.5126200279768</v>
      </c>
      <c r="J302" s="21" t="n">
        <f aca="false">datos_base!$K$14*parametros_recargas!$H$46+sobrestock_sustitutos!$K$110/12</f>
        <v>20.5126200279768</v>
      </c>
      <c r="K302" s="21" t="n">
        <f aca="false">datos_base!$K$14*parametros_recargas!$I$46+sobrestock_sustitutos!$K$110/12</f>
        <v>20.5126200279768</v>
      </c>
      <c r="L302" s="21" t="n">
        <f aca="false">datos_base!$K$14*parametros_recargas!$J$46+sobrestock_sustitutos!$K$110/12</f>
        <v>20.5126200279768</v>
      </c>
      <c r="M302" s="21" t="n">
        <f aca="false">datos_base!$K$14*parametros_recargas!$K$46+sobrestock_sustitutos!$K$110/12</f>
        <v>20.5126200279768</v>
      </c>
      <c r="N302" s="21" t="n">
        <f aca="false">datos_base!$K$14*parametros_recargas!$L$46+sobrestock_sustitutos!$K$110/12</f>
        <v>20.5126200279768</v>
      </c>
      <c r="O302" s="21" t="n">
        <f aca="false">datos_base!$K$14*parametros_recargas!$M$46+sobrestock_sustitutos!$K$110/12</f>
        <v>20.5126200279768</v>
      </c>
      <c r="P302" s="7" t="n">
        <f aca="false">SUM(D302:O302)</f>
        <v>246.151440335721</v>
      </c>
      <c r="Q302" s="6" t="n">
        <f aca="false">sobrestock_sustitutos!$K$110</f>
        <v>4</v>
      </c>
    </row>
    <row r="303" customFormat="false" ht="15" hidden="false" customHeight="false" outlineLevel="0" collapsed="false">
      <c r="A303" s="9" t="str">
        <f aca="false">parametros_recargas!A64</f>
        <v>ABC 25 kg s/ruedas</v>
      </c>
      <c r="B303" s="9" t="str">
        <f aca="false">parametros_recargas!B64</f>
        <v>ABC</v>
      </c>
      <c r="C303" s="11" t="n">
        <f aca="false">parametros_recargas!C64</f>
        <v>3</v>
      </c>
      <c r="D303" s="21" t="n">
        <f aca="false">datos_base!$K$15*parametros_recargas!$B$46+sobrestock_sustitutos!$K$111/12</f>
        <v>48.8146776252153</v>
      </c>
      <c r="E303" s="21" t="n">
        <f aca="false">datos_base!$K$15*parametros_recargas!$C$46+sobrestock_sustitutos!$K$111/12</f>
        <v>48.8146776252153</v>
      </c>
      <c r="F303" s="21" t="n">
        <f aca="false">datos_base!$K$15*parametros_recargas!$D$46+sobrestock_sustitutos!$K$111/12</f>
        <v>48.8146776252153</v>
      </c>
      <c r="G303" s="21" t="n">
        <f aca="false">datos_base!$K$15*parametros_recargas!$E$46+sobrestock_sustitutos!$K$111/12</f>
        <v>48.8146776252153</v>
      </c>
      <c r="H303" s="21" t="n">
        <f aca="false">datos_base!$K$15*parametros_recargas!$F$46+sobrestock_sustitutos!$K$111/12</f>
        <v>48.8146776252153</v>
      </c>
      <c r="I303" s="21" t="n">
        <f aca="false">datos_base!$K$15*parametros_recargas!$G$46+sobrestock_sustitutos!$K$111/12</f>
        <v>48.8146776252153</v>
      </c>
      <c r="J303" s="21" t="n">
        <f aca="false">datos_base!$K$15*parametros_recargas!$H$46+sobrestock_sustitutos!$K$111/12</f>
        <v>48.8146776252153</v>
      </c>
      <c r="K303" s="21" t="n">
        <f aca="false">datos_base!$K$15*parametros_recargas!$I$46+sobrestock_sustitutos!$K$111/12</f>
        <v>48.8146776252153</v>
      </c>
      <c r="L303" s="21" t="n">
        <f aca="false">datos_base!$K$15*parametros_recargas!$J$46+sobrestock_sustitutos!$K$111/12</f>
        <v>48.8146776252153</v>
      </c>
      <c r="M303" s="21" t="n">
        <f aca="false">datos_base!$K$15*parametros_recargas!$K$46+sobrestock_sustitutos!$K$111/12</f>
        <v>48.8146776252153</v>
      </c>
      <c r="N303" s="21" t="n">
        <f aca="false">datos_base!$K$15*parametros_recargas!$L$46+sobrestock_sustitutos!$K$111/12</f>
        <v>48.8146776252153</v>
      </c>
      <c r="O303" s="21" t="n">
        <f aca="false">datos_base!$K$15*parametros_recargas!$M$46+sobrestock_sustitutos!$K$111/12</f>
        <v>48.8146776252153</v>
      </c>
      <c r="P303" s="7" t="n">
        <f aca="false">SUM(D303:O303)</f>
        <v>585.776131502584</v>
      </c>
      <c r="Q303" s="6" t="n">
        <f aca="false">sobrestock_sustitutos!$K$111</f>
        <v>8</v>
      </c>
    </row>
    <row r="304" customFormat="false" ht="15" hidden="false" customHeight="false" outlineLevel="0" collapsed="false">
      <c r="A304" s="9" t="str">
        <f aca="false">parametros_recargas!A65</f>
        <v>ABC 50 kg s/ruedas</v>
      </c>
      <c r="B304" s="9" t="str">
        <f aca="false">parametros_recargas!B65</f>
        <v>ABC</v>
      </c>
      <c r="C304" s="11" t="n">
        <f aca="false">parametros_recargas!C65</f>
        <v>3</v>
      </c>
      <c r="D304" s="21" t="n">
        <f aca="false">datos_base!$K$16*parametros_recargas!$B$46+sobrestock_sustitutos!$K$112/12</f>
        <v>107.34229071078</v>
      </c>
      <c r="E304" s="21" t="n">
        <f aca="false">datos_base!$K$16*parametros_recargas!$C$46+sobrestock_sustitutos!$K$112/12</f>
        <v>107.34229071078</v>
      </c>
      <c r="F304" s="21" t="n">
        <f aca="false">datos_base!$K$16*parametros_recargas!$D$46+sobrestock_sustitutos!$K$112/12</f>
        <v>107.34229071078</v>
      </c>
      <c r="G304" s="21" t="n">
        <f aca="false">datos_base!$K$16*parametros_recargas!$E$46+sobrestock_sustitutos!$K$112/12</f>
        <v>107.34229071078</v>
      </c>
      <c r="H304" s="21" t="n">
        <f aca="false">datos_base!$K$16*parametros_recargas!$F$46+sobrestock_sustitutos!$K$112/12</f>
        <v>107.34229071078</v>
      </c>
      <c r="I304" s="21" t="n">
        <f aca="false">datos_base!$K$16*parametros_recargas!$G$46+sobrestock_sustitutos!$K$112/12</f>
        <v>107.34229071078</v>
      </c>
      <c r="J304" s="21" t="n">
        <f aca="false">datos_base!$K$16*parametros_recargas!$H$46+sobrestock_sustitutos!$K$112/12</f>
        <v>107.34229071078</v>
      </c>
      <c r="K304" s="21" t="n">
        <f aca="false">datos_base!$K$16*parametros_recargas!$I$46+sobrestock_sustitutos!$K$112/12</f>
        <v>107.34229071078</v>
      </c>
      <c r="L304" s="21" t="n">
        <f aca="false">datos_base!$K$16*parametros_recargas!$J$46+sobrestock_sustitutos!$K$112/12</f>
        <v>107.34229071078</v>
      </c>
      <c r="M304" s="21" t="n">
        <f aca="false">datos_base!$K$16*parametros_recargas!$K$46+sobrestock_sustitutos!$K$112/12</f>
        <v>107.34229071078</v>
      </c>
      <c r="N304" s="21" t="n">
        <f aca="false">datos_base!$K$16*parametros_recargas!$L$46+sobrestock_sustitutos!$K$112/12</f>
        <v>107.34229071078</v>
      </c>
      <c r="O304" s="21" t="n">
        <f aca="false">datos_base!$K$16*parametros_recargas!$M$46+sobrestock_sustitutos!$K$112/12</f>
        <v>107.34229071078</v>
      </c>
      <c r="P304" s="7" t="n">
        <f aca="false">SUM(D304:O304)</f>
        <v>1288.10748852936</v>
      </c>
      <c r="Q304" s="6" t="n">
        <f aca="false">sobrestock_sustitutos!$K$112</f>
        <v>17</v>
      </c>
    </row>
    <row r="305" customFormat="false" ht="15" hidden="false" customHeight="false" outlineLevel="0" collapsed="false">
      <c r="A305" s="9" t="str">
        <f aca="false">parametros_recargas!A66</f>
        <v>ABC 70 kg s/ruedas</v>
      </c>
      <c r="B305" s="9" t="str">
        <f aca="false">parametros_recargas!B66</f>
        <v>ABC</v>
      </c>
      <c r="C305" s="11" t="n">
        <f aca="false">parametros_recargas!C66</f>
        <v>3</v>
      </c>
      <c r="D305" s="21" t="n">
        <f aca="false">datos_base!$K$17*parametros_recargas!$B$46+sobrestock_sustitutos!$K$113/12</f>
        <v>23.4443785952851</v>
      </c>
      <c r="E305" s="21" t="n">
        <f aca="false">datos_base!$K$17*parametros_recargas!$C$46+sobrestock_sustitutos!$K$113/12</f>
        <v>23.4443785952851</v>
      </c>
      <c r="F305" s="21" t="n">
        <f aca="false">datos_base!$K$17*parametros_recargas!$D$46+sobrestock_sustitutos!$K$113/12</f>
        <v>23.4443785952851</v>
      </c>
      <c r="G305" s="21" t="n">
        <f aca="false">datos_base!$K$17*parametros_recargas!$E$46+sobrestock_sustitutos!$K$113/12</f>
        <v>23.4443785952851</v>
      </c>
      <c r="H305" s="21" t="n">
        <f aca="false">datos_base!$K$17*parametros_recargas!$F$46+sobrestock_sustitutos!$K$113/12</f>
        <v>23.4443785952851</v>
      </c>
      <c r="I305" s="21" t="n">
        <f aca="false">datos_base!$K$17*parametros_recargas!$G$46+sobrestock_sustitutos!$K$113/12</f>
        <v>23.4443785952851</v>
      </c>
      <c r="J305" s="21" t="n">
        <f aca="false">datos_base!$K$17*parametros_recargas!$H$46+sobrestock_sustitutos!$K$113/12</f>
        <v>23.4443785952851</v>
      </c>
      <c r="K305" s="21" t="n">
        <f aca="false">datos_base!$K$17*parametros_recargas!$I$46+sobrestock_sustitutos!$K$113/12</f>
        <v>23.4443785952851</v>
      </c>
      <c r="L305" s="21" t="n">
        <f aca="false">datos_base!$K$17*parametros_recargas!$J$46+sobrestock_sustitutos!$K$113/12</f>
        <v>23.4443785952851</v>
      </c>
      <c r="M305" s="21" t="n">
        <f aca="false">datos_base!$K$17*parametros_recargas!$K$46+sobrestock_sustitutos!$K$113/12</f>
        <v>23.4443785952851</v>
      </c>
      <c r="N305" s="21" t="n">
        <f aca="false">datos_base!$K$17*parametros_recargas!$L$46+sobrestock_sustitutos!$K$113/12</f>
        <v>23.4443785952851</v>
      </c>
      <c r="O305" s="21" t="n">
        <f aca="false">datos_base!$K$17*parametros_recargas!$M$46+sobrestock_sustitutos!$K$113/12</f>
        <v>23.4443785952851</v>
      </c>
      <c r="P305" s="7" t="n">
        <f aca="false">SUM(D305:O305)</f>
        <v>281.332543143421</v>
      </c>
      <c r="Q305" s="6" t="n">
        <f aca="false">sobrestock_sustitutos!$K$113</f>
        <v>4</v>
      </c>
    </row>
    <row r="306" customFormat="false" ht="15" hidden="false" customHeight="false" outlineLevel="0" collapsed="false">
      <c r="A306" s="9" t="str">
        <f aca="false">parametros_recargas!A67</f>
        <v>ABC 100 kg s/ruedas</v>
      </c>
      <c r="B306" s="9" t="str">
        <f aca="false">parametros_recargas!B67</f>
        <v>ABC</v>
      </c>
      <c r="C306" s="11" t="n">
        <f aca="false">parametros_recargas!C67</f>
        <v>3</v>
      </c>
      <c r="D306" s="21" t="n">
        <f aca="false">datos_base!$K$18*parametros_recargas!$B$46+sobrestock_sustitutos!$K$114/12</f>
        <v>15.6573634771612</v>
      </c>
      <c r="E306" s="21" t="n">
        <f aca="false">datos_base!$K$18*parametros_recargas!$C$46+sobrestock_sustitutos!$K$114/12</f>
        <v>15.6573634771612</v>
      </c>
      <c r="F306" s="21" t="n">
        <f aca="false">datos_base!$K$18*parametros_recargas!$D$46+sobrestock_sustitutos!$K$114/12</f>
        <v>15.6573634771612</v>
      </c>
      <c r="G306" s="21" t="n">
        <f aca="false">datos_base!$K$18*parametros_recargas!$E$46+sobrestock_sustitutos!$K$114/12</f>
        <v>15.6573634771612</v>
      </c>
      <c r="H306" s="21" t="n">
        <f aca="false">datos_base!$K$18*parametros_recargas!$F$46+sobrestock_sustitutos!$K$114/12</f>
        <v>15.6573634771612</v>
      </c>
      <c r="I306" s="21" t="n">
        <f aca="false">datos_base!$K$18*parametros_recargas!$G$46+sobrestock_sustitutos!$K$114/12</f>
        <v>15.6573634771612</v>
      </c>
      <c r="J306" s="21" t="n">
        <f aca="false">datos_base!$K$18*parametros_recargas!$H$46+sobrestock_sustitutos!$K$114/12</f>
        <v>15.6573634771612</v>
      </c>
      <c r="K306" s="21" t="n">
        <f aca="false">datos_base!$K$18*parametros_recargas!$I$46+sobrestock_sustitutos!$K$114/12</f>
        <v>15.6573634771612</v>
      </c>
      <c r="L306" s="21" t="n">
        <f aca="false">datos_base!$K$18*parametros_recargas!$J$46+sobrestock_sustitutos!$K$114/12</f>
        <v>15.6573634771612</v>
      </c>
      <c r="M306" s="21" t="n">
        <f aca="false">datos_base!$K$18*parametros_recargas!$K$46+sobrestock_sustitutos!$K$114/12</f>
        <v>15.6573634771612</v>
      </c>
      <c r="N306" s="21" t="n">
        <f aca="false">datos_base!$K$18*parametros_recargas!$L$46+sobrestock_sustitutos!$K$114/12</f>
        <v>15.6573634771612</v>
      </c>
      <c r="O306" s="21" t="n">
        <f aca="false">datos_base!$K$18*parametros_recargas!$M$46+sobrestock_sustitutos!$K$114/12</f>
        <v>15.6573634771612</v>
      </c>
      <c r="P306" s="7" t="n">
        <f aca="false">SUM(D306:O306)</f>
        <v>187.888361725934</v>
      </c>
      <c r="Q306" s="6" t="n">
        <f aca="false">sobrestock_sustitutos!$K$114</f>
        <v>3</v>
      </c>
    </row>
    <row r="307" customFormat="false" ht="15" hidden="false" customHeight="false" outlineLevel="0" collapsed="false">
      <c r="A307" s="4" t="s">
        <v>356</v>
      </c>
      <c r="D307" s="7" t="n">
        <f aca="false">SUM(D290:D306)</f>
        <v>17285.0129101594</v>
      </c>
      <c r="E307" s="7" t="n">
        <f aca="false">SUM(E290:E306)</f>
        <v>17285.0129101594</v>
      </c>
      <c r="F307" s="7" t="n">
        <f aca="false">SUM(F290:F306)</f>
        <v>17285.0129101594</v>
      </c>
      <c r="G307" s="7" t="n">
        <f aca="false">SUM(G290:G306)</f>
        <v>17285.0129101594</v>
      </c>
      <c r="H307" s="7" t="n">
        <f aca="false">SUM(H290:H306)</f>
        <v>17285.0129101594</v>
      </c>
      <c r="I307" s="7" t="n">
        <f aca="false">SUM(I290:I306)</f>
        <v>17285.0129101594</v>
      </c>
      <c r="J307" s="7" t="n">
        <f aca="false">SUM(J290:J306)</f>
        <v>17285.0129101594</v>
      </c>
      <c r="K307" s="7" t="n">
        <f aca="false">SUM(K290:K306)</f>
        <v>17285.0129101594</v>
      </c>
      <c r="L307" s="7" t="n">
        <f aca="false">SUM(L290:L306)</f>
        <v>17285.0129101594</v>
      </c>
      <c r="M307" s="7" t="n">
        <f aca="false">SUM(M290:M306)</f>
        <v>17285.0129101594</v>
      </c>
      <c r="N307" s="7" t="n">
        <f aca="false">SUM(N290:N306)</f>
        <v>17285.0129101594</v>
      </c>
      <c r="O307" s="7" t="n">
        <f aca="false">SUM(O290:O306)</f>
        <v>17285.0129101594</v>
      </c>
      <c r="P307" s="7" t="n">
        <f aca="false">SUM(P290:P306)</f>
        <v>207420.154921913</v>
      </c>
    </row>
    <row r="308" customFormat="false" ht="15" hidden="false" customHeight="false" outlineLevel="0" collapsed="false">
      <c r="A308" s="4" t="s">
        <v>357</v>
      </c>
    </row>
    <row r="309" customFormat="false" ht="15" hidden="false" customHeight="false" outlineLevel="0" collapsed="false">
      <c r="A309" s="5" t="s">
        <v>165</v>
      </c>
      <c r="D309" s="21" t="n">
        <f aca="false">SUMPRODUCT(($B$290:$B$306=$A309)*D$290:D$306*$C$290:$C$306)</f>
        <v>15440.8398943518</v>
      </c>
      <c r="E309" s="21" t="n">
        <f aca="false">SUMPRODUCT(($B$290:$B$306=$A309)*E$290:E$306*$C$290:$C$306)</f>
        <v>15440.8398943518</v>
      </c>
      <c r="F309" s="21" t="n">
        <f aca="false">SUMPRODUCT(($B$290:$B$306=$A309)*F$290:F$306*$C$290:$C$306)</f>
        <v>15440.8398943518</v>
      </c>
      <c r="G309" s="21" t="n">
        <f aca="false">SUMPRODUCT(($B$290:$B$306=$A309)*G$290:G$306*$C$290:$C$306)</f>
        <v>15440.8398943518</v>
      </c>
      <c r="H309" s="21" t="n">
        <f aca="false">SUMPRODUCT(($B$290:$B$306=$A309)*H$290:H$306*$C$290:$C$306)</f>
        <v>15440.8398943518</v>
      </c>
      <c r="I309" s="21" t="n">
        <f aca="false">SUMPRODUCT(($B$290:$B$306=$A309)*I$290:I$306*$C$290:$C$306)</f>
        <v>15440.8398943518</v>
      </c>
      <c r="J309" s="21" t="n">
        <f aca="false">SUMPRODUCT(($B$290:$B$306=$A309)*J$290:J$306*$C$290:$C$306)</f>
        <v>15440.8398943518</v>
      </c>
      <c r="K309" s="21" t="n">
        <f aca="false">SUMPRODUCT(($B$290:$B$306=$A309)*K$290:K$306*$C$290:$C$306)</f>
        <v>15440.8398943518</v>
      </c>
      <c r="L309" s="21" t="n">
        <f aca="false">SUMPRODUCT(($B$290:$B$306=$A309)*L$290:L$306*$C$290:$C$306)</f>
        <v>15440.8398943518</v>
      </c>
      <c r="M309" s="21" t="n">
        <f aca="false">SUMPRODUCT(($B$290:$B$306=$A309)*M$290:M$306*$C$290:$C$306)</f>
        <v>15440.8398943518</v>
      </c>
      <c r="N309" s="21" t="n">
        <f aca="false">SUMPRODUCT(($B$290:$B$306=$A309)*N$290:N$306*$C$290:$C$306)</f>
        <v>15440.8398943518</v>
      </c>
      <c r="O309" s="21" t="n">
        <f aca="false">SUMPRODUCT(($B$290:$B$306=$A309)*O$290:O$306*$C$290:$C$306)</f>
        <v>15440.8398943518</v>
      </c>
      <c r="P309" s="21" t="n">
        <f aca="false">SUMPRODUCT(($B$290:$B$306=$A309)*P$290:P$306*$C$290:$C$306)</f>
        <v>185290.078732221</v>
      </c>
    </row>
    <row r="310" customFormat="false" ht="15" hidden="false" customHeight="false" outlineLevel="0" collapsed="false">
      <c r="A310" s="5" t="s">
        <v>171</v>
      </c>
      <c r="D310" s="21" t="n">
        <f aca="false">SUMPRODUCT(($B$290:$B$306=$A310)*D$290:D$306*$C$290:$C$306)</f>
        <v>22.758230117595</v>
      </c>
      <c r="E310" s="21" t="n">
        <f aca="false">SUMPRODUCT(($B$290:$B$306=$A310)*E$290:E$306*$C$290:$C$306)</f>
        <v>22.758230117595</v>
      </c>
      <c r="F310" s="21" t="n">
        <f aca="false">SUMPRODUCT(($B$290:$B$306=$A310)*F$290:F$306*$C$290:$C$306)</f>
        <v>22.758230117595</v>
      </c>
      <c r="G310" s="21" t="n">
        <f aca="false">SUMPRODUCT(($B$290:$B$306=$A310)*G$290:G$306*$C$290:$C$306)</f>
        <v>22.758230117595</v>
      </c>
      <c r="H310" s="21" t="n">
        <f aca="false">SUMPRODUCT(($B$290:$B$306=$A310)*H$290:H$306*$C$290:$C$306)</f>
        <v>22.758230117595</v>
      </c>
      <c r="I310" s="21" t="n">
        <f aca="false">SUMPRODUCT(($B$290:$B$306=$A310)*I$290:I$306*$C$290:$C$306)</f>
        <v>22.758230117595</v>
      </c>
      <c r="J310" s="21" t="n">
        <f aca="false">SUMPRODUCT(($B$290:$B$306=$A310)*J$290:J$306*$C$290:$C$306)</f>
        <v>22.758230117595</v>
      </c>
      <c r="K310" s="21" t="n">
        <f aca="false">SUMPRODUCT(($B$290:$B$306=$A310)*K$290:K$306*$C$290:$C$306)</f>
        <v>22.758230117595</v>
      </c>
      <c r="L310" s="21" t="n">
        <f aca="false">SUMPRODUCT(($B$290:$B$306=$A310)*L$290:L$306*$C$290:$C$306)</f>
        <v>22.758230117595</v>
      </c>
      <c r="M310" s="21" t="n">
        <f aca="false">SUMPRODUCT(($B$290:$B$306=$A310)*M$290:M$306*$C$290:$C$306)</f>
        <v>22.758230117595</v>
      </c>
      <c r="N310" s="21" t="n">
        <f aca="false">SUMPRODUCT(($B$290:$B$306=$A310)*N$290:N$306*$C$290:$C$306)</f>
        <v>22.758230117595</v>
      </c>
      <c r="O310" s="21" t="n">
        <f aca="false">SUMPRODUCT(($B$290:$B$306=$A310)*O$290:O$306*$C$290:$C$306)</f>
        <v>22.758230117595</v>
      </c>
      <c r="P310" s="21" t="n">
        <f aca="false">SUMPRODUCT(($B$290:$B$306=$A310)*P$290:P$306*$C$290:$C$306)</f>
        <v>273.09876141114</v>
      </c>
    </row>
    <row r="311" customFormat="false" ht="15" hidden="false" customHeight="false" outlineLevel="0" collapsed="false">
      <c r="A311" s="5" t="s">
        <v>177</v>
      </c>
      <c r="D311" s="21" t="n">
        <f aca="false">SUMPRODUCT(($B$290:$B$306=$A311)*D$290:D$306*$C$290:$C$306)</f>
        <v>20.5126200279768</v>
      </c>
      <c r="E311" s="21" t="n">
        <f aca="false">SUMPRODUCT(($B$290:$B$306=$A311)*E$290:E$306*$C$290:$C$306)</f>
        <v>20.5126200279768</v>
      </c>
      <c r="F311" s="21" t="n">
        <f aca="false">SUMPRODUCT(($B$290:$B$306=$A311)*F$290:F$306*$C$290:$C$306)</f>
        <v>20.5126200279768</v>
      </c>
      <c r="G311" s="21" t="n">
        <f aca="false">SUMPRODUCT(($B$290:$B$306=$A311)*G$290:G$306*$C$290:$C$306)</f>
        <v>20.5126200279768</v>
      </c>
      <c r="H311" s="21" t="n">
        <f aca="false">SUMPRODUCT(($B$290:$B$306=$A311)*H$290:H$306*$C$290:$C$306)</f>
        <v>20.5126200279768</v>
      </c>
      <c r="I311" s="21" t="n">
        <f aca="false">SUMPRODUCT(($B$290:$B$306=$A311)*I$290:I$306*$C$290:$C$306)</f>
        <v>20.5126200279768</v>
      </c>
      <c r="J311" s="21" t="n">
        <f aca="false">SUMPRODUCT(($B$290:$B$306=$A311)*J$290:J$306*$C$290:$C$306)</f>
        <v>20.5126200279768</v>
      </c>
      <c r="K311" s="21" t="n">
        <f aca="false">SUMPRODUCT(($B$290:$B$306=$A311)*K$290:K$306*$C$290:$C$306)</f>
        <v>20.5126200279768</v>
      </c>
      <c r="L311" s="21" t="n">
        <f aca="false">SUMPRODUCT(($B$290:$B$306=$A311)*L$290:L$306*$C$290:$C$306)</f>
        <v>20.5126200279768</v>
      </c>
      <c r="M311" s="21" t="n">
        <f aca="false">SUMPRODUCT(($B$290:$B$306=$A311)*M$290:M$306*$C$290:$C$306)</f>
        <v>20.5126200279768</v>
      </c>
      <c r="N311" s="21" t="n">
        <f aca="false">SUMPRODUCT(($B$290:$B$306=$A311)*N$290:N$306*$C$290:$C$306)</f>
        <v>20.5126200279768</v>
      </c>
      <c r="O311" s="21" t="n">
        <f aca="false">SUMPRODUCT(($B$290:$B$306=$A311)*O$290:O$306*$C$290:$C$306)</f>
        <v>20.5126200279768</v>
      </c>
      <c r="P311" s="21" t="n">
        <f aca="false">SUMPRODUCT(($B$290:$B$306=$A311)*P$290:P$306*$C$290:$C$306)</f>
        <v>246.151440335721</v>
      </c>
    </row>
    <row r="312" customFormat="false" ht="15" hidden="false" customHeight="false" outlineLevel="0" collapsed="false">
      <c r="A312" s="5" t="s">
        <v>168</v>
      </c>
      <c r="D312" s="21" t="n">
        <f aca="false">SUMPRODUCT(($B$290:$B$306=$A312)*D$290:D$306*$C$290:$C$306)</f>
        <v>395.345268140714</v>
      </c>
      <c r="E312" s="21" t="n">
        <f aca="false">SUMPRODUCT(($B$290:$B$306=$A312)*E$290:E$306*$C$290:$C$306)</f>
        <v>395.345268140714</v>
      </c>
      <c r="F312" s="21" t="n">
        <f aca="false">SUMPRODUCT(($B$290:$B$306=$A312)*F$290:F$306*$C$290:$C$306)</f>
        <v>395.345268140714</v>
      </c>
      <c r="G312" s="21" t="n">
        <f aca="false">SUMPRODUCT(($B$290:$B$306=$A312)*G$290:G$306*$C$290:$C$306)</f>
        <v>395.345268140714</v>
      </c>
      <c r="H312" s="21" t="n">
        <f aca="false">SUMPRODUCT(($B$290:$B$306=$A312)*H$290:H$306*$C$290:$C$306)</f>
        <v>395.345268140714</v>
      </c>
      <c r="I312" s="21" t="n">
        <f aca="false">SUMPRODUCT(($B$290:$B$306=$A312)*I$290:I$306*$C$290:$C$306)</f>
        <v>395.345268140714</v>
      </c>
      <c r="J312" s="21" t="n">
        <f aca="false">SUMPRODUCT(($B$290:$B$306=$A312)*J$290:J$306*$C$290:$C$306)</f>
        <v>395.345268140714</v>
      </c>
      <c r="K312" s="21" t="n">
        <f aca="false">SUMPRODUCT(($B$290:$B$306=$A312)*K$290:K$306*$C$290:$C$306)</f>
        <v>395.345268140714</v>
      </c>
      <c r="L312" s="21" t="n">
        <f aca="false">SUMPRODUCT(($B$290:$B$306=$A312)*L$290:L$306*$C$290:$C$306)</f>
        <v>395.345268140714</v>
      </c>
      <c r="M312" s="21" t="n">
        <f aca="false">SUMPRODUCT(($B$290:$B$306=$A312)*M$290:M$306*$C$290:$C$306)</f>
        <v>395.345268140714</v>
      </c>
      <c r="N312" s="21" t="n">
        <f aca="false">SUMPRODUCT(($B$290:$B$306=$A312)*N$290:N$306*$C$290:$C$306)</f>
        <v>395.345268140714</v>
      </c>
      <c r="O312" s="21" t="n">
        <f aca="false">SUMPRODUCT(($B$290:$B$306=$A312)*O$290:O$306*$C$290:$C$306)</f>
        <v>395.345268140714</v>
      </c>
      <c r="P312" s="21" t="n">
        <f aca="false">SUMPRODUCT(($B$290:$B$306=$A312)*P$290:P$306*$C$290:$C$306)</f>
        <v>4744.14321768856</v>
      </c>
    </row>
    <row r="313" customFormat="false" ht="15" hidden="false" customHeight="false" outlineLevel="0" collapsed="false">
      <c r="A313" s="5" t="s">
        <v>169</v>
      </c>
      <c r="D313" s="21" t="n">
        <f aca="false">SUMPRODUCT(($B$290:$B$306=$A313)*D$290:D$306*$C$290:$C$306)</f>
        <v>193.251127371667</v>
      </c>
      <c r="E313" s="21" t="n">
        <f aca="false">SUMPRODUCT(($B$290:$B$306=$A313)*E$290:E$306*$C$290:$C$306)</f>
        <v>193.251127371667</v>
      </c>
      <c r="F313" s="21" t="n">
        <f aca="false">SUMPRODUCT(($B$290:$B$306=$A313)*F$290:F$306*$C$290:$C$306)</f>
        <v>193.251127371667</v>
      </c>
      <c r="G313" s="21" t="n">
        <f aca="false">SUMPRODUCT(($B$290:$B$306=$A313)*G$290:G$306*$C$290:$C$306)</f>
        <v>193.251127371667</v>
      </c>
      <c r="H313" s="21" t="n">
        <f aca="false">SUMPRODUCT(($B$290:$B$306=$A313)*H$290:H$306*$C$290:$C$306)</f>
        <v>193.251127371667</v>
      </c>
      <c r="I313" s="21" t="n">
        <f aca="false">SUMPRODUCT(($B$290:$B$306=$A313)*I$290:I$306*$C$290:$C$306)</f>
        <v>193.251127371667</v>
      </c>
      <c r="J313" s="21" t="n">
        <f aca="false">SUMPRODUCT(($B$290:$B$306=$A313)*J$290:J$306*$C$290:$C$306)</f>
        <v>193.251127371667</v>
      </c>
      <c r="K313" s="21" t="n">
        <f aca="false">SUMPRODUCT(($B$290:$B$306=$A313)*K$290:K$306*$C$290:$C$306)</f>
        <v>193.251127371667</v>
      </c>
      <c r="L313" s="21" t="n">
        <f aca="false">SUMPRODUCT(($B$290:$B$306=$A313)*L$290:L$306*$C$290:$C$306)</f>
        <v>193.251127371667</v>
      </c>
      <c r="M313" s="21" t="n">
        <f aca="false">SUMPRODUCT(($B$290:$B$306=$A313)*M$290:M$306*$C$290:$C$306)</f>
        <v>193.251127371667</v>
      </c>
      <c r="N313" s="21" t="n">
        <f aca="false">SUMPRODUCT(($B$290:$B$306=$A313)*N$290:N$306*$C$290:$C$306)</f>
        <v>193.251127371667</v>
      </c>
      <c r="O313" s="21" t="n">
        <f aca="false">SUMPRODUCT(($B$290:$B$306=$A313)*O$290:O$306*$C$290:$C$306)</f>
        <v>193.251127371667</v>
      </c>
      <c r="P313" s="21" t="n">
        <f aca="false">SUMPRODUCT(($B$290:$B$306=$A313)*P$290:P$306*$C$290:$C$306)</f>
        <v>2319.01352846</v>
      </c>
    </row>
    <row r="314" customFormat="false" ht="15" hidden="false" customHeight="false" outlineLevel="0" collapsed="false">
      <c r="A314" s="5" t="s">
        <v>172</v>
      </c>
      <c r="D314" s="21" t="n">
        <f aca="false">SUMPRODUCT(($B$290:$B$306=$A314)*D$290:D$306*$C$290:$C$306)</f>
        <v>194.999506120135</v>
      </c>
      <c r="E314" s="21" t="n">
        <f aca="false">SUMPRODUCT(($B$290:$B$306=$A314)*E$290:E$306*$C$290:$C$306)</f>
        <v>194.999506120135</v>
      </c>
      <c r="F314" s="21" t="n">
        <f aca="false">SUMPRODUCT(($B$290:$B$306=$A314)*F$290:F$306*$C$290:$C$306)</f>
        <v>194.999506120135</v>
      </c>
      <c r="G314" s="21" t="n">
        <f aca="false">SUMPRODUCT(($B$290:$B$306=$A314)*G$290:G$306*$C$290:$C$306)</f>
        <v>194.999506120135</v>
      </c>
      <c r="H314" s="21" t="n">
        <f aca="false">SUMPRODUCT(($B$290:$B$306=$A314)*H$290:H$306*$C$290:$C$306)</f>
        <v>194.999506120135</v>
      </c>
      <c r="I314" s="21" t="n">
        <f aca="false">SUMPRODUCT(($B$290:$B$306=$A314)*I$290:I$306*$C$290:$C$306)</f>
        <v>194.999506120135</v>
      </c>
      <c r="J314" s="21" t="n">
        <f aca="false">SUMPRODUCT(($B$290:$B$306=$A314)*J$290:J$306*$C$290:$C$306)</f>
        <v>194.999506120135</v>
      </c>
      <c r="K314" s="21" t="n">
        <f aca="false">SUMPRODUCT(($B$290:$B$306=$A314)*K$290:K$306*$C$290:$C$306)</f>
        <v>194.999506120135</v>
      </c>
      <c r="L314" s="21" t="n">
        <f aca="false">SUMPRODUCT(($B$290:$B$306=$A314)*L$290:L$306*$C$290:$C$306)</f>
        <v>194.999506120135</v>
      </c>
      <c r="M314" s="21" t="n">
        <f aca="false">SUMPRODUCT(($B$290:$B$306=$A314)*M$290:M$306*$C$290:$C$306)</f>
        <v>194.999506120135</v>
      </c>
      <c r="N314" s="21" t="n">
        <f aca="false">SUMPRODUCT(($B$290:$B$306=$A314)*N$290:N$306*$C$290:$C$306)</f>
        <v>194.999506120135</v>
      </c>
      <c r="O314" s="21" t="n">
        <f aca="false">SUMPRODUCT(($B$290:$B$306=$A314)*O$290:O$306*$C$290:$C$306)</f>
        <v>194.999506120135</v>
      </c>
      <c r="P314" s="21" t="n">
        <f aca="false">SUMPRODUCT(($B$290:$B$306=$A314)*P$290:P$306*$C$290:$C$306)</f>
        <v>2339.99407344162</v>
      </c>
    </row>
    <row r="315" customFormat="false" ht="15" hidden="false" customHeight="false" outlineLevel="0" collapsed="false">
      <c r="A315" s="5" t="s">
        <v>173</v>
      </c>
      <c r="D315" s="21" t="n">
        <f aca="false">SUMPRODUCT(($B$290:$B$306=$A315)*D$290:D$306*$C$290:$C$306)</f>
        <v>1426.75948600652</v>
      </c>
      <c r="E315" s="21" t="n">
        <f aca="false">SUMPRODUCT(($B$290:$B$306=$A315)*E$290:E$306*$C$290:$C$306)</f>
        <v>1426.75948600652</v>
      </c>
      <c r="F315" s="21" t="n">
        <f aca="false">SUMPRODUCT(($B$290:$B$306=$A315)*F$290:F$306*$C$290:$C$306)</f>
        <v>1426.75948600652</v>
      </c>
      <c r="G315" s="21" t="n">
        <f aca="false">SUMPRODUCT(($B$290:$B$306=$A315)*G$290:G$306*$C$290:$C$306)</f>
        <v>1426.75948600652</v>
      </c>
      <c r="H315" s="21" t="n">
        <f aca="false">SUMPRODUCT(($B$290:$B$306=$A315)*H$290:H$306*$C$290:$C$306)</f>
        <v>1426.75948600652</v>
      </c>
      <c r="I315" s="21" t="n">
        <f aca="false">SUMPRODUCT(($B$290:$B$306=$A315)*I$290:I$306*$C$290:$C$306)</f>
        <v>1426.75948600652</v>
      </c>
      <c r="J315" s="21" t="n">
        <f aca="false">SUMPRODUCT(($B$290:$B$306=$A315)*J$290:J$306*$C$290:$C$306)</f>
        <v>1426.75948600652</v>
      </c>
      <c r="K315" s="21" t="n">
        <f aca="false">SUMPRODUCT(($B$290:$B$306=$A315)*K$290:K$306*$C$290:$C$306)</f>
        <v>1426.75948600652</v>
      </c>
      <c r="L315" s="21" t="n">
        <f aca="false">SUMPRODUCT(($B$290:$B$306=$A315)*L$290:L$306*$C$290:$C$306)</f>
        <v>1426.75948600652</v>
      </c>
      <c r="M315" s="21" t="n">
        <f aca="false">SUMPRODUCT(($B$290:$B$306=$A315)*M$290:M$306*$C$290:$C$306)</f>
        <v>1426.75948600652</v>
      </c>
      <c r="N315" s="21" t="n">
        <f aca="false">SUMPRODUCT(($B$290:$B$306=$A315)*N$290:N$306*$C$290:$C$306)</f>
        <v>1426.75948600652</v>
      </c>
      <c r="O315" s="21" t="n">
        <f aca="false">SUMPRODUCT(($B$290:$B$306=$A315)*O$290:O$306*$C$290:$C$306)</f>
        <v>1426.75948600652</v>
      </c>
      <c r="P315" s="21" t="n">
        <f aca="false">SUMPRODUCT(($B$290:$B$306=$A315)*P$290:P$306*$C$290:$C$306)</f>
        <v>17121.1138320783</v>
      </c>
    </row>
    <row r="316" customFormat="false" ht="15" hidden="false" customHeight="false" outlineLevel="0" collapsed="false">
      <c r="A316" s="5" t="s">
        <v>176</v>
      </c>
      <c r="D316" s="21" t="n">
        <f aca="false">SUMPRODUCT(($B$290:$B$306=$A316)*D$290:D$306*$C$290:$C$306)</f>
        <v>59.6930371761382</v>
      </c>
      <c r="E316" s="21" t="n">
        <f aca="false">SUMPRODUCT(($B$290:$B$306=$A316)*E$290:E$306*$C$290:$C$306)</f>
        <v>59.6930371761382</v>
      </c>
      <c r="F316" s="21" t="n">
        <f aca="false">SUMPRODUCT(($B$290:$B$306=$A316)*F$290:F$306*$C$290:$C$306)</f>
        <v>59.6930371761382</v>
      </c>
      <c r="G316" s="21" t="n">
        <f aca="false">SUMPRODUCT(($B$290:$B$306=$A316)*G$290:G$306*$C$290:$C$306)</f>
        <v>59.6930371761382</v>
      </c>
      <c r="H316" s="21" t="n">
        <f aca="false">SUMPRODUCT(($B$290:$B$306=$A316)*H$290:H$306*$C$290:$C$306)</f>
        <v>59.6930371761382</v>
      </c>
      <c r="I316" s="21" t="n">
        <f aca="false">SUMPRODUCT(($B$290:$B$306=$A316)*I$290:I$306*$C$290:$C$306)</f>
        <v>59.6930371761382</v>
      </c>
      <c r="J316" s="21" t="n">
        <f aca="false">SUMPRODUCT(($B$290:$B$306=$A316)*J$290:J$306*$C$290:$C$306)</f>
        <v>59.6930371761382</v>
      </c>
      <c r="K316" s="21" t="n">
        <f aca="false">SUMPRODUCT(($B$290:$B$306=$A316)*K$290:K$306*$C$290:$C$306)</f>
        <v>59.6930371761382</v>
      </c>
      <c r="L316" s="21" t="n">
        <f aca="false">SUMPRODUCT(($B$290:$B$306=$A316)*L$290:L$306*$C$290:$C$306)</f>
        <v>59.6930371761382</v>
      </c>
      <c r="M316" s="21" t="n">
        <f aca="false">SUMPRODUCT(($B$290:$B$306=$A316)*M$290:M$306*$C$290:$C$306)</f>
        <v>59.6930371761382</v>
      </c>
      <c r="N316" s="21" t="n">
        <f aca="false">SUMPRODUCT(($B$290:$B$306=$A316)*N$290:N$306*$C$290:$C$306)</f>
        <v>59.6930371761382</v>
      </c>
      <c r="O316" s="21" t="n">
        <f aca="false">SUMPRODUCT(($B$290:$B$306=$A316)*O$290:O$306*$C$290:$C$306)</f>
        <v>59.6930371761382</v>
      </c>
      <c r="P316" s="21" t="n">
        <f aca="false">SUMPRODUCT(($B$290:$B$306=$A316)*P$290:P$306*$C$290:$C$306)</f>
        <v>716.316446113659</v>
      </c>
    </row>
    <row r="317" customFormat="false" ht="15" hidden="false" customHeight="false" outlineLevel="0" collapsed="false">
      <c r="A317" s="4" t="s">
        <v>358</v>
      </c>
      <c r="D317" s="22" t="n">
        <f aca="false">SUMPRODUCT(D$290:D$306*parametros_recargas!$D$51:$D$67)</f>
        <v>598.355119562179</v>
      </c>
      <c r="E317" s="22" t="n">
        <f aca="false">SUMPRODUCT(E$290:E$306*parametros_recargas!$D$51:$D$67)</f>
        <v>598.355119562179</v>
      </c>
      <c r="F317" s="22" t="n">
        <f aca="false">SUMPRODUCT(F$290:F$306*parametros_recargas!$D$51:$D$67)</f>
        <v>598.355119562179</v>
      </c>
      <c r="G317" s="22" t="n">
        <f aca="false">SUMPRODUCT(G$290:G$306*parametros_recargas!$D$51:$D$67)</f>
        <v>598.355119562179</v>
      </c>
      <c r="H317" s="22" t="n">
        <f aca="false">SUMPRODUCT(H$290:H$306*parametros_recargas!$D$51:$D$67)</f>
        <v>598.355119562179</v>
      </c>
      <c r="I317" s="22" t="n">
        <f aca="false">SUMPRODUCT(I$290:I$306*parametros_recargas!$D$51:$D$67)</f>
        <v>598.355119562179</v>
      </c>
      <c r="J317" s="22" t="n">
        <f aca="false">SUMPRODUCT(J$290:J$306*parametros_recargas!$D$51:$D$67)</f>
        <v>598.355119562179</v>
      </c>
      <c r="K317" s="22" t="n">
        <f aca="false">SUMPRODUCT(K$290:K$306*parametros_recargas!$D$51:$D$67)</f>
        <v>598.355119562179</v>
      </c>
      <c r="L317" s="22" t="n">
        <f aca="false">SUMPRODUCT(L$290:L$306*parametros_recargas!$D$51:$D$67)</f>
        <v>598.355119562179</v>
      </c>
      <c r="M317" s="22" t="n">
        <f aca="false">SUMPRODUCT(M$290:M$306*parametros_recargas!$D$51:$D$67)</f>
        <v>598.355119562179</v>
      </c>
      <c r="N317" s="22" t="n">
        <f aca="false">SUMPRODUCT(N$290:N$306*parametros_recargas!$D$51:$D$67)</f>
        <v>598.355119562179</v>
      </c>
      <c r="O317" s="22" t="n">
        <f aca="false">SUMPRODUCT(O$290:O$306*parametros_recargas!$D$51:$D$67)</f>
        <v>598.355119562179</v>
      </c>
      <c r="P317" s="22" t="n">
        <f aca="false">SUMPRODUCT(P$290:P$306*parametros_recargas!$D$51:$D$67)</f>
        <v>7180.26143474615</v>
      </c>
    </row>
    <row r="318" customFormat="false" ht="15" hidden="false" customHeight="false" outlineLevel="0" collapsed="false">
      <c r="A318" s="4" t="s">
        <v>359</v>
      </c>
      <c r="D318" s="22" t="n">
        <f aca="false">SUMPRODUCT(sobrestock_sustitutos!$K$73:$K$89*(sobrestock_sustitutos!$F$30:$F$46="Fábrica: cilindro vacío")*parametros_recargas!$C$51:$C$67*parametros_recargas!$B$107:$B$123)</f>
        <v>13.9468</v>
      </c>
      <c r="E318" s="22" t="n">
        <f aca="false">SUMPRODUCT(sobrestock_sustitutos!$K$73:$K$89*(sobrestock_sustitutos!$F$30:$F$46="Fábrica: cilindro vacío")*parametros_recargas!$C$51:$C$67*parametros_recargas!$C$107:$C$123)</f>
        <v>11.2532</v>
      </c>
      <c r="F318" s="22" t="n">
        <f aca="false">SUMPRODUCT(sobrestock_sustitutos!$K$73:$K$89*(sobrestock_sustitutos!$F$30:$F$46="Fábrica: cilindro vacío")*parametros_recargas!$C$51:$C$67*parametros_recargas!$D$107:$D$123)</f>
        <v>12.0976</v>
      </c>
      <c r="G318" s="22" t="n">
        <f aca="false">SUMPRODUCT(sobrestock_sustitutos!$K$73:$K$89*(sobrestock_sustitutos!$F$30:$F$46="Fábrica: cilindro vacío")*parametros_recargas!$C$51:$C$67*parametros_recargas!$E$107:$E$123)</f>
        <v>12.0976</v>
      </c>
      <c r="H318" s="22" t="n">
        <f aca="false">SUMPRODUCT(sobrestock_sustitutos!$K$73:$K$89*(sobrestock_sustitutos!$F$30:$F$46="Fábrica: cilindro vacío")*parametros_recargas!$C$51:$C$67*parametros_recargas!$F$107:$F$123)</f>
        <v>11.4584</v>
      </c>
      <c r="I318" s="22" t="n">
        <f aca="false">SUMPRODUCT(sobrestock_sustitutos!$K$73:$K$89*(sobrestock_sustitutos!$F$30:$F$46="Fábrica: cilindro vacío")*parametros_recargas!$C$51:$C$67*parametros_recargas!$G$107:$G$123)</f>
        <v>10.6824</v>
      </c>
      <c r="J318" s="22" t="n">
        <f aca="false">SUMPRODUCT(sobrestock_sustitutos!$K$73:$K$89*(sobrestock_sustitutos!$F$30:$F$46="Fábrica: cilindro vacío")*parametros_recargas!$C$51:$C$67*parametros_recargas!$H$107:$H$123)</f>
        <v>11.4584</v>
      </c>
      <c r="K318" s="22" t="n">
        <f aca="false">SUMPRODUCT(sobrestock_sustitutos!$K$73:$K$89*(sobrestock_sustitutos!$F$30:$F$46="Fábrica: cilindro vacío")*parametros_recargas!$C$51:$C$67*parametros_recargas!$I$107:$I$123)</f>
        <v>11.4584</v>
      </c>
      <c r="L318" s="22" t="n">
        <f aca="false">SUMPRODUCT(sobrestock_sustitutos!$K$73:$K$89*(sobrestock_sustitutos!$F$30:$F$46="Fábrica: cilindro vacío")*parametros_recargas!$C$51:$C$67*parametros_recargas!$J$107:$J$123)</f>
        <v>11.39</v>
      </c>
      <c r="M318" s="22" t="n">
        <f aca="false">SUMPRODUCT(sobrestock_sustitutos!$K$73:$K$89*(sobrestock_sustitutos!$F$30:$F$46="Fábrica: cilindro vacío")*parametros_recargas!$C$51:$C$67*parametros_recargas!$K$107:$K$123)</f>
        <v>10.614</v>
      </c>
      <c r="N318" s="22" t="n">
        <f aca="false">SUMPRODUCT(sobrestock_sustitutos!$K$73:$K$89*(sobrestock_sustitutos!$F$30:$F$46="Fábrica: cilindro vacío")*parametros_recargas!$C$51:$C$67*parametros_recargas!$L$107:$L$123)</f>
        <v>9.9064</v>
      </c>
      <c r="O318" s="22" t="n">
        <f aca="false">SUMPRODUCT(sobrestock_sustitutos!$K$73:$K$89*(sobrestock_sustitutos!$F$30:$F$46="Fábrica: cilindro vacío")*parametros_recargas!$C$51:$C$67*parametros_recargas!$M$107:$M$123)</f>
        <v>15.1568</v>
      </c>
      <c r="P318" s="7" t="n">
        <f aca="false">SUM(D318:O318)</f>
        <v>141.52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3" t="s">
        <v>360</v>
      </c>
      <c r="B1" s="3" t="s">
        <v>147</v>
      </c>
      <c r="C1" s="3" t="s">
        <v>148</v>
      </c>
      <c r="D1" s="3" t="s">
        <v>149</v>
      </c>
      <c r="E1" s="3" t="s">
        <v>150</v>
      </c>
      <c r="F1" s="3" t="s">
        <v>151</v>
      </c>
      <c r="G1" s="3" t="s">
        <v>152</v>
      </c>
      <c r="H1" s="3" t="s">
        <v>153</v>
      </c>
      <c r="I1" s="3" t="s">
        <v>154</v>
      </c>
      <c r="J1" s="3" t="s">
        <v>155</v>
      </c>
      <c r="K1" s="3" t="s">
        <v>156</v>
      </c>
      <c r="L1" s="3" t="s">
        <v>157</v>
      </c>
      <c r="M1" s="3" t="s">
        <v>158</v>
      </c>
      <c r="N1" s="3" t="s">
        <v>361</v>
      </c>
      <c r="O1" s="3" t="s">
        <v>362</v>
      </c>
      <c r="P1" s="3" t="s">
        <v>363</v>
      </c>
    </row>
    <row r="2" customFormat="false" ht="15" hidden="false" customHeight="false" outlineLevel="0" collapsed="false">
      <c r="A2" s="9" t="str">
        <f aca="false">parametros_recargas!$B$72</f>
        <v>Recepción y registro</v>
      </c>
      <c r="B2" s="21" t="n">
        <f aca="false">parametros_recargas!$E$72*'Plan mensual'!D21+parametros_recargas!$F$72*'Plan mensual'!D22+parametros_recargas!$G$72*'Plan mensual'!D23+parametros_recargas!$H$72*'Plan mensual'!D24+parametros_recargas!$I$72*'Plan mensual'!D25+parametros_recargas!$J$72*'Plan mensual'!D26+parametros_recargas!$K$72*'Plan mensual'!D27+parametros_recargas!$L$72*'Plan mensual'!D28+parametros_recargas!$M$72*'Plan mensual'!D30</f>
        <v>326.096576480646</v>
      </c>
      <c r="C2" s="21" t="n">
        <f aca="false">parametros_recargas!$E$72*'Plan mensual'!E21+parametros_recargas!$F$72*'Plan mensual'!E22+parametros_recargas!$G$72*'Plan mensual'!E23+parametros_recargas!$H$72*'Plan mensual'!E24+parametros_recargas!$I$72*'Plan mensual'!E25+parametros_recargas!$J$72*'Plan mensual'!E26+parametros_recargas!$K$72*'Plan mensual'!E27+parametros_recargas!$L$72*'Plan mensual'!E28+parametros_recargas!$M$72*'Plan mensual'!E30</f>
        <v>325.596576480646</v>
      </c>
      <c r="D2" s="21" t="n">
        <f aca="false">parametros_recargas!$E$72*'Plan mensual'!F21+parametros_recargas!$F$72*'Plan mensual'!F22+parametros_recargas!$G$72*'Plan mensual'!F23+parametros_recargas!$H$72*'Plan mensual'!F24+parametros_recargas!$I$72*'Plan mensual'!F25+parametros_recargas!$J$72*'Plan mensual'!F26+parametros_recargas!$K$72*'Plan mensual'!F27+parametros_recargas!$L$72*'Plan mensual'!F28+parametros_recargas!$M$72*'Plan mensual'!F30</f>
        <v>325.871576480646</v>
      </c>
      <c r="E2" s="21" t="n">
        <f aca="false">parametros_recargas!$E$72*'Plan mensual'!G21+parametros_recargas!$F$72*'Plan mensual'!G22+parametros_recargas!$G$72*'Plan mensual'!G23+parametros_recargas!$H$72*'Plan mensual'!G24+parametros_recargas!$I$72*'Plan mensual'!G25+parametros_recargas!$J$72*'Plan mensual'!G26+parametros_recargas!$K$72*'Plan mensual'!G27+parametros_recargas!$L$72*'Plan mensual'!G28+parametros_recargas!$M$72*'Plan mensual'!G30</f>
        <v>325.871576480646</v>
      </c>
      <c r="F2" s="21" t="n">
        <f aca="false">parametros_recargas!$E$72*'Plan mensual'!H21+parametros_recargas!$F$72*'Plan mensual'!H22+parametros_recargas!$G$72*'Plan mensual'!H23+parametros_recargas!$H$72*'Plan mensual'!H24+parametros_recargas!$I$72*'Plan mensual'!H25+parametros_recargas!$J$72*'Plan mensual'!H26+parametros_recargas!$K$72*'Plan mensual'!H27+parametros_recargas!$L$72*'Plan mensual'!H28+parametros_recargas!$M$72*'Plan mensual'!H30</f>
        <v>325.776576480646</v>
      </c>
      <c r="G2" s="21" t="n">
        <f aca="false">parametros_recargas!$E$72*'Plan mensual'!I21+parametros_recargas!$F$72*'Plan mensual'!I22+parametros_recargas!$G$72*'Plan mensual'!I23+parametros_recargas!$H$72*'Plan mensual'!I24+parametros_recargas!$I$72*'Plan mensual'!I25+parametros_recargas!$J$72*'Plan mensual'!I26+parametros_recargas!$K$72*'Plan mensual'!I27+parametros_recargas!$L$72*'Plan mensual'!I28+parametros_recargas!$M$72*'Plan mensual'!I30</f>
        <v>325.561576480646</v>
      </c>
      <c r="H2" s="21" t="n">
        <f aca="false">parametros_recargas!$E$72*'Plan mensual'!J21+parametros_recargas!$F$72*'Plan mensual'!J22+parametros_recargas!$G$72*'Plan mensual'!J23+parametros_recargas!$H$72*'Plan mensual'!J24+parametros_recargas!$I$72*'Plan mensual'!J25+parametros_recargas!$J$72*'Plan mensual'!J26+parametros_recargas!$K$72*'Plan mensual'!J27+parametros_recargas!$L$72*'Plan mensual'!J28+parametros_recargas!$M$72*'Plan mensual'!J30</f>
        <v>325.776576480646</v>
      </c>
      <c r="I2" s="21" t="n">
        <f aca="false">parametros_recargas!$E$72*'Plan mensual'!K21+parametros_recargas!$F$72*'Plan mensual'!K22+parametros_recargas!$G$72*'Plan mensual'!K23+parametros_recargas!$H$72*'Plan mensual'!K24+parametros_recargas!$I$72*'Plan mensual'!K25+parametros_recargas!$J$72*'Plan mensual'!K26+parametros_recargas!$K$72*'Plan mensual'!K27+parametros_recargas!$L$72*'Plan mensual'!K28+parametros_recargas!$M$72*'Plan mensual'!K30</f>
        <v>325.776576480646</v>
      </c>
      <c r="J2" s="21" t="n">
        <f aca="false">parametros_recargas!$E$72*'Plan mensual'!L21+parametros_recargas!$F$72*'Plan mensual'!L22+parametros_recargas!$G$72*'Plan mensual'!L23+parametros_recargas!$H$72*'Plan mensual'!L24+parametros_recargas!$I$72*'Plan mensual'!L25+parametros_recargas!$J$72*'Plan mensual'!L26+parametros_recargas!$K$72*'Plan mensual'!L27+parametros_recargas!$L$72*'Plan mensual'!L28+parametros_recargas!$M$72*'Plan mensual'!L30</f>
        <v>325.716576480646</v>
      </c>
      <c r="K2" s="21" t="n">
        <f aca="false">parametros_recargas!$E$72*'Plan mensual'!M21+parametros_recargas!$F$72*'Plan mensual'!M22+parametros_recargas!$G$72*'Plan mensual'!M23+parametros_recargas!$H$72*'Plan mensual'!M24+parametros_recargas!$I$72*'Plan mensual'!M25+parametros_recargas!$J$72*'Plan mensual'!M26+parametros_recargas!$K$72*'Plan mensual'!M27+parametros_recargas!$L$72*'Plan mensual'!M28+parametros_recargas!$M$72*'Plan mensual'!M30</f>
        <v>325.501576480646</v>
      </c>
      <c r="L2" s="21" t="n">
        <f aca="false">parametros_recargas!$E$72*'Plan mensual'!N21+parametros_recargas!$F$72*'Plan mensual'!N22+parametros_recargas!$G$72*'Plan mensual'!N23+parametros_recargas!$H$72*'Plan mensual'!N24+parametros_recargas!$I$72*'Plan mensual'!N25+parametros_recargas!$J$72*'Plan mensual'!N26+parametros_recargas!$K$72*'Plan mensual'!N27+parametros_recargas!$L$72*'Plan mensual'!N28+parametros_recargas!$M$72*'Plan mensual'!N30</f>
        <v>325.346576480646</v>
      </c>
      <c r="M2" s="21" t="n">
        <f aca="false">parametros_recargas!$E$72*'Plan mensual'!O21+parametros_recargas!$F$72*'Plan mensual'!O22+parametros_recargas!$G$72*'Plan mensual'!O23+parametros_recargas!$H$72*'Plan mensual'!O24+parametros_recargas!$I$72*'Plan mensual'!O25+parametros_recargas!$J$72*'Plan mensual'!O26+parametros_recargas!$K$72*'Plan mensual'!O27+parametros_recargas!$L$72*'Plan mensual'!O28+parametros_recargas!$M$72*'Plan mensual'!O30</f>
        <v>326.226576480646</v>
      </c>
      <c r="N2" s="7" t="n">
        <f aca="false">SUM(B2:M2)</f>
        <v>3909.11891776775</v>
      </c>
      <c r="O2" s="22" t="n">
        <f aca="false">MAX(B2:M2)</f>
        <v>326.226576480646</v>
      </c>
      <c r="P2" s="12" t="n">
        <f aca="false">O2/parametros_recargas!$B$6</f>
        <v>2.17484384320431</v>
      </c>
    </row>
    <row r="3" customFormat="false" ht="15" hidden="false" customHeight="false" outlineLevel="0" collapsed="false">
      <c r="A3" s="9" t="str">
        <f aca="false">parametros_recargas!$B$73</f>
        <v>Inspección visual</v>
      </c>
      <c r="B3" s="21" t="n">
        <f aca="false">parametros_recargas!$E$73*'Plan mensual'!D21+parametros_recargas!$F$73*'Plan mensual'!D22+parametros_recargas!$G$73*'Plan mensual'!D23+parametros_recargas!$H$73*'Plan mensual'!D24+parametros_recargas!$I$73*'Plan mensual'!D25+parametros_recargas!$J$73*'Plan mensual'!D26+parametros_recargas!$K$73*'Plan mensual'!D27+parametros_recargas!$L$73*'Plan mensual'!D28+parametros_recargas!$M$73*'Plan mensual'!D30</f>
        <v>323.176576480646</v>
      </c>
      <c r="C3" s="21" t="n">
        <f aca="false">parametros_recargas!$E$73*'Plan mensual'!E21+parametros_recargas!$F$73*'Plan mensual'!E22+parametros_recargas!$G$73*'Plan mensual'!E23+parametros_recargas!$H$73*'Plan mensual'!E24+parametros_recargas!$I$73*'Plan mensual'!E25+parametros_recargas!$J$73*'Plan mensual'!E26+parametros_recargas!$K$73*'Plan mensual'!E27+parametros_recargas!$L$73*'Plan mensual'!E28+parametros_recargas!$M$73*'Plan mensual'!E30</f>
        <v>323.176576480646</v>
      </c>
      <c r="D3" s="21" t="n">
        <f aca="false">parametros_recargas!$E$73*'Plan mensual'!F21+parametros_recargas!$F$73*'Plan mensual'!F22+parametros_recargas!$G$73*'Plan mensual'!F23+parametros_recargas!$H$73*'Plan mensual'!F24+parametros_recargas!$I$73*'Plan mensual'!F25+parametros_recargas!$J$73*'Plan mensual'!F26+parametros_recargas!$K$73*'Plan mensual'!F27+parametros_recargas!$L$73*'Plan mensual'!F28+parametros_recargas!$M$73*'Plan mensual'!F30</f>
        <v>323.176576480646</v>
      </c>
      <c r="E3" s="21" t="n">
        <f aca="false">parametros_recargas!$E$73*'Plan mensual'!G21+parametros_recargas!$F$73*'Plan mensual'!G22+parametros_recargas!$G$73*'Plan mensual'!G23+parametros_recargas!$H$73*'Plan mensual'!G24+parametros_recargas!$I$73*'Plan mensual'!G25+parametros_recargas!$J$73*'Plan mensual'!G26+parametros_recargas!$K$73*'Plan mensual'!G27+parametros_recargas!$L$73*'Plan mensual'!G28+parametros_recargas!$M$73*'Plan mensual'!G30</f>
        <v>323.176576480646</v>
      </c>
      <c r="F3" s="21" t="n">
        <f aca="false">parametros_recargas!$E$73*'Plan mensual'!H21+parametros_recargas!$F$73*'Plan mensual'!H22+parametros_recargas!$G$73*'Plan mensual'!H23+parametros_recargas!$H$73*'Plan mensual'!H24+parametros_recargas!$I$73*'Plan mensual'!H25+parametros_recargas!$J$73*'Plan mensual'!H26+parametros_recargas!$K$73*'Plan mensual'!H27+parametros_recargas!$L$73*'Plan mensual'!H28+parametros_recargas!$M$73*'Plan mensual'!H30</f>
        <v>323.176576480646</v>
      </c>
      <c r="G3" s="21" t="n">
        <f aca="false">parametros_recargas!$E$73*'Plan mensual'!I21+parametros_recargas!$F$73*'Plan mensual'!I22+parametros_recargas!$G$73*'Plan mensual'!I23+parametros_recargas!$H$73*'Plan mensual'!I24+parametros_recargas!$I$73*'Plan mensual'!I25+parametros_recargas!$J$73*'Plan mensual'!I26+parametros_recargas!$K$73*'Plan mensual'!I27+parametros_recargas!$L$73*'Plan mensual'!I28+parametros_recargas!$M$73*'Plan mensual'!I30</f>
        <v>323.176576480646</v>
      </c>
      <c r="H3" s="21" t="n">
        <f aca="false">parametros_recargas!$E$73*'Plan mensual'!J21+parametros_recargas!$F$73*'Plan mensual'!J22+parametros_recargas!$G$73*'Plan mensual'!J23+parametros_recargas!$H$73*'Plan mensual'!J24+parametros_recargas!$I$73*'Plan mensual'!J25+parametros_recargas!$J$73*'Plan mensual'!J26+parametros_recargas!$K$73*'Plan mensual'!J27+parametros_recargas!$L$73*'Plan mensual'!J28+parametros_recargas!$M$73*'Plan mensual'!J30</f>
        <v>323.176576480646</v>
      </c>
      <c r="I3" s="21" t="n">
        <f aca="false">parametros_recargas!$E$73*'Plan mensual'!K21+parametros_recargas!$F$73*'Plan mensual'!K22+parametros_recargas!$G$73*'Plan mensual'!K23+parametros_recargas!$H$73*'Plan mensual'!K24+parametros_recargas!$I$73*'Plan mensual'!K25+parametros_recargas!$J$73*'Plan mensual'!K26+parametros_recargas!$K$73*'Plan mensual'!K27+parametros_recargas!$L$73*'Plan mensual'!K28+parametros_recargas!$M$73*'Plan mensual'!K30</f>
        <v>323.176576480646</v>
      </c>
      <c r="J3" s="21" t="n">
        <f aca="false">parametros_recargas!$E$73*'Plan mensual'!L21+parametros_recargas!$F$73*'Plan mensual'!L22+parametros_recargas!$G$73*'Plan mensual'!L23+parametros_recargas!$H$73*'Plan mensual'!L24+parametros_recargas!$I$73*'Plan mensual'!L25+parametros_recargas!$J$73*'Plan mensual'!L26+parametros_recargas!$K$73*'Plan mensual'!L27+parametros_recargas!$L$73*'Plan mensual'!L28+parametros_recargas!$M$73*'Plan mensual'!L30</f>
        <v>323.176576480646</v>
      </c>
      <c r="K3" s="21" t="n">
        <f aca="false">parametros_recargas!$E$73*'Plan mensual'!M21+parametros_recargas!$F$73*'Plan mensual'!M22+parametros_recargas!$G$73*'Plan mensual'!M23+parametros_recargas!$H$73*'Plan mensual'!M24+parametros_recargas!$I$73*'Plan mensual'!M25+parametros_recargas!$J$73*'Plan mensual'!M26+parametros_recargas!$K$73*'Plan mensual'!M27+parametros_recargas!$L$73*'Plan mensual'!M28+parametros_recargas!$M$73*'Plan mensual'!M30</f>
        <v>323.176576480646</v>
      </c>
      <c r="L3" s="21" t="n">
        <f aca="false">parametros_recargas!$E$73*'Plan mensual'!N21+parametros_recargas!$F$73*'Plan mensual'!N22+parametros_recargas!$G$73*'Plan mensual'!N23+parametros_recargas!$H$73*'Plan mensual'!N24+parametros_recargas!$I$73*'Plan mensual'!N25+parametros_recargas!$J$73*'Plan mensual'!N26+parametros_recargas!$K$73*'Plan mensual'!N27+parametros_recargas!$L$73*'Plan mensual'!N28+parametros_recargas!$M$73*'Plan mensual'!N30</f>
        <v>323.176576480646</v>
      </c>
      <c r="M3" s="21" t="n">
        <f aca="false">parametros_recargas!$E$73*'Plan mensual'!O21+parametros_recargas!$F$73*'Plan mensual'!O22+parametros_recargas!$G$73*'Plan mensual'!O23+parametros_recargas!$H$73*'Plan mensual'!O24+parametros_recargas!$I$73*'Plan mensual'!O25+parametros_recargas!$J$73*'Plan mensual'!O26+parametros_recargas!$K$73*'Plan mensual'!O27+parametros_recargas!$L$73*'Plan mensual'!O28+parametros_recargas!$M$73*'Plan mensual'!O30</f>
        <v>323.176576480646</v>
      </c>
      <c r="N3" s="7" t="n">
        <f aca="false">SUM(B3:M3)</f>
        <v>3878.11891776775</v>
      </c>
      <c r="O3" s="22" t="n">
        <f aca="false">MAX(B3:M3)</f>
        <v>323.176576480646</v>
      </c>
      <c r="P3" s="12" t="n">
        <f aca="false">O3/parametros_recargas!$B$6</f>
        <v>2.15451050987097</v>
      </c>
    </row>
    <row r="4" customFormat="false" ht="15" hidden="false" customHeight="false" outlineLevel="0" collapsed="false">
      <c r="A4" s="9" t="str">
        <f aca="false">parametros_recargas!$B$74</f>
        <v>Descarga ABC — ruta recuperable</v>
      </c>
      <c r="B4" s="21" t="n">
        <f aca="false">parametros_recargas!$E$74*'Plan mensual'!D21+parametros_recargas!$F$74*'Plan mensual'!D22+parametros_recargas!$G$74*'Plan mensual'!D23+parametros_recargas!$H$74*'Plan mensual'!D24+parametros_recargas!$I$74*'Plan mensual'!D25+parametros_recargas!$J$74*'Plan mensual'!D26+parametros_recargas!$K$74*'Plan mensual'!D27+parametros_recargas!$L$74*'Plan mensual'!D28+parametros_recargas!$M$74*'Plan mensual'!D30</f>
        <v>239.122271684178</v>
      </c>
      <c r="C4" s="21" t="n">
        <f aca="false">parametros_recargas!$E$74*'Plan mensual'!E21+parametros_recargas!$F$74*'Plan mensual'!E22+parametros_recargas!$G$74*'Plan mensual'!E23+parametros_recargas!$H$74*'Plan mensual'!E24+parametros_recargas!$I$74*'Plan mensual'!E25+parametros_recargas!$J$74*'Plan mensual'!E26+parametros_recargas!$K$74*'Plan mensual'!E27+parametros_recargas!$L$74*'Plan mensual'!E28+parametros_recargas!$M$74*'Plan mensual'!E30</f>
        <v>239.122271684178</v>
      </c>
      <c r="D4" s="21" t="n">
        <f aca="false">parametros_recargas!$E$74*'Plan mensual'!F21+parametros_recargas!$F$74*'Plan mensual'!F22+parametros_recargas!$G$74*'Plan mensual'!F23+parametros_recargas!$H$74*'Plan mensual'!F24+parametros_recargas!$I$74*'Plan mensual'!F25+parametros_recargas!$J$74*'Plan mensual'!F26+parametros_recargas!$K$74*'Plan mensual'!F27+parametros_recargas!$L$74*'Plan mensual'!F28+parametros_recargas!$M$74*'Plan mensual'!F30</f>
        <v>239.122271684178</v>
      </c>
      <c r="E4" s="21" t="n">
        <f aca="false">parametros_recargas!$E$74*'Plan mensual'!G21+parametros_recargas!$F$74*'Plan mensual'!G22+parametros_recargas!$G$74*'Plan mensual'!G23+parametros_recargas!$H$74*'Plan mensual'!G24+parametros_recargas!$I$74*'Plan mensual'!G25+parametros_recargas!$J$74*'Plan mensual'!G26+parametros_recargas!$K$74*'Plan mensual'!G27+parametros_recargas!$L$74*'Plan mensual'!G28+parametros_recargas!$M$74*'Plan mensual'!G30</f>
        <v>239.122271684178</v>
      </c>
      <c r="F4" s="21" t="n">
        <f aca="false">parametros_recargas!$E$74*'Plan mensual'!H21+parametros_recargas!$F$74*'Plan mensual'!H22+parametros_recargas!$G$74*'Plan mensual'!H23+parametros_recargas!$H$74*'Plan mensual'!H24+parametros_recargas!$I$74*'Plan mensual'!H25+parametros_recargas!$J$74*'Plan mensual'!H26+parametros_recargas!$K$74*'Plan mensual'!H27+parametros_recargas!$L$74*'Plan mensual'!H28+parametros_recargas!$M$74*'Plan mensual'!H30</f>
        <v>239.122271684178</v>
      </c>
      <c r="G4" s="21" t="n">
        <f aca="false">parametros_recargas!$E$74*'Plan mensual'!I21+parametros_recargas!$F$74*'Plan mensual'!I22+parametros_recargas!$G$74*'Plan mensual'!I23+parametros_recargas!$H$74*'Plan mensual'!I24+parametros_recargas!$I$74*'Plan mensual'!I25+parametros_recargas!$J$74*'Plan mensual'!I26+parametros_recargas!$K$74*'Plan mensual'!I27+parametros_recargas!$L$74*'Plan mensual'!I28+parametros_recargas!$M$74*'Plan mensual'!I30</f>
        <v>239.122271684178</v>
      </c>
      <c r="H4" s="21" t="n">
        <f aca="false">parametros_recargas!$E$74*'Plan mensual'!J21+parametros_recargas!$F$74*'Plan mensual'!J22+parametros_recargas!$G$74*'Plan mensual'!J23+parametros_recargas!$H$74*'Plan mensual'!J24+parametros_recargas!$I$74*'Plan mensual'!J25+parametros_recargas!$J$74*'Plan mensual'!J26+parametros_recargas!$K$74*'Plan mensual'!J27+parametros_recargas!$L$74*'Plan mensual'!J28+parametros_recargas!$M$74*'Plan mensual'!J30</f>
        <v>239.122271684178</v>
      </c>
      <c r="I4" s="21" t="n">
        <f aca="false">parametros_recargas!$E$74*'Plan mensual'!K21+parametros_recargas!$F$74*'Plan mensual'!K22+parametros_recargas!$G$74*'Plan mensual'!K23+parametros_recargas!$H$74*'Plan mensual'!K24+parametros_recargas!$I$74*'Plan mensual'!K25+parametros_recargas!$J$74*'Plan mensual'!K26+parametros_recargas!$K$74*'Plan mensual'!K27+parametros_recargas!$L$74*'Plan mensual'!K28+parametros_recargas!$M$74*'Plan mensual'!K30</f>
        <v>239.122271684178</v>
      </c>
      <c r="J4" s="21" t="n">
        <f aca="false">parametros_recargas!$E$74*'Plan mensual'!L21+parametros_recargas!$F$74*'Plan mensual'!L22+parametros_recargas!$G$74*'Plan mensual'!L23+parametros_recargas!$H$74*'Plan mensual'!L24+parametros_recargas!$I$74*'Plan mensual'!L25+parametros_recargas!$J$74*'Plan mensual'!L26+parametros_recargas!$K$74*'Plan mensual'!L27+parametros_recargas!$L$74*'Plan mensual'!L28+parametros_recargas!$M$74*'Plan mensual'!L30</f>
        <v>239.122271684178</v>
      </c>
      <c r="K4" s="21" t="n">
        <f aca="false">parametros_recargas!$E$74*'Plan mensual'!M21+parametros_recargas!$F$74*'Plan mensual'!M22+parametros_recargas!$G$74*'Plan mensual'!M23+parametros_recargas!$H$74*'Plan mensual'!M24+parametros_recargas!$I$74*'Plan mensual'!M25+parametros_recargas!$J$74*'Plan mensual'!M26+parametros_recargas!$K$74*'Plan mensual'!M27+parametros_recargas!$L$74*'Plan mensual'!M28+parametros_recargas!$M$74*'Plan mensual'!M30</f>
        <v>239.122271684178</v>
      </c>
      <c r="L4" s="21" t="n">
        <f aca="false">parametros_recargas!$E$74*'Plan mensual'!N21+parametros_recargas!$F$74*'Plan mensual'!N22+parametros_recargas!$G$74*'Plan mensual'!N23+parametros_recargas!$H$74*'Plan mensual'!N24+parametros_recargas!$I$74*'Plan mensual'!N25+parametros_recargas!$J$74*'Plan mensual'!N26+parametros_recargas!$K$74*'Plan mensual'!N27+parametros_recargas!$L$74*'Plan mensual'!N28+parametros_recargas!$M$74*'Plan mensual'!N30</f>
        <v>239.122271684178</v>
      </c>
      <c r="M4" s="21" t="n">
        <f aca="false">parametros_recargas!$E$74*'Plan mensual'!O21+parametros_recargas!$F$74*'Plan mensual'!O22+parametros_recargas!$G$74*'Plan mensual'!O23+parametros_recargas!$H$74*'Plan mensual'!O24+parametros_recargas!$I$74*'Plan mensual'!O25+parametros_recargas!$J$74*'Plan mensual'!O26+parametros_recargas!$K$74*'Plan mensual'!O27+parametros_recargas!$L$74*'Plan mensual'!O28+parametros_recargas!$M$74*'Plan mensual'!O30</f>
        <v>239.122271684178</v>
      </c>
      <c r="N4" s="7" t="n">
        <f aca="false">SUM(B4:M4)</f>
        <v>2869.46726021014</v>
      </c>
      <c r="O4" s="22" t="n">
        <f aca="false">MAX(B4:M4)</f>
        <v>239.122271684178</v>
      </c>
      <c r="P4" s="12" t="n">
        <f aca="false">O4/parametros_recargas!$B$6</f>
        <v>1.59414847789452</v>
      </c>
    </row>
    <row r="5" customFormat="false" ht="15" hidden="false" customHeight="false" outlineLevel="0" collapsed="false">
      <c r="A5" s="9" t="str">
        <f aca="false">parametros_recargas!$B$75</f>
        <v>Descarga ABC — ruta descarte</v>
      </c>
      <c r="B5" s="21" t="n">
        <f aca="false">parametros_recargas!$E$75*'Plan mensual'!D21+parametros_recargas!$F$75*'Plan mensual'!D22+parametros_recargas!$G$75*'Plan mensual'!D23+parametros_recargas!$H$75*'Plan mensual'!D24+parametros_recargas!$I$75*'Plan mensual'!D25+parametros_recargas!$J$75*'Plan mensual'!D26+parametros_recargas!$K$75*'Plan mensual'!D27+parametros_recargas!$L$75*'Plan mensual'!D28+parametros_recargas!$M$75*'Plan mensual'!D30</f>
        <v>28.1320319628445</v>
      </c>
      <c r="C5" s="21" t="n">
        <f aca="false">parametros_recargas!$E$75*'Plan mensual'!E21+parametros_recargas!$F$75*'Plan mensual'!E22+parametros_recargas!$G$75*'Plan mensual'!E23+parametros_recargas!$H$75*'Plan mensual'!E24+parametros_recargas!$I$75*'Plan mensual'!E25+parametros_recargas!$J$75*'Plan mensual'!E26+parametros_recargas!$K$75*'Plan mensual'!E27+parametros_recargas!$L$75*'Plan mensual'!E28+parametros_recargas!$M$75*'Plan mensual'!E30</f>
        <v>28.1320319628445</v>
      </c>
      <c r="D5" s="21" t="n">
        <f aca="false">parametros_recargas!$E$75*'Plan mensual'!F21+parametros_recargas!$F$75*'Plan mensual'!F22+parametros_recargas!$G$75*'Plan mensual'!F23+parametros_recargas!$H$75*'Plan mensual'!F24+parametros_recargas!$I$75*'Plan mensual'!F25+parametros_recargas!$J$75*'Plan mensual'!F26+parametros_recargas!$K$75*'Plan mensual'!F27+parametros_recargas!$L$75*'Plan mensual'!F28+parametros_recargas!$M$75*'Plan mensual'!F30</f>
        <v>28.1320319628445</v>
      </c>
      <c r="E5" s="21" t="n">
        <f aca="false">parametros_recargas!$E$75*'Plan mensual'!G21+parametros_recargas!$F$75*'Plan mensual'!G22+parametros_recargas!$G$75*'Plan mensual'!G23+parametros_recargas!$H$75*'Plan mensual'!G24+parametros_recargas!$I$75*'Plan mensual'!G25+parametros_recargas!$J$75*'Plan mensual'!G26+parametros_recargas!$K$75*'Plan mensual'!G27+parametros_recargas!$L$75*'Plan mensual'!G28+parametros_recargas!$M$75*'Plan mensual'!G30</f>
        <v>28.1320319628445</v>
      </c>
      <c r="F5" s="21" t="n">
        <f aca="false">parametros_recargas!$E$75*'Plan mensual'!H21+parametros_recargas!$F$75*'Plan mensual'!H22+parametros_recargas!$G$75*'Plan mensual'!H23+parametros_recargas!$H$75*'Plan mensual'!H24+parametros_recargas!$I$75*'Plan mensual'!H25+parametros_recargas!$J$75*'Plan mensual'!H26+parametros_recargas!$K$75*'Plan mensual'!H27+parametros_recargas!$L$75*'Plan mensual'!H28+parametros_recargas!$M$75*'Plan mensual'!H30</f>
        <v>28.1320319628445</v>
      </c>
      <c r="G5" s="21" t="n">
        <f aca="false">parametros_recargas!$E$75*'Plan mensual'!I21+parametros_recargas!$F$75*'Plan mensual'!I22+parametros_recargas!$G$75*'Plan mensual'!I23+parametros_recargas!$H$75*'Plan mensual'!I24+parametros_recargas!$I$75*'Plan mensual'!I25+parametros_recargas!$J$75*'Plan mensual'!I26+parametros_recargas!$K$75*'Plan mensual'!I27+parametros_recargas!$L$75*'Plan mensual'!I28+parametros_recargas!$M$75*'Plan mensual'!I30</f>
        <v>28.1320319628445</v>
      </c>
      <c r="H5" s="21" t="n">
        <f aca="false">parametros_recargas!$E$75*'Plan mensual'!J21+parametros_recargas!$F$75*'Plan mensual'!J22+parametros_recargas!$G$75*'Plan mensual'!J23+parametros_recargas!$H$75*'Plan mensual'!J24+parametros_recargas!$I$75*'Plan mensual'!J25+parametros_recargas!$J$75*'Plan mensual'!J26+parametros_recargas!$K$75*'Plan mensual'!J27+parametros_recargas!$L$75*'Plan mensual'!J28+parametros_recargas!$M$75*'Plan mensual'!J30</f>
        <v>28.1320319628445</v>
      </c>
      <c r="I5" s="21" t="n">
        <f aca="false">parametros_recargas!$E$75*'Plan mensual'!K21+parametros_recargas!$F$75*'Plan mensual'!K22+parametros_recargas!$G$75*'Plan mensual'!K23+parametros_recargas!$H$75*'Plan mensual'!K24+parametros_recargas!$I$75*'Plan mensual'!K25+parametros_recargas!$J$75*'Plan mensual'!K26+parametros_recargas!$K$75*'Plan mensual'!K27+parametros_recargas!$L$75*'Plan mensual'!K28+parametros_recargas!$M$75*'Plan mensual'!K30</f>
        <v>28.1320319628445</v>
      </c>
      <c r="J5" s="21" t="n">
        <f aca="false">parametros_recargas!$E$75*'Plan mensual'!L21+parametros_recargas!$F$75*'Plan mensual'!L22+parametros_recargas!$G$75*'Plan mensual'!L23+parametros_recargas!$H$75*'Plan mensual'!L24+parametros_recargas!$I$75*'Plan mensual'!L25+parametros_recargas!$J$75*'Plan mensual'!L26+parametros_recargas!$K$75*'Plan mensual'!L27+parametros_recargas!$L$75*'Plan mensual'!L28+parametros_recargas!$M$75*'Plan mensual'!L30</f>
        <v>28.1320319628445</v>
      </c>
      <c r="K5" s="21" t="n">
        <f aca="false">parametros_recargas!$E$75*'Plan mensual'!M21+parametros_recargas!$F$75*'Plan mensual'!M22+parametros_recargas!$G$75*'Plan mensual'!M23+parametros_recargas!$H$75*'Plan mensual'!M24+parametros_recargas!$I$75*'Plan mensual'!M25+parametros_recargas!$J$75*'Plan mensual'!M26+parametros_recargas!$K$75*'Plan mensual'!M27+parametros_recargas!$L$75*'Plan mensual'!M28+parametros_recargas!$M$75*'Plan mensual'!M30</f>
        <v>28.1320319628445</v>
      </c>
      <c r="L5" s="21" t="n">
        <f aca="false">parametros_recargas!$E$75*'Plan mensual'!N21+parametros_recargas!$F$75*'Plan mensual'!N22+parametros_recargas!$G$75*'Plan mensual'!N23+parametros_recargas!$H$75*'Plan mensual'!N24+parametros_recargas!$I$75*'Plan mensual'!N25+parametros_recargas!$J$75*'Plan mensual'!N26+parametros_recargas!$K$75*'Plan mensual'!N27+parametros_recargas!$L$75*'Plan mensual'!N28+parametros_recargas!$M$75*'Plan mensual'!N30</f>
        <v>28.1320319628445</v>
      </c>
      <c r="M5" s="21" t="n">
        <f aca="false">parametros_recargas!$E$75*'Plan mensual'!O21+parametros_recargas!$F$75*'Plan mensual'!O22+parametros_recargas!$G$75*'Plan mensual'!O23+parametros_recargas!$H$75*'Plan mensual'!O24+parametros_recargas!$I$75*'Plan mensual'!O25+parametros_recargas!$J$75*'Plan mensual'!O26+parametros_recargas!$K$75*'Plan mensual'!O27+parametros_recargas!$L$75*'Plan mensual'!O28+parametros_recargas!$M$75*'Plan mensual'!O30</f>
        <v>28.1320319628445</v>
      </c>
      <c r="N5" s="7" t="n">
        <f aca="false">SUM(B5:M5)</f>
        <v>337.584383554134</v>
      </c>
      <c r="O5" s="22" t="n">
        <f aca="false">MAX(B5:M5)</f>
        <v>28.1320319628445</v>
      </c>
      <c r="P5" s="12" t="n">
        <f aca="false">O5/parametros_recargas!$B$6</f>
        <v>0.187546879752297</v>
      </c>
    </row>
    <row r="6" customFormat="false" ht="15" hidden="false" customHeight="false" outlineLevel="0" collapsed="false">
      <c r="A6" s="9" t="str">
        <f aca="false">parametros_recargas!$B$76</f>
        <v>Descarga BC</v>
      </c>
      <c r="B6" s="21"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0.315499412014609</v>
      </c>
      <c r="C6" s="21"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0.315499412014609</v>
      </c>
      <c r="D6" s="21"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0.315499412014609</v>
      </c>
      <c r="E6" s="21"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0.315499412014609</v>
      </c>
      <c r="F6" s="21"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0.315499412014609</v>
      </c>
      <c r="G6" s="21"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0.315499412014609</v>
      </c>
      <c r="H6" s="21"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0.315499412014609</v>
      </c>
      <c r="I6" s="21"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0.315499412014609</v>
      </c>
      <c r="J6" s="21"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0.315499412014609</v>
      </c>
      <c r="K6" s="21"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0.315499412014609</v>
      </c>
      <c r="L6" s="21"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0.315499412014609</v>
      </c>
      <c r="M6" s="21"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0.315499412014609</v>
      </c>
      <c r="N6" s="7" t="n">
        <f aca="false">SUM(B6:M6)</f>
        <v>3.78599294417531</v>
      </c>
      <c r="O6" s="22" t="n">
        <f aca="false">MAX(B6:M6)</f>
        <v>0.315499412014609</v>
      </c>
      <c r="P6" s="12" t="n">
        <f aca="false">O6/parametros_recargas!$B$6</f>
        <v>0.00210332941343073</v>
      </c>
    </row>
    <row r="7" customFormat="false" ht="15" hidden="false" customHeight="false" outlineLevel="0" collapsed="false">
      <c r="A7" s="9" t="str">
        <f aca="false">parametros_recargas!$B$77</f>
        <v>Descarga de agua / AFFF / sales K</v>
      </c>
      <c r="B7" s="21"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13.7768081200711</v>
      </c>
      <c r="C7" s="21"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13.7768081200711</v>
      </c>
      <c r="D7" s="21"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13.7768081200711</v>
      </c>
      <c r="E7" s="21"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13.7768081200711</v>
      </c>
      <c r="F7" s="21"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13.7768081200711</v>
      </c>
      <c r="G7" s="21"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13.7768081200711</v>
      </c>
      <c r="H7" s="21"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13.7768081200711</v>
      </c>
      <c r="I7" s="21"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13.7768081200711</v>
      </c>
      <c r="J7" s="21"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13.7768081200711</v>
      </c>
      <c r="K7" s="21"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13.7768081200711</v>
      </c>
      <c r="L7" s="21"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13.7768081200711</v>
      </c>
      <c r="M7" s="21"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13.7768081200711</v>
      </c>
      <c r="N7" s="7" t="n">
        <f aca="false">SUM(B7:M7)</f>
        <v>165.321697440853</v>
      </c>
      <c r="O7" s="22" t="n">
        <f aca="false">MAX(B7:M7)</f>
        <v>13.7768081200711</v>
      </c>
      <c r="P7" s="12" t="n">
        <f aca="false">O7/parametros_recargas!$B$6</f>
        <v>0.0918453874671403</v>
      </c>
    </row>
    <row r="8" customFormat="false" ht="15" hidden="false" customHeight="false" outlineLevel="0" collapsed="false">
      <c r="A8" s="9" t="str">
        <f aca="false">parametros_recargas!$B$78</f>
        <v>Recuperación de CO₂</v>
      </c>
      <c r="B8" s="21"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6.65177952412956</v>
      </c>
      <c r="C8" s="21"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6.65177952412956</v>
      </c>
      <c r="D8" s="21"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6.65177952412956</v>
      </c>
      <c r="E8" s="21"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6.65177952412956</v>
      </c>
      <c r="F8" s="21"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6.65177952412956</v>
      </c>
      <c r="G8" s="21"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6.65177952412956</v>
      </c>
      <c r="H8" s="21"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6.65177952412956</v>
      </c>
      <c r="I8" s="21"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6.65177952412956</v>
      </c>
      <c r="J8" s="21"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6.65177952412956</v>
      </c>
      <c r="K8" s="21"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6.65177952412956</v>
      </c>
      <c r="L8" s="21"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6.65177952412956</v>
      </c>
      <c r="M8" s="21"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6.65177952412956</v>
      </c>
      <c r="N8" s="7" t="n">
        <f aca="false">SUM(B8:M8)</f>
        <v>79.8213542895547</v>
      </c>
      <c r="O8" s="22" t="n">
        <f aca="false">MAX(B8:M8)</f>
        <v>6.65177952412956</v>
      </c>
      <c r="P8" s="12" t="n">
        <f aca="false">O8/parametros_recargas!$B$6</f>
        <v>0.0443451968275304</v>
      </c>
    </row>
    <row r="9" customFormat="false" ht="15" hidden="false" customHeight="false" outlineLevel="0" collapsed="false">
      <c r="A9" s="9" t="str">
        <f aca="false">parametros_recargas!$B$79</f>
        <v>Recuperación de halogenado</v>
      </c>
      <c r="B9" s="21"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0.210332952895567</v>
      </c>
      <c r="C9" s="21"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0.210332952895567</v>
      </c>
      <c r="D9" s="21"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0.210332952895567</v>
      </c>
      <c r="E9" s="21"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0.210332952895567</v>
      </c>
      <c r="F9" s="21"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0.210332952895567</v>
      </c>
      <c r="G9" s="21"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0.210332952895567</v>
      </c>
      <c r="H9" s="21"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0.210332952895567</v>
      </c>
      <c r="I9" s="21"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0.210332952895567</v>
      </c>
      <c r="J9" s="21"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0.210332952895567</v>
      </c>
      <c r="K9" s="21"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0.210332952895567</v>
      </c>
      <c r="L9" s="21"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0.210332952895567</v>
      </c>
      <c r="M9" s="21"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0.210332952895567</v>
      </c>
      <c r="N9" s="7" t="n">
        <f aca="false">SUM(B9:M9)</f>
        <v>2.52399543474681</v>
      </c>
      <c r="O9" s="22" t="n">
        <f aca="false">MAX(B9:M9)</f>
        <v>0.210332952895567</v>
      </c>
      <c r="P9" s="12" t="n">
        <f aca="false">O9/parametros_recargas!$B$6</f>
        <v>0.00140221968597045</v>
      </c>
    </row>
    <row r="10" customFormat="false" ht="15" hidden="false" customHeight="false" outlineLevel="0" collapsed="false">
      <c r="A10" s="9" t="str">
        <f aca="false">parametros_recargas!$B$80</f>
        <v>Desarme y limpieza — recinto</v>
      </c>
      <c r="B10" s="21"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281.951318452474</v>
      </c>
      <c r="C10" s="21"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281.951318452474</v>
      </c>
      <c r="D10" s="21"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281.951318452474</v>
      </c>
      <c r="E10" s="21"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281.951318452474</v>
      </c>
      <c r="F10" s="21"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281.951318452474</v>
      </c>
      <c r="G10" s="21"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281.951318452474</v>
      </c>
      <c r="H10" s="21"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281.951318452474</v>
      </c>
      <c r="I10" s="21"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281.951318452474</v>
      </c>
      <c r="J10" s="21"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281.951318452474</v>
      </c>
      <c r="K10" s="21"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281.951318452474</v>
      </c>
      <c r="L10" s="21"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281.951318452474</v>
      </c>
      <c r="M10" s="21"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281.951318452474</v>
      </c>
      <c r="N10" s="7" t="n">
        <f aca="false">SUM(B10:M10)</f>
        <v>3383.41582142969</v>
      </c>
      <c r="O10" s="22" t="n">
        <f aca="false">MAX(B10:M10)</f>
        <v>281.951318452474</v>
      </c>
      <c r="P10" s="12" t="n">
        <f aca="false">O10/parametros_recargas!$B$6</f>
        <v>1.87967545634983</v>
      </c>
    </row>
    <row r="11" customFormat="false" ht="15" hidden="false" customHeight="false" outlineLevel="0" collapsed="false">
      <c r="A11" s="9" t="str">
        <f aca="false">parametros_recargas!$B$81</f>
        <v>Desarme e inspección interior — zona general</v>
      </c>
      <c r="B11" s="21"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20.6389205970962</v>
      </c>
      <c r="C11" s="21"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20.6389205970962</v>
      </c>
      <c r="D11" s="21"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20.6389205970962</v>
      </c>
      <c r="E11" s="21"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20.6389205970962</v>
      </c>
      <c r="F11" s="21"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20.6389205970962</v>
      </c>
      <c r="G11" s="21"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20.6389205970962</v>
      </c>
      <c r="H11" s="21"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20.6389205970962</v>
      </c>
      <c r="I11" s="21"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20.6389205970962</v>
      </c>
      <c r="J11" s="21"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20.6389205970962</v>
      </c>
      <c r="K11" s="21"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20.6389205970962</v>
      </c>
      <c r="L11" s="21"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20.6389205970962</v>
      </c>
      <c r="M11" s="21"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20.6389205970962</v>
      </c>
      <c r="N11" s="7" t="n">
        <f aca="false">SUM(B11:M11)</f>
        <v>247.667047165154</v>
      </c>
      <c r="O11" s="22" t="n">
        <f aca="false">MAX(B11:M11)</f>
        <v>20.6389205970962</v>
      </c>
      <c r="P11" s="12" t="n">
        <f aca="false">O11/parametros_recargas!$B$6</f>
        <v>0.137592803980641</v>
      </c>
    </row>
    <row r="12" customFormat="false" ht="15" hidden="false" customHeight="false" outlineLevel="0" collapsed="false">
      <c r="A12" s="9" t="str">
        <f aca="false">parametros_recargas!$B$82</f>
        <v>Laboratorio — Puffer y mufla</v>
      </c>
      <c r="B12" s="21"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0.28163581904046</v>
      </c>
      <c r="C12" s="21"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0.28163581904046</v>
      </c>
      <c r="D12" s="21"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0.28163581904046</v>
      </c>
      <c r="E12" s="21"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0.28163581904046</v>
      </c>
      <c r="F12" s="21"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0.28163581904046</v>
      </c>
      <c r="G12" s="21"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0.28163581904046</v>
      </c>
      <c r="H12" s="21"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0.28163581904046</v>
      </c>
      <c r="I12" s="21"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0.28163581904046</v>
      </c>
      <c r="J12" s="21"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0.28163581904046</v>
      </c>
      <c r="K12" s="21"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0.28163581904046</v>
      </c>
      <c r="L12" s="21"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0.28163581904046</v>
      </c>
      <c r="M12" s="21"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0.28163581904046</v>
      </c>
      <c r="N12" s="7" t="n">
        <f aca="false">SUM(B12:M12)</f>
        <v>3.37962982848551</v>
      </c>
      <c r="O12" s="22" t="n">
        <f aca="false">MAX(B12:M12)</f>
        <v>0.28163581904046</v>
      </c>
      <c r="P12" s="12" t="n">
        <f aca="false">O12/parametros_recargas!$B$6</f>
        <v>0.0018775721269364</v>
      </c>
    </row>
    <row r="13" customFormat="false" ht="15" hidden="false" customHeight="false" outlineLevel="0" collapsed="false">
      <c r="A13" s="9" t="str">
        <f aca="false">parametros_recargas!$B$83</f>
        <v>Prueba hidráulica</v>
      </c>
      <c r="B13" s="21"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68.7683577321505</v>
      </c>
      <c r="C13" s="21"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68.7683577321505</v>
      </c>
      <c r="D13" s="21"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68.7683577321505</v>
      </c>
      <c r="E13" s="21"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68.7683577321505</v>
      </c>
      <c r="F13" s="21"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68.7683577321505</v>
      </c>
      <c r="G13" s="21"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68.7683577321505</v>
      </c>
      <c r="H13" s="21"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68.7683577321505</v>
      </c>
      <c r="I13" s="21"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68.7683577321505</v>
      </c>
      <c r="J13" s="21"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68.7683577321505</v>
      </c>
      <c r="K13" s="21"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68.7683577321505</v>
      </c>
      <c r="L13" s="21"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68.7683577321505</v>
      </c>
      <c r="M13" s="21"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68.7683577321505</v>
      </c>
      <c r="N13" s="7" t="n">
        <f aca="false">SUM(B13:M13)</f>
        <v>825.220292785806</v>
      </c>
      <c r="O13" s="22" t="n">
        <f aca="false">MAX(B13:M13)</f>
        <v>68.7683577321505</v>
      </c>
      <c r="P13" s="12" t="n">
        <f aca="false">O13/parametros_recargas!$B$6</f>
        <v>0.458455718214337</v>
      </c>
    </row>
    <row r="14" customFormat="false" ht="15" hidden="false" customHeight="false" outlineLevel="0" collapsed="false">
      <c r="A14" s="9" t="str">
        <f aca="false">parametros_recargas!$B$84</f>
        <v>Secado</v>
      </c>
      <c r="B14" s="21"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64.6994668566397</v>
      </c>
      <c r="C14" s="21"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64.6994668566397</v>
      </c>
      <c r="D14" s="21"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64.6994668566397</v>
      </c>
      <c r="E14" s="21"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64.6994668566397</v>
      </c>
      <c r="F14" s="21"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64.6994668566397</v>
      </c>
      <c r="G14" s="21"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64.6994668566397</v>
      </c>
      <c r="H14" s="21"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64.6994668566397</v>
      </c>
      <c r="I14" s="21"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64.6994668566397</v>
      </c>
      <c r="J14" s="21"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64.6994668566397</v>
      </c>
      <c r="K14" s="21"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64.6994668566397</v>
      </c>
      <c r="L14" s="21"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64.6994668566397</v>
      </c>
      <c r="M14" s="21"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64.6994668566397</v>
      </c>
      <c r="N14" s="7" t="n">
        <f aca="false">SUM(B14:M14)</f>
        <v>776.393602279676</v>
      </c>
      <c r="O14" s="22" t="n">
        <f aca="false">MAX(B14:M14)</f>
        <v>64.6994668566397</v>
      </c>
      <c r="P14" s="12" t="n">
        <f aca="false">O14/parametros_recargas!$B$6</f>
        <v>0.431329779044265</v>
      </c>
    </row>
    <row r="15" customFormat="false" ht="15" hidden="false" customHeight="false" outlineLevel="0" collapsed="false">
      <c r="A15" s="9" t="str">
        <f aca="false">parametros_recargas!$B$85</f>
        <v>Inspección interior con videoscopio</v>
      </c>
      <c r="B15" s="21"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64.6994668566397</v>
      </c>
      <c r="C15" s="21"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64.6994668566397</v>
      </c>
      <c r="D15" s="21"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64.6994668566397</v>
      </c>
      <c r="E15" s="21"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64.6994668566397</v>
      </c>
      <c r="F15" s="21"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64.6994668566397</v>
      </c>
      <c r="G15" s="21"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64.6994668566397</v>
      </c>
      <c r="H15" s="21"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64.6994668566397</v>
      </c>
      <c r="I15" s="21"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64.6994668566397</v>
      </c>
      <c r="J15" s="21"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64.6994668566397</v>
      </c>
      <c r="K15" s="21"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64.6994668566397</v>
      </c>
      <c r="L15" s="21"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64.6994668566397</v>
      </c>
      <c r="M15" s="21"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64.6994668566397</v>
      </c>
      <c r="N15" s="7" t="n">
        <f aca="false">SUM(B15:M15)</f>
        <v>776.393602279676</v>
      </c>
      <c r="O15" s="22" t="n">
        <f aca="false">MAX(B15:M15)</f>
        <v>64.6994668566397</v>
      </c>
      <c r="P15" s="12" t="n">
        <f aca="false">O15/parametros_recargas!$B$6</f>
        <v>0.431329779044265</v>
      </c>
    </row>
    <row r="16" customFormat="false" ht="15" hidden="false" customHeight="false" outlineLevel="0" collapsed="false">
      <c r="A16" s="9" t="str">
        <f aca="false">parametros_recargas!$B$86</f>
        <v>Pintura</v>
      </c>
      <c r="B16" s="21"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32.3176576480646</v>
      </c>
      <c r="C16" s="21"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32.3176576480646</v>
      </c>
      <c r="D16" s="21"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32.3176576480646</v>
      </c>
      <c r="E16" s="21"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32.3176576480646</v>
      </c>
      <c r="F16" s="21"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32.3176576480646</v>
      </c>
      <c r="G16" s="21"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32.3176576480646</v>
      </c>
      <c r="H16" s="21"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32.3176576480646</v>
      </c>
      <c r="I16" s="21"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32.3176576480646</v>
      </c>
      <c r="J16" s="21"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32.3176576480646</v>
      </c>
      <c r="K16" s="21"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32.3176576480646</v>
      </c>
      <c r="L16" s="21"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32.3176576480646</v>
      </c>
      <c r="M16" s="21"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32.3176576480646</v>
      </c>
      <c r="N16" s="7" t="n">
        <f aca="false">SUM(B16:M16)</f>
        <v>387.811891776775</v>
      </c>
      <c r="O16" s="22" t="n">
        <f aca="false">MAX(B16:M16)</f>
        <v>32.3176576480646</v>
      </c>
      <c r="P16" s="12" t="n">
        <f aca="false">O16/parametros_recargas!$B$6</f>
        <v>0.215451050987097</v>
      </c>
    </row>
    <row r="17" customFormat="false" ht="15" hidden="false" customHeight="false" outlineLevel="0" collapsed="false">
      <c r="A17" s="9" t="str">
        <f aca="false">parametros_recargas!$B$87</f>
        <v>Carga de polvo ABC</v>
      </c>
      <c r="B17" s="21"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284.240319628445</v>
      </c>
      <c r="C17" s="21"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283.740319628445</v>
      </c>
      <c r="D17" s="21"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284.015319628445</v>
      </c>
      <c r="E17" s="21"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284.015319628445</v>
      </c>
      <c r="F17" s="21"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283.920319628445</v>
      </c>
      <c r="G17" s="21"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283.705319628445</v>
      </c>
      <c r="H17" s="21"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283.920319628445</v>
      </c>
      <c r="I17" s="21"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283.920319628445</v>
      </c>
      <c r="J17" s="21"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283.860319628445</v>
      </c>
      <c r="K17" s="21"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283.645319628445</v>
      </c>
      <c r="L17" s="21"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283.490319628445</v>
      </c>
      <c r="M17" s="21"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284.370319628445</v>
      </c>
      <c r="N17" s="7" t="n">
        <f aca="false">SUM(B17:M17)</f>
        <v>3406.84383554134</v>
      </c>
      <c r="O17" s="22" t="n">
        <f aca="false">MAX(B17:M17)</f>
        <v>284.370319628445</v>
      </c>
      <c r="P17" s="12" t="n">
        <f aca="false">O17/parametros_recargas!$B$6</f>
        <v>1.8958021308563</v>
      </c>
    </row>
    <row r="18" customFormat="false" ht="15" hidden="false" customHeight="false" outlineLevel="0" collapsed="false">
      <c r="A18" s="9" t="str">
        <f aca="false">parametros_recargas!$B$88</f>
        <v>Carga de polvo BC</v>
      </c>
      <c r="B18" s="21"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0.315499412014609</v>
      </c>
      <c r="C18" s="21"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0.315499412014609</v>
      </c>
      <c r="D18" s="21"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0.315499412014609</v>
      </c>
      <c r="E18" s="21"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0.315499412014609</v>
      </c>
      <c r="F18" s="21"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0.315499412014609</v>
      </c>
      <c r="G18" s="21"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0.315499412014609</v>
      </c>
      <c r="H18" s="21"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0.315499412014609</v>
      </c>
      <c r="I18" s="21"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0.315499412014609</v>
      </c>
      <c r="J18" s="21"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0.315499412014609</v>
      </c>
      <c r="K18" s="21"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0.315499412014609</v>
      </c>
      <c r="L18" s="21"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0.315499412014609</v>
      </c>
      <c r="M18" s="21"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0.315499412014609</v>
      </c>
      <c r="N18" s="7" t="n">
        <f aca="false">SUM(B18:M18)</f>
        <v>3.78599294417531</v>
      </c>
      <c r="O18" s="22" t="n">
        <f aca="false">MAX(B18:M18)</f>
        <v>0.315499412014609</v>
      </c>
      <c r="P18" s="12" t="n">
        <f aca="false">O18/parametros_recargas!$B$6</f>
        <v>0.00210332941343073</v>
      </c>
    </row>
    <row r="19" customFormat="false" ht="15" hidden="false" customHeight="false" outlineLevel="0" collapsed="false">
      <c r="A19" s="9" t="str">
        <f aca="false">parametros_recargas!$B$89</f>
        <v>Descarga y carga Clase D</v>
      </c>
      <c r="B19" s="21"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0.315499412014609</v>
      </c>
      <c r="C19" s="21"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0.315499412014609</v>
      </c>
      <c r="D19" s="21"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0.315499412014609</v>
      </c>
      <c r="E19" s="21"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0.315499412014609</v>
      </c>
      <c r="F19" s="21"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0.315499412014609</v>
      </c>
      <c r="G19" s="21"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0.315499412014609</v>
      </c>
      <c r="H19" s="21"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0.315499412014609</v>
      </c>
      <c r="I19" s="21"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0.315499412014609</v>
      </c>
      <c r="J19" s="21"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0.315499412014609</v>
      </c>
      <c r="K19" s="21"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0.315499412014609</v>
      </c>
      <c r="L19" s="21"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0.315499412014609</v>
      </c>
      <c r="M19" s="21"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0.315499412014609</v>
      </c>
      <c r="N19" s="7" t="n">
        <f aca="false">SUM(B19:M19)</f>
        <v>3.78599294417531</v>
      </c>
      <c r="O19" s="22" t="n">
        <f aca="false">MAX(B19:M19)</f>
        <v>0.315499412014609</v>
      </c>
      <c r="P19" s="12" t="n">
        <f aca="false">O19/parametros_recargas!$B$6</f>
        <v>0.00210332941343073</v>
      </c>
    </row>
    <row r="20" customFormat="false" ht="15" hidden="false" customHeight="false" outlineLevel="0" collapsed="false">
      <c r="A20" s="9" t="str">
        <f aca="false">parametros_recargas!$B$90</f>
        <v>Carga de agua / AFFF / sales K</v>
      </c>
      <c r="B20" s="21"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13.7768081200711</v>
      </c>
      <c r="C20" s="21"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13.7768081200711</v>
      </c>
      <c r="D20" s="21"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13.7768081200711</v>
      </c>
      <c r="E20" s="21"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13.7768081200711</v>
      </c>
      <c r="F20" s="21"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13.7768081200711</v>
      </c>
      <c r="G20" s="21"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13.7768081200711</v>
      </c>
      <c r="H20" s="21"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13.7768081200711</v>
      </c>
      <c r="I20" s="21"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13.7768081200711</v>
      </c>
      <c r="J20" s="21"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13.7768081200711</v>
      </c>
      <c r="K20" s="21"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13.7768081200711</v>
      </c>
      <c r="L20" s="21"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13.7768081200711</v>
      </c>
      <c r="M20" s="21"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13.7768081200711</v>
      </c>
      <c r="N20" s="7" t="n">
        <f aca="false">SUM(B20:M20)</f>
        <v>165.321697440853</v>
      </c>
      <c r="O20" s="22" t="n">
        <f aca="false">MAX(B20:M20)</f>
        <v>13.7768081200711</v>
      </c>
      <c r="P20" s="12" t="n">
        <f aca="false">O20/parametros_recargas!$B$6</f>
        <v>0.0918453874671403</v>
      </c>
    </row>
    <row r="21" customFormat="false" ht="15" hidden="false" customHeight="false" outlineLevel="0" collapsed="false">
      <c r="A21" s="9" t="str">
        <f aca="false">parametros_recargas!$B$91</f>
        <v>Carga de CO₂</v>
      </c>
      <c r="B21" s="21"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7.98213542895547</v>
      </c>
      <c r="C21" s="21"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7.98213542895547</v>
      </c>
      <c r="D21" s="21"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7.98213542895547</v>
      </c>
      <c r="E21" s="21"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7.98213542895547</v>
      </c>
      <c r="F21" s="21"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7.98213542895547</v>
      </c>
      <c r="G21" s="21"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7.98213542895547</v>
      </c>
      <c r="H21" s="21"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7.98213542895547</v>
      </c>
      <c r="I21" s="21"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7.98213542895547</v>
      </c>
      <c r="J21" s="21"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7.98213542895547</v>
      </c>
      <c r="K21" s="21"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7.98213542895547</v>
      </c>
      <c r="L21" s="21"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7.98213542895547</v>
      </c>
      <c r="M21" s="21"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7.98213542895547</v>
      </c>
      <c r="N21" s="7" t="n">
        <f aca="false">SUM(B21:M21)</f>
        <v>95.7856251474656</v>
      </c>
      <c r="O21" s="22" t="n">
        <f aca="false">MAX(B21:M21)</f>
        <v>7.98213542895547</v>
      </c>
      <c r="P21" s="12" t="n">
        <f aca="false">O21/parametros_recargas!$B$6</f>
        <v>0.0532142361930365</v>
      </c>
    </row>
    <row r="22" customFormat="false" ht="15" hidden="false" customHeight="false" outlineLevel="0" collapsed="false">
      <c r="A22" s="9" t="str">
        <f aca="false">parametros_recargas!$B$92</f>
        <v>Ensamblaje y marbete — recinto</v>
      </c>
      <c r="B22" s="21"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284.871318452474</v>
      </c>
      <c r="C22" s="21"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284.371318452474</v>
      </c>
      <c r="D22" s="21"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284.646318452474</v>
      </c>
      <c r="E22" s="21"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284.646318452474</v>
      </c>
      <c r="F22" s="21"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284.551318452474</v>
      </c>
      <c r="G22" s="21"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284.336318452474</v>
      </c>
      <c r="H22" s="21"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284.551318452474</v>
      </c>
      <c r="I22" s="21"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284.551318452474</v>
      </c>
      <c r="J22" s="21"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284.491318452474</v>
      </c>
      <c r="K22" s="21"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284.276318452474</v>
      </c>
      <c r="L22" s="21"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284.121318452474</v>
      </c>
      <c r="M22" s="21"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285.001318452474</v>
      </c>
      <c r="N22" s="7" t="n">
        <f aca="false">SUM(B22:M22)</f>
        <v>3414.41582142969</v>
      </c>
      <c r="O22" s="22" t="n">
        <f aca="false">MAX(B22:M22)</f>
        <v>285.001318452474</v>
      </c>
      <c r="P22" s="12" t="n">
        <f aca="false">O22/parametros_recargas!$B$6</f>
        <v>1.90000878968316</v>
      </c>
    </row>
    <row r="23" customFormat="false" ht="15" hidden="false" customHeight="false" outlineLevel="0" collapsed="false">
      <c r="A23" s="9" t="str">
        <f aca="false">parametros_recargas!$B$93</f>
        <v>Presurización — recinto</v>
      </c>
      <c r="B23" s="21"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284.871318452474</v>
      </c>
      <c r="C23" s="21"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284.371318452474</v>
      </c>
      <c r="D23" s="21"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284.646318452474</v>
      </c>
      <c r="E23" s="21"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284.646318452474</v>
      </c>
      <c r="F23" s="21"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284.551318452474</v>
      </c>
      <c r="G23" s="21"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284.336318452474</v>
      </c>
      <c r="H23" s="21"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284.551318452474</v>
      </c>
      <c r="I23" s="21"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284.551318452474</v>
      </c>
      <c r="J23" s="21"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284.491318452474</v>
      </c>
      <c r="K23" s="21"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284.276318452474</v>
      </c>
      <c r="L23" s="21"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284.121318452474</v>
      </c>
      <c r="M23" s="21"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285.001318452474</v>
      </c>
      <c r="N23" s="7" t="n">
        <f aca="false">SUM(B23:M23)</f>
        <v>3414.41582142969</v>
      </c>
      <c r="O23" s="22" t="n">
        <f aca="false">MAX(B23:M23)</f>
        <v>285.001318452474</v>
      </c>
      <c r="P23" s="12" t="n">
        <f aca="false">O23/parametros_recargas!$B$6</f>
        <v>1.90000878968316</v>
      </c>
    </row>
    <row r="24" customFormat="false" ht="15" hidden="false" customHeight="false" outlineLevel="0" collapsed="false">
      <c r="A24" s="9" t="str">
        <f aca="false">parametros_recargas!$B$94</f>
        <v>Ensamblaje y presurización — zona general</v>
      </c>
      <c r="B24" s="21"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20.6389205970962</v>
      </c>
      <c r="C24" s="21"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20.6389205970962</v>
      </c>
      <c r="D24" s="21"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20.6389205970962</v>
      </c>
      <c r="E24" s="21"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20.6389205970962</v>
      </c>
      <c r="F24" s="21"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20.6389205970962</v>
      </c>
      <c r="G24" s="21"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20.6389205970962</v>
      </c>
      <c r="H24" s="21"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20.6389205970962</v>
      </c>
      <c r="I24" s="21"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20.6389205970962</v>
      </c>
      <c r="J24" s="21"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20.6389205970962</v>
      </c>
      <c r="K24" s="21"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20.6389205970962</v>
      </c>
      <c r="L24" s="21"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20.6389205970962</v>
      </c>
      <c r="M24" s="21"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20.6389205970962</v>
      </c>
      <c r="N24" s="7" t="n">
        <f aca="false">SUM(B24:M24)</f>
        <v>247.667047165154</v>
      </c>
      <c r="O24" s="22" t="n">
        <f aca="false">MAX(B24:M24)</f>
        <v>20.6389205970962</v>
      </c>
      <c r="P24" s="12" t="n">
        <f aca="false">O24/parametros_recargas!$B$6</f>
        <v>0.137592803980641</v>
      </c>
    </row>
    <row r="25" customFormat="false" ht="15" hidden="false" customHeight="false" outlineLevel="0" collapsed="false">
      <c r="A25" s="9" t="str">
        <f aca="false">parametros_recargas!$B$95</f>
        <v>Carga y presurización de halogenado</v>
      </c>
      <c r="B25" s="21"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0.210332952895567</v>
      </c>
      <c r="C25" s="21"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0.210332952895567</v>
      </c>
      <c r="D25" s="21"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0.210332952895567</v>
      </c>
      <c r="E25" s="21"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0.210332952895567</v>
      </c>
      <c r="F25" s="21"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0.210332952895567</v>
      </c>
      <c r="G25" s="21"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0.210332952895567</v>
      </c>
      <c r="H25" s="21"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0.210332952895567</v>
      </c>
      <c r="I25" s="21"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0.210332952895567</v>
      </c>
      <c r="J25" s="21"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0.210332952895567</v>
      </c>
      <c r="K25" s="21"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0.210332952895567</v>
      </c>
      <c r="L25" s="21"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0.210332952895567</v>
      </c>
      <c r="M25" s="21"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0.210332952895567</v>
      </c>
      <c r="N25" s="7" t="n">
        <f aca="false">SUM(B25:M25)</f>
        <v>2.52399543474681</v>
      </c>
      <c r="O25" s="22" t="n">
        <f aca="false">MAX(B25:M25)</f>
        <v>0.210332952895567</v>
      </c>
      <c r="P25" s="12" t="n">
        <f aca="false">O25/parametros_recargas!$B$6</f>
        <v>0.00140221968597045</v>
      </c>
    </row>
    <row r="26" customFormat="false" ht="15" hidden="false" customHeight="false" outlineLevel="0" collapsed="false">
      <c r="A26" s="9" t="str">
        <f aca="false">parametros_recargas!$B$96</f>
        <v>Control de peso (CO₂ y halogenados sin recarga)</v>
      </c>
      <c r="B26" s="21"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19.2559815262495</v>
      </c>
      <c r="C26" s="21"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19.2559815262495</v>
      </c>
      <c r="D26" s="21"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19.2559815262495</v>
      </c>
      <c r="E26" s="21"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19.2559815262495</v>
      </c>
      <c r="F26" s="21"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19.2559815262495</v>
      </c>
      <c r="G26" s="21"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19.2559815262495</v>
      </c>
      <c r="H26" s="21"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19.2559815262495</v>
      </c>
      <c r="I26" s="21"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19.2559815262495</v>
      </c>
      <c r="J26" s="21"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19.2559815262495</v>
      </c>
      <c r="K26" s="21"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19.2559815262495</v>
      </c>
      <c r="L26" s="21"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19.2559815262495</v>
      </c>
      <c r="M26" s="21"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19.2559815262495</v>
      </c>
      <c r="N26" s="7" t="n">
        <f aca="false">SUM(B26:M26)</f>
        <v>231.071778314994</v>
      </c>
      <c r="O26" s="22" t="n">
        <f aca="false">MAX(B26:M26)</f>
        <v>19.2559815262495</v>
      </c>
      <c r="P26" s="12" t="n">
        <f aca="false">O26/parametros_recargas!$B$6</f>
        <v>0.128373210174996</v>
      </c>
    </row>
    <row r="27" customFormat="false" ht="15" hidden="false" customHeight="false" outlineLevel="0" collapsed="false">
      <c r="A27" s="9" t="str">
        <f aca="false">parametros_recargas!$B$97</f>
        <v>Ensayo de pérdidas</v>
      </c>
      <c r="B27" s="21"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326.096576480646</v>
      </c>
      <c r="C27" s="21"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325.596576480646</v>
      </c>
      <c r="D27" s="21"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325.871576480646</v>
      </c>
      <c r="E27" s="21"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325.871576480646</v>
      </c>
      <c r="F27" s="21"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325.776576480646</v>
      </c>
      <c r="G27" s="21"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325.561576480646</v>
      </c>
      <c r="H27" s="21"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325.776576480646</v>
      </c>
      <c r="I27" s="21"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325.776576480646</v>
      </c>
      <c r="J27" s="21"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325.716576480646</v>
      </c>
      <c r="K27" s="21"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325.501576480646</v>
      </c>
      <c r="L27" s="21"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325.346576480646</v>
      </c>
      <c r="M27" s="21"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326.226576480646</v>
      </c>
      <c r="N27" s="7" t="n">
        <f aca="false">SUM(B27:M27)</f>
        <v>3909.11891776775</v>
      </c>
      <c r="O27" s="22" t="n">
        <f aca="false">MAX(B27:M27)</f>
        <v>326.226576480646</v>
      </c>
      <c r="P27" s="12" t="n">
        <f aca="false">O27/parametros_recargas!$B$6</f>
        <v>2.17484384320431</v>
      </c>
    </row>
    <row r="28" customFormat="false" ht="15" hidden="false" customHeight="false" outlineLevel="0" collapsed="false">
      <c r="A28" s="9" t="str">
        <f aca="false">parametros_recargas!$B$98</f>
        <v>Precinto, etiqueta y despacho</v>
      </c>
      <c r="B28" s="21"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326.096576480646</v>
      </c>
      <c r="C28" s="21"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325.596576480646</v>
      </c>
      <c r="D28" s="21"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325.871576480646</v>
      </c>
      <c r="E28" s="21"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325.871576480646</v>
      </c>
      <c r="F28" s="21"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325.776576480646</v>
      </c>
      <c r="G28" s="21"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325.561576480646</v>
      </c>
      <c r="H28" s="21"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325.776576480646</v>
      </c>
      <c r="I28" s="21"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325.776576480646</v>
      </c>
      <c r="J28" s="21"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325.716576480646</v>
      </c>
      <c r="K28" s="21"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325.501576480646</v>
      </c>
      <c r="L28" s="21"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325.346576480646</v>
      </c>
      <c r="M28" s="21"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326.226576480646</v>
      </c>
      <c r="N28" s="7" t="n">
        <f aca="false">SUM(B28:M28)</f>
        <v>3909.11891776775</v>
      </c>
      <c r="O28" s="22" t="n">
        <f aca="false">MAX(B28:M28)</f>
        <v>326.226576480646</v>
      </c>
      <c r="P28" s="12" t="n">
        <f aca="false">O28/parametros_recargas!$B$6</f>
        <v>2.17484384320431</v>
      </c>
    </row>
    <row r="29" customFormat="false" ht="15" hidden="false" customHeight="false" outlineLevel="0" collapsed="false">
      <c r="A29" s="9" t="str">
        <f aca="false">parametros_recargas!$B$99</f>
        <v>Inutilización y disposición final</v>
      </c>
      <c r="B29" s="21"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25.4106741501764</v>
      </c>
      <c r="C29" s="21"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25.4106741501764</v>
      </c>
      <c r="D29" s="21"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25.4106741501764</v>
      </c>
      <c r="E29" s="21"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25.4106741501764</v>
      </c>
      <c r="F29" s="21"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25.4106741501764</v>
      </c>
      <c r="G29" s="21"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25.4106741501764</v>
      </c>
      <c r="H29" s="21"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25.4106741501764</v>
      </c>
      <c r="I29" s="21"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25.4106741501764</v>
      </c>
      <c r="J29" s="21"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25.4106741501764</v>
      </c>
      <c r="K29" s="21"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25.4106741501764</v>
      </c>
      <c r="L29" s="21"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25.4106741501764</v>
      </c>
      <c r="M29" s="21"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25.4106741501764</v>
      </c>
      <c r="N29" s="7" t="n">
        <f aca="false">SUM(B29:M29)</f>
        <v>304.928089802116</v>
      </c>
      <c r="O29" s="22" t="n">
        <f aca="false">MAX(B29:M29)</f>
        <v>25.4106741501764</v>
      </c>
      <c r="P29" s="12" t="n">
        <f aca="false">O29/parametros_recargas!$B$6</f>
        <v>0.169404494334509</v>
      </c>
    </row>
    <row r="30" customFormat="false" ht="15" hidden="false" customHeight="false" outlineLevel="0" collapsed="false">
      <c r="A30" s="9" t="str">
        <f aca="false">parametros_recargas!$B$100</f>
        <v>PH de mangueras (CO₂ y rodantes)</v>
      </c>
      <c r="B30" s="21" t="n">
        <f aca="false">'Plan mensual'!D29</f>
        <v>9.57014915457966</v>
      </c>
      <c r="C30" s="21" t="n">
        <f aca="false">'Plan mensual'!E29</f>
        <v>9.57014915457966</v>
      </c>
      <c r="D30" s="21" t="n">
        <f aca="false">'Plan mensual'!F29</f>
        <v>9.57014915457966</v>
      </c>
      <c r="E30" s="21" t="n">
        <f aca="false">'Plan mensual'!G29</f>
        <v>9.57014915457966</v>
      </c>
      <c r="F30" s="21" t="n">
        <f aca="false">'Plan mensual'!H29</f>
        <v>9.57014915457966</v>
      </c>
      <c r="G30" s="21" t="n">
        <f aca="false">'Plan mensual'!I29</f>
        <v>9.57014915457966</v>
      </c>
      <c r="H30" s="21" t="n">
        <f aca="false">'Plan mensual'!J29</f>
        <v>9.57014915457966</v>
      </c>
      <c r="I30" s="21" t="n">
        <f aca="false">'Plan mensual'!K29</f>
        <v>9.57014915457966</v>
      </c>
      <c r="J30" s="21" t="n">
        <f aca="false">'Plan mensual'!L29</f>
        <v>9.57014915457966</v>
      </c>
      <c r="K30" s="21" t="n">
        <f aca="false">'Plan mensual'!M29</f>
        <v>9.57014915457966</v>
      </c>
      <c r="L30" s="21" t="n">
        <f aca="false">'Plan mensual'!N29</f>
        <v>9.57014915457966</v>
      </c>
      <c r="M30" s="21" t="n">
        <f aca="false">'Plan mensual'!O29</f>
        <v>9.57014915457966</v>
      </c>
      <c r="N30" s="7" t="n">
        <f aca="false">SUM(B30:M30)</f>
        <v>114.841789854956</v>
      </c>
      <c r="O30" s="22" t="n">
        <f aca="false">MAX(B30:M30)</f>
        <v>9.57014915457966</v>
      </c>
      <c r="P30" s="12" t="n">
        <f aca="false">O30/parametros_recargas!$B$6</f>
        <v>0.0638009943638644</v>
      </c>
    </row>
    <row r="33" customFormat="false" ht="23.85" hidden="false" customHeight="false" outlineLevel="0" collapsed="false">
      <c r="A33" s="3" t="s">
        <v>364</v>
      </c>
      <c r="B33" s="3" t="s">
        <v>147</v>
      </c>
      <c r="C33" s="3" t="s">
        <v>148</v>
      </c>
      <c r="D33" s="3" t="s">
        <v>149</v>
      </c>
      <c r="E33" s="3" t="s">
        <v>150</v>
      </c>
      <c r="F33" s="3" t="s">
        <v>151</v>
      </c>
      <c r="G33" s="3" t="s">
        <v>152</v>
      </c>
      <c r="H33" s="3" t="s">
        <v>153</v>
      </c>
      <c r="I33" s="3" t="s">
        <v>154</v>
      </c>
      <c r="J33" s="3" t="s">
        <v>155</v>
      </c>
      <c r="K33" s="3" t="s">
        <v>156</v>
      </c>
      <c r="L33" s="3" t="s">
        <v>157</v>
      </c>
      <c r="M33" s="3" t="s">
        <v>158</v>
      </c>
      <c r="N33" s="3" t="s">
        <v>361</v>
      </c>
      <c r="O33" s="3" t="s">
        <v>362</v>
      </c>
      <c r="P33" s="3" t="s">
        <v>363</v>
      </c>
    </row>
    <row r="34" customFormat="false" ht="15" hidden="false" customHeight="false" outlineLevel="0" collapsed="false">
      <c r="A34" s="9" t="str">
        <f aca="false">parametros_recargas!$B$72</f>
        <v>Recepción y registro</v>
      </c>
      <c r="B34" s="21" t="n">
        <f aca="false">parametros_recargas!$E$72*'Plan mensual'!D53+parametros_recargas!$F$72*'Plan mensual'!D54+parametros_recargas!$G$72*'Plan mensual'!D55+parametros_recargas!$H$72*'Plan mensual'!D56+parametros_recargas!$I$72*'Plan mensual'!D57+parametros_recargas!$J$72*'Plan mensual'!D58+parametros_recargas!$K$72*'Plan mensual'!D59+parametros_recargas!$L$72*'Plan mensual'!D60+parametros_recargas!$M$72*'Plan mensual'!D62</f>
        <v>1466.30656068329</v>
      </c>
      <c r="C34" s="21" t="n">
        <f aca="false">parametros_recargas!$E$72*'Plan mensual'!E53+parametros_recargas!$F$72*'Plan mensual'!E54+parametros_recargas!$G$72*'Plan mensual'!E55+parametros_recargas!$H$72*'Plan mensual'!E56+parametros_recargas!$I$72*'Plan mensual'!E57+parametros_recargas!$J$72*'Plan mensual'!E58+parametros_recargas!$K$72*'Plan mensual'!E59+parametros_recargas!$L$72*'Plan mensual'!E60+parametros_recargas!$M$72*'Plan mensual'!E62</f>
        <v>1465.13656068329</v>
      </c>
      <c r="D34" s="21" t="n">
        <f aca="false">parametros_recargas!$E$72*'Plan mensual'!F53+parametros_recargas!$F$72*'Plan mensual'!F54+parametros_recargas!$G$72*'Plan mensual'!F55+parametros_recargas!$H$72*'Plan mensual'!F56+parametros_recargas!$I$72*'Plan mensual'!F57+parametros_recargas!$J$72*'Plan mensual'!F58+parametros_recargas!$K$72*'Plan mensual'!F59+parametros_recargas!$L$72*'Plan mensual'!F60+parametros_recargas!$M$72*'Plan mensual'!F62</f>
        <v>1465.47856068329</v>
      </c>
      <c r="E34" s="21" t="n">
        <f aca="false">parametros_recargas!$E$72*'Plan mensual'!G53+parametros_recargas!$F$72*'Plan mensual'!G54+parametros_recargas!$G$72*'Plan mensual'!G55+parametros_recargas!$H$72*'Plan mensual'!G56+parametros_recargas!$I$72*'Plan mensual'!G57+parametros_recargas!$J$72*'Plan mensual'!G58+parametros_recargas!$K$72*'Plan mensual'!G59+parametros_recargas!$L$72*'Plan mensual'!G60+parametros_recargas!$M$72*'Plan mensual'!G62</f>
        <v>1465.47856068329</v>
      </c>
      <c r="F34" s="21" t="n">
        <f aca="false">parametros_recargas!$E$72*'Plan mensual'!H53+parametros_recargas!$F$72*'Plan mensual'!H54+parametros_recargas!$G$72*'Plan mensual'!H55+parametros_recargas!$H$72*'Plan mensual'!H56+parametros_recargas!$I$72*'Plan mensual'!H57+parametros_recargas!$J$72*'Plan mensual'!H58+parametros_recargas!$K$72*'Plan mensual'!H59+parametros_recargas!$L$72*'Plan mensual'!H60+parametros_recargas!$M$72*'Plan mensual'!H62</f>
        <v>1465.19596068329</v>
      </c>
      <c r="G34" s="21" t="n">
        <f aca="false">parametros_recargas!$E$72*'Plan mensual'!I53+parametros_recargas!$F$72*'Plan mensual'!I54+parametros_recargas!$G$72*'Plan mensual'!I55+parametros_recargas!$H$72*'Plan mensual'!I56+parametros_recargas!$I$72*'Plan mensual'!I57+parametros_recargas!$J$72*'Plan mensual'!I58+parametros_recargas!$K$72*'Plan mensual'!I59+parametros_recargas!$L$72*'Plan mensual'!I60+parametros_recargas!$M$72*'Plan mensual'!I62</f>
        <v>1464.87376068329</v>
      </c>
      <c r="H34" s="21" t="n">
        <f aca="false">parametros_recargas!$E$72*'Plan mensual'!J53+parametros_recargas!$F$72*'Plan mensual'!J54+parametros_recargas!$G$72*'Plan mensual'!J55+parametros_recargas!$H$72*'Plan mensual'!J56+parametros_recargas!$I$72*'Plan mensual'!J57+parametros_recargas!$J$72*'Plan mensual'!J58+parametros_recargas!$K$72*'Plan mensual'!J59+parametros_recargas!$L$72*'Plan mensual'!J60+parametros_recargas!$M$72*'Plan mensual'!J62</f>
        <v>1465.19596068329</v>
      </c>
      <c r="I34" s="21" t="n">
        <f aca="false">parametros_recargas!$E$72*'Plan mensual'!K53+parametros_recargas!$F$72*'Plan mensual'!K54+parametros_recargas!$G$72*'Plan mensual'!K55+parametros_recargas!$H$72*'Plan mensual'!K56+parametros_recargas!$I$72*'Plan mensual'!K57+parametros_recargas!$J$72*'Plan mensual'!K58+parametros_recargas!$K$72*'Plan mensual'!K59+parametros_recargas!$L$72*'Plan mensual'!K60+parametros_recargas!$M$72*'Plan mensual'!K62</f>
        <v>1465.19596068329</v>
      </c>
      <c r="J34" s="21" t="n">
        <f aca="false">parametros_recargas!$E$72*'Plan mensual'!L53+parametros_recargas!$F$72*'Plan mensual'!L54+parametros_recargas!$G$72*'Plan mensual'!L55+parametros_recargas!$H$72*'Plan mensual'!L56+parametros_recargas!$I$72*'Plan mensual'!L57+parametros_recargas!$J$72*'Plan mensual'!L58+parametros_recargas!$K$72*'Plan mensual'!L59+parametros_recargas!$L$72*'Plan mensual'!L60+parametros_recargas!$M$72*'Plan mensual'!L62</f>
        <v>1465.17616068329</v>
      </c>
      <c r="K34" s="21" t="n">
        <f aca="false">parametros_recargas!$E$72*'Plan mensual'!M53+parametros_recargas!$F$72*'Plan mensual'!M54+parametros_recargas!$G$72*'Plan mensual'!M55+parametros_recargas!$H$72*'Plan mensual'!M56+parametros_recargas!$I$72*'Plan mensual'!M57+parametros_recargas!$J$72*'Plan mensual'!M58+parametros_recargas!$K$72*'Plan mensual'!M59+parametros_recargas!$L$72*'Plan mensual'!M60+parametros_recargas!$M$72*'Plan mensual'!M62</f>
        <v>1464.85396068329</v>
      </c>
      <c r="L34" s="21" t="n">
        <f aca="false">parametros_recargas!$E$72*'Plan mensual'!N53+parametros_recargas!$F$72*'Plan mensual'!N54+parametros_recargas!$G$72*'Plan mensual'!N55+parametros_recargas!$H$72*'Plan mensual'!N56+parametros_recargas!$I$72*'Plan mensual'!N57+parametros_recargas!$J$72*'Plan mensual'!N58+parametros_recargas!$K$72*'Plan mensual'!N59+parametros_recargas!$L$72*'Plan mensual'!N60+parametros_recargas!$M$72*'Plan mensual'!N62</f>
        <v>1464.55156068329</v>
      </c>
      <c r="M34" s="21" t="n">
        <f aca="false">parametros_recargas!$E$72*'Plan mensual'!O53+parametros_recargas!$F$72*'Plan mensual'!O54+parametros_recargas!$G$72*'Plan mensual'!O55+parametros_recargas!$H$72*'Plan mensual'!O56+parametros_recargas!$I$72*'Plan mensual'!O57+parametros_recargas!$J$72*'Plan mensual'!O58+parametros_recargas!$K$72*'Plan mensual'!O59+parametros_recargas!$L$72*'Plan mensual'!O60+parametros_recargas!$M$72*'Plan mensual'!O62</f>
        <v>1466.85196068329</v>
      </c>
      <c r="N34" s="7" t="n">
        <f aca="false">SUM(B34:M34)</f>
        <v>17584.2955281995</v>
      </c>
      <c r="O34" s="22" t="n">
        <f aca="false">MAX(B34:M34)</f>
        <v>1466.85196068329</v>
      </c>
      <c r="P34" s="12" t="n">
        <f aca="false">O34/parametros_recargas!$B$6</f>
        <v>9.77901307122194</v>
      </c>
    </row>
    <row r="35" customFormat="false" ht="15" hidden="false" customHeight="false" outlineLevel="0" collapsed="false">
      <c r="A35" s="9" t="str">
        <f aca="false">parametros_recargas!$B$73</f>
        <v>Inspección visual</v>
      </c>
      <c r="B35" s="21" t="n">
        <f aca="false">parametros_recargas!$E$73*'Plan mensual'!D53+parametros_recargas!$F$73*'Plan mensual'!D54+parametros_recargas!$G$73*'Plan mensual'!D55+parametros_recargas!$H$73*'Plan mensual'!D56+parametros_recargas!$I$73*'Plan mensual'!D57+parametros_recargas!$J$73*'Plan mensual'!D58+parametros_recargas!$K$73*'Plan mensual'!D59+parametros_recargas!$L$73*'Plan mensual'!D60+parametros_recargas!$M$73*'Plan mensual'!D62</f>
        <v>1460.31796068329</v>
      </c>
      <c r="C35" s="21" t="n">
        <f aca="false">parametros_recargas!$E$73*'Plan mensual'!E53+parametros_recargas!$F$73*'Plan mensual'!E54+parametros_recargas!$G$73*'Plan mensual'!E55+parametros_recargas!$H$73*'Plan mensual'!E56+parametros_recargas!$I$73*'Plan mensual'!E57+parametros_recargas!$J$73*'Plan mensual'!E58+parametros_recargas!$K$73*'Plan mensual'!E59+parametros_recargas!$L$73*'Plan mensual'!E60+parametros_recargas!$M$73*'Plan mensual'!E62</f>
        <v>1460.31796068329</v>
      </c>
      <c r="D35" s="21" t="n">
        <f aca="false">parametros_recargas!$E$73*'Plan mensual'!F53+parametros_recargas!$F$73*'Plan mensual'!F54+parametros_recargas!$G$73*'Plan mensual'!F55+parametros_recargas!$H$73*'Plan mensual'!F56+parametros_recargas!$I$73*'Plan mensual'!F57+parametros_recargas!$J$73*'Plan mensual'!F58+parametros_recargas!$K$73*'Plan mensual'!F59+parametros_recargas!$L$73*'Plan mensual'!F60+parametros_recargas!$M$73*'Plan mensual'!F62</f>
        <v>1460.31796068329</v>
      </c>
      <c r="E35" s="21" t="n">
        <f aca="false">parametros_recargas!$E$73*'Plan mensual'!G53+parametros_recargas!$F$73*'Plan mensual'!G54+parametros_recargas!$G$73*'Plan mensual'!G55+parametros_recargas!$H$73*'Plan mensual'!G56+parametros_recargas!$I$73*'Plan mensual'!G57+parametros_recargas!$J$73*'Plan mensual'!G58+parametros_recargas!$K$73*'Plan mensual'!G59+parametros_recargas!$L$73*'Plan mensual'!G60+parametros_recargas!$M$73*'Plan mensual'!G62</f>
        <v>1460.31796068329</v>
      </c>
      <c r="F35" s="21" t="n">
        <f aca="false">parametros_recargas!$E$73*'Plan mensual'!H53+parametros_recargas!$F$73*'Plan mensual'!H54+parametros_recargas!$G$73*'Plan mensual'!H55+parametros_recargas!$H$73*'Plan mensual'!H56+parametros_recargas!$I$73*'Plan mensual'!H57+parametros_recargas!$J$73*'Plan mensual'!H58+parametros_recargas!$K$73*'Plan mensual'!H59+parametros_recargas!$L$73*'Plan mensual'!H60+parametros_recargas!$M$73*'Plan mensual'!H62</f>
        <v>1460.31796068329</v>
      </c>
      <c r="G35" s="21" t="n">
        <f aca="false">parametros_recargas!$E$73*'Plan mensual'!I53+parametros_recargas!$F$73*'Plan mensual'!I54+parametros_recargas!$G$73*'Plan mensual'!I55+parametros_recargas!$H$73*'Plan mensual'!I56+parametros_recargas!$I$73*'Plan mensual'!I57+parametros_recargas!$J$73*'Plan mensual'!I58+parametros_recargas!$K$73*'Plan mensual'!I59+parametros_recargas!$L$73*'Plan mensual'!I60+parametros_recargas!$M$73*'Plan mensual'!I62</f>
        <v>1460.31796068329</v>
      </c>
      <c r="H35" s="21" t="n">
        <f aca="false">parametros_recargas!$E$73*'Plan mensual'!J53+parametros_recargas!$F$73*'Plan mensual'!J54+parametros_recargas!$G$73*'Plan mensual'!J55+parametros_recargas!$H$73*'Plan mensual'!J56+parametros_recargas!$I$73*'Plan mensual'!J57+parametros_recargas!$J$73*'Plan mensual'!J58+parametros_recargas!$K$73*'Plan mensual'!J59+parametros_recargas!$L$73*'Plan mensual'!J60+parametros_recargas!$M$73*'Plan mensual'!J62</f>
        <v>1460.31796068329</v>
      </c>
      <c r="I35" s="21" t="n">
        <f aca="false">parametros_recargas!$E$73*'Plan mensual'!K53+parametros_recargas!$F$73*'Plan mensual'!K54+parametros_recargas!$G$73*'Plan mensual'!K55+parametros_recargas!$H$73*'Plan mensual'!K56+parametros_recargas!$I$73*'Plan mensual'!K57+parametros_recargas!$J$73*'Plan mensual'!K58+parametros_recargas!$K$73*'Plan mensual'!K59+parametros_recargas!$L$73*'Plan mensual'!K60+parametros_recargas!$M$73*'Plan mensual'!K62</f>
        <v>1460.31796068329</v>
      </c>
      <c r="J35" s="21" t="n">
        <f aca="false">parametros_recargas!$E$73*'Plan mensual'!L53+parametros_recargas!$F$73*'Plan mensual'!L54+parametros_recargas!$G$73*'Plan mensual'!L55+parametros_recargas!$H$73*'Plan mensual'!L56+parametros_recargas!$I$73*'Plan mensual'!L57+parametros_recargas!$J$73*'Plan mensual'!L58+parametros_recargas!$K$73*'Plan mensual'!L59+parametros_recargas!$L$73*'Plan mensual'!L60+parametros_recargas!$M$73*'Plan mensual'!L62</f>
        <v>1460.31796068329</v>
      </c>
      <c r="K35" s="21" t="n">
        <f aca="false">parametros_recargas!$E$73*'Plan mensual'!M53+parametros_recargas!$F$73*'Plan mensual'!M54+parametros_recargas!$G$73*'Plan mensual'!M55+parametros_recargas!$H$73*'Plan mensual'!M56+parametros_recargas!$I$73*'Plan mensual'!M57+parametros_recargas!$J$73*'Plan mensual'!M58+parametros_recargas!$K$73*'Plan mensual'!M59+parametros_recargas!$L$73*'Plan mensual'!M60+parametros_recargas!$M$73*'Plan mensual'!M62</f>
        <v>1460.31796068329</v>
      </c>
      <c r="L35" s="21" t="n">
        <f aca="false">parametros_recargas!$E$73*'Plan mensual'!N53+parametros_recargas!$F$73*'Plan mensual'!N54+parametros_recargas!$G$73*'Plan mensual'!N55+parametros_recargas!$H$73*'Plan mensual'!N56+parametros_recargas!$I$73*'Plan mensual'!N57+parametros_recargas!$J$73*'Plan mensual'!N58+parametros_recargas!$K$73*'Plan mensual'!N59+parametros_recargas!$L$73*'Plan mensual'!N60+parametros_recargas!$M$73*'Plan mensual'!N62</f>
        <v>1460.31796068329</v>
      </c>
      <c r="M35" s="21" t="n">
        <f aca="false">parametros_recargas!$E$73*'Plan mensual'!O53+parametros_recargas!$F$73*'Plan mensual'!O54+parametros_recargas!$G$73*'Plan mensual'!O55+parametros_recargas!$H$73*'Plan mensual'!O56+parametros_recargas!$I$73*'Plan mensual'!O57+parametros_recargas!$J$73*'Plan mensual'!O58+parametros_recargas!$K$73*'Plan mensual'!O59+parametros_recargas!$L$73*'Plan mensual'!O60+parametros_recargas!$M$73*'Plan mensual'!O62</f>
        <v>1460.31796068329</v>
      </c>
      <c r="N35" s="7" t="n">
        <f aca="false">SUM(B35:M35)</f>
        <v>17523.8155281995</v>
      </c>
      <c r="O35" s="22" t="n">
        <f aca="false">MAX(B35:M35)</f>
        <v>1460.31796068329</v>
      </c>
      <c r="P35" s="12" t="n">
        <f aca="false">O35/parametros_recargas!$B$6</f>
        <v>9.73545307122194</v>
      </c>
    </row>
    <row r="36" customFormat="false" ht="15" hidden="false" customHeight="false" outlineLevel="0" collapsed="false">
      <c r="A36" s="9" t="str">
        <f aca="false">parametros_recargas!$B$74</f>
        <v>Descarga ABC — ruta recuperable</v>
      </c>
      <c r="B36" s="21" t="n">
        <f aca="false">parametros_recargas!$E$74*'Plan mensual'!D53+parametros_recargas!$F$74*'Plan mensual'!D54+parametros_recargas!$G$74*'Plan mensual'!D55+parametros_recargas!$H$74*'Plan mensual'!D56+parametros_recargas!$I$74*'Plan mensual'!D57+parametros_recargas!$J$74*'Plan mensual'!D58+parametros_recargas!$K$74*'Plan mensual'!D59+parametros_recargas!$L$74*'Plan mensual'!D60+parametros_recargas!$M$74*'Plan mensual'!D62</f>
        <v>1085.50376089939</v>
      </c>
      <c r="C36" s="21" t="n">
        <f aca="false">parametros_recargas!$E$74*'Plan mensual'!E53+parametros_recargas!$F$74*'Plan mensual'!E54+parametros_recargas!$G$74*'Plan mensual'!E55+parametros_recargas!$H$74*'Plan mensual'!E56+parametros_recargas!$I$74*'Plan mensual'!E57+parametros_recargas!$J$74*'Plan mensual'!E58+parametros_recargas!$K$74*'Plan mensual'!E59+parametros_recargas!$L$74*'Plan mensual'!E60+parametros_recargas!$M$74*'Plan mensual'!E62</f>
        <v>1085.50376089939</v>
      </c>
      <c r="D36" s="21" t="n">
        <f aca="false">parametros_recargas!$E$74*'Plan mensual'!F53+parametros_recargas!$F$74*'Plan mensual'!F54+parametros_recargas!$G$74*'Plan mensual'!F55+parametros_recargas!$H$74*'Plan mensual'!F56+parametros_recargas!$I$74*'Plan mensual'!F57+parametros_recargas!$J$74*'Plan mensual'!F58+parametros_recargas!$K$74*'Plan mensual'!F59+parametros_recargas!$L$74*'Plan mensual'!F60+parametros_recargas!$M$74*'Plan mensual'!F62</f>
        <v>1085.50376089939</v>
      </c>
      <c r="E36" s="21" t="n">
        <f aca="false">parametros_recargas!$E$74*'Plan mensual'!G53+parametros_recargas!$F$74*'Plan mensual'!G54+parametros_recargas!$G$74*'Plan mensual'!G55+parametros_recargas!$H$74*'Plan mensual'!G56+parametros_recargas!$I$74*'Plan mensual'!G57+parametros_recargas!$J$74*'Plan mensual'!G58+parametros_recargas!$K$74*'Plan mensual'!G59+parametros_recargas!$L$74*'Plan mensual'!G60+parametros_recargas!$M$74*'Plan mensual'!G62</f>
        <v>1085.50376089939</v>
      </c>
      <c r="F36" s="21" t="n">
        <f aca="false">parametros_recargas!$E$74*'Plan mensual'!H53+parametros_recargas!$F$74*'Plan mensual'!H54+parametros_recargas!$G$74*'Plan mensual'!H55+parametros_recargas!$H$74*'Plan mensual'!H56+parametros_recargas!$I$74*'Plan mensual'!H57+parametros_recargas!$J$74*'Plan mensual'!H58+parametros_recargas!$K$74*'Plan mensual'!H59+parametros_recargas!$L$74*'Plan mensual'!H60+parametros_recargas!$M$74*'Plan mensual'!H62</f>
        <v>1085.50376089939</v>
      </c>
      <c r="G36" s="21" t="n">
        <f aca="false">parametros_recargas!$E$74*'Plan mensual'!I53+parametros_recargas!$F$74*'Plan mensual'!I54+parametros_recargas!$G$74*'Plan mensual'!I55+parametros_recargas!$H$74*'Plan mensual'!I56+parametros_recargas!$I$74*'Plan mensual'!I57+parametros_recargas!$J$74*'Plan mensual'!I58+parametros_recargas!$K$74*'Plan mensual'!I59+parametros_recargas!$L$74*'Plan mensual'!I60+parametros_recargas!$M$74*'Plan mensual'!I62</f>
        <v>1085.50376089939</v>
      </c>
      <c r="H36" s="21" t="n">
        <f aca="false">parametros_recargas!$E$74*'Plan mensual'!J53+parametros_recargas!$F$74*'Plan mensual'!J54+parametros_recargas!$G$74*'Plan mensual'!J55+parametros_recargas!$H$74*'Plan mensual'!J56+parametros_recargas!$I$74*'Plan mensual'!J57+parametros_recargas!$J$74*'Plan mensual'!J58+parametros_recargas!$K$74*'Plan mensual'!J59+parametros_recargas!$L$74*'Plan mensual'!J60+parametros_recargas!$M$74*'Plan mensual'!J62</f>
        <v>1085.50376089939</v>
      </c>
      <c r="I36" s="21" t="n">
        <f aca="false">parametros_recargas!$E$74*'Plan mensual'!K53+parametros_recargas!$F$74*'Plan mensual'!K54+parametros_recargas!$G$74*'Plan mensual'!K55+parametros_recargas!$H$74*'Plan mensual'!K56+parametros_recargas!$I$74*'Plan mensual'!K57+parametros_recargas!$J$74*'Plan mensual'!K58+parametros_recargas!$K$74*'Plan mensual'!K59+parametros_recargas!$L$74*'Plan mensual'!K60+parametros_recargas!$M$74*'Plan mensual'!K62</f>
        <v>1085.50376089939</v>
      </c>
      <c r="J36" s="21" t="n">
        <f aca="false">parametros_recargas!$E$74*'Plan mensual'!L53+parametros_recargas!$F$74*'Plan mensual'!L54+parametros_recargas!$G$74*'Plan mensual'!L55+parametros_recargas!$H$74*'Plan mensual'!L56+parametros_recargas!$I$74*'Plan mensual'!L57+parametros_recargas!$J$74*'Plan mensual'!L58+parametros_recargas!$K$74*'Plan mensual'!L59+parametros_recargas!$L$74*'Plan mensual'!L60+parametros_recargas!$M$74*'Plan mensual'!L62</f>
        <v>1085.50376089939</v>
      </c>
      <c r="K36" s="21" t="n">
        <f aca="false">parametros_recargas!$E$74*'Plan mensual'!M53+parametros_recargas!$F$74*'Plan mensual'!M54+parametros_recargas!$G$74*'Plan mensual'!M55+parametros_recargas!$H$74*'Plan mensual'!M56+parametros_recargas!$I$74*'Plan mensual'!M57+parametros_recargas!$J$74*'Plan mensual'!M58+parametros_recargas!$K$74*'Plan mensual'!M59+parametros_recargas!$L$74*'Plan mensual'!M60+parametros_recargas!$M$74*'Plan mensual'!M62</f>
        <v>1085.50376089939</v>
      </c>
      <c r="L36" s="21" t="n">
        <f aca="false">parametros_recargas!$E$74*'Plan mensual'!N53+parametros_recargas!$F$74*'Plan mensual'!N54+parametros_recargas!$G$74*'Plan mensual'!N55+parametros_recargas!$H$74*'Plan mensual'!N56+parametros_recargas!$I$74*'Plan mensual'!N57+parametros_recargas!$J$74*'Plan mensual'!N58+parametros_recargas!$K$74*'Plan mensual'!N59+parametros_recargas!$L$74*'Plan mensual'!N60+parametros_recargas!$M$74*'Plan mensual'!N62</f>
        <v>1085.50376089939</v>
      </c>
      <c r="M36" s="21" t="n">
        <f aca="false">parametros_recargas!$E$74*'Plan mensual'!O53+parametros_recargas!$F$74*'Plan mensual'!O54+parametros_recargas!$G$74*'Plan mensual'!O55+parametros_recargas!$H$74*'Plan mensual'!O56+parametros_recargas!$I$74*'Plan mensual'!O57+parametros_recargas!$J$74*'Plan mensual'!O58+parametros_recargas!$K$74*'Plan mensual'!O59+parametros_recargas!$L$74*'Plan mensual'!O60+parametros_recargas!$M$74*'Plan mensual'!O62</f>
        <v>1085.50376089939</v>
      </c>
      <c r="N36" s="7" t="n">
        <f aca="false">SUM(B36:M36)</f>
        <v>13026.0451307926</v>
      </c>
      <c r="O36" s="22" t="n">
        <f aca="false">MAX(B36:M36)</f>
        <v>1085.50376089939</v>
      </c>
      <c r="P36" s="12" t="n">
        <f aca="false">O36/parametros_recargas!$B$6</f>
        <v>7.23669173932925</v>
      </c>
    </row>
    <row r="37" customFormat="false" ht="15" hidden="false" customHeight="false" outlineLevel="0" collapsed="false">
      <c r="A37" s="9" t="str">
        <f aca="false">parametros_recargas!$B$75</f>
        <v>Descarga ABC — ruta descarte</v>
      </c>
      <c r="B37" s="21" t="n">
        <f aca="false">parametros_recargas!$E$75*'Plan mensual'!D53+parametros_recargas!$F$75*'Plan mensual'!D54+parametros_recargas!$G$75*'Plan mensual'!D55+parametros_recargas!$H$75*'Plan mensual'!D56+parametros_recargas!$I$75*'Plan mensual'!D57+parametros_recargas!$J$75*'Plan mensual'!D58+parametros_recargas!$K$75*'Plan mensual'!D59+parametros_recargas!$L$75*'Plan mensual'!D60+parametros_recargas!$M$75*'Plan mensual'!D62</f>
        <v>127.706324811693</v>
      </c>
      <c r="C37" s="21" t="n">
        <f aca="false">parametros_recargas!$E$75*'Plan mensual'!E53+parametros_recargas!$F$75*'Plan mensual'!E54+parametros_recargas!$G$75*'Plan mensual'!E55+parametros_recargas!$H$75*'Plan mensual'!E56+parametros_recargas!$I$75*'Plan mensual'!E57+parametros_recargas!$J$75*'Plan mensual'!E58+parametros_recargas!$K$75*'Plan mensual'!E59+parametros_recargas!$L$75*'Plan mensual'!E60+parametros_recargas!$M$75*'Plan mensual'!E62</f>
        <v>127.706324811693</v>
      </c>
      <c r="D37" s="21" t="n">
        <f aca="false">parametros_recargas!$E$75*'Plan mensual'!F53+parametros_recargas!$F$75*'Plan mensual'!F54+parametros_recargas!$G$75*'Plan mensual'!F55+parametros_recargas!$H$75*'Plan mensual'!F56+parametros_recargas!$I$75*'Plan mensual'!F57+parametros_recargas!$J$75*'Plan mensual'!F58+parametros_recargas!$K$75*'Plan mensual'!F59+parametros_recargas!$L$75*'Plan mensual'!F60+parametros_recargas!$M$75*'Plan mensual'!F62</f>
        <v>127.706324811693</v>
      </c>
      <c r="E37" s="21" t="n">
        <f aca="false">parametros_recargas!$E$75*'Plan mensual'!G53+parametros_recargas!$F$75*'Plan mensual'!G54+parametros_recargas!$G$75*'Plan mensual'!G55+parametros_recargas!$H$75*'Plan mensual'!G56+parametros_recargas!$I$75*'Plan mensual'!G57+parametros_recargas!$J$75*'Plan mensual'!G58+parametros_recargas!$K$75*'Plan mensual'!G59+parametros_recargas!$L$75*'Plan mensual'!G60+parametros_recargas!$M$75*'Plan mensual'!G62</f>
        <v>127.706324811693</v>
      </c>
      <c r="F37" s="21" t="n">
        <f aca="false">parametros_recargas!$E$75*'Plan mensual'!H53+parametros_recargas!$F$75*'Plan mensual'!H54+parametros_recargas!$G$75*'Plan mensual'!H55+parametros_recargas!$H$75*'Plan mensual'!H56+parametros_recargas!$I$75*'Plan mensual'!H57+parametros_recargas!$J$75*'Plan mensual'!H58+parametros_recargas!$K$75*'Plan mensual'!H59+parametros_recargas!$L$75*'Plan mensual'!H60+parametros_recargas!$M$75*'Plan mensual'!H62</f>
        <v>127.706324811693</v>
      </c>
      <c r="G37" s="21" t="n">
        <f aca="false">parametros_recargas!$E$75*'Plan mensual'!I53+parametros_recargas!$F$75*'Plan mensual'!I54+parametros_recargas!$G$75*'Plan mensual'!I55+parametros_recargas!$H$75*'Plan mensual'!I56+parametros_recargas!$I$75*'Plan mensual'!I57+parametros_recargas!$J$75*'Plan mensual'!I58+parametros_recargas!$K$75*'Plan mensual'!I59+parametros_recargas!$L$75*'Plan mensual'!I60+parametros_recargas!$M$75*'Plan mensual'!I62</f>
        <v>127.706324811693</v>
      </c>
      <c r="H37" s="21" t="n">
        <f aca="false">parametros_recargas!$E$75*'Plan mensual'!J53+parametros_recargas!$F$75*'Plan mensual'!J54+parametros_recargas!$G$75*'Plan mensual'!J55+parametros_recargas!$H$75*'Plan mensual'!J56+parametros_recargas!$I$75*'Plan mensual'!J57+parametros_recargas!$J$75*'Plan mensual'!J58+parametros_recargas!$K$75*'Plan mensual'!J59+parametros_recargas!$L$75*'Plan mensual'!J60+parametros_recargas!$M$75*'Plan mensual'!J62</f>
        <v>127.706324811693</v>
      </c>
      <c r="I37" s="21" t="n">
        <f aca="false">parametros_recargas!$E$75*'Plan mensual'!K53+parametros_recargas!$F$75*'Plan mensual'!K54+parametros_recargas!$G$75*'Plan mensual'!K55+parametros_recargas!$H$75*'Plan mensual'!K56+parametros_recargas!$I$75*'Plan mensual'!K57+parametros_recargas!$J$75*'Plan mensual'!K58+parametros_recargas!$K$75*'Plan mensual'!K59+parametros_recargas!$L$75*'Plan mensual'!K60+parametros_recargas!$M$75*'Plan mensual'!K62</f>
        <v>127.706324811693</v>
      </c>
      <c r="J37" s="21" t="n">
        <f aca="false">parametros_recargas!$E$75*'Plan mensual'!L53+parametros_recargas!$F$75*'Plan mensual'!L54+parametros_recargas!$G$75*'Plan mensual'!L55+parametros_recargas!$H$75*'Plan mensual'!L56+parametros_recargas!$I$75*'Plan mensual'!L57+parametros_recargas!$J$75*'Plan mensual'!L58+parametros_recargas!$K$75*'Plan mensual'!L59+parametros_recargas!$L$75*'Plan mensual'!L60+parametros_recargas!$M$75*'Plan mensual'!L62</f>
        <v>127.706324811693</v>
      </c>
      <c r="K37" s="21" t="n">
        <f aca="false">parametros_recargas!$E$75*'Plan mensual'!M53+parametros_recargas!$F$75*'Plan mensual'!M54+parametros_recargas!$G$75*'Plan mensual'!M55+parametros_recargas!$H$75*'Plan mensual'!M56+parametros_recargas!$I$75*'Plan mensual'!M57+parametros_recargas!$J$75*'Plan mensual'!M58+parametros_recargas!$K$75*'Plan mensual'!M59+parametros_recargas!$L$75*'Plan mensual'!M60+parametros_recargas!$M$75*'Plan mensual'!M62</f>
        <v>127.706324811693</v>
      </c>
      <c r="L37" s="21" t="n">
        <f aca="false">parametros_recargas!$E$75*'Plan mensual'!N53+parametros_recargas!$F$75*'Plan mensual'!N54+parametros_recargas!$G$75*'Plan mensual'!N55+parametros_recargas!$H$75*'Plan mensual'!N56+parametros_recargas!$I$75*'Plan mensual'!N57+parametros_recargas!$J$75*'Plan mensual'!N58+parametros_recargas!$K$75*'Plan mensual'!N59+parametros_recargas!$L$75*'Plan mensual'!N60+parametros_recargas!$M$75*'Plan mensual'!N62</f>
        <v>127.706324811693</v>
      </c>
      <c r="M37" s="21" t="n">
        <f aca="false">parametros_recargas!$E$75*'Plan mensual'!O53+parametros_recargas!$F$75*'Plan mensual'!O54+parametros_recargas!$G$75*'Plan mensual'!O55+parametros_recargas!$H$75*'Plan mensual'!O56+parametros_recargas!$I$75*'Plan mensual'!O57+parametros_recargas!$J$75*'Plan mensual'!O58+parametros_recargas!$K$75*'Plan mensual'!O59+parametros_recargas!$L$75*'Plan mensual'!O60+parametros_recargas!$M$75*'Plan mensual'!O62</f>
        <v>127.706324811693</v>
      </c>
      <c r="N37" s="7" t="n">
        <f aca="false">SUM(B37:M37)</f>
        <v>1532.47589774031</v>
      </c>
      <c r="O37" s="22" t="n">
        <f aca="false">MAX(B37:M37)</f>
        <v>127.706324811693</v>
      </c>
      <c r="P37" s="12" t="n">
        <f aca="false">O37/parametros_recargas!$B$6</f>
        <v>0.851375498744618</v>
      </c>
    </row>
    <row r="38" customFormat="false" ht="15" hidden="false" customHeight="false" outlineLevel="0" collapsed="false">
      <c r="A38" s="9" t="str">
        <f aca="false">parametros_recargas!$B$76</f>
        <v>Descarga BC</v>
      </c>
      <c r="B38" s="21"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2.25858081462087</v>
      </c>
      <c r="C38" s="21"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2.25858081462087</v>
      </c>
      <c r="D38" s="21"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2.25858081462087</v>
      </c>
      <c r="E38" s="21"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2.25858081462087</v>
      </c>
      <c r="F38" s="21"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2.25858081462087</v>
      </c>
      <c r="G38" s="21"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2.25858081462087</v>
      </c>
      <c r="H38" s="21"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2.25858081462087</v>
      </c>
      <c r="I38" s="21"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2.25858081462087</v>
      </c>
      <c r="J38" s="21"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2.25858081462087</v>
      </c>
      <c r="K38" s="21"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2.25858081462087</v>
      </c>
      <c r="L38" s="21"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2.25858081462087</v>
      </c>
      <c r="M38" s="21"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2.25858081462087</v>
      </c>
      <c r="N38" s="7" t="n">
        <f aca="false">SUM(B38:M38)</f>
        <v>27.1029697754505</v>
      </c>
      <c r="O38" s="22" t="n">
        <f aca="false">MAX(B38:M38)</f>
        <v>2.25858081462087</v>
      </c>
      <c r="P38" s="12" t="n">
        <f aca="false">O38/parametros_recargas!$B$6</f>
        <v>0.0150572054308058</v>
      </c>
    </row>
    <row r="39" customFormat="false" ht="15" hidden="false" customHeight="false" outlineLevel="0" collapsed="false">
      <c r="A39" s="9" t="str">
        <f aca="false">parametros_recargas!$B$77</f>
        <v>Descarga de agua / AFFF / sales K</v>
      </c>
      <c r="B39" s="21"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64.8063634900922</v>
      </c>
      <c r="C39" s="21"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64.8063634900922</v>
      </c>
      <c r="D39" s="21"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64.8063634900922</v>
      </c>
      <c r="E39" s="21"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64.8063634900922</v>
      </c>
      <c r="F39" s="21"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64.8063634900922</v>
      </c>
      <c r="G39" s="21"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64.8063634900922</v>
      </c>
      <c r="H39" s="21"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64.8063634900922</v>
      </c>
      <c r="I39" s="21"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64.8063634900922</v>
      </c>
      <c r="J39" s="21"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64.8063634900922</v>
      </c>
      <c r="K39" s="21"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64.8063634900922</v>
      </c>
      <c r="L39" s="21"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64.8063634900922</v>
      </c>
      <c r="M39" s="21"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64.8063634900922</v>
      </c>
      <c r="N39" s="7" t="n">
        <f aca="false">SUM(B39:M39)</f>
        <v>777.676361881106</v>
      </c>
      <c r="O39" s="22" t="n">
        <f aca="false">MAX(B39:M39)</f>
        <v>64.8063634900922</v>
      </c>
      <c r="P39" s="12" t="n">
        <f aca="false">O39/parametros_recargas!$B$6</f>
        <v>0.432042423267281</v>
      </c>
    </row>
    <row r="40" customFormat="false" ht="15" hidden="false" customHeight="false" outlineLevel="0" collapsed="false">
      <c r="A40" s="9" t="str">
        <f aca="false">parametros_recargas!$B$78</f>
        <v>Recuperación de CO₂</v>
      </c>
      <c r="B40" s="21"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27.1672162911613</v>
      </c>
      <c r="C40" s="21"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27.1672162911613</v>
      </c>
      <c r="D40" s="21"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27.1672162911613</v>
      </c>
      <c r="E40" s="21"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27.1672162911613</v>
      </c>
      <c r="F40" s="21"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27.1672162911613</v>
      </c>
      <c r="G40" s="21"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27.1672162911613</v>
      </c>
      <c r="H40" s="21"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27.1672162911613</v>
      </c>
      <c r="I40" s="21"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27.1672162911613</v>
      </c>
      <c r="J40" s="21"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27.1672162911613</v>
      </c>
      <c r="K40" s="21"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27.1672162911613</v>
      </c>
      <c r="L40" s="21"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27.1672162911613</v>
      </c>
      <c r="M40" s="21"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27.1672162911613</v>
      </c>
      <c r="N40" s="7" t="n">
        <f aca="false">SUM(B40:M40)</f>
        <v>326.006595493936</v>
      </c>
      <c r="O40" s="22" t="n">
        <f aca="false">MAX(B40:M40)</f>
        <v>27.1672162911613</v>
      </c>
      <c r="P40" s="12" t="n">
        <f aca="false">O40/parametros_recargas!$B$6</f>
        <v>0.181114775274409</v>
      </c>
    </row>
    <row r="41" customFormat="false" ht="15" hidden="false" customHeight="false" outlineLevel="0" collapsed="false">
      <c r="A41" s="9" t="str">
        <f aca="false">parametros_recargas!$B$79</f>
        <v>Recuperación de halogenado</v>
      </c>
      <c r="B41" s="21"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1.31558057059637</v>
      </c>
      <c r="C41" s="21"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1.31558057059637</v>
      </c>
      <c r="D41" s="21"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1.31558057059637</v>
      </c>
      <c r="E41" s="21"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1.31558057059637</v>
      </c>
      <c r="F41" s="21"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1.31558057059637</v>
      </c>
      <c r="G41" s="21"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1.31558057059637</v>
      </c>
      <c r="H41" s="21"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1.31558057059637</v>
      </c>
      <c r="I41" s="21"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1.31558057059637</v>
      </c>
      <c r="J41" s="21"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1.31558057059637</v>
      </c>
      <c r="K41" s="21"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1.31558057059637</v>
      </c>
      <c r="L41" s="21"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1.31558057059637</v>
      </c>
      <c r="M41" s="21"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1.31558057059637</v>
      </c>
      <c r="N41" s="7" t="n">
        <f aca="false">SUM(B41:M41)</f>
        <v>15.7869668471564</v>
      </c>
      <c r="O41" s="22" t="n">
        <f aca="false">MAX(B41:M41)</f>
        <v>1.31558057059637</v>
      </c>
      <c r="P41" s="12" t="n">
        <f aca="false">O41/parametros_recargas!$B$6</f>
        <v>0.00877053713730912</v>
      </c>
    </row>
    <row r="42" customFormat="false" ht="15" hidden="false" customHeight="false" outlineLevel="0" collapsed="false">
      <c r="A42" s="9" t="str">
        <f aca="false">parametros_recargas!$B$80</f>
        <v>Desarme y limpieza — recinto</v>
      </c>
      <c r="B42" s="21"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1281.58040974617</v>
      </c>
      <c r="C42" s="21"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1281.58040974617</v>
      </c>
      <c r="D42" s="21"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1281.58040974617</v>
      </c>
      <c r="E42" s="21"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1281.58040974617</v>
      </c>
      <c r="F42" s="21"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1281.58040974617</v>
      </c>
      <c r="G42" s="21"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1281.58040974617</v>
      </c>
      <c r="H42" s="21"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1281.58040974617</v>
      </c>
      <c r="I42" s="21"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1281.58040974617</v>
      </c>
      <c r="J42" s="21"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1281.58040974617</v>
      </c>
      <c r="K42" s="21"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1281.58040974617</v>
      </c>
      <c r="L42" s="21"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1281.58040974617</v>
      </c>
      <c r="M42" s="21"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1281.58040974617</v>
      </c>
      <c r="N42" s="7" t="n">
        <f aca="false">SUM(B42:M42)</f>
        <v>15378.964916954</v>
      </c>
      <c r="O42" s="22" t="n">
        <f aca="false">MAX(B42:M42)</f>
        <v>1281.58040974617</v>
      </c>
      <c r="P42" s="12" t="n">
        <f aca="false">O42/parametros_recargas!$B$6</f>
        <v>8.54386939830779</v>
      </c>
    </row>
    <row r="43" customFormat="false" ht="15" hidden="false" customHeight="false" outlineLevel="0" collapsed="false">
      <c r="A43" s="9" t="str">
        <f aca="false">parametros_recargas!$B$81</f>
        <v>Desarme e inspección interior — zona general</v>
      </c>
      <c r="B43" s="21"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93.2891603518499</v>
      </c>
      <c r="C43" s="21"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93.2891603518499</v>
      </c>
      <c r="D43" s="21"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93.2891603518499</v>
      </c>
      <c r="E43" s="21"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93.2891603518499</v>
      </c>
      <c r="F43" s="21"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93.2891603518499</v>
      </c>
      <c r="G43" s="21"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93.2891603518499</v>
      </c>
      <c r="H43" s="21"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93.2891603518499</v>
      </c>
      <c r="I43" s="21"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93.2891603518499</v>
      </c>
      <c r="J43" s="21"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93.2891603518499</v>
      </c>
      <c r="K43" s="21"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93.2891603518499</v>
      </c>
      <c r="L43" s="21"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93.2891603518499</v>
      </c>
      <c r="M43" s="21"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93.2891603518499</v>
      </c>
      <c r="N43" s="7" t="n">
        <f aca="false">SUM(B43:M43)</f>
        <v>1119.4699242222</v>
      </c>
      <c r="O43" s="22" t="n">
        <f aca="false">MAX(B43:M43)</f>
        <v>93.2891603518499</v>
      </c>
      <c r="P43" s="12" t="n">
        <f aca="false">O43/parametros_recargas!$B$6</f>
        <v>0.621927735678999</v>
      </c>
    </row>
    <row r="44" customFormat="false" ht="15" hidden="false" customHeight="false" outlineLevel="0" collapsed="false">
      <c r="A44" s="9" t="str">
        <f aca="false">parametros_recargas!$B$82</f>
        <v>Laboratorio — Puffer y mufla</v>
      </c>
      <c r="B44" s="21"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1.27932182893155</v>
      </c>
      <c r="C44" s="21"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1.27932182893155</v>
      </c>
      <c r="D44" s="21"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1.27932182893155</v>
      </c>
      <c r="E44" s="21"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1.27932182893155</v>
      </c>
      <c r="F44" s="21"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1.27932182893155</v>
      </c>
      <c r="G44" s="21"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1.27932182893155</v>
      </c>
      <c r="H44" s="21"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1.27932182893155</v>
      </c>
      <c r="I44" s="21"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1.27932182893155</v>
      </c>
      <c r="J44" s="21"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1.27932182893155</v>
      </c>
      <c r="K44" s="21"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1.27932182893155</v>
      </c>
      <c r="L44" s="21"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1.27932182893155</v>
      </c>
      <c r="M44" s="21"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1.27932182893155</v>
      </c>
      <c r="N44" s="7" t="n">
        <f aca="false">SUM(B44:M44)</f>
        <v>15.3518619471786</v>
      </c>
      <c r="O44" s="22" t="n">
        <f aca="false">MAX(B44:M44)</f>
        <v>1.27932182893155</v>
      </c>
      <c r="P44" s="12" t="n">
        <f aca="false">O44/parametros_recargas!$B$6</f>
        <v>0.00852881219287698</v>
      </c>
    </row>
    <row r="45" customFormat="false" ht="15" hidden="false" customHeight="false" outlineLevel="0" collapsed="false">
      <c r="A45" s="9" t="str">
        <f aca="false">parametros_recargas!$B$83</f>
        <v>Prueba hidráulica</v>
      </c>
      <c r="B45" s="21"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311.505501183686</v>
      </c>
      <c r="C45" s="21"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311.505501183686</v>
      </c>
      <c r="D45" s="21"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311.505501183686</v>
      </c>
      <c r="E45" s="21"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311.505501183686</v>
      </c>
      <c r="F45" s="21"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311.505501183686</v>
      </c>
      <c r="G45" s="21"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311.505501183686</v>
      </c>
      <c r="H45" s="21"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311.505501183686</v>
      </c>
      <c r="I45" s="21"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311.505501183686</v>
      </c>
      <c r="J45" s="21"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311.505501183686</v>
      </c>
      <c r="K45" s="21"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311.505501183686</v>
      </c>
      <c r="L45" s="21"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311.505501183686</v>
      </c>
      <c r="M45" s="21"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311.505501183686</v>
      </c>
      <c r="N45" s="7" t="n">
        <f aca="false">SUM(B45:M45)</f>
        <v>3738.06601420423</v>
      </c>
      <c r="O45" s="22" t="n">
        <f aca="false">MAX(B45:M45)</f>
        <v>311.505501183686</v>
      </c>
      <c r="P45" s="12" t="n">
        <f aca="false">O45/parametros_recargas!$B$6</f>
        <v>2.07670334122457</v>
      </c>
    </row>
    <row r="46" customFormat="false" ht="15" hidden="false" customHeight="false" outlineLevel="0" collapsed="false">
      <c r="A46" s="9" t="str">
        <f aca="false">parametros_recargas!$B$84</f>
        <v>Secado</v>
      </c>
      <c r="B46" s="21"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291.918123536101</v>
      </c>
      <c r="C46" s="21"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291.918123536101</v>
      </c>
      <c r="D46" s="21"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291.918123536101</v>
      </c>
      <c r="E46" s="21"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291.918123536101</v>
      </c>
      <c r="F46" s="21"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291.918123536101</v>
      </c>
      <c r="G46" s="21"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291.918123536101</v>
      </c>
      <c r="H46" s="21"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291.918123536101</v>
      </c>
      <c r="I46" s="21"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291.918123536101</v>
      </c>
      <c r="J46" s="21"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291.918123536101</v>
      </c>
      <c r="K46" s="21"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291.918123536101</v>
      </c>
      <c r="L46" s="21"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291.918123536101</v>
      </c>
      <c r="M46" s="21"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291.918123536101</v>
      </c>
      <c r="N46" s="7" t="n">
        <f aca="false">SUM(B46:M46)</f>
        <v>3503.01748243322</v>
      </c>
      <c r="O46" s="22" t="n">
        <f aca="false">MAX(B46:M46)</f>
        <v>291.918123536101</v>
      </c>
      <c r="P46" s="12" t="n">
        <f aca="false">O46/parametros_recargas!$B$6</f>
        <v>1.94612082357401</v>
      </c>
    </row>
    <row r="47" customFormat="false" ht="15" hidden="false" customHeight="false" outlineLevel="0" collapsed="false">
      <c r="A47" s="9" t="str">
        <f aca="false">parametros_recargas!$B$85</f>
        <v>Inspección interior con videoscopio</v>
      </c>
      <c r="B47" s="21"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291.918123536101</v>
      </c>
      <c r="C47" s="21"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291.918123536101</v>
      </c>
      <c r="D47" s="21"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291.918123536101</v>
      </c>
      <c r="E47" s="21"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291.918123536101</v>
      </c>
      <c r="F47" s="21"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291.918123536101</v>
      </c>
      <c r="G47" s="21"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291.918123536101</v>
      </c>
      <c r="H47" s="21"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291.918123536101</v>
      </c>
      <c r="I47" s="21"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291.918123536101</v>
      </c>
      <c r="J47" s="21"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291.918123536101</v>
      </c>
      <c r="K47" s="21"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291.918123536101</v>
      </c>
      <c r="L47" s="21"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291.918123536101</v>
      </c>
      <c r="M47" s="21"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291.918123536101</v>
      </c>
      <c r="N47" s="7" t="n">
        <f aca="false">SUM(B47:M47)</f>
        <v>3503.01748243322</v>
      </c>
      <c r="O47" s="22" t="n">
        <f aca="false">MAX(B47:M47)</f>
        <v>291.918123536101</v>
      </c>
      <c r="P47" s="12" t="n">
        <f aca="false">O47/parametros_recargas!$B$6</f>
        <v>1.94612082357401</v>
      </c>
    </row>
    <row r="48" customFormat="false" ht="15" hidden="false" customHeight="false" outlineLevel="0" collapsed="false">
      <c r="A48" s="9" t="str">
        <f aca="false">parametros_recargas!$B$86</f>
        <v>Pintura</v>
      </c>
      <c r="B48" s="21"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146.031796068329</v>
      </c>
      <c r="C48" s="21"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146.031796068329</v>
      </c>
      <c r="D48" s="21"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146.031796068329</v>
      </c>
      <c r="E48" s="21"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146.031796068329</v>
      </c>
      <c r="F48" s="21"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146.031796068329</v>
      </c>
      <c r="G48" s="21"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146.031796068329</v>
      </c>
      <c r="H48" s="21"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146.031796068329</v>
      </c>
      <c r="I48" s="21"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146.031796068329</v>
      </c>
      <c r="J48" s="21"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146.031796068329</v>
      </c>
      <c r="K48" s="21"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146.031796068329</v>
      </c>
      <c r="L48" s="21"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146.031796068329</v>
      </c>
      <c r="M48" s="21"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146.031796068329</v>
      </c>
      <c r="N48" s="7" t="n">
        <f aca="false">SUM(B48:M48)</f>
        <v>1752.38155281995</v>
      </c>
      <c r="O48" s="22" t="n">
        <f aca="false">MAX(B48:M48)</f>
        <v>146.031796068329</v>
      </c>
      <c r="P48" s="12" t="n">
        <f aca="false">O48/parametros_recargas!$B$6</f>
        <v>0.973545307122194</v>
      </c>
    </row>
    <row r="49" customFormat="false" ht="15" hidden="false" customHeight="false" outlineLevel="0" collapsed="false">
      <c r="A49" s="9" t="str">
        <f aca="false">parametros_recargas!$B$87</f>
        <v>Carga de polvo ABC</v>
      </c>
      <c r="B49" s="21"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1283.05184811693</v>
      </c>
      <c r="C49" s="21"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1281.88184811693</v>
      </c>
      <c r="D49" s="21"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1282.22384811693</v>
      </c>
      <c r="E49" s="21"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1282.22384811693</v>
      </c>
      <c r="F49" s="21"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1281.94124811693</v>
      </c>
      <c r="G49" s="21"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1281.61904811693</v>
      </c>
      <c r="H49" s="21"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1281.94124811693</v>
      </c>
      <c r="I49" s="21"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1281.94124811693</v>
      </c>
      <c r="J49" s="21"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1281.92144811693</v>
      </c>
      <c r="K49" s="21"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1281.59924811693</v>
      </c>
      <c r="L49" s="21"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1281.29684811693</v>
      </c>
      <c r="M49" s="21"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1283.59724811693</v>
      </c>
      <c r="N49" s="7" t="n">
        <f aca="false">SUM(B49:M49)</f>
        <v>15385.2389774031</v>
      </c>
      <c r="O49" s="22" t="n">
        <f aca="false">MAX(B49:M49)</f>
        <v>1283.59724811693</v>
      </c>
      <c r="P49" s="12" t="n">
        <f aca="false">O49/parametros_recargas!$B$6</f>
        <v>8.55731498744618</v>
      </c>
    </row>
    <row r="50" customFormat="false" ht="15" hidden="false" customHeight="false" outlineLevel="0" collapsed="false">
      <c r="A50" s="9" t="str">
        <f aca="false">parametros_recargas!$B$88</f>
        <v>Carga de polvo BC</v>
      </c>
      <c r="B50" s="21"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2.25858081462087</v>
      </c>
      <c r="C50" s="21"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2.25858081462087</v>
      </c>
      <c r="D50" s="21"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2.25858081462087</v>
      </c>
      <c r="E50" s="21"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2.25858081462087</v>
      </c>
      <c r="F50" s="21"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2.25858081462087</v>
      </c>
      <c r="G50" s="21"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2.25858081462087</v>
      </c>
      <c r="H50" s="21"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2.25858081462087</v>
      </c>
      <c r="I50" s="21"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2.25858081462087</v>
      </c>
      <c r="J50" s="21"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2.25858081462087</v>
      </c>
      <c r="K50" s="21"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2.25858081462087</v>
      </c>
      <c r="L50" s="21"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2.25858081462087</v>
      </c>
      <c r="M50" s="21"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2.25858081462087</v>
      </c>
      <c r="N50" s="7" t="n">
        <f aca="false">SUM(B50:M50)</f>
        <v>27.1029697754505</v>
      </c>
      <c r="O50" s="22" t="n">
        <f aca="false">MAX(B50:M50)</f>
        <v>2.25858081462087</v>
      </c>
      <c r="P50" s="12" t="n">
        <f aca="false">O50/parametros_recargas!$B$6</f>
        <v>0.0150572054308058</v>
      </c>
    </row>
    <row r="51" customFormat="false" ht="15" hidden="false" customHeight="false" outlineLevel="0" collapsed="false">
      <c r="A51" s="9" t="str">
        <f aca="false">parametros_recargas!$B$89</f>
        <v>Descarga y carga Clase D</v>
      </c>
      <c r="B51" s="21"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2.25858081462087</v>
      </c>
      <c r="C51" s="21"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2.25858081462087</v>
      </c>
      <c r="D51" s="21"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2.25858081462087</v>
      </c>
      <c r="E51" s="21"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2.25858081462087</v>
      </c>
      <c r="F51" s="21"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2.25858081462087</v>
      </c>
      <c r="G51" s="21"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2.25858081462087</v>
      </c>
      <c r="H51" s="21"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2.25858081462087</v>
      </c>
      <c r="I51" s="21"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2.25858081462087</v>
      </c>
      <c r="J51" s="21"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2.25858081462087</v>
      </c>
      <c r="K51" s="21"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2.25858081462087</v>
      </c>
      <c r="L51" s="21"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2.25858081462087</v>
      </c>
      <c r="M51" s="21"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2.25858081462087</v>
      </c>
      <c r="N51" s="7" t="n">
        <f aca="false">SUM(B51:M51)</f>
        <v>27.1029697754505</v>
      </c>
      <c r="O51" s="22" t="n">
        <f aca="false">MAX(B51:M51)</f>
        <v>2.25858081462087</v>
      </c>
      <c r="P51" s="12" t="n">
        <f aca="false">O51/parametros_recargas!$B$6</f>
        <v>0.0150572054308058</v>
      </c>
    </row>
    <row r="52" customFormat="false" ht="15" hidden="false" customHeight="false" outlineLevel="0" collapsed="false">
      <c r="A52" s="9" t="str">
        <f aca="false">parametros_recargas!$B$90</f>
        <v>Carga de agua / AFFF / sales K</v>
      </c>
      <c r="B52" s="21"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64.8063634900922</v>
      </c>
      <c r="C52" s="21"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64.8063634900922</v>
      </c>
      <c r="D52" s="21"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64.8063634900922</v>
      </c>
      <c r="E52" s="21"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64.8063634900922</v>
      </c>
      <c r="F52" s="21"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64.8063634900922</v>
      </c>
      <c r="G52" s="21"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64.8063634900922</v>
      </c>
      <c r="H52" s="21"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64.8063634900922</v>
      </c>
      <c r="I52" s="21"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64.8063634900922</v>
      </c>
      <c r="J52" s="21"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64.8063634900922</v>
      </c>
      <c r="K52" s="21"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64.8063634900922</v>
      </c>
      <c r="L52" s="21"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64.8063634900922</v>
      </c>
      <c r="M52" s="21"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64.8063634900922</v>
      </c>
      <c r="N52" s="7" t="n">
        <f aca="false">SUM(B52:M52)</f>
        <v>777.676361881106</v>
      </c>
      <c r="O52" s="22" t="n">
        <f aca="false">MAX(B52:M52)</f>
        <v>64.8063634900922</v>
      </c>
      <c r="P52" s="12" t="n">
        <f aca="false">O52/parametros_recargas!$B$6</f>
        <v>0.432042423267281</v>
      </c>
    </row>
    <row r="53" customFormat="false" ht="15" hidden="false" customHeight="false" outlineLevel="0" collapsed="false">
      <c r="A53" s="9" t="str">
        <f aca="false">parametros_recargas!$B$91</f>
        <v>Carga de CO₂</v>
      </c>
      <c r="B53" s="21"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32.6006595493936</v>
      </c>
      <c r="C53" s="21"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32.6006595493936</v>
      </c>
      <c r="D53" s="21"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32.6006595493936</v>
      </c>
      <c r="E53" s="21"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32.6006595493936</v>
      </c>
      <c r="F53" s="21"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32.6006595493936</v>
      </c>
      <c r="G53" s="21"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32.6006595493936</v>
      </c>
      <c r="H53" s="21"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32.6006595493936</v>
      </c>
      <c r="I53" s="21"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32.6006595493936</v>
      </c>
      <c r="J53" s="21"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32.6006595493936</v>
      </c>
      <c r="K53" s="21"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32.6006595493936</v>
      </c>
      <c r="L53" s="21"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32.6006595493936</v>
      </c>
      <c r="M53" s="21"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32.6006595493936</v>
      </c>
      <c r="N53" s="7" t="n">
        <f aca="false">SUM(B53:M53)</f>
        <v>391.207914592723</v>
      </c>
      <c r="O53" s="22" t="n">
        <f aca="false">MAX(B53:M53)</f>
        <v>32.6006595493936</v>
      </c>
      <c r="P53" s="12" t="n">
        <f aca="false">O53/parametros_recargas!$B$6</f>
        <v>0.21733773032929</v>
      </c>
    </row>
    <row r="54" customFormat="false" ht="15" hidden="false" customHeight="false" outlineLevel="0" collapsed="false">
      <c r="A54" s="9" t="str">
        <f aca="false">parametros_recargas!$B$92</f>
        <v>Ensamblaje y marbete — recinto</v>
      </c>
      <c r="B54" s="21"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1287.56900974617</v>
      </c>
      <c r="C54" s="21"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1286.39900974617</v>
      </c>
      <c r="D54" s="21"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1286.74100974617</v>
      </c>
      <c r="E54" s="21"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1286.74100974617</v>
      </c>
      <c r="F54" s="21"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1286.45840974617</v>
      </c>
      <c r="G54" s="21"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1286.13620974617</v>
      </c>
      <c r="H54" s="21"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1286.45840974617</v>
      </c>
      <c r="I54" s="21"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1286.45840974617</v>
      </c>
      <c r="J54" s="21"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1286.43860974617</v>
      </c>
      <c r="K54" s="21"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1286.11640974617</v>
      </c>
      <c r="L54" s="21"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1285.81400974617</v>
      </c>
      <c r="M54" s="21"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1288.11440974617</v>
      </c>
      <c r="N54" s="7" t="n">
        <f aca="false">SUM(B54:M54)</f>
        <v>15439.444916954</v>
      </c>
      <c r="O54" s="22" t="n">
        <f aca="false">MAX(B54:M54)</f>
        <v>1288.11440974617</v>
      </c>
      <c r="P54" s="12" t="n">
        <f aca="false">O54/parametros_recargas!$B$6</f>
        <v>8.58742939830779</v>
      </c>
    </row>
    <row r="55" customFormat="false" ht="15" hidden="false" customHeight="false" outlineLevel="0" collapsed="false">
      <c r="A55" s="9" t="str">
        <f aca="false">parametros_recargas!$B$93</f>
        <v>Presurización — recinto</v>
      </c>
      <c r="B55" s="21"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1287.56900974617</v>
      </c>
      <c r="C55" s="21"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1286.39900974617</v>
      </c>
      <c r="D55" s="21"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1286.74100974617</v>
      </c>
      <c r="E55" s="21"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1286.74100974617</v>
      </c>
      <c r="F55" s="21"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1286.45840974617</v>
      </c>
      <c r="G55" s="21"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1286.13620974617</v>
      </c>
      <c r="H55" s="21"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1286.45840974617</v>
      </c>
      <c r="I55" s="21"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1286.45840974617</v>
      </c>
      <c r="J55" s="21"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1286.43860974617</v>
      </c>
      <c r="K55" s="21"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1286.11640974617</v>
      </c>
      <c r="L55" s="21"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1285.81400974617</v>
      </c>
      <c r="M55" s="21"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1288.11440974617</v>
      </c>
      <c r="N55" s="7" t="n">
        <f aca="false">SUM(B55:M55)</f>
        <v>15439.444916954</v>
      </c>
      <c r="O55" s="22" t="n">
        <f aca="false">MAX(B55:M55)</f>
        <v>1288.11440974617</v>
      </c>
      <c r="P55" s="12" t="n">
        <f aca="false">O55/parametros_recargas!$B$6</f>
        <v>8.58742939830779</v>
      </c>
    </row>
    <row r="56" customFormat="false" ht="15" hidden="false" customHeight="false" outlineLevel="0" collapsed="false">
      <c r="A56" s="9" t="str">
        <f aca="false">parametros_recargas!$B$94</f>
        <v>Ensamblaje y presurización — zona general</v>
      </c>
      <c r="B56" s="21"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93.2891603518499</v>
      </c>
      <c r="C56" s="21"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93.2891603518499</v>
      </c>
      <c r="D56" s="21"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93.2891603518499</v>
      </c>
      <c r="E56" s="21"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93.2891603518499</v>
      </c>
      <c r="F56" s="21"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93.2891603518499</v>
      </c>
      <c r="G56" s="21"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93.2891603518499</v>
      </c>
      <c r="H56" s="21"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93.2891603518499</v>
      </c>
      <c r="I56" s="21"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93.2891603518499</v>
      </c>
      <c r="J56" s="21"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93.2891603518499</v>
      </c>
      <c r="K56" s="21"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93.2891603518499</v>
      </c>
      <c r="L56" s="21"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93.2891603518499</v>
      </c>
      <c r="M56" s="21"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93.2891603518499</v>
      </c>
      <c r="N56" s="7" t="n">
        <f aca="false">SUM(B56:M56)</f>
        <v>1119.4699242222</v>
      </c>
      <c r="O56" s="22" t="n">
        <f aca="false">MAX(B56:M56)</f>
        <v>93.2891603518499</v>
      </c>
      <c r="P56" s="12" t="n">
        <f aca="false">O56/parametros_recargas!$B$6</f>
        <v>0.621927735678999</v>
      </c>
    </row>
    <row r="57" customFormat="false" ht="15" hidden="false" customHeight="false" outlineLevel="0" collapsed="false">
      <c r="A57" s="9" t="str">
        <f aca="false">parametros_recargas!$B$95</f>
        <v>Carga y presurización de halogenado</v>
      </c>
      <c r="B57" s="21"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1.31558057059637</v>
      </c>
      <c r="C57" s="21"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1.31558057059637</v>
      </c>
      <c r="D57" s="21"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1.31558057059637</v>
      </c>
      <c r="E57" s="21"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1.31558057059637</v>
      </c>
      <c r="F57" s="21"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1.31558057059637</v>
      </c>
      <c r="G57" s="21"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1.31558057059637</v>
      </c>
      <c r="H57" s="21"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1.31558057059637</v>
      </c>
      <c r="I57" s="21"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1.31558057059637</v>
      </c>
      <c r="J57" s="21"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1.31558057059637</v>
      </c>
      <c r="K57" s="21"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1.31558057059637</v>
      </c>
      <c r="L57" s="21"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1.31558057059637</v>
      </c>
      <c r="M57" s="21"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1.31558057059637</v>
      </c>
      <c r="N57" s="7" t="n">
        <f aca="false">SUM(B57:M57)</f>
        <v>15.7869668471564</v>
      </c>
      <c r="O57" s="22" t="n">
        <f aca="false">MAX(B57:M57)</f>
        <v>1.31558057059637</v>
      </c>
      <c r="P57" s="12" t="n">
        <f aca="false">O57/parametros_recargas!$B$6</f>
        <v>0.00877053713730912</v>
      </c>
    </row>
    <row r="58" customFormat="false" ht="15" hidden="false" customHeight="false" outlineLevel="0" collapsed="false">
      <c r="A58" s="9" t="str">
        <f aca="false">parametros_recargas!$B$96</f>
        <v>Control de peso (CO₂ y halogenados sin recarga)</v>
      </c>
      <c r="B58" s="21"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80.0149473270408</v>
      </c>
      <c r="C58" s="21"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80.0149473270408</v>
      </c>
      <c r="D58" s="21"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80.0149473270408</v>
      </c>
      <c r="E58" s="21"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80.0149473270408</v>
      </c>
      <c r="F58" s="21"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80.0149473270408</v>
      </c>
      <c r="G58" s="21"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80.0149473270408</v>
      </c>
      <c r="H58" s="21"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80.0149473270408</v>
      </c>
      <c r="I58" s="21"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80.0149473270408</v>
      </c>
      <c r="J58" s="21"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80.0149473270408</v>
      </c>
      <c r="K58" s="21"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80.0149473270408</v>
      </c>
      <c r="L58" s="21"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80.0149473270408</v>
      </c>
      <c r="M58" s="21"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80.0149473270408</v>
      </c>
      <c r="N58" s="7" t="n">
        <f aca="false">SUM(B58:M58)</f>
        <v>960.179367924489</v>
      </c>
      <c r="O58" s="22" t="n">
        <f aca="false">MAX(B58:M58)</f>
        <v>80.0149473270408</v>
      </c>
      <c r="P58" s="12" t="n">
        <f aca="false">O58/parametros_recargas!$B$6</f>
        <v>0.533432982180272</v>
      </c>
    </row>
    <row r="59" customFormat="false" ht="15" hidden="false" customHeight="false" outlineLevel="0" collapsed="false">
      <c r="A59" s="9" t="str">
        <f aca="false">parametros_recargas!$B$97</f>
        <v>Ensayo de pérdidas</v>
      </c>
      <c r="B59" s="21"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1466.30656068329</v>
      </c>
      <c r="C59" s="21"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1465.13656068329</v>
      </c>
      <c r="D59" s="21"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1465.47856068329</v>
      </c>
      <c r="E59" s="21"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1465.47856068329</v>
      </c>
      <c r="F59" s="21"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1465.19596068329</v>
      </c>
      <c r="G59" s="21"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1464.87376068329</v>
      </c>
      <c r="H59" s="21"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1465.19596068329</v>
      </c>
      <c r="I59" s="21"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1465.19596068329</v>
      </c>
      <c r="J59" s="21"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1465.17616068329</v>
      </c>
      <c r="K59" s="21"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1464.85396068329</v>
      </c>
      <c r="L59" s="21"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1464.55156068329</v>
      </c>
      <c r="M59" s="21"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1466.85196068329</v>
      </c>
      <c r="N59" s="7" t="n">
        <f aca="false">SUM(B59:M59)</f>
        <v>17584.2955281995</v>
      </c>
      <c r="O59" s="22" t="n">
        <f aca="false">MAX(B59:M59)</f>
        <v>1466.85196068329</v>
      </c>
      <c r="P59" s="12" t="n">
        <f aca="false">O59/parametros_recargas!$B$6</f>
        <v>9.77901307122194</v>
      </c>
    </row>
    <row r="60" customFormat="false" ht="15" hidden="false" customHeight="false" outlineLevel="0" collapsed="false">
      <c r="A60" s="9" t="str">
        <f aca="false">parametros_recargas!$B$98</f>
        <v>Precinto, etiqueta y despacho</v>
      </c>
      <c r="B60" s="21"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1466.30656068329</v>
      </c>
      <c r="C60" s="21"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1465.13656068329</v>
      </c>
      <c r="D60" s="21"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1465.47856068329</v>
      </c>
      <c r="E60" s="21"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1465.47856068329</v>
      </c>
      <c r="F60" s="21"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1465.19596068329</v>
      </c>
      <c r="G60" s="21"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1464.87376068329</v>
      </c>
      <c r="H60" s="21"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1465.19596068329</v>
      </c>
      <c r="I60" s="21"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1465.19596068329</v>
      </c>
      <c r="J60" s="21"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1465.17616068329</v>
      </c>
      <c r="K60" s="21"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1464.85396068329</v>
      </c>
      <c r="L60" s="21"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1464.55156068329</v>
      </c>
      <c r="M60" s="21"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1466.85196068329</v>
      </c>
      <c r="N60" s="7" t="n">
        <f aca="false">SUM(B60:M60)</f>
        <v>17584.2955281995</v>
      </c>
      <c r="O60" s="22" t="n">
        <f aca="false">MAX(B60:M60)</f>
        <v>1466.85196068329</v>
      </c>
      <c r="P60" s="12" t="n">
        <f aca="false">O60/parametros_recargas!$B$6</f>
        <v>9.77901307122194</v>
      </c>
    </row>
    <row r="61" customFormat="false" ht="15" hidden="false" customHeight="false" outlineLevel="0" collapsed="false">
      <c r="A61" s="9" t="str">
        <f aca="false">parametros_recargas!$B$99</f>
        <v>Inutilización y disposición final</v>
      </c>
      <c r="B61" s="21"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115.014289101919</v>
      </c>
      <c r="C61" s="21"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115.014289101919</v>
      </c>
      <c r="D61" s="21"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115.014289101919</v>
      </c>
      <c r="E61" s="21"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115.014289101919</v>
      </c>
      <c r="F61" s="21"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115.014289101919</v>
      </c>
      <c r="G61" s="21"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115.014289101919</v>
      </c>
      <c r="H61" s="21"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115.014289101919</v>
      </c>
      <c r="I61" s="21"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115.014289101919</v>
      </c>
      <c r="J61" s="21"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115.014289101919</v>
      </c>
      <c r="K61" s="21"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115.014289101919</v>
      </c>
      <c r="L61" s="21"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115.014289101919</v>
      </c>
      <c r="M61" s="21"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115.014289101919</v>
      </c>
      <c r="N61" s="7" t="n">
        <f aca="false">SUM(B61:M61)</f>
        <v>1380.17146922303</v>
      </c>
      <c r="O61" s="22" t="n">
        <f aca="false">MAX(B61:M61)</f>
        <v>115.014289101919</v>
      </c>
      <c r="P61" s="12" t="n">
        <f aca="false">O61/parametros_recargas!$B$6</f>
        <v>0.766761927346128</v>
      </c>
    </row>
    <row r="62" customFormat="false" ht="15" hidden="false" customHeight="false" outlineLevel="0" collapsed="false">
      <c r="A62" s="9" t="str">
        <f aca="false">parametros_recargas!$B$100</f>
        <v>PH de mangueras (CO₂ y rodantes)</v>
      </c>
      <c r="B62" s="21" t="n">
        <f aca="false">'Plan mensual'!D61</f>
        <v>50.0652168476776</v>
      </c>
      <c r="C62" s="21" t="n">
        <f aca="false">'Plan mensual'!E61</f>
        <v>50.0652168476776</v>
      </c>
      <c r="D62" s="21" t="n">
        <f aca="false">'Plan mensual'!F61</f>
        <v>50.0652168476776</v>
      </c>
      <c r="E62" s="21" t="n">
        <f aca="false">'Plan mensual'!G61</f>
        <v>50.0652168476776</v>
      </c>
      <c r="F62" s="21" t="n">
        <f aca="false">'Plan mensual'!H61</f>
        <v>50.0652168476776</v>
      </c>
      <c r="G62" s="21" t="n">
        <f aca="false">'Plan mensual'!I61</f>
        <v>50.0652168476776</v>
      </c>
      <c r="H62" s="21" t="n">
        <f aca="false">'Plan mensual'!J61</f>
        <v>50.0652168476776</v>
      </c>
      <c r="I62" s="21" t="n">
        <f aca="false">'Plan mensual'!K61</f>
        <v>50.0652168476776</v>
      </c>
      <c r="J62" s="21" t="n">
        <f aca="false">'Plan mensual'!L61</f>
        <v>50.0652168476776</v>
      </c>
      <c r="K62" s="21" t="n">
        <f aca="false">'Plan mensual'!M61</f>
        <v>50.0652168476776</v>
      </c>
      <c r="L62" s="21" t="n">
        <f aca="false">'Plan mensual'!N61</f>
        <v>50.0652168476776</v>
      </c>
      <c r="M62" s="21" t="n">
        <f aca="false">'Plan mensual'!O61</f>
        <v>50.0652168476776</v>
      </c>
      <c r="N62" s="7" t="n">
        <f aca="false">SUM(B62:M62)</f>
        <v>600.782602172131</v>
      </c>
      <c r="O62" s="22" t="n">
        <f aca="false">MAX(B62:M62)</f>
        <v>50.0652168476776</v>
      </c>
      <c r="P62" s="12" t="n">
        <f aca="false">O62/parametros_recargas!$B$6</f>
        <v>0.33376811231785</v>
      </c>
    </row>
    <row r="65" customFormat="false" ht="23.85" hidden="false" customHeight="false" outlineLevel="0" collapsed="false">
      <c r="A65" s="3" t="s">
        <v>365</v>
      </c>
      <c r="B65" s="3" t="s">
        <v>147</v>
      </c>
      <c r="C65" s="3" t="s">
        <v>148</v>
      </c>
      <c r="D65" s="3" t="s">
        <v>149</v>
      </c>
      <c r="E65" s="3" t="s">
        <v>150</v>
      </c>
      <c r="F65" s="3" t="s">
        <v>151</v>
      </c>
      <c r="G65" s="3" t="s">
        <v>152</v>
      </c>
      <c r="H65" s="3" t="s">
        <v>153</v>
      </c>
      <c r="I65" s="3" t="s">
        <v>154</v>
      </c>
      <c r="J65" s="3" t="s">
        <v>155</v>
      </c>
      <c r="K65" s="3" t="s">
        <v>156</v>
      </c>
      <c r="L65" s="3" t="s">
        <v>157</v>
      </c>
      <c r="M65" s="3" t="s">
        <v>158</v>
      </c>
      <c r="N65" s="3" t="s">
        <v>361</v>
      </c>
      <c r="O65" s="3" t="s">
        <v>362</v>
      </c>
      <c r="P65" s="3" t="s">
        <v>363</v>
      </c>
    </row>
    <row r="66" customFormat="false" ht="15" hidden="false" customHeight="false" outlineLevel="0" collapsed="false">
      <c r="A66" s="9" t="str">
        <f aca="false">parametros_recargas!$B$72</f>
        <v>Recepción y registro</v>
      </c>
      <c r="B66" s="21" t="n">
        <f aca="false">parametros_recargas!$E$72*'Plan mensual'!D85+parametros_recargas!$F$72*'Plan mensual'!D86+parametros_recargas!$G$72*'Plan mensual'!D87+parametros_recargas!$H$72*'Plan mensual'!D88+parametros_recargas!$I$72*'Plan mensual'!D89+parametros_recargas!$J$72*'Plan mensual'!D90+parametros_recargas!$K$72*'Plan mensual'!D91+parametros_recargas!$L$72*'Plan mensual'!D92+parametros_recargas!$M$72*'Plan mensual'!D94</f>
        <v>2946.3714218395</v>
      </c>
      <c r="C66" s="21" t="n">
        <f aca="false">parametros_recargas!$E$72*'Plan mensual'!E85+parametros_recargas!$F$72*'Plan mensual'!E86+parametros_recargas!$G$72*'Plan mensual'!E87+parametros_recargas!$H$72*'Plan mensual'!E88+parametros_recargas!$I$72*'Plan mensual'!E89+parametros_recargas!$J$72*'Plan mensual'!E90+parametros_recargas!$K$72*'Plan mensual'!E91+parametros_recargas!$L$72*'Plan mensual'!E92+parametros_recargas!$M$72*'Plan mensual'!E94</f>
        <v>2944.3510218395</v>
      </c>
      <c r="D66" s="21" t="n">
        <f aca="false">parametros_recargas!$E$72*'Plan mensual'!F85+parametros_recargas!$F$72*'Plan mensual'!F86+parametros_recargas!$G$72*'Plan mensual'!F87+parametros_recargas!$H$72*'Plan mensual'!F88+parametros_recargas!$I$72*'Plan mensual'!F89+parametros_recargas!$J$72*'Plan mensual'!F90+parametros_recargas!$K$72*'Plan mensual'!F91+parametros_recargas!$L$72*'Plan mensual'!F92+parametros_recargas!$M$72*'Plan mensual'!F94</f>
        <v>2944.9836218395</v>
      </c>
      <c r="E66" s="21" t="n">
        <f aca="false">parametros_recargas!$E$72*'Plan mensual'!G85+parametros_recargas!$F$72*'Plan mensual'!G86+parametros_recargas!$G$72*'Plan mensual'!G87+parametros_recargas!$H$72*'Plan mensual'!G88+parametros_recargas!$I$72*'Plan mensual'!G89+parametros_recargas!$J$72*'Plan mensual'!G90+parametros_recargas!$K$72*'Plan mensual'!G91+parametros_recargas!$L$72*'Plan mensual'!G92+parametros_recargas!$M$72*'Plan mensual'!G94</f>
        <v>2944.9836218395</v>
      </c>
      <c r="F66" s="21" t="n">
        <f aca="false">parametros_recargas!$E$72*'Plan mensual'!H85+parametros_recargas!$F$72*'Plan mensual'!H86+parametros_recargas!$G$72*'Plan mensual'!H87+parametros_recargas!$H$72*'Plan mensual'!H88+parametros_recargas!$I$72*'Plan mensual'!H89+parametros_recargas!$J$72*'Plan mensual'!H90+parametros_recargas!$K$72*'Plan mensual'!H91+parametros_recargas!$L$72*'Plan mensual'!H92+parametros_recargas!$M$72*'Plan mensual'!H94</f>
        <v>2944.5040218395</v>
      </c>
      <c r="G66" s="21" t="n">
        <f aca="false">parametros_recargas!$E$72*'Plan mensual'!I85+parametros_recargas!$F$72*'Plan mensual'!I86+parametros_recargas!$G$72*'Plan mensual'!I87+parametros_recargas!$H$72*'Plan mensual'!I88+parametros_recargas!$I$72*'Plan mensual'!I89+parametros_recargas!$J$72*'Plan mensual'!I90+parametros_recargas!$K$72*'Plan mensual'!I91+parametros_recargas!$L$72*'Plan mensual'!I92+parametros_recargas!$M$72*'Plan mensual'!I94</f>
        <v>2943.9224218395</v>
      </c>
      <c r="H66" s="21" t="n">
        <f aca="false">parametros_recargas!$E$72*'Plan mensual'!J85+parametros_recargas!$F$72*'Plan mensual'!J86+parametros_recargas!$G$72*'Plan mensual'!J87+parametros_recargas!$H$72*'Plan mensual'!J88+parametros_recargas!$I$72*'Plan mensual'!J89+parametros_recargas!$J$72*'Plan mensual'!J90+parametros_recargas!$K$72*'Plan mensual'!J91+parametros_recargas!$L$72*'Plan mensual'!J92+parametros_recargas!$M$72*'Plan mensual'!J94</f>
        <v>2944.5040218395</v>
      </c>
      <c r="I66" s="21" t="n">
        <f aca="false">parametros_recargas!$E$72*'Plan mensual'!K85+parametros_recargas!$F$72*'Plan mensual'!K86+parametros_recargas!$G$72*'Plan mensual'!K87+parametros_recargas!$H$72*'Plan mensual'!K88+parametros_recargas!$I$72*'Plan mensual'!K89+parametros_recargas!$J$72*'Plan mensual'!K90+parametros_recargas!$K$72*'Plan mensual'!K91+parametros_recargas!$L$72*'Plan mensual'!K92+parametros_recargas!$M$72*'Plan mensual'!K94</f>
        <v>2944.5040218395</v>
      </c>
      <c r="J66" s="21" t="n">
        <f aca="false">parametros_recargas!$E$72*'Plan mensual'!L85+parametros_recargas!$F$72*'Plan mensual'!L86+parametros_recargas!$G$72*'Plan mensual'!L87+parametros_recargas!$H$72*'Plan mensual'!L88+parametros_recargas!$I$72*'Plan mensual'!L89+parametros_recargas!$J$72*'Plan mensual'!L90+parametros_recargas!$K$72*'Plan mensual'!L91+parametros_recargas!$L$72*'Plan mensual'!L92+parametros_recargas!$M$72*'Plan mensual'!L94</f>
        <v>2944.4530218395</v>
      </c>
      <c r="K66" s="21" t="n">
        <f aca="false">parametros_recargas!$E$72*'Plan mensual'!M85+parametros_recargas!$F$72*'Plan mensual'!M86+parametros_recargas!$G$72*'Plan mensual'!M87+parametros_recargas!$H$72*'Plan mensual'!M88+parametros_recargas!$I$72*'Plan mensual'!M89+parametros_recargas!$J$72*'Plan mensual'!M90+parametros_recargas!$K$72*'Plan mensual'!M91+parametros_recargas!$L$72*'Plan mensual'!M92+parametros_recargas!$M$72*'Plan mensual'!M94</f>
        <v>2943.8714218395</v>
      </c>
      <c r="L66" s="21" t="n">
        <f aca="false">parametros_recargas!$E$72*'Plan mensual'!N85+parametros_recargas!$F$72*'Plan mensual'!N86+parametros_recargas!$G$72*'Plan mensual'!N87+parametros_recargas!$H$72*'Plan mensual'!N88+parametros_recargas!$I$72*'Plan mensual'!N89+parametros_recargas!$J$72*'Plan mensual'!N90+parametros_recargas!$K$72*'Plan mensual'!N91+parametros_recargas!$L$72*'Plan mensual'!N92+parametros_recargas!$M$72*'Plan mensual'!N94</f>
        <v>2943.3408218395</v>
      </c>
      <c r="M66" s="21" t="n">
        <f aca="false">parametros_recargas!$E$72*'Plan mensual'!O85+parametros_recargas!$F$72*'Plan mensual'!O86+parametros_recargas!$G$72*'Plan mensual'!O87+parametros_recargas!$H$72*'Plan mensual'!O88+parametros_recargas!$I$72*'Plan mensual'!O89+parametros_recargas!$J$72*'Plan mensual'!O90+parametros_recargas!$K$72*'Plan mensual'!O91+parametros_recargas!$L$72*'Plan mensual'!O92+parametros_recargas!$M$72*'Plan mensual'!O94</f>
        <v>2947.2796218395</v>
      </c>
      <c r="N66" s="7" t="n">
        <f aca="false">SUM(B66:M66)</f>
        <v>35337.069062074</v>
      </c>
      <c r="O66" s="22" t="n">
        <f aca="false">MAX(B66:M66)</f>
        <v>2947.2796218395</v>
      </c>
      <c r="P66" s="12" t="n">
        <f aca="false">O66/parametros_recargas!$B$6</f>
        <v>19.6485308122633</v>
      </c>
    </row>
    <row r="67" customFormat="false" ht="15" hidden="false" customHeight="false" outlineLevel="0" collapsed="false">
      <c r="A67" s="9" t="str">
        <f aca="false">parametros_recargas!$B$73</f>
        <v>Inspección visual</v>
      </c>
      <c r="B67" s="21" t="n">
        <f aca="false">parametros_recargas!$E$73*'Plan mensual'!D85+parametros_recargas!$F$73*'Plan mensual'!D86+parametros_recargas!$G$73*'Plan mensual'!D87+parametros_recargas!$H$73*'Plan mensual'!D88+parametros_recargas!$I$73*'Plan mensual'!D89+parametros_recargas!$J$73*'Plan mensual'!D90+parametros_recargas!$K$73*'Plan mensual'!D91+parametros_recargas!$L$73*'Plan mensual'!D92+parametros_recargas!$M$73*'Plan mensual'!D94</f>
        <v>2935.9124218395</v>
      </c>
      <c r="C67" s="21" t="n">
        <f aca="false">parametros_recargas!$E$73*'Plan mensual'!E85+parametros_recargas!$F$73*'Plan mensual'!E86+parametros_recargas!$G$73*'Plan mensual'!E87+parametros_recargas!$H$73*'Plan mensual'!E88+parametros_recargas!$I$73*'Plan mensual'!E89+parametros_recargas!$J$73*'Plan mensual'!E90+parametros_recargas!$K$73*'Plan mensual'!E91+parametros_recargas!$L$73*'Plan mensual'!E92+parametros_recargas!$M$73*'Plan mensual'!E94</f>
        <v>2935.9124218395</v>
      </c>
      <c r="D67" s="21" t="n">
        <f aca="false">parametros_recargas!$E$73*'Plan mensual'!F85+parametros_recargas!$F$73*'Plan mensual'!F86+parametros_recargas!$G$73*'Plan mensual'!F87+parametros_recargas!$H$73*'Plan mensual'!F88+parametros_recargas!$I$73*'Plan mensual'!F89+parametros_recargas!$J$73*'Plan mensual'!F90+parametros_recargas!$K$73*'Plan mensual'!F91+parametros_recargas!$L$73*'Plan mensual'!F92+parametros_recargas!$M$73*'Plan mensual'!F94</f>
        <v>2935.9124218395</v>
      </c>
      <c r="E67" s="21" t="n">
        <f aca="false">parametros_recargas!$E$73*'Plan mensual'!G85+parametros_recargas!$F$73*'Plan mensual'!G86+parametros_recargas!$G$73*'Plan mensual'!G87+parametros_recargas!$H$73*'Plan mensual'!G88+parametros_recargas!$I$73*'Plan mensual'!G89+parametros_recargas!$J$73*'Plan mensual'!G90+parametros_recargas!$K$73*'Plan mensual'!G91+parametros_recargas!$L$73*'Plan mensual'!G92+parametros_recargas!$M$73*'Plan mensual'!G94</f>
        <v>2935.9124218395</v>
      </c>
      <c r="F67" s="21" t="n">
        <f aca="false">parametros_recargas!$E$73*'Plan mensual'!H85+parametros_recargas!$F$73*'Plan mensual'!H86+parametros_recargas!$G$73*'Plan mensual'!H87+parametros_recargas!$H$73*'Plan mensual'!H88+parametros_recargas!$I$73*'Plan mensual'!H89+parametros_recargas!$J$73*'Plan mensual'!H90+parametros_recargas!$K$73*'Plan mensual'!H91+parametros_recargas!$L$73*'Plan mensual'!H92+parametros_recargas!$M$73*'Plan mensual'!H94</f>
        <v>2935.9124218395</v>
      </c>
      <c r="G67" s="21" t="n">
        <f aca="false">parametros_recargas!$E$73*'Plan mensual'!I85+parametros_recargas!$F$73*'Plan mensual'!I86+parametros_recargas!$G$73*'Plan mensual'!I87+parametros_recargas!$H$73*'Plan mensual'!I88+parametros_recargas!$I$73*'Plan mensual'!I89+parametros_recargas!$J$73*'Plan mensual'!I90+parametros_recargas!$K$73*'Plan mensual'!I91+parametros_recargas!$L$73*'Plan mensual'!I92+parametros_recargas!$M$73*'Plan mensual'!I94</f>
        <v>2935.9124218395</v>
      </c>
      <c r="H67" s="21" t="n">
        <f aca="false">parametros_recargas!$E$73*'Plan mensual'!J85+parametros_recargas!$F$73*'Plan mensual'!J86+parametros_recargas!$G$73*'Plan mensual'!J87+parametros_recargas!$H$73*'Plan mensual'!J88+parametros_recargas!$I$73*'Plan mensual'!J89+parametros_recargas!$J$73*'Plan mensual'!J90+parametros_recargas!$K$73*'Plan mensual'!J91+parametros_recargas!$L$73*'Plan mensual'!J92+parametros_recargas!$M$73*'Plan mensual'!J94</f>
        <v>2935.9124218395</v>
      </c>
      <c r="I67" s="21" t="n">
        <f aca="false">parametros_recargas!$E$73*'Plan mensual'!K85+parametros_recargas!$F$73*'Plan mensual'!K86+parametros_recargas!$G$73*'Plan mensual'!K87+parametros_recargas!$H$73*'Plan mensual'!K88+parametros_recargas!$I$73*'Plan mensual'!K89+parametros_recargas!$J$73*'Plan mensual'!K90+parametros_recargas!$K$73*'Plan mensual'!K91+parametros_recargas!$L$73*'Plan mensual'!K92+parametros_recargas!$M$73*'Plan mensual'!K94</f>
        <v>2935.9124218395</v>
      </c>
      <c r="J67" s="21" t="n">
        <f aca="false">parametros_recargas!$E$73*'Plan mensual'!L85+parametros_recargas!$F$73*'Plan mensual'!L86+parametros_recargas!$G$73*'Plan mensual'!L87+parametros_recargas!$H$73*'Plan mensual'!L88+parametros_recargas!$I$73*'Plan mensual'!L89+parametros_recargas!$J$73*'Plan mensual'!L90+parametros_recargas!$K$73*'Plan mensual'!L91+parametros_recargas!$L$73*'Plan mensual'!L92+parametros_recargas!$M$73*'Plan mensual'!L94</f>
        <v>2935.9124218395</v>
      </c>
      <c r="K67" s="21" t="n">
        <f aca="false">parametros_recargas!$E$73*'Plan mensual'!M85+parametros_recargas!$F$73*'Plan mensual'!M86+parametros_recargas!$G$73*'Plan mensual'!M87+parametros_recargas!$H$73*'Plan mensual'!M88+parametros_recargas!$I$73*'Plan mensual'!M89+parametros_recargas!$J$73*'Plan mensual'!M90+parametros_recargas!$K$73*'Plan mensual'!M91+parametros_recargas!$L$73*'Plan mensual'!M92+parametros_recargas!$M$73*'Plan mensual'!M94</f>
        <v>2935.9124218395</v>
      </c>
      <c r="L67" s="21" t="n">
        <f aca="false">parametros_recargas!$E$73*'Plan mensual'!N85+parametros_recargas!$F$73*'Plan mensual'!N86+parametros_recargas!$G$73*'Plan mensual'!N87+parametros_recargas!$H$73*'Plan mensual'!N88+parametros_recargas!$I$73*'Plan mensual'!N89+parametros_recargas!$J$73*'Plan mensual'!N90+parametros_recargas!$K$73*'Plan mensual'!N91+parametros_recargas!$L$73*'Plan mensual'!N92+parametros_recargas!$M$73*'Plan mensual'!N94</f>
        <v>2935.9124218395</v>
      </c>
      <c r="M67" s="21" t="n">
        <f aca="false">parametros_recargas!$E$73*'Plan mensual'!O85+parametros_recargas!$F$73*'Plan mensual'!O86+parametros_recargas!$G$73*'Plan mensual'!O87+parametros_recargas!$H$73*'Plan mensual'!O88+parametros_recargas!$I$73*'Plan mensual'!O89+parametros_recargas!$J$73*'Plan mensual'!O90+parametros_recargas!$K$73*'Plan mensual'!O91+parametros_recargas!$L$73*'Plan mensual'!O92+parametros_recargas!$M$73*'Plan mensual'!O94</f>
        <v>2935.9124218395</v>
      </c>
      <c r="N67" s="7" t="n">
        <f aca="false">SUM(B67:M67)</f>
        <v>35230.949062074</v>
      </c>
      <c r="O67" s="22" t="n">
        <f aca="false">MAX(B67:M67)</f>
        <v>2935.9124218395</v>
      </c>
      <c r="P67" s="12" t="n">
        <f aca="false">O67/parametros_recargas!$B$6</f>
        <v>19.57274947893</v>
      </c>
    </row>
    <row r="68" customFormat="false" ht="15" hidden="false" customHeight="false" outlineLevel="0" collapsed="false">
      <c r="A68" s="9" t="str">
        <f aca="false">parametros_recargas!$B$74</f>
        <v>Descarga ABC — ruta recuperable</v>
      </c>
      <c r="B68" s="21" t="n">
        <f aca="false">parametros_recargas!$E$74*'Plan mensual'!D85+parametros_recargas!$F$74*'Plan mensual'!D86+parametros_recargas!$G$74*'Plan mensual'!D87+parametros_recargas!$H$74*'Plan mensual'!D88+parametros_recargas!$I$74*'Plan mensual'!D89+parametros_recargas!$J$74*'Plan mensual'!D90+parametros_recargas!$K$74*'Plan mensual'!D91+parametros_recargas!$L$74*'Plan mensual'!D92+parametros_recargas!$M$74*'Plan mensual'!D94</f>
        <v>2148.41606954623</v>
      </c>
      <c r="C68" s="21" t="n">
        <f aca="false">parametros_recargas!$E$74*'Plan mensual'!E85+parametros_recargas!$F$74*'Plan mensual'!E86+parametros_recargas!$G$74*'Plan mensual'!E87+parametros_recargas!$H$74*'Plan mensual'!E88+parametros_recargas!$I$74*'Plan mensual'!E89+parametros_recargas!$J$74*'Plan mensual'!E90+parametros_recargas!$K$74*'Plan mensual'!E91+parametros_recargas!$L$74*'Plan mensual'!E92+parametros_recargas!$M$74*'Plan mensual'!E94</f>
        <v>2148.41606954623</v>
      </c>
      <c r="D68" s="21" t="n">
        <f aca="false">parametros_recargas!$E$74*'Plan mensual'!F85+parametros_recargas!$F$74*'Plan mensual'!F86+parametros_recargas!$G$74*'Plan mensual'!F87+parametros_recargas!$H$74*'Plan mensual'!F88+parametros_recargas!$I$74*'Plan mensual'!F89+parametros_recargas!$J$74*'Plan mensual'!F90+parametros_recargas!$K$74*'Plan mensual'!F91+parametros_recargas!$L$74*'Plan mensual'!F92+parametros_recargas!$M$74*'Plan mensual'!F94</f>
        <v>2148.41606954623</v>
      </c>
      <c r="E68" s="21" t="n">
        <f aca="false">parametros_recargas!$E$74*'Plan mensual'!G85+parametros_recargas!$F$74*'Plan mensual'!G86+parametros_recargas!$G$74*'Plan mensual'!G87+parametros_recargas!$H$74*'Plan mensual'!G88+parametros_recargas!$I$74*'Plan mensual'!G89+parametros_recargas!$J$74*'Plan mensual'!G90+parametros_recargas!$K$74*'Plan mensual'!G91+parametros_recargas!$L$74*'Plan mensual'!G92+parametros_recargas!$M$74*'Plan mensual'!G94</f>
        <v>2148.41606954623</v>
      </c>
      <c r="F68" s="21" t="n">
        <f aca="false">parametros_recargas!$E$74*'Plan mensual'!H85+parametros_recargas!$F$74*'Plan mensual'!H86+parametros_recargas!$G$74*'Plan mensual'!H87+parametros_recargas!$H$74*'Plan mensual'!H88+parametros_recargas!$I$74*'Plan mensual'!H89+parametros_recargas!$J$74*'Plan mensual'!H90+parametros_recargas!$K$74*'Plan mensual'!H91+parametros_recargas!$L$74*'Plan mensual'!H92+parametros_recargas!$M$74*'Plan mensual'!H94</f>
        <v>2148.41606954623</v>
      </c>
      <c r="G68" s="21" t="n">
        <f aca="false">parametros_recargas!$E$74*'Plan mensual'!I85+parametros_recargas!$F$74*'Plan mensual'!I86+parametros_recargas!$G$74*'Plan mensual'!I87+parametros_recargas!$H$74*'Plan mensual'!I88+parametros_recargas!$I$74*'Plan mensual'!I89+parametros_recargas!$J$74*'Plan mensual'!I90+parametros_recargas!$K$74*'Plan mensual'!I91+parametros_recargas!$L$74*'Plan mensual'!I92+parametros_recargas!$M$74*'Plan mensual'!I94</f>
        <v>2148.41606954623</v>
      </c>
      <c r="H68" s="21" t="n">
        <f aca="false">parametros_recargas!$E$74*'Plan mensual'!J85+parametros_recargas!$F$74*'Plan mensual'!J86+parametros_recargas!$G$74*'Plan mensual'!J87+parametros_recargas!$H$74*'Plan mensual'!J88+parametros_recargas!$I$74*'Plan mensual'!J89+parametros_recargas!$J$74*'Plan mensual'!J90+parametros_recargas!$K$74*'Plan mensual'!J91+parametros_recargas!$L$74*'Plan mensual'!J92+parametros_recargas!$M$74*'Plan mensual'!J94</f>
        <v>2148.41606954623</v>
      </c>
      <c r="I68" s="21" t="n">
        <f aca="false">parametros_recargas!$E$74*'Plan mensual'!K85+parametros_recargas!$F$74*'Plan mensual'!K86+parametros_recargas!$G$74*'Plan mensual'!K87+parametros_recargas!$H$74*'Plan mensual'!K88+parametros_recargas!$I$74*'Plan mensual'!K89+parametros_recargas!$J$74*'Plan mensual'!K90+parametros_recargas!$K$74*'Plan mensual'!K91+parametros_recargas!$L$74*'Plan mensual'!K92+parametros_recargas!$M$74*'Plan mensual'!K94</f>
        <v>2148.41606954623</v>
      </c>
      <c r="J68" s="21" t="n">
        <f aca="false">parametros_recargas!$E$74*'Plan mensual'!L85+parametros_recargas!$F$74*'Plan mensual'!L86+parametros_recargas!$G$74*'Plan mensual'!L87+parametros_recargas!$H$74*'Plan mensual'!L88+parametros_recargas!$I$74*'Plan mensual'!L89+parametros_recargas!$J$74*'Plan mensual'!L90+parametros_recargas!$K$74*'Plan mensual'!L91+parametros_recargas!$L$74*'Plan mensual'!L92+parametros_recargas!$M$74*'Plan mensual'!L94</f>
        <v>2148.41606954623</v>
      </c>
      <c r="K68" s="21" t="n">
        <f aca="false">parametros_recargas!$E$74*'Plan mensual'!M85+parametros_recargas!$F$74*'Plan mensual'!M86+parametros_recargas!$G$74*'Plan mensual'!M87+parametros_recargas!$H$74*'Plan mensual'!M88+parametros_recargas!$I$74*'Plan mensual'!M89+parametros_recargas!$J$74*'Plan mensual'!M90+parametros_recargas!$K$74*'Plan mensual'!M91+parametros_recargas!$L$74*'Plan mensual'!M92+parametros_recargas!$M$74*'Plan mensual'!M94</f>
        <v>2148.41606954623</v>
      </c>
      <c r="L68" s="21" t="n">
        <f aca="false">parametros_recargas!$E$74*'Plan mensual'!N85+parametros_recargas!$F$74*'Plan mensual'!N86+parametros_recargas!$G$74*'Plan mensual'!N87+parametros_recargas!$H$74*'Plan mensual'!N88+parametros_recargas!$I$74*'Plan mensual'!N89+parametros_recargas!$J$74*'Plan mensual'!N90+parametros_recargas!$K$74*'Plan mensual'!N91+parametros_recargas!$L$74*'Plan mensual'!N92+parametros_recargas!$M$74*'Plan mensual'!N94</f>
        <v>2148.41606954623</v>
      </c>
      <c r="M68" s="21" t="n">
        <f aca="false">parametros_recargas!$E$74*'Plan mensual'!O85+parametros_recargas!$F$74*'Plan mensual'!O86+parametros_recargas!$G$74*'Plan mensual'!O87+parametros_recargas!$H$74*'Plan mensual'!O88+parametros_recargas!$I$74*'Plan mensual'!O89+parametros_recargas!$J$74*'Plan mensual'!O90+parametros_recargas!$K$74*'Plan mensual'!O91+parametros_recargas!$L$74*'Plan mensual'!O92+parametros_recargas!$M$74*'Plan mensual'!O94</f>
        <v>2148.41606954623</v>
      </c>
      <c r="N68" s="7" t="n">
        <f aca="false">SUM(B68:M68)</f>
        <v>25780.9928345547</v>
      </c>
      <c r="O68" s="22" t="n">
        <f aca="false">MAX(B68:M68)</f>
        <v>2148.41606954623</v>
      </c>
      <c r="P68" s="12" t="n">
        <f aca="false">O68/parametros_recargas!$B$6</f>
        <v>14.3227737969748</v>
      </c>
    </row>
    <row r="69" customFormat="false" ht="15" hidden="false" customHeight="false" outlineLevel="0" collapsed="false">
      <c r="A69" s="9" t="str">
        <f aca="false">parametros_recargas!$B$75</f>
        <v>Descarga ABC — ruta descarte</v>
      </c>
      <c r="B69" s="21" t="n">
        <f aca="false">parametros_recargas!$E$75*'Plan mensual'!D85+parametros_recargas!$F$75*'Plan mensual'!D86+parametros_recargas!$G$75*'Plan mensual'!D87+parametros_recargas!$H$75*'Plan mensual'!D88+parametros_recargas!$I$75*'Plan mensual'!D89+parametros_recargas!$J$75*'Plan mensual'!D90+parametros_recargas!$K$75*'Plan mensual'!D91+parametros_recargas!$L$75*'Plan mensual'!D92+parametros_recargas!$M$75*'Plan mensual'!D94</f>
        <v>252.754831711321</v>
      </c>
      <c r="C69" s="21" t="n">
        <f aca="false">parametros_recargas!$E$75*'Plan mensual'!E85+parametros_recargas!$F$75*'Plan mensual'!E86+parametros_recargas!$G$75*'Plan mensual'!E87+parametros_recargas!$H$75*'Plan mensual'!E88+parametros_recargas!$I$75*'Plan mensual'!E89+parametros_recargas!$J$75*'Plan mensual'!E90+parametros_recargas!$K$75*'Plan mensual'!E91+parametros_recargas!$L$75*'Plan mensual'!E92+parametros_recargas!$M$75*'Plan mensual'!E94</f>
        <v>252.754831711321</v>
      </c>
      <c r="D69" s="21" t="n">
        <f aca="false">parametros_recargas!$E$75*'Plan mensual'!F85+parametros_recargas!$F$75*'Plan mensual'!F86+parametros_recargas!$G$75*'Plan mensual'!F87+parametros_recargas!$H$75*'Plan mensual'!F88+parametros_recargas!$I$75*'Plan mensual'!F89+parametros_recargas!$J$75*'Plan mensual'!F90+parametros_recargas!$K$75*'Plan mensual'!F91+parametros_recargas!$L$75*'Plan mensual'!F92+parametros_recargas!$M$75*'Plan mensual'!F94</f>
        <v>252.754831711321</v>
      </c>
      <c r="E69" s="21" t="n">
        <f aca="false">parametros_recargas!$E$75*'Plan mensual'!G85+parametros_recargas!$F$75*'Plan mensual'!G86+parametros_recargas!$G$75*'Plan mensual'!G87+parametros_recargas!$H$75*'Plan mensual'!G88+parametros_recargas!$I$75*'Plan mensual'!G89+parametros_recargas!$J$75*'Plan mensual'!G90+parametros_recargas!$K$75*'Plan mensual'!G91+parametros_recargas!$L$75*'Plan mensual'!G92+parametros_recargas!$M$75*'Plan mensual'!G94</f>
        <v>252.754831711321</v>
      </c>
      <c r="F69" s="21" t="n">
        <f aca="false">parametros_recargas!$E$75*'Plan mensual'!H85+parametros_recargas!$F$75*'Plan mensual'!H86+parametros_recargas!$G$75*'Plan mensual'!H87+parametros_recargas!$H$75*'Plan mensual'!H88+parametros_recargas!$I$75*'Plan mensual'!H89+parametros_recargas!$J$75*'Plan mensual'!H90+parametros_recargas!$K$75*'Plan mensual'!H91+parametros_recargas!$L$75*'Plan mensual'!H92+parametros_recargas!$M$75*'Plan mensual'!H94</f>
        <v>252.754831711321</v>
      </c>
      <c r="G69" s="21" t="n">
        <f aca="false">parametros_recargas!$E$75*'Plan mensual'!I85+parametros_recargas!$F$75*'Plan mensual'!I86+parametros_recargas!$G$75*'Plan mensual'!I87+parametros_recargas!$H$75*'Plan mensual'!I88+parametros_recargas!$I$75*'Plan mensual'!I89+parametros_recargas!$J$75*'Plan mensual'!I90+parametros_recargas!$K$75*'Plan mensual'!I91+parametros_recargas!$L$75*'Plan mensual'!I92+parametros_recargas!$M$75*'Plan mensual'!I94</f>
        <v>252.754831711321</v>
      </c>
      <c r="H69" s="21" t="n">
        <f aca="false">parametros_recargas!$E$75*'Plan mensual'!J85+parametros_recargas!$F$75*'Plan mensual'!J86+parametros_recargas!$G$75*'Plan mensual'!J87+parametros_recargas!$H$75*'Plan mensual'!J88+parametros_recargas!$I$75*'Plan mensual'!J89+parametros_recargas!$J$75*'Plan mensual'!J90+parametros_recargas!$K$75*'Plan mensual'!J91+parametros_recargas!$L$75*'Plan mensual'!J92+parametros_recargas!$M$75*'Plan mensual'!J94</f>
        <v>252.754831711321</v>
      </c>
      <c r="I69" s="21" t="n">
        <f aca="false">parametros_recargas!$E$75*'Plan mensual'!K85+parametros_recargas!$F$75*'Plan mensual'!K86+parametros_recargas!$G$75*'Plan mensual'!K87+parametros_recargas!$H$75*'Plan mensual'!K88+parametros_recargas!$I$75*'Plan mensual'!K89+parametros_recargas!$J$75*'Plan mensual'!K90+parametros_recargas!$K$75*'Plan mensual'!K91+parametros_recargas!$L$75*'Plan mensual'!K92+parametros_recargas!$M$75*'Plan mensual'!K94</f>
        <v>252.754831711321</v>
      </c>
      <c r="J69" s="21" t="n">
        <f aca="false">parametros_recargas!$E$75*'Plan mensual'!L85+parametros_recargas!$F$75*'Plan mensual'!L86+parametros_recargas!$G$75*'Plan mensual'!L87+parametros_recargas!$H$75*'Plan mensual'!L88+parametros_recargas!$I$75*'Plan mensual'!L89+parametros_recargas!$J$75*'Plan mensual'!L90+parametros_recargas!$K$75*'Plan mensual'!L91+parametros_recargas!$L$75*'Plan mensual'!L92+parametros_recargas!$M$75*'Plan mensual'!L94</f>
        <v>252.754831711321</v>
      </c>
      <c r="K69" s="21" t="n">
        <f aca="false">parametros_recargas!$E$75*'Plan mensual'!M85+parametros_recargas!$F$75*'Plan mensual'!M86+parametros_recargas!$G$75*'Plan mensual'!M87+parametros_recargas!$H$75*'Plan mensual'!M88+parametros_recargas!$I$75*'Plan mensual'!M89+parametros_recargas!$J$75*'Plan mensual'!M90+parametros_recargas!$K$75*'Plan mensual'!M91+parametros_recargas!$L$75*'Plan mensual'!M92+parametros_recargas!$M$75*'Plan mensual'!M94</f>
        <v>252.754831711321</v>
      </c>
      <c r="L69" s="21" t="n">
        <f aca="false">parametros_recargas!$E$75*'Plan mensual'!N85+parametros_recargas!$F$75*'Plan mensual'!N86+parametros_recargas!$G$75*'Plan mensual'!N87+parametros_recargas!$H$75*'Plan mensual'!N88+parametros_recargas!$I$75*'Plan mensual'!N89+parametros_recargas!$J$75*'Plan mensual'!N90+parametros_recargas!$K$75*'Plan mensual'!N91+parametros_recargas!$L$75*'Plan mensual'!N92+parametros_recargas!$M$75*'Plan mensual'!N94</f>
        <v>252.754831711321</v>
      </c>
      <c r="M69" s="21" t="n">
        <f aca="false">parametros_recargas!$E$75*'Plan mensual'!O85+parametros_recargas!$F$75*'Plan mensual'!O86+parametros_recargas!$G$75*'Plan mensual'!O87+parametros_recargas!$H$75*'Plan mensual'!O88+parametros_recargas!$I$75*'Plan mensual'!O89+parametros_recargas!$J$75*'Plan mensual'!O90+parametros_recargas!$K$75*'Plan mensual'!O91+parametros_recargas!$L$75*'Plan mensual'!O92+parametros_recargas!$M$75*'Plan mensual'!O94</f>
        <v>252.754831711321</v>
      </c>
      <c r="N69" s="7" t="n">
        <f aca="false">SUM(B69:M69)</f>
        <v>3033.05798053585</v>
      </c>
      <c r="O69" s="22" t="n">
        <f aca="false">MAX(B69:M69)</f>
        <v>252.754831711321</v>
      </c>
      <c r="P69" s="12" t="n">
        <f aca="false">O69/parametros_recargas!$B$6</f>
        <v>1.68503221140881</v>
      </c>
    </row>
    <row r="70" customFormat="false" ht="15" hidden="false" customHeight="false" outlineLevel="0" collapsed="false">
      <c r="A70" s="9" t="str">
        <f aca="false">parametros_recargas!$B$76</f>
        <v>Descarga BC</v>
      </c>
      <c r="B70" s="21"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4.19092332720213</v>
      </c>
      <c r="C70" s="21"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4.19092332720213</v>
      </c>
      <c r="D70" s="21"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4.19092332720213</v>
      </c>
      <c r="E70" s="21"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4.19092332720213</v>
      </c>
      <c r="F70" s="21"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4.19092332720213</v>
      </c>
      <c r="G70" s="21"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4.19092332720213</v>
      </c>
      <c r="H70" s="21"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4.19092332720213</v>
      </c>
      <c r="I70" s="21"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4.19092332720213</v>
      </c>
      <c r="J70" s="21"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4.19092332720213</v>
      </c>
      <c r="K70" s="21"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4.19092332720213</v>
      </c>
      <c r="L70" s="21"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4.19092332720213</v>
      </c>
      <c r="M70" s="21"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4.19092332720213</v>
      </c>
      <c r="N70" s="7" t="n">
        <f aca="false">SUM(B70:M70)</f>
        <v>50.2910799264256</v>
      </c>
      <c r="O70" s="22" t="n">
        <f aca="false">MAX(B70:M70)</f>
        <v>4.19092332720213</v>
      </c>
      <c r="P70" s="12" t="n">
        <f aca="false">O70/parametros_recargas!$B$6</f>
        <v>0.0279394888480142</v>
      </c>
    </row>
    <row r="71" customFormat="false" ht="15" hidden="false" customHeight="false" outlineLevel="0" collapsed="false">
      <c r="A71" s="9" t="str">
        <f aca="false">parametros_recargas!$B$77</f>
        <v>Descarga de agua / AFFF / sales K</v>
      </c>
      <c r="B71" s="21"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141.227256356941</v>
      </c>
      <c r="C71" s="21"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141.227256356941</v>
      </c>
      <c r="D71" s="21"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141.227256356941</v>
      </c>
      <c r="E71" s="21"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141.227256356941</v>
      </c>
      <c r="F71" s="21"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141.227256356941</v>
      </c>
      <c r="G71" s="21"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141.227256356941</v>
      </c>
      <c r="H71" s="21"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141.227256356941</v>
      </c>
      <c r="I71" s="21"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141.227256356941</v>
      </c>
      <c r="J71" s="21"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141.227256356941</v>
      </c>
      <c r="K71" s="21"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141.227256356941</v>
      </c>
      <c r="L71" s="21"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141.227256356941</v>
      </c>
      <c r="M71" s="21"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141.227256356941</v>
      </c>
      <c r="N71" s="7" t="n">
        <f aca="false">SUM(B71:M71)</f>
        <v>1694.7270762833</v>
      </c>
      <c r="O71" s="22" t="n">
        <f aca="false">MAX(B71:M71)</f>
        <v>141.227256356941</v>
      </c>
      <c r="P71" s="12" t="n">
        <f aca="false">O71/parametros_recargas!$B$6</f>
        <v>0.94151504237961</v>
      </c>
    </row>
    <row r="72" customFormat="false" ht="15" hidden="false" customHeight="false" outlineLevel="0" collapsed="false">
      <c r="A72" s="9" t="str">
        <f aca="false">parametros_recargas!$B$78</f>
        <v>Recuperación de CO₂</v>
      </c>
      <c r="B72" s="21"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61.9801437091667</v>
      </c>
      <c r="C72" s="21"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61.9801437091667</v>
      </c>
      <c r="D72" s="21"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61.9801437091667</v>
      </c>
      <c r="E72" s="21"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61.9801437091667</v>
      </c>
      <c r="F72" s="21"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61.9801437091667</v>
      </c>
      <c r="G72" s="21"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61.9801437091667</v>
      </c>
      <c r="H72" s="21"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61.9801437091667</v>
      </c>
      <c r="I72" s="21"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61.9801437091667</v>
      </c>
      <c r="J72" s="21"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61.9801437091667</v>
      </c>
      <c r="K72" s="21"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61.9801437091667</v>
      </c>
      <c r="L72" s="21"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61.9801437091667</v>
      </c>
      <c r="M72" s="21"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61.9801437091667</v>
      </c>
      <c r="N72" s="7" t="n">
        <f aca="false">SUM(B72:M72)</f>
        <v>743.761724510001</v>
      </c>
      <c r="O72" s="22" t="n">
        <f aca="false">MAX(B72:M72)</f>
        <v>61.9801437091667</v>
      </c>
      <c r="P72" s="12" t="n">
        <f aca="false">O72/parametros_recargas!$B$6</f>
        <v>0.413200958061112</v>
      </c>
    </row>
    <row r="73" customFormat="false" ht="15" hidden="false" customHeight="false" outlineLevel="0" collapsed="false">
      <c r="A73" s="9" t="str">
        <f aca="false">parametros_recargas!$B$79</f>
        <v>Recuperación de halogenado</v>
      </c>
      <c r="B73" s="21"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2.70860671956937</v>
      </c>
      <c r="C73" s="21"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2.70860671956937</v>
      </c>
      <c r="D73" s="21"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2.70860671956937</v>
      </c>
      <c r="E73" s="21"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2.70860671956937</v>
      </c>
      <c r="F73" s="21"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2.70860671956937</v>
      </c>
      <c r="G73" s="21"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2.70860671956937</v>
      </c>
      <c r="H73" s="21"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2.70860671956937</v>
      </c>
      <c r="I73" s="21"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2.70860671956937</v>
      </c>
      <c r="J73" s="21"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2.70860671956937</v>
      </c>
      <c r="K73" s="21"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2.70860671956937</v>
      </c>
      <c r="L73" s="21"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2.70860671956937</v>
      </c>
      <c r="M73" s="21"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2.70860671956937</v>
      </c>
      <c r="N73" s="7" t="n">
        <f aca="false">SUM(B73:M73)</f>
        <v>32.5032806348325</v>
      </c>
      <c r="O73" s="22" t="n">
        <f aca="false">MAX(B73:M73)</f>
        <v>2.70860671956937</v>
      </c>
      <c r="P73" s="12" t="n">
        <f aca="false">O73/parametros_recargas!$B$6</f>
        <v>0.0180573781304625</v>
      </c>
    </row>
    <row r="74" customFormat="false" ht="15" hidden="false" customHeight="false" outlineLevel="0" collapsed="false">
      <c r="A74" s="9" t="str">
        <f aca="false">parametros_recargas!$B$80</f>
        <v>Desarme y limpieza — recinto</v>
      </c>
      <c r="B74" s="21"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2535.93016376761</v>
      </c>
      <c r="C74" s="21"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2535.93016376761</v>
      </c>
      <c r="D74" s="21"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2535.93016376761</v>
      </c>
      <c r="E74" s="21"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2535.93016376761</v>
      </c>
      <c r="F74" s="21"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2535.93016376761</v>
      </c>
      <c r="G74" s="21"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2535.93016376761</v>
      </c>
      <c r="H74" s="21"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2535.93016376761</v>
      </c>
      <c r="I74" s="21"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2535.93016376761</v>
      </c>
      <c r="J74" s="21"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2535.93016376761</v>
      </c>
      <c r="K74" s="21"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2535.93016376761</v>
      </c>
      <c r="L74" s="21"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2535.93016376761</v>
      </c>
      <c r="M74" s="21"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2535.93016376761</v>
      </c>
      <c r="N74" s="7" t="n">
        <f aca="false">SUM(B74:M74)</f>
        <v>30431.1619652114</v>
      </c>
      <c r="O74" s="22" t="n">
        <f aca="false">MAX(B74:M74)</f>
        <v>2535.93016376761</v>
      </c>
      <c r="P74" s="12" t="n">
        <f aca="false">O74/parametros_recargas!$B$6</f>
        <v>16.9062010917841</v>
      </c>
    </row>
    <row r="75" customFormat="false" ht="15" hidden="false" customHeight="false" outlineLevel="0" collapsed="false">
      <c r="A75" s="9" t="str">
        <f aca="false">parametros_recargas!$B$81</f>
        <v>Desarme e inspección interior — zona general</v>
      </c>
      <c r="B75" s="21"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205.916006785678</v>
      </c>
      <c r="C75" s="21"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205.916006785678</v>
      </c>
      <c r="D75" s="21"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205.916006785678</v>
      </c>
      <c r="E75" s="21"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205.916006785678</v>
      </c>
      <c r="F75" s="21"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205.916006785678</v>
      </c>
      <c r="G75" s="21"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205.916006785678</v>
      </c>
      <c r="H75" s="21"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205.916006785678</v>
      </c>
      <c r="I75" s="21"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205.916006785678</v>
      </c>
      <c r="J75" s="21"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205.916006785678</v>
      </c>
      <c r="K75" s="21"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205.916006785678</v>
      </c>
      <c r="L75" s="21"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205.916006785678</v>
      </c>
      <c r="M75" s="21"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205.916006785678</v>
      </c>
      <c r="N75" s="7" t="n">
        <f aca="false">SUM(B75:M75)</f>
        <v>2470.99208142813</v>
      </c>
      <c r="O75" s="22" t="n">
        <f aca="false">MAX(B75:M75)</f>
        <v>205.916006785678</v>
      </c>
      <c r="P75" s="12" t="n">
        <f aca="false">O75/parametros_recargas!$B$6</f>
        <v>1.37277337857118</v>
      </c>
    </row>
    <row r="76" customFormat="false" ht="15" hidden="false" customHeight="false" outlineLevel="0" collapsed="false">
      <c r="A76" s="9" t="str">
        <f aca="false">parametros_recargas!$B$82</f>
        <v>Laboratorio — Puffer y mufla</v>
      </c>
      <c r="B76" s="21"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2.53173924044041</v>
      </c>
      <c r="C76" s="21"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2.53173924044041</v>
      </c>
      <c r="D76" s="21"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2.53173924044041</v>
      </c>
      <c r="E76" s="21"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2.53173924044041</v>
      </c>
      <c r="F76" s="21"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2.53173924044041</v>
      </c>
      <c r="G76" s="21"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2.53173924044041</v>
      </c>
      <c r="H76" s="21"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2.53173924044041</v>
      </c>
      <c r="I76" s="21"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2.53173924044041</v>
      </c>
      <c r="J76" s="21"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2.53173924044041</v>
      </c>
      <c r="K76" s="21"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2.53173924044041</v>
      </c>
      <c r="L76" s="21"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2.53173924044041</v>
      </c>
      <c r="M76" s="21"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2.53173924044041</v>
      </c>
      <c r="N76" s="7" t="n">
        <f aca="false">SUM(B76:M76)</f>
        <v>30.3808708852849</v>
      </c>
      <c r="O76" s="22" t="n">
        <f aca="false">MAX(B76:M76)</f>
        <v>2.53173924044041</v>
      </c>
      <c r="P76" s="12" t="n">
        <f aca="false">O76/parametros_recargas!$B$6</f>
        <v>0.0168782616029361</v>
      </c>
    </row>
    <row r="77" customFormat="false" ht="15" hidden="false" customHeight="false" outlineLevel="0" collapsed="false">
      <c r="A77" s="9" t="str">
        <f aca="false">parametros_recargas!$B$83</f>
        <v>Prueba hidráulica</v>
      </c>
      <c r="B77" s="21"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629.550661274982</v>
      </c>
      <c r="C77" s="21"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629.550661274982</v>
      </c>
      <c r="D77" s="21"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629.550661274982</v>
      </c>
      <c r="E77" s="21"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629.550661274982</v>
      </c>
      <c r="F77" s="21"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629.550661274982</v>
      </c>
      <c r="G77" s="21"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629.550661274982</v>
      </c>
      <c r="H77" s="21"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629.550661274982</v>
      </c>
      <c r="I77" s="21"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629.550661274982</v>
      </c>
      <c r="J77" s="21"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629.550661274982</v>
      </c>
      <c r="K77" s="21"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629.550661274982</v>
      </c>
      <c r="L77" s="21"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629.550661274982</v>
      </c>
      <c r="M77" s="21"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629.550661274982</v>
      </c>
      <c r="N77" s="7" t="n">
        <f aca="false">SUM(B77:M77)</f>
        <v>7554.60793529979</v>
      </c>
      <c r="O77" s="22" t="n">
        <f aca="false">MAX(B77:M77)</f>
        <v>629.550661274982</v>
      </c>
      <c r="P77" s="12" t="n">
        <f aca="false">O77/parametros_recargas!$B$6</f>
        <v>4.19700440849988</v>
      </c>
    </row>
    <row r="78" customFormat="false" ht="15" hidden="false" customHeight="false" outlineLevel="0" collapsed="false">
      <c r="A78" s="9" t="str">
        <f aca="false">parametros_recargas!$B$84</f>
        <v>Secado</v>
      </c>
      <c r="B78" s="21"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584.296334734188</v>
      </c>
      <c r="C78" s="21"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584.296334734188</v>
      </c>
      <c r="D78" s="21"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584.296334734188</v>
      </c>
      <c r="E78" s="21"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584.296334734188</v>
      </c>
      <c r="F78" s="21"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584.296334734188</v>
      </c>
      <c r="G78" s="21"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584.296334734188</v>
      </c>
      <c r="H78" s="21"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584.296334734188</v>
      </c>
      <c r="I78" s="21"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584.296334734188</v>
      </c>
      <c r="J78" s="21"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584.296334734188</v>
      </c>
      <c r="K78" s="21"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584.296334734188</v>
      </c>
      <c r="L78" s="21"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584.296334734188</v>
      </c>
      <c r="M78" s="21"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584.296334734188</v>
      </c>
      <c r="N78" s="7" t="n">
        <f aca="false">SUM(B78:M78)</f>
        <v>7011.55601681025</v>
      </c>
      <c r="O78" s="22" t="n">
        <f aca="false">MAX(B78:M78)</f>
        <v>584.296334734188</v>
      </c>
      <c r="P78" s="12" t="n">
        <f aca="false">O78/parametros_recargas!$B$6</f>
        <v>3.89530889822792</v>
      </c>
    </row>
    <row r="79" customFormat="false" ht="15" hidden="false" customHeight="false" outlineLevel="0" collapsed="false">
      <c r="A79" s="9" t="str">
        <f aca="false">parametros_recargas!$B$85</f>
        <v>Inspección interior con videoscopio</v>
      </c>
      <c r="B79" s="21"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584.296334734188</v>
      </c>
      <c r="C79" s="21"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584.296334734188</v>
      </c>
      <c r="D79" s="21"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584.296334734188</v>
      </c>
      <c r="E79" s="21"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584.296334734188</v>
      </c>
      <c r="F79" s="21"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584.296334734188</v>
      </c>
      <c r="G79" s="21"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584.296334734188</v>
      </c>
      <c r="H79" s="21"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584.296334734188</v>
      </c>
      <c r="I79" s="21"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584.296334734188</v>
      </c>
      <c r="J79" s="21"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584.296334734188</v>
      </c>
      <c r="K79" s="21"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584.296334734188</v>
      </c>
      <c r="L79" s="21"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584.296334734188</v>
      </c>
      <c r="M79" s="21"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584.296334734188</v>
      </c>
      <c r="N79" s="7" t="n">
        <f aca="false">SUM(B79:M79)</f>
        <v>7011.55601681025</v>
      </c>
      <c r="O79" s="22" t="n">
        <f aca="false">MAX(B79:M79)</f>
        <v>584.296334734188</v>
      </c>
      <c r="P79" s="12" t="n">
        <f aca="false">O79/parametros_recargas!$B$6</f>
        <v>3.89530889822792</v>
      </c>
    </row>
    <row r="80" customFormat="false" ht="15" hidden="false" customHeight="false" outlineLevel="0" collapsed="false">
      <c r="A80" s="9" t="str">
        <f aca="false">parametros_recargas!$B$86</f>
        <v>Pintura</v>
      </c>
      <c r="B80" s="21"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293.59124218395</v>
      </c>
      <c r="C80" s="21"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293.59124218395</v>
      </c>
      <c r="D80" s="21"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293.59124218395</v>
      </c>
      <c r="E80" s="21"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293.59124218395</v>
      </c>
      <c r="F80" s="21"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293.59124218395</v>
      </c>
      <c r="G80" s="21"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293.59124218395</v>
      </c>
      <c r="H80" s="21"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293.59124218395</v>
      </c>
      <c r="I80" s="21"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293.59124218395</v>
      </c>
      <c r="J80" s="21"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293.59124218395</v>
      </c>
      <c r="K80" s="21"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293.59124218395</v>
      </c>
      <c r="L80" s="21"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293.59124218395</v>
      </c>
      <c r="M80" s="21"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293.59124218395</v>
      </c>
      <c r="N80" s="7" t="n">
        <f aca="false">SUM(B80:M80)</f>
        <v>3523.0949062074</v>
      </c>
      <c r="O80" s="22" t="n">
        <f aca="false">MAX(B80:M80)</f>
        <v>293.59124218395</v>
      </c>
      <c r="P80" s="12" t="n">
        <f aca="false">O80/parametros_recargas!$B$6</f>
        <v>1.957274947893</v>
      </c>
    </row>
    <row r="81" customFormat="false" ht="15" hidden="false" customHeight="false" outlineLevel="0" collapsed="false">
      <c r="A81" s="9" t="str">
        <f aca="false">parametros_recargas!$B$87</f>
        <v>Carga de polvo ABC</v>
      </c>
      <c r="B81" s="21"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2538.00731711321</v>
      </c>
      <c r="C81" s="21"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2535.98691711321</v>
      </c>
      <c r="D81" s="21"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2536.61951711321</v>
      </c>
      <c r="E81" s="21"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2536.61951711321</v>
      </c>
      <c r="F81" s="21"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2536.13991711321</v>
      </c>
      <c r="G81" s="21"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2535.55831711321</v>
      </c>
      <c r="H81" s="21"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2536.13991711321</v>
      </c>
      <c r="I81" s="21"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2536.13991711321</v>
      </c>
      <c r="J81" s="21"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2536.08891711321</v>
      </c>
      <c r="K81" s="21"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2535.50731711321</v>
      </c>
      <c r="L81" s="21"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2534.97671711321</v>
      </c>
      <c r="M81" s="21"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2538.91551711321</v>
      </c>
      <c r="N81" s="7" t="n">
        <f aca="false">SUM(B81:M81)</f>
        <v>30436.6998053585</v>
      </c>
      <c r="O81" s="22" t="n">
        <f aca="false">MAX(B81:M81)</f>
        <v>2538.91551711321</v>
      </c>
      <c r="P81" s="12" t="n">
        <f aca="false">O81/parametros_recargas!$B$6</f>
        <v>16.9261034474214</v>
      </c>
    </row>
    <row r="82" customFormat="false" ht="15" hidden="false" customHeight="false" outlineLevel="0" collapsed="false">
      <c r="A82" s="9" t="str">
        <f aca="false">parametros_recargas!$B$88</f>
        <v>Carga de polvo BC</v>
      </c>
      <c r="B82" s="21"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4.19092332720213</v>
      </c>
      <c r="C82" s="21"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4.19092332720213</v>
      </c>
      <c r="D82" s="21"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4.19092332720213</v>
      </c>
      <c r="E82" s="21"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4.19092332720213</v>
      </c>
      <c r="F82" s="21"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4.19092332720213</v>
      </c>
      <c r="G82" s="21"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4.19092332720213</v>
      </c>
      <c r="H82" s="21"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4.19092332720213</v>
      </c>
      <c r="I82" s="21"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4.19092332720213</v>
      </c>
      <c r="J82" s="21"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4.19092332720213</v>
      </c>
      <c r="K82" s="21"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4.19092332720213</v>
      </c>
      <c r="L82" s="21"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4.19092332720213</v>
      </c>
      <c r="M82" s="21"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4.19092332720213</v>
      </c>
      <c r="N82" s="7" t="n">
        <f aca="false">SUM(B82:M82)</f>
        <v>50.2910799264256</v>
      </c>
      <c r="O82" s="22" t="n">
        <f aca="false">MAX(B82:M82)</f>
        <v>4.19092332720213</v>
      </c>
      <c r="P82" s="12" t="n">
        <f aca="false">O82/parametros_recargas!$B$6</f>
        <v>0.0279394888480142</v>
      </c>
    </row>
    <row r="83" customFormat="false" ht="15" hidden="false" customHeight="false" outlineLevel="0" collapsed="false">
      <c r="A83" s="9" t="str">
        <f aca="false">parametros_recargas!$B$89</f>
        <v>Descarga y carga Clase D</v>
      </c>
      <c r="B83" s="21"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4.19092332720213</v>
      </c>
      <c r="C83" s="21"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4.19092332720213</v>
      </c>
      <c r="D83" s="21"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4.19092332720213</v>
      </c>
      <c r="E83" s="21"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4.19092332720213</v>
      </c>
      <c r="F83" s="21"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4.19092332720213</v>
      </c>
      <c r="G83" s="21"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4.19092332720213</v>
      </c>
      <c r="H83" s="21"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4.19092332720213</v>
      </c>
      <c r="I83" s="21"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4.19092332720213</v>
      </c>
      <c r="J83" s="21"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4.19092332720213</v>
      </c>
      <c r="K83" s="21"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4.19092332720213</v>
      </c>
      <c r="L83" s="21"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4.19092332720213</v>
      </c>
      <c r="M83" s="21"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4.19092332720213</v>
      </c>
      <c r="N83" s="7" t="n">
        <f aca="false">SUM(B83:M83)</f>
        <v>50.2910799264256</v>
      </c>
      <c r="O83" s="22" t="n">
        <f aca="false">MAX(B83:M83)</f>
        <v>4.19092332720213</v>
      </c>
      <c r="P83" s="12" t="n">
        <f aca="false">O83/parametros_recargas!$B$6</f>
        <v>0.0279394888480142</v>
      </c>
    </row>
    <row r="84" customFormat="false" ht="15" hidden="false" customHeight="false" outlineLevel="0" collapsed="false">
      <c r="A84" s="9" t="str">
        <f aca="false">parametros_recargas!$B$90</f>
        <v>Carga de agua / AFFF / sales K</v>
      </c>
      <c r="B84" s="21"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141.227256356941</v>
      </c>
      <c r="C84" s="21"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141.227256356941</v>
      </c>
      <c r="D84" s="21"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141.227256356941</v>
      </c>
      <c r="E84" s="21"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141.227256356941</v>
      </c>
      <c r="F84" s="21"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141.227256356941</v>
      </c>
      <c r="G84" s="21"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141.227256356941</v>
      </c>
      <c r="H84" s="21"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141.227256356941</v>
      </c>
      <c r="I84" s="21"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141.227256356941</v>
      </c>
      <c r="J84" s="21"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141.227256356941</v>
      </c>
      <c r="K84" s="21"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141.227256356941</v>
      </c>
      <c r="L84" s="21"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141.227256356941</v>
      </c>
      <c r="M84" s="21"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141.227256356941</v>
      </c>
      <c r="N84" s="7" t="n">
        <f aca="false">SUM(B84:M84)</f>
        <v>1694.7270762833</v>
      </c>
      <c r="O84" s="22" t="n">
        <f aca="false">MAX(B84:M84)</f>
        <v>141.227256356941</v>
      </c>
      <c r="P84" s="12" t="n">
        <f aca="false">O84/parametros_recargas!$B$6</f>
        <v>0.94151504237961</v>
      </c>
    </row>
    <row r="85" customFormat="false" ht="15" hidden="false" customHeight="false" outlineLevel="0" collapsed="false">
      <c r="A85" s="9" t="str">
        <f aca="false">parametros_recargas!$B$91</f>
        <v>Carga de CO₂</v>
      </c>
      <c r="B85" s="21"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74.3761724510001</v>
      </c>
      <c r="C85" s="21"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74.3761724510001</v>
      </c>
      <c r="D85" s="21"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74.3761724510001</v>
      </c>
      <c r="E85" s="21"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74.3761724510001</v>
      </c>
      <c r="F85" s="21"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74.3761724510001</v>
      </c>
      <c r="G85" s="21"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74.3761724510001</v>
      </c>
      <c r="H85" s="21"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74.3761724510001</v>
      </c>
      <c r="I85" s="21"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74.3761724510001</v>
      </c>
      <c r="J85" s="21"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74.3761724510001</v>
      </c>
      <c r="K85" s="21"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74.3761724510001</v>
      </c>
      <c r="L85" s="21"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74.3761724510001</v>
      </c>
      <c r="M85" s="21"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74.3761724510001</v>
      </c>
      <c r="N85" s="7" t="n">
        <f aca="false">SUM(B85:M85)</f>
        <v>892.514069412001</v>
      </c>
      <c r="O85" s="22" t="n">
        <f aca="false">MAX(B85:M85)</f>
        <v>74.3761724510001</v>
      </c>
      <c r="P85" s="12" t="n">
        <f aca="false">O85/parametros_recargas!$B$6</f>
        <v>0.495841149673334</v>
      </c>
    </row>
    <row r="86" customFormat="false" ht="15" hidden="false" customHeight="false" outlineLevel="0" collapsed="false">
      <c r="A86" s="9" t="str">
        <f aca="false">parametros_recargas!$B$92</f>
        <v>Ensamblaje y marbete — recinto</v>
      </c>
      <c r="B86" s="21"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2546.38916376761</v>
      </c>
      <c r="C86" s="21"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2544.36876376761</v>
      </c>
      <c r="D86" s="21"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2545.00136376761</v>
      </c>
      <c r="E86" s="21"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2545.00136376761</v>
      </c>
      <c r="F86" s="21"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2544.52176376761</v>
      </c>
      <c r="G86" s="21"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2543.94016376761</v>
      </c>
      <c r="H86" s="21"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2544.52176376761</v>
      </c>
      <c r="I86" s="21"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2544.52176376761</v>
      </c>
      <c r="J86" s="21"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2544.47076376761</v>
      </c>
      <c r="K86" s="21"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2543.88916376761</v>
      </c>
      <c r="L86" s="21"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2543.35856376761</v>
      </c>
      <c r="M86" s="21"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2547.29736376761</v>
      </c>
      <c r="N86" s="7" t="n">
        <f aca="false">SUM(B86:M86)</f>
        <v>30537.2819652114</v>
      </c>
      <c r="O86" s="22" t="n">
        <f aca="false">MAX(B86:M86)</f>
        <v>2547.29736376761</v>
      </c>
      <c r="P86" s="12" t="n">
        <f aca="false">O86/parametros_recargas!$B$6</f>
        <v>16.9819824251174</v>
      </c>
    </row>
    <row r="87" customFormat="false" ht="15" hidden="false" customHeight="false" outlineLevel="0" collapsed="false">
      <c r="A87" s="9" t="str">
        <f aca="false">parametros_recargas!$B$93</f>
        <v>Presurización — recinto</v>
      </c>
      <c r="B87" s="21"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2546.38916376761</v>
      </c>
      <c r="C87" s="21"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2544.36876376761</v>
      </c>
      <c r="D87" s="21"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2545.00136376761</v>
      </c>
      <c r="E87" s="21"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2545.00136376761</v>
      </c>
      <c r="F87" s="21"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2544.52176376761</v>
      </c>
      <c r="G87" s="21"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2543.94016376761</v>
      </c>
      <c r="H87" s="21"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2544.52176376761</v>
      </c>
      <c r="I87" s="21"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2544.52176376761</v>
      </c>
      <c r="J87" s="21"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2544.47076376761</v>
      </c>
      <c r="K87" s="21"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2543.88916376761</v>
      </c>
      <c r="L87" s="21"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2543.35856376761</v>
      </c>
      <c r="M87" s="21"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2547.29736376761</v>
      </c>
      <c r="N87" s="7" t="n">
        <f aca="false">SUM(B87:M87)</f>
        <v>30537.2819652114</v>
      </c>
      <c r="O87" s="22" t="n">
        <f aca="false">MAX(B87:M87)</f>
        <v>2547.29736376761</v>
      </c>
      <c r="P87" s="12" t="n">
        <f aca="false">O87/parametros_recargas!$B$6</f>
        <v>16.9819824251174</v>
      </c>
    </row>
    <row r="88" customFormat="false" ht="15" hidden="false" customHeight="false" outlineLevel="0" collapsed="false">
      <c r="A88" s="9" t="str">
        <f aca="false">parametros_recargas!$B$94</f>
        <v>Ensamblaje y presurización — zona general</v>
      </c>
      <c r="B88" s="21"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205.916006785678</v>
      </c>
      <c r="C88" s="21"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205.916006785678</v>
      </c>
      <c r="D88" s="21"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205.916006785678</v>
      </c>
      <c r="E88" s="21"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205.916006785678</v>
      </c>
      <c r="F88" s="21"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205.916006785678</v>
      </c>
      <c r="G88" s="21"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205.916006785678</v>
      </c>
      <c r="H88" s="21"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205.916006785678</v>
      </c>
      <c r="I88" s="21"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205.916006785678</v>
      </c>
      <c r="J88" s="21"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205.916006785678</v>
      </c>
      <c r="K88" s="21"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205.916006785678</v>
      </c>
      <c r="L88" s="21"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205.916006785678</v>
      </c>
      <c r="M88" s="21"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205.916006785678</v>
      </c>
      <c r="N88" s="7" t="n">
        <f aca="false">SUM(B88:M88)</f>
        <v>2470.99208142813</v>
      </c>
      <c r="O88" s="22" t="n">
        <f aca="false">MAX(B88:M88)</f>
        <v>205.916006785678</v>
      </c>
      <c r="P88" s="12" t="n">
        <f aca="false">O88/parametros_recargas!$B$6</f>
        <v>1.37277337857118</v>
      </c>
    </row>
    <row r="89" customFormat="false" ht="15" hidden="false" customHeight="false" outlineLevel="0" collapsed="false">
      <c r="A89" s="9" t="str">
        <f aca="false">parametros_recargas!$B$95</f>
        <v>Carga y presurización de halogenado</v>
      </c>
      <c r="B89" s="21"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2.70860671956937</v>
      </c>
      <c r="C89" s="21"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2.70860671956937</v>
      </c>
      <c r="D89" s="21"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2.70860671956937</v>
      </c>
      <c r="E89" s="21"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2.70860671956937</v>
      </c>
      <c r="F89" s="21"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2.70860671956937</v>
      </c>
      <c r="G89" s="21"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2.70860671956937</v>
      </c>
      <c r="H89" s="21"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2.70860671956937</v>
      </c>
      <c r="I89" s="21"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2.70860671956937</v>
      </c>
      <c r="J89" s="21"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2.70860671956937</v>
      </c>
      <c r="K89" s="21"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2.70860671956937</v>
      </c>
      <c r="L89" s="21"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2.70860671956937</v>
      </c>
      <c r="M89" s="21"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2.70860671956937</v>
      </c>
      <c r="N89" s="7" t="n">
        <f aca="false">SUM(B89:M89)</f>
        <v>32.5032806348325</v>
      </c>
      <c r="O89" s="22" t="n">
        <f aca="false">MAX(B89:M89)</f>
        <v>2.70860671956937</v>
      </c>
      <c r="P89" s="12" t="n">
        <f aca="false">O89/parametros_recargas!$B$6</f>
        <v>0.0180573781304625</v>
      </c>
    </row>
    <row r="90" customFormat="false" ht="15" hidden="false" customHeight="false" outlineLevel="0" collapsed="false">
      <c r="A90" s="9" t="str">
        <f aca="false">parametros_recargas!$B$96</f>
        <v>Control de peso (CO₂ y halogenados sin recarga)</v>
      </c>
      <c r="B90" s="21"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181.670222544375</v>
      </c>
      <c r="C90" s="21"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181.670222544375</v>
      </c>
      <c r="D90" s="21"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181.670222544375</v>
      </c>
      <c r="E90" s="21"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181.670222544375</v>
      </c>
      <c r="F90" s="21"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181.670222544375</v>
      </c>
      <c r="G90" s="21"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181.670222544375</v>
      </c>
      <c r="H90" s="21"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181.670222544375</v>
      </c>
      <c r="I90" s="21"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181.670222544375</v>
      </c>
      <c r="J90" s="21"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181.670222544375</v>
      </c>
      <c r="K90" s="21"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181.670222544375</v>
      </c>
      <c r="L90" s="21"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181.670222544375</v>
      </c>
      <c r="M90" s="21"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181.670222544375</v>
      </c>
      <c r="N90" s="7" t="n">
        <f aca="false">SUM(B90:M90)</f>
        <v>2180.0426705325</v>
      </c>
      <c r="O90" s="22" t="n">
        <f aca="false">MAX(B90:M90)</f>
        <v>181.670222544375</v>
      </c>
      <c r="P90" s="12" t="n">
        <f aca="false">O90/parametros_recargas!$B$6</f>
        <v>1.2111348169625</v>
      </c>
    </row>
    <row r="91" customFormat="false" ht="15" hidden="false" customHeight="false" outlineLevel="0" collapsed="false">
      <c r="A91" s="9" t="str">
        <f aca="false">parametros_recargas!$B$97</f>
        <v>Ensayo de pérdidas</v>
      </c>
      <c r="B91" s="21"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2946.3714218395</v>
      </c>
      <c r="C91" s="21"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2944.3510218395</v>
      </c>
      <c r="D91" s="21"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2944.9836218395</v>
      </c>
      <c r="E91" s="21"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2944.9836218395</v>
      </c>
      <c r="F91" s="21"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2944.5040218395</v>
      </c>
      <c r="G91" s="21"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2943.9224218395</v>
      </c>
      <c r="H91" s="21"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2944.5040218395</v>
      </c>
      <c r="I91" s="21"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2944.5040218395</v>
      </c>
      <c r="J91" s="21"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2944.4530218395</v>
      </c>
      <c r="K91" s="21"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2943.8714218395</v>
      </c>
      <c r="L91" s="21"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2943.3408218395</v>
      </c>
      <c r="M91" s="21"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2947.2796218395</v>
      </c>
      <c r="N91" s="7" t="n">
        <f aca="false">SUM(B91:M91)</f>
        <v>35337.069062074</v>
      </c>
      <c r="O91" s="22" t="n">
        <f aca="false">MAX(B91:M91)</f>
        <v>2947.2796218395</v>
      </c>
      <c r="P91" s="12" t="n">
        <f aca="false">O91/parametros_recargas!$B$6</f>
        <v>19.6485308122633</v>
      </c>
    </row>
    <row r="92" customFormat="false" ht="15" hidden="false" customHeight="false" outlineLevel="0" collapsed="false">
      <c r="A92" s="9" t="str">
        <f aca="false">parametros_recargas!$B$98</f>
        <v>Precinto, etiqueta y despacho</v>
      </c>
      <c r="B92" s="21"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2946.3714218395</v>
      </c>
      <c r="C92" s="21"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2944.3510218395</v>
      </c>
      <c r="D92" s="21"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2944.9836218395</v>
      </c>
      <c r="E92" s="21"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2944.9836218395</v>
      </c>
      <c r="F92" s="21"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2944.5040218395</v>
      </c>
      <c r="G92" s="21"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2943.9224218395</v>
      </c>
      <c r="H92" s="21"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2944.5040218395</v>
      </c>
      <c r="I92" s="21"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2944.5040218395</v>
      </c>
      <c r="J92" s="21"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2944.4530218395</v>
      </c>
      <c r="K92" s="21"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2943.8714218395</v>
      </c>
      <c r="L92" s="21"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2943.3408218395</v>
      </c>
      <c r="M92" s="21"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2947.2796218395</v>
      </c>
      <c r="N92" s="7" t="n">
        <f aca="false">SUM(B92:M92)</f>
        <v>35337.069062074</v>
      </c>
      <c r="O92" s="22" t="n">
        <f aca="false">MAX(B92:M92)</f>
        <v>2947.2796218395</v>
      </c>
      <c r="P92" s="12" t="n">
        <f aca="false">O92/parametros_recargas!$B$6</f>
        <v>19.6485308122633</v>
      </c>
    </row>
    <row r="93" customFormat="false" ht="15" hidden="false" customHeight="false" outlineLevel="0" collapsed="false">
      <c r="A93" s="9" t="str">
        <f aca="false">parametros_recargas!$B$99</f>
        <v>Inutilización y disposición final</v>
      </c>
      <c r="B93" s="21"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230.740984166549</v>
      </c>
      <c r="C93" s="21"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230.740984166549</v>
      </c>
      <c r="D93" s="21"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230.740984166549</v>
      </c>
      <c r="E93" s="21"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230.740984166549</v>
      </c>
      <c r="F93" s="21"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230.740984166549</v>
      </c>
      <c r="G93" s="21"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230.740984166549</v>
      </c>
      <c r="H93" s="21"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230.740984166549</v>
      </c>
      <c r="I93" s="21"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230.740984166549</v>
      </c>
      <c r="J93" s="21"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230.740984166549</v>
      </c>
      <c r="K93" s="21"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230.740984166549</v>
      </c>
      <c r="L93" s="21"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230.740984166549</v>
      </c>
      <c r="M93" s="21"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230.740984166549</v>
      </c>
      <c r="N93" s="7" t="n">
        <f aca="false">SUM(B93:M93)</f>
        <v>2768.89180999859</v>
      </c>
      <c r="O93" s="22" t="n">
        <f aca="false">MAX(B93:M93)</f>
        <v>230.740984166549</v>
      </c>
      <c r="P93" s="12" t="n">
        <f aca="false">O93/parametros_recargas!$B$6</f>
        <v>1.53827322777699</v>
      </c>
    </row>
    <row r="94" customFormat="false" ht="15" hidden="false" customHeight="false" outlineLevel="0" collapsed="false">
      <c r="A94" s="9" t="str">
        <f aca="false">parametros_recargas!$B$100</f>
        <v>PH de mangueras (CO₂ y rodantes)</v>
      </c>
      <c r="B94" s="21" t="n">
        <f aca="false">'Plan mensual'!D93</f>
        <v>106.708505490935</v>
      </c>
      <c r="C94" s="21" t="n">
        <f aca="false">'Plan mensual'!E93</f>
        <v>106.708505490935</v>
      </c>
      <c r="D94" s="21" t="n">
        <f aca="false">'Plan mensual'!F93</f>
        <v>106.708505490935</v>
      </c>
      <c r="E94" s="21" t="n">
        <f aca="false">'Plan mensual'!G93</f>
        <v>106.708505490935</v>
      </c>
      <c r="F94" s="21" t="n">
        <f aca="false">'Plan mensual'!H93</f>
        <v>106.708505490935</v>
      </c>
      <c r="G94" s="21" t="n">
        <f aca="false">'Plan mensual'!I93</f>
        <v>106.708505490935</v>
      </c>
      <c r="H94" s="21" t="n">
        <f aca="false">'Plan mensual'!J93</f>
        <v>106.708505490935</v>
      </c>
      <c r="I94" s="21" t="n">
        <f aca="false">'Plan mensual'!K93</f>
        <v>106.708505490935</v>
      </c>
      <c r="J94" s="21" t="n">
        <f aca="false">'Plan mensual'!L93</f>
        <v>106.708505490935</v>
      </c>
      <c r="K94" s="21" t="n">
        <f aca="false">'Plan mensual'!M93</f>
        <v>106.708505490935</v>
      </c>
      <c r="L94" s="21" t="n">
        <f aca="false">'Plan mensual'!N93</f>
        <v>106.708505490935</v>
      </c>
      <c r="M94" s="21" t="n">
        <f aca="false">'Plan mensual'!O93</f>
        <v>106.708505490935</v>
      </c>
      <c r="N94" s="7" t="n">
        <f aca="false">SUM(B94:M94)</f>
        <v>1280.50206589122</v>
      </c>
      <c r="O94" s="22" t="n">
        <f aca="false">MAX(B94:M94)</f>
        <v>106.708505490935</v>
      </c>
      <c r="P94" s="12" t="n">
        <f aca="false">O94/parametros_recargas!$B$6</f>
        <v>0.711390036606234</v>
      </c>
    </row>
    <row r="97" customFormat="false" ht="23.85" hidden="false" customHeight="false" outlineLevel="0" collapsed="false">
      <c r="A97" s="3" t="s">
        <v>366</v>
      </c>
      <c r="B97" s="3" t="s">
        <v>147</v>
      </c>
      <c r="C97" s="3" t="s">
        <v>148</v>
      </c>
      <c r="D97" s="3" t="s">
        <v>149</v>
      </c>
      <c r="E97" s="3" t="s">
        <v>150</v>
      </c>
      <c r="F97" s="3" t="s">
        <v>151</v>
      </c>
      <c r="G97" s="3" t="s">
        <v>152</v>
      </c>
      <c r="H97" s="3" t="s">
        <v>153</v>
      </c>
      <c r="I97" s="3" t="s">
        <v>154</v>
      </c>
      <c r="J97" s="3" t="s">
        <v>155</v>
      </c>
      <c r="K97" s="3" t="s">
        <v>156</v>
      </c>
      <c r="L97" s="3" t="s">
        <v>157</v>
      </c>
      <c r="M97" s="3" t="s">
        <v>158</v>
      </c>
      <c r="N97" s="3" t="s">
        <v>361</v>
      </c>
      <c r="O97" s="3" t="s">
        <v>362</v>
      </c>
      <c r="P97" s="3" t="s">
        <v>363</v>
      </c>
    </row>
    <row r="98" customFormat="false" ht="15" hidden="false" customHeight="false" outlineLevel="0" collapsed="false">
      <c r="A98" s="9" t="str">
        <f aca="false">parametros_recargas!$B$72</f>
        <v>Recepción y registro</v>
      </c>
      <c r="B98" s="21" t="n">
        <f aca="false">parametros_recargas!$E$72*'Plan mensual'!D117+parametros_recargas!$F$72*'Plan mensual'!D118+parametros_recargas!$G$72*'Plan mensual'!D119+parametros_recargas!$H$72*'Plan mensual'!D120+parametros_recargas!$I$72*'Plan mensual'!D121+parametros_recargas!$J$72*'Plan mensual'!D122+parametros_recargas!$K$72*'Plan mensual'!D123+parametros_recargas!$L$72*'Plan mensual'!D124+parametros_recargas!$M$72*'Plan mensual'!D126</f>
        <v>5460.28635291774</v>
      </c>
      <c r="C98" s="21" t="n">
        <f aca="false">parametros_recargas!$E$72*'Plan mensual'!E117+parametros_recargas!$F$72*'Plan mensual'!E118+parametros_recargas!$G$72*'Plan mensual'!E119+parametros_recargas!$H$72*'Plan mensual'!E120+parametros_recargas!$I$72*'Plan mensual'!E121+parametros_recargas!$J$72*'Plan mensual'!E122+parametros_recargas!$K$72*'Plan mensual'!E123+parametros_recargas!$L$72*'Plan mensual'!E124+parametros_recargas!$M$72*'Plan mensual'!E126</f>
        <v>5456.94475291774</v>
      </c>
      <c r="D98" s="21" t="n">
        <f aca="false">parametros_recargas!$E$72*'Plan mensual'!F117+parametros_recargas!$F$72*'Plan mensual'!F118+parametros_recargas!$G$72*'Plan mensual'!F119+parametros_recargas!$H$72*'Plan mensual'!F120+parametros_recargas!$I$72*'Plan mensual'!F121+parametros_recargas!$J$72*'Plan mensual'!F122+parametros_recargas!$K$72*'Plan mensual'!F123+parametros_recargas!$L$72*'Plan mensual'!F124+parametros_recargas!$M$72*'Plan mensual'!F126</f>
        <v>5458.02915291774</v>
      </c>
      <c r="E98" s="21" t="n">
        <f aca="false">parametros_recargas!$E$72*'Plan mensual'!G117+parametros_recargas!$F$72*'Plan mensual'!G118+parametros_recargas!$G$72*'Plan mensual'!G119+parametros_recargas!$H$72*'Plan mensual'!G120+parametros_recargas!$I$72*'Plan mensual'!G121+parametros_recargas!$J$72*'Plan mensual'!G122+parametros_recargas!$K$72*'Plan mensual'!G123+parametros_recargas!$L$72*'Plan mensual'!G124+parametros_recargas!$M$72*'Plan mensual'!G126</f>
        <v>5458.02915291774</v>
      </c>
      <c r="F98" s="21" t="n">
        <f aca="false">parametros_recargas!$E$72*'Plan mensual'!H117+parametros_recargas!$F$72*'Plan mensual'!H118+parametros_recargas!$G$72*'Plan mensual'!H119+parametros_recargas!$H$72*'Plan mensual'!H120+parametros_recargas!$I$72*'Plan mensual'!H121+parametros_recargas!$J$72*'Plan mensual'!H122+parametros_recargas!$K$72*'Plan mensual'!H123+parametros_recargas!$L$72*'Plan mensual'!H124+parametros_recargas!$M$72*'Plan mensual'!H126</f>
        <v>5457.24355291774</v>
      </c>
      <c r="G98" s="21" t="n">
        <f aca="false">parametros_recargas!$E$72*'Plan mensual'!I117+parametros_recargas!$F$72*'Plan mensual'!I118+parametros_recargas!$G$72*'Plan mensual'!I119+parametros_recargas!$H$72*'Plan mensual'!I120+parametros_recargas!$I$72*'Plan mensual'!I121+parametros_recargas!$J$72*'Plan mensual'!I122+parametros_recargas!$K$72*'Plan mensual'!I123+parametros_recargas!$L$72*'Plan mensual'!I124+parametros_recargas!$M$72*'Plan mensual'!I126</f>
        <v>5456.25875291774</v>
      </c>
      <c r="H98" s="21" t="n">
        <f aca="false">parametros_recargas!$E$72*'Plan mensual'!J117+parametros_recargas!$F$72*'Plan mensual'!J118+parametros_recargas!$G$72*'Plan mensual'!J119+parametros_recargas!$H$72*'Plan mensual'!J120+parametros_recargas!$I$72*'Plan mensual'!J121+parametros_recargas!$J$72*'Plan mensual'!J122+parametros_recargas!$K$72*'Plan mensual'!J123+parametros_recargas!$L$72*'Plan mensual'!J124+parametros_recargas!$M$72*'Plan mensual'!J126</f>
        <v>5457.24355291774</v>
      </c>
      <c r="I98" s="21" t="n">
        <f aca="false">parametros_recargas!$E$72*'Plan mensual'!K117+parametros_recargas!$F$72*'Plan mensual'!K118+parametros_recargas!$G$72*'Plan mensual'!K119+parametros_recargas!$H$72*'Plan mensual'!K120+parametros_recargas!$I$72*'Plan mensual'!K121+parametros_recargas!$J$72*'Plan mensual'!K122+parametros_recargas!$K$72*'Plan mensual'!K123+parametros_recargas!$L$72*'Plan mensual'!K124+parametros_recargas!$M$72*'Plan mensual'!K126</f>
        <v>5457.24355291774</v>
      </c>
      <c r="J98" s="21" t="n">
        <f aca="false">parametros_recargas!$E$72*'Plan mensual'!L117+parametros_recargas!$F$72*'Plan mensual'!L118+parametros_recargas!$G$72*'Plan mensual'!L119+parametros_recargas!$H$72*'Plan mensual'!L120+parametros_recargas!$I$72*'Plan mensual'!L121+parametros_recargas!$J$72*'Plan mensual'!L122+parametros_recargas!$K$72*'Plan mensual'!L123+parametros_recargas!$L$72*'Plan mensual'!L124+parametros_recargas!$M$72*'Plan mensual'!L126</f>
        <v>5457.14395291774</v>
      </c>
      <c r="K98" s="21" t="n">
        <f aca="false">parametros_recargas!$E$72*'Plan mensual'!M117+parametros_recargas!$F$72*'Plan mensual'!M118+parametros_recargas!$G$72*'Plan mensual'!M119+parametros_recargas!$H$72*'Plan mensual'!M120+parametros_recargas!$I$72*'Plan mensual'!M121+parametros_recargas!$J$72*'Plan mensual'!M122+parametros_recargas!$K$72*'Plan mensual'!M123+parametros_recargas!$L$72*'Plan mensual'!M124+parametros_recargas!$M$72*'Plan mensual'!M126</f>
        <v>5456.15915291774</v>
      </c>
      <c r="L98" s="21" t="n">
        <f aca="false">parametros_recargas!$E$72*'Plan mensual'!N117+parametros_recargas!$F$72*'Plan mensual'!N118+parametros_recargas!$G$72*'Plan mensual'!N119+parametros_recargas!$H$72*'Plan mensual'!N120+parametros_recargas!$I$72*'Plan mensual'!N121+parametros_recargas!$J$72*'Plan mensual'!N122+parametros_recargas!$K$72*'Plan mensual'!N123+parametros_recargas!$L$72*'Plan mensual'!N124+parametros_recargas!$M$72*'Plan mensual'!N126</f>
        <v>5455.27395291774</v>
      </c>
      <c r="M98" s="21" t="n">
        <f aca="false">parametros_recargas!$E$72*'Plan mensual'!O117+parametros_recargas!$F$72*'Plan mensual'!O118+parametros_recargas!$G$72*'Plan mensual'!O119+parametros_recargas!$H$72*'Plan mensual'!O120+parametros_recargas!$I$72*'Plan mensual'!O121+parametros_recargas!$J$72*'Plan mensual'!O122+parametros_recargas!$K$72*'Plan mensual'!O123+parametros_recargas!$L$72*'Plan mensual'!O124+parametros_recargas!$M$72*'Plan mensual'!O126</f>
        <v>5461.75795291774</v>
      </c>
      <c r="N98" s="7" t="n">
        <f aca="false">SUM(B98:M98)</f>
        <v>65491.6138350129</v>
      </c>
      <c r="O98" s="22" t="n">
        <f aca="false">MAX(B98:M98)</f>
        <v>5461.75795291774</v>
      </c>
      <c r="P98" s="12" t="n">
        <f aca="false">O98/parametros_recargas!$B$6</f>
        <v>36.4117196861183</v>
      </c>
    </row>
    <row r="99" customFormat="false" ht="15" hidden="false" customHeight="false" outlineLevel="0" collapsed="false">
      <c r="A99" s="9" t="str">
        <f aca="false">parametros_recargas!$B$73</f>
        <v>Inspección visual</v>
      </c>
      <c r="B99" s="21" t="n">
        <f aca="false">parametros_recargas!$E$73*'Plan mensual'!D117+parametros_recargas!$F$73*'Plan mensual'!D118+parametros_recargas!$G$73*'Plan mensual'!D119+parametros_recargas!$H$73*'Plan mensual'!D120+parametros_recargas!$I$73*'Plan mensual'!D121+parametros_recargas!$J$73*'Plan mensual'!D122+parametros_recargas!$K$73*'Plan mensual'!D123+parametros_recargas!$L$73*'Plan mensual'!D124+parametros_recargas!$M$73*'Plan mensual'!D126</f>
        <v>5442.88115291774</v>
      </c>
      <c r="C99" s="21" t="n">
        <f aca="false">parametros_recargas!$E$73*'Plan mensual'!E117+parametros_recargas!$F$73*'Plan mensual'!E118+parametros_recargas!$G$73*'Plan mensual'!E119+parametros_recargas!$H$73*'Plan mensual'!E120+parametros_recargas!$I$73*'Plan mensual'!E121+parametros_recargas!$J$73*'Plan mensual'!E122+parametros_recargas!$K$73*'Plan mensual'!E123+parametros_recargas!$L$73*'Plan mensual'!E124+parametros_recargas!$M$73*'Plan mensual'!E126</f>
        <v>5442.88115291774</v>
      </c>
      <c r="D99" s="21" t="n">
        <f aca="false">parametros_recargas!$E$73*'Plan mensual'!F117+parametros_recargas!$F$73*'Plan mensual'!F118+parametros_recargas!$G$73*'Plan mensual'!F119+parametros_recargas!$H$73*'Plan mensual'!F120+parametros_recargas!$I$73*'Plan mensual'!F121+parametros_recargas!$J$73*'Plan mensual'!F122+parametros_recargas!$K$73*'Plan mensual'!F123+parametros_recargas!$L$73*'Plan mensual'!F124+parametros_recargas!$M$73*'Plan mensual'!F126</f>
        <v>5442.88115291774</v>
      </c>
      <c r="E99" s="21" t="n">
        <f aca="false">parametros_recargas!$E$73*'Plan mensual'!G117+parametros_recargas!$F$73*'Plan mensual'!G118+parametros_recargas!$G$73*'Plan mensual'!G119+parametros_recargas!$H$73*'Plan mensual'!G120+parametros_recargas!$I$73*'Plan mensual'!G121+parametros_recargas!$J$73*'Plan mensual'!G122+parametros_recargas!$K$73*'Plan mensual'!G123+parametros_recargas!$L$73*'Plan mensual'!G124+parametros_recargas!$M$73*'Plan mensual'!G126</f>
        <v>5442.88115291774</v>
      </c>
      <c r="F99" s="21" t="n">
        <f aca="false">parametros_recargas!$E$73*'Plan mensual'!H117+parametros_recargas!$F$73*'Plan mensual'!H118+parametros_recargas!$G$73*'Plan mensual'!H119+parametros_recargas!$H$73*'Plan mensual'!H120+parametros_recargas!$I$73*'Plan mensual'!H121+parametros_recargas!$J$73*'Plan mensual'!H122+parametros_recargas!$K$73*'Plan mensual'!H123+parametros_recargas!$L$73*'Plan mensual'!H124+parametros_recargas!$M$73*'Plan mensual'!H126</f>
        <v>5442.88115291774</v>
      </c>
      <c r="G99" s="21" t="n">
        <f aca="false">parametros_recargas!$E$73*'Plan mensual'!I117+parametros_recargas!$F$73*'Plan mensual'!I118+parametros_recargas!$G$73*'Plan mensual'!I119+parametros_recargas!$H$73*'Plan mensual'!I120+parametros_recargas!$I$73*'Plan mensual'!I121+parametros_recargas!$J$73*'Plan mensual'!I122+parametros_recargas!$K$73*'Plan mensual'!I123+parametros_recargas!$L$73*'Plan mensual'!I124+parametros_recargas!$M$73*'Plan mensual'!I126</f>
        <v>5442.88115291774</v>
      </c>
      <c r="H99" s="21" t="n">
        <f aca="false">parametros_recargas!$E$73*'Plan mensual'!J117+parametros_recargas!$F$73*'Plan mensual'!J118+parametros_recargas!$G$73*'Plan mensual'!J119+parametros_recargas!$H$73*'Plan mensual'!J120+parametros_recargas!$I$73*'Plan mensual'!J121+parametros_recargas!$J$73*'Plan mensual'!J122+parametros_recargas!$K$73*'Plan mensual'!J123+parametros_recargas!$L$73*'Plan mensual'!J124+parametros_recargas!$M$73*'Plan mensual'!J126</f>
        <v>5442.88115291774</v>
      </c>
      <c r="I99" s="21" t="n">
        <f aca="false">parametros_recargas!$E$73*'Plan mensual'!K117+parametros_recargas!$F$73*'Plan mensual'!K118+parametros_recargas!$G$73*'Plan mensual'!K119+parametros_recargas!$H$73*'Plan mensual'!K120+parametros_recargas!$I$73*'Plan mensual'!K121+parametros_recargas!$J$73*'Plan mensual'!K122+parametros_recargas!$K$73*'Plan mensual'!K123+parametros_recargas!$L$73*'Plan mensual'!K124+parametros_recargas!$M$73*'Plan mensual'!K126</f>
        <v>5442.88115291774</v>
      </c>
      <c r="J99" s="21" t="n">
        <f aca="false">parametros_recargas!$E$73*'Plan mensual'!L117+parametros_recargas!$F$73*'Plan mensual'!L118+parametros_recargas!$G$73*'Plan mensual'!L119+parametros_recargas!$H$73*'Plan mensual'!L120+parametros_recargas!$I$73*'Plan mensual'!L121+parametros_recargas!$J$73*'Plan mensual'!L122+parametros_recargas!$K$73*'Plan mensual'!L123+parametros_recargas!$L$73*'Plan mensual'!L124+parametros_recargas!$M$73*'Plan mensual'!L126</f>
        <v>5442.88115291774</v>
      </c>
      <c r="K99" s="21" t="n">
        <f aca="false">parametros_recargas!$E$73*'Plan mensual'!M117+parametros_recargas!$F$73*'Plan mensual'!M118+parametros_recargas!$G$73*'Plan mensual'!M119+parametros_recargas!$H$73*'Plan mensual'!M120+parametros_recargas!$I$73*'Plan mensual'!M121+parametros_recargas!$J$73*'Plan mensual'!M122+parametros_recargas!$K$73*'Plan mensual'!M123+parametros_recargas!$L$73*'Plan mensual'!M124+parametros_recargas!$M$73*'Plan mensual'!M126</f>
        <v>5442.88115291774</v>
      </c>
      <c r="L99" s="21" t="n">
        <f aca="false">parametros_recargas!$E$73*'Plan mensual'!N117+parametros_recargas!$F$73*'Plan mensual'!N118+parametros_recargas!$G$73*'Plan mensual'!N119+parametros_recargas!$H$73*'Plan mensual'!N120+parametros_recargas!$I$73*'Plan mensual'!N121+parametros_recargas!$J$73*'Plan mensual'!N122+parametros_recargas!$K$73*'Plan mensual'!N123+parametros_recargas!$L$73*'Plan mensual'!N124+parametros_recargas!$M$73*'Plan mensual'!N126</f>
        <v>5442.88115291774</v>
      </c>
      <c r="M99" s="21" t="n">
        <f aca="false">parametros_recargas!$E$73*'Plan mensual'!O117+parametros_recargas!$F$73*'Plan mensual'!O118+parametros_recargas!$G$73*'Plan mensual'!O119+parametros_recargas!$H$73*'Plan mensual'!O120+parametros_recargas!$I$73*'Plan mensual'!O121+parametros_recargas!$J$73*'Plan mensual'!O122+parametros_recargas!$K$73*'Plan mensual'!O123+parametros_recargas!$L$73*'Plan mensual'!O124+parametros_recargas!$M$73*'Plan mensual'!O126</f>
        <v>5442.88115291774</v>
      </c>
      <c r="N99" s="7" t="n">
        <f aca="false">SUM(B99:M99)</f>
        <v>65314.5738350129</v>
      </c>
      <c r="O99" s="22" t="n">
        <f aca="false">MAX(B99:M99)</f>
        <v>5442.88115291774</v>
      </c>
      <c r="P99" s="12" t="n">
        <f aca="false">O99/parametros_recargas!$B$6</f>
        <v>36.285874352785</v>
      </c>
    </row>
    <row r="100" customFormat="false" ht="15" hidden="false" customHeight="false" outlineLevel="0" collapsed="false">
      <c r="A100" s="9" t="str">
        <f aca="false">parametros_recargas!$B$74</f>
        <v>Descarga ABC — ruta recuperable</v>
      </c>
      <c r="B100" s="21" t="n">
        <f aca="false">parametros_recargas!$E$74*'Plan mensual'!D117+parametros_recargas!$F$74*'Plan mensual'!D118+parametros_recargas!$G$74*'Plan mensual'!D119+parametros_recargas!$H$74*'Plan mensual'!D120+parametros_recargas!$I$74*'Plan mensual'!D121+parametros_recargas!$J$74*'Plan mensual'!D122+parametros_recargas!$K$74*'Plan mensual'!D123+parametros_recargas!$L$74*'Plan mensual'!D124+parametros_recargas!$M$74*'Plan mensual'!D126</f>
        <v>3983.55949604751</v>
      </c>
      <c r="C100" s="21" t="n">
        <f aca="false">parametros_recargas!$E$74*'Plan mensual'!E117+parametros_recargas!$F$74*'Plan mensual'!E118+parametros_recargas!$G$74*'Plan mensual'!E119+parametros_recargas!$H$74*'Plan mensual'!E120+parametros_recargas!$I$74*'Plan mensual'!E121+parametros_recargas!$J$74*'Plan mensual'!E122+parametros_recargas!$K$74*'Plan mensual'!E123+parametros_recargas!$L$74*'Plan mensual'!E124+parametros_recargas!$M$74*'Plan mensual'!E126</f>
        <v>3983.55949604751</v>
      </c>
      <c r="D100" s="21" t="n">
        <f aca="false">parametros_recargas!$E$74*'Plan mensual'!F117+parametros_recargas!$F$74*'Plan mensual'!F118+parametros_recargas!$G$74*'Plan mensual'!F119+parametros_recargas!$H$74*'Plan mensual'!F120+parametros_recargas!$I$74*'Plan mensual'!F121+parametros_recargas!$J$74*'Plan mensual'!F122+parametros_recargas!$K$74*'Plan mensual'!F123+parametros_recargas!$L$74*'Plan mensual'!F124+parametros_recargas!$M$74*'Plan mensual'!F126</f>
        <v>3983.55949604751</v>
      </c>
      <c r="E100" s="21" t="n">
        <f aca="false">parametros_recargas!$E$74*'Plan mensual'!G117+parametros_recargas!$F$74*'Plan mensual'!G118+parametros_recargas!$G$74*'Plan mensual'!G119+parametros_recargas!$H$74*'Plan mensual'!G120+parametros_recargas!$I$74*'Plan mensual'!G121+parametros_recargas!$J$74*'Plan mensual'!G122+parametros_recargas!$K$74*'Plan mensual'!G123+parametros_recargas!$L$74*'Plan mensual'!G124+parametros_recargas!$M$74*'Plan mensual'!G126</f>
        <v>3983.55949604751</v>
      </c>
      <c r="F100" s="21" t="n">
        <f aca="false">parametros_recargas!$E$74*'Plan mensual'!H117+parametros_recargas!$F$74*'Plan mensual'!H118+parametros_recargas!$G$74*'Plan mensual'!H119+parametros_recargas!$H$74*'Plan mensual'!H120+parametros_recargas!$I$74*'Plan mensual'!H121+parametros_recargas!$J$74*'Plan mensual'!H122+parametros_recargas!$K$74*'Plan mensual'!H123+parametros_recargas!$L$74*'Plan mensual'!H124+parametros_recargas!$M$74*'Plan mensual'!H126</f>
        <v>3983.55949604751</v>
      </c>
      <c r="G100" s="21" t="n">
        <f aca="false">parametros_recargas!$E$74*'Plan mensual'!I117+parametros_recargas!$F$74*'Plan mensual'!I118+parametros_recargas!$G$74*'Plan mensual'!I119+parametros_recargas!$H$74*'Plan mensual'!I120+parametros_recargas!$I$74*'Plan mensual'!I121+parametros_recargas!$J$74*'Plan mensual'!I122+parametros_recargas!$K$74*'Plan mensual'!I123+parametros_recargas!$L$74*'Plan mensual'!I124+parametros_recargas!$M$74*'Plan mensual'!I126</f>
        <v>3983.55949604751</v>
      </c>
      <c r="H100" s="21" t="n">
        <f aca="false">parametros_recargas!$E$74*'Plan mensual'!J117+parametros_recargas!$F$74*'Plan mensual'!J118+parametros_recargas!$G$74*'Plan mensual'!J119+parametros_recargas!$H$74*'Plan mensual'!J120+parametros_recargas!$I$74*'Plan mensual'!J121+parametros_recargas!$J$74*'Plan mensual'!J122+parametros_recargas!$K$74*'Plan mensual'!J123+parametros_recargas!$L$74*'Plan mensual'!J124+parametros_recargas!$M$74*'Plan mensual'!J126</f>
        <v>3983.55949604751</v>
      </c>
      <c r="I100" s="21" t="n">
        <f aca="false">parametros_recargas!$E$74*'Plan mensual'!K117+parametros_recargas!$F$74*'Plan mensual'!K118+parametros_recargas!$G$74*'Plan mensual'!K119+parametros_recargas!$H$74*'Plan mensual'!K120+parametros_recargas!$I$74*'Plan mensual'!K121+parametros_recargas!$J$74*'Plan mensual'!K122+parametros_recargas!$K$74*'Plan mensual'!K123+parametros_recargas!$L$74*'Plan mensual'!K124+parametros_recargas!$M$74*'Plan mensual'!K126</f>
        <v>3983.55949604751</v>
      </c>
      <c r="J100" s="21" t="n">
        <f aca="false">parametros_recargas!$E$74*'Plan mensual'!L117+parametros_recargas!$F$74*'Plan mensual'!L118+parametros_recargas!$G$74*'Plan mensual'!L119+parametros_recargas!$H$74*'Plan mensual'!L120+parametros_recargas!$I$74*'Plan mensual'!L121+parametros_recargas!$J$74*'Plan mensual'!L122+parametros_recargas!$K$74*'Plan mensual'!L123+parametros_recargas!$L$74*'Plan mensual'!L124+parametros_recargas!$M$74*'Plan mensual'!L126</f>
        <v>3983.55949604751</v>
      </c>
      <c r="K100" s="21" t="n">
        <f aca="false">parametros_recargas!$E$74*'Plan mensual'!M117+parametros_recargas!$F$74*'Plan mensual'!M118+parametros_recargas!$G$74*'Plan mensual'!M119+parametros_recargas!$H$74*'Plan mensual'!M120+parametros_recargas!$I$74*'Plan mensual'!M121+parametros_recargas!$J$74*'Plan mensual'!M122+parametros_recargas!$K$74*'Plan mensual'!M123+parametros_recargas!$L$74*'Plan mensual'!M124+parametros_recargas!$M$74*'Plan mensual'!M126</f>
        <v>3983.55949604751</v>
      </c>
      <c r="L100" s="21" t="n">
        <f aca="false">parametros_recargas!$E$74*'Plan mensual'!N117+parametros_recargas!$F$74*'Plan mensual'!N118+parametros_recargas!$G$74*'Plan mensual'!N119+parametros_recargas!$H$74*'Plan mensual'!N120+parametros_recargas!$I$74*'Plan mensual'!N121+parametros_recargas!$J$74*'Plan mensual'!N122+parametros_recargas!$K$74*'Plan mensual'!N123+parametros_recargas!$L$74*'Plan mensual'!N124+parametros_recargas!$M$74*'Plan mensual'!N126</f>
        <v>3983.55949604751</v>
      </c>
      <c r="M100" s="21" t="n">
        <f aca="false">parametros_recargas!$E$74*'Plan mensual'!O117+parametros_recargas!$F$74*'Plan mensual'!O118+parametros_recargas!$G$74*'Plan mensual'!O119+parametros_recargas!$H$74*'Plan mensual'!O120+parametros_recargas!$I$74*'Plan mensual'!O121+parametros_recargas!$J$74*'Plan mensual'!O122+parametros_recargas!$K$74*'Plan mensual'!O123+parametros_recargas!$L$74*'Plan mensual'!O124+parametros_recargas!$M$74*'Plan mensual'!O126</f>
        <v>3983.55949604751</v>
      </c>
      <c r="N100" s="7" t="n">
        <f aca="false">SUM(B100:M100)</f>
        <v>47802.7139525702</v>
      </c>
      <c r="O100" s="22" t="n">
        <f aca="false">MAX(B100:M100)</f>
        <v>3983.55949604751</v>
      </c>
      <c r="P100" s="12" t="n">
        <f aca="false">O100/parametros_recargas!$B$6</f>
        <v>26.5570633069834</v>
      </c>
    </row>
    <row r="101" customFormat="false" ht="15" hidden="false" customHeight="false" outlineLevel="0" collapsed="false">
      <c r="A101" s="9" t="str">
        <f aca="false">parametros_recargas!$B$75</f>
        <v>Descarga ABC — ruta descarte</v>
      </c>
      <c r="B101" s="21" t="n">
        <f aca="false">parametros_recargas!$E$75*'Plan mensual'!D117+parametros_recargas!$F$75*'Plan mensual'!D118+parametros_recargas!$G$75*'Plan mensual'!D119+parametros_recargas!$H$75*'Plan mensual'!D120+parametros_recargas!$I$75*'Plan mensual'!D121+parametros_recargas!$J$75*'Plan mensual'!D122+parametros_recargas!$K$75*'Plan mensual'!D123+parametros_recargas!$L$75*'Plan mensual'!D124+parametros_recargas!$M$75*'Plan mensual'!D126</f>
        <v>468.654058358531</v>
      </c>
      <c r="C101" s="21" t="n">
        <f aca="false">parametros_recargas!$E$75*'Plan mensual'!E117+parametros_recargas!$F$75*'Plan mensual'!E118+parametros_recargas!$G$75*'Plan mensual'!E119+parametros_recargas!$H$75*'Plan mensual'!E120+parametros_recargas!$I$75*'Plan mensual'!E121+parametros_recargas!$J$75*'Plan mensual'!E122+parametros_recargas!$K$75*'Plan mensual'!E123+parametros_recargas!$L$75*'Plan mensual'!E124+parametros_recargas!$M$75*'Plan mensual'!E126</f>
        <v>468.654058358531</v>
      </c>
      <c r="D101" s="21" t="n">
        <f aca="false">parametros_recargas!$E$75*'Plan mensual'!F117+parametros_recargas!$F$75*'Plan mensual'!F118+parametros_recargas!$G$75*'Plan mensual'!F119+parametros_recargas!$H$75*'Plan mensual'!F120+parametros_recargas!$I$75*'Plan mensual'!F121+parametros_recargas!$J$75*'Plan mensual'!F122+parametros_recargas!$K$75*'Plan mensual'!F123+parametros_recargas!$L$75*'Plan mensual'!F124+parametros_recargas!$M$75*'Plan mensual'!F126</f>
        <v>468.654058358531</v>
      </c>
      <c r="E101" s="21" t="n">
        <f aca="false">parametros_recargas!$E$75*'Plan mensual'!G117+parametros_recargas!$F$75*'Plan mensual'!G118+parametros_recargas!$G$75*'Plan mensual'!G119+parametros_recargas!$H$75*'Plan mensual'!G120+parametros_recargas!$I$75*'Plan mensual'!G121+parametros_recargas!$J$75*'Plan mensual'!G122+parametros_recargas!$K$75*'Plan mensual'!G123+parametros_recargas!$L$75*'Plan mensual'!G124+parametros_recargas!$M$75*'Plan mensual'!G126</f>
        <v>468.654058358531</v>
      </c>
      <c r="F101" s="21" t="n">
        <f aca="false">parametros_recargas!$E$75*'Plan mensual'!H117+parametros_recargas!$F$75*'Plan mensual'!H118+parametros_recargas!$G$75*'Plan mensual'!H119+parametros_recargas!$H$75*'Plan mensual'!H120+parametros_recargas!$I$75*'Plan mensual'!H121+parametros_recargas!$J$75*'Plan mensual'!H122+parametros_recargas!$K$75*'Plan mensual'!H123+parametros_recargas!$L$75*'Plan mensual'!H124+parametros_recargas!$M$75*'Plan mensual'!H126</f>
        <v>468.654058358531</v>
      </c>
      <c r="G101" s="21" t="n">
        <f aca="false">parametros_recargas!$E$75*'Plan mensual'!I117+parametros_recargas!$F$75*'Plan mensual'!I118+parametros_recargas!$G$75*'Plan mensual'!I119+parametros_recargas!$H$75*'Plan mensual'!I120+parametros_recargas!$I$75*'Plan mensual'!I121+parametros_recargas!$J$75*'Plan mensual'!I122+parametros_recargas!$K$75*'Plan mensual'!I123+parametros_recargas!$L$75*'Plan mensual'!I124+parametros_recargas!$M$75*'Plan mensual'!I126</f>
        <v>468.654058358531</v>
      </c>
      <c r="H101" s="21" t="n">
        <f aca="false">parametros_recargas!$E$75*'Plan mensual'!J117+parametros_recargas!$F$75*'Plan mensual'!J118+parametros_recargas!$G$75*'Plan mensual'!J119+parametros_recargas!$H$75*'Plan mensual'!J120+parametros_recargas!$I$75*'Plan mensual'!J121+parametros_recargas!$J$75*'Plan mensual'!J122+parametros_recargas!$K$75*'Plan mensual'!J123+parametros_recargas!$L$75*'Plan mensual'!J124+parametros_recargas!$M$75*'Plan mensual'!J126</f>
        <v>468.654058358531</v>
      </c>
      <c r="I101" s="21" t="n">
        <f aca="false">parametros_recargas!$E$75*'Plan mensual'!K117+parametros_recargas!$F$75*'Plan mensual'!K118+parametros_recargas!$G$75*'Plan mensual'!K119+parametros_recargas!$H$75*'Plan mensual'!K120+parametros_recargas!$I$75*'Plan mensual'!K121+parametros_recargas!$J$75*'Plan mensual'!K122+parametros_recargas!$K$75*'Plan mensual'!K123+parametros_recargas!$L$75*'Plan mensual'!K124+parametros_recargas!$M$75*'Plan mensual'!K126</f>
        <v>468.654058358531</v>
      </c>
      <c r="J101" s="21" t="n">
        <f aca="false">parametros_recargas!$E$75*'Plan mensual'!L117+parametros_recargas!$F$75*'Plan mensual'!L118+parametros_recargas!$G$75*'Plan mensual'!L119+parametros_recargas!$H$75*'Plan mensual'!L120+parametros_recargas!$I$75*'Plan mensual'!L121+parametros_recargas!$J$75*'Plan mensual'!L122+parametros_recargas!$K$75*'Plan mensual'!L123+parametros_recargas!$L$75*'Plan mensual'!L124+parametros_recargas!$M$75*'Plan mensual'!L126</f>
        <v>468.654058358531</v>
      </c>
      <c r="K101" s="21" t="n">
        <f aca="false">parametros_recargas!$E$75*'Plan mensual'!M117+parametros_recargas!$F$75*'Plan mensual'!M118+parametros_recargas!$G$75*'Plan mensual'!M119+parametros_recargas!$H$75*'Plan mensual'!M120+parametros_recargas!$I$75*'Plan mensual'!M121+parametros_recargas!$J$75*'Plan mensual'!M122+parametros_recargas!$K$75*'Plan mensual'!M123+parametros_recargas!$L$75*'Plan mensual'!M124+parametros_recargas!$M$75*'Plan mensual'!M126</f>
        <v>468.654058358531</v>
      </c>
      <c r="L101" s="21" t="n">
        <f aca="false">parametros_recargas!$E$75*'Plan mensual'!N117+parametros_recargas!$F$75*'Plan mensual'!N118+parametros_recargas!$G$75*'Plan mensual'!N119+parametros_recargas!$H$75*'Plan mensual'!N120+parametros_recargas!$I$75*'Plan mensual'!N121+parametros_recargas!$J$75*'Plan mensual'!N122+parametros_recargas!$K$75*'Plan mensual'!N123+parametros_recargas!$L$75*'Plan mensual'!N124+parametros_recargas!$M$75*'Plan mensual'!N126</f>
        <v>468.654058358531</v>
      </c>
      <c r="M101" s="21" t="n">
        <f aca="false">parametros_recargas!$E$75*'Plan mensual'!O117+parametros_recargas!$F$75*'Plan mensual'!O118+parametros_recargas!$G$75*'Plan mensual'!O119+parametros_recargas!$H$75*'Plan mensual'!O120+parametros_recargas!$I$75*'Plan mensual'!O121+parametros_recargas!$J$75*'Plan mensual'!O122+parametros_recargas!$K$75*'Plan mensual'!O123+parametros_recargas!$L$75*'Plan mensual'!O124+parametros_recargas!$M$75*'Plan mensual'!O126</f>
        <v>468.654058358531</v>
      </c>
      <c r="N101" s="7" t="n">
        <f aca="false">SUM(B101:M101)</f>
        <v>5623.84870030237</v>
      </c>
      <c r="O101" s="22" t="n">
        <f aca="false">MAX(B101:M101)</f>
        <v>468.654058358531</v>
      </c>
      <c r="P101" s="12" t="n">
        <f aca="false">O101/parametros_recargas!$B$6</f>
        <v>3.12436038905687</v>
      </c>
    </row>
    <row r="102" customFormat="false" ht="15" hidden="false" customHeight="false" outlineLevel="0" collapsed="false">
      <c r="A102" s="9" t="str">
        <f aca="false">parametros_recargas!$B$76</f>
        <v>Descarga BC</v>
      </c>
      <c r="B102" s="21"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7.5372733052683</v>
      </c>
      <c r="C102" s="21"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7.5372733052683</v>
      </c>
      <c r="D102" s="21"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7.5372733052683</v>
      </c>
      <c r="E102" s="21"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7.5372733052683</v>
      </c>
      <c r="F102" s="21"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7.5372733052683</v>
      </c>
      <c r="G102" s="21"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7.5372733052683</v>
      </c>
      <c r="H102" s="21"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7.5372733052683</v>
      </c>
      <c r="I102" s="21"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7.5372733052683</v>
      </c>
      <c r="J102" s="21"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7.5372733052683</v>
      </c>
      <c r="K102" s="21"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7.5372733052683</v>
      </c>
      <c r="L102" s="21"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7.5372733052683</v>
      </c>
      <c r="M102" s="21"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7.5372733052683</v>
      </c>
      <c r="N102" s="7" t="n">
        <f aca="false">SUM(B102:M102)</f>
        <v>90.4472796632196</v>
      </c>
      <c r="O102" s="22" t="n">
        <f aca="false">MAX(B102:M102)</f>
        <v>7.5372733052683</v>
      </c>
      <c r="P102" s="12" t="n">
        <f aca="false">O102/parametros_recargas!$B$6</f>
        <v>0.0502484887017887</v>
      </c>
    </row>
    <row r="103" customFormat="false" ht="15" hidden="false" customHeight="false" outlineLevel="0" collapsed="false">
      <c r="A103" s="9" t="str">
        <f aca="false">parametros_recargas!$B$77</f>
        <v>Descarga de agua / AFFF / sales K</v>
      </c>
      <c r="B103" s="21"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256.422247038502</v>
      </c>
      <c r="C103" s="21"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256.422247038502</v>
      </c>
      <c r="D103" s="21"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256.422247038502</v>
      </c>
      <c r="E103" s="21"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256.422247038502</v>
      </c>
      <c r="F103" s="21"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256.422247038502</v>
      </c>
      <c r="G103" s="21"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256.422247038502</v>
      </c>
      <c r="H103" s="21"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256.422247038502</v>
      </c>
      <c r="I103" s="21"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256.422247038502</v>
      </c>
      <c r="J103" s="21"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256.422247038502</v>
      </c>
      <c r="K103" s="21"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256.422247038502</v>
      </c>
      <c r="L103" s="21"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256.422247038502</v>
      </c>
      <c r="M103" s="21"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256.422247038502</v>
      </c>
      <c r="N103" s="7" t="n">
        <f aca="false">SUM(B103:M103)</f>
        <v>3077.06696446203</v>
      </c>
      <c r="O103" s="22" t="n">
        <f aca="false">MAX(B103:M103)</f>
        <v>256.422247038502</v>
      </c>
      <c r="P103" s="12" t="n">
        <f aca="false">O103/parametros_recargas!$B$6</f>
        <v>1.70948164692335</v>
      </c>
    </row>
    <row r="104" customFormat="false" ht="15" hidden="false" customHeight="false" outlineLevel="0" collapsed="false">
      <c r="A104" s="9" t="str">
        <f aca="false">parametros_recargas!$B$78</f>
        <v>Recuperación de CO₂</v>
      </c>
      <c r="B104" s="21"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116.648839420711</v>
      </c>
      <c r="C104" s="21"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116.648839420711</v>
      </c>
      <c r="D104" s="21"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116.648839420711</v>
      </c>
      <c r="E104" s="21"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116.648839420711</v>
      </c>
      <c r="F104" s="21"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116.648839420711</v>
      </c>
      <c r="G104" s="21"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116.648839420711</v>
      </c>
      <c r="H104" s="21"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116.648839420711</v>
      </c>
      <c r="I104" s="21"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116.648839420711</v>
      </c>
      <c r="J104" s="21"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116.648839420711</v>
      </c>
      <c r="K104" s="21"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116.648839420711</v>
      </c>
      <c r="L104" s="21"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116.648839420711</v>
      </c>
      <c r="M104" s="21"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116.648839420711</v>
      </c>
      <c r="N104" s="7" t="n">
        <f aca="false">SUM(B104:M104)</f>
        <v>1399.78607304853</v>
      </c>
      <c r="O104" s="22" t="n">
        <f aca="false">MAX(B104:M104)</f>
        <v>116.648839420711</v>
      </c>
      <c r="P104" s="12" t="n">
        <f aca="false">O104/parametros_recargas!$B$6</f>
        <v>0.777658929471404</v>
      </c>
    </row>
    <row r="105" customFormat="false" ht="15" hidden="false" customHeight="false" outlineLevel="0" collapsed="false">
      <c r="A105" s="9" t="str">
        <f aca="false">parametros_recargas!$B$79</f>
        <v>Recuperación de halogenado</v>
      </c>
      <c r="B105" s="21"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4.69176171631055</v>
      </c>
      <c r="C105" s="21"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4.69176171631055</v>
      </c>
      <c r="D105" s="21"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4.69176171631055</v>
      </c>
      <c r="E105" s="21"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4.69176171631055</v>
      </c>
      <c r="F105" s="21"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4.69176171631055</v>
      </c>
      <c r="G105" s="21"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4.69176171631055</v>
      </c>
      <c r="H105" s="21"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4.69176171631055</v>
      </c>
      <c r="I105" s="21"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4.69176171631055</v>
      </c>
      <c r="J105" s="21"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4.69176171631055</v>
      </c>
      <c r="K105" s="21"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4.69176171631055</v>
      </c>
      <c r="L105" s="21"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4.69176171631055</v>
      </c>
      <c r="M105" s="21"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4.69176171631055</v>
      </c>
      <c r="N105" s="7" t="n">
        <f aca="false">SUM(B105:M105)</f>
        <v>56.3011405957266</v>
      </c>
      <c r="O105" s="22" t="n">
        <f aca="false">MAX(B105:M105)</f>
        <v>4.69176171631055</v>
      </c>
      <c r="P105" s="12" t="n">
        <f aca="false">O105/parametros_recargas!$B$6</f>
        <v>0.0312784114420703</v>
      </c>
    </row>
    <row r="106" customFormat="false" ht="15" hidden="false" customHeight="false" outlineLevel="0" collapsed="false">
      <c r="A106" s="9" t="str">
        <f aca="false">parametros_recargas!$B$80</f>
        <v>Desarme y limpieza — recinto</v>
      </c>
      <c r="B106" s="21"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4701.09650133116</v>
      </c>
      <c r="C106" s="21"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4701.09650133116</v>
      </c>
      <c r="D106" s="21"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4701.09650133116</v>
      </c>
      <c r="E106" s="21"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4701.09650133116</v>
      </c>
      <c r="F106" s="21"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4701.09650133116</v>
      </c>
      <c r="G106" s="21"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4701.09650133116</v>
      </c>
      <c r="H106" s="21"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4701.09650133116</v>
      </c>
      <c r="I106" s="21"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4701.09650133116</v>
      </c>
      <c r="J106" s="21"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4701.09650133116</v>
      </c>
      <c r="K106" s="21"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4701.09650133116</v>
      </c>
      <c r="L106" s="21"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4701.09650133116</v>
      </c>
      <c r="M106" s="21"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4701.09650133116</v>
      </c>
      <c r="N106" s="7" t="n">
        <f aca="false">SUM(B106:M106)</f>
        <v>56413.1580159739</v>
      </c>
      <c r="O106" s="22" t="n">
        <f aca="false">MAX(B106:M106)</f>
        <v>4701.09650133116</v>
      </c>
      <c r="P106" s="12" t="n">
        <f aca="false">O106/parametros_recargas!$B$6</f>
        <v>31.3406433422077</v>
      </c>
    </row>
    <row r="107" customFormat="false" ht="15" hidden="false" customHeight="false" outlineLevel="0" collapsed="false">
      <c r="A107" s="9" t="str">
        <f aca="false">parametros_recargas!$B$81</f>
        <v>Desarme e inspección interior — zona general</v>
      </c>
      <c r="B107" s="21"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377.762848175523</v>
      </c>
      <c r="C107" s="21"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377.762848175523</v>
      </c>
      <c r="D107" s="21"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377.762848175523</v>
      </c>
      <c r="E107" s="21"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377.762848175523</v>
      </c>
      <c r="F107" s="21"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377.762848175523</v>
      </c>
      <c r="G107" s="21"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377.762848175523</v>
      </c>
      <c r="H107" s="21"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377.762848175523</v>
      </c>
      <c r="I107" s="21"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377.762848175523</v>
      </c>
      <c r="J107" s="21"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377.762848175523</v>
      </c>
      <c r="K107" s="21"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377.762848175523</v>
      </c>
      <c r="L107" s="21"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377.762848175523</v>
      </c>
      <c r="M107" s="21"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377.762848175523</v>
      </c>
      <c r="N107" s="7" t="n">
        <f aca="false">SUM(B107:M107)</f>
        <v>4533.15417810628</v>
      </c>
      <c r="O107" s="22" t="n">
        <f aca="false">MAX(B107:M107)</f>
        <v>377.762848175523</v>
      </c>
      <c r="P107" s="12" t="n">
        <f aca="false">O107/parametros_recargas!$B$6</f>
        <v>2.51841898783682</v>
      </c>
    </row>
    <row r="108" customFormat="false" ht="15" hidden="false" customHeight="false" outlineLevel="0" collapsed="false">
      <c r="A108" s="9" t="str">
        <f aca="false">parametros_recargas!$B$82</f>
        <v>Laboratorio — Puffer y mufla</v>
      </c>
      <c r="B108" s="21"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4.69407785689058</v>
      </c>
      <c r="C108" s="21"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4.69407785689058</v>
      </c>
      <c r="D108" s="21"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4.69407785689058</v>
      </c>
      <c r="E108" s="21"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4.69407785689058</v>
      </c>
      <c r="F108" s="21"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4.69407785689058</v>
      </c>
      <c r="G108" s="21"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4.69407785689058</v>
      </c>
      <c r="H108" s="21"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4.69407785689058</v>
      </c>
      <c r="I108" s="21"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4.69407785689058</v>
      </c>
      <c r="J108" s="21"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4.69407785689058</v>
      </c>
      <c r="K108" s="21"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4.69407785689058</v>
      </c>
      <c r="L108" s="21"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4.69407785689058</v>
      </c>
      <c r="M108" s="21"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4.69407785689058</v>
      </c>
      <c r="N108" s="7" t="n">
        <f aca="false">SUM(B108:M108)</f>
        <v>56.328934282687</v>
      </c>
      <c r="O108" s="22" t="n">
        <f aca="false">MAX(B108:M108)</f>
        <v>4.69407785689058</v>
      </c>
      <c r="P108" s="12" t="n">
        <f aca="false">O108/parametros_recargas!$B$6</f>
        <v>0.0312938523792705</v>
      </c>
    </row>
    <row r="109" customFormat="false" ht="15" hidden="false" customHeight="false" outlineLevel="0" collapsed="false">
      <c r="A109" s="9" t="str">
        <f aca="false">parametros_recargas!$B$83</f>
        <v>Prueba hidráulica</v>
      </c>
      <c r="B109" s="21"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1165.5029046951</v>
      </c>
      <c r="C109" s="21"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1165.5029046951</v>
      </c>
      <c r="D109" s="21"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1165.5029046951</v>
      </c>
      <c r="E109" s="21"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1165.5029046951</v>
      </c>
      <c r="F109" s="21"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1165.5029046951</v>
      </c>
      <c r="G109" s="21"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1165.5029046951</v>
      </c>
      <c r="H109" s="21"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1165.5029046951</v>
      </c>
      <c r="I109" s="21"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1165.5029046951</v>
      </c>
      <c r="J109" s="21"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1165.5029046951</v>
      </c>
      <c r="K109" s="21"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1165.5029046951</v>
      </c>
      <c r="L109" s="21"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1165.5029046951</v>
      </c>
      <c r="M109" s="21"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1165.5029046951</v>
      </c>
      <c r="N109" s="7" t="n">
        <f aca="false">SUM(B109:M109)</f>
        <v>13986.0348563412</v>
      </c>
      <c r="O109" s="22" t="n">
        <f aca="false">MAX(B109:M109)</f>
        <v>1165.5029046951</v>
      </c>
      <c r="P109" s="12" t="n">
        <f aca="false">O109/parametros_recargas!$B$6</f>
        <v>7.770019364634</v>
      </c>
    </row>
    <row r="110" customFormat="false" ht="15" hidden="false" customHeight="false" outlineLevel="0" collapsed="false">
      <c r="A110" s="9" t="str">
        <f aca="false">parametros_recargas!$B$84</f>
        <v>Secado</v>
      </c>
      <c r="B110" s="21"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1084.30274618916</v>
      </c>
      <c r="C110" s="21"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1084.30274618916</v>
      </c>
      <c r="D110" s="21"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1084.30274618916</v>
      </c>
      <c r="E110" s="21"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1084.30274618916</v>
      </c>
      <c r="F110" s="21"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1084.30274618916</v>
      </c>
      <c r="G110" s="21"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1084.30274618916</v>
      </c>
      <c r="H110" s="21"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1084.30274618916</v>
      </c>
      <c r="I110" s="21"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1084.30274618916</v>
      </c>
      <c r="J110" s="21"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1084.30274618916</v>
      </c>
      <c r="K110" s="21"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1084.30274618916</v>
      </c>
      <c r="L110" s="21"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1084.30274618916</v>
      </c>
      <c r="M110" s="21"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1084.30274618916</v>
      </c>
      <c r="N110" s="7" t="n">
        <f aca="false">SUM(B110:M110)</f>
        <v>13011.6329542699</v>
      </c>
      <c r="O110" s="22" t="n">
        <f aca="false">MAX(B110:M110)</f>
        <v>1084.30274618916</v>
      </c>
      <c r="P110" s="12" t="n">
        <f aca="false">O110/parametros_recargas!$B$6</f>
        <v>7.2286849745944</v>
      </c>
    </row>
    <row r="111" customFormat="false" ht="15" hidden="false" customHeight="false" outlineLevel="0" collapsed="false">
      <c r="A111" s="9" t="str">
        <f aca="false">parametros_recargas!$B$85</f>
        <v>Inspección interior con videoscopio</v>
      </c>
      <c r="B111" s="21"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1084.30274618916</v>
      </c>
      <c r="C111" s="21"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1084.30274618916</v>
      </c>
      <c r="D111" s="21"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1084.30274618916</v>
      </c>
      <c r="E111" s="21"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1084.30274618916</v>
      </c>
      <c r="F111" s="21"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1084.30274618916</v>
      </c>
      <c r="G111" s="21"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1084.30274618916</v>
      </c>
      <c r="H111" s="21"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1084.30274618916</v>
      </c>
      <c r="I111" s="21"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1084.30274618916</v>
      </c>
      <c r="J111" s="21"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1084.30274618916</v>
      </c>
      <c r="K111" s="21"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1084.30274618916</v>
      </c>
      <c r="L111" s="21"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1084.30274618916</v>
      </c>
      <c r="M111" s="21"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1084.30274618916</v>
      </c>
      <c r="N111" s="7" t="n">
        <f aca="false">SUM(B111:M111)</f>
        <v>13011.6329542699</v>
      </c>
      <c r="O111" s="22" t="n">
        <f aca="false">MAX(B111:M111)</f>
        <v>1084.30274618916</v>
      </c>
      <c r="P111" s="12" t="n">
        <f aca="false">O111/parametros_recargas!$B$6</f>
        <v>7.2286849745944</v>
      </c>
    </row>
    <row r="112" customFormat="false" ht="15" hidden="false" customHeight="false" outlineLevel="0" collapsed="false">
      <c r="A112" s="9" t="str">
        <f aca="false">parametros_recargas!$B$86</f>
        <v>Pintura</v>
      </c>
      <c r="B112" s="21"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544.288115291775</v>
      </c>
      <c r="C112" s="21"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544.288115291775</v>
      </c>
      <c r="D112" s="21"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544.288115291775</v>
      </c>
      <c r="E112" s="21"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544.288115291775</v>
      </c>
      <c r="F112" s="21"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544.288115291775</v>
      </c>
      <c r="G112" s="21"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544.288115291775</v>
      </c>
      <c r="H112" s="21"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544.288115291775</v>
      </c>
      <c r="I112" s="21"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544.288115291775</v>
      </c>
      <c r="J112" s="21"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544.288115291775</v>
      </c>
      <c r="K112" s="21"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544.288115291775</v>
      </c>
      <c r="L112" s="21"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544.288115291775</v>
      </c>
      <c r="M112" s="21"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544.288115291775</v>
      </c>
      <c r="N112" s="7" t="n">
        <f aca="false">SUM(B112:M112)</f>
        <v>6531.45738350129</v>
      </c>
      <c r="O112" s="22" t="n">
        <f aca="false">MAX(B112:M112)</f>
        <v>544.288115291775</v>
      </c>
      <c r="P112" s="12" t="n">
        <f aca="false">O112/parametros_recargas!$B$6</f>
        <v>3.6285874352785</v>
      </c>
    </row>
    <row r="113" customFormat="false" ht="15" hidden="false" customHeight="false" outlineLevel="0" collapsed="false">
      <c r="A113" s="9" t="str">
        <f aca="false">parametros_recargas!$B$87</f>
        <v>Carga de polvo ABC</v>
      </c>
      <c r="B113" s="21"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4703.94578358531</v>
      </c>
      <c r="C113" s="21"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4700.60418358531</v>
      </c>
      <c r="D113" s="21"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4701.68858358531</v>
      </c>
      <c r="E113" s="21"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4701.68858358531</v>
      </c>
      <c r="F113" s="21"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4700.90298358531</v>
      </c>
      <c r="G113" s="21"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4699.91818358531</v>
      </c>
      <c r="H113" s="21"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4700.90298358531</v>
      </c>
      <c r="I113" s="21"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4700.90298358531</v>
      </c>
      <c r="J113" s="21"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4700.80338358531</v>
      </c>
      <c r="K113" s="21"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4699.81858358531</v>
      </c>
      <c r="L113" s="21"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4698.93338358531</v>
      </c>
      <c r="M113" s="21"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4705.41738358531</v>
      </c>
      <c r="N113" s="7" t="n">
        <f aca="false">SUM(B113:M113)</f>
        <v>56415.5270030237</v>
      </c>
      <c r="O113" s="22" t="n">
        <f aca="false">MAX(B113:M113)</f>
        <v>4705.41738358531</v>
      </c>
      <c r="P113" s="12" t="n">
        <f aca="false">O113/parametros_recargas!$B$6</f>
        <v>31.3694492239021</v>
      </c>
    </row>
    <row r="114" customFormat="false" ht="15" hidden="false" customHeight="false" outlineLevel="0" collapsed="false">
      <c r="A114" s="9" t="str">
        <f aca="false">parametros_recargas!$B$88</f>
        <v>Carga de polvo BC</v>
      </c>
      <c r="B114" s="21"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7.5372733052683</v>
      </c>
      <c r="C114" s="21"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7.5372733052683</v>
      </c>
      <c r="D114" s="21"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7.5372733052683</v>
      </c>
      <c r="E114" s="21"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7.5372733052683</v>
      </c>
      <c r="F114" s="21"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7.5372733052683</v>
      </c>
      <c r="G114" s="21"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7.5372733052683</v>
      </c>
      <c r="H114" s="21"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7.5372733052683</v>
      </c>
      <c r="I114" s="21"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7.5372733052683</v>
      </c>
      <c r="J114" s="21"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7.5372733052683</v>
      </c>
      <c r="K114" s="21"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7.5372733052683</v>
      </c>
      <c r="L114" s="21"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7.5372733052683</v>
      </c>
      <c r="M114" s="21"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7.5372733052683</v>
      </c>
      <c r="N114" s="7" t="n">
        <f aca="false">SUM(B114:M114)</f>
        <v>90.4472796632196</v>
      </c>
      <c r="O114" s="22" t="n">
        <f aca="false">MAX(B114:M114)</f>
        <v>7.5372733052683</v>
      </c>
      <c r="P114" s="12" t="n">
        <f aca="false">O114/parametros_recargas!$B$6</f>
        <v>0.0502484887017887</v>
      </c>
    </row>
    <row r="115" customFormat="false" ht="15" hidden="false" customHeight="false" outlineLevel="0" collapsed="false">
      <c r="A115" s="9" t="str">
        <f aca="false">parametros_recargas!$B$89</f>
        <v>Descarga y carga Clase D</v>
      </c>
      <c r="B115" s="21"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7.0186444405788</v>
      </c>
      <c r="C115" s="21"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7.0186444405788</v>
      </c>
      <c r="D115" s="21"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7.0186444405788</v>
      </c>
      <c r="E115" s="21"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7.0186444405788</v>
      </c>
      <c r="F115" s="21"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7.0186444405788</v>
      </c>
      <c r="G115" s="21"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7.0186444405788</v>
      </c>
      <c r="H115" s="21"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7.0186444405788</v>
      </c>
      <c r="I115" s="21"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7.0186444405788</v>
      </c>
      <c r="J115" s="21"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7.0186444405788</v>
      </c>
      <c r="K115" s="21"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7.0186444405788</v>
      </c>
      <c r="L115" s="21"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7.0186444405788</v>
      </c>
      <c r="M115" s="21"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7.0186444405788</v>
      </c>
      <c r="N115" s="7" t="n">
        <f aca="false">SUM(B115:M115)</f>
        <v>84.2237332869456</v>
      </c>
      <c r="O115" s="22" t="n">
        <f aca="false">MAX(B115:M115)</f>
        <v>7.0186444405788</v>
      </c>
      <c r="P115" s="12" t="n">
        <f aca="false">O115/parametros_recargas!$B$6</f>
        <v>0.046790962937192</v>
      </c>
    </row>
    <row r="116" customFormat="false" ht="15" hidden="false" customHeight="false" outlineLevel="0" collapsed="false">
      <c r="A116" s="9" t="str">
        <f aca="false">parametros_recargas!$B$90</f>
        <v>Carga de agua / AFFF / sales K</v>
      </c>
      <c r="B116" s="21"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256.422247038502</v>
      </c>
      <c r="C116" s="21"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256.422247038502</v>
      </c>
      <c r="D116" s="21"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256.422247038502</v>
      </c>
      <c r="E116" s="21"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256.422247038502</v>
      </c>
      <c r="F116" s="21"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256.422247038502</v>
      </c>
      <c r="G116" s="21"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256.422247038502</v>
      </c>
      <c r="H116" s="21"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256.422247038502</v>
      </c>
      <c r="I116" s="21"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256.422247038502</v>
      </c>
      <c r="J116" s="21"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256.422247038502</v>
      </c>
      <c r="K116" s="21"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256.422247038502</v>
      </c>
      <c r="L116" s="21"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256.422247038502</v>
      </c>
      <c r="M116" s="21"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256.422247038502</v>
      </c>
      <c r="N116" s="7" t="n">
        <f aca="false">SUM(B116:M116)</f>
        <v>3077.06696446203</v>
      </c>
      <c r="O116" s="22" t="n">
        <f aca="false">MAX(B116:M116)</f>
        <v>256.422247038502</v>
      </c>
      <c r="P116" s="12" t="n">
        <f aca="false">O116/parametros_recargas!$B$6</f>
        <v>1.70948164692335</v>
      </c>
    </row>
    <row r="117" customFormat="false" ht="15" hidden="false" customHeight="false" outlineLevel="0" collapsed="false">
      <c r="A117" s="9" t="str">
        <f aca="false">parametros_recargas!$B$91</f>
        <v>Carga de CO₂</v>
      </c>
      <c r="B117" s="21"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139.978607304853</v>
      </c>
      <c r="C117" s="21"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139.978607304853</v>
      </c>
      <c r="D117" s="21"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139.978607304853</v>
      </c>
      <c r="E117" s="21"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139.978607304853</v>
      </c>
      <c r="F117" s="21"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139.978607304853</v>
      </c>
      <c r="G117" s="21"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139.978607304853</v>
      </c>
      <c r="H117" s="21"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139.978607304853</v>
      </c>
      <c r="I117" s="21"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139.978607304853</v>
      </c>
      <c r="J117" s="21"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139.978607304853</v>
      </c>
      <c r="K117" s="21"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139.978607304853</v>
      </c>
      <c r="L117" s="21"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139.978607304853</v>
      </c>
      <c r="M117" s="21"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139.978607304853</v>
      </c>
      <c r="N117" s="7" t="n">
        <f aca="false">SUM(B117:M117)</f>
        <v>1679.74328765823</v>
      </c>
      <c r="O117" s="22" t="n">
        <f aca="false">MAX(B117:M117)</f>
        <v>139.978607304853</v>
      </c>
      <c r="P117" s="12" t="n">
        <f aca="false">O117/parametros_recargas!$B$6</f>
        <v>0.933190715365684</v>
      </c>
    </row>
    <row r="118" customFormat="false" ht="15" hidden="false" customHeight="false" outlineLevel="0" collapsed="false">
      <c r="A118" s="9" t="str">
        <f aca="false">parametros_recargas!$B$92</f>
        <v>Ensamblaje y marbete — recinto</v>
      </c>
      <c r="B118" s="21"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4718.50170133116</v>
      </c>
      <c r="C118" s="21"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4715.16010133116</v>
      </c>
      <c r="D118" s="21"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4716.24450133116</v>
      </c>
      <c r="E118" s="21"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4716.24450133116</v>
      </c>
      <c r="F118" s="21"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4715.45890133116</v>
      </c>
      <c r="G118" s="21"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4714.47410133116</v>
      </c>
      <c r="H118" s="21"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4715.45890133116</v>
      </c>
      <c r="I118" s="21"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4715.45890133116</v>
      </c>
      <c r="J118" s="21"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4715.35930133116</v>
      </c>
      <c r="K118" s="21"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4714.37450133116</v>
      </c>
      <c r="L118" s="21"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4713.48930133116</v>
      </c>
      <c r="M118" s="21"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4719.97330133116</v>
      </c>
      <c r="N118" s="7" t="n">
        <f aca="false">SUM(B118:M118)</f>
        <v>56590.1980159739</v>
      </c>
      <c r="O118" s="22" t="n">
        <f aca="false">MAX(B118:M118)</f>
        <v>4719.97330133116</v>
      </c>
      <c r="P118" s="12" t="n">
        <f aca="false">O118/parametros_recargas!$B$6</f>
        <v>31.4664886755411</v>
      </c>
    </row>
    <row r="119" customFormat="false" ht="15" hidden="false" customHeight="false" outlineLevel="0" collapsed="false">
      <c r="A119" s="9" t="str">
        <f aca="false">parametros_recargas!$B$93</f>
        <v>Presurización — recinto</v>
      </c>
      <c r="B119" s="21"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4718.50170133116</v>
      </c>
      <c r="C119" s="21"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4715.16010133116</v>
      </c>
      <c r="D119" s="21"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4716.24450133116</v>
      </c>
      <c r="E119" s="21"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4716.24450133116</v>
      </c>
      <c r="F119" s="21"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4715.45890133116</v>
      </c>
      <c r="G119" s="21"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4714.47410133116</v>
      </c>
      <c r="H119" s="21"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4715.45890133116</v>
      </c>
      <c r="I119" s="21"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4715.45890133116</v>
      </c>
      <c r="J119" s="21"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4715.35930133116</v>
      </c>
      <c r="K119" s="21"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4714.37450133116</v>
      </c>
      <c r="L119" s="21"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4713.48930133116</v>
      </c>
      <c r="M119" s="21"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4719.97330133116</v>
      </c>
      <c r="N119" s="7" t="n">
        <f aca="false">SUM(B119:M119)</f>
        <v>56590.1980159739</v>
      </c>
      <c r="O119" s="22" t="n">
        <f aca="false">MAX(B119:M119)</f>
        <v>4719.97330133116</v>
      </c>
      <c r="P119" s="12" t="n">
        <f aca="false">O119/parametros_recargas!$B$6</f>
        <v>31.4664886755411</v>
      </c>
    </row>
    <row r="120" customFormat="false" ht="15" hidden="false" customHeight="false" outlineLevel="0" collapsed="false">
      <c r="A120" s="9" t="str">
        <f aca="false">parametros_recargas!$B$94</f>
        <v>Ensamblaje y presurización — zona general</v>
      </c>
      <c r="B120" s="21"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377.762848175523</v>
      </c>
      <c r="C120" s="21"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377.762848175523</v>
      </c>
      <c r="D120" s="21"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377.762848175523</v>
      </c>
      <c r="E120" s="21"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377.762848175523</v>
      </c>
      <c r="F120" s="21"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377.762848175523</v>
      </c>
      <c r="G120" s="21"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377.762848175523</v>
      </c>
      <c r="H120" s="21"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377.762848175523</v>
      </c>
      <c r="I120" s="21"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377.762848175523</v>
      </c>
      <c r="J120" s="21"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377.762848175523</v>
      </c>
      <c r="K120" s="21"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377.762848175523</v>
      </c>
      <c r="L120" s="21"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377.762848175523</v>
      </c>
      <c r="M120" s="21"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377.762848175523</v>
      </c>
      <c r="N120" s="7" t="n">
        <f aca="false">SUM(B120:M120)</f>
        <v>4533.15417810628</v>
      </c>
      <c r="O120" s="22" t="n">
        <f aca="false">MAX(B120:M120)</f>
        <v>377.762848175523</v>
      </c>
      <c r="P120" s="12" t="n">
        <f aca="false">O120/parametros_recargas!$B$6</f>
        <v>2.51841898783682</v>
      </c>
    </row>
    <row r="121" customFormat="false" ht="15" hidden="false" customHeight="false" outlineLevel="0" collapsed="false">
      <c r="A121" s="9" t="str">
        <f aca="false">parametros_recargas!$B$95</f>
        <v>Carga y presurización de halogenado</v>
      </c>
      <c r="B121" s="21"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4.69176171631055</v>
      </c>
      <c r="C121" s="21"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4.69176171631055</v>
      </c>
      <c r="D121" s="21"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4.69176171631055</v>
      </c>
      <c r="E121" s="21"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4.69176171631055</v>
      </c>
      <c r="F121" s="21"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4.69176171631055</v>
      </c>
      <c r="G121" s="21"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4.69176171631055</v>
      </c>
      <c r="H121" s="21"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4.69176171631055</v>
      </c>
      <c r="I121" s="21"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4.69176171631055</v>
      </c>
      <c r="J121" s="21"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4.69176171631055</v>
      </c>
      <c r="K121" s="21"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4.69176171631055</v>
      </c>
      <c r="L121" s="21"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4.69176171631055</v>
      </c>
      <c r="M121" s="21"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4.69176171631055</v>
      </c>
      <c r="N121" s="7" t="n">
        <f aca="false">SUM(B121:M121)</f>
        <v>56.3011405957266</v>
      </c>
      <c r="O121" s="22" t="n">
        <f aca="false">MAX(B121:M121)</f>
        <v>4.69176171631055</v>
      </c>
      <c r="P121" s="12" t="n">
        <f aca="false">O121/parametros_recargas!$B$6</f>
        <v>0.0312784114420703</v>
      </c>
    </row>
    <row r="122" customFormat="false" ht="15" hidden="false" customHeight="false" outlineLevel="0" collapsed="false">
      <c r="A122" s="9" t="str">
        <f aca="false">parametros_recargas!$B$96</f>
        <v>Control de peso (CO₂ y halogenados sin recarga)</v>
      </c>
      <c r="B122" s="21"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340.692035526921</v>
      </c>
      <c r="C122" s="21"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340.692035526921</v>
      </c>
      <c r="D122" s="21"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340.692035526921</v>
      </c>
      <c r="E122" s="21"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340.692035526921</v>
      </c>
      <c r="F122" s="21"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340.692035526921</v>
      </c>
      <c r="G122" s="21"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340.692035526921</v>
      </c>
      <c r="H122" s="21"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340.692035526921</v>
      </c>
      <c r="I122" s="21"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340.692035526921</v>
      </c>
      <c r="J122" s="21"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340.692035526921</v>
      </c>
      <c r="K122" s="21"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340.692035526921</v>
      </c>
      <c r="L122" s="21"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340.692035526921</v>
      </c>
      <c r="M122" s="21"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340.692035526921</v>
      </c>
      <c r="N122" s="7" t="n">
        <f aca="false">SUM(B122:M122)</f>
        <v>4088.30442632305</v>
      </c>
      <c r="O122" s="22" t="n">
        <f aca="false">MAX(B122:M122)</f>
        <v>340.692035526921</v>
      </c>
      <c r="P122" s="12" t="n">
        <f aca="false">O122/parametros_recargas!$B$6</f>
        <v>2.27128023684614</v>
      </c>
    </row>
    <row r="123" customFormat="false" ht="15" hidden="false" customHeight="false" outlineLevel="0" collapsed="false">
      <c r="A123" s="9" t="str">
        <f aca="false">parametros_recargas!$B$97</f>
        <v>Ensayo de pérdidas</v>
      </c>
      <c r="B123" s="21"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5460.28635291774</v>
      </c>
      <c r="C123" s="21"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5456.94475291774</v>
      </c>
      <c r="D123" s="21"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5458.02915291774</v>
      </c>
      <c r="E123" s="21"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5458.02915291774</v>
      </c>
      <c r="F123" s="21"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5457.24355291774</v>
      </c>
      <c r="G123" s="21"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5456.25875291774</v>
      </c>
      <c r="H123" s="21"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5457.24355291774</v>
      </c>
      <c r="I123" s="21"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5457.24355291774</v>
      </c>
      <c r="J123" s="21"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5457.14395291774</v>
      </c>
      <c r="K123" s="21"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5456.15915291774</v>
      </c>
      <c r="L123" s="21"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5455.27395291774</v>
      </c>
      <c r="M123" s="21"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5461.75795291774</v>
      </c>
      <c r="N123" s="7" t="n">
        <f aca="false">SUM(B123:M123)</f>
        <v>65491.6138350129</v>
      </c>
      <c r="O123" s="22" t="n">
        <f aca="false">MAX(B123:M123)</f>
        <v>5461.75795291774</v>
      </c>
      <c r="P123" s="12" t="n">
        <f aca="false">O123/parametros_recargas!$B$6</f>
        <v>36.4117196861183</v>
      </c>
    </row>
    <row r="124" customFormat="false" ht="15" hidden="false" customHeight="false" outlineLevel="0" collapsed="false">
      <c r="A124" s="9" t="str">
        <f aca="false">parametros_recargas!$B$98</f>
        <v>Precinto, etiqueta y despacho</v>
      </c>
      <c r="B124" s="21"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5460.28635291774</v>
      </c>
      <c r="C124" s="21"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5456.94475291774</v>
      </c>
      <c r="D124" s="21"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5458.02915291774</v>
      </c>
      <c r="E124" s="21"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5458.02915291774</v>
      </c>
      <c r="F124" s="21"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5457.24355291774</v>
      </c>
      <c r="G124" s="21"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5456.25875291774</v>
      </c>
      <c r="H124" s="21"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5457.24355291774</v>
      </c>
      <c r="I124" s="21"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5457.24355291774</v>
      </c>
      <c r="J124" s="21"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5457.14395291774</v>
      </c>
      <c r="K124" s="21"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5456.15915291774</v>
      </c>
      <c r="L124" s="21"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5455.27395291774</v>
      </c>
      <c r="M124" s="21"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5461.75795291774</v>
      </c>
      <c r="N124" s="7" t="n">
        <f aca="false">SUM(B124:M124)</f>
        <v>65491.6138350129</v>
      </c>
      <c r="O124" s="22" t="n">
        <f aca="false">MAX(B124:M124)</f>
        <v>5461.75795291774</v>
      </c>
      <c r="P124" s="12" t="n">
        <f aca="false">O124/parametros_recargas!$B$6</f>
        <v>36.4117196861183</v>
      </c>
    </row>
    <row r="125" customFormat="false" ht="15" hidden="false" customHeight="false" outlineLevel="0" collapsed="false">
      <c r="A125" s="9" t="str">
        <f aca="false">parametros_recargas!$B$99</f>
        <v>Inutilización y disposición final</v>
      </c>
      <c r="B125" s="21"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427.653902938706</v>
      </c>
      <c r="C125" s="21"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427.653902938706</v>
      </c>
      <c r="D125" s="21"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427.653902938706</v>
      </c>
      <c r="E125" s="21"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427.653902938706</v>
      </c>
      <c r="F125" s="21"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427.653902938706</v>
      </c>
      <c r="G125" s="21"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427.653902938706</v>
      </c>
      <c r="H125" s="21"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427.653902938706</v>
      </c>
      <c r="I125" s="21"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427.653902938706</v>
      </c>
      <c r="J125" s="21"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427.653902938706</v>
      </c>
      <c r="K125" s="21"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427.653902938706</v>
      </c>
      <c r="L125" s="21"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427.653902938706</v>
      </c>
      <c r="M125" s="21"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427.653902938706</v>
      </c>
      <c r="N125" s="7" t="n">
        <f aca="false">SUM(B125:M125)</f>
        <v>5131.84683526447</v>
      </c>
      <c r="O125" s="22" t="n">
        <f aca="false">MAX(B125:M125)</f>
        <v>427.653902938706</v>
      </c>
      <c r="P125" s="12" t="n">
        <f aca="false">O125/parametros_recargas!$B$6</f>
        <v>2.85102601959137</v>
      </c>
    </row>
    <row r="126" customFormat="false" ht="15" hidden="false" customHeight="false" outlineLevel="0" collapsed="false">
      <c r="A126" s="9" t="str">
        <f aca="false">parametros_recargas!$B$100</f>
        <v>PH de mangueras (CO₂ y rodantes)</v>
      </c>
      <c r="B126" s="21" t="n">
        <f aca="false">'Plan mensual'!D125</f>
        <v>190.821204421213</v>
      </c>
      <c r="C126" s="21" t="n">
        <f aca="false">'Plan mensual'!E125</f>
        <v>190.821204421213</v>
      </c>
      <c r="D126" s="21" t="n">
        <f aca="false">'Plan mensual'!F125</f>
        <v>190.821204421213</v>
      </c>
      <c r="E126" s="21" t="n">
        <f aca="false">'Plan mensual'!G125</f>
        <v>190.821204421213</v>
      </c>
      <c r="F126" s="21" t="n">
        <f aca="false">'Plan mensual'!H125</f>
        <v>190.821204421213</v>
      </c>
      <c r="G126" s="21" t="n">
        <f aca="false">'Plan mensual'!I125</f>
        <v>190.821204421213</v>
      </c>
      <c r="H126" s="21" t="n">
        <f aca="false">'Plan mensual'!J125</f>
        <v>190.821204421213</v>
      </c>
      <c r="I126" s="21" t="n">
        <f aca="false">'Plan mensual'!K125</f>
        <v>190.821204421213</v>
      </c>
      <c r="J126" s="21" t="n">
        <f aca="false">'Plan mensual'!L125</f>
        <v>190.821204421213</v>
      </c>
      <c r="K126" s="21" t="n">
        <f aca="false">'Plan mensual'!M125</f>
        <v>190.821204421213</v>
      </c>
      <c r="L126" s="21" t="n">
        <f aca="false">'Plan mensual'!N125</f>
        <v>190.821204421213</v>
      </c>
      <c r="M126" s="21" t="n">
        <f aca="false">'Plan mensual'!O125</f>
        <v>190.821204421213</v>
      </c>
      <c r="N126" s="7" t="n">
        <f aca="false">SUM(B126:M126)</f>
        <v>2289.85445305455</v>
      </c>
      <c r="O126" s="22" t="n">
        <f aca="false">MAX(B126:M126)</f>
        <v>190.821204421213</v>
      </c>
      <c r="P126" s="12" t="n">
        <f aca="false">O126/parametros_recargas!$B$6</f>
        <v>1.27214136280808</v>
      </c>
    </row>
    <row r="129" customFormat="false" ht="23.85" hidden="false" customHeight="false" outlineLevel="0" collapsed="false">
      <c r="A129" s="3" t="s">
        <v>367</v>
      </c>
      <c r="B129" s="3" t="s">
        <v>147</v>
      </c>
      <c r="C129" s="3" t="s">
        <v>148</v>
      </c>
      <c r="D129" s="3" t="s">
        <v>149</v>
      </c>
      <c r="E129" s="3" t="s">
        <v>150</v>
      </c>
      <c r="F129" s="3" t="s">
        <v>151</v>
      </c>
      <c r="G129" s="3" t="s">
        <v>152</v>
      </c>
      <c r="H129" s="3" t="s">
        <v>153</v>
      </c>
      <c r="I129" s="3" t="s">
        <v>154</v>
      </c>
      <c r="J129" s="3" t="s">
        <v>155</v>
      </c>
      <c r="K129" s="3" t="s">
        <v>156</v>
      </c>
      <c r="L129" s="3" t="s">
        <v>157</v>
      </c>
      <c r="M129" s="3" t="s">
        <v>158</v>
      </c>
      <c r="N129" s="3" t="s">
        <v>361</v>
      </c>
      <c r="O129" s="3" t="s">
        <v>362</v>
      </c>
      <c r="P129" s="3" t="s">
        <v>363</v>
      </c>
    </row>
    <row r="130" customFormat="false" ht="15" hidden="false" customHeight="false" outlineLevel="0" collapsed="false">
      <c r="A130" s="9" t="str">
        <f aca="false">parametros_recargas!$B$72</f>
        <v>Recepción y registro</v>
      </c>
      <c r="B130" s="21" t="n">
        <f aca="false">parametros_recargas!$E$72*'Plan mensual'!D149+parametros_recargas!$F$72*'Plan mensual'!D150+parametros_recargas!$G$72*'Plan mensual'!D151+parametros_recargas!$H$72*'Plan mensual'!D152+parametros_recargas!$I$72*'Plan mensual'!D153+parametros_recargas!$J$72*'Plan mensual'!D154+parametros_recargas!$K$72*'Plan mensual'!D155+parametros_recargas!$L$72*'Plan mensual'!D156+parametros_recargas!$M$72*'Plan mensual'!D158</f>
        <v>8031.6575442333</v>
      </c>
      <c r="C130" s="21" t="n">
        <f aca="false">parametros_recargas!$E$72*'Plan mensual'!E149+parametros_recargas!$F$72*'Plan mensual'!E150+parametros_recargas!$G$72*'Plan mensual'!E151+parametros_recargas!$H$72*'Plan mensual'!E152+parametros_recargas!$I$72*'Plan mensual'!E153+parametros_recargas!$J$72*'Plan mensual'!E154+parametros_recargas!$K$72*'Plan mensual'!E155+parametros_recargas!$L$72*'Plan mensual'!E156+parametros_recargas!$M$72*'Plan mensual'!E158</f>
        <v>8028.2511442333</v>
      </c>
      <c r="D130" s="21" t="n">
        <f aca="false">parametros_recargas!$E$72*'Plan mensual'!F149+parametros_recargas!$F$72*'Plan mensual'!F150+parametros_recargas!$G$72*'Plan mensual'!F151+parametros_recargas!$H$72*'Plan mensual'!F152+parametros_recargas!$I$72*'Plan mensual'!F153+parametros_recargas!$J$72*'Plan mensual'!F154+parametros_recargas!$K$72*'Plan mensual'!F155+parametros_recargas!$L$72*'Plan mensual'!F156+parametros_recargas!$M$72*'Plan mensual'!F158</f>
        <v>8029.3697442333</v>
      </c>
      <c r="E130" s="21" t="n">
        <f aca="false">parametros_recargas!$E$72*'Plan mensual'!G149+parametros_recargas!$F$72*'Plan mensual'!G150+parametros_recargas!$G$72*'Plan mensual'!G151+parametros_recargas!$H$72*'Plan mensual'!G152+parametros_recargas!$I$72*'Plan mensual'!G153+parametros_recargas!$J$72*'Plan mensual'!G154+parametros_recargas!$K$72*'Plan mensual'!G155+parametros_recargas!$L$72*'Plan mensual'!G156+parametros_recargas!$M$72*'Plan mensual'!G158</f>
        <v>8029.3697442333</v>
      </c>
      <c r="F130" s="21" t="n">
        <f aca="false">parametros_recargas!$E$72*'Plan mensual'!H149+parametros_recargas!$F$72*'Plan mensual'!H150+parametros_recargas!$G$72*'Plan mensual'!H151+parametros_recargas!$H$72*'Plan mensual'!H152+parametros_recargas!$I$72*'Plan mensual'!H153+parametros_recargas!$J$72*'Plan mensual'!H154+parametros_recargas!$K$72*'Plan mensual'!H155+parametros_recargas!$L$72*'Plan mensual'!H156+parametros_recargas!$M$72*'Plan mensual'!H158</f>
        <v>8028.5715442333</v>
      </c>
      <c r="G130" s="21" t="n">
        <f aca="false">parametros_recargas!$E$72*'Plan mensual'!I149+parametros_recargas!$F$72*'Plan mensual'!I150+parametros_recargas!$G$72*'Plan mensual'!I151+parametros_recargas!$H$72*'Plan mensual'!I152+parametros_recargas!$I$72*'Plan mensual'!I153+parametros_recargas!$J$72*'Plan mensual'!I154+parametros_recargas!$K$72*'Plan mensual'!I155+parametros_recargas!$L$72*'Plan mensual'!I156+parametros_recargas!$M$72*'Plan mensual'!I158</f>
        <v>8027.5597442333</v>
      </c>
      <c r="H130" s="21" t="n">
        <f aca="false">parametros_recargas!$E$72*'Plan mensual'!J149+parametros_recargas!$F$72*'Plan mensual'!J150+parametros_recargas!$G$72*'Plan mensual'!J151+parametros_recargas!$H$72*'Plan mensual'!J152+parametros_recargas!$I$72*'Plan mensual'!J153+parametros_recargas!$J$72*'Plan mensual'!J154+parametros_recargas!$K$72*'Plan mensual'!J155+parametros_recargas!$L$72*'Plan mensual'!J156+parametros_recargas!$M$72*'Plan mensual'!J158</f>
        <v>8028.5715442333</v>
      </c>
      <c r="I130" s="21" t="n">
        <f aca="false">parametros_recargas!$E$72*'Plan mensual'!K149+parametros_recargas!$F$72*'Plan mensual'!K150+parametros_recargas!$G$72*'Plan mensual'!K151+parametros_recargas!$H$72*'Plan mensual'!K152+parametros_recargas!$I$72*'Plan mensual'!K153+parametros_recargas!$J$72*'Plan mensual'!K154+parametros_recargas!$K$72*'Plan mensual'!K155+parametros_recargas!$L$72*'Plan mensual'!K156+parametros_recargas!$M$72*'Plan mensual'!K158</f>
        <v>8028.5715442333</v>
      </c>
      <c r="J130" s="21" t="n">
        <f aca="false">parametros_recargas!$E$72*'Plan mensual'!L149+parametros_recargas!$F$72*'Plan mensual'!L150+parametros_recargas!$G$72*'Plan mensual'!L151+parametros_recargas!$H$72*'Plan mensual'!L152+parametros_recargas!$I$72*'Plan mensual'!L153+parametros_recargas!$J$72*'Plan mensual'!L154+parametros_recargas!$K$72*'Plan mensual'!L155+parametros_recargas!$L$72*'Plan mensual'!L156+parametros_recargas!$M$72*'Plan mensual'!L158</f>
        <v>8028.4647442333</v>
      </c>
      <c r="K130" s="21" t="n">
        <f aca="false">parametros_recargas!$E$72*'Plan mensual'!M149+parametros_recargas!$F$72*'Plan mensual'!M150+parametros_recargas!$G$72*'Plan mensual'!M151+parametros_recargas!$H$72*'Plan mensual'!M152+parametros_recargas!$I$72*'Plan mensual'!M153+parametros_recargas!$J$72*'Plan mensual'!M154+parametros_recargas!$K$72*'Plan mensual'!M155+parametros_recargas!$L$72*'Plan mensual'!M156+parametros_recargas!$M$72*'Plan mensual'!M158</f>
        <v>8027.4529442333</v>
      </c>
      <c r="L130" s="21" t="n">
        <f aca="false">parametros_recargas!$E$72*'Plan mensual'!N149+parametros_recargas!$F$72*'Plan mensual'!N150+parametros_recargas!$G$72*'Plan mensual'!N151+parametros_recargas!$H$72*'Plan mensual'!N152+parametros_recargas!$I$72*'Plan mensual'!N153+parametros_recargas!$J$72*'Plan mensual'!N154+parametros_recargas!$K$72*'Plan mensual'!N155+parametros_recargas!$L$72*'Plan mensual'!N156+parametros_recargas!$M$72*'Plan mensual'!N158</f>
        <v>8026.5479442333</v>
      </c>
      <c r="M130" s="21" t="n">
        <f aca="false">parametros_recargas!$E$72*'Plan mensual'!O149+parametros_recargas!$F$72*'Plan mensual'!O150+parametros_recargas!$G$72*'Plan mensual'!O151+parametros_recargas!$H$72*'Plan mensual'!O152+parametros_recargas!$I$72*'Plan mensual'!O153+parametros_recargas!$J$72*'Plan mensual'!O154+parametros_recargas!$K$72*'Plan mensual'!O155+parametros_recargas!$L$72*'Plan mensual'!O156+parametros_recargas!$M$72*'Plan mensual'!O158</f>
        <v>8033.1471442333</v>
      </c>
      <c r="N130" s="7" t="n">
        <f aca="false">SUM(B130:M130)</f>
        <v>96347.5353307995</v>
      </c>
      <c r="O130" s="22" t="n">
        <f aca="false">MAX(B130:M130)</f>
        <v>8033.1471442333</v>
      </c>
      <c r="P130" s="12" t="n">
        <f aca="false">O130/parametros_recargas!$B$6</f>
        <v>53.5543142948886</v>
      </c>
    </row>
    <row r="131" customFormat="false" ht="15" hidden="false" customHeight="false" outlineLevel="0" collapsed="false">
      <c r="A131" s="9" t="str">
        <f aca="false">parametros_recargas!$B$73</f>
        <v>Inspección visual</v>
      </c>
      <c r="B131" s="21" t="n">
        <f aca="false">parametros_recargas!$E$73*'Plan mensual'!D149+parametros_recargas!$F$73*'Plan mensual'!D150+parametros_recargas!$G$73*'Plan mensual'!D151+parametros_recargas!$H$73*'Plan mensual'!D152+parametros_recargas!$I$73*'Plan mensual'!D153+parametros_recargas!$J$73*'Plan mensual'!D154+parametros_recargas!$K$73*'Plan mensual'!D155+parametros_recargas!$L$73*'Plan mensual'!D156+parametros_recargas!$M$73*'Plan mensual'!D158</f>
        <v>8013.8779442333</v>
      </c>
      <c r="C131" s="21" t="n">
        <f aca="false">parametros_recargas!$E$73*'Plan mensual'!E149+parametros_recargas!$F$73*'Plan mensual'!E150+parametros_recargas!$G$73*'Plan mensual'!E151+parametros_recargas!$H$73*'Plan mensual'!E152+parametros_recargas!$I$73*'Plan mensual'!E153+parametros_recargas!$J$73*'Plan mensual'!E154+parametros_recargas!$K$73*'Plan mensual'!E155+parametros_recargas!$L$73*'Plan mensual'!E156+parametros_recargas!$M$73*'Plan mensual'!E158</f>
        <v>8013.8779442333</v>
      </c>
      <c r="D131" s="21" t="n">
        <f aca="false">parametros_recargas!$E$73*'Plan mensual'!F149+parametros_recargas!$F$73*'Plan mensual'!F150+parametros_recargas!$G$73*'Plan mensual'!F151+parametros_recargas!$H$73*'Plan mensual'!F152+parametros_recargas!$I$73*'Plan mensual'!F153+parametros_recargas!$J$73*'Plan mensual'!F154+parametros_recargas!$K$73*'Plan mensual'!F155+parametros_recargas!$L$73*'Plan mensual'!F156+parametros_recargas!$M$73*'Plan mensual'!F158</f>
        <v>8013.8779442333</v>
      </c>
      <c r="E131" s="21" t="n">
        <f aca="false">parametros_recargas!$E$73*'Plan mensual'!G149+parametros_recargas!$F$73*'Plan mensual'!G150+parametros_recargas!$G$73*'Plan mensual'!G151+parametros_recargas!$H$73*'Plan mensual'!G152+parametros_recargas!$I$73*'Plan mensual'!G153+parametros_recargas!$J$73*'Plan mensual'!G154+parametros_recargas!$K$73*'Plan mensual'!G155+parametros_recargas!$L$73*'Plan mensual'!G156+parametros_recargas!$M$73*'Plan mensual'!G158</f>
        <v>8013.8779442333</v>
      </c>
      <c r="F131" s="21" t="n">
        <f aca="false">parametros_recargas!$E$73*'Plan mensual'!H149+parametros_recargas!$F$73*'Plan mensual'!H150+parametros_recargas!$G$73*'Plan mensual'!H151+parametros_recargas!$H$73*'Plan mensual'!H152+parametros_recargas!$I$73*'Plan mensual'!H153+parametros_recargas!$J$73*'Plan mensual'!H154+parametros_recargas!$K$73*'Plan mensual'!H155+parametros_recargas!$L$73*'Plan mensual'!H156+parametros_recargas!$M$73*'Plan mensual'!H158</f>
        <v>8013.8779442333</v>
      </c>
      <c r="G131" s="21" t="n">
        <f aca="false">parametros_recargas!$E$73*'Plan mensual'!I149+parametros_recargas!$F$73*'Plan mensual'!I150+parametros_recargas!$G$73*'Plan mensual'!I151+parametros_recargas!$H$73*'Plan mensual'!I152+parametros_recargas!$I$73*'Plan mensual'!I153+parametros_recargas!$J$73*'Plan mensual'!I154+parametros_recargas!$K$73*'Plan mensual'!I155+parametros_recargas!$L$73*'Plan mensual'!I156+parametros_recargas!$M$73*'Plan mensual'!I158</f>
        <v>8013.8779442333</v>
      </c>
      <c r="H131" s="21" t="n">
        <f aca="false">parametros_recargas!$E$73*'Plan mensual'!J149+parametros_recargas!$F$73*'Plan mensual'!J150+parametros_recargas!$G$73*'Plan mensual'!J151+parametros_recargas!$H$73*'Plan mensual'!J152+parametros_recargas!$I$73*'Plan mensual'!J153+parametros_recargas!$J$73*'Plan mensual'!J154+parametros_recargas!$K$73*'Plan mensual'!J155+parametros_recargas!$L$73*'Plan mensual'!J156+parametros_recargas!$M$73*'Plan mensual'!J158</f>
        <v>8013.8779442333</v>
      </c>
      <c r="I131" s="21" t="n">
        <f aca="false">parametros_recargas!$E$73*'Plan mensual'!K149+parametros_recargas!$F$73*'Plan mensual'!K150+parametros_recargas!$G$73*'Plan mensual'!K151+parametros_recargas!$H$73*'Plan mensual'!K152+parametros_recargas!$I$73*'Plan mensual'!K153+parametros_recargas!$J$73*'Plan mensual'!K154+parametros_recargas!$K$73*'Plan mensual'!K155+parametros_recargas!$L$73*'Plan mensual'!K156+parametros_recargas!$M$73*'Plan mensual'!K158</f>
        <v>8013.8779442333</v>
      </c>
      <c r="J131" s="21" t="n">
        <f aca="false">parametros_recargas!$E$73*'Plan mensual'!L149+parametros_recargas!$F$73*'Plan mensual'!L150+parametros_recargas!$G$73*'Plan mensual'!L151+parametros_recargas!$H$73*'Plan mensual'!L152+parametros_recargas!$I$73*'Plan mensual'!L153+parametros_recargas!$J$73*'Plan mensual'!L154+parametros_recargas!$K$73*'Plan mensual'!L155+parametros_recargas!$L$73*'Plan mensual'!L156+parametros_recargas!$M$73*'Plan mensual'!L158</f>
        <v>8013.8779442333</v>
      </c>
      <c r="K131" s="21" t="n">
        <f aca="false">parametros_recargas!$E$73*'Plan mensual'!M149+parametros_recargas!$F$73*'Plan mensual'!M150+parametros_recargas!$G$73*'Plan mensual'!M151+parametros_recargas!$H$73*'Plan mensual'!M152+parametros_recargas!$I$73*'Plan mensual'!M153+parametros_recargas!$J$73*'Plan mensual'!M154+parametros_recargas!$K$73*'Plan mensual'!M155+parametros_recargas!$L$73*'Plan mensual'!M156+parametros_recargas!$M$73*'Plan mensual'!M158</f>
        <v>8013.8779442333</v>
      </c>
      <c r="L131" s="21" t="n">
        <f aca="false">parametros_recargas!$E$73*'Plan mensual'!N149+parametros_recargas!$F$73*'Plan mensual'!N150+parametros_recargas!$G$73*'Plan mensual'!N151+parametros_recargas!$H$73*'Plan mensual'!N152+parametros_recargas!$I$73*'Plan mensual'!N153+parametros_recargas!$J$73*'Plan mensual'!N154+parametros_recargas!$K$73*'Plan mensual'!N155+parametros_recargas!$L$73*'Plan mensual'!N156+parametros_recargas!$M$73*'Plan mensual'!N158</f>
        <v>8013.8779442333</v>
      </c>
      <c r="M131" s="21" t="n">
        <f aca="false">parametros_recargas!$E$73*'Plan mensual'!O149+parametros_recargas!$F$73*'Plan mensual'!O150+parametros_recargas!$G$73*'Plan mensual'!O151+parametros_recargas!$H$73*'Plan mensual'!O152+parametros_recargas!$I$73*'Plan mensual'!O153+parametros_recargas!$J$73*'Plan mensual'!O154+parametros_recargas!$K$73*'Plan mensual'!O155+parametros_recargas!$L$73*'Plan mensual'!O156+parametros_recargas!$M$73*'Plan mensual'!O158</f>
        <v>8013.8779442333</v>
      </c>
      <c r="N131" s="7" t="n">
        <f aca="false">SUM(B131:M131)</f>
        <v>96166.5353307995</v>
      </c>
      <c r="O131" s="22" t="n">
        <f aca="false">MAX(B131:M131)</f>
        <v>8013.8779442333</v>
      </c>
      <c r="P131" s="12" t="n">
        <f aca="false">O131/parametros_recargas!$B$6</f>
        <v>53.4258529615553</v>
      </c>
    </row>
    <row r="132" customFormat="false" ht="15" hidden="false" customHeight="false" outlineLevel="0" collapsed="false">
      <c r="A132" s="9" t="str">
        <f aca="false">parametros_recargas!$B$74</f>
        <v>Descarga ABC — ruta recuperable</v>
      </c>
      <c r="B132" s="21" t="n">
        <f aca="false">parametros_recargas!$E$74*'Plan mensual'!D149+parametros_recargas!$F$74*'Plan mensual'!D150+parametros_recargas!$G$74*'Plan mensual'!D151+parametros_recargas!$H$74*'Plan mensual'!D152+parametros_recargas!$I$74*'Plan mensual'!D153+parametros_recargas!$J$74*'Plan mensual'!D154+parametros_recargas!$K$74*'Plan mensual'!D155+parametros_recargas!$L$74*'Plan mensual'!D156+parametros_recargas!$M$74*'Plan mensual'!D158</f>
        <v>5884.4828723936</v>
      </c>
      <c r="C132" s="21" t="n">
        <f aca="false">parametros_recargas!$E$74*'Plan mensual'!E149+parametros_recargas!$F$74*'Plan mensual'!E150+parametros_recargas!$G$74*'Plan mensual'!E151+parametros_recargas!$H$74*'Plan mensual'!E152+parametros_recargas!$I$74*'Plan mensual'!E153+parametros_recargas!$J$74*'Plan mensual'!E154+parametros_recargas!$K$74*'Plan mensual'!E155+parametros_recargas!$L$74*'Plan mensual'!E156+parametros_recargas!$M$74*'Plan mensual'!E158</f>
        <v>5884.4828723936</v>
      </c>
      <c r="D132" s="21" t="n">
        <f aca="false">parametros_recargas!$E$74*'Plan mensual'!F149+parametros_recargas!$F$74*'Plan mensual'!F150+parametros_recargas!$G$74*'Plan mensual'!F151+parametros_recargas!$H$74*'Plan mensual'!F152+parametros_recargas!$I$74*'Plan mensual'!F153+parametros_recargas!$J$74*'Plan mensual'!F154+parametros_recargas!$K$74*'Plan mensual'!F155+parametros_recargas!$L$74*'Plan mensual'!F156+parametros_recargas!$M$74*'Plan mensual'!F158</f>
        <v>5884.4828723936</v>
      </c>
      <c r="E132" s="21" t="n">
        <f aca="false">parametros_recargas!$E$74*'Plan mensual'!G149+parametros_recargas!$F$74*'Plan mensual'!G150+parametros_recargas!$G$74*'Plan mensual'!G151+parametros_recargas!$H$74*'Plan mensual'!G152+parametros_recargas!$I$74*'Plan mensual'!G153+parametros_recargas!$J$74*'Plan mensual'!G154+parametros_recargas!$K$74*'Plan mensual'!G155+parametros_recargas!$L$74*'Plan mensual'!G156+parametros_recargas!$M$74*'Plan mensual'!G158</f>
        <v>5884.4828723936</v>
      </c>
      <c r="F132" s="21" t="n">
        <f aca="false">parametros_recargas!$E$74*'Plan mensual'!H149+parametros_recargas!$F$74*'Plan mensual'!H150+parametros_recargas!$G$74*'Plan mensual'!H151+parametros_recargas!$H$74*'Plan mensual'!H152+parametros_recargas!$I$74*'Plan mensual'!H153+parametros_recargas!$J$74*'Plan mensual'!H154+parametros_recargas!$K$74*'Plan mensual'!H155+parametros_recargas!$L$74*'Plan mensual'!H156+parametros_recargas!$M$74*'Plan mensual'!H158</f>
        <v>5884.4828723936</v>
      </c>
      <c r="G132" s="21" t="n">
        <f aca="false">parametros_recargas!$E$74*'Plan mensual'!I149+parametros_recargas!$F$74*'Plan mensual'!I150+parametros_recargas!$G$74*'Plan mensual'!I151+parametros_recargas!$H$74*'Plan mensual'!I152+parametros_recargas!$I$74*'Plan mensual'!I153+parametros_recargas!$J$74*'Plan mensual'!I154+parametros_recargas!$K$74*'Plan mensual'!I155+parametros_recargas!$L$74*'Plan mensual'!I156+parametros_recargas!$M$74*'Plan mensual'!I158</f>
        <v>5884.4828723936</v>
      </c>
      <c r="H132" s="21" t="n">
        <f aca="false">parametros_recargas!$E$74*'Plan mensual'!J149+parametros_recargas!$F$74*'Plan mensual'!J150+parametros_recargas!$G$74*'Plan mensual'!J151+parametros_recargas!$H$74*'Plan mensual'!J152+parametros_recargas!$I$74*'Plan mensual'!J153+parametros_recargas!$J$74*'Plan mensual'!J154+parametros_recargas!$K$74*'Plan mensual'!J155+parametros_recargas!$L$74*'Plan mensual'!J156+parametros_recargas!$M$74*'Plan mensual'!J158</f>
        <v>5884.4828723936</v>
      </c>
      <c r="I132" s="21" t="n">
        <f aca="false">parametros_recargas!$E$74*'Plan mensual'!K149+parametros_recargas!$F$74*'Plan mensual'!K150+parametros_recargas!$G$74*'Plan mensual'!K151+parametros_recargas!$H$74*'Plan mensual'!K152+parametros_recargas!$I$74*'Plan mensual'!K153+parametros_recargas!$J$74*'Plan mensual'!K154+parametros_recargas!$K$74*'Plan mensual'!K155+parametros_recargas!$L$74*'Plan mensual'!K156+parametros_recargas!$M$74*'Plan mensual'!K158</f>
        <v>5884.4828723936</v>
      </c>
      <c r="J132" s="21" t="n">
        <f aca="false">parametros_recargas!$E$74*'Plan mensual'!L149+parametros_recargas!$F$74*'Plan mensual'!L150+parametros_recargas!$G$74*'Plan mensual'!L151+parametros_recargas!$H$74*'Plan mensual'!L152+parametros_recargas!$I$74*'Plan mensual'!L153+parametros_recargas!$J$74*'Plan mensual'!L154+parametros_recargas!$K$74*'Plan mensual'!L155+parametros_recargas!$L$74*'Plan mensual'!L156+parametros_recargas!$M$74*'Plan mensual'!L158</f>
        <v>5884.4828723936</v>
      </c>
      <c r="K132" s="21" t="n">
        <f aca="false">parametros_recargas!$E$74*'Plan mensual'!M149+parametros_recargas!$F$74*'Plan mensual'!M150+parametros_recargas!$G$74*'Plan mensual'!M151+parametros_recargas!$H$74*'Plan mensual'!M152+parametros_recargas!$I$74*'Plan mensual'!M153+parametros_recargas!$J$74*'Plan mensual'!M154+parametros_recargas!$K$74*'Plan mensual'!M155+parametros_recargas!$L$74*'Plan mensual'!M156+parametros_recargas!$M$74*'Plan mensual'!M158</f>
        <v>5884.4828723936</v>
      </c>
      <c r="L132" s="21" t="n">
        <f aca="false">parametros_recargas!$E$74*'Plan mensual'!N149+parametros_recargas!$F$74*'Plan mensual'!N150+parametros_recargas!$G$74*'Plan mensual'!N151+parametros_recargas!$H$74*'Plan mensual'!N152+parametros_recargas!$I$74*'Plan mensual'!N153+parametros_recargas!$J$74*'Plan mensual'!N154+parametros_recargas!$K$74*'Plan mensual'!N155+parametros_recargas!$L$74*'Plan mensual'!N156+parametros_recargas!$M$74*'Plan mensual'!N158</f>
        <v>5884.4828723936</v>
      </c>
      <c r="M132" s="21" t="n">
        <f aca="false">parametros_recargas!$E$74*'Plan mensual'!O149+parametros_recargas!$F$74*'Plan mensual'!O150+parametros_recargas!$G$74*'Plan mensual'!O151+parametros_recargas!$H$74*'Plan mensual'!O152+parametros_recargas!$I$74*'Plan mensual'!O153+parametros_recargas!$J$74*'Plan mensual'!O154+parametros_recargas!$K$74*'Plan mensual'!O155+parametros_recargas!$L$74*'Plan mensual'!O156+parametros_recargas!$M$74*'Plan mensual'!O158</f>
        <v>5884.4828723936</v>
      </c>
      <c r="N132" s="7" t="n">
        <f aca="false">SUM(B132:M132)</f>
        <v>70613.7944687232</v>
      </c>
      <c r="O132" s="22" t="n">
        <f aca="false">MAX(B132:M132)</f>
        <v>5884.4828723936</v>
      </c>
      <c r="P132" s="12" t="n">
        <f aca="false">O132/parametros_recargas!$B$6</f>
        <v>39.2298858159573</v>
      </c>
    </row>
    <row r="133" customFormat="false" ht="15" hidden="false" customHeight="false" outlineLevel="0" collapsed="false">
      <c r="A133" s="9" t="str">
        <f aca="false">parametros_recargas!$B$75</f>
        <v>Descarga ABC — ruta descarte</v>
      </c>
      <c r="B133" s="21" t="n">
        <f aca="false">parametros_recargas!$E$75*'Plan mensual'!D149+parametros_recargas!$F$75*'Plan mensual'!D150+parametros_recargas!$G$75*'Plan mensual'!D151+parametros_recargas!$H$75*'Plan mensual'!D152+parametros_recargas!$I$75*'Plan mensual'!D153+parametros_recargas!$J$75*'Plan mensual'!D154+parametros_recargas!$K$75*'Plan mensual'!D155+parametros_recargas!$L$75*'Plan mensual'!D156+parametros_recargas!$M$75*'Plan mensual'!D158</f>
        <v>692.292102634541</v>
      </c>
      <c r="C133" s="21" t="n">
        <f aca="false">parametros_recargas!$E$75*'Plan mensual'!E149+parametros_recargas!$F$75*'Plan mensual'!E150+parametros_recargas!$G$75*'Plan mensual'!E151+parametros_recargas!$H$75*'Plan mensual'!E152+parametros_recargas!$I$75*'Plan mensual'!E153+parametros_recargas!$J$75*'Plan mensual'!E154+parametros_recargas!$K$75*'Plan mensual'!E155+parametros_recargas!$L$75*'Plan mensual'!E156+parametros_recargas!$M$75*'Plan mensual'!E158</f>
        <v>692.292102634541</v>
      </c>
      <c r="D133" s="21" t="n">
        <f aca="false">parametros_recargas!$E$75*'Plan mensual'!F149+parametros_recargas!$F$75*'Plan mensual'!F150+parametros_recargas!$G$75*'Plan mensual'!F151+parametros_recargas!$H$75*'Plan mensual'!F152+parametros_recargas!$I$75*'Plan mensual'!F153+parametros_recargas!$J$75*'Plan mensual'!F154+parametros_recargas!$K$75*'Plan mensual'!F155+parametros_recargas!$L$75*'Plan mensual'!F156+parametros_recargas!$M$75*'Plan mensual'!F158</f>
        <v>692.292102634541</v>
      </c>
      <c r="E133" s="21" t="n">
        <f aca="false">parametros_recargas!$E$75*'Plan mensual'!G149+parametros_recargas!$F$75*'Plan mensual'!G150+parametros_recargas!$G$75*'Plan mensual'!G151+parametros_recargas!$H$75*'Plan mensual'!G152+parametros_recargas!$I$75*'Plan mensual'!G153+parametros_recargas!$J$75*'Plan mensual'!G154+parametros_recargas!$K$75*'Plan mensual'!G155+parametros_recargas!$L$75*'Plan mensual'!G156+parametros_recargas!$M$75*'Plan mensual'!G158</f>
        <v>692.292102634541</v>
      </c>
      <c r="F133" s="21" t="n">
        <f aca="false">parametros_recargas!$E$75*'Plan mensual'!H149+parametros_recargas!$F$75*'Plan mensual'!H150+parametros_recargas!$G$75*'Plan mensual'!H151+parametros_recargas!$H$75*'Plan mensual'!H152+parametros_recargas!$I$75*'Plan mensual'!H153+parametros_recargas!$J$75*'Plan mensual'!H154+parametros_recargas!$K$75*'Plan mensual'!H155+parametros_recargas!$L$75*'Plan mensual'!H156+parametros_recargas!$M$75*'Plan mensual'!H158</f>
        <v>692.292102634541</v>
      </c>
      <c r="G133" s="21" t="n">
        <f aca="false">parametros_recargas!$E$75*'Plan mensual'!I149+parametros_recargas!$F$75*'Plan mensual'!I150+parametros_recargas!$G$75*'Plan mensual'!I151+parametros_recargas!$H$75*'Plan mensual'!I152+parametros_recargas!$I$75*'Plan mensual'!I153+parametros_recargas!$J$75*'Plan mensual'!I154+parametros_recargas!$K$75*'Plan mensual'!I155+parametros_recargas!$L$75*'Plan mensual'!I156+parametros_recargas!$M$75*'Plan mensual'!I158</f>
        <v>692.292102634541</v>
      </c>
      <c r="H133" s="21" t="n">
        <f aca="false">parametros_recargas!$E$75*'Plan mensual'!J149+parametros_recargas!$F$75*'Plan mensual'!J150+parametros_recargas!$G$75*'Plan mensual'!J151+parametros_recargas!$H$75*'Plan mensual'!J152+parametros_recargas!$I$75*'Plan mensual'!J153+parametros_recargas!$J$75*'Plan mensual'!J154+parametros_recargas!$K$75*'Plan mensual'!J155+parametros_recargas!$L$75*'Plan mensual'!J156+parametros_recargas!$M$75*'Plan mensual'!J158</f>
        <v>692.292102634541</v>
      </c>
      <c r="I133" s="21" t="n">
        <f aca="false">parametros_recargas!$E$75*'Plan mensual'!K149+parametros_recargas!$F$75*'Plan mensual'!K150+parametros_recargas!$G$75*'Plan mensual'!K151+parametros_recargas!$H$75*'Plan mensual'!K152+parametros_recargas!$I$75*'Plan mensual'!K153+parametros_recargas!$J$75*'Plan mensual'!K154+parametros_recargas!$K$75*'Plan mensual'!K155+parametros_recargas!$L$75*'Plan mensual'!K156+parametros_recargas!$M$75*'Plan mensual'!K158</f>
        <v>692.292102634541</v>
      </c>
      <c r="J133" s="21" t="n">
        <f aca="false">parametros_recargas!$E$75*'Plan mensual'!L149+parametros_recargas!$F$75*'Plan mensual'!L150+parametros_recargas!$G$75*'Plan mensual'!L151+parametros_recargas!$H$75*'Plan mensual'!L152+parametros_recargas!$I$75*'Plan mensual'!L153+parametros_recargas!$J$75*'Plan mensual'!L154+parametros_recargas!$K$75*'Plan mensual'!L155+parametros_recargas!$L$75*'Plan mensual'!L156+parametros_recargas!$M$75*'Plan mensual'!L158</f>
        <v>692.292102634541</v>
      </c>
      <c r="K133" s="21" t="n">
        <f aca="false">parametros_recargas!$E$75*'Plan mensual'!M149+parametros_recargas!$F$75*'Plan mensual'!M150+parametros_recargas!$G$75*'Plan mensual'!M151+parametros_recargas!$H$75*'Plan mensual'!M152+parametros_recargas!$I$75*'Plan mensual'!M153+parametros_recargas!$J$75*'Plan mensual'!M154+parametros_recargas!$K$75*'Plan mensual'!M155+parametros_recargas!$L$75*'Plan mensual'!M156+parametros_recargas!$M$75*'Plan mensual'!M158</f>
        <v>692.292102634541</v>
      </c>
      <c r="L133" s="21" t="n">
        <f aca="false">parametros_recargas!$E$75*'Plan mensual'!N149+parametros_recargas!$F$75*'Plan mensual'!N150+parametros_recargas!$G$75*'Plan mensual'!N151+parametros_recargas!$H$75*'Plan mensual'!N152+parametros_recargas!$I$75*'Plan mensual'!N153+parametros_recargas!$J$75*'Plan mensual'!N154+parametros_recargas!$K$75*'Plan mensual'!N155+parametros_recargas!$L$75*'Plan mensual'!N156+parametros_recargas!$M$75*'Plan mensual'!N158</f>
        <v>692.292102634541</v>
      </c>
      <c r="M133" s="21" t="n">
        <f aca="false">parametros_recargas!$E$75*'Plan mensual'!O149+parametros_recargas!$F$75*'Plan mensual'!O150+parametros_recargas!$G$75*'Plan mensual'!O151+parametros_recargas!$H$75*'Plan mensual'!O152+parametros_recargas!$I$75*'Plan mensual'!O153+parametros_recargas!$J$75*'Plan mensual'!O154+parametros_recargas!$K$75*'Plan mensual'!O155+parametros_recargas!$L$75*'Plan mensual'!O156+parametros_recargas!$M$75*'Plan mensual'!O158</f>
        <v>692.292102634541</v>
      </c>
      <c r="N133" s="7" t="n">
        <f aca="false">SUM(B133:M133)</f>
        <v>8307.50523161449</v>
      </c>
      <c r="O133" s="22" t="n">
        <f aca="false">MAX(B133:M133)</f>
        <v>692.292102634541</v>
      </c>
      <c r="P133" s="12" t="n">
        <f aca="false">O133/parametros_recargas!$B$6</f>
        <v>4.61528068423027</v>
      </c>
    </row>
    <row r="134" customFormat="false" ht="15" hidden="false" customHeight="false" outlineLevel="0" collapsed="false">
      <c r="A134" s="9" t="str">
        <f aca="false">parametros_recargas!$B$76</f>
        <v>Descarga BC</v>
      </c>
      <c r="B134" s="21"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10.3234443786876</v>
      </c>
      <c r="C134" s="21"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10.3234443786876</v>
      </c>
      <c r="D134" s="21"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10.3234443786876</v>
      </c>
      <c r="E134" s="21"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10.3234443786876</v>
      </c>
      <c r="F134" s="21"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10.3234443786876</v>
      </c>
      <c r="G134" s="21"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10.3234443786876</v>
      </c>
      <c r="H134" s="21"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10.3234443786876</v>
      </c>
      <c r="I134" s="21"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10.3234443786876</v>
      </c>
      <c r="J134" s="21"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10.3234443786876</v>
      </c>
      <c r="K134" s="21"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10.3234443786876</v>
      </c>
      <c r="L134" s="21"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10.3234443786876</v>
      </c>
      <c r="M134" s="21"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10.3234443786876</v>
      </c>
      <c r="N134" s="7" t="n">
        <f aca="false">SUM(B134:M134)</f>
        <v>123.881332544252</v>
      </c>
      <c r="O134" s="22" t="n">
        <f aca="false">MAX(B134:M134)</f>
        <v>10.3234443786876</v>
      </c>
      <c r="P134" s="12" t="n">
        <f aca="false">O134/parametros_recargas!$B$6</f>
        <v>0.0688229625245842</v>
      </c>
    </row>
    <row r="135" customFormat="false" ht="15" hidden="false" customHeight="false" outlineLevel="0" collapsed="false">
      <c r="A135" s="9" t="str">
        <f aca="false">parametros_recargas!$B$77</f>
        <v>Descarga de agua / AFFF / sales K</v>
      </c>
      <c r="B135" s="21"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369.072721844271</v>
      </c>
      <c r="C135" s="21"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369.072721844271</v>
      </c>
      <c r="D135" s="21"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369.072721844271</v>
      </c>
      <c r="E135" s="21"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369.072721844271</v>
      </c>
      <c r="F135" s="21"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369.072721844271</v>
      </c>
      <c r="G135" s="21"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369.072721844271</v>
      </c>
      <c r="H135" s="21"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369.072721844271</v>
      </c>
      <c r="I135" s="21"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369.072721844271</v>
      </c>
      <c r="J135" s="21"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369.072721844271</v>
      </c>
      <c r="K135" s="21"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369.072721844271</v>
      </c>
      <c r="L135" s="21"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369.072721844271</v>
      </c>
      <c r="M135" s="21"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369.072721844271</v>
      </c>
      <c r="N135" s="7" t="n">
        <f aca="false">SUM(B135:M135)</f>
        <v>4428.87266213125</v>
      </c>
      <c r="O135" s="22" t="n">
        <f aca="false">MAX(B135:M135)</f>
        <v>369.072721844271</v>
      </c>
      <c r="P135" s="12" t="n">
        <f aca="false">O135/parametros_recargas!$B$6</f>
        <v>2.46048481229514</v>
      </c>
    </row>
    <row r="136" customFormat="false" ht="15" hidden="false" customHeight="false" outlineLevel="0" collapsed="false">
      <c r="A136" s="9" t="str">
        <f aca="false">parametros_recargas!$B$78</f>
        <v>Recuperación de CO₂</v>
      </c>
      <c r="B136" s="21"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168.73648361462</v>
      </c>
      <c r="C136" s="21"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168.73648361462</v>
      </c>
      <c r="D136" s="21"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168.73648361462</v>
      </c>
      <c r="E136" s="21"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168.73648361462</v>
      </c>
      <c r="F136" s="21"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168.73648361462</v>
      </c>
      <c r="G136" s="21"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168.73648361462</v>
      </c>
      <c r="H136" s="21"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168.73648361462</v>
      </c>
      <c r="I136" s="21"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168.73648361462</v>
      </c>
      <c r="J136" s="21"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168.73648361462</v>
      </c>
      <c r="K136" s="21"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168.73648361462</v>
      </c>
      <c r="L136" s="21"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168.73648361462</v>
      </c>
      <c r="M136" s="21"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168.73648361462</v>
      </c>
      <c r="N136" s="7" t="n">
        <f aca="false">SUM(B136:M136)</f>
        <v>2024.83780337544</v>
      </c>
      <c r="O136" s="22" t="n">
        <f aca="false">MAX(B136:M136)</f>
        <v>168.73648361462</v>
      </c>
      <c r="P136" s="12" t="n">
        <f aca="false">O136/parametros_recargas!$B$6</f>
        <v>1.12490989076413</v>
      </c>
    </row>
    <row r="137" customFormat="false" ht="15" hidden="false" customHeight="false" outlineLevel="0" collapsed="false">
      <c r="A137" s="9" t="str">
        <f aca="false">parametros_recargas!$B$79</f>
        <v>Recuperación de halogenado</v>
      </c>
      <c r="B137" s="21"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6.74116477400617</v>
      </c>
      <c r="C137" s="21"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6.74116477400617</v>
      </c>
      <c r="D137" s="21"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6.74116477400617</v>
      </c>
      <c r="E137" s="21"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6.74116477400617</v>
      </c>
      <c r="F137" s="21"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6.74116477400617</v>
      </c>
      <c r="G137" s="21"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6.74116477400617</v>
      </c>
      <c r="H137" s="21"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6.74116477400617</v>
      </c>
      <c r="I137" s="21"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6.74116477400617</v>
      </c>
      <c r="J137" s="21"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6.74116477400617</v>
      </c>
      <c r="K137" s="21"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6.74116477400617</v>
      </c>
      <c r="L137" s="21"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6.74116477400617</v>
      </c>
      <c r="M137" s="21"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6.74116477400617</v>
      </c>
      <c r="N137" s="7" t="n">
        <f aca="false">SUM(B137:M137)</f>
        <v>80.8939772880741</v>
      </c>
      <c r="O137" s="22" t="n">
        <f aca="false">MAX(B137:M137)</f>
        <v>6.74116477400617</v>
      </c>
      <c r="P137" s="12" t="n">
        <f aca="false">O137/parametros_recargas!$B$6</f>
        <v>0.0449410984933745</v>
      </c>
    </row>
    <row r="138" customFormat="false" ht="15" hidden="false" customHeight="false" outlineLevel="0" collapsed="false">
      <c r="A138" s="9" t="str">
        <f aca="false">parametros_recargas!$B$80</f>
        <v>Desarme y limpieza — recinto</v>
      </c>
      <c r="B138" s="21"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6942.89462883452</v>
      </c>
      <c r="C138" s="21"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6942.89462883452</v>
      </c>
      <c r="D138" s="21"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6942.89462883452</v>
      </c>
      <c r="E138" s="21"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6942.89462883452</v>
      </c>
      <c r="F138" s="21"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6942.89462883452</v>
      </c>
      <c r="G138" s="21"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6942.89462883452</v>
      </c>
      <c r="H138" s="21"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6942.89462883452</v>
      </c>
      <c r="I138" s="21"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6942.89462883452</v>
      </c>
      <c r="J138" s="21"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6942.89462883452</v>
      </c>
      <c r="K138" s="21"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6942.89462883452</v>
      </c>
      <c r="L138" s="21"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6942.89462883452</v>
      </c>
      <c r="M138" s="21"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6942.89462883452</v>
      </c>
      <c r="N138" s="7" t="n">
        <f aca="false">SUM(B138:M138)</f>
        <v>83314.7355460142</v>
      </c>
      <c r="O138" s="22" t="n">
        <f aca="false">MAX(B138:M138)</f>
        <v>6942.89462883452</v>
      </c>
      <c r="P138" s="12" t="n">
        <f aca="false">O138/parametros_recargas!$B$6</f>
        <v>46.2859641922301</v>
      </c>
    </row>
    <row r="139" customFormat="false" ht="15" hidden="false" customHeight="false" outlineLevel="0" collapsed="false">
      <c r="A139" s="9" t="str">
        <f aca="false">parametros_recargas!$B$81</f>
        <v>Desarme e inspección interior — zona general</v>
      </c>
      <c r="B139" s="21"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544.550370232897</v>
      </c>
      <c r="C139" s="21"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544.550370232897</v>
      </c>
      <c r="D139" s="21"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544.550370232897</v>
      </c>
      <c r="E139" s="21"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544.550370232897</v>
      </c>
      <c r="F139" s="21"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544.550370232897</v>
      </c>
      <c r="G139" s="21"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544.550370232897</v>
      </c>
      <c r="H139" s="21"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544.550370232897</v>
      </c>
      <c r="I139" s="21"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544.550370232897</v>
      </c>
      <c r="J139" s="21"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544.550370232897</v>
      </c>
      <c r="K139" s="21"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544.550370232897</v>
      </c>
      <c r="L139" s="21"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544.550370232897</v>
      </c>
      <c r="M139" s="21"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544.550370232897</v>
      </c>
      <c r="N139" s="7" t="n">
        <f aca="false">SUM(B139:M139)</f>
        <v>6534.60444279476</v>
      </c>
      <c r="O139" s="22" t="n">
        <f aca="false">MAX(B139:M139)</f>
        <v>544.550370232897</v>
      </c>
      <c r="P139" s="12" t="n">
        <f aca="false">O139/parametros_recargas!$B$6</f>
        <v>3.63033580155265</v>
      </c>
    </row>
    <row r="140" customFormat="false" ht="15" hidden="false" customHeight="false" outlineLevel="0" collapsed="false">
      <c r="A140" s="9" t="str">
        <f aca="false">parametros_recargas!$B$82</f>
        <v>Laboratorio — Puffer y mufla</v>
      </c>
      <c r="B140" s="21"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6.9332444707241</v>
      </c>
      <c r="C140" s="21"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6.9332444707241</v>
      </c>
      <c r="D140" s="21"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6.9332444707241</v>
      </c>
      <c r="E140" s="21"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6.9332444707241</v>
      </c>
      <c r="F140" s="21"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6.9332444707241</v>
      </c>
      <c r="G140" s="21"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6.9332444707241</v>
      </c>
      <c r="H140" s="21"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6.9332444707241</v>
      </c>
      <c r="I140" s="21"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6.9332444707241</v>
      </c>
      <c r="J140" s="21"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6.9332444707241</v>
      </c>
      <c r="K140" s="21"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6.9332444707241</v>
      </c>
      <c r="L140" s="21"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6.9332444707241</v>
      </c>
      <c r="M140" s="21"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6.9332444707241</v>
      </c>
      <c r="N140" s="7" t="n">
        <f aca="false">SUM(B140:M140)</f>
        <v>83.1989336486892</v>
      </c>
      <c r="O140" s="22" t="n">
        <f aca="false">MAX(B140:M140)</f>
        <v>6.9332444707241</v>
      </c>
      <c r="P140" s="12" t="n">
        <f aca="false">O140/parametros_recargas!$B$6</f>
        <v>0.0462216298048273</v>
      </c>
    </row>
    <row r="141" customFormat="false" ht="15" hidden="false" customHeight="false" outlineLevel="0" collapsed="false">
      <c r="A141" s="9" t="str">
        <f aca="false">parametros_recargas!$B$83</f>
        <v>Prueba hidráulica</v>
      </c>
      <c r="B141" s="21"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1713.49740539994</v>
      </c>
      <c r="C141" s="21"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1713.49740539994</v>
      </c>
      <c r="D141" s="21"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1713.49740539994</v>
      </c>
      <c r="E141" s="21"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1713.49740539994</v>
      </c>
      <c r="F141" s="21"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1713.49740539994</v>
      </c>
      <c r="G141" s="21"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1713.49740539994</v>
      </c>
      <c r="H141" s="21"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1713.49740539994</v>
      </c>
      <c r="I141" s="21"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1713.49740539994</v>
      </c>
      <c r="J141" s="21"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1713.49740539994</v>
      </c>
      <c r="K141" s="21"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1713.49740539994</v>
      </c>
      <c r="L141" s="21"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1713.49740539994</v>
      </c>
      <c r="M141" s="21"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1713.49740539994</v>
      </c>
      <c r="N141" s="7" t="n">
        <f aca="false">SUM(B141:M141)</f>
        <v>20561.9688647993</v>
      </c>
      <c r="O141" s="22" t="n">
        <f aca="false">MAX(B141:M141)</f>
        <v>1713.49740539994</v>
      </c>
      <c r="P141" s="12" t="n">
        <f aca="false">O141/parametros_recargas!$B$6</f>
        <v>11.4233160359996</v>
      </c>
    </row>
    <row r="142" customFormat="false" ht="15" hidden="false" customHeight="false" outlineLevel="0" collapsed="false">
      <c r="A142" s="9" t="str">
        <f aca="false">parametros_recargas!$B$84</f>
        <v>Secado</v>
      </c>
      <c r="B142" s="21"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1598.38999076615</v>
      </c>
      <c r="C142" s="21"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1598.38999076615</v>
      </c>
      <c r="D142" s="21"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1598.38999076615</v>
      </c>
      <c r="E142" s="21"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1598.38999076615</v>
      </c>
      <c r="F142" s="21"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1598.38999076615</v>
      </c>
      <c r="G142" s="21"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1598.38999076615</v>
      </c>
      <c r="H142" s="21"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1598.38999076615</v>
      </c>
      <c r="I142" s="21"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1598.38999076615</v>
      </c>
      <c r="J142" s="21"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1598.38999076615</v>
      </c>
      <c r="K142" s="21"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1598.38999076615</v>
      </c>
      <c r="L142" s="21"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1598.38999076615</v>
      </c>
      <c r="M142" s="21"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1598.38999076615</v>
      </c>
      <c r="N142" s="7" t="n">
        <f aca="false">SUM(B142:M142)</f>
        <v>19180.6798891938</v>
      </c>
      <c r="O142" s="22" t="n">
        <f aca="false">MAX(B142:M142)</f>
        <v>1598.38999076615</v>
      </c>
      <c r="P142" s="12" t="n">
        <f aca="false">O142/parametros_recargas!$B$6</f>
        <v>10.6559332717743</v>
      </c>
    </row>
    <row r="143" customFormat="false" ht="15" hidden="false" customHeight="false" outlineLevel="0" collapsed="false">
      <c r="A143" s="9" t="str">
        <f aca="false">parametros_recargas!$B$85</f>
        <v>Inspección interior con videoscopio</v>
      </c>
      <c r="B143" s="21"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1598.38999076615</v>
      </c>
      <c r="C143" s="21"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1598.38999076615</v>
      </c>
      <c r="D143" s="21"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1598.38999076615</v>
      </c>
      <c r="E143" s="21"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1598.38999076615</v>
      </c>
      <c r="F143" s="21"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1598.38999076615</v>
      </c>
      <c r="G143" s="21"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1598.38999076615</v>
      </c>
      <c r="H143" s="21"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1598.38999076615</v>
      </c>
      <c r="I143" s="21"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1598.38999076615</v>
      </c>
      <c r="J143" s="21"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1598.38999076615</v>
      </c>
      <c r="K143" s="21"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1598.38999076615</v>
      </c>
      <c r="L143" s="21"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1598.38999076615</v>
      </c>
      <c r="M143" s="21"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1598.38999076615</v>
      </c>
      <c r="N143" s="7" t="n">
        <f aca="false">SUM(B143:M143)</f>
        <v>19180.6798891938</v>
      </c>
      <c r="O143" s="22" t="n">
        <f aca="false">MAX(B143:M143)</f>
        <v>1598.38999076615</v>
      </c>
      <c r="P143" s="12" t="n">
        <f aca="false">O143/parametros_recargas!$B$6</f>
        <v>10.6559332717743</v>
      </c>
    </row>
    <row r="144" customFormat="false" ht="15" hidden="false" customHeight="false" outlineLevel="0" collapsed="false">
      <c r="A144" s="9" t="str">
        <f aca="false">parametros_recargas!$B$86</f>
        <v>Pintura</v>
      </c>
      <c r="B144" s="21"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801.38779442333</v>
      </c>
      <c r="C144" s="21"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801.38779442333</v>
      </c>
      <c r="D144" s="21"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801.38779442333</v>
      </c>
      <c r="E144" s="21"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801.38779442333</v>
      </c>
      <c r="F144" s="21"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801.38779442333</v>
      </c>
      <c r="G144" s="21"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801.38779442333</v>
      </c>
      <c r="H144" s="21"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801.38779442333</v>
      </c>
      <c r="I144" s="21"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801.38779442333</v>
      </c>
      <c r="J144" s="21"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801.38779442333</v>
      </c>
      <c r="K144" s="21"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801.38779442333</v>
      </c>
      <c r="L144" s="21"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801.38779442333</v>
      </c>
      <c r="M144" s="21"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801.38779442333</v>
      </c>
      <c r="N144" s="7" t="n">
        <f aca="false">SUM(B144:M144)</f>
        <v>9616.65353307995</v>
      </c>
      <c r="O144" s="22" t="n">
        <f aca="false">MAX(B144:M144)</f>
        <v>801.38779442333</v>
      </c>
      <c r="P144" s="12" t="n">
        <f aca="false">O144/parametros_recargas!$B$6</f>
        <v>5.34258529615553</v>
      </c>
    </row>
    <row r="145" customFormat="false" ht="15" hidden="false" customHeight="false" outlineLevel="0" collapsed="false">
      <c r="A145" s="9" t="str">
        <f aca="false">parametros_recargas!$B$87</f>
        <v>Carga de polvo ABC</v>
      </c>
      <c r="B145" s="21"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6940.70062634541</v>
      </c>
      <c r="C145" s="21"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6937.29422634541</v>
      </c>
      <c r="D145" s="21"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6938.41282634541</v>
      </c>
      <c r="E145" s="21"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6938.41282634541</v>
      </c>
      <c r="F145" s="21"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6937.61462634541</v>
      </c>
      <c r="G145" s="21"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6936.60282634541</v>
      </c>
      <c r="H145" s="21"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6937.61462634541</v>
      </c>
      <c r="I145" s="21"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6937.61462634541</v>
      </c>
      <c r="J145" s="21"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6937.50782634541</v>
      </c>
      <c r="K145" s="21"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6936.49602634541</v>
      </c>
      <c r="L145" s="21"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6935.59102634541</v>
      </c>
      <c r="M145" s="21"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6942.19022634541</v>
      </c>
      <c r="N145" s="7" t="n">
        <f aca="false">SUM(B145:M145)</f>
        <v>83256.0523161449</v>
      </c>
      <c r="O145" s="22" t="n">
        <f aca="false">MAX(B145:M145)</f>
        <v>6942.19022634541</v>
      </c>
      <c r="P145" s="12" t="n">
        <f aca="false">O145/parametros_recargas!$B$6</f>
        <v>46.2812681756361</v>
      </c>
    </row>
    <row r="146" customFormat="false" ht="15" hidden="false" customHeight="false" outlineLevel="0" collapsed="false">
      <c r="A146" s="9" t="str">
        <f aca="false">parametros_recargas!$B$88</f>
        <v>Carga de polvo BC</v>
      </c>
      <c r="B146" s="21"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10.3234443786876</v>
      </c>
      <c r="C146" s="21"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10.3234443786876</v>
      </c>
      <c r="D146" s="21"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10.3234443786876</v>
      </c>
      <c r="E146" s="21"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10.3234443786876</v>
      </c>
      <c r="F146" s="21"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10.3234443786876</v>
      </c>
      <c r="G146" s="21"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10.3234443786876</v>
      </c>
      <c r="H146" s="21"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10.3234443786876</v>
      </c>
      <c r="I146" s="21"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10.3234443786876</v>
      </c>
      <c r="J146" s="21"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10.3234443786876</v>
      </c>
      <c r="K146" s="21"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10.3234443786876</v>
      </c>
      <c r="L146" s="21"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10.3234443786876</v>
      </c>
      <c r="M146" s="21"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10.3234443786876</v>
      </c>
      <c r="N146" s="7" t="n">
        <f aca="false">SUM(B146:M146)</f>
        <v>123.881332544252</v>
      </c>
      <c r="O146" s="22" t="n">
        <f aca="false">MAX(B146:M146)</f>
        <v>10.3234443786876</v>
      </c>
      <c r="P146" s="12" t="n">
        <f aca="false">O146/parametros_recargas!$B$6</f>
        <v>0.0688229625245842</v>
      </c>
    </row>
    <row r="147" customFormat="false" ht="15" hidden="false" customHeight="false" outlineLevel="0" collapsed="false">
      <c r="A147" s="9" t="str">
        <f aca="false">parametros_recargas!$B$89</f>
        <v>Descarga y carga Clase D</v>
      </c>
      <c r="B147" s="21"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9.6501581104198</v>
      </c>
      <c r="C147" s="21"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9.6501581104198</v>
      </c>
      <c r="D147" s="21"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9.6501581104198</v>
      </c>
      <c r="E147" s="21"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9.6501581104198</v>
      </c>
      <c r="F147" s="21"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9.6501581104198</v>
      </c>
      <c r="G147" s="21"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9.6501581104198</v>
      </c>
      <c r="H147" s="21"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9.6501581104198</v>
      </c>
      <c r="I147" s="21"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9.6501581104198</v>
      </c>
      <c r="J147" s="21"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9.6501581104198</v>
      </c>
      <c r="K147" s="21"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9.6501581104198</v>
      </c>
      <c r="L147" s="21"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9.6501581104198</v>
      </c>
      <c r="M147" s="21"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9.6501581104198</v>
      </c>
      <c r="N147" s="7" t="n">
        <f aca="false">SUM(B147:M147)</f>
        <v>115.801897325038</v>
      </c>
      <c r="O147" s="22" t="n">
        <f aca="false">MAX(B147:M147)</f>
        <v>9.6501581104198</v>
      </c>
      <c r="P147" s="12" t="n">
        <f aca="false">O147/parametros_recargas!$B$6</f>
        <v>0.0643343874027986</v>
      </c>
    </row>
    <row r="148" customFormat="false" ht="15" hidden="false" customHeight="false" outlineLevel="0" collapsed="false">
      <c r="A148" s="9" t="str">
        <f aca="false">parametros_recargas!$B$90</f>
        <v>Carga de agua / AFFF / sales K</v>
      </c>
      <c r="B148" s="21"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369.072721844271</v>
      </c>
      <c r="C148" s="21"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369.072721844271</v>
      </c>
      <c r="D148" s="21"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369.072721844271</v>
      </c>
      <c r="E148" s="21"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369.072721844271</v>
      </c>
      <c r="F148" s="21"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369.072721844271</v>
      </c>
      <c r="G148" s="21"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369.072721844271</v>
      </c>
      <c r="H148" s="21"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369.072721844271</v>
      </c>
      <c r="I148" s="21"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369.072721844271</v>
      </c>
      <c r="J148" s="21"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369.072721844271</v>
      </c>
      <c r="K148" s="21"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369.072721844271</v>
      </c>
      <c r="L148" s="21"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369.072721844271</v>
      </c>
      <c r="M148" s="21"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369.072721844271</v>
      </c>
      <c r="N148" s="7" t="n">
        <f aca="false">SUM(B148:M148)</f>
        <v>4428.87266213125</v>
      </c>
      <c r="O148" s="22" t="n">
        <f aca="false">MAX(B148:M148)</f>
        <v>369.072721844271</v>
      </c>
      <c r="P148" s="12" t="n">
        <f aca="false">O148/parametros_recargas!$B$6</f>
        <v>2.46048481229514</v>
      </c>
    </row>
    <row r="149" customFormat="false" ht="15" hidden="false" customHeight="false" outlineLevel="0" collapsed="false">
      <c r="A149" s="9" t="str">
        <f aca="false">parametros_recargas!$B$91</f>
        <v>Carga de CO₂</v>
      </c>
      <c r="B149" s="21"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202.483780337544</v>
      </c>
      <c r="C149" s="21"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202.483780337544</v>
      </c>
      <c r="D149" s="21"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202.483780337544</v>
      </c>
      <c r="E149" s="21"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202.483780337544</v>
      </c>
      <c r="F149" s="21"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202.483780337544</v>
      </c>
      <c r="G149" s="21"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202.483780337544</v>
      </c>
      <c r="H149" s="21"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202.483780337544</v>
      </c>
      <c r="I149" s="21"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202.483780337544</v>
      </c>
      <c r="J149" s="21"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202.483780337544</v>
      </c>
      <c r="K149" s="21"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202.483780337544</v>
      </c>
      <c r="L149" s="21"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202.483780337544</v>
      </c>
      <c r="M149" s="21"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202.483780337544</v>
      </c>
      <c r="N149" s="7" t="n">
        <f aca="false">SUM(B149:M149)</f>
        <v>2429.80536405053</v>
      </c>
      <c r="O149" s="22" t="n">
        <f aca="false">MAX(B149:M149)</f>
        <v>202.483780337544</v>
      </c>
      <c r="P149" s="12" t="n">
        <f aca="false">O149/parametros_recargas!$B$6</f>
        <v>1.34989186891696</v>
      </c>
    </row>
    <row r="150" customFormat="false" ht="15" hidden="false" customHeight="false" outlineLevel="0" collapsed="false">
      <c r="A150" s="9" t="str">
        <f aca="false">parametros_recargas!$B$92</f>
        <v>Ensamblaje y marbete — recinto</v>
      </c>
      <c r="B150" s="21"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6960.67422883452</v>
      </c>
      <c r="C150" s="21"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6957.26782883452</v>
      </c>
      <c r="D150" s="21"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6958.38642883452</v>
      </c>
      <c r="E150" s="21"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6958.38642883452</v>
      </c>
      <c r="F150" s="21"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6957.58822883452</v>
      </c>
      <c r="G150" s="21"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6956.57642883452</v>
      </c>
      <c r="H150" s="21"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6957.58822883452</v>
      </c>
      <c r="I150" s="21"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6957.58822883452</v>
      </c>
      <c r="J150" s="21"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6957.48142883452</v>
      </c>
      <c r="K150" s="21"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6956.46962883452</v>
      </c>
      <c r="L150" s="21"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6955.56462883452</v>
      </c>
      <c r="M150" s="21"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6962.16382883452</v>
      </c>
      <c r="N150" s="7" t="n">
        <f aca="false">SUM(B150:M150)</f>
        <v>83495.7355460142</v>
      </c>
      <c r="O150" s="22" t="n">
        <f aca="false">MAX(B150:M150)</f>
        <v>6962.16382883452</v>
      </c>
      <c r="P150" s="12" t="n">
        <f aca="false">O150/parametros_recargas!$B$6</f>
        <v>46.4144255255635</v>
      </c>
    </row>
    <row r="151" customFormat="false" ht="15" hidden="false" customHeight="false" outlineLevel="0" collapsed="false">
      <c r="A151" s="9" t="str">
        <f aca="false">parametros_recargas!$B$93</f>
        <v>Presurización — recinto</v>
      </c>
      <c r="B151" s="21"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6960.67422883452</v>
      </c>
      <c r="C151" s="21"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6957.26782883452</v>
      </c>
      <c r="D151" s="21"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6958.38642883452</v>
      </c>
      <c r="E151" s="21"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6958.38642883452</v>
      </c>
      <c r="F151" s="21"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6957.58822883452</v>
      </c>
      <c r="G151" s="21"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6956.57642883452</v>
      </c>
      <c r="H151" s="21"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6957.58822883452</v>
      </c>
      <c r="I151" s="21"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6957.58822883452</v>
      </c>
      <c r="J151" s="21"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6957.48142883452</v>
      </c>
      <c r="K151" s="21"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6956.46962883452</v>
      </c>
      <c r="L151" s="21"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6955.56462883452</v>
      </c>
      <c r="M151" s="21"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6962.16382883452</v>
      </c>
      <c r="N151" s="7" t="n">
        <f aca="false">SUM(B151:M151)</f>
        <v>83495.7355460142</v>
      </c>
      <c r="O151" s="22" t="n">
        <f aca="false">MAX(B151:M151)</f>
        <v>6962.16382883452</v>
      </c>
      <c r="P151" s="12" t="n">
        <f aca="false">O151/parametros_recargas!$B$6</f>
        <v>46.4144255255635</v>
      </c>
    </row>
    <row r="152" customFormat="false" ht="15" hidden="false" customHeight="false" outlineLevel="0" collapsed="false">
      <c r="A152" s="9" t="str">
        <f aca="false">parametros_recargas!$B$94</f>
        <v>Ensamblaje y presurización — zona general</v>
      </c>
      <c r="B152" s="21"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544.550370232897</v>
      </c>
      <c r="C152" s="21"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544.550370232897</v>
      </c>
      <c r="D152" s="21"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544.550370232897</v>
      </c>
      <c r="E152" s="21"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544.550370232897</v>
      </c>
      <c r="F152" s="21"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544.550370232897</v>
      </c>
      <c r="G152" s="21"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544.550370232897</v>
      </c>
      <c r="H152" s="21"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544.550370232897</v>
      </c>
      <c r="I152" s="21"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544.550370232897</v>
      </c>
      <c r="J152" s="21"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544.550370232897</v>
      </c>
      <c r="K152" s="21"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544.550370232897</v>
      </c>
      <c r="L152" s="21"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544.550370232897</v>
      </c>
      <c r="M152" s="21"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544.550370232897</v>
      </c>
      <c r="N152" s="7" t="n">
        <f aca="false">SUM(B152:M152)</f>
        <v>6534.60444279476</v>
      </c>
      <c r="O152" s="22" t="n">
        <f aca="false">MAX(B152:M152)</f>
        <v>544.550370232897</v>
      </c>
      <c r="P152" s="12" t="n">
        <f aca="false">O152/parametros_recargas!$B$6</f>
        <v>3.63033580155265</v>
      </c>
    </row>
    <row r="153" customFormat="false" ht="15" hidden="false" customHeight="false" outlineLevel="0" collapsed="false">
      <c r="A153" s="9" t="str">
        <f aca="false">parametros_recargas!$B$95</f>
        <v>Carga y presurización de halogenado</v>
      </c>
      <c r="B153" s="21"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6.74116477400617</v>
      </c>
      <c r="C153" s="21"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6.74116477400617</v>
      </c>
      <c r="D153" s="21"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6.74116477400617</v>
      </c>
      <c r="E153" s="21"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6.74116477400617</v>
      </c>
      <c r="F153" s="21"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6.74116477400617</v>
      </c>
      <c r="G153" s="21"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6.74116477400617</v>
      </c>
      <c r="H153" s="21"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6.74116477400617</v>
      </c>
      <c r="I153" s="21"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6.74116477400617</v>
      </c>
      <c r="J153" s="21"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6.74116477400617</v>
      </c>
      <c r="K153" s="21"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6.74116477400617</v>
      </c>
      <c r="L153" s="21"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6.74116477400617</v>
      </c>
      <c r="M153" s="21"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6.74116477400617</v>
      </c>
      <c r="N153" s="7" t="n">
        <f aca="false">SUM(B153:M153)</f>
        <v>80.8939772880741</v>
      </c>
      <c r="O153" s="22" t="n">
        <f aca="false">MAX(B153:M153)</f>
        <v>6.74116477400617</v>
      </c>
      <c r="P153" s="12" t="n">
        <f aca="false">O153/parametros_recargas!$B$6</f>
        <v>0.0449410984933745</v>
      </c>
    </row>
    <row r="154" customFormat="false" ht="15" hidden="false" customHeight="false" outlineLevel="0" collapsed="false">
      <c r="A154" s="9" t="str">
        <f aca="false">parametros_recargas!$B$96</f>
        <v>Control de peso (CO₂ y halogenados sin recarga)</v>
      </c>
      <c r="B154" s="21"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492.685648442955</v>
      </c>
      <c r="C154" s="21"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492.685648442955</v>
      </c>
      <c r="D154" s="21"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492.685648442955</v>
      </c>
      <c r="E154" s="21"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492.685648442955</v>
      </c>
      <c r="F154" s="21"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492.685648442955</v>
      </c>
      <c r="G154" s="21"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492.685648442955</v>
      </c>
      <c r="H154" s="21"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492.685648442955</v>
      </c>
      <c r="I154" s="21"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492.685648442955</v>
      </c>
      <c r="J154" s="21"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492.685648442955</v>
      </c>
      <c r="K154" s="21"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492.685648442955</v>
      </c>
      <c r="L154" s="21"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492.685648442955</v>
      </c>
      <c r="M154" s="21"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492.685648442955</v>
      </c>
      <c r="N154" s="7" t="n">
        <f aca="false">SUM(B154:M154)</f>
        <v>5912.22778131546</v>
      </c>
      <c r="O154" s="22" t="n">
        <f aca="false">MAX(B154:M154)</f>
        <v>492.685648442955</v>
      </c>
      <c r="P154" s="12" t="n">
        <f aca="false">O154/parametros_recargas!$B$6</f>
        <v>3.2845709896197</v>
      </c>
    </row>
    <row r="155" customFormat="false" ht="15" hidden="false" customHeight="false" outlineLevel="0" collapsed="false">
      <c r="A155" s="9" t="str">
        <f aca="false">parametros_recargas!$B$97</f>
        <v>Ensayo de pérdidas</v>
      </c>
      <c r="B155" s="21"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8031.6575442333</v>
      </c>
      <c r="C155" s="21"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8028.2511442333</v>
      </c>
      <c r="D155" s="21"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8029.3697442333</v>
      </c>
      <c r="E155" s="21"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8029.3697442333</v>
      </c>
      <c r="F155" s="21"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8028.5715442333</v>
      </c>
      <c r="G155" s="21"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8027.5597442333</v>
      </c>
      <c r="H155" s="21"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8028.5715442333</v>
      </c>
      <c r="I155" s="21"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8028.5715442333</v>
      </c>
      <c r="J155" s="21"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8028.4647442333</v>
      </c>
      <c r="K155" s="21"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8027.4529442333</v>
      </c>
      <c r="L155" s="21"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8026.5479442333</v>
      </c>
      <c r="M155" s="21"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8033.1471442333</v>
      </c>
      <c r="N155" s="7" t="n">
        <f aca="false">SUM(B155:M155)</f>
        <v>96347.5353307995</v>
      </c>
      <c r="O155" s="22" t="n">
        <f aca="false">MAX(B155:M155)</f>
        <v>8033.1471442333</v>
      </c>
      <c r="P155" s="12" t="n">
        <f aca="false">O155/parametros_recargas!$B$6</f>
        <v>53.5543142948886</v>
      </c>
    </row>
    <row r="156" customFormat="false" ht="15" hidden="false" customHeight="false" outlineLevel="0" collapsed="false">
      <c r="A156" s="9" t="str">
        <f aca="false">parametros_recargas!$B$98</f>
        <v>Precinto, etiqueta y despacho</v>
      </c>
      <c r="B156" s="21"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8031.6575442333</v>
      </c>
      <c r="C156" s="21"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8028.2511442333</v>
      </c>
      <c r="D156" s="21"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8029.3697442333</v>
      </c>
      <c r="E156" s="21"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8029.3697442333</v>
      </c>
      <c r="F156" s="21"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8028.5715442333</v>
      </c>
      <c r="G156" s="21"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8027.5597442333</v>
      </c>
      <c r="H156" s="21"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8028.5715442333</v>
      </c>
      <c r="I156" s="21"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8028.5715442333</v>
      </c>
      <c r="J156" s="21"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8028.4647442333</v>
      </c>
      <c r="K156" s="21"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8027.4529442333</v>
      </c>
      <c r="L156" s="21"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8026.5479442333</v>
      </c>
      <c r="M156" s="21"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8033.1471442333</v>
      </c>
      <c r="N156" s="7" t="n">
        <f aca="false">SUM(B156:M156)</f>
        <v>96347.5353307995</v>
      </c>
      <c r="O156" s="22" t="n">
        <f aca="false">MAX(B156:M156)</f>
        <v>8033.1471442333</v>
      </c>
      <c r="P156" s="12" t="n">
        <f aca="false">O156/parametros_recargas!$B$6</f>
        <v>53.5543142948886</v>
      </c>
    </row>
    <row r="157" customFormat="false" ht="15" hidden="false" customHeight="false" outlineLevel="0" collapsed="false">
      <c r="A157" s="9" t="str">
        <f aca="false">parametros_recargas!$B$99</f>
        <v>Inutilización y disposición final</v>
      </c>
      <c r="B157" s="21"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629.861136631022</v>
      </c>
      <c r="C157" s="21"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629.861136631022</v>
      </c>
      <c r="D157" s="21"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629.861136631022</v>
      </c>
      <c r="E157" s="21"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629.861136631022</v>
      </c>
      <c r="F157" s="21"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629.861136631022</v>
      </c>
      <c r="G157" s="21"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629.861136631022</v>
      </c>
      <c r="H157" s="21"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629.861136631022</v>
      </c>
      <c r="I157" s="21"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629.861136631022</v>
      </c>
      <c r="J157" s="21"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629.861136631022</v>
      </c>
      <c r="K157" s="21"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629.861136631022</v>
      </c>
      <c r="L157" s="21"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629.861136631022</v>
      </c>
      <c r="M157" s="21"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629.861136631022</v>
      </c>
      <c r="N157" s="7" t="n">
        <f aca="false">SUM(B157:M157)</f>
        <v>7558.33363957227</v>
      </c>
      <c r="O157" s="22" t="n">
        <f aca="false">MAX(B157:M157)</f>
        <v>629.861136631022</v>
      </c>
      <c r="P157" s="12" t="n">
        <f aca="false">O157/parametros_recargas!$B$6</f>
        <v>4.19907424420682</v>
      </c>
    </row>
    <row r="158" customFormat="false" ht="15" hidden="false" customHeight="false" outlineLevel="0" collapsed="false">
      <c r="A158" s="9" t="str">
        <f aca="false">parametros_recargas!$B$100</f>
        <v>PH de mangueras (CO₂ y rodantes)</v>
      </c>
      <c r="B158" s="21" t="n">
        <f aca="false">'Plan mensual'!D157</f>
        <v>275.163250553071</v>
      </c>
      <c r="C158" s="21" t="n">
        <f aca="false">'Plan mensual'!E157</f>
        <v>275.163250553071</v>
      </c>
      <c r="D158" s="21" t="n">
        <f aca="false">'Plan mensual'!F157</f>
        <v>275.163250553071</v>
      </c>
      <c r="E158" s="21" t="n">
        <f aca="false">'Plan mensual'!G157</f>
        <v>275.163250553071</v>
      </c>
      <c r="F158" s="21" t="n">
        <f aca="false">'Plan mensual'!H157</f>
        <v>275.163250553071</v>
      </c>
      <c r="G158" s="21" t="n">
        <f aca="false">'Plan mensual'!I157</f>
        <v>275.163250553071</v>
      </c>
      <c r="H158" s="21" t="n">
        <f aca="false">'Plan mensual'!J157</f>
        <v>275.163250553071</v>
      </c>
      <c r="I158" s="21" t="n">
        <f aca="false">'Plan mensual'!K157</f>
        <v>275.163250553071</v>
      </c>
      <c r="J158" s="21" t="n">
        <f aca="false">'Plan mensual'!L157</f>
        <v>275.163250553071</v>
      </c>
      <c r="K158" s="21" t="n">
        <f aca="false">'Plan mensual'!M157</f>
        <v>275.163250553071</v>
      </c>
      <c r="L158" s="21" t="n">
        <f aca="false">'Plan mensual'!N157</f>
        <v>275.163250553071</v>
      </c>
      <c r="M158" s="21" t="n">
        <f aca="false">'Plan mensual'!O157</f>
        <v>275.163250553071</v>
      </c>
      <c r="N158" s="7" t="n">
        <f aca="false">SUM(B158:M158)</f>
        <v>3301.95900663685</v>
      </c>
      <c r="O158" s="22" t="n">
        <f aca="false">MAX(B158:M158)</f>
        <v>275.163250553071</v>
      </c>
      <c r="P158" s="12" t="n">
        <f aca="false">O158/parametros_recargas!$B$6</f>
        <v>1.8344216703538</v>
      </c>
    </row>
    <row r="161" customFormat="false" ht="23.85" hidden="false" customHeight="false" outlineLevel="0" collapsed="false">
      <c r="A161" s="3" t="s">
        <v>368</v>
      </c>
      <c r="B161" s="3" t="s">
        <v>147</v>
      </c>
      <c r="C161" s="3" t="s">
        <v>148</v>
      </c>
      <c r="D161" s="3" t="s">
        <v>149</v>
      </c>
      <c r="E161" s="3" t="s">
        <v>150</v>
      </c>
      <c r="F161" s="3" t="s">
        <v>151</v>
      </c>
      <c r="G161" s="3" t="s">
        <v>152</v>
      </c>
      <c r="H161" s="3" t="s">
        <v>153</v>
      </c>
      <c r="I161" s="3" t="s">
        <v>154</v>
      </c>
      <c r="J161" s="3" t="s">
        <v>155</v>
      </c>
      <c r="K161" s="3" t="s">
        <v>156</v>
      </c>
      <c r="L161" s="3" t="s">
        <v>157</v>
      </c>
      <c r="M161" s="3" t="s">
        <v>158</v>
      </c>
      <c r="N161" s="3" t="s">
        <v>361</v>
      </c>
      <c r="O161" s="3" t="s">
        <v>362</v>
      </c>
      <c r="P161" s="3" t="s">
        <v>363</v>
      </c>
    </row>
    <row r="162" customFormat="false" ht="15" hidden="false" customHeight="false" outlineLevel="0" collapsed="false">
      <c r="A162" s="9" t="str">
        <f aca="false">parametros_recargas!$B$72</f>
        <v>Recepción y registro</v>
      </c>
      <c r="B162" s="21" t="n">
        <f aca="false">parametros_recargas!$E$72*'Plan mensual'!D181+parametros_recargas!$F$72*'Plan mensual'!D182+parametros_recargas!$G$72*'Plan mensual'!D183+parametros_recargas!$H$72*'Plan mensual'!D184+parametros_recargas!$I$72*'Plan mensual'!D185+parametros_recargas!$J$72*'Plan mensual'!D186+parametros_recargas!$K$72*'Plan mensual'!D187+parametros_recargas!$L$72*'Plan mensual'!D188+parametros_recargas!$M$72*'Plan mensual'!D190</f>
        <v>10921.666446739</v>
      </c>
      <c r="C162" s="21" t="n">
        <f aca="false">parametros_recargas!$E$72*'Plan mensual'!E181+parametros_recargas!$F$72*'Plan mensual'!E182+parametros_recargas!$G$72*'Plan mensual'!E183+parametros_recargas!$H$72*'Plan mensual'!E184+parametros_recargas!$I$72*'Plan mensual'!E185+parametros_recargas!$J$72*'Plan mensual'!E186+parametros_recargas!$K$72*'Plan mensual'!E187+parametros_recargas!$L$72*'Plan mensual'!E188+parametros_recargas!$M$72*'Plan mensual'!E190</f>
        <v>10917.889646739</v>
      </c>
      <c r="D162" s="21" t="n">
        <f aca="false">parametros_recargas!$E$72*'Plan mensual'!F181+parametros_recargas!$F$72*'Plan mensual'!F182+parametros_recargas!$G$72*'Plan mensual'!F183+parametros_recargas!$H$72*'Plan mensual'!F184+parametros_recargas!$I$72*'Plan mensual'!F185+parametros_recargas!$J$72*'Plan mensual'!F186+parametros_recargas!$K$72*'Plan mensual'!F187+parametros_recargas!$L$72*'Plan mensual'!F188+parametros_recargas!$M$72*'Plan mensual'!F190</f>
        <v>10919.043846739</v>
      </c>
      <c r="E162" s="21" t="n">
        <f aca="false">parametros_recargas!$E$72*'Plan mensual'!G181+parametros_recargas!$F$72*'Plan mensual'!G182+parametros_recargas!$G$72*'Plan mensual'!G183+parametros_recargas!$H$72*'Plan mensual'!G184+parametros_recargas!$I$72*'Plan mensual'!G185+parametros_recargas!$J$72*'Plan mensual'!G186+parametros_recargas!$K$72*'Plan mensual'!G187+parametros_recargas!$L$72*'Plan mensual'!G188+parametros_recargas!$M$72*'Plan mensual'!G190</f>
        <v>10919.043846739</v>
      </c>
      <c r="F162" s="21" t="n">
        <f aca="false">parametros_recargas!$E$72*'Plan mensual'!H181+parametros_recargas!$F$72*'Plan mensual'!H182+parametros_recargas!$G$72*'Plan mensual'!H183+parametros_recargas!$H$72*'Plan mensual'!H184+parametros_recargas!$I$72*'Plan mensual'!H185+parametros_recargas!$J$72*'Plan mensual'!H186+parametros_recargas!$K$72*'Plan mensual'!H187+parametros_recargas!$L$72*'Plan mensual'!H188+parametros_recargas!$M$72*'Plan mensual'!H190</f>
        <v>10918.141646739</v>
      </c>
      <c r="G162" s="21" t="n">
        <f aca="false">parametros_recargas!$E$72*'Plan mensual'!I181+parametros_recargas!$F$72*'Plan mensual'!I182+parametros_recargas!$G$72*'Plan mensual'!I183+parametros_recargas!$H$72*'Plan mensual'!I184+parametros_recargas!$I$72*'Plan mensual'!I185+parametros_recargas!$J$72*'Plan mensual'!I186+parametros_recargas!$K$72*'Plan mensual'!I187+parametros_recargas!$L$72*'Plan mensual'!I188+parametros_recargas!$M$72*'Plan mensual'!I190</f>
        <v>10917.071446739</v>
      </c>
      <c r="H162" s="21" t="n">
        <f aca="false">parametros_recargas!$E$72*'Plan mensual'!J181+parametros_recargas!$F$72*'Plan mensual'!J182+parametros_recargas!$G$72*'Plan mensual'!J183+parametros_recargas!$H$72*'Plan mensual'!J184+parametros_recargas!$I$72*'Plan mensual'!J185+parametros_recargas!$J$72*'Plan mensual'!J186+parametros_recargas!$K$72*'Plan mensual'!J187+parametros_recargas!$L$72*'Plan mensual'!J188+parametros_recargas!$M$72*'Plan mensual'!J190</f>
        <v>10918.141646739</v>
      </c>
      <c r="I162" s="21" t="n">
        <f aca="false">parametros_recargas!$E$72*'Plan mensual'!K181+parametros_recargas!$F$72*'Plan mensual'!K182+parametros_recargas!$G$72*'Plan mensual'!K183+parametros_recargas!$H$72*'Plan mensual'!K184+parametros_recargas!$I$72*'Plan mensual'!K185+parametros_recargas!$J$72*'Plan mensual'!K186+parametros_recargas!$K$72*'Plan mensual'!K187+parametros_recargas!$L$72*'Plan mensual'!K188+parametros_recargas!$M$72*'Plan mensual'!K190</f>
        <v>10918.141646739</v>
      </c>
      <c r="J162" s="21" t="n">
        <f aca="false">parametros_recargas!$E$72*'Plan mensual'!L181+parametros_recargas!$F$72*'Plan mensual'!L182+parametros_recargas!$G$72*'Plan mensual'!L183+parametros_recargas!$H$72*'Plan mensual'!L184+parametros_recargas!$I$72*'Plan mensual'!L185+parametros_recargas!$J$72*'Plan mensual'!L186+parametros_recargas!$K$72*'Plan mensual'!L187+parametros_recargas!$L$72*'Plan mensual'!L188+parametros_recargas!$M$72*'Plan mensual'!L190</f>
        <v>10918.057646739</v>
      </c>
      <c r="K162" s="21" t="n">
        <f aca="false">parametros_recargas!$E$72*'Plan mensual'!M181+parametros_recargas!$F$72*'Plan mensual'!M182+parametros_recargas!$G$72*'Plan mensual'!M183+parametros_recargas!$H$72*'Plan mensual'!M184+parametros_recargas!$I$72*'Plan mensual'!M185+parametros_recargas!$J$72*'Plan mensual'!M186+parametros_recargas!$K$72*'Plan mensual'!M187+parametros_recargas!$L$72*'Plan mensual'!M188+parametros_recargas!$M$72*'Plan mensual'!M190</f>
        <v>10916.987446739</v>
      </c>
      <c r="L162" s="21" t="n">
        <f aca="false">parametros_recargas!$E$72*'Plan mensual'!N181+parametros_recargas!$F$72*'Plan mensual'!N182+parametros_recargas!$G$72*'Plan mensual'!N183+parametros_recargas!$H$72*'Plan mensual'!N184+parametros_recargas!$I$72*'Plan mensual'!N185+parametros_recargas!$J$72*'Plan mensual'!N186+parametros_recargas!$K$72*'Plan mensual'!N187+parametros_recargas!$L$72*'Plan mensual'!N188+parametros_recargas!$M$72*'Plan mensual'!N190</f>
        <v>10916.001246739</v>
      </c>
      <c r="M162" s="21" t="n">
        <f aca="false">parametros_recargas!$E$72*'Plan mensual'!O181+parametros_recargas!$F$72*'Plan mensual'!O182+parametros_recargas!$G$72*'Plan mensual'!O183+parametros_recargas!$H$72*'Plan mensual'!O184+parametros_recargas!$I$72*'Plan mensual'!O185+parametros_recargas!$J$72*'Plan mensual'!O186+parametros_recargas!$K$72*'Plan mensual'!O187+parametros_recargas!$L$72*'Plan mensual'!O188+parametros_recargas!$M$72*'Plan mensual'!O190</f>
        <v>10923.386846739</v>
      </c>
      <c r="N162" s="7" t="n">
        <f aca="false">SUM(B162:M162)</f>
        <v>131023.573360869</v>
      </c>
      <c r="O162" s="22" t="n">
        <f aca="false">MAX(B162:M162)</f>
        <v>10923.386846739</v>
      </c>
      <c r="P162" s="12" t="n">
        <f aca="false">O162/parametros_recargas!$B$6</f>
        <v>72.8225789782603</v>
      </c>
    </row>
    <row r="163" customFormat="false" ht="15" hidden="false" customHeight="false" outlineLevel="0" collapsed="false">
      <c r="A163" s="9" t="str">
        <f aca="false">parametros_recargas!$B$73</f>
        <v>Inspección visual</v>
      </c>
      <c r="B163" s="21" t="n">
        <f aca="false">parametros_recargas!$E$73*'Plan mensual'!D181+parametros_recargas!$F$73*'Plan mensual'!D182+parametros_recargas!$G$73*'Plan mensual'!D183+parametros_recargas!$H$73*'Plan mensual'!D184+parametros_recargas!$I$73*'Plan mensual'!D185+parametros_recargas!$J$73*'Plan mensual'!D186+parametros_recargas!$K$73*'Plan mensual'!D187+parametros_recargas!$L$73*'Plan mensual'!D188+parametros_recargas!$M$73*'Plan mensual'!D190</f>
        <v>10902.194446739</v>
      </c>
      <c r="C163" s="21" t="n">
        <f aca="false">parametros_recargas!$E$73*'Plan mensual'!E181+parametros_recargas!$F$73*'Plan mensual'!E182+parametros_recargas!$G$73*'Plan mensual'!E183+parametros_recargas!$H$73*'Plan mensual'!E184+parametros_recargas!$I$73*'Plan mensual'!E185+parametros_recargas!$J$73*'Plan mensual'!E186+parametros_recargas!$K$73*'Plan mensual'!E187+parametros_recargas!$L$73*'Plan mensual'!E188+parametros_recargas!$M$73*'Plan mensual'!E190</f>
        <v>10902.194446739</v>
      </c>
      <c r="D163" s="21" t="n">
        <f aca="false">parametros_recargas!$E$73*'Plan mensual'!F181+parametros_recargas!$F$73*'Plan mensual'!F182+parametros_recargas!$G$73*'Plan mensual'!F183+parametros_recargas!$H$73*'Plan mensual'!F184+parametros_recargas!$I$73*'Plan mensual'!F185+parametros_recargas!$J$73*'Plan mensual'!F186+parametros_recargas!$K$73*'Plan mensual'!F187+parametros_recargas!$L$73*'Plan mensual'!F188+parametros_recargas!$M$73*'Plan mensual'!F190</f>
        <v>10902.194446739</v>
      </c>
      <c r="E163" s="21" t="n">
        <f aca="false">parametros_recargas!$E$73*'Plan mensual'!G181+parametros_recargas!$F$73*'Plan mensual'!G182+parametros_recargas!$G$73*'Plan mensual'!G183+parametros_recargas!$H$73*'Plan mensual'!G184+parametros_recargas!$I$73*'Plan mensual'!G185+parametros_recargas!$J$73*'Plan mensual'!G186+parametros_recargas!$K$73*'Plan mensual'!G187+parametros_recargas!$L$73*'Plan mensual'!G188+parametros_recargas!$M$73*'Plan mensual'!G190</f>
        <v>10902.194446739</v>
      </c>
      <c r="F163" s="21" t="n">
        <f aca="false">parametros_recargas!$E$73*'Plan mensual'!H181+parametros_recargas!$F$73*'Plan mensual'!H182+parametros_recargas!$G$73*'Plan mensual'!H183+parametros_recargas!$H$73*'Plan mensual'!H184+parametros_recargas!$I$73*'Plan mensual'!H185+parametros_recargas!$J$73*'Plan mensual'!H186+parametros_recargas!$K$73*'Plan mensual'!H187+parametros_recargas!$L$73*'Plan mensual'!H188+parametros_recargas!$M$73*'Plan mensual'!H190</f>
        <v>10902.194446739</v>
      </c>
      <c r="G163" s="21" t="n">
        <f aca="false">parametros_recargas!$E$73*'Plan mensual'!I181+parametros_recargas!$F$73*'Plan mensual'!I182+parametros_recargas!$G$73*'Plan mensual'!I183+parametros_recargas!$H$73*'Plan mensual'!I184+parametros_recargas!$I$73*'Plan mensual'!I185+parametros_recargas!$J$73*'Plan mensual'!I186+parametros_recargas!$K$73*'Plan mensual'!I187+parametros_recargas!$L$73*'Plan mensual'!I188+parametros_recargas!$M$73*'Plan mensual'!I190</f>
        <v>10902.194446739</v>
      </c>
      <c r="H163" s="21" t="n">
        <f aca="false">parametros_recargas!$E$73*'Plan mensual'!J181+parametros_recargas!$F$73*'Plan mensual'!J182+parametros_recargas!$G$73*'Plan mensual'!J183+parametros_recargas!$H$73*'Plan mensual'!J184+parametros_recargas!$I$73*'Plan mensual'!J185+parametros_recargas!$J$73*'Plan mensual'!J186+parametros_recargas!$K$73*'Plan mensual'!J187+parametros_recargas!$L$73*'Plan mensual'!J188+parametros_recargas!$M$73*'Plan mensual'!J190</f>
        <v>10902.194446739</v>
      </c>
      <c r="I163" s="21" t="n">
        <f aca="false">parametros_recargas!$E$73*'Plan mensual'!K181+parametros_recargas!$F$73*'Plan mensual'!K182+parametros_recargas!$G$73*'Plan mensual'!K183+parametros_recargas!$H$73*'Plan mensual'!K184+parametros_recargas!$I$73*'Plan mensual'!K185+parametros_recargas!$J$73*'Plan mensual'!K186+parametros_recargas!$K$73*'Plan mensual'!K187+parametros_recargas!$L$73*'Plan mensual'!K188+parametros_recargas!$M$73*'Plan mensual'!K190</f>
        <v>10902.194446739</v>
      </c>
      <c r="J163" s="21" t="n">
        <f aca="false">parametros_recargas!$E$73*'Plan mensual'!L181+parametros_recargas!$F$73*'Plan mensual'!L182+parametros_recargas!$G$73*'Plan mensual'!L183+parametros_recargas!$H$73*'Plan mensual'!L184+parametros_recargas!$I$73*'Plan mensual'!L185+parametros_recargas!$J$73*'Plan mensual'!L186+parametros_recargas!$K$73*'Plan mensual'!L187+parametros_recargas!$L$73*'Plan mensual'!L188+parametros_recargas!$M$73*'Plan mensual'!L190</f>
        <v>10902.194446739</v>
      </c>
      <c r="K163" s="21" t="n">
        <f aca="false">parametros_recargas!$E$73*'Plan mensual'!M181+parametros_recargas!$F$73*'Plan mensual'!M182+parametros_recargas!$G$73*'Plan mensual'!M183+parametros_recargas!$H$73*'Plan mensual'!M184+parametros_recargas!$I$73*'Plan mensual'!M185+parametros_recargas!$J$73*'Plan mensual'!M186+parametros_recargas!$K$73*'Plan mensual'!M187+parametros_recargas!$L$73*'Plan mensual'!M188+parametros_recargas!$M$73*'Plan mensual'!M190</f>
        <v>10902.194446739</v>
      </c>
      <c r="L163" s="21" t="n">
        <f aca="false">parametros_recargas!$E$73*'Plan mensual'!N181+parametros_recargas!$F$73*'Plan mensual'!N182+parametros_recargas!$G$73*'Plan mensual'!N183+parametros_recargas!$H$73*'Plan mensual'!N184+parametros_recargas!$I$73*'Plan mensual'!N185+parametros_recargas!$J$73*'Plan mensual'!N186+parametros_recargas!$K$73*'Plan mensual'!N187+parametros_recargas!$L$73*'Plan mensual'!N188+parametros_recargas!$M$73*'Plan mensual'!N190</f>
        <v>10902.194446739</v>
      </c>
      <c r="M163" s="21" t="n">
        <f aca="false">parametros_recargas!$E$73*'Plan mensual'!O181+parametros_recargas!$F$73*'Plan mensual'!O182+parametros_recargas!$G$73*'Plan mensual'!O183+parametros_recargas!$H$73*'Plan mensual'!O184+parametros_recargas!$I$73*'Plan mensual'!O185+parametros_recargas!$J$73*'Plan mensual'!O186+parametros_recargas!$K$73*'Plan mensual'!O187+parametros_recargas!$L$73*'Plan mensual'!O188+parametros_recargas!$M$73*'Plan mensual'!O190</f>
        <v>10902.194446739</v>
      </c>
      <c r="N163" s="7" t="n">
        <f aca="false">SUM(B163:M163)</f>
        <v>130826.333360869</v>
      </c>
      <c r="O163" s="22" t="n">
        <f aca="false">MAX(B163:M163)</f>
        <v>10902.194446739</v>
      </c>
      <c r="P163" s="12" t="n">
        <f aca="false">O163/parametros_recargas!$B$6</f>
        <v>72.6812963115936</v>
      </c>
    </row>
    <row r="164" customFormat="false" ht="15" hidden="false" customHeight="false" outlineLevel="0" collapsed="false">
      <c r="A164" s="9" t="str">
        <f aca="false">parametros_recargas!$B$74</f>
        <v>Descarga ABC — ruta recuperable</v>
      </c>
      <c r="B164" s="21" t="n">
        <f aca="false">parametros_recargas!$E$74*'Plan mensual'!D181+parametros_recargas!$F$74*'Plan mensual'!D182+parametros_recargas!$G$74*'Plan mensual'!D183+parametros_recargas!$H$74*'Plan mensual'!D184+parametros_recargas!$I$74*'Plan mensual'!D185+parametros_recargas!$J$74*'Plan mensual'!D186+parametros_recargas!$K$74*'Plan mensual'!D187+parametros_recargas!$L$74*'Plan mensual'!D188+parametros_recargas!$M$74*'Plan mensual'!D190</f>
        <v>8036.02129582809</v>
      </c>
      <c r="C164" s="21" t="n">
        <f aca="false">parametros_recargas!$E$74*'Plan mensual'!E181+parametros_recargas!$F$74*'Plan mensual'!E182+parametros_recargas!$G$74*'Plan mensual'!E183+parametros_recargas!$H$74*'Plan mensual'!E184+parametros_recargas!$I$74*'Plan mensual'!E185+parametros_recargas!$J$74*'Plan mensual'!E186+parametros_recargas!$K$74*'Plan mensual'!E187+parametros_recargas!$L$74*'Plan mensual'!E188+parametros_recargas!$M$74*'Plan mensual'!E190</f>
        <v>8036.02129582809</v>
      </c>
      <c r="D164" s="21" t="n">
        <f aca="false">parametros_recargas!$E$74*'Plan mensual'!F181+parametros_recargas!$F$74*'Plan mensual'!F182+parametros_recargas!$G$74*'Plan mensual'!F183+parametros_recargas!$H$74*'Plan mensual'!F184+parametros_recargas!$I$74*'Plan mensual'!F185+parametros_recargas!$J$74*'Plan mensual'!F186+parametros_recargas!$K$74*'Plan mensual'!F187+parametros_recargas!$L$74*'Plan mensual'!F188+parametros_recargas!$M$74*'Plan mensual'!F190</f>
        <v>8036.02129582809</v>
      </c>
      <c r="E164" s="21" t="n">
        <f aca="false">parametros_recargas!$E$74*'Plan mensual'!G181+parametros_recargas!$F$74*'Plan mensual'!G182+parametros_recargas!$G$74*'Plan mensual'!G183+parametros_recargas!$H$74*'Plan mensual'!G184+parametros_recargas!$I$74*'Plan mensual'!G185+parametros_recargas!$J$74*'Plan mensual'!G186+parametros_recargas!$K$74*'Plan mensual'!G187+parametros_recargas!$L$74*'Plan mensual'!G188+parametros_recargas!$M$74*'Plan mensual'!G190</f>
        <v>8036.02129582809</v>
      </c>
      <c r="F164" s="21" t="n">
        <f aca="false">parametros_recargas!$E$74*'Plan mensual'!H181+parametros_recargas!$F$74*'Plan mensual'!H182+parametros_recargas!$G$74*'Plan mensual'!H183+parametros_recargas!$H$74*'Plan mensual'!H184+parametros_recargas!$I$74*'Plan mensual'!H185+parametros_recargas!$J$74*'Plan mensual'!H186+parametros_recargas!$K$74*'Plan mensual'!H187+parametros_recargas!$L$74*'Plan mensual'!H188+parametros_recargas!$M$74*'Plan mensual'!H190</f>
        <v>8036.02129582809</v>
      </c>
      <c r="G164" s="21" t="n">
        <f aca="false">parametros_recargas!$E$74*'Plan mensual'!I181+parametros_recargas!$F$74*'Plan mensual'!I182+parametros_recargas!$G$74*'Plan mensual'!I183+parametros_recargas!$H$74*'Plan mensual'!I184+parametros_recargas!$I$74*'Plan mensual'!I185+parametros_recargas!$J$74*'Plan mensual'!I186+parametros_recargas!$K$74*'Plan mensual'!I187+parametros_recargas!$L$74*'Plan mensual'!I188+parametros_recargas!$M$74*'Plan mensual'!I190</f>
        <v>8036.02129582809</v>
      </c>
      <c r="H164" s="21" t="n">
        <f aca="false">parametros_recargas!$E$74*'Plan mensual'!J181+parametros_recargas!$F$74*'Plan mensual'!J182+parametros_recargas!$G$74*'Plan mensual'!J183+parametros_recargas!$H$74*'Plan mensual'!J184+parametros_recargas!$I$74*'Plan mensual'!J185+parametros_recargas!$J$74*'Plan mensual'!J186+parametros_recargas!$K$74*'Plan mensual'!J187+parametros_recargas!$L$74*'Plan mensual'!J188+parametros_recargas!$M$74*'Plan mensual'!J190</f>
        <v>8036.02129582809</v>
      </c>
      <c r="I164" s="21" t="n">
        <f aca="false">parametros_recargas!$E$74*'Plan mensual'!K181+parametros_recargas!$F$74*'Plan mensual'!K182+parametros_recargas!$G$74*'Plan mensual'!K183+parametros_recargas!$H$74*'Plan mensual'!K184+parametros_recargas!$I$74*'Plan mensual'!K185+parametros_recargas!$J$74*'Plan mensual'!K186+parametros_recargas!$K$74*'Plan mensual'!K187+parametros_recargas!$L$74*'Plan mensual'!K188+parametros_recargas!$M$74*'Plan mensual'!K190</f>
        <v>8036.02129582809</v>
      </c>
      <c r="J164" s="21" t="n">
        <f aca="false">parametros_recargas!$E$74*'Plan mensual'!L181+parametros_recargas!$F$74*'Plan mensual'!L182+parametros_recargas!$G$74*'Plan mensual'!L183+parametros_recargas!$H$74*'Plan mensual'!L184+parametros_recargas!$I$74*'Plan mensual'!L185+parametros_recargas!$J$74*'Plan mensual'!L186+parametros_recargas!$K$74*'Plan mensual'!L187+parametros_recargas!$L$74*'Plan mensual'!L188+parametros_recargas!$M$74*'Plan mensual'!L190</f>
        <v>8036.02129582809</v>
      </c>
      <c r="K164" s="21" t="n">
        <f aca="false">parametros_recargas!$E$74*'Plan mensual'!M181+parametros_recargas!$F$74*'Plan mensual'!M182+parametros_recargas!$G$74*'Plan mensual'!M183+parametros_recargas!$H$74*'Plan mensual'!M184+parametros_recargas!$I$74*'Plan mensual'!M185+parametros_recargas!$J$74*'Plan mensual'!M186+parametros_recargas!$K$74*'Plan mensual'!M187+parametros_recargas!$L$74*'Plan mensual'!M188+parametros_recargas!$M$74*'Plan mensual'!M190</f>
        <v>8036.02129582809</v>
      </c>
      <c r="L164" s="21" t="n">
        <f aca="false">parametros_recargas!$E$74*'Plan mensual'!N181+parametros_recargas!$F$74*'Plan mensual'!N182+parametros_recargas!$G$74*'Plan mensual'!N183+parametros_recargas!$H$74*'Plan mensual'!N184+parametros_recargas!$I$74*'Plan mensual'!N185+parametros_recargas!$J$74*'Plan mensual'!N186+parametros_recargas!$K$74*'Plan mensual'!N187+parametros_recargas!$L$74*'Plan mensual'!N188+parametros_recargas!$M$74*'Plan mensual'!N190</f>
        <v>8036.02129582809</v>
      </c>
      <c r="M164" s="21" t="n">
        <f aca="false">parametros_recargas!$E$74*'Plan mensual'!O181+parametros_recargas!$F$74*'Plan mensual'!O182+parametros_recargas!$G$74*'Plan mensual'!O183+parametros_recargas!$H$74*'Plan mensual'!O184+parametros_recargas!$I$74*'Plan mensual'!O185+parametros_recargas!$J$74*'Plan mensual'!O186+parametros_recargas!$K$74*'Plan mensual'!O187+parametros_recargas!$L$74*'Plan mensual'!O188+parametros_recargas!$M$74*'Plan mensual'!O190</f>
        <v>8036.02129582809</v>
      </c>
      <c r="N164" s="7" t="n">
        <f aca="false">SUM(B164:M164)</f>
        <v>96432.2555499371</v>
      </c>
      <c r="O164" s="22" t="n">
        <f aca="false">MAX(B164:M164)</f>
        <v>8036.02129582809</v>
      </c>
      <c r="P164" s="12" t="n">
        <f aca="false">O164/parametros_recargas!$B$6</f>
        <v>53.5734753055206</v>
      </c>
    </row>
    <row r="165" customFormat="false" ht="15" hidden="false" customHeight="false" outlineLevel="0" collapsed="false">
      <c r="A165" s="9" t="str">
        <f aca="false">parametros_recargas!$B$75</f>
        <v>Descarga ABC — ruta descarte</v>
      </c>
      <c r="B165" s="21" t="n">
        <f aca="false">parametros_recargas!$E$75*'Plan mensual'!D181+parametros_recargas!$F$75*'Plan mensual'!D182+parametros_recargas!$G$75*'Plan mensual'!D183+parametros_recargas!$H$75*'Plan mensual'!D184+parametros_recargas!$I$75*'Plan mensual'!D185+parametros_recargas!$J$75*'Plan mensual'!D186+parametros_recargas!$K$75*'Plan mensual'!D187+parametros_recargas!$L$75*'Plan mensual'!D188+parametros_recargas!$M$75*'Plan mensual'!D190</f>
        <v>945.414270097423</v>
      </c>
      <c r="C165" s="21" t="n">
        <f aca="false">parametros_recargas!$E$75*'Plan mensual'!E181+parametros_recargas!$F$75*'Plan mensual'!E182+parametros_recargas!$G$75*'Plan mensual'!E183+parametros_recargas!$H$75*'Plan mensual'!E184+parametros_recargas!$I$75*'Plan mensual'!E185+parametros_recargas!$J$75*'Plan mensual'!E186+parametros_recargas!$K$75*'Plan mensual'!E187+parametros_recargas!$L$75*'Plan mensual'!E188+parametros_recargas!$M$75*'Plan mensual'!E190</f>
        <v>945.414270097423</v>
      </c>
      <c r="D165" s="21" t="n">
        <f aca="false">parametros_recargas!$E$75*'Plan mensual'!F181+parametros_recargas!$F$75*'Plan mensual'!F182+parametros_recargas!$G$75*'Plan mensual'!F183+parametros_recargas!$H$75*'Plan mensual'!F184+parametros_recargas!$I$75*'Plan mensual'!F185+parametros_recargas!$J$75*'Plan mensual'!F186+parametros_recargas!$K$75*'Plan mensual'!F187+parametros_recargas!$L$75*'Plan mensual'!F188+parametros_recargas!$M$75*'Plan mensual'!F190</f>
        <v>945.414270097423</v>
      </c>
      <c r="E165" s="21" t="n">
        <f aca="false">parametros_recargas!$E$75*'Plan mensual'!G181+parametros_recargas!$F$75*'Plan mensual'!G182+parametros_recargas!$G$75*'Plan mensual'!G183+parametros_recargas!$H$75*'Plan mensual'!G184+parametros_recargas!$I$75*'Plan mensual'!G185+parametros_recargas!$J$75*'Plan mensual'!G186+parametros_recargas!$K$75*'Plan mensual'!G187+parametros_recargas!$L$75*'Plan mensual'!G188+parametros_recargas!$M$75*'Plan mensual'!G190</f>
        <v>945.414270097423</v>
      </c>
      <c r="F165" s="21" t="n">
        <f aca="false">parametros_recargas!$E$75*'Plan mensual'!H181+parametros_recargas!$F$75*'Plan mensual'!H182+parametros_recargas!$G$75*'Plan mensual'!H183+parametros_recargas!$H$75*'Plan mensual'!H184+parametros_recargas!$I$75*'Plan mensual'!H185+parametros_recargas!$J$75*'Plan mensual'!H186+parametros_recargas!$K$75*'Plan mensual'!H187+parametros_recargas!$L$75*'Plan mensual'!H188+parametros_recargas!$M$75*'Plan mensual'!H190</f>
        <v>945.414270097423</v>
      </c>
      <c r="G165" s="21" t="n">
        <f aca="false">parametros_recargas!$E$75*'Plan mensual'!I181+parametros_recargas!$F$75*'Plan mensual'!I182+parametros_recargas!$G$75*'Plan mensual'!I183+parametros_recargas!$H$75*'Plan mensual'!I184+parametros_recargas!$I$75*'Plan mensual'!I185+parametros_recargas!$J$75*'Plan mensual'!I186+parametros_recargas!$K$75*'Plan mensual'!I187+parametros_recargas!$L$75*'Plan mensual'!I188+parametros_recargas!$M$75*'Plan mensual'!I190</f>
        <v>945.414270097423</v>
      </c>
      <c r="H165" s="21" t="n">
        <f aca="false">parametros_recargas!$E$75*'Plan mensual'!J181+parametros_recargas!$F$75*'Plan mensual'!J182+parametros_recargas!$G$75*'Plan mensual'!J183+parametros_recargas!$H$75*'Plan mensual'!J184+parametros_recargas!$I$75*'Plan mensual'!J185+parametros_recargas!$J$75*'Plan mensual'!J186+parametros_recargas!$K$75*'Plan mensual'!J187+parametros_recargas!$L$75*'Plan mensual'!J188+parametros_recargas!$M$75*'Plan mensual'!J190</f>
        <v>945.414270097423</v>
      </c>
      <c r="I165" s="21" t="n">
        <f aca="false">parametros_recargas!$E$75*'Plan mensual'!K181+parametros_recargas!$F$75*'Plan mensual'!K182+parametros_recargas!$G$75*'Plan mensual'!K183+parametros_recargas!$H$75*'Plan mensual'!K184+parametros_recargas!$I$75*'Plan mensual'!K185+parametros_recargas!$J$75*'Plan mensual'!K186+parametros_recargas!$K$75*'Plan mensual'!K187+parametros_recargas!$L$75*'Plan mensual'!K188+parametros_recargas!$M$75*'Plan mensual'!K190</f>
        <v>945.414270097423</v>
      </c>
      <c r="J165" s="21" t="n">
        <f aca="false">parametros_recargas!$E$75*'Plan mensual'!L181+parametros_recargas!$F$75*'Plan mensual'!L182+parametros_recargas!$G$75*'Plan mensual'!L183+parametros_recargas!$H$75*'Plan mensual'!L184+parametros_recargas!$I$75*'Plan mensual'!L185+parametros_recargas!$J$75*'Plan mensual'!L186+parametros_recargas!$K$75*'Plan mensual'!L187+parametros_recargas!$L$75*'Plan mensual'!L188+parametros_recargas!$M$75*'Plan mensual'!L190</f>
        <v>945.414270097423</v>
      </c>
      <c r="K165" s="21" t="n">
        <f aca="false">parametros_recargas!$E$75*'Plan mensual'!M181+parametros_recargas!$F$75*'Plan mensual'!M182+parametros_recargas!$G$75*'Plan mensual'!M183+parametros_recargas!$H$75*'Plan mensual'!M184+parametros_recargas!$I$75*'Plan mensual'!M185+parametros_recargas!$J$75*'Plan mensual'!M186+parametros_recargas!$K$75*'Plan mensual'!M187+parametros_recargas!$L$75*'Plan mensual'!M188+parametros_recargas!$M$75*'Plan mensual'!M190</f>
        <v>945.414270097423</v>
      </c>
      <c r="L165" s="21" t="n">
        <f aca="false">parametros_recargas!$E$75*'Plan mensual'!N181+parametros_recargas!$F$75*'Plan mensual'!N182+parametros_recargas!$G$75*'Plan mensual'!N183+parametros_recargas!$H$75*'Plan mensual'!N184+parametros_recargas!$I$75*'Plan mensual'!N185+parametros_recargas!$J$75*'Plan mensual'!N186+parametros_recargas!$K$75*'Plan mensual'!N187+parametros_recargas!$L$75*'Plan mensual'!N188+parametros_recargas!$M$75*'Plan mensual'!N190</f>
        <v>945.414270097423</v>
      </c>
      <c r="M165" s="21" t="n">
        <f aca="false">parametros_recargas!$E$75*'Plan mensual'!O181+parametros_recargas!$F$75*'Plan mensual'!O182+parametros_recargas!$G$75*'Plan mensual'!O183+parametros_recargas!$H$75*'Plan mensual'!O184+parametros_recargas!$I$75*'Plan mensual'!O185+parametros_recargas!$J$75*'Plan mensual'!O186+parametros_recargas!$K$75*'Plan mensual'!O187+parametros_recargas!$L$75*'Plan mensual'!O188+parametros_recargas!$M$75*'Plan mensual'!O190</f>
        <v>945.414270097423</v>
      </c>
      <c r="N165" s="7" t="n">
        <f aca="false">SUM(B165:M165)</f>
        <v>11344.9712411691</v>
      </c>
      <c r="O165" s="22" t="n">
        <f aca="false">MAX(B165:M165)</f>
        <v>945.414270097423</v>
      </c>
      <c r="P165" s="12" t="n">
        <f aca="false">O165/parametros_recargas!$B$6</f>
        <v>6.30276180064948</v>
      </c>
    </row>
    <row r="166" customFormat="false" ht="15" hidden="false" customHeight="false" outlineLevel="0" collapsed="false">
      <c r="A166" s="9" t="str">
        <f aca="false">parametros_recargas!$B$76</f>
        <v>Descarga BC</v>
      </c>
      <c r="B166" s="21"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13.7372995565284</v>
      </c>
      <c r="C166" s="21"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13.7372995565284</v>
      </c>
      <c r="D166" s="21"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13.7372995565284</v>
      </c>
      <c r="E166" s="21"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13.7372995565284</v>
      </c>
      <c r="F166" s="21"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13.7372995565284</v>
      </c>
      <c r="G166" s="21"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13.7372995565284</v>
      </c>
      <c r="H166" s="21"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13.7372995565284</v>
      </c>
      <c r="I166" s="21"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13.7372995565284</v>
      </c>
      <c r="J166" s="21"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13.7372995565284</v>
      </c>
      <c r="K166" s="21"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13.7372995565284</v>
      </c>
      <c r="L166" s="21"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13.7372995565284</v>
      </c>
      <c r="M166" s="21"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13.7372995565284</v>
      </c>
      <c r="N166" s="7" t="n">
        <f aca="false">SUM(B166:M166)</f>
        <v>164.847594678341</v>
      </c>
      <c r="O166" s="22" t="n">
        <f aca="false">MAX(B166:M166)</f>
        <v>13.7372995565284</v>
      </c>
      <c r="P166" s="12" t="n">
        <f aca="false">O166/parametros_recargas!$B$6</f>
        <v>0.091581997043523</v>
      </c>
    </row>
    <row r="167" customFormat="false" ht="15" hidden="false" customHeight="false" outlineLevel="0" collapsed="false">
      <c r="A167" s="9" t="str">
        <f aca="false">parametros_recargas!$B$77</f>
        <v>Descarga de agua / AFFF / sales K</v>
      </c>
      <c r="B167" s="21"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488.466986470198</v>
      </c>
      <c r="C167" s="21"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488.466986470198</v>
      </c>
      <c r="D167" s="21"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488.466986470198</v>
      </c>
      <c r="E167" s="21"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488.466986470198</v>
      </c>
      <c r="F167" s="21"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488.466986470198</v>
      </c>
      <c r="G167" s="21"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488.466986470198</v>
      </c>
      <c r="H167" s="21"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488.466986470198</v>
      </c>
      <c r="I167" s="21"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488.466986470198</v>
      </c>
      <c r="J167" s="21"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488.466986470198</v>
      </c>
      <c r="K167" s="21"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488.466986470198</v>
      </c>
      <c r="L167" s="21"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488.466986470198</v>
      </c>
      <c r="M167" s="21"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488.466986470198</v>
      </c>
      <c r="N167" s="7" t="n">
        <f aca="false">SUM(B167:M167)</f>
        <v>5861.60383764237</v>
      </c>
      <c r="O167" s="22" t="n">
        <f aca="false">MAX(B167:M167)</f>
        <v>488.466986470198</v>
      </c>
      <c r="P167" s="12" t="n">
        <f aca="false">O167/parametros_recargas!$B$6</f>
        <v>3.25644657646799</v>
      </c>
    </row>
    <row r="168" customFormat="false" ht="15" hidden="false" customHeight="false" outlineLevel="0" collapsed="false">
      <c r="A168" s="9" t="str">
        <f aca="false">parametros_recargas!$B$78</f>
        <v>Recuperación de CO₂</v>
      </c>
      <c r="B168" s="21"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224.584232448452</v>
      </c>
      <c r="C168" s="21"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224.584232448452</v>
      </c>
      <c r="D168" s="21"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224.584232448452</v>
      </c>
      <c r="E168" s="21"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224.584232448452</v>
      </c>
      <c r="F168" s="21"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224.584232448452</v>
      </c>
      <c r="G168" s="21"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224.584232448452</v>
      </c>
      <c r="H168" s="21"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224.584232448452</v>
      </c>
      <c r="I168" s="21"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224.584232448452</v>
      </c>
      <c r="J168" s="21"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224.584232448452</v>
      </c>
      <c r="K168" s="21"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224.584232448452</v>
      </c>
      <c r="L168" s="21"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224.584232448452</v>
      </c>
      <c r="M168" s="21"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224.584232448452</v>
      </c>
      <c r="N168" s="7" t="n">
        <f aca="false">SUM(B168:M168)</f>
        <v>2695.01078938142</v>
      </c>
      <c r="O168" s="22" t="n">
        <f aca="false">MAX(B168:M168)</f>
        <v>224.584232448452</v>
      </c>
      <c r="P168" s="12" t="n">
        <f aca="false">O168/parametros_recargas!$B$6</f>
        <v>1.49722821632301</v>
      </c>
    </row>
    <row r="169" customFormat="false" ht="15" hidden="false" customHeight="false" outlineLevel="0" collapsed="false">
      <c r="A169" s="9" t="str">
        <f aca="false">parametros_recargas!$B$79</f>
        <v>Recuperación de halogenado</v>
      </c>
      <c r="B169" s="21"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8.86040703971496</v>
      </c>
      <c r="C169" s="21"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8.86040703971496</v>
      </c>
      <c r="D169" s="21"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8.86040703971496</v>
      </c>
      <c r="E169" s="21"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8.86040703971496</v>
      </c>
      <c r="F169" s="21"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8.86040703971496</v>
      </c>
      <c r="G169" s="21"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8.86040703971496</v>
      </c>
      <c r="H169" s="21"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8.86040703971496</v>
      </c>
      <c r="I169" s="21"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8.86040703971496</v>
      </c>
      <c r="J169" s="21"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8.86040703971496</v>
      </c>
      <c r="K169" s="21"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8.86040703971496</v>
      </c>
      <c r="L169" s="21"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8.86040703971496</v>
      </c>
      <c r="M169" s="21"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8.86040703971496</v>
      </c>
      <c r="N169" s="7" t="n">
        <f aca="false">SUM(B169:M169)</f>
        <v>106.324884476579</v>
      </c>
      <c r="O169" s="22" t="n">
        <f aca="false">MAX(B169:M169)</f>
        <v>8.86040703971496</v>
      </c>
      <c r="P169" s="12" t="n">
        <f aca="false">O169/parametros_recargas!$B$6</f>
        <v>0.0590693802647664</v>
      </c>
    </row>
    <row r="170" customFormat="false" ht="15" hidden="false" customHeight="false" outlineLevel="0" collapsed="false">
      <c r="A170" s="9" t="str">
        <f aca="false">parametros_recargas!$B$80</f>
        <v>Desarme y limpieza — recinto</v>
      </c>
      <c r="B170" s="21"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9479.94890231618</v>
      </c>
      <c r="C170" s="21"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9479.94890231618</v>
      </c>
      <c r="D170" s="21"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9479.94890231618</v>
      </c>
      <c r="E170" s="21"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9479.94890231618</v>
      </c>
      <c r="F170" s="21"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9479.94890231618</v>
      </c>
      <c r="G170" s="21"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9479.94890231618</v>
      </c>
      <c r="H170" s="21"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9479.94890231618</v>
      </c>
      <c r="I170" s="21"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9479.94890231618</v>
      </c>
      <c r="J170" s="21"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9479.94890231618</v>
      </c>
      <c r="K170" s="21"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9479.94890231618</v>
      </c>
      <c r="L170" s="21"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9479.94890231618</v>
      </c>
      <c r="M170" s="21"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9479.94890231618</v>
      </c>
      <c r="N170" s="7" t="n">
        <f aca="false">SUM(B170:M170)</f>
        <v>113759.386827794</v>
      </c>
      <c r="O170" s="22" t="n">
        <f aca="false">MAX(B170:M170)</f>
        <v>9479.94890231618</v>
      </c>
      <c r="P170" s="12" t="n">
        <f aca="false">O170/parametros_recargas!$B$6</f>
        <v>63.1996593487745</v>
      </c>
    </row>
    <row r="171" customFormat="false" ht="15" hidden="false" customHeight="false" outlineLevel="0" collapsed="false">
      <c r="A171" s="9" t="str">
        <f aca="false">parametros_recargas!$B$81</f>
        <v>Desarme e inspección interior — zona general</v>
      </c>
      <c r="B171" s="21"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721.911625958364</v>
      </c>
      <c r="C171" s="21"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721.911625958364</v>
      </c>
      <c r="D171" s="21"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721.911625958364</v>
      </c>
      <c r="E171" s="21"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721.911625958364</v>
      </c>
      <c r="F171" s="21"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721.911625958364</v>
      </c>
      <c r="G171" s="21"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721.911625958364</v>
      </c>
      <c r="H171" s="21"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721.911625958364</v>
      </c>
      <c r="I171" s="21"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721.911625958364</v>
      </c>
      <c r="J171" s="21"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721.911625958364</v>
      </c>
      <c r="K171" s="21"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721.911625958364</v>
      </c>
      <c r="L171" s="21"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721.911625958364</v>
      </c>
      <c r="M171" s="21"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721.911625958364</v>
      </c>
      <c r="N171" s="7" t="n">
        <f aca="false">SUM(B171:M171)</f>
        <v>8662.93951150037</v>
      </c>
      <c r="O171" s="22" t="n">
        <f aca="false">MAX(B171:M171)</f>
        <v>721.911625958364</v>
      </c>
      <c r="P171" s="12" t="n">
        <f aca="false">O171/parametros_recargas!$B$6</f>
        <v>4.81274417305576</v>
      </c>
    </row>
    <row r="172" customFormat="false" ht="15" hidden="false" customHeight="false" outlineLevel="0" collapsed="false">
      <c r="A172" s="9" t="str">
        <f aca="false">parametros_recargas!$B$82</f>
        <v>Laboratorio — Puffer y mufla</v>
      </c>
      <c r="B172" s="21"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9.46788000053075</v>
      </c>
      <c r="C172" s="21"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9.46788000053075</v>
      </c>
      <c r="D172" s="21"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9.46788000053075</v>
      </c>
      <c r="E172" s="21"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9.46788000053075</v>
      </c>
      <c r="F172" s="21"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9.46788000053075</v>
      </c>
      <c r="G172" s="21"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9.46788000053075</v>
      </c>
      <c r="H172" s="21"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9.46788000053075</v>
      </c>
      <c r="I172" s="21"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9.46788000053075</v>
      </c>
      <c r="J172" s="21"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9.46788000053075</v>
      </c>
      <c r="K172" s="21"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9.46788000053075</v>
      </c>
      <c r="L172" s="21"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9.46788000053075</v>
      </c>
      <c r="M172" s="21"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9.46788000053075</v>
      </c>
      <c r="N172" s="7" t="n">
        <f aca="false">SUM(B172:M172)</f>
        <v>113.614560006369</v>
      </c>
      <c r="O172" s="22" t="n">
        <f aca="false">MAX(B172:M172)</f>
        <v>9.46788000053075</v>
      </c>
      <c r="P172" s="12" t="n">
        <f aca="false">O172/parametros_recargas!$B$6</f>
        <v>0.0631192000035384</v>
      </c>
    </row>
    <row r="173" customFormat="false" ht="15" hidden="false" customHeight="false" outlineLevel="0" collapsed="false">
      <c r="A173" s="9" t="str">
        <f aca="false">parametros_recargas!$B$83</f>
        <v>Prueba hidráulica</v>
      </c>
      <c r="B173" s="21"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2326.97898528887</v>
      </c>
      <c r="C173" s="21"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2326.97898528887</v>
      </c>
      <c r="D173" s="21"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2326.97898528887</v>
      </c>
      <c r="E173" s="21"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2326.97898528887</v>
      </c>
      <c r="F173" s="21"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2326.97898528887</v>
      </c>
      <c r="G173" s="21"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2326.97898528887</v>
      </c>
      <c r="H173" s="21"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2326.97898528887</v>
      </c>
      <c r="I173" s="21"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2326.97898528887</v>
      </c>
      <c r="J173" s="21"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2326.97898528887</v>
      </c>
      <c r="K173" s="21"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2326.97898528887</v>
      </c>
      <c r="L173" s="21"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2326.97898528887</v>
      </c>
      <c r="M173" s="21"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2326.97898528887</v>
      </c>
      <c r="N173" s="7" t="n">
        <f aca="false">SUM(B173:M173)</f>
        <v>27923.7478234664</v>
      </c>
      <c r="O173" s="22" t="n">
        <f aca="false">MAX(B173:M173)</f>
        <v>2326.97898528887</v>
      </c>
      <c r="P173" s="12" t="n">
        <f aca="false">O173/parametros_recargas!$B$6</f>
        <v>15.5131932352591</v>
      </c>
    </row>
    <row r="174" customFormat="false" ht="15" hidden="false" customHeight="false" outlineLevel="0" collapsed="false">
      <c r="A174" s="9" t="str">
        <f aca="false">parametros_recargas!$B$84</f>
        <v>Secado</v>
      </c>
      <c r="B174" s="21"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2177.54498107693</v>
      </c>
      <c r="C174" s="21"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2177.54498107693</v>
      </c>
      <c r="D174" s="21"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2177.54498107693</v>
      </c>
      <c r="E174" s="21"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2177.54498107693</v>
      </c>
      <c r="F174" s="21"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2177.54498107693</v>
      </c>
      <c r="G174" s="21"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2177.54498107693</v>
      </c>
      <c r="H174" s="21"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2177.54498107693</v>
      </c>
      <c r="I174" s="21"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2177.54498107693</v>
      </c>
      <c r="J174" s="21"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2177.54498107693</v>
      </c>
      <c r="K174" s="21"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2177.54498107693</v>
      </c>
      <c r="L174" s="21"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2177.54498107693</v>
      </c>
      <c r="M174" s="21"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2177.54498107693</v>
      </c>
      <c r="N174" s="7" t="n">
        <f aca="false">SUM(B174:M174)</f>
        <v>26130.5397729232</v>
      </c>
      <c r="O174" s="22" t="n">
        <f aca="false">MAX(B174:M174)</f>
        <v>2177.54498107693</v>
      </c>
      <c r="P174" s="12" t="n">
        <f aca="false">O174/parametros_recargas!$B$6</f>
        <v>14.5169665405129</v>
      </c>
    </row>
    <row r="175" customFormat="false" ht="15" hidden="false" customHeight="false" outlineLevel="0" collapsed="false">
      <c r="A175" s="9" t="str">
        <f aca="false">parametros_recargas!$B$85</f>
        <v>Inspección interior con videoscopio</v>
      </c>
      <c r="B175" s="21"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2177.54498107693</v>
      </c>
      <c r="C175" s="21"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2177.54498107693</v>
      </c>
      <c r="D175" s="21"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2177.54498107693</v>
      </c>
      <c r="E175" s="21"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2177.54498107693</v>
      </c>
      <c r="F175" s="21"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2177.54498107693</v>
      </c>
      <c r="G175" s="21"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2177.54498107693</v>
      </c>
      <c r="H175" s="21"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2177.54498107693</v>
      </c>
      <c r="I175" s="21"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2177.54498107693</v>
      </c>
      <c r="J175" s="21"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2177.54498107693</v>
      </c>
      <c r="K175" s="21"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2177.54498107693</v>
      </c>
      <c r="L175" s="21"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2177.54498107693</v>
      </c>
      <c r="M175" s="21"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2177.54498107693</v>
      </c>
      <c r="N175" s="7" t="n">
        <f aca="false">SUM(B175:M175)</f>
        <v>26130.5397729232</v>
      </c>
      <c r="O175" s="22" t="n">
        <f aca="false">MAX(B175:M175)</f>
        <v>2177.54498107693</v>
      </c>
      <c r="P175" s="12" t="n">
        <f aca="false">O175/parametros_recargas!$B$6</f>
        <v>14.5169665405129</v>
      </c>
    </row>
    <row r="176" customFormat="false" ht="15" hidden="false" customHeight="false" outlineLevel="0" collapsed="false">
      <c r="A176" s="9" t="str">
        <f aca="false">parametros_recargas!$B$86</f>
        <v>Pintura</v>
      </c>
      <c r="B176" s="21"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1090.2194446739</v>
      </c>
      <c r="C176" s="21"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1090.2194446739</v>
      </c>
      <c r="D176" s="21"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1090.2194446739</v>
      </c>
      <c r="E176" s="21"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1090.2194446739</v>
      </c>
      <c r="F176" s="21"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1090.2194446739</v>
      </c>
      <c r="G176" s="21"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1090.2194446739</v>
      </c>
      <c r="H176" s="21"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1090.2194446739</v>
      </c>
      <c r="I176" s="21"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1090.2194446739</v>
      </c>
      <c r="J176" s="21"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1090.2194446739</v>
      </c>
      <c r="K176" s="21"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1090.2194446739</v>
      </c>
      <c r="L176" s="21"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1090.2194446739</v>
      </c>
      <c r="M176" s="21"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1090.2194446739</v>
      </c>
      <c r="N176" s="7" t="n">
        <f aca="false">SUM(B176:M176)</f>
        <v>13082.6333360869</v>
      </c>
      <c r="O176" s="22" t="n">
        <f aca="false">MAX(B176:M176)</f>
        <v>1090.2194446739</v>
      </c>
      <c r="P176" s="12" t="n">
        <f aca="false">O176/parametros_recargas!$B$6</f>
        <v>7.26812963115936</v>
      </c>
    </row>
    <row r="177" customFormat="false" ht="15" hidden="false" customHeight="false" outlineLevel="0" collapsed="false">
      <c r="A177" s="9" t="str">
        <f aca="false">parametros_recargas!$B$87</f>
        <v>Carga de polvo ABC</v>
      </c>
      <c r="B177" s="21"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9473.61470097423</v>
      </c>
      <c r="C177" s="21"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9469.83790097423</v>
      </c>
      <c r="D177" s="21"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9470.99210097423</v>
      </c>
      <c r="E177" s="21"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9470.99210097423</v>
      </c>
      <c r="F177" s="21"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9470.08990097423</v>
      </c>
      <c r="G177" s="21"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9469.01970097423</v>
      </c>
      <c r="H177" s="21"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9470.08990097423</v>
      </c>
      <c r="I177" s="21"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9470.08990097423</v>
      </c>
      <c r="J177" s="21"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9470.00590097423</v>
      </c>
      <c r="K177" s="21"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9468.93570097423</v>
      </c>
      <c r="L177" s="21"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9467.94950097423</v>
      </c>
      <c r="M177" s="21"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9475.33510097423</v>
      </c>
      <c r="N177" s="7" t="n">
        <f aca="false">SUM(B177:M177)</f>
        <v>113646.952411691</v>
      </c>
      <c r="O177" s="22" t="n">
        <f aca="false">MAX(B177:M177)</f>
        <v>9475.33510097423</v>
      </c>
      <c r="P177" s="12" t="n">
        <f aca="false">O177/parametros_recargas!$B$6</f>
        <v>63.1689006731615</v>
      </c>
    </row>
    <row r="178" customFormat="false" ht="15" hidden="false" customHeight="false" outlineLevel="0" collapsed="false">
      <c r="A178" s="9" t="str">
        <f aca="false">parametros_recargas!$B$88</f>
        <v>Carga de polvo BC</v>
      </c>
      <c r="B178" s="21"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13.7372995565284</v>
      </c>
      <c r="C178" s="21"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13.7372995565284</v>
      </c>
      <c r="D178" s="21"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13.7372995565284</v>
      </c>
      <c r="E178" s="21"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13.7372995565284</v>
      </c>
      <c r="F178" s="21"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13.7372995565284</v>
      </c>
      <c r="G178" s="21"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13.7372995565284</v>
      </c>
      <c r="H178" s="21"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13.7372995565284</v>
      </c>
      <c r="I178" s="21"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13.7372995565284</v>
      </c>
      <c r="J178" s="21"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13.7372995565284</v>
      </c>
      <c r="K178" s="21"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13.7372995565284</v>
      </c>
      <c r="L178" s="21"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13.7372995565284</v>
      </c>
      <c r="M178" s="21"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13.7372995565284</v>
      </c>
      <c r="N178" s="7" t="n">
        <f aca="false">SUM(B178:M178)</f>
        <v>164.847594678341</v>
      </c>
      <c r="O178" s="22" t="n">
        <f aca="false">MAX(B178:M178)</f>
        <v>13.7372995565284</v>
      </c>
      <c r="P178" s="12" t="n">
        <f aca="false">O178/parametros_recargas!$B$6</f>
        <v>0.091581997043523</v>
      </c>
    </row>
    <row r="179" customFormat="false" ht="15" hidden="false" customHeight="false" outlineLevel="0" collapsed="false">
      <c r="A179" s="9" t="str">
        <f aca="false">parametros_recargas!$B$89</f>
        <v>Descarga y carga Clase D</v>
      </c>
      <c r="B179" s="21"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12.0689017854267</v>
      </c>
      <c r="C179" s="21"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12.0689017854267</v>
      </c>
      <c r="D179" s="21"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12.0689017854267</v>
      </c>
      <c r="E179" s="21"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12.0689017854267</v>
      </c>
      <c r="F179" s="21"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12.0689017854267</v>
      </c>
      <c r="G179" s="21"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12.0689017854267</v>
      </c>
      <c r="H179" s="21"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12.0689017854267</v>
      </c>
      <c r="I179" s="21"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12.0689017854267</v>
      </c>
      <c r="J179" s="21"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12.0689017854267</v>
      </c>
      <c r="K179" s="21"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12.0689017854267</v>
      </c>
      <c r="L179" s="21"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12.0689017854267</v>
      </c>
      <c r="M179" s="21"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12.0689017854267</v>
      </c>
      <c r="N179" s="7" t="n">
        <f aca="false">SUM(B179:M179)</f>
        <v>144.826821425121</v>
      </c>
      <c r="O179" s="22" t="n">
        <f aca="false">MAX(B179:M179)</f>
        <v>12.0689017854267</v>
      </c>
      <c r="P179" s="12" t="n">
        <f aca="false">O179/parametros_recargas!$B$6</f>
        <v>0.0804593452361781</v>
      </c>
    </row>
    <row r="180" customFormat="false" ht="15" hidden="false" customHeight="false" outlineLevel="0" collapsed="false">
      <c r="A180" s="9" t="str">
        <f aca="false">parametros_recargas!$B$90</f>
        <v>Carga de agua / AFFF / sales K</v>
      </c>
      <c r="B180" s="21"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488.466986470198</v>
      </c>
      <c r="C180" s="21"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488.466986470198</v>
      </c>
      <c r="D180" s="21"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488.466986470198</v>
      </c>
      <c r="E180" s="21"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488.466986470198</v>
      </c>
      <c r="F180" s="21"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488.466986470198</v>
      </c>
      <c r="G180" s="21"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488.466986470198</v>
      </c>
      <c r="H180" s="21"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488.466986470198</v>
      </c>
      <c r="I180" s="21"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488.466986470198</v>
      </c>
      <c r="J180" s="21"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488.466986470198</v>
      </c>
      <c r="K180" s="21"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488.466986470198</v>
      </c>
      <c r="L180" s="21"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488.466986470198</v>
      </c>
      <c r="M180" s="21"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488.466986470198</v>
      </c>
      <c r="N180" s="7" t="n">
        <f aca="false">SUM(B180:M180)</f>
        <v>5861.60383764237</v>
      </c>
      <c r="O180" s="22" t="n">
        <f aca="false">MAX(B180:M180)</f>
        <v>488.466986470198</v>
      </c>
      <c r="P180" s="12" t="n">
        <f aca="false">O180/parametros_recargas!$B$6</f>
        <v>3.25644657646799</v>
      </c>
    </row>
    <row r="181" customFormat="false" ht="15" hidden="false" customHeight="false" outlineLevel="0" collapsed="false">
      <c r="A181" s="9" t="str">
        <f aca="false">parametros_recargas!$B$91</f>
        <v>Carga de CO₂</v>
      </c>
      <c r="B181" s="21"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269.501078938142</v>
      </c>
      <c r="C181" s="21"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269.501078938142</v>
      </c>
      <c r="D181" s="21"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269.501078938142</v>
      </c>
      <c r="E181" s="21"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269.501078938142</v>
      </c>
      <c r="F181" s="21"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269.501078938142</v>
      </c>
      <c r="G181" s="21"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269.501078938142</v>
      </c>
      <c r="H181" s="21"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269.501078938142</v>
      </c>
      <c r="I181" s="21"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269.501078938142</v>
      </c>
      <c r="J181" s="21"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269.501078938142</v>
      </c>
      <c r="K181" s="21"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269.501078938142</v>
      </c>
      <c r="L181" s="21"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269.501078938142</v>
      </c>
      <c r="M181" s="21"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269.501078938142</v>
      </c>
      <c r="N181" s="7" t="n">
        <f aca="false">SUM(B181:M181)</f>
        <v>3234.0129472577</v>
      </c>
      <c r="O181" s="22" t="n">
        <f aca="false">MAX(B181:M181)</f>
        <v>269.501078938142</v>
      </c>
      <c r="P181" s="12" t="n">
        <f aca="false">O181/parametros_recargas!$B$6</f>
        <v>1.79667385958761</v>
      </c>
    </row>
    <row r="182" customFormat="false" ht="15" hidden="false" customHeight="false" outlineLevel="0" collapsed="false">
      <c r="A182" s="9" t="str">
        <f aca="false">parametros_recargas!$B$92</f>
        <v>Ensamblaje y marbete — recinto</v>
      </c>
      <c r="B182" s="21"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9499.42090231618</v>
      </c>
      <c r="C182" s="21"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9495.64410231618</v>
      </c>
      <c r="D182" s="21"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9496.79830231618</v>
      </c>
      <c r="E182" s="21"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9496.79830231618</v>
      </c>
      <c r="F182" s="21"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9495.89610231618</v>
      </c>
      <c r="G182" s="21"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9494.82590231618</v>
      </c>
      <c r="H182" s="21"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9495.89610231618</v>
      </c>
      <c r="I182" s="21"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9495.89610231618</v>
      </c>
      <c r="J182" s="21"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9495.81210231618</v>
      </c>
      <c r="K182" s="21"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9494.74190231618</v>
      </c>
      <c r="L182" s="21"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9493.75570231618</v>
      </c>
      <c r="M182" s="21"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9501.14130231618</v>
      </c>
      <c r="N182" s="7" t="n">
        <f aca="false">SUM(B182:M182)</f>
        <v>113956.626827794</v>
      </c>
      <c r="O182" s="22" t="n">
        <f aca="false">MAX(B182:M182)</f>
        <v>9501.14130231618</v>
      </c>
      <c r="P182" s="12" t="n">
        <f aca="false">O182/parametros_recargas!$B$6</f>
        <v>63.3409420154412</v>
      </c>
    </row>
    <row r="183" customFormat="false" ht="15" hidden="false" customHeight="false" outlineLevel="0" collapsed="false">
      <c r="A183" s="9" t="str">
        <f aca="false">parametros_recargas!$B$93</f>
        <v>Presurización — recinto</v>
      </c>
      <c r="B183" s="21"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9499.42090231618</v>
      </c>
      <c r="C183" s="21"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9495.64410231618</v>
      </c>
      <c r="D183" s="21"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9496.79830231618</v>
      </c>
      <c r="E183" s="21"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9496.79830231618</v>
      </c>
      <c r="F183" s="21"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9495.89610231618</v>
      </c>
      <c r="G183" s="21"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9494.82590231618</v>
      </c>
      <c r="H183" s="21"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9495.89610231618</v>
      </c>
      <c r="I183" s="21"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9495.89610231618</v>
      </c>
      <c r="J183" s="21"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9495.81210231618</v>
      </c>
      <c r="K183" s="21"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9494.74190231618</v>
      </c>
      <c r="L183" s="21"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9493.75570231618</v>
      </c>
      <c r="M183" s="21"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9501.14130231618</v>
      </c>
      <c r="N183" s="7" t="n">
        <f aca="false">SUM(B183:M183)</f>
        <v>113956.626827794</v>
      </c>
      <c r="O183" s="22" t="n">
        <f aca="false">MAX(B183:M183)</f>
        <v>9501.14130231618</v>
      </c>
      <c r="P183" s="12" t="n">
        <f aca="false">O183/parametros_recargas!$B$6</f>
        <v>63.3409420154412</v>
      </c>
    </row>
    <row r="184" customFormat="false" ht="15" hidden="false" customHeight="false" outlineLevel="0" collapsed="false">
      <c r="A184" s="9" t="str">
        <f aca="false">parametros_recargas!$B$94</f>
        <v>Ensamblaje y presurización — zona general</v>
      </c>
      <c r="B184" s="21"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721.911625958364</v>
      </c>
      <c r="C184" s="21"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721.911625958364</v>
      </c>
      <c r="D184" s="21"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721.911625958364</v>
      </c>
      <c r="E184" s="21"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721.911625958364</v>
      </c>
      <c r="F184" s="21"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721.911625958364</v>
      </c>
      <c r="G184" s="21"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721.911625958364</v>
      </c>
      <c r="H184" s="21"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721.911625958364</v>
      </c>
      <c r="I184" s="21"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721.911625958364</v>
      </c>
      <c r="J184" s="21"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721.911625958364</v>
      </c>
      <c r="K184" s="21"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721.911625958364</v>
      </c>
      <c r="L184" s="21"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721.911625958364</v>
      </c>
      <c r="M184" s="21"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721.911625958364</v>
      </c>
      <c r="N184" s="7" t="n">
        <f aca="false">SUM(B184:M184)</f>
        <v>8662.93951150037</v>
      </c>
      <c r="O184" s="22" t="n">
        <f aca="false">MAX(B184:M184)</f>
        <v>721.911625958364</v>
      </c>
      <c r="P184" s="12" t="n">
        <f aca="false">O184/parametros_recargas!$B$6</f>
        <v>4.81274417305576</v>
      </c>
    </row>
    <row r="185" customFormat="false" ht="15" hidden="false" customHeight="false" outlineLevel="0" collapsed="false">
      <c r="A185" s="9" t="str">
        <f aca="false">parametros_recargas!$B$95</f>
        <v>Carga y presurización de halogenado</v>
      </c>
      <c r="B185" s="21"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8.86040703971496</v>
      </c>
      <c r="C185" s="21"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8.86040703971496</v>
      </c>
      <c r="D185" s="21"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8.86040703971496</v>
      </c>
      <c r="E185" s="21"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8.86040703971496</v>
      </c>
      <c r="F185" s="21"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8.86040703971496</v>
      </c>
      <c r="G185" s="21"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8.86040703971496</v>
      </c>
      <c r="H185" s="21"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8.86040703971496</v>
      </c>
      <c r="I185" s="21"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8.86040703971496</v>
      </c>
      <c r="J185" s="21"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8.86040703971496</v>
      </c>
      <c r="K185" s="21"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8.86040703971496</v>
      </c>
      <c r="L185" s="21"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8.86040703971496</v>
      </c>
      <c r="M185" s="21"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8.86040703971496</v>
      </c>
      <c r="N185" s="7" t="n">
        <f aca="false">SUM(B185:M185)</f>
        <v>106.324884476579</v>
      </c>
      <c r="O185" s="22" t="n">
        <f aca="false">MAX(B185:M185)</f>
        <v>8.86040703971496</v>
      </c>
      <c r="P185" s="12" t="n">
        <f aca="false">O185/parametros_recargas!$B$6</f>
        <v>0.0590693802647664</v>
      </c>
    </row>
    <row r="186" customFormat="false" ht="15" hidden="false" customHeight="false" outlineLevel="0" collapsed="false">
      <c r="A186" s="9" t="str">
        <f aca="false">parametros_recargas!$B$96</f>
        <v>Control de peso (CO₂ y halogenados sin recarga)</v>
      </c>
      <c r="B186" s="21"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655.417071974809</v>
      </c>
      <c r="C186" s="21"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655.417071974809</v>
      </c>
      <c r="D186" s="21"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655.417071974809</v>
      </c>
      <c r="E186" s="21"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655.417071974809</v>
      </c>
      <c r="F186" s="21"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655.417071974809</v>
      </c>
      <c r="G186" s="21"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655.417071974809</v>
      </c>
      <c r="H186" s="21"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655.417071974809</v>
      </c>
      <c r="I186" s="21"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655.417071974809</v>
      </c>
      <c r="J186" s="21"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655.417071974809</v>
      </c>
      <c r="K186" s="21"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655.417071974809</v>
      </c>
      <c r="L186" s="21"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655.417071974809</v>
      </c>
      <c r="M186" s="21"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655.417071974809</v>
      </c>
      <c r="N186" s="7" t="n">
        <f aca="false">SUM(B186:M186)</f>
        <v>7865.00486369771</v>
      </c>
      <c r="O186" s="22" t="n">
        <f aca="false">MAX(B186:M186)</f>
        <v>655.417071974809</v>
      </c>
      <c r="P186" s="12" t="n">
        <f aca="false">O186/parametros_recargas!$B$6</f>
        <v>4.36944714649873</v>
      </c>
    </row>
    <row r="187" customFormat="false" ht="15" hidden="false" customHeight="false" outlineLevel="0" collapsed="false">
      <c r="A187" s="9" t="str">
        <f aca="false">parametros_recargas!$B$97</f>
        <v>Ensayo de pérdidas</v>
      </c>
      <c r="B187" s="21"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10921.666446739</v>
      </c>
      <c r="C187" s="21"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10917.889646739</v>
      </c>
      <c r="D187" s="21"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10919.043846739</v>
      </c>
      <c r="E187" s="21"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10919.043846739</v>
      </c>
      <c r="F187" s="21"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10918.141646739</v>
      </c>
      <c r="G187" s="21"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10917.071446739</v>
      </c>
      <c r="H187" s="21"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10918.141646739</v>
      </c>
      <c r="I187" s="21"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10918.141646739</v>
      </c>
      <c r="J187" s="21"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10918.057646739</v>
      </c>
      <c r="K187" s="21"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10916.987446739</v>
      </c>
      <c r="L187" s="21"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10916.001246739</v>
      </c>
      <c r="M187" s="21"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10923.386846739</v>
      </c>
      <c r="N187" s="7" t="n">
        <f aca="false">SUM(B187:M187)</f>
        <v>131023.573360869</v>
      </c>
      <c r="O187" s="22" t="n">
        <f aca="false">MAX(B187:M187)</f>
        <v>10923.386846739</v>
      </c>
      <c r="P187" s="12" t="n">
        <f aca="false">O187/parametros_recargas!$B$6</f>
        <v>72.8225789782603</v>
      </c>
    </row>
    <row r="188" customFormat="false" ht="15" hidden="false" customHeight="false" outlineLevel="0" collapsed="false">
      <c r="A188" s="9" t="str">
        <f aca="false">parametros_recargas!$B$98</f>
        <v>Precinto, etiqueta y despacho</v>
      </c>
      <c r="B188" s="21"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10921.666446739</v>
      </c>
      <c r="C188" s="21"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10917.889646739</v>
      </c>
      <c r="D188" s="21"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10919.043846739</v>
      </c>
      <c r="E188" s="21"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10919.043846739</v>
      </c>
      <c r="F188" s="21"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10918.141646739</v>
      </c>
      <c r="G188" s="21"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10917.071446739</v>
      </c>
      <c r="H188" s="21"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10918.141646739</v>
      </c>
      <c r="I188" s="21"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10918.141646739</v>
      </c>
      <c r="J188" s="21"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10918.057646739</v>
      </c>
      <c r="K188" s="21"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10916.987446739</v>
      </c>
      <c r="L188" s="21"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10916.001246739</v>
      </c>
      <c r="M188" s="21"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10923.386846739</v>
      </c>
      <c r="N188" s="7" t="n">
        <f aca="false">SUM(B188:M188)</f>
        <v>131023.573360869</v>
      </c>
      <c r="O188" s="22" t="n">
        <f aca="false">MAX(B188:M188)</f>
        <v>10923.386846739</v>
      </c>
      <c r="P188" s="12" t="n">
        <f aca="false">O188/parametros_recargas!$B$6</f>
        <v>72.8225789782603</v>
      </c>
    </row>
    <row r="189" customFormat="false" ht="15" hidden="false" customHeight="false" outlineLevel="0" collapsed="false">
      <c r="A189" s="9" t="str">
        <f aca="false">parametros_recargas!$B$99</f>
        <v>Inutilización y disposición final</v>
      </c>
      <c r="B189" s="21"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857.203273575894</v>
      </c>
      <c r="C189" s="21"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857.203273575894</v>
      </c>
      <c r="D189" s="21"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857.203273575894</v>
      </c>
      <c r="E189" s="21"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857.203273575894</v>
      </c>
      <c r="F189" s="21"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857.203273575894</v>
      </c>
      <c r="G189" s="21"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857.203273575894</v>
      </c>
      <c r="H189" s="21"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857.203273575894</v>
      </c>
      <c r="I189" s="21"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857.203273575894</v>
      </c>
      <c r="J189" s="21"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857.203273575894</v>
      </c>
      <c r="K189" s="21"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857.203273575894</v>
      </c>
      <c r="L189" s="21"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857.203273575894</v>
      </c>
      <c r="M189" s="21"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857.203273575894</v>
      </c>
      <c r="N189" s="7" t="n">
        <f aca="false">SUM(B189:M189)</f>
        <v>10286.4392829107</v>
      </c>
      <c r="O189" s="22" t="n">
        <f aca="false">MAX(B189:M189)</f>
        <v>857.203273575894</v>
      </c>
      <c r="P189" s="12" t="n">
        <f aca="false">O189/parametros_recargas!$B$6</f>
        <v>5.71468849050596</v>
      </c>
    </row>
    <row r="190" customFormat="false" ht="15" hidden="false" customHeight="false" outlineLevel="0" collapsed="false">
      <c r="A190" s="9" t="str">
        <f aca="false">parametros_recargas!$B$100</f>
        <v>PH de mangueras (CO₂ y rodantes)</v>
      </c>
      <c r="B190" s="21" t="n">
        <f aca="false">'Plan mensual'!D189</f>
        <v>365.773494223697</v>
      </c>
      <c r="C190" s="21" t="n">
        <f aca="false">'Plan mensual'!E189</f>
        <v>365.773494223697</v>
      </c>
      <c r="D190" s="21" t="n">
        <f aca="false">'Plan mensual'!F189</f>
        <v>365.773494223697</v>
      </c>
      <c r="E190" s="21" t="n">
        <f aca="false">'Plan mensual'!G189</f>
        <v>365.773494223697</v>
      </c>
      <c r="F190" s="21" t="n">
        <f aca="false">'Plan mensual'!H189</f>
        <v>365.773494223697</v>
      </c>
      <c r="G190" s="21" t="n">
        <f aca="false">'Plan mensual'!I189</f>
        <v>365.773494223697</v>
      </c>
      <c r="H190" s="21" t="n">
        <f aca="false">'Plan mensual'!J189</f>
        <v>365.773494223697</v>
      </c>
      <c r="I190" s="21" t="n">
        <f aca="false">'Plan mensual'!K189</f>
        <v>365.773494223697</v>
      </c>
      <c r="J190" s="21" t="n">
        <f aca="false">'Plan mensual'!L189</f>
        <v>365.773494223697</v>
      </c>
      <c r="K190" s="21" t="n">
        <f aca="false">'Plan mensual'!M189</f>
        <v>365.773494223697</v>
      </c>
      <c r="L190" s="21" t="n">
        <f aca="false">'Plan mensual'!N189</f>
        <v>365.773494223697</v>
      </c>
      <c r="M190" s="21" t="n">
        <f aca="false">'Plan mensual'!O189</f>
        <v>365.773494223697</v>
      </c>
      <c r="N190" s="7" t="n">
        <f aca="false">SUM(B190:M190)</f>
        <v>4389.28193068436</v>
      </c>
      <c r="O190" s="22" t="n">
        <f aca="false">MAX(B190:M190)</f>
        <v>365.773494223697</v>
      </c>
      <c r="P190" s="12" t="n">
        <f aca="false">O190/parametros_recargas!$B$6</f>
        <v>2.43848996149131</v>
      </c>
    </row>
    <row r="193" customFormat="false" ht="23.85" hidden="false" customHeight="false" outlineLevel="0" collapsed="false">
      <c r="A193" s="3" t="s">
        <v>369</v>
      </c>
      <c r="B193" s="3" t="s">
        <v>147</v>
      </c>
      <c r="C193" s="3" t="s">
        <v>148</v>
      </c>
      <c r="D193" s="3" t="s">
        <v>149</v>
      </c>
      <c r="E193" s="3" t="s">
        <v>150</v>
      </c>
      <c r="F193" s="3" t="s">
        <v>151</v>
      </c>
      <c r="G193" s="3" t="s">
        <v>152</v>
      </c>
      <c r="H193" s="3" t="s">
        <v>153</v>
      </c>
      <c r="I193" s="3" t="s">
        <v>154</v>
      </c>
      <c r="J193" s="3" t="s">
        <v>155</v>
      </c>
      <c r="K193" s="3" t="s">
        <v>156</v>
      </c>
      <c r="L193" s="3" t="s">
        <v>157</v>
      </c>
      <c r="M193" s="3" t="s">
        <v>158</v>
      </c>
      <c r="N193" s="3" t="s">
        <v>361</v>
      </c>
      <c r="O193" s="3" t="s">
        <v>362</v>
      </c>
      <c r="P193" s="3" t="s">
        <v>363</v>
      </c>
    </row>
    <row r="194" customFormat="false" ht="15" hidden="false" customHeight="false" outlineLevel="0" collapsed="false">
      <c r="A194" s="9" t="str">
        <f aca="false">parametros_recargas!$B$72</f>
        <v>Recepción y registro</v>
      </c>
      <c r="B194" s="21" t="n">
        <f aca="false">parametros_recargas!$E$72*'Plan mensual'!D213+parametros_recargas!$F$72*'Plan mensual'!D214+parametros_recargas!$G$72*'Plan mensual'!D215+parametros_recargas!$H$72*'Plan mensual'!D216+parametros_recargas!$I$72*'Plan mensual'!D217+parametros_recargas!$J$72*'Plan mensual'!D218+parametros_recargas!$K$72*'Plan mensual'!D219+parametros_recargas!$L$72*'Plan mensual'!D220+parametros_recargas!$M$72*'Plan mensual'!D222</f>
        <v>13556.6529748653</v>
      </c>
      <c r="C194" s="21" t="n">
        <f aca="false">parametros_recargas!$E$72*'Plan mensual'!E213+parametros_recargas!$F$72*'Plan mensual'!E214+parametros_recargas!$G$72*'Plan mensual'!E215+parametros_recargas!$H$72*'Plan mensual'!E216+parametros_recargas!$I$72*'Plan mensual'!E217+parametros_recargas!$J$72*'Plan mensual'!E218+parametros_recargas!$K$72*'Plan mensual'!E219+parametros_recargas!$L$72*'Plan mensual'!E220+parametros_recargas!$M$72*'Plan mensual'!E222</f>
        <v>13553.5945748653</v>
      </c>
      <c r="D194" s="21" t="n">
        <f aca="false">parametros_recargas!$E$72*'Plan mensual'!F213+parametros_recargas!$F$72*'Plan mensual'!F214+parametros_recargas!$G$72*'Plan mensual'!F215+parametros_recargas!$H$72*'Plan mensual'!F216+parametros_recargas!$I$72*'Plan mensual'!F217+parametros_recargas!$J$72*'Plan mensual'!F218+parametros_recargas!$K$72*'Plan mensual'!F219+parametros_recargas!$L$72*'Plan mensual'!F220+parametros_recargas!$M$72*'Plan mensual'!F222</f>
        <v>13554.5061748653</v>
      </c>
      <c r="E194" s="21" t="n">
        <f aca="false">parametros_recargas!$E$72*'Plan mensual'!G213+parametros_recargas!$F$72*'Plan mensual'!G214+parametros_recargas!$G$72*'Plan mensual'!G215+parametros_recargas!$H$72*'Plan mensual'!G216+parametros_recargas!$I$72*'Plan mensual'!G217+parametros_recargas!$J$72*'Plan mensual'!G218+parametros_recargas!$K$72*'Plan mensual'!G219+parametros_recargas!$L$72*'Plan mensual'!G220+parametros_recargas!$M$72*'Plan mensual'!G222</f>
        <v>13554.5061748653</v>
      </c>
      <c r="F194" s="21" t="n">
        <f aca="false">parametros_recargas!$E$72*'Plan mensual'!H213+parametros_recargas!$F$72*'Plan mensual'!H214+parametros_recargas!$G$72*'Plan mensual'!H215+parametros_recargas!$H$72*'Plan mensual'!H216+parametros_recargas!$I$72*'Plan mensual'!H217+parametros_recargas!$J$72*'Plan mensual'!H218+parametros_recargas!$K$72*'Plan mensual'!H219+parametros_recargas!$L$72*'Plan mensual'!H220+parametros_recargas!$M$72*'Plan mensual'!H222</f>
        <v>13553.7709748653</v>
      </c>
      <c r="G194" s="21" t="n">
        <f aca="false">parametros_recargas!$E$72*'Plan mensual'!I213+parametros_recargas!$F$72*'Plan mensual'!I214+parametros_recargas!$G$72*'Plan mensual'!I215+parametros_recargas!$H$72*'Plan mensual'!I216+parametros_recargas!$I$72*'Plan mensual'!I217+parametros_recargas!$J$72*'Plan mensual'!I218+parametros_recargas!$K$72*'Plan mensual'!I219+parametros_recargas!$L$72*'Plan mensual'!I220+parametros_recargas!$M$72*'Plan mensual'!I222</f>
        <v>13552.9181748653</v>
      </c>
      <c r="H194" s="21" t="n">
        <f aca="false">parametros_recargas!$E$72*'Plan mensual'!J213+parametros_recargas!$F$72*'Plan mensual'!J214+parametros_recargas!$G$72*'Plan mensual'!J215+parametros_recargas!$H$72*'Plan mensual'!J216+parametros_recargas!$I$72*'Plan mensual'!J217+parametros_recargas!$J$72*'Plan mensual'!J218+parametros_recargas!$K$72*'Plan mensual'!J219+parametros_recargas!$L$72*'Plan mensual'!J220+parametros_recargas!$M$72*'Plan mensual'!J222</f>
        <v>13553.7709748653</v>
      </c>
      <c r="I194" s="21" t="n">
        <f aca="false">parametros_recargas!$E$72*'Plan mensual'!K213+parametros_recargas!$F$72*'Plan mensual'!K214+parametros_recargas!$G$72*'Plan mensual'!K215+parametros_recargas!$H$72*'Plan mensual'!K216+parametros_recargas!$I$72*'Plan mensual'!K217+parametros_recargas!$J$72*'Plan mensual'!K218+parametros_recargas!$K$72*'Plan mensual'!K219+parametros_recargas!$L$72*'Plan mensual'!K220+parametros_recargas!$M$72*'Plan mensual'!K222</f>
        <v>13553.7709748653</v>
      </c>
      <c r="J194" s="21" t="n">
        <f aca="false">parametros_recargas!$E$72*'Plan mensual'!L213+parametros_recargas!$F$72*'Plan mensual'!L214+parametros_recargas!$G$72*'Plan mensual'!L215+parametros_recargas!$H$72*'Plan mensual'!L216+parametros_recargas!$I$72*'Plan mensual'!L217+parametros_recargas!$J$72*'Plan mensual'!L218+parametros_recargas!$K$72*'Plan mensual'!L219+parametros_recargas!$L$72*'Plan mensual'!L220+parametros_recargas!$M$72*'Plan mensual'!L222</f>
        <v>13553.7121748653</v>
      </c>
      <c r="K194" s="21" t="n">
        <f aca="false">parametros_recargas!$E$72*'Plan mensual'!M213+parametros_recargas!$F$72*'Plan mensual'!M214+parametros_recargas!$G$72*'Plan mensual'!M215+parametros_recargas!$H$72*'Plan mensual'!M216+parametros_recargas!$I$72*'Plan mensual'!M217+parametros_recargas!$J$72*'Plan mensual'!M218+parametros_recargas!$K$72*'Plan mensual'!M219+parametros_recargas!$L$72*'Plan mensual'!M220+parametros_recargas!$M$72*'Plan mensual'!M222</f>
        <v>13552.8593748653</v>
      </c>
      <c r="L194" s="21" t="n">
        <f aca="false">parametros_recargas!$E$72*'Plan mensual'!N213+parametros_recargas!$F$72*'Plan mensual'!N214+parametros_recargas!$G$72*'Plan mensual'!N215+parametros_recargas!$H$72*'Plan mensual'!N216+parametros_recargas!$I$72*'Plan mensual'!N217+parametros_recargas!$J$72*'Plan mensual'!N218+parametros_recargas!$K$72*'Plan mensual'!N219+parametros_recargas!$L$72*'Plan mensual'!N220+parametros_recargas!$M$72*'Plan mensual'!N222</f>
        <v>13552.0653748653</v>
      </c>
      <c r="M194" s="21" t="n">
        <f aca="false">parametros_recargas!$E$72*'Plan mensual'!O213+parametros_recargas!$F$72*'Plan mensual'!O214+parametros_recargas!$G$72*'Plan mensual'!O215+parametros_recargas!$H$72*'Plan mensual'!O216+parametros_recargas!$I$72*'Plan mensual'!O217+parametros_recargas!$J$72*'Plan mensual'!O218+parametros_recargas!$K$72*'Plan mensual'!O219+parametros_recargas!$L$72*'Plan mensual'!O220+parametros_recargas!$M$72*'Plan mensual'!O222</f>
        <v>13558.0645748653</v>
      </c>
      <c r="N194" s="7" t="n">
        <f aca="false">SUM(B194:M194)</f>
        <v>162650.192498383</v>
      </c>
      <c r="O194" s="22" t="n">
        <f aca="false">MAX(B194:M194)</f>
        <v>13558.0645748653</v>
      </c>
      <c r="P194" s="12" t="n">
        <f aca="false">O194/parametros_recargas!$B$6</f>
        <v>90.3870971657684</v>
      </c>
    </row>
    <row r="195" customFormat="false" ht="15" hidden="false" customHeight="false" outlineLevel="0" collapsed="false">
      <c r="A195" s="9" t="str">
        <f aca="false">parametros_recargas!$B$73</f>
        <v>Inspección visual</v>
      </c>
      <c r="B195" s="21" t="n">
        <f aca="false">parametros_recargas!$E$73*'Plan mensual'!D213+parametros_recargas!$F$73*'Plan mensual'!D214+parametros_recargas!$G$73*'Plan mensual'!D215+parametros_recargas!$H$73*'Plan mensual'!D216+parametros_recargas!$I$73*'Plan mensual'!D217+parametros_recargas!$J$73*'Plan mensual'!D218+parametros_recargas!$K$73*'Plan mensual'!D219+parametros_recargas!$L$73*'Plan mensual'!D220+parametros_recargas!$M$73*'Plan mensual'!D222</f>
        <v>13540.9493748653</v>
      </c>
      <c r="C195" s="21" t="n">
        <f aca="false">parametros_recargas!$E$73*'Plan mensual'!E213+parametros_recargas!$F$73*'Plan mensual'!E214+parametros_recargas!$G$73*'Plan mensual'!E215+parametros_recargas!$H$73*'Plan mensual'!E216+parametros_recargas!$I$73*'Plan mensual'!E217+parametros_recargas!$J$73*'Plan mensual'!E218+parametros_recargas!$K$73*'Plan mensual'!E219+parametros_recargas!$L$73*'Plan mensual'!E220+parametros_recargas!$M$73*'Plan mensual'!E222</f>
        <v>13540.9493748653</v>
      </c>
      <c r="D195" s="21" t="n">
        <f aca="false">parametros_recargas!$E$73*'Plan mensual'!F213+parametros_recargas!$F$73*'Plan mensual'!F214+parametros_recargas!$G$73*'Plan mensual'!F215+parametros_recargas!$H$73*'Plan mensual'!F216+parametros_recargas!$I$73*'Plan mensual'!F217+parametros_recargas!$J$73*'Plan mensual'!F218+parametros_recargas!$K$73*'Plan mensual'!F219+parametros_recargas!$L$73*'Plan mensual'!F220+parametros_recargas!$M$73*'Plan mensual'!F222</f>
        <v>13540.9493748653</v>
      </c>
      <c r="E195" s="21" t="n">
        <f aca="false">parametros_recargas!$E$73*'Plan mensual'!G213+parametros_recargas!$F$73*'Plan mensual'!G214+parametros_recargas!$G$73*'Plan mensual'!G215+parametros_recargas!$H$73*'Plan mensual'!G216+parametros_recargas!$I$73*'Plan mensual'!G217+parametros_recargas!$J$73*'Plan mensual'!G218+parametros_recargas!$K$73*'Plan mensual'!G219+parametros_recargas!$L$73*'Plan mensual'!G220+parametros_recargas!$M$73*'Plan mensual'!G222</f>
        <v>13540.9493748653</v>
      </c>
      <c r="F195" s="21" t="n">
        <f aca="false">parametros_recargas!$E$73*'Plan mensual'!H213+parametros_recargas!$F$73*'Plan mensual'!H214+parametros_recargas!$G$73*'Plan mensual'!H215+parametros_recargas!$H$73*'Plan mensual'!H216+parametros_recargas!$I$73*'Plan mensual'!H217+parametros_recargas!$J$73*'Plan mensual'!H218+parametros_recargas!$K$73*'Plan mensual'!H219+parametros_recargas!$L$73*'Plan mensual'!H220+parametros_recargas!$M$73*'Plan mensual'!H222</f>
        <v>13540.9493748653</v>
      </c>
      <c r="G195" s="21" t="n">
        <f aca="false">parametros_recargas!$E$73*'Plan mensual'!I213+parametros_recargas!$F$73*'Plan mensual'!I214+parametros_recargas!$G$73*'Plan mensual'!I215+parametros_recargas!$H$73*'Plan mensual'!I216+parametros_recargas!$I$73*'Plan mensual'!I217+parametros_recargas!$J$73*'Plan mensual'!I218+parametros_recargas!$K$73*'Plan mensual'!I219+parametros_recargas!$L$73*'Plan mensual'!I220+parametros_recargas!$M$73*'Plan mensual'!I222</f>
        <v>13540.9493748653</v>
      </c>
      <c r="H195" s="21" t="n">
        <f aca="false">parametros_recargas!$E$73*'Plan mensual'!J213+parametros_recargas!$F$73*'Plan mensual'!J214+parametros_recargas!$G$73*'Plan mensual'!J215+parametros_recargas!$H$73*'Plan mensual'!J216+parametros_recargas!$I$73*'Plan mensual'!J217+parametros_recargas!$J$73*'Plan mensual'!J218+parametros_recargas!$K$73*'Plan mensual'!J219+parametros_recargas!$L$73*'Plan mensual'!J220+parametros_recargas!$M$73*'Plan mensual'!J222</f>
        <v>13540.9493748653</v>
      </c>
      <c r="I195" s="21" t="n">
        <f aca="false">parametros_recargas!$E$73*'Plan mensual'!K213+parametros_recargas!$F$73*'Plan mensual'!K214+parametros_recargas!$G$73*'Plan mensual'!K215+parametros_recargas!$H$73*'Plan mensual'!K216+parametros_recargas!$I$73*'Plan mensual'!K217+parametros_recargas!$J$73*'Plan mensual'!K218+parametros_recargas!$K$73*'Plan mensual'!K219+parametros_recargas!$L$73*'Plan mensual'!K220+parametros_recargas!$M$73*'Plan mensual'!K222</f>
        <v>13540.9493748653</v>
      </c>
      <c r="J195" s="21" t="n">
        <f aca="false">parametros_recargas!$E$73*'Plan mensual'!L213+parametros_recargas!$F$73*'Plan mensual'!L214+parametros_recargas!$G$73*'Plan mensual'!L215+parametros_recargas!$H$73*'Plan mensual'!L216+parametros_recargas!$I$73*'Plan mensual'!L217+parametros_recargas!$J$73*'Plan mensual'!L218+parametros_recargas!$K$73*'Plan mensual'!L219+parametros_recargas!$L$73*'Plan mensual'!L220+parametros_recargas!$M$73*'Plan mensual'!L222</f>
        <v>13540.9493748653</v>
      </c>
      <c r="K195" s="21" t="n">
        <f aca="false">parametros_recargas!$E$73*'Plan mensual'!M213+parametros_recargas!$F$73*'Plan mensual'!M214+parametros_recargas!$G$73*'Plan mensual'!M215+parametros_recargas!$H$73*'Plan mensual'!M216+parametros_recargas!$I$73*'Plan mensual'!M217+parametros_recargas!$J$73*'Plan mensual'!M218+parametros_recargas!$K$73*'Plan mensual'!M219+parametros_recargas!$L$73*'Plan mensual'!M220+parametros_recargas!$M$73*'Plan mensual'!M222</f>
        <v>13540.9493748653</v>
      </c>
      <c r="L195" s="21" t="n">
        <f aca="false">parametros_recargas!$E$73*'Plan mensual'!N213+parametros_recargas!$F$73*'Plan mensual'!N214+parametros_recargas!$G$73*'Plan mensual'!N215+parametros_recargas!$H$73*'Plan mensual'!N216+parametros_recargas!$I$73*'Plan mensual'!N217+parametros_recargas!$J$73*'Plan mensual'!N218+parametros_recargas!$K$73*'Plan mensual'!N219+parametros_recargas!$L$73*'Plan mensual'!N220+parametros_recargas!$M$73*'Plan mensual'!N222</f>
        <v>13540.9493748653</v>
      </c>
      <c r="M195" s="21" t="n">
        <f aca="false">parametros_recargas!$E$73*'Plan mensual'!O213+parametros_recargas!$F$73*'Plan mensual'!O214+parametros_recargas!$G$73*'Plan mensual'!O215+parametros_recargas!$H$73*'Plan mensual'!O216+parametros_recargas!$I$73*'Plan mensual'!O217+parametros_recargas!$J$73*'Plan mensual'!O218+parametros_recargas!$K$73*'Plan mensual'!O219+parametros_recargas!$L$73*'Plan mensual'!O220+parametros_recargas!$M$73*'Plan mensual'!O222</f>
        <v>13540.9493748653</v>
      </c>
      <c r="N195" s="7" t="n">
        <f aca="false">SUM(B195:M195)</f>
        <v>162491.392498383</v>
      </c>
      <c r="O195" s="22" t="n">
        <f aca="false">MAX(B195:M195)</f>
        <v>13540.9493748653</v>
      </c>
      <c r="P195" s="12" t="n">
        <f aca="false">O195/parametros_recargas!$B$6</f>
        <v>90.272995832435</v>
      </c>
    </row>
    <row r="196" customFormat="false" ht="15" hidden="false" customHeight="false" outlineLevel="0" collapsed="false">
      <c r="A196" s="9" t="str">
        <f aca="false">parametros_recargas!$B$74</f>
        <v>Descarga ABC — ruta recuperable</v>
      </c>
      <c r="B196" s="21" t="n">
        <f aca="false">parametros_recargas!$E$74*'Plan mensual'!D213+parametros_recargas!$F$74*'Plan mensual'!D214+parametros_recargas!$G$74*'Plan mensual'!D215+parametros_recargas!$H$74*'Plan mensual'!D216+parametros_recargas!$I$74*'Plan mensual'!D217+parametros_recargas!$J$74*'Plan mensual'!D218+parametros_recargas!$K$74*'Plan mensual'!D219+parametros_recargas!$L$74*'Plan mensual'!D220+parametros_recargas!$M$74*'Plan mensual'!D222</f>
        <v>9996.55853711059</v>
      </c>
      <c r="C196" s="21" t="n">
        <f aca="false">parametros_recargas!$E$74*'Plan mensual'!E213+parametros_recargas!$F$74*'Plan mensual'!E214+parametros_recargas!$G$74*'Plan mensual'!E215+parametros_recargas!$H$74*'Plan mensual'!E216+parametros_recargas!$I$74*'Plan mensual'!E217+parametros_recargas!$J$74*'Plan mensual'!E218+parametros_recargas!$K$74*'Plan mensual'!E219+parametros_recargas!$L$74*'Plan mensual'!E220+parametros_recargas!$M$74*'Plan mensual'!E222</f>
        <v>9996.55853711059</v>
      </c>
      <c r="D196" s="21" t="n">
        <f aca="false">parametros_recargas!$E$74*'Plan mensual'!F213+parametros_recargas!$F$74*'Plan mensual'!F214+parametros_recargas!$G$74*'Plan mensual'!F215+parametros_recargas!$H$74*'Plan mensual'!F216+parametros_recargas!$I$74*'Plan mensual'!F217+parametros_recargas!$J$74*'Plan mensual'!F218+parametros_recargas!$K$74*'Plan mensual'!F219+parametros_recargas!$L$74*'Plan mensual'!F220+parametros_recargas!$M$74*'Plan mensual'!F222</f>
        <v>9996.55853711059</v>
      </c>
      <c r="E196" s="21" t="n">
        <f aca="false">parametros_recargas!$E$74*'Plan mensual'!G213+parametros_recargas!$F$74*'Plan mensual'!G214+parametros_recargas!$G$74*'Plan mensual'!G215+parametros_recargas!$H$74*'Plan mensual'!G216+parametros_recargas!$I$74*'Plan mensual'!G217+parametros_recargas!$J$74*'Plan mensual'!G218+parametros_recargas!$K$74*'Plan mensual'!G219+parametros_recargas!$L$74*'Plan mensual'!G220+parametros_recargas!$M$74*'Plan mensual'!G222</f>
        <v>9996.55853711059</v>
      </c>
      <c r="F196" s="21" t="n">
        <f aca="false">parametros_recargas!$E$74*'Plan mensual'!H213+parametros_recargas!$F$74*'Plan mensual'!H214+parametros_recargas!$G$74*'Plan mensual'!H215+parametros_recargas!$H$74*'Plan mensual'!H216+parametros_recargas!$I$74*'Plan mensual'!H217+parametros_recargas!$J$74*'Plan mensual'!H218+parametros_recargas!$K$74*'Plan mensual'!H219+parametros_recargas!$L$74*'Plan mensual'!H220+parametros_recargas!$M$74*'Plan mensual'!H222</f>
        <v>9996.55853711059</v>
      </c>
      <c r="G196" s="21" t="n">
        <f aca="false">parametros_recargas!$E$74*'Plan mensual'!I213+parametros_recargas!$F$74*'Plan mensual'!I214+parametros_recargas!$G$74*'Plan mensual'!I215+parametros_recargas!$H$74*'Plan mensual'!I216+parametros_recargas!$I$74*'Plan mensual'!I217+parametros_recargas!$J$74*'Plan mensual'!I218+parametros_recargas!$K$74*'Plan mensual'!I219+parametros_recargas!$L$74*'Plan mensual'!I220+parametros_recargas!$M$74*'Plan mensual'!I222</f>
        <v>9996.55853711059</v>
      </c>
      <c r="H196" s="21" t="n">
        <f aca="false">parametros_recargas!$E$74*'Plan mensual'!J213+parametros_recargas!$F$74*'Plan mensual'!J214+parametros_recargas!$G$74*'Plan mensual'!J215+parametros_recargas!$H$74*'Plan mensual'!J216+parametros_recargas!$I$74*'Plan mensual'!J217+parametros_recargas!$J$74*'Plan mensual'!J218+parametros_recargas!$K$74*'Plan mensual'!J219+parametros_recargas!$L$74*'Plan mensual'!J220+parametros_recargas!$M$74*'Plan mensual'!J222</f>
        <v>9996.55853711059</v>
      </c>
      <c r="I196" s="21" t="n">
        <f aca="false">parametros_recargas!$E$74*'Plan mensual'!K213+parametros_recargas!$F$74*'Plan mensual'!K214+parametros_recargas!$G$74*'Plan mensual'!K215+parametros_recargas!$H$74*'Plan mensual'!K216+parametros_recargas!$I$74*'Plan mensual'!K217+parametros_recargas!$J$74*'Plan mensual'!K218+parametros_recargas!$K$74*'Plan mensual'!K219+parametros_recargas!$L$74*'Plan mensual'!K220+parametros_recargas!$M$74*'Plan mensual'!K222</f>
        <v>9996.55853711059</v>
      </c>
      <c r="J196" s="21" t="n">
        <f aca="false">parametros_recargas!$E$74*'Plan mensual'!L213+parametros_recargas!$F$74*'Plan mensual'!L214+parametros_recargas!$G$74*'Plan mensual'!L215+parametros_recargas!$H$74*'Plan mensual'!L216+parametros_recargas!$I$74*'Plan mensual'!L217+parametros_recargas!$J$74*'Plan mensual'!L218+parametros_recargas!$K$74*'Plan mensual'!L219+parametros_recargas!$L$74*'Plan mensual'!L220+parametros_recargas!$M$74*'Plan mensual'!L222</f>
        <v>9996.55853711059</v>
      </c>
      <c r="K196" s="21" t="n">
        <f aca="false">parametros_recargas!$E$74*'Plan mensual'!M213+parametros_recargas!$F$74*'Plan mensual'!M214+parametros_recargas!$G$74*'Plan mensual'!M215+parametros_recargas!$H$74*'Plan mensual'!M216+parametros_recargas!$I$74*'Plan mensual'!M217+parametros_recargas!$J$74*'Plan mensual'!M218+parametros_recargas!$K$74*'Plan mensual'!M219+parametros_recargas!$L$74*'Plan mensual'!M220+parametros_recargas!$M$74*'Plan mensual'!M222</f>
        <v>9996.55853711059</v>
      </c>
      <c r="L196" s="21" t="n">
        <f aca="false">parametros_recargas!$E$74*'Plan mensual'!N213+parametros_recargas!$F$74*'Plan mensual'!N214+parametros_recargas!$G$74*'Plan mensual'!N215+parametros_recargas!$H$74*'Plan mensual'!N216+parametros_recargas!$I$74*'Plan mensual'!N217+parametros_recargas!$J$74*'Plan mensual'!N218+parametros_recargas!$K$74*'Plan mensual'!N219+parametros_recargas!$L$74*'Plan mensual'!N220+parametros_recargas!$M$74*'Plan mensual'!N222</f>
        <v>9996.55853711059</v>
      </c>
      <c r="M196" s="21" t="n">
        <f aca="false">parametros_recargas!$E$74*'Plan mensual'!O213+parametros_recargas!$F$74*'Plan mensual'!O214+parametros_recargas!$G$74*'Plan mensual'!O215+parametros_recargas!$H$74*'Plan mensual'!O216+parametros_recargas!$I$74*'Plan mensual'!O217+parametros_recargas!$J$74*'Plan mensual'!O218+parametros_recargas!$K$74*'Plan mensual'!O219+parametros_recargas!$L$74*'Plan mensual'!O220+parametros_recargas!$M$74*'Plan mensual'!O222</f>
        <v>9996.55853711059</v>
      </c>
      <c r="N196" s="7" t="n">
        <f aca="false">SUM(B196:M196)</f>
        <v>119958.702445327</v>
      </c>
      <c r="O196" s="22" t="n">
        <f aca="false">MAX(B196:M196)</f>
        <v>9996.55853711059</v>
      </c>
      <c r="P196" s="12" t="n">
        <f aca="false">O196/parametros_recargas!$B$6</f>
        <v>66.6437235807372</v>
      </c>
    </row>
    <row r="197" customFormat="false" ht="15" hidden="false" customHeight="false" outlineLevel="0" collapsed="false">
      <c r="A197" s="9" t="str">
        <f aca="false">parametros_recargas!$B$75</f>
        <v>Descarga ABC — ruta descarte</v>
      </c>
      <c r="B197" s="21" t="n">
        <f aca="false">parametros_recargas!$E$75*'Plan mensual'!D213+parametros_recargas!$F$75*'Plan mensual'!D214+parametros_recargas!$G$75*'Plan mensual'!D215+parametros_recargas!$H$75*'Plan mensual'!D216+parametros_recargas!$I$75*'Plan mensual'!D217+parametros_recargas!$J$75*'Plan mensual'!D218+parametros_recargas!$K$75*'Plan mensual'!D219+parametros_recargas!$L$75*'Plan mensual'!D220+parametros_recargas!$M$75*'Plan mensual'!D222</f>
        <v>1176.0657102483</v>
      </c>
      <c r="C197" s="21" t="n">
        <f aca="false">parametros_recargas!$E$75*'Plan mensual'!E213+parametros_recargas!$F$75*'Plan mensual'!E214+parametros_recargas!$G$75*'Plan mensual'!E215+parametros_recargas!$H$75*'Plan mensual'!E216+parametros_recargas!$I$75*'Plan mensual'!E217+parametros_recargas!$J$75*'Plan mensual'!E218+parametros_recargas!$K$75*'Plan mensual'!E219+parametros_recargas!$L$75*'Plan mensual'!E220+parametros_recargas!$M$75*'Plan mensual'!E222</f>
        <v>1176.0657102483</v>
      </c>
      <c r="D197" s="21" t="n">
        <f aca="false">parametros_recargas!$E$75*'Plan mensual'!F213+parametros_recargas!$F$75*'Plan mensual'!F214+parametros_recargas!$G$75*'Plan mensual'!F215+parametros_recargas!$H$75*'Plan mensual'!F216+parametros_recargas!$I$75*'Plan mensual'!F217+parametros_recargas!$J$75*'Plan mensual'!F218+parametros_recargas!$K$75*'Plan mensual'!F219+parametros_recargas!$L$75*'Plan mensual'!F220+parametros_recargas!$M$75*'Plan mensual'!F222</f>
        <v>1176.0657102483</v>
      </c>
      <c r="E197" s="21" t="n">
        <f aca="false">parametros_recargas!$E$75*'Plan mensual'!G213+parametros_recargas!$F$75*'Plan mensual'!G214+parametros_recargas!$G$75*'Plan mensual'!G215+parametros_recargas!$H$75*'Plan mensual'!G216+parametros_recargas!$I$75*'Plan mensual'!G217+parametros_recargas!$J$75*'Plan mensual'!G218+parametros_recargas!$K$75*'Plan mensual'!G219+parametros_recargas!$L$75*'Plan mensual'!G220+parametros_recargas!$M$75*'Plan mensual'!G222</f>
        <v>1176.0657102483</v>
      </c>
      <c r="F197" s="21" t="n">
        <f aca="false">parametros_recargas!$E$75*'Plan mensual'!H213+parametros_recargas!$F$75*'Plan mensual'!H214+parametros_recargas!$G$75*'Plan mensual'!H215+parametros_recargas!$H$75*'Plan mensual'!H216+parametros_recargas!$I$75*'Plan mensual'!H217+parametros_recargas!$J$75*'Plan mensual'!H218+parametros_recargas!$K$75*'Plan mensual'!H219+parametros_recargas!$L$75*'Plan mensual'!H220+parametros_recargas!$M$75*'Plan mensual'!H222</f>
        <v>1176.0657102483</v>
      </c>
      <c r="G197" s="21" t="n">
        <f aca="false">parametros_recargas!$E$75*'Plan mensual'!I213+parametros_recargas!$F$75*'Plan mensual'!I214+parametros_recargas!$G$75*'Plan mensual'!I215+parametros_recargas!$H$75*'Plan mensual'!I216+parametros_recargas!$I$75*'Plan mensual'!I217+parametros_recargas!$J$75*'Plan mensual'!I218+parametros_recargas!$K$75*'Plan mensual'!I219+parametros_recargas!$L$75*'Plan mensual'!I220+parametros_recargas!$M$75*'Plan mensual'!I222</f>
        <v>1176.0657102483</v>
      </c>
      <c r="H197" s="21" t="n">
        <f aca="false">parametros_recargas!$E$75*'Plan mensual'!J213+parametros_recargas!$F$75*'Plan mensual'!J214+parametros_recargas!$G$75*'Plan mensual'!J215+parametros_recargas!$H$75*'Plan mensual'!J216+parametros_recargas!$I$75*'Plan mensual'!J217+parametros_recargas!$J$75*'Plan mensual'!J218+parametros_recargas!$K$75*'Plan mensual'!J219+parametros_recargas!$L$75*'Plan mensual'!J220+parametros_recargas!$M$75*'Plan mensual'!J222</f>
        <v>1176.0657102483</v>
      </c>
      <c r="I197" s="21" t="n">
        <f aca="false">parametros_recargas!$E$75*'Plan mensual'!K213+parametros_recargas!$F$75*'Plan mensual'!K214+parametros_recargas!$G$75*'Plan mensual'!K215+parametros_recargas!$H$75*'Plan mensual'!K216+parametros_recargas!$I$75*'Plan mensual'!K217+parametros_recargas!$J$75*'Plan mensual'!K218+parametros_recargas!$K$75*'Plan mensual'!K219+parametros_recargas!$L$75*'Plan mensual'!K220+parametros_recargas!$M$75*'Plan mensual'!K222</f>
        <v>1176.0657102483</v>
      </c>
      <c r="J197" s="21" t="n">
        <f aca="false">parametros_recargas!$E$75*'Plan mensual'!L213+parametros_recargas!$F$75*'Plan mensual'!L214+parametros_recargas!$G$75*'Plan mensual'!L215+parametros_recargas!$H$75*'Plan mensual'!L216+parametros_recargas!$I$75*'Plan mensual'!L217+parametros_recargas!$J$75*'Plan mensual'!L218+parametros_recargas!$K$75*'Plan mensual'!L219+parametros_recargas!$L$75*'Plan mensual'!L220+parametros_recargas!$M$75*'Plan mensual'!L222</f>
        <v>1176.0657102483</v>
      </c>
      <c r="K197" s="21" t="n">
        <f aca="false">parametros_recargas!$E$75*'Plan mensual'!M213+parametros_recargas!$F$75*'Plan mensual'!M214+parametros_recargas!$G$75*'Plan mensual'!M215+parametros_recargas!$H$75*'Plan mensual'!M216+parametros_recargas!$I$75*'Plan mensual'!M217+parametros_recargas!$J$75*'Plan mensual'!M218+parametros_recargas!$K$75*'Plan mensual'!M219+parametros_recargas!$L$75*'Plan mensual'!M220+parametros_recargas!$M$75*'Plan mensual'!M222</f>
        <v>1176.0657102483</v>
      </c>
      <c r="L197" s="21" t="n">
        <f aca="false">parametros_recargas!$E$75*'Plan mensual'!N213+parametros_recargas!$F$75*'Plan mensual'!N214+parametros_recargas!$G$75*'Plan mensual'!N215+parametros_recargas!$H$75*'Plan mensual'!N216+parametros_recargas!$I$75*'Plan mensual'!N217+parametros_recargas!$J$75*'Plan mensual'!N218+parametros_recargas!$K$75*'Plan mensual'!N219+parametros_recargas!$L$75*'Plan mensual'!N220+parametros_recargas!$M$75*'Plan mensual'!N222</f>
        <v>1176.0657102483</v>
      </c>
      <c r="M197" s="21" t="n">
        <f aca="false">parametros_recargas!$E$75*'Plan mensual'!O213+parametros_recargas!$F$75*'Plan mensual'!O214+parametros_recargas!$G$75*'Plan mensual'!O215+parametros_recargas!$H$75*'Plan mensual'!O216+parametros_recargas!$I$75*'Plan mensual'!O217+parametros_recargas!$J$75*'Plan mensual'!O218+parametros_recargas!$K$75*'Plan mensual'!O219+parametros_recargas!$L$75*'Plan mensual'!O220+parametros_recargas!$M$75*'Plan mensual'!O222</f>
        <v>1176.0657102483</v>
      </c>
      <c r="N197" s="7" t="n">
        <f aca="false">SUM(B197:M197)</f>
        <v>14112.7885229797</v>
      </c>
      <c r="O197" s="22" t="n">
        <f aca="false">MAX(B197:M197)</f>
        <v>1176.0657102483</v>
      </c>
      <c r="P197" s="12" t="n">
        <f aca="false">O197/parametros_recargas!$B$6</f>
        <v>7.84043806832203</v>
      </c>
    </row>
    <row r="198" customFormat="false" ht="15" hidden="false" customHeight="false" outlineLevel="0" collapsed="false">
      <c r="A198" s="9" t="str">
        <f aca="false">parametros_recargas!$B$76</f>
        <v>Descarga BC</v>
      </c>
      <c r="B198" s="21"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17.377614357389</v>
      </c>
      <c r="C198" s="21"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17.377614357389</v>
      </c>
      <c r="D198" s="21"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17.377614357389</v>
      </c>
      <c r="E198" s="21"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17.377614357389</v>
      </c>
      <c r="F198" s="21"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17.377614357389</v>
      </c>
      <c r="G198" s="21"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17.377614357389</v>
      </c>
      <c r="H198" s="21"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17.377614357389</v>
      </c>
      <c r="I198" s="21"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17.377614357389</v>
      </c>
      <c r="J198" s="21"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17.377614357389</v>
      </c>
      <c r="K198" s="21"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17.377614357389</v>
      </c>
      <c r="L198" s="21"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17.377614357389</v>
      </c>
      <c r="M198" s="21"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17.377614357389</v>
      </c>
      <c r="N198" s="7" t="n">
        <f aca="false">SUM(B198:M198)</f>
        <v>208.531372288667</v>
      </c>
      <c r="O198" s="22" t="n">
        <f aca="false">MAX(B198:M198)</f>
        <v>17.377614357389</v>
      </c>
      <c r="P198" s="12" t="n">
        <f aca="false">O198/parametros_recargas!$B$6</f>
        <v>0.115850762382593</v>
      </c>
    </row>
    <row r="199" customFormat="false" ht="15" hidden="false" customHeight="false" outlineLevel="0" collapsed="false">
      <c r="A199" s="9" t="str">
        <f aca="false">parametros_recargas!$B$77</f>
        <v>Descarga de agua / AFFF / sales K</v>
      </c>
      <c r="B199" s="21"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600.086186877887</v>
      </c>
      <c r="C199" s="21"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600.086186877887</v>
      </c>
      <c r="D199" s="21"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600.086186877887</v>
      </c>
      <c r="E199" s="21"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600.086186877887</v>
      </c>
      <c r="F199" s="21"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600.086186877887</v>
      </c>
      <c r="G199" s="21"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600.086186877887</v>
      </c>
      <c r="H199" s="21"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600.086186877887</v>
      </c>
      <c r="I199" s="21"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600.086186877887</v>
      </c>
      <c r="J199" s="21"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600.086186877887</v>
      </c>
      <c r="K199" s="21"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600.086186877887</v>
      </c>
      <c r="L199" s="21"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600.086186877887</v>
      </c>
      <c r="M199" s="21"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600.086186877887</v>
      </c>
      <c r="N199" s="7" t="n">
        <f aca="false">SUM(B199:M199)</f>
        <v>7201.03424253464</v>
      </c>
      <c r="O199" s="22" t="n">
        <f aca="false">MAX(B199:M199)</f>
        <v>600.086186877887</v>
      </c>
      <c r="P199" s="12" t="n">
        <f aca="false">O199/parametros_recargas!$B$6</f>
        <v>4.00057457918591</v>
      </c>
    </row>
    <row r="200" customFormat="false" ht="15" hidden="false" customHeight="false" outlineLevel="0" collapsed="false">
      <c r="A200" s="9" t="str">
        <f aca="false">parametros_recargas!$B$78</f>
        <v>Recuperación de CO₂</v>
      </c>
      <c r="B200" s="21"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275.74771067582</v>
      </c>
      <c r="C200" s="21"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275.74771067582</v>
      </c>
      <c r="D200" s="21"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275.74771067582</v>
      </c>
      <c r="E200" s="21"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275.74771067582</v>
      </c>
      <c r="F200" s="21"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275.74771067582</v>
      </c>
      <c r="G200" s="21"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275.74771067582</v>
      </c>
      <c r="H200" s="21"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275.74771067582</v>
      </c>
      <c r="I200" s="21"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275.74771067582</v>
      </c>
      <c r="J200" s="21"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275.74771067582</v>
      </c>
      <c r="K200" s="21"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275.74771067582</v>
      </c>
      <c r="L200" s="21"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275.74771067582</v>
      </c>
      <c r="M200" s="21"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275.74771067582</v>
      </c>
      <c r="N200" s="7" t="n">
        <f aca="false">SUM(B200:M200)</f>
        <v>3308.97252810984</v>
      </c>
      <c r="O200" s="22" t="n">
        <f aca="false">MAX(B200:M200)</f>
        <v>275.74771067582</v>
      </c>
      <c r="P200" s="12" t="n">
        <f aca="false">O200/parametros_recargas!$B$6</f>
        <v>1.83831807117213</v>
      </c>
    </row>
    <row r="201" customFormat="false" ht="15" hidden="false" customHeight="false" outlineLevel="0" collapsed="false">
      <c r="A201" s="9" t="str">
        <f aca="false">parametros_recargas!$B$79</f>
        <v>Recuperación de halogenado</v>
      </c>
      <c r="B201" s="21"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11.102861084516</v>
      </c>
      <c r="C201" s="21"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11.102861084516</v>
      </c>
      <c r="D201" s="21"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11.102861084516</v>
      </c>
      <c r="E201" s="21"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11.102861084516</v>
      </c>
      <c r="F201" s="21"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11.102861084516</v>
      </c>
      <c r="G201" s="21"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11.102861084516</v>
      </c>
      <c r="H201" s="21"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11.102861084516</v>
      </c>
      <c r="I201" s="21"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11.102861084516</v>
      </c>
      <c r="J201" s="21"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11.102861084516</v>
      </c>
      <c r="K201" s="21"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11.102861084516</v>
      </c>
      <c r="L201" s="21"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11.102861084516</v>
      </c>
      <c r="M201" s="21"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11.102861084516</v>
      </c>
      <c r="N201" s="7" t="n">
        <f aca="false">SUM(B201:M201)</f>
        <v>133.234333014192</v>
      </c>
      <c r="O201" s="22" t="n">
        <f aca="false">MAX(B201:M201)</f>
        <v>11.102861084516</v>
      </c>
      <c r="P201" s="12" t="n">
        <f aca="false">O201/parametros_recargas!$B$6</f>
        <v>0.0740190738967733</v>
      </c>
    </row>
    <row r="202" customFormat="false" ht="15" hidden="false" customHeight="false" outlineLevel="0" collapsed="false">
      <c r="A202" s="9" t="str">
        <f aca="false">parametros_recargas!$B$80</f>
        <v>Desarme y limpieza — recinto</v>
      </c>
      <c r="B202" s="21"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11793.460900946</v>
      </c>
      <c r="C202" s="21"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11793.460900946</v>
      </c>
      <c r="D202" s="21"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11793.460900946</v>
      </c>
      <c r="E202" s="21"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11793.460900946</v>
      </c>
      <c r="F202" s="21"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11793.460900946</v>
      </c>
      <c r="G202" s="21"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11793.460900946</v>
      </c>
      <c r="H202" s="21"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11793.460900946</v>
      </c>
      <c r="I202" s="21"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11793.460900946</v>
      </c>
      <c r="J202" s="21"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11793.460900946</v>
      </c>
      <c r="K202" s="21"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11793.460900946</v>
      </c>
      <c r="L202" s="21"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11793.460900946</v>
      </c>
      <c r="M202" s="21"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11793.460900946</v>
      </c>
      <c r="N202" s="7" t="n">
        <f aca="false">SUM(B202:M202)</f>
        <v>141521.530811352</v>
      </c>
      <c r="O202" s="22" t="n">
        <f aca="false">MAX(B202:M202)</f>
        <v>11793.460900946</v>
      </c>
      <c r="P202" s="12" t="n">
        <f aca="false">O202/parametros_recargas!$B$6</f>
        <v>78.6230726729735</v>
      </c>
    </row>
    <row r="203" customFormat="false" ht="15" hidden="false" customHeight="false" outlineLevel="0" collapsed="false">
      <c r="A203" s="9" t="str">
        <f aca="false">parametros_recargas!$B$81</f>
        <v>Desarme e inspección interior — zona general</v>
      </c>
      <c r="B203" s="21"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886.936758638223</v>
      </c>
      <c r="C203" s="21"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886.936758638223</v>
      </c>
      <c r="D203" s="21"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886.936758638223</v>
      </c>
      <c r="E203" s="21"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886.936758638223</v>
      </c>
      <c r="F203" s="21"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886.936758638223</v>
      </c>
      <c r="G203" s="21"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886.936758638223</v>
      </c>
      <c r="H203" s="21"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886.936758638223</v>
      </c>
      <c r="I203" s="21"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886.936758638223</v>
      </c>
      <c r="J203" s="21"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886.936758638223</v>
      </c>
      <c r="K203" s="21"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886.936758638223</v>
      </c>
      <c r="L203" s="21"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886.936758638223</v>
      </c>
      <c r="M203" s="21"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886.936758638223</v>
      </c>
      <c r="N203" s="7" t="n">
        <f aca="false">SUM(B203:M203)</f>
        <v>10643.2411036587</v>
      </c>
      <c r="O203" s="22" t="n">
        <f aca="false">MAX(B203:M203)</f>
        <v>886.936758638223</v>
      </c>
      <c r="P203" s="12" t="n">
        <f aca="false">O203/parametros_recargas!$B$6</f>
        <v>5.91291172425482</v>
      </c>
    </row>
    <row r="204" customFormat="false" ht="15" hidden="false" customHeight="false" outlineLevel="0" collapsed="false">
      <c r="A204" s="9" t="str">
        <f aca="false">parametros_recargas!$B$82</f>
        <v>Laboratorio — Puffer y mufla</v>
      </c>
      <c r="B204" s="21"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11.7780347168404</v>
      </c>
      <c r="C204" s="21"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11.7780347168404</v>
      </c>
      <c r="D204" s="21"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11.7780347168404</v>
      </c>
      <c r="E204" s="21"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11.7780347168404</v>
      </c>
      <c r="F204" s="21"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11.7780347168404</v>
      </c>
      <c r="G204" s="21"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11.7780347168404</v>
      </c>
      <c r="H204" s="21"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11.7780347168404</v>
      </c>
      <c r="I204" s="21"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11.7780347168404</v>
      </c>
      <c r="J204" s="21"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11.7780347168404</v>
      </c>
      <c r="K204" s="21"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11.7780347168404</v>
      </c>
      <c r="L204" s="21"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11.7780347168404</v>
      </c>
      <c r="M204" s="21"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11.7780347168404</v>
      </c>
      <c r="N204" s="7" t="n">
        <f aca="false">SUM(B204:M204)</f>
        <v>141.336416602085</v>
      </c>
      <c r="O204" s="22" t="n">
        <f aca="false">MAX(B204:M204)</f>
        <v>11.7780347168404</v>
      </c>
      <c r="P204" s="12" t="n">
        <f aca="false">O204/parametros_recargas!$B$6</f>
        <v>0.0785202314456029</v>
      </c>
    </row>
    <row r="205" customFormat="false" ht="15" hidden="false" customHeight="false" outlineLevel="0" collapsed="false">
      <c r="A205" s="9" t="str">
        <f aca="false">parametros_recargas!$B$83</f>
        <v>Prueba hidráulica</v>
      </c>
      <c r="B205" s="21"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2888.21573103642</v>
      </c>
      <c r="C205" s="21"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2888.21573103642</v>
      </c>
      <c r="D205" s="21"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2888.21573103642</v>
      </c>
      <c r="E205" s="21"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2888.21573103642</v>
      </c>
      <c r="F205" s="21"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2888.21573103642</v>
      </c>
      <c r="G205" s="21"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2888.21573103642</v>
      </c>
      <c r="H205" s="21"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2888.21573103642</v>
      </c>
      <c r="I205" s="21"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2888.21573103642</v>
      </c>
      <c r="J205" s="21"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2888.21573103642</v>
      </c>
      <c r="K205" s="21"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2888.21573103642</v>
      </c>
      <c r="L205" s="21"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2888.21573103642</v>
      </c>
      <c r="M205" s="21"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2888.21573103642</v>
      </c>
      <c r="N205" s="7" t="n">
        <f aca="false">SUM(B205:M205)</f>
        <v>34658.588772437</v>
      </c>
      <c r="O205" s="22" t="n">
        <f aca="false">MAX(B205:M205)</f>
        <v>2888.21573103642</v>
      </c>
      <c r="P205" s="12" t="n">
        <f aca="false">O205/parametros_recargas!$B$6</f>
        <v>19.2547715402428</v>
      </c>
    </row>
    <row r="206" customFormat="false" ht="15" hidden="false" customHeight="false" outlineLevel="0" collapsed="false">
      <c r="A206" s="9" t="str">
        <f aca="false">parametros_recargas!$B$84</f>
        <v>Secado</v>
      </c>
      <c r="B206" s="21"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2706.10724660693</v>
      </c>
      <c r="C206" s="21"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2706.10724660693</v>
      </c>
      <c r="D206" s="21"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2706.10724660693</v>
      </c>
      <c r="E206" s="21"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2706.10724660693</v>
      </c>
      <c r="F206" s="21"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2706.10724660693</v>
      </c>
      <c r="G206" s="21"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2706.10724660693</v>
      </c>
      <c r="H206" s="21"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2706.10724660693</v>
      </c>
      <c r="I206" s="21"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2706.10724660693</v>
      </c>
      <c r="J206" s="21"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2706.10724660693</v>
      </c>
      <c r="K206" s="21"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2706.10724660693</v>
      </c>
      <c r="L206" s="21"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2706.10724660693</v>
      </c>
      <c r="M206" s="21"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2706.10724660693</v>
      </c>
      <c r="N206" s="7" t="n">
        <f aca="false">SUM(B206:M206)</f>
        <v>32473.2869592832</v>
      </c>
      <c r="O206" s="22" t="n">
        <f aca="false">MAX(B206:M206)</f>
        <v>2706.10724660693</v>
      </c>
      <c r="P206" s="12" t="n">
        <f aca="false">O206/parametros_recargas!$B$6</f>
        <v>18.0407149773796</v>
      </c>
    </row>
    <row r="207" customFormat="false" ht="15" hidden="false" customHeight="false" outlineLevel="0" collapsed="false">
      <c r="A207" s="9" t="str">
        <f aca="false">parametros_recargas!$B$85</f>
        <v>Inspección interior con videoscopio</v>
      </c>
      <c r="B207" s="21"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2706.10724660693</v>
      </c>
      <c r="C207" s="21"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2706.10724660693</v>
      </c>
      <c r="D207" s="21"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2706.10724660693</v>
      </c>
      <c r="E207" s="21"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2706.10724660693</v>
      </c>
      <c r="F207" s="21"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2706.10724660693</v>
      </c>
      <c r="G207" s="21"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2706.10724660693</v>
      </c>
      <c r="H207" s="21"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2706.10724660693</v>
      </c>
      <c r="I207" s="21"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2706.10724660693</v>
      </c>
      <c r="J207" s="21"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2706.10724660693</v>
      </c>
      <c r="K207" s="21"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2706.10724660693</v>
      </c>
      <c r="L207" s="21"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2706.10724660693</v>
      </c>
      <c r="M207" s="21"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2706.10724660693</v>
      </c>
      <c r="N207" s="7" t="n">
        <f aca="false">SUM(B207:M207)</f>
        <v>32473.2869592832</v>
      </c>
      <c r="O207" s="22" t="n">
        <f aca="false">MAX(B207:M207)</f>
        <v>2706.10724660693</v>
      </c>
      <c r="P207" s="12" t="n">
        <f aca="false">O207/parametros_recargas!$B$6</f>
        <v>18.0407149773796</v>
      </c>
    </row>
    <row r="208" customFormat="false" ht="15" hidden="false" customHeight="false" outlineLevel="0" collapsed="false">
      <c r="A208" s="9" t="str">
        <f aca="false">parametros_recargas!$B$86</f>
        <v>Pintura</v>
      </c>
      <c r="B208" s="21"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1354.09493748653</v>
      </c>
      <c r="C208" s="21"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1354.09493748653</v>
      </c>
      <c r="D208" s="21"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1354.09493748653</v>
      </c>
      <c r="E208" s="21"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1354.09493748653</v>
      </c>
      <c r="F208" s="21"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1354.09493748653</v>
      </c>
      <c r="G208" s="21"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1354.09493748653</v>
      </c>
      <c r="H208" s="21"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1354.09493748653</v>
      </c>
      <c r="I208" s="21"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1354.09493748653</v>
      </c>
      <c r="J208" s="21"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1354.09493748653</v>
      </c>
      <c r="K208" s="21"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1354.09493748653</v>
      </c>
      <c r="L208" s="21"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1354.09493748653</v>
      </c>
      <c r="M208" s="21"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1354.09493748653</v>
      </c>
      <c r="N208" s="7" t="n">
        <f aca="false">SUM(B208:M208)</f>
        <v>16249.1392498383</v>
      </c>
      <c r="O208" s="22" t="n">
        <f aca="false">MAX(B208:M208)</f>
        <v>1354.09493748653</v>
      </c>
      <c r="P208" s="12" t="n">
        <f aca="false">O208/parametros_recargas!$B$6</f>
        <v>9.0272995832435</v>
      </c>
    </row>
    <row r="209" customFormat="false" ht="15" hidden="false" customHeight="false" outlineLevel="0" collapsed="false">
      <c r="A209" s="9" t="str">
        <f aca="false">parametros_recargas!$B$87</f>
        <v>Carga de polvo ABC</v>
      </c>
      <c r="B209" s="21"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11776.360702483</v>
      </c>
      <c r="C209" s="21"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11773.302302483</v>
      </c>
      <c r="D209" s="21"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11774.213902483</v>
      </c>
      <c r="E209" s="21"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11774.213902483</v>
      </c>
      <c r="F209" s="21"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11773.478702483</v>
      </c>
      <c r="G209" s="21"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11772.625902483</v>
      </c>
      <c r="H209" s="21"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11773.478702483</v>
      </c>
      <c r="I209" s="21"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11773.478702483</v>
      </c>
      <c r="J209" s="21"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11773.419902483</v>
      </c>
      <c r="K209" s="21"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11772.567102483</v>
      </c>
      <c r="L209" s="21"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11771.773102483</v>
      </c>
      <c r="M209" s="21"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11777.772302483</v>
      </c>
      <c r="N209" s="7" t="n">
        <f aca="false">SUM(B209:M209)</f>
        <v>141286.685229797</v>
      </c>
      <c r="O209" s="22" t="n">
        <f aca="false">MAX(B209:M209)</f>
        <v>11777.772302483</v>
      </c>
      <c r="P209" s="12" t="n">
        <f aca="false">O209/parametros_recargas!$B$6</f>
        <v>78.5184820165536</v>
      </c>
    </row>
    <row r="210" customFormat="false" ht="15" hidden="false" customHeight="false" outlineLevel="0" collapsed="false">
      <c r="A210" s="9" t="str">
        <f aca="false">parametros_recargas!$B$88</f>
        <v>Carga de polvo BC</v>
      </c>
      <c r="B210" s="21"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17.377614357389</v>
      </c>
      <c r="C210" s="21"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17.377614357389</v>
      </c>
      <c r="D210" s="21"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17.377614357389</v>
      </c>
      <c r="E210" s="21"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17.377614357389</v>
      </c>
      <c r="F210" s="21"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17.377614357389</v>
      </c>
      <c r="G210" s="21"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17.377614357389</v>
      </c>
      <c r="H210" s="21"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17.377614357389</v>
      </c>
      <c r="I210" s="21"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17.377614357389</v>
      </c>
      <c r="J210" s="21"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17.377614357389</v>
      </c>
      <c r="K210" s="21"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17.377614357389</v>
      </c>
      <c r="L210" s="21"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17.377614357389</v>
      </c>
      <c r="M210" s="21"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17.377614357389</v>
      </c>
      <c r="N210" s="7" t="n">
        <f aca="false">SUM(B210:M210)</f>
        <v>208.531372288667</v>
      </c>
      <c r="O210" s="22" t="n">
        <f aca="false">MAX(B210:M210)</f>
        <v>17.377614357389</v>
      </c>
      <c r="P210" s="12" t="n">
        <f aca="false">O210/parametros_recargas!$B$6</f>
        <v>0.115850762382593</v>
      </c>
    </row>
    <row r="211" customFormat="false" ht="15" hidden="false" customHeight="false" outlineLevel="0" collapsed="false">
      <c r="A211" s="9" t="str">
        <f aca="false">parametros_recargas!$B$89</f>
        <v>Descarga y carga Clase D</v>
      </c>
      <c r="B211" s="21"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15.4261841055938</v>
      </c>
      <c r="C211" s="21"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15.4261841055938</v>
      </c>
      <c r="D211" s="21"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15.4261841055938</v>
      </c>
      <c r="E211" s="21"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15.4261841055938</v>
      </c>
      <c r="F211" s="21"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15.4261841055938</v>
      </c>
      <c r="G211" s="21"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15.4261841055938</v>
      </c>
      <c r="H211" s="21"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15.4261841055938</v>
      </c>
      <c r="I211" s="21"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15.4261841055938</v>
      </c>
      <c r="J211" s="21"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15.4261841055938</v>
      </c>
      <c r="K211" s="21"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15.4261841055938</v>
      </c>
      <c r="L211" s="21"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15.4261841055938</v>
      </c>
      <c r="M211" s="21"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15.4261841055938</v>
      </c>
      <c r="N211" s="7" t="n">
        <f aca="false">SUM(B211:M211)</f>
        <v>185.114209267126</v>
      </c>
      <c r="O211" s="22" t="n">
        <f aca="false">MAX(B211:M211)</f>
        <v>15.4261841055938</v>
      </c>
      <c r="P211" s="12" t="n">
        <f aca="false">O211/parametros_recargas!$B$6</f>
        <v>0.102841227370625</v>
      </c>
    </row>
    <row r="212" customFormat="false" ht="15" hidden="false" customHeight="false" outlineLevel="0" collapsed="false">
      <c r="A212" s="9" t="str">
        <f aca="false">parametros_recargas!$B$90</f>
        <v>Carga de agua / AFFF / sales K</v>
      </c>
      <c r="B212" s="21"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600.086186877887</v>
      </c>
      <c r="C212" s="21"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600.086186877887</v>
      </c>
      <c r="D212" s="21"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600.086186877887</v>
      </c>
      <c r="E212" s="21"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600.086186877887</v>
      </c>
      <c r="F212" s="21"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600.086186877887</v>
      </c>
      <c r="G212" s="21"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600.086186877887</v>
      </c>
      <c r="H212" s="21"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600.086186877887</v>
      </c>
      <c r="I212" s="21"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600.086186877887</v>
      </c>
      <c r="J212" s="21"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600.086186877887</v>
      </c>
      <c r="K212" s="21"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600.086186877887</v>
      </c>
      <c r="L212" s="21"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600.086186877887</v>
      </c>
      <c r="M212" s="21"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600.086186877887</v>
      </c>
      <c r="N212" s="7" t="n">
        <f aca="false">SUM(B212:M212)</f>
        <v>7201.03424253464</v>
      </c>
      <c r="O212" s="22" t="n">
        <f aca="false">MAX(B212:M212)</f>
        <v>600.086186877887</v>
      </c>
      <c r="P212" s="12" t="n">
        <f aca="false">O212/parametros_recargas!$B$6</f>
        <v>4.00057457918591</v>
      </c>
    </row>
    <row r="213" customFormat="false" ht="15" hidden="false" customHeight="false" outlineLevel="0" collapsed="false">
      <c r="A213" s="9" t="str">
        <f aca="false">parametros_recargas!$B$91</f>
        <v>Carga de CO₂</v>
      </c>
      <c r="B213" s="21"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330.897252810984</v>
      </c>
      <c r="C213" s="21"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330.897252810984</v>
      </c>
      <c r="D213" s="21"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330.897252810984</v>
      </c>
      <c r="E213" s="21"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330.897252810984</v>
      </c>
      <c r="F213" s="21"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330.897252810984</v>
      </c>
      <c r="G213" s="21"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330.897252810984</v>
      </c>
      <c r="H213" s="21"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330.897252810984</v>
      </c>
      <c r="I213" s="21"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330.897252810984</v>
      </c>
      <c r="J213" s="21"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330.897252810984</v>
      </c>
      <c r="K213" s="21"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330.897252810984</v>
      </c>
      <c r="L213" s="21"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330.897252810984</v>
      </c>
      <c r="M213" s="21"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330.897252810984</v>
      </c>
      <c r="N213" s="7" t="n">
        <f aca="false">SUM(B213:M213)</f>
        <v>3970.76703373181</v>
      </c>
      <c r="O213" s="22" t="n">
        <f aca="false">MAX(B213:M213)</f>
        <v>330.897252810984</v>
      </c>
      <c r="P213" s="12" t="n">
        <f aca="false">O213/parametros_recargas!$B$6</f>
        <v>2.20598168540656</v>
      </c>
    </row>
    <row r="214" customFormat="false" ht="15" hidden="false" customHeight="false" outlineLevel="0" collapsed="false">
      <c r="A214" s="9" t="str">
        <f aca="false">parametros_recargas!$B$92</f>
        <v>Ensamblaje y marbete — recinto</v>
      </c>
      <c r="B214" s="21"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11809.164500946</v>
      </c>
      <c r="C214" s="21"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11806.106100946</v>
      </c>
      <c r="D214" s="21"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11807.017700946</v>
      </c>
      <c r="E214" s="21"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11807.017700946</v>
      </c>
      <c r="F214" s="21"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11806.282500946</v>
      </c>
      <c r="G214" s="21"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11805.429700946</v>
      </c>
      <c r="H214" s="21"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11806.282500946</v>
      </c>
      <c r="I214" s="21"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11806.282500946</v>
      </c>
      <c r="J214" s="21"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11806.223700946</v>
      </c>
      <c r="K214" s="21"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11805.370900946</v>
      </c>
      <c r="L214" s="21"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11804.576900946</v>
      </c>
      <c r="M214" s="21"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11810.576100946</v>
      </c>
      <c r="N214" s="7" t="n">
        <f aca="false">SUM(B214:M214)</f>
        <v>141680.330811352</v>
      </c>
      <c r="O214" s="22" t="n">
        <f aca="false">MAX(B214:M214)</f>
        <v>11810.576100946</v>
      </c>
      <c r="P214" s="12" t="n">
        <f aca="false">O214/parametros_recargas!$B$6</f>
        <v>78.7371740063068</v>
      </c>
    </row>
    <row r="215" customFormat="false" ht="15" hidden="false" customHeight="false" outlineLevel="0" collapsed="false">
      <c r="A215" s="9" t="str">
        <f aca="false">parametros_recargas!$B$93</f>
        <v>Presurización — recinto</v>
      </c>
      <c r="B215" s="21"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11809.164500946</v>
      </c>
      <c r="C215" s="21"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11806.106100946</v>
      </c>
      <c r="D215" s="21"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11807.017700946</v>
      </c>
      <c r="E215" s="21"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11807.017700946</v>
      </c>
      <c r="F215" s="21"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11806.282500946</v>
      </c>
      <c r="G215" s="21"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11805.429700946</v>
      </c>
      <c r="H215" s="21"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11806.282500946</v>
      </c>
      <c r="I215" s="21"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11806.282500946</v>
      </c>
      <c r="J215" s="21"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11806.223700946</v>
      </c>
      <c r="K215" s="21"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11805.370900946</v>
      </c>
      <c r="L215" s="21"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11804.576900946</v>
      </c>
      <c r="M215" s="21"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11810.576100946</v>
      </c>
      <c r="N215" s="7" t="n">
        <f aca="false">SUM(B215:M215)</f>
        <v>141680.330811352</v>
      </c>
      <c r="O215" s="22" t="n">
        <f aca="false">MAX(B215:M215)</f>
        <v>11810.576100946</v>
      </c>
      <c r="P215" s="12" t="n">
        <f aca="false">O215/parametros_recargas!$B$6</f>
        <v>78.7371740063068</v>
      </c>
    </row>
    <row r="216" customFormat="false" ht="15" hidden="false" customHeight="false" outlineLevel="0" collapsed="false">
      <c r="A216" s="9" t="str">
        <f aca="false">parametros_recargas!$B$94</f>
        <v>Ensamblaje y presurización — zona general</v>
      </c>
      <c r="B216" s="21"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886.936758638223</v>
      </c>
      <c r="C216" s="21"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886.936758638223</v>
      </c>
      <c r="D216" s="21"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886.936758638223</v>
      </c>
      <c r="E216" s="21"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886.936758638223</v>
      </c>
      <c r="F216" s="21"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886.936758638223</v>
      </c>
      <c r="G216" s="21"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886.936758638223</v>
      </c>
      <c r="H216" s="21"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886.936758638223</v>
      </c>
      <c r="I216" s="21"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886.936758638223</v>
      </c>
      <c r="J216" s="21"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886.936758638223</v>
      </c>
      <c r="K216" s="21"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886.936758638223</v>
      </c>
      <c r="L216" s="21"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886.936758638223</v>
      </c>
      <c r="M216" s="21"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886.936758638223</v>
      </c>
      <c r="N216" s="7" t="n">
        <f aca="false">SUM(B216:M216)</f>
        <v>10643.2411036587</v>
      </c>
      <c r="O216" s="22" t="n">
        <f aca="false">MAX(B216:M216)</f>
        <v>886.936758638223</v>
      </c>
      <c r="P216" s="12" t="n">
        <f aca="false">O216/parametros_recargas!$B$6</f>
        <v>5.91291172425482</v>
      </c>
    </row>
    <row r="217" customFormat="false" ht="15" hidden="false" customHeight="false" outlineLevel="0" collapsed="false">
      <c r="A217" s="9" t="str">
        <f aca="false">parametros_recargas!$B$95</f>
        <v>Carga y presurización de halogenado</v>
      </c>
      <c r="B217" s="21"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11.102861084516</v>
      </c>
      <c r="C217" s="21"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11.102861084516</v>
      </c>
      <c r="D217" s="21"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11.102861084516</v>
      </c>
      <c r="E217" s="21"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11.102861084516</v>
      </c>
      <c r="F217" s="21"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11.102861084516</v>
      </c>
      <c r="G217" s="21"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11.102861084516</v>
      </c>
      <c r="H217" s="21"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11.102861084516</v>
      </c>
      <c r="I217" s="21"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11.102861084516</v>
      </c>
      <c r="J217" s="21"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11.102861084516</v>
      </c>
      <c r="K217" s="21"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11.102861084516</v>
      </c>
      <c r="L217" s="21"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11.102861084516</v>
      </c>
      <c r="M217" s="21"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11.102861084516</v>
      </c>
      <c r="N217" s="7" t="n">
        <f aca="false">SUM(B217:M217)</f>
        <v>133.234333014192</v>
      </c>
      <c r="O217" s="22" t="n">
        <f aca="false">MAX(B217:M217)</f>
        <v>11.102861084516</v>
      </c>
      <c r="P217" s="12" t="n">
        <f aca="false">O217/parametros_recargas!$B$6</f>
        <v>0.0740190738967733</v>
      </c>
    </row>
    <row r="218" customFormat="false" ht="15" hidden="false" customHeight="false" outlineLevel="0" collapsed="false">
      <c r="A218" s="9" t="str">
        <f aca="false">parametros_recargas!$B$96</f>
        <v>Control de peso (CO₂ y halogenados sin recarga)</v>
      </c>
      <c r="B218" s="21"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805.402173145844</v>
      </c>
      <c r="C218" s="21"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805.402173145844</v>
      </c>
      <c r="D218" s="21"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805.402173145844</v>
      </c>
      <c r="E218" s="21"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805.402173145844</v>
      </c>
      <c r="F218" s="21"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805.402173145844</v>
      </c>
      <c r="G218" s="21"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805.402173145844</v>
      </c>
      <c r="H218" s="21"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805.402173145844</v>
      </c>
      <c r="I218" s="21"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805.402173145844</v>
      </c>
      <c r="J218" s="21"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805.402173145844</v>
      </c>
      <c r="K218" s="21"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805.402173145844</v>
      </c>
      <c r="L218" s="21"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805.402173145844</v>
      </c>
      <c r="M218" s="21"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805.402173145844</v>
      </c>
      <c r="N218" s="7" t="n">
        <f aca="false">SUM(B218:M218)</f>
        <v>9664.82607775013</v>
      </c>
      <c r="O218" s="22" t="n">
        <f aca="false">MAX(B218:M218)</f>
        <v>805.402173145844</v>
      </c>
      <c r="P218" s="12" t="n">
        <f aca="false">O218/parametros_recargas!$B$6</f>
        <v>5.36934782097229</v>
      </c>
    </row>
    <row r="219" customFormat="false" ht="15" hidden="false" customHeight="false" outlineLevel="0" collapsed="false">
      <c r="A219" s="9" t="str">
        <f aca="false">parametros_recargas!$B$97</f>
        <v>Ensayo de pérdidas</v>
      </c>
      <c r="B219" s="21"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13556.6529748653</v>
      </c>
      <c r="C219" s="21"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13553.5945748653</v>
      </c>
      <c r="D219" s="21"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13554.5061748653</v>
      </c>
      <c r="E219" s="21"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13554.5061748653</v>
      </c>
      <c r="F219" s="21"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13553.7709748653</v>
      </c>
      <c r="G219" s="21"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13552.9181748653</v>
      </c>
      <c r="H219" s="21"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13553.7709748653</v>
      </c>
      <c r="I219" s="21"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13553.7709748653</v>
      </c>
      <c r="J219" s="21"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13553.7121748653</v>
      </c>
      <c r="K219" s="21"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13552.8593748653</v>
      </c>
      <c r="L219" s="21"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13552.0653748653</v>
      </c>
      <c r="M219" s="21"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13558.0645748653</v>
      </c>
      <c r="N219" s="7" t="n">
        <f aca="false">SUM(B219:M219)</f>
        <v>162650.192498383</v>
      </c>
      <c r="O219" s="22" t="n">
        <f aca="false">MAX(B219:M219)</f>
        <v>13558.0645748653</v>
      </c>
      <c r="P219" s="12" t="n">
        <f aca="false">O219/parametros_recargas!$B$6</f>
        <v>90.3870971657684</v>
      </c>
    </row>
    <row r="220" customFormat="false" ht="15" hidden="false" customHeight="false" outlineLevel="0" collapsed="false">
      <c r="A220" s="9" t="str">
        <f aca="false">parametros_recargas!$B$98</f>
        <v>Precinto, etiqueta y despacho</v>
      </c>
      <c r="B220" s="21"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13556.6529748653</v>
      </c>
      <c r="C220" s="21"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13553.5945748653</v>
      </c>
      <c r="D220" s="21"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13554.5061748653</v>
      </c>
      <c r="E220" s="21"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13554.5061748653</v>
      </c>
      <c r="F220" s="21"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13553.7709748653</v>
      </c>
      <c r="G220" s="21"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13552.9181748653</v>
      </c>
      <c r="H220" s="21"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13553.7709748653</v>
      </c>
      <c r="I220" s="21"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13553.7709748653</v>
      </c>
      <c r="J220" s="21"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13553.7121748653</v>
      </c>
      <c r="K220" s="21"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13552.8593748653</v>
      </c>
      <c r="L220" s="21"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13552.0653748653</v>
      </c>
      <c r="M220" s="21"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13558.0645748653</v>
      </c>
      <c r="N220" s="7" t="n">
        <f aca="false">SUM(B220:M220)</f>
        <v>162650.192498383</v>
      </c>
      <c r="O220" s="22" t="n">
        <f aca="false">MAX(B220:M220)</f>
        <v>13558.0645748653</v>
      </c>
      <c r="P220" s="12" t="n">
        <f aca="false">O220/parametros_recargas!$B$6</f>
        <v>90.3870971657684</v>
      </c>
    </row>
    <row r="221" customFormat="false" ht="15" hidden="false" customHeight="false" outlineLevel="0" collapsed="false">
      <c r="A221" s="9" t="str">
        <f aca="false">parametros_recargas!$B$99</f>
        <v>Inutilización y disposición final</v>
      </c>
      <c r="B221" s="21"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1064.8927692775</v>
      </c>
      <c r="C221" s="21"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1064.8927692775</v>
      </c>
      <c r="D221" s="21"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1064.8927692775</v>
      </c>
      <c r="E221" s="21"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1064.8927692775</v>
      </c>
      <c r="F221" s="21"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1064.8927692775</v>
      </c>
      <c r="G221" s="21"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1064.8927692775</v>
      </c>
      <c r="H221" s="21"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1064.8927692775</v>
      </c>
      <c r="I221" s="21"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1064.8927692775</v>
      </c>
      <c r="J221" s="21"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1064.8927692775</v>
      </c>
      <c r="K221" s="21"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1064.8927692775</v>
      </c>
      <c r="L221" s="21"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1064.8927692775</v>
      </c>
      <c r="M221" s="21"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1064.8927692775</v>
      </c>
      <c r="N221" s="7" t="n">
        <f aca="false">SUM(B221:M221)</f>
        <v>12778.71323133</v>
      </c>
      <c r="O221" s="22" t="n">
        <f aca="false">MAX(B221:M221)</f>
        <v>1064.8927692775</v>
      </c>
      <c r="P221" s="12" t="n">
        <f aca="false">O221/parametros_recargas!$B$6</f>
        <v>7.09928512851666</v>
      </c>
    </row>
    <row r="222" customFormat="false" ht="15" hidden="false" customHeight="false" outlineLevel="0" collapsed="false">
      <c r="A222" s="9" t="str">
        <f aca="false">parametros_recargas!$B$100</f>
        <v>PH de mangueras (CO₂ y rodantes)</v>
      </c>
      <c r="B222" s="21" t="n">
        <f aca="false">'Plan mensual'!D221</f>
        <v>452.217615138974</v>
      </c>
      <c r="C222" s="21" t="n">
        <f aca="false">'Plan mensual'!E221</f>
        <v>452.217615138974</v>
      </c>
      <c r="D222" s="21" t="n">
        <f aca="false">'Plan mensual'!F221</f>
        <v>452.217615138974</v>
      </c>
      <c r="E222" s="21" t="n">
        <f aca="false">'Plan mensual'!G221</f>
        <v>452.217615138974</v>
      </c>
      <c r="F222" s="21" t="n">
        <f aca="false">'Plan mensual'!H221</f>
        <v>452.217615138974</v>
      </c>
      <c r="G222" s="21" t="n">
        <f aca="false">'Plan mensual'!I221</f>
        <v>452.217615138974</v>
      </c>
      <c r="H222" s="21" t="n">
        <f aca="false">'Plan mensual'!J221</f>
        <v>452.217615138974</v>
      </c>
      <c r="I222" s="21" t="n">
        <f aca="false">'Plan mensual'!K221</f>
        <v>452.217615138974</v>
      </c>
      <c r="J222" s="21" t="n">
        <f aca="false">'Plan mensual'!L221</f>
        <v>452.217615138974</v>
      </c>
      <c r="K222" s="21" t="n">
        <f aca="false">'Plan mensual'!M221</f>
        <v>452.217615138974</v>
      </c>
      <c r="L222" s="21" t="n">
        <f aca="false">'Plan mensual'!N221</f>
        <v>452.217615138974</v>
      </c>
      <c r="M222" s="21" t="n">
        <f aca="false">'Plan mensual'!O221</f>
        <v>452.217615138974</v>
      </c>
      <c r="N222" s="7" t="n">
        <f aca="false">SUM(B222:M222)</f>
        <v>5426.61138166768</v>
      </c>
      <c r="O222" s="22" t="n">
        <f aca="false">MAX(B222:M222)</f>
        <v>452.217615138974</v>
      </c>
      <c r="P222" s="12" t="n">
        <f aca="false">O222/parametros_recargas!$B$6</f>
        <v>3.01478410092649</v>
      </c>
    </row>
    <row r="225" customFormat="false" ht="23.85" hidden="false" customHeight="false" outlineLevel="0" collapsed="false">
      <c r="A225" s="3" t="s">
        <v>370</v>
      </c>
      <c r="B225" s="3" t="s">
        <v>147</v>
      </c>
      <c r="C225" s="3" t="s">
        <v>148</v>
      </c>
      <c r="D225" s="3" t="s">
        <v>149</v>
      </c>
      <c r="E225" s="3" t="s">
        <v>150</v>
      </c>
      <c r="F225" s="3" t="s">
        <v>151</v>
      </c>
      <c r="G225" s="3" t="s">
        <v>152</v>
      </c>
      <c r="H225" s="3" t="s">
        <v>153</v>
      </c>
      <c r="I225" s="3" t="s">
        <v>154</v>
      </c>
      <c r="J225" s="3" t="s">
        <v>155</v>
      </c>
      <c r="K225" s="3" t="s">
        <v>156</v>
      </c>
      <c r="L225" s="3" t="s">
        <v>157</v>
      </c>
      <c r="M225" s="3" t="s">
        <v>158</v>
      </c>
      <c r="N225" s="3" t="s">
        <v>361</v>
      </c>
      <c r="O225" s="3" t="s">
        <v>362</v>
      </c>
      <c r="P225" s="3" t="s">
        <v>363</v>
      </c>
    </row>
    <row r="226" customFormat="false" ht="15" hidden="false" customHeight="false" outlineLevel="0" collapsed="false">
      <c r="A226" s="9" t="str">
        <f aca="false">parametros_recargas!$B$72</f>
        <v>Recepción y registro</v>
      </c>
      <c r="B226" s="21" t="n">
        <f aca="false">parametros_recargas!$E$72*'Plan mensual'!D245+parametros_recargas!$F$72*'Plan mensual'!D246+parametros_recargas!$G$72*'Plan mensual'!D247+parametros_recargas!$H$72*'Plan mensual'!D248+parametros_recargas!$I$72*'Plan mensual'!D249+parametros_recargas!$J$72*'Plan mensual'!D250+parametros_recargas!$K$72*'Plan mensual'!D251+parametros_recargas!$L$72*'Plan mensual'!D252+parametros_recargas!$M$72*'Plan mensual'!D254</f>
        <v>15405.0651840041</v>
      </c>
      <c r="C226" s="21" t="n">
        <f aca="false">parametros_recargas!$E$72*'Plan mensual'!E245+parametros_recargas!$F$72*'Plan mensual'!E246+parametros_recargas!$G$72*'Plan mensual'!E247+parametros_recargas!$H$72*'Plan mensual'!E248+parametros_recargas!$I$72*'Plan mensual'!E249+parametros_recargas!$J$72*'Plan mensual'!E250+parametros_recargas!$K$72*'Plan mensual'!E251+parametros_recargas!$L$72*'Plan mensual'!E252+parametros_recargas!$M$72*'Plan mensual'!E254</f>
        <v>15402.3019840041</v>
      </c>
      <c r="D226" s="21" t="n">
        <f aca="false">parametros_recargas!$E$72*'Plan mensual'!F245+parametros_recargas!$F$72*'Plan mensual'!F246+parametros_recargas!$G$72*'Plan mensual'!F247+parametros_recargas!$H$72*'Plan mensual'!F248+parametros_recargas!$I$72*'Plan mensual'!F249+parametros_recargas!$J$72*'Plan mensual'!F250+parametros_recargas!$K$72*'Plan mensual'!F251+parametros_recargas!$L$72*'Plan mensual'!F252+parametros_recargas!$M$72*'Plan mensual'!F254</f>
        <v>15403.2207840041</v>
      </c>
      <c r="E226" s="21" t="n">
        <f aca="false">parametros_recargas!$E$72*'Plan mensual'!G245+parametros_recargas!$F$72*'Plan mensual'!G246+parametros_recargas!$G$72*'Plan mensual'!G247+parametros_recargas!$H$72*'Plan mensual'!G248+parametros_recargas!$I$72*'Plan mensual'!G249+parametros_recargas!$J$72*'Plan mensual'!G250+parametros_recargas!$K$72*'Plan mensual'!G251+parametros_recargas!$L$72*'Plan mensual'!G252+parametros_recargas!$M$72*'Plan mensual'!G254</f>
        <v>15403.2207840041</v>
      </c>
      <c r="F226" s="21" t="n">
        <f aca="false">parametros_recargas!$E$72*'Plan mensual'!H245+parametros_recargas!$F$72*'Plan mensual'!H246+parametros_recargas!$G$72*'Plan mensual'!H247+parametros_recargas!$H$72*'Plan mensual'!H248+parametros_recargas!$I$72*'Plan mensual'!H249+parametros_recargas!$J$72*'Plan mensual'!H250+parametros_recargas!$K$72*'Plan mensual'!H251+parametros_recargas!$L$72*'Plan mensual'!H252+parametros_recargas!$M$72*'Plan mensual'!H254</f>
        <v>15402.5755840041</v>
      </c>
      <c r="G226" s="21" t="n">
        <f aca="false">parametros_recargas!$E$72*'Plan mensual'!I245+parametros_recargas!$F$72*'Plan mensual'!I246+parametros_recargas!$G$72*'Plan mensual'!I247+parametros_recargas!$H$72*'Plan mensual'!I248+parametros_recargas!$I$72*'Plan mensual'!I249+parametros_recargas!$J$72*'Plan mensual'!I250+parametros_recargas!$K$72*'Plan mensual'!I251+parametros_recargas!$L$72*'Plan mensual'!I252+parametros_recargas!$M$72*'Plan mensual'!I254</f>
        <v>15401.7479840041</v>
      </c>
      <c r="H226" s="21" t="n">
        <f aca="false">parametros_recargas!$E$72*'Plan mensual'!J245+parametros_recargas!$F$72*'Plan mensual'!J246+parametros_recargas!$G$72*'Plan mensual'!J247+parametros_recargas!$H$72*'Plan mensual'!J248+parametros_recargas!$I$72*'Plan mensual'!J249+parametros_recargas!$J$72*'Plan mensual'!J250+parametros_recargas!$K$72*'Plan mensual'!J251+parametros_recargas!$L$72*'Plan mensual'!J252+parametros_recargas!$M$72*'Plan mensual'!J254</f>
        <v>15402.5755840041</v>
      </c>
      <c r="I226" s="21" t="n">
        <f aca="false">parametros_recargas!$E$72*'Plan mensual'!K245+parametros_recargas!$F$72*'Plan mensual'!K246+parametros_recargas!$G$72*'Plan mensual'!K247+parametros_recargas!$H$72*'Plan mensual'!K248+parametros_recargas!$I$72*'Plan mensual'!K249+parametros_recargas!$J$72*'Plan mensual'!K250+parametros_recargas!$K$72*'Plan mensual'!K251+parametros_recargas!$L$72*'Plan mensual'!K252+parametros_recargas!$M$72*'Plan mensual'!K254</f>
        <v>15402.5755840041</v>
      </c>
      <c r="J226" s="21" t="n">
        <f aca="false">parametros_recargas!$E$72*'Plan mensual'!L245+parametros_recargas!$F$72*'Plan mensual'!L246+parametros_recargas!$G$72*'Plan mensual'!L247+parametros_recargas!$H$72*'Plan mensual'!L248+parametros_recargas!$I$72*'Plan mensual'!L249+parametros_recargas!$J$72*'Plan mensual'!L250+parametros_recargas!$K$72*'Plan mensual'!L251+parametros_recargas!$L$72*'Plan mensual'!L252+parametros_recargas!$M$72*'Plan mensual'!L254</f>
        <v>15402.4843840041</v>
      </c>
      <c r="K226" s="21" t="n">
        <f aca="false">parametros_recargas!$E$72*'Plan mensual'!M245+parametros_recargas!$F$72*'Plan mensual'!M246+parametros_recargas!$G$72*'Plan mensual'!M247+parametros_recargas!$H$72*'Plan mensual'!M248+parametros_recargas!$I$72*'Plan mensual'!M249+parametros_recargas!$J$72*'Plan mensual'!M250+parametros_recargas!$K$72*'Plan mensual'!M251+parametros_recargas!$L$72*'Plan mensual'!M252+parametros_recargas!$M$72*'Plan mensual'!M254</f>
        <v>15401.6567840041</v>
      </c>
      <c r="L226" s="21" t="n">
        <f aca="false">parametros_recargas!$E$72*'Plan mensual'!N245+parametros_recargas!$F$72*'Plan mensual'!N246+parametros_recargas!$G$72*'Plan mensual'!N247+parametros_recargas!$H$72*'Plan mensual'!N248+parametros_recargas!$I$72*'Plan mensual'!N249+parametros_recargas!$J$72*'Plan mensual'!N250+parametros_recargas!$K$72*'Plan mensual'!N251+parametros_recargas!$L$72*'Plan mensual'!N252+parametros_recargas!$M$72*'Plan mensual'!N254</f>
        <v>15400.9203840041</v>
      </c>
      <c r="M226" s="21" t="n">
        <f aca="false">parametros_recargas!$E$72*'Plan mensual'!O245+parametros_recargas!$F$72*'Plan mensual'!O246+parametros_recargas!$G$72*'Plan mensual'!O247+parametros_recargas!$H$72*'Plan mensual'!O248+parametros_recargas!$I$72*'Plan mensual'!O249+parametros_recargas!$J$72*'Plan mensual'!O250+parametros_recargas!$K$72*'Plan mensual'!O251+parametros_recargas!$L$72*'Plan mensual'!O252+parametros_recargas!$M$72*'Plan mensual'!O254</f>
        <v>15406.2643840041</v>
      </c>
      <c r="N226" s="7" t="n">
        <f aca="false">SUM(B226:M226)</f>
        <v>184834.609408049</v>
      </c>
      <c r="O226" s="22" t="n">
        <f aca="false">MAX(B226:M226)</f>
        <v>15406.2643840041</v>
      </c>
      <c r="P226" s="12" t="n">
        <f aca="false">O226/parametros_recargas!$B$6</f>
        <v>102.708429226694</v>
      </c>
    </row>
    <row r="227" customFormat="false" ht="15" hidden="false" customHeight="false" outlineLevel="0" collapsed="false">
      <c r="A227" s="9" t="str">
        <f aca="false">parametros_recargas!$B$73</f>
        <v>Inspección visual</v>
      </c>
      <c r="B227" s="21" t="n">
        <f aca="false">parametros_recargas!$E$73*'Plan mensual'!D245+parametros_recargas!$F$73*'Plan mensual'!D246+parametros_recargas!$G$73*'Plan mensual'!D247+parametros_recargas!$H$73*'Plan mensual'!D248+parametros_recargas!$I$73*'Plan mensual'!D249+parametros_recargas!$J$73*'Plan mensual'!D250+parametros_recargas!$K$73*'Plan mensual'!D251+parametros_recargas!$L$73*'Plan mensual'!D252+parametros_recargas!$M$73*'Plan mensual'!D254</f>
        <v>15390.6107840041</v>
      </c>
      <c r="C227" s="21" t="n">
        <f aca="false">parametros_recargas!$E$73*'Plan mensual'!E245+parametros_recargas!$F$73*'Plan mensual'!E246+parametros_recargas!$G$73*'Plan mensual'!E247+parametros_recargas!$H$73*'Plan mensual'!E248+parametros_recargas!$I$73*'Plan mensual'!E249+parametros_recargas!$J$73*'Plan mensual'!E250+parametros_recargas!$K$73*'Plan mensual'!E251+parametros_recargas!$L$73*'Plan mensual'!E252+parametros_recargas!$M$73*'Plan mensual'!E254</f>
        <v>15390.6107840041</v>
      </c>
      <c r="D227" s="21" t="n">
        <f aca="false">parametros_recargas!$E$73*'Plan mensual'!F245+parametros_recargas!$F$73*'Plan mensual'!F246+parametros_recargas!$G$73*'Plan mensual'!F247+parametros_recargas!$H$73*'Plan mensual'!F248+parametros_recargas!$I$73*'Plan mensual'!F249+parametros_recargas!$J$73*'Plan mensual'!F250+parametros_recargas!$K$73*'Plan mensual'!F251+parametros_recargas!$L$73*'Plan mensual'!F252+parametros_recargas!$M$73*'Plan mensual'!F254</f>
        <v>15390.6107840041</v>
      </c>
      <c r="E227" s="21" t="n">
        <f aca="false">parametros_recargas!$E$73*'Plan mensual'!G245+parametros_recargas!$F$73*'Plan mensual'!G246+parametros_recargas!$G$73*'Plan mensual'!G247+parametros_recargas!$H$73*'Plan mensual'!G248+parametros_recargas!$I$73*'Plan mensual'!G249+parametros_recargas!$J$73*'Plan mensual'!G250+parametros_recargas!$K$73*'Plan mensual'!G251+parametros_recargas!$L$73*'Plan mensual'!G252+parametros_recargas!$M$73*'Plan mensual'!G254</f>
        <v>15390.6107840041</v>
      </c>
      <c r="F227" s="21" t="n">
        <f aca="false">parametros_recargas!$E$73*'Plan mensual'!H245+parametros_recargas!$F$73*'Plan mensual'!H246+parametros_recargas!$G$73*'Plan mensual'!H247+parametros_recargas!$H$73*'Plan mensual'!H248+parametros_recargas!$I$73*'Plan mensual'!H249+parametros_recargas!$J$73*'Plan mensual'!H250+parametros_recargas!$K$73*'Plan mensual'!H251+parametros_recargas!$L$73*'Plan mensual'!H252+parametros_recargas!$M$73*'Plan mensual'!H254</f>
        <v>15390.6107840041</v>
      </c>
      <c r="G227" s="21" t="n">
        <f aca="false">parametros_recargas!$E$73*'Plan mensual'!I245+parametros_recargas!$F$73*'Plan mensual'!I246+parametros_recargas!$G$73*'Plan mensual'!I247+parametros_recargas!$H$73*'Plan mensual'!I248+parametros_recargas!$I$73*'Plan mensual'!I249+parametros_recargas!$J$73*'Plan mensual'!I250+parametros_recargas!$K$73*'Plan mensual'!I251+parametros_recargas!$L$73*'Plan mensual'!I252+parametros_recargas!$M$73*'Plan mensual'!I254</f>
        <v>15390.6107840041</v>
      </c>
      <c r="H227" s="21" t="n">
        <f aca="false">parametros_recargas!$E$73*'Plan mensual'!J245+parametros_recargas!$F$73*'Plan mensual'!J246+parametros_recargas!$G$73*'Plan mensual'!J247+parametros_recargas!$H$73*'Plan mensual'!J248+parametros_recargas!$I$73*'Plan mensual'!J249+parametros_recargas!$J$73*'Plan mensual'!J250+parametros_recargas!$K$73*'Plan mensual'!J251+parametros_recargas!$L$73*'Plan mensual'!J252+parametros_recargas!$M$73*'Plan mensual'!J254</f>
        <v>15390.6107840041</v>
      </c>
      <c r="I227" s="21" t="n">
        <f aca="false">parametros_recargas!$E$73*'Plan mensual'!K245+parametros_recargas!$F$73*'Plan mensual'!K246+parametros_recargas!$G$73*'Plan mensual'!K247+parametros_recargas!$H$73*'Plan mensual'!K248+parametros_recargas!$I$73*'Plan mensual'!K249+parametros_recargas!$J$73*'Plan mensual'!K250+parametros_recargas!$K$73*'Plan mensual'!K251+parametros_recargas!$L$73*'Plan mensual'!K252+parametros_recargas!$M$73*'Plan mensual'!K254</f>
        <v>15390.6107840041</v>
      </c>
      <c r="J227" s="21" t="n">
        <f aca="false">parametros_recargas!$E$73*'Plan mensual'!L245+parametros_recargas!$F$73*'Plan mensual'!L246+parametros_recargas!$G$73*'Plan mensual'!L247+parametros_recargas!$H$73*'Plan mensual'!L248+parametros_recargas!$I$73*'Plan mensual'!L249+parametros_recargas!$J$73*'Plan mensual'!L250+parametros_recargas!$K$73*'Plan mensual'!L251+parametros_recargas!$L$73*'Plan mensual'!L252+parametros_recargas!$M$73*'Plan mensual'!L254</f>
        <v>15390.6107840041</v>
      </c>
      <c r="K227" s="21" t="n">
        <f aca="false">parametros_recargas!$E$73*'Plan mensual'!M245+parametros_recargas!$F$73*'Plan mensual'!M246+parametros_recargas!$G$73*'Plan mensual'!M247+parametros_recargas!$H$73*'Plan mensual'!M248+parametros_recargas!$I$73*'Plan mensual'!M249+parametros_recargas!$J$73*'Plan mensual'!M250+parametros_recargas!$K$73*'Plan mensual'!M251+parametros_recargas!$L$73*'Plan mensual'!M252+parametros_recargas!$M$73*'Plan mensual'!M254</f>
        <v>15390.6107840041</v>
      </c>
      <c r="L227" s="21" t="n">
        <f aca="false">parametros_recargas!$E$73*'Plan mensual'!N245+parametros_recargas!$F$73*'Plan mensual'!N246+parametros_recargas!$G$73*'Plan mensual'!N247+parametros_recargas!$H$73*'Plan mensual'!N248+parametros_recargas!$I$73*'Plan mensual'!N249+parametros_recargas!$J$73*'Plan mensual'!N250+parametros_recargas!$K$73*'Plan mensual'!N251+parametros_recargas!$L$73*'Plan mensual'!N252+parametros_recargas!$M$73*'Plan mensual'!N254</f>
        <v>15390.6107840041</v>
      </c>
      <c r="M227" s="21" t="n">
        <f aca="false">parametros_recargas!$E$73*'Plan mensual'!O245+parametros_recargas!$F$73*'Plan mensual'!O246+parametros_recargas!$G$73*'Plan mensual'!O247+parametros_recargas!$H$73*'Plan mensual'!O248+parametros_recargas!$I$73*'Plan mensual'!O249+parametros_recargas!$J$73*'Plan mensual'!O250+parametros_recargas!$K$73*'Plan mensual'!O251+parametros_recargas!$L$73*'Plan mensual'!O252+parametros_recargas!$M$73*'Plan mensual'!O254</f>
        <v>15390.6107840041</v>
      </c>
      <c r="N227" s="7" t="n">
        <f aca="false">SUM(B227:M227)</f>
        <v>184687.329408049</v>
      </c>
      <c r="O227" s="22" t="n">
        <f aca="false">MAX(B227:M227)</f>
        <v>15390.6107840041</v>
      </c>
      <c r="P227" s="12" t="n">
        <f aca="false">O227/parametros_recargas!$B$6</f>
        <v>102.60407189336</v>
      </c>
    </row>
    <row r="228" customFormat="false" ht="15" hidden="false" customHeight="false" outlineLevel="0" collapsed="false">
      <c r="A228" s="9" t="str">
        <f aca="false">parametros_recargas!$B$74</f>
        <v>Descarga ABC — ruta recuperable</v>
      </c>
      <c r="B228" s="21" t="n">
        <f aca="false">parametros_recargas!$E$74*'Plan mensual'!D245+parametros_recargas!$F$74*'Plan mensual'!D246+parametros_recargas!$G$74*'Plan mensual'!D247+parametros_recargas!$H$74*'Plan mensual'!D248+parametros_recargas!$I$74*'Plan mensual'!D249+parametros_recargas!$J$74*'Plan mensual'!D250+parametros_recargas!$K$74*'Plan mensual'!D251+parametros_recargas!$L$74*'Plan mensual'!D252+parametros_recargas!$M$74*'Plan mensual'!D254</f>
        <v>11395.7348064748</v>
      </c>
      <c r="C228" s="21" t="n">
        <f aca="false">parametros_recargas!$E$74*'Plan mensual'!E245+parametros_recargas!$F$74*'Plan mensual'!E246+parametros_recargas!$G$74*'Plan mensual'!E247+parametros_recargas!$H$74*'Plan mensual'!E248+parametros_recargas!$I$74*'Plan mensual'!E249+parametros_recargas!$J$74*'Plan mensual'!E250+parametros_recargas!$K$74*'Plan mensual'!E251+parametros_recargas!$L$74*'Plan mensual'!E252+parametros_recargas!$M$74*'Plan mensual'!E254</f>
        <v>11395.7348064748</v>
      </c>
      <c r="D228" s="21" t="n">
        <f aca="false">parametros_recargas!$E$74*'Plan mensual'!F245+parametros_recargas!$F$74*'Plan mensual'!F246+parametros_recargas!$G$74*'Plan mensual'!F247+parametros_recargas!$H$74*'Plan mensual'!F248+parametros_recargas!$I$74*'Plan mensual'!F249+parametros_recargas!$J$74*'Plan mensual'!F250+parametros_recargas!$K$74*'Plan mensual'!F251+parametros_recargas!$L$74*'Plan mensual'!F252+parametros_recargas!$M$74*'Plan mensual'!F254</f>
        <v>11395.7348064748</v>
      </c>
      <c r="E228" s="21" t="n">
        <f aca="false">parametros_recargas!$E$74*'Plan mensual'!G245+parametros_recargas!$F$74*'Plan mensual'!G246+parametros_recargas!$G$74*'Plan mensual'!G247+parametros_recargas!$H$74*'Plan mensual'!G248+parametros_recargas!$I$74*'Plan mensual'!G249+parametros_recargas!$J$74*'Plan mensual'!G250+parametros_recargas!$K$74*'Plan mensual'!G251+parametros_recargas!$L$74*'Plan mensual'!G252+parametros_recargas!$M$74*'Plan mensual'!G254</f>
        <v>11395.7348064748</v>
      </c>
      <c r="F228" s="21" t="n">
        <f aca="false">parametros_recargas!$E$74*'Plan mensual'!H245+parametros_recargas!$F$74*'Plan mensual'!H246+parametros_recargas!$G$74*'Plan mensual'!H247+parametros_recargas!$H$74*'Plan mensual'!H248+parametros_recargas!$I$74*'Plan mensual'!H249+parametros_recargas!$J$74*'Plan mensual'!H250+parametros_recargas!$K$74*'Plan mensual'!H251+parametros_recargas!$L$74*'Plan mensual'!H252+parametros_recargas!$M$74*'Plan mensual'!H254</f>
        <v>11395.7348064748</v>
      </c>
      <c r="G228" s="21" t="n">
        <f aca="false">parametros_recargas!$E$74*'Plan mensual'!I245+parametros_recargas!$F$74*'Plan mensual'!I246+parametros_recargas!$G$74*'Plan mensual'!I247+parametros_recargas!$H$74*'Plan mensual'!I248+parametros_recargas!$I$74*'Plan mensual'!I249+parametros_recargas!$J$74*'Plan mensual'!I250+parametros_recargas!$K$74*'Plan mensual'!I251+parametros_recargas!$L$74*'Plan mensual'!I252+parametros_recargas!$M$74*'Plan mensual'!I254</f>
        <v>11395.7348064748</v>
      </c>
      <c r="H228" s="21" t="n">
        <f aca="false">parametros_recargas!$E$74*'Plan mensual'!J245+parametros_recargas!$F$74*'Plan mensual'!J246+parametros_recargas!$G$74*'Plan mensual'!J247+parametros_recargas!$H$74*'Plan mensual'!J248+parametros_recargas!$I$74*'Plan mensual'!J249+parametros_recargas!$J$74*'Plan mensual'!J250+parametros_recargas!$K$74*'Plan mensual'!J251+parametros_recargas!$L$74*'Plan mensual'!J252+parametros_recargas!$M$74*'Plan mensual'!J254</f>
        <v>11395.7348064748</v>
      </c>
      <c r="I228" s="21" t="n">
        <f aca="false">parametros_recargas!$E$74*'Plan mensual'!K245+parametros_recargas!$F$74*'Plan mensual'!K246+parametros_recargas!$G$74*'Plan mensual'!K247+parametros_recargas!$H$74*'Plan mensual'!K248+parametros_recargas!$I$74*'Plan mensual'!K249+parametros_recargas!$J$74*'Plan mensual'!K250+parametros_recargas!$K$74*'Plan mensual'!K251+parametros_recargas!$L$74*'Plan mensual'!K252+parametros_recargas!$M$74*'Plan mensual'!K254</f>
        <v>11395.7348064748</v>
      </c>
      <c r="J228" s="21" t="n">
        <f aca="false">parametros_recargas!$E$74*'Plan mensual'!L245+parametros_recargas!$F$74*'Plan mensual'!L246+parametros_recargas!$G$74*'Plan mensual'!L247+parametros_recargas!$H$74*'Plan mensual'!L248+parametros_recargas!$I$74*'Plan mensual'!L249+parametros_recargas!$J$74*'Plan mensual'!L250+parametros_recargas!$K$74*'Plan mensual'!L251+parametros_recargas!$L$74*'Plan mensual'!L252+parametros_recargas!$M$74*'Plan mensual'!L254</f>
        <v>11395.7348064748</v>
      </c>
      <c r="K228" s="21" t="n">
        <f aca="false">parametros_recargas!$E$74*'Plan mensual'!M245+parametros_recargas!$F$74*'Plan mensual'!M246+parametros_recargas!$G$74*'Plan mensual'!M247+parametros_recargas!$H$74*'Plan mensual'!M248+parametros_recargas!$I$74*'Plan mensual'!M249+parametros_recargas!$J$74*'Plan mensual'!M250+parametros_recargas!$K$74*'Plan mensual'!M251+parametros_recargas!$L$74*'Plan mensual'!M252+parametros_recargas!$M$74*'Plan mensual'!M254</f>
        <v>11395.7348064748</v>
      </c>
      <c r="L228" s="21" t="n">
        <f aca="false">parametros_recargas!$E$74*'Plan mensual'!N245+parametros_recargas!$F$74*'Plan mensual'!N246+parametros_recargas!$G$74*'Plan mensual'!N247+parametros_recargas!$H$74*'Plan mensual'!N248+parametros_recargas!$I$74*'Plan mensual'!N249+parametros_recargas!$J$74*'Plan mensual'!N250+parametros_recargas!$K$74*'Plan mensual'!N251+parametros_recargas!$L$74*'Plan mensual'!N252+parametros_recargas!$M$74*'Plan mensual'!N254</f>
        <v>11395.7348064748</v>
      </c>
      <c r="M228" s="21" t="n">
        <f aca="false">parametros_recargas!$E$74*'Plan mensual'!O245+parametros_recargas!$F$74*'Plan mensual'!O246+parametros_recargas!$G$74*'Plan mensual'!O247+parametros_recargas!$H$74*'Plan mensual'!O248+parametros_recargas!$I$74*'Plan mensual'!O249+parametros_recargas!$J$74*'Plan mensual'!O250+parametros_recargas!$K$74*'Plan mensual'!O251+parametros_recargas!$L$74*'Plan mensual'!O252+parametros_recargas!$M$74*'Plan mensual'!O254</f>
        <v>11395.7348064748</v>
      </c>
      <c r="N228" s="7" t="n">
        <f aca="false">SUM(B228:M228)</f>
        <v>136748.817677698</v>
      </c>
      <c r="O228" s="22" t="n">
        <f aca="false">MAX(B228:M228)</f>
        <v>11395.7348064748</v>
      </c>
      <c r="P228" s="12" t="n">
        <f aca="false">O228/parametros_recargas!$B$6</f>
        <v>75.9715653764988</v>
      </c>
    </row>
    <row r="229" customFormat="false" ht="15" hidden="false" customHeight="false" outlineLevel="0" collapsed="false">
      <c r="A229" s="9" t="str">
        <f aca="false">parametros_recargas!$B$75</f>
        <v>Descarga ABC — ruta descarte</v>
      </c>
      <c r="B229" s="21" t="n">
        <f aca="false">parametros_recargas!$E$75*'Plan mensual'!D245+parametros_recargas!$F$75*'Plan mensual'!D246+parametros_recargas!$G$75*'Plan mensual'!D247+parametros_recargas!$H$75*'Plan mensual'!D248+parametros_recargas!$I$75*'Plan mensual'!D249+parametros_recargas!$J$75*'Plan mensual'!D250+parametros_recargas!$K$75*'Plan mensual'!D251+parametros_recargas!$L$75*'Plan mensual'!D252+parametros_recargas!$M$75*'Plan mensual'!D254</f>
        <v>1340.67468311468</v>
      </c>
      <c r="C229" s="21" t="n">
        <f aca="false">parametros_recargas!$E$75*'Plan mensual'!E245+parametros_recargas!$F$75*'Plan mensual'!E246+parametros_recargas!$G$75*'Plan mensual'!E247+parametros_recargas!$H$75*'Plan mensual'!E248+parametros_recargas!$I$75*'Plan mensual'!E249+parametros_recargas!$J$75*'Plan mensual'!E250+parametros_recargas!$K$75*'Plan mensual'!E251+parametros_recargas!$L$75*'Plan mensual'!E252+parametros_recargas!$M$75*'Plan mensual'!E254</f>
        <v>1340.67468311468</v>
      </c>
      <c r="D229" s="21" t="n">
        <f aca="false">parametros_recargas!$E$75*'Plan mensual'!F245+parametros_recargas!$F$75*'Plan mensual'!F246+parametros_recargas!$G$75*'Plan mensual'!F247+parametros_recargas!$H$75*'Plan mensual'!F248+parametros_recargas!$I$75*'Plan mensual'!F249+parametros_recargas!$J$75*'Plan mensual'!F250+parametros_recargas!$K$75*'Plan mensual'!F251+parametros_recargas!$L$75*'Plan mensual'!F252+parametros_recargas!$M$75*'Plan mensual'!F254</f>
        <v>1340.67468311468</v>
      </c>
      <c r="E229" s="21" t="n">
        <f aca="false">parametros_recargas!$E$75*'Plan mensual'!G245+parametros_recargas!$F$75*'Plan mensual'!G246+parametros_recargas!$G$75*'Plan mensual'!G247+parametros_recargas!$H$75*'Plan mensual'!G248+parametros_recargas!$I$75*'Plan mensual'!G249+parametros_recargas!$J$75*'Plan mensual'!G250+parametros_recargas!$K$75*'Plan mensual'!G251+parametros_recargas!$L$75*'Plan mensual'!G252+parametros_recargas!$M$75*'Plan mensual'!G254</f>
        <v>1340.67468311468</v>
      </c>
      <c r="F229" s="21" t="n">
        <f aca="false">parametros_recargas!$E$75*'Plan mensual'!H245+parametros_recargas!$F$75*'Plan mensual'!H246+parametros_recargas!$G$75*'Plan mensual'!H247+parametros_recargas!$H$75*'Plan mensual'!H248+parametros_recargas!$I$75*'Plan mensual'!H249+parametros_recargas!$J$75*'Plan mensual'!H250+parametros_recargas!$K$75*'Plan mensual'!H251+parametros_recargas!$L$75*'Plan mensual'!H252+parametros_recargas!$M$75*'Plan mensual'!H254</f>
        <v>1340.67468311468</v>
      </c>
      <c r="G229" s="21" t="n">
        <f aca="false">parametros_recargas!$E$75*'Plan mensual'!I245+parametros_recargas!$F$75*'Plan mensual'!I246+parametros_recargas!$G$75*'Plan mensual'!I247+parametros_recargas!$H$75*'Plan mensual'!I248+parametros_recargas!$I$75*'Plan mensual'!I249+parametros_recargas!$J$75*'Plan mensual'!I250+parametros_recargas!$K$75*'Plan mensual'!I251+parametros_recargas!$L$75*'Plan mensual'!I252+parametros_recargas!$M$75*'Plan mensual'!I254</f>
        <v>1340.67468311468</v>
      </c>
      <c r="H229" s="21" t="n">
        <f aca="false">parametros_recargas!$E$75*'Plan mensual'!J245+parametros_recargas!$F$75*'Plan mensual'!J246+parametros_recargas!$G$75*'Plan mensual'!J247+parametros_recargas!$H$75*'Plan mensual'!J248+parametros_recargas!$I$75*'Plan mensual'!J249+parametros_recargas!$J$75*'Plan mensual'!J250+parametros_recargas!$K$75*'Plan mensual'!J251+parametros_recargas!$L$75*'Plan mensual'!J252+parametros_recargas!$M$75*'Plan mensual'!J254</f>
        <v>1340.67468311468</v>
      </c>
      <c r="I229" s="21" t="n">
        <f aca="false">parametros_recargas!$E$75*'Plan mensual'!K245+parametros_recargas!$F$75*'Plan mensual'!K246+parametros_recargas!$G$75*'Plan mensual'!K247+parametros_recargas!$H$75*'Plan mensual'!K248+parametros_recargas!$I$75*'Plan mensual'!K249+parametros_recargas!$J$75*'Plan mensual'!K250+parametros_recargas!$K$75*'Plan mensual'!K251+parametros_recargas!$L$75*'Plan mensual'!K252+parametros_recargas!$M$75*'Plan mensual'!K254</f>
        <v>1340.67468311468</v>
      </c>
      <c r="J229" s="21" t="n">
        <f aca="false">parametros_recargas!$E$75*'Plan mensual'!L245+parametros_recargas!$F$75*'Plan mensual'!L246+parametros_recargas!$G$75*'Plan mensual'!L247+parametros_recargas!$H$75*'Plan mensual'!L248+parametros_recargas!$I$75*'Plan mensual'!L249+parametros_recargas!$J$75*'Plan mensual'!L250+parametros_recargas!$K$75*'Plan mensual'!L251+parametros_recargas!$L$75*'Plan mensual'!L252+parametros_recargas!$M$75*'Plan mensual'!L254</f>
        <v>1340.67468311468</v>
      </c>
      <c r="K229" s="21" t="n">
        <f aca="false">parametros_recargas!$E$75*'Plan mensual'!M245+parametros_recargas!$F$75*'Plan mensual'!M246+parametros_recargas!$G$75*'Plan mensual'!M247+parametros_recargas!$H$75*'Plan mensual'!M248+parametros_recargas!$I$75*'Plan mensual'!M249+parametros_recargas!$J$75*'Plan mensual'!M250+parametros_recargas!$K$75*'Plan mensual'!M251+parametros_recargas!$L$75*'Plan mensual'!M252+parametros_recargas!$M$75*'Plan mensual'!M254</f>
        <v>1340.67468311468</v>
      </c>
      <c r="L229" s="21" t="n">
        <f aca="false">parametros_recargas!$E$75*'Plan mensual'!N245+parametros_recargas!$F$75*'Plan mensual'!N246+parametros_recargas!$G$75*'Plan mensual'!N247+parametros_recargas!$H$75*'Plan mensual'!N248+parametros_recargas!$I$75*'Plan mensual'!N249+parametros_recargas!$J$75*'Plan mensual'!N250+parametros_recargas!$K$75*'Plan mensual'!N251+parametros_recargas!$L$75*'Plan mensual'!N252+parametros_recargas!$M$75*'Plan mensual'!N254</f>
        <v>1340.67468311468</v>
      </c>
      <c r="M229" s="21" t="n">
        <f aca="false">parametros_recargas!$E$75*'Plan mensual'!O245+parametros_recargas!$F$75*'Plan mensual'!O246+parametros_recargas!$G$75*'Plan mensual'!O247+parametros_recargas!$H$75*'Plan mensual'!O248+parametros_recargas!$I$75*'Plan mensual'!O249+parametros_recargas!$J$75*'Plan mensual'!O250+parametros_recargas!$K$75*'Plan mensual'!O251+parametros_recargas!$L$75*'Plan mensual'!O252+parametros_recargas!$M$75*'Plan mensual'!O254</f>
        <v>1340.67468311468</v>
      </c>
      <c r="N229" s="7" t="n">
        <f aca="false">SUM(B229:M229)</f>
        <v>16088.0961973762</v>
      </c>
      <c r="O229" s="22" t="n">
        <f aca="false">MAX(B229:M229)</f>
        <v>1340.67468311468</v>
      </c>
      <c r="P229" s="12" t="n">
        <f aca="false">O229/parametros_recargas!$B$6</f>
        <v>8.93783122076457</v>
      </c>
    </row>
    <row r="230" customFormat="false" ht="15" hidden="false" customHeight="false" outlineLevel="0" collapsed="false">
      <c r="A230" s="9" t="str">
        <f aca="false">parametros_recargas!$B$76</f>
        <v>Descarga BC</v>
      </c>
      <c r="B230" s="21"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19.2059021651652</v>
      </c>
      <c r="C230" s="21"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19.2059021651652</v>
      </c>
      <c r="D230" s="21"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19.2059021651652</v>
      </c>
      <c r="E230" s="21"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19.2059021651652</v>
      </c>
      <c r="F230" s="21"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19.2059021651652</v>
      </c>
      <c r="G230" s="21"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19.2059021651652</v>
      </c>
      <c r="H230" s="21"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19.2059021651652</v>
      </c>
      <c r="I230" s="21"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19.2059021651652</v>
      </c>
      <c r="J230" s="21"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19.2059021651652</v>
      </c>
      <c r="K230" s="21"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19.2059021651652</v>
      </c>
      <c r="L230" s="21"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19.2059021651652</v>
      </c>
      <c r="M230" s="21"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19.2059021651652</v>
      </c>
      <c r="N230" s="7" t="n">
        <f aca="false">SUM(B230:M230)</f>
        <v>230.470825981982</v>
      </c>
      <c r="O230" s="22" t="n">
        <f aca="false">MAX(B230:M230)</f>
        <v>19.2059021651652</v>
      </c>
      <c r="P230" s="12" t="n">
        <f aca="false">O230/parametros_recargas!$B$6</f>
        <v>0.128039347767768</v>
      </c>
    </row>
    <row r="231" customFormat="false" ht="15" hidden="false" customHeight="false" outlineLevel="0" collapsed="false">
      <c r="A231" s="9" t="str">
        <f aca="false">parametros_recargas!$B$77</f>
        <v>Descarga de agua / AFFF / sales K</v>
      </c>
      <c r="B231" s="21"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670.851203156183</v>
      </c>
      <c r="C231" s="21"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670.851203156183</v>
      </c>
      <c r="D231" s="21"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670.851203156183</v>
      </c>
      <c r="E231" s="21"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670.851203156183</v>
      </c>
      <c r="F231" s="21"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670.851203156183</v>
      </c>
      <c r="G231" s="21"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670.851203156183</v>
      </c>
      <c r="H231" s="21"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670.851203156183</v>
      </c>
      <c r="I231" s="21"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670.851203156183</v>
      </c>
      <c r="J231" s="21"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670.851203156183</v>
      </c>
      <c r="K231" s="21"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670.851203156183</v>
      </c>
      <c r="L231" s="21"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670.851203156183</v>
      </c>
      <c r="M231" s="21"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670.851203156183</v>
      </c>
      <c r="N231" s="7" t="n">
        <f aca="false">SUM(B231:M231)</f>
        <v>8050.2144378742</v>
      </c>
      <c r="O231" s="22" t="n">
        <f aca="false">MAX(B231:M231)</f>
        <v>670.851203156183</v>
      </c>
      <c r="P231" s="12" t="n">
        <f aca="false">O231/parametros_recargas!$B$6</f>
        <v>4.47234135437455</v>
      </c>
    </row>
    <row r="232" customFormat="false" ht="15" hidden="false" customHeight="false" outlineLevel="0" collapsed="false">
      <c r="A232" s="9" t="str">
        <f aca="false">parametros_recargas!$B$78</f>
        <v>Recuperación de CO₂</v>
      </c>
      <c r="B232" s="21"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306.555189852014</v>
      </c>
      <c r="C232" s="21"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306.555189852014</v>
      </c>
      <c r="D232" s="21"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306.555189852014</v>
      </c>
      <c r="E232" s="21"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306.555189852014</v>
      </c>
      <c r="F232" s="21"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306.555189852014</v>
      </c>
      <c r="G232" s="21"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306.555189852014</v>
      </c>
      <c r="H232" s="21"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306.555189852014</v>
      </c>
      <c r="I232" s="21"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306.555189852014</v>
      </c>
      <c r="J232" s="21"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306.555189852014</v>
      </c>
      <c r="K232" s="21"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306.555189852014</v>
      </c>
      <c r="L232" s="21"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306.555189852014</v>
      </c>
      <c r="M232" s="21"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306.555189852014</v>
      </c>
      <c r="N232" s="7" t="n">
        <f aca="false">SUM(B232:M232)</f>
        <v>3678.66227822416</v>
      </c>
      <c r="O232" s="22" t="n">
        <f aca="false">MAX(B232:M232)</f>
        <v>306.555189852014</v>
      </c>
      <c r="P232" s="12" t="n">
        <f aca="false">O232/parametros_recargas!$B$6</f>
        <v>2.04370126568009</v>
      </c>
    </row>
    <row r="233" customFormat="false" ht="15" hidden="false" customHeight="false" outlineLevel="0" collapsed="false">
      <c r="A233" s="9" t="str">
        <f aca="false">parametros_recargas!$B$79</f>
        <v>Recuperación de halogenado</v>
      </c>
      <c r="B233" s="21"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12.5744852042177</v>
      </c>
      <c r="C233" s="21"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12.5744852042177</v>
      </c>
      <c r="D233" s="21"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12.5744852042177</v>
      </c>
      <c r="E233" s="21"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12.5744852042177</v>
      </c>
      <c r="F233" s="21"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12.5744852042177</v>
      </c>
      <c r="G233" s="21"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12.5744852042177</v>
      </c>
      <c r="H233" s="21"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12.5744852042177</v>
      </c>
      <c r="I233" s="21"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12.5744852042177</v>
      </c>
      <c r="J233" s="21"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12.5744852042177</v>
      </c>
      <c r="K233" s="21"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12.5744852042177</v>
      </c>
      <c r="L233" s="21"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12.5744852042177</v>
      </c>
      <c r="M233" s="21"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12.5744852042177</v>
      </c>
      <c r="N233" s="7" t="n">
        <f aca="false">SUM(B233:M233)</f>
        <v>150.893822450612</v>
      </c>
      <c r="O233" s="22" t="n">
        <f aca="false">MAX(B233:M233)</f>
        <v>12.5744852042177</v>
      </c>
      <c r="P233" s="12" t="n">
        <f aca="false">O233/parametros_recargas!$B$6</f>
        <v>0.083829901361451</v>
      </c>
    </row>
    <row r="234" customFormat="false" ht="15" hidden="false" customHeight="false" outlineLevel="0" collapsed="false">
      <c r="A234" s="9" t="str">
        <f aca="false">parametros_recargas!$B$80</f>
        <v>Desarme y limpieza — recinto</v>
      </c>
      <c r="B234" s="21"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13443.2408806229</v>
      </c>
      <c r="C234" s="21"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13443.2408806229</v>
      </c>
      <c r="D234" s="21"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13443.2408806229</v>
      </c>
      <c r="E234" s="21"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13443.2408806229</v>
      </c>
      <c r="F234" s="21"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13443.2408806229</v>
      </c>
      <c r="G234" s="21"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13443.2408806229</v>
      </c>
      <c r="H234" s="21"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13443.2408806229</v>
      </c>
      <c r="I234" s="21"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13443.2408806229</v>
      </c>
      <c r="J234" s="21"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13443.2408806229</v>
      </c>
      <c r="K234" s="21"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13443.2408806229</v>
      </c>
      <c r="L234" s="21"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13443.2408806229</v>
      </c>
      <c r="M234" s="21"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13443.2408806229</v>
      </c>
      <c r="N234" s="7" t="n">
        <f aca="false">SUM(B234:M234)</f>
        <v>161318.890567475</v>
      </c>
      <c r="O234" s="22" t="n">
        <f aca="false">MAX(B234:M234)</f>
        <v>13443.2408806229</v>
      </c>
      <c r="P234" s="12" t="n">
        <f aca="false">O234/parametros_recargas!$B$6</f>
        <v>89.6216058708197</v>
      </c>
    </row>
    <row r="235" customFormat="false" ht="15" hidden="false" customHeight="false" outlineLevel="0" collapsed="false">
      <c r="A235" s="9" t="str">
        <f aca="false">parametros_recargas!$B$81</f>
        <v>Desarme e inspección interior — zona general</v>
      </c>
      <c r="B235" s="21"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989.980878212414</v>
      </c>
      <c r="C235" s="21"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989.980878212414</v>
      </c>
      <c r="D235" s="21"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989.980878212414</v>
      </c>
      <c r="E235" s="21"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989.980878212414</v>
      </c>
      <c r="F235" s="21"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989.980878212414</v>
      </c>
      <c r="G235" s="21"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989.980878212414</v>
      </c>
      <c r="H235" s="21"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989.980878212414</v>
      </c>
      <c r="I235" s="21"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989.980878212414</v>
      </c>
      <c r="J235" s="21"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989.980878212414</v>
      </c>
      <c r="K235" s="21"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989.980878212414</v>
      </c>
      <c r="L235" s="21"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989.980878212414</v>
      </c>
      <c r="M235" s="21"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989.980878212414</v>
      </c>
      <c r="N235" s="7" t="n">
        <f aca="false">SUM(B235:M235)</f>
        <v>11879.770538549</v>
      </c>
      <c r="O235" s="22" t="n">
        <f aca="false">MAX(B235:M235)</f>
        <v>989.980878212414</v>
      </c>
      <c r="P235" s="12" t="n">
        <f aca="false">O235/parametros_recargas!$B$6</f>
        <v>6.5998725214161</v>
      </c>
    </row>
    <row r="236" customFormat="false" ht="15" hidden="false" customHeight="false" outlineLevel="0" collapsed="false">
      <c r="A236" s="9" t="str">
        <f aca="false">parametros_recargas!$B$82</f>
        <v>Laboratorio — Puffer y mufla</v>
      </c>
      <c r="B236" s="21"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13.425952733312</v>
      </c>
      <c r="C236" s="21"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13.425952733312</v>
      </c>
      <c r="D236" s="21"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13.425952733312</v>
      </c>
      <c r="E236" s="21"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13.425952733312</v>
      </c>
      <c r="F236" s="21"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13.425952733312</v>
      </c>
      <c r="G236" s="21"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13.425952733312</v>
      </c>
      <c r="H236" s="21"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13.425952733312</v>
      </c>
      <c r="I236" s="21"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13.425952733312</v>
      </c>
      <c r="J236" s="21"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13.425952733312</v>
      </c>
      <c r="K236" s="21"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13.425952733312</v>
      </c>
      <c r="L236" s="21"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13.425952733312</v>
      </c>
      <c r="M236" s="21"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13.425952733312</v>
      </c>
      <c r="N236" s="7" t="n">
        <f aca="false">SUM(B236:M236)</f>
        <v>161.111432799744</v>
      </c>
      <c r="O236" s="22" t="n">
        <f aca="false">MAX(B236:M236)</f>
        <v>13.425952733312</v>
      </c>
      <c r="P236" s="12" t="n">
        <f aca="false">O236/parametros_recargas!$B$6</f>
        <v>0.0895063515554134</v>
      </c>
    </row>
    <row r="237" customFormat="false" ht="15" hidden="false" customHeight="false" outlineLevel="0" collapsed="false">
      <c r="A237" s="9" t="str">
        <f aca="false">parametros_recargas!$B$83</f>
        <v>Prueba hidráulica</v>
      </c>
      <c r="B237" s="21"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3279.37751774767</v>
      </c>
      <c r="C237" s="21"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3279.37751774767</v>
      </c>
      <c r="D237" s="21"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3279.37751774767</v>
      </c>
      <c r="E237" s="21"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3279.37751774767</v>
      </c>
      <c r="F237" s="21"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3279.37751774767</v>
      </c>
      <c r="G237" s="21"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3279.37751774767</v>
      </c>
      <c r="H237" s="21"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3279.37751774767</v>
      </c>
      <c r="I237" s="21"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3279.37751774767</v>
      </c>
      <c r="J237" s="21"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3279.37751774767</v>
      </c>
      <c r="K237" s="21"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3279.37751774767</v>
      </c>
      <c r="L237" s="21"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3279.37751774767</v>
      </c>
      <c r="M237" s="21"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3279.37751774767</v>
      </c>
      <c r="N237" s="7" t="n">
        <f aca="false">SUM(B237:M237)</f>
        <v>39352.530212972</v>
      </c>
      <c r="O237" s="22" t="n">
        <f aca="false">MAX(B237:M237)</f>
        <v>3279.37751774767</v>
      </c>
      <c r="P237" s="12" t="n">
        <f aca="false">O237/parametros_recargas!$B$6</f>
        <v>21.8625167849844</v>
      </c>
    </row>
    <row r="238" customFormat="false" ht="15" hidden="false" customHeight="false" outlineLevel="0" collapsed="false">
      <c r="A238" s="9" t="str">
        <f aca="false">parametros_recargas!$B$84</f>
        <v>Secado</v>
      </c>
      <c r="B238" s="21"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3078.3843249758</v>
      </c>
      <c r="C238" s="21"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3078.3843249758</v>
      </c>
      <c r="D238" s="21"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3078.3843249758</v>
      </c>
      <c r="E238" s="21"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3078.3843249758</v>
      </c>
      <c r="F238" s="21"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3078.3843249758</v>
      </c>
      <c r="G238" s="21"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3078.3843249758</v>
      </c>
      <c r="H238" s="21"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3078.3843249758</v>
      </c>
      <c r="I238" s="21"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3078.3843249758</v>
      </c>
      <c r="J238" s="21"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3078.3843249758</v>
      </c>
      <c r="K238" s="21"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3078.3843249758</v>
      </c>
      <c r="L238" s="21"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3078.3843249758</v>
      </c>
      <c r="M238" s="21"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3078.3843249758</v>
      </c>
      <c r="N238" s="7" t="n">
        <f aca="false">SUM(B238:M238)</f>
        <v>36940.6118997097</v>
      </c>
      <c r="O238" s="22" t="n">
        <f aca="false">MAX(B238:M238)</f>
        <v>3078.3843249758</v>
      </c>
      <c r="P238" s="12" t="n">
        <f aca="false">O238/parametros_recargas!$B$6</f>
        <v>20.5225621665054</v>
      </c>
    </row>
    <row r="239" customFormat="false" ht="15" hidden="false" customHeight="false" outlineLevel="0" collapsed="false">
      <c r="A239" s="9" t="str">
        <f aca="false">parametros_recargas!$B$85</f>
        <v>Inspección interior con videoscopio</v>
      </c>
      <c r="B239" s="21"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3078.3843249758</v>
      </c>
      <c r="C239" s="21"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3078.3843249758</v>
      </c>
      <c r="D239" s="21"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3078.3843249758</v>
      </c>
      <c r="E239" s="21"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3078.3843249758</v>
      </c>
      <c r="F239" s="21"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3078.3843249758</v>
      </c>
      <c r="G239" s="21"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3078.3843249758</v>
      </c>
      <c r="H239" s="21"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3078.3843249758</v>
      </c>
      <c r="I239" s="21"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3078.3843249758</v>
      </c>
      <c r="J239" s="21"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3078.3843249758</v>
      </c>
      <c r="K239" s="21"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3078.3843249758</v>
      </c>
      <c r="L239" s="21"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3078.3843249758</v>
      </c>
      <c r="M239" s="21"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3078.3843249758</v>
      </c>
      <c r="N239" s="7" t="n">
        <f aca="false">SUM(B239:M239)</f>
        <v>36940.6118997097</v>
      </c>
      <c r="O239" s="22" t="n">
        <f aca="false">MAX(B239:M239)</f>
        <v>3078.3843249758</v>
      </c>
      <c r="P239" s="12" t="n">
        <f aca="false">O239/parametros_recargas!$B$6</f>
        <v>20.5225621665054</v>
      </c>
    </row>
    <row r="240" customFormat="false" ht="15" hidden="false" customHeight="false" outlineLevel="0" collapsed="false">
      <c r="A240" s="9" t="str">
        <f aca="false">parametros_recargas!$B$86</f>
        <v>Pintura</v>
      </c>
      <c r="B240" s="21"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1539.06107840041</v>
      </c>
      <c r="C240" s="21"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1539.06107840041</v>
      </c>
      <c r="D240" s="21"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1539.06107840041</v>
      </c>
      <c r="E240" s="21"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1539.06107840041</v>
      </c>
      <c r="F240" s="21"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1539.06107840041</v>
      </c>
      <c r="G240" s="21"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1539.06107840041</v>
      </c>
      <c r="H240" s="21"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1539.06107840041</v>
      </c>
      <c r="I240" s="21"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1539.06107840041</v>
      </c>
      <c r="J240" s="21"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1539.06107840041</v>
      </c>
      <c r="K240" s="21"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1539.06107840041</v>
      </c>
      <c r="L240" s="21"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1539.06107840041</v>
      </c>
      <c r="M240" s="21"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1539.06107840041</v>
      </c>
      <c r="N240" s="7" t="n">
        <f aca="false">SUM(B240:M240)</f>
        <v>18468.7329408049</v>
      </c>
      <c r="O240" s="22" t="n">
        <f aca="false">MAX(B240:M240)</f>
        <v>1539.06107840041</v>
      </c>
      <c r="P240" s="12" t="n">
        <f aca="false">O240/parametros_recargas!$B$6</f>
        <v>10.260407189336</v>
      </c>
    </row>
    <row r="241" customFormat="false" ht="15" hidden="false" customHeight="false" outlineLevel="0" collapsed="false">
      <c r="A241" s="9" t="str">
        <f aca="false">parametros_recargas!$B$87</f>
        <v>Carga de polvo ABC</v>
      </c>
      <c r="B241" s="21"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13421.2012311468</v>
      </c>
      <c r="C241" s="21"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13418.4380311468</v>
      </c>
      <c r="D241" s="21"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13419.3568311468</v>
      </c>
      <c r="E241" s="21"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13419.3568311468</v>
      </c>
      <c r="F241" s="21"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13418.7116311468</v>
      </c>
      <c r="G241" s="21"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13417.8840311468</v>
      </c>
      <c r="H241" s="21"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13418.7116311468</v>
      </c>
      <c r="I241" s="21"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13418.7116311468</v>
      </c>
      <c r="J241" s="21"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13418.6204311468</v>
      </c>
      <c r="K241" s="21"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13417.7928311468</v>
      </c>
      <c r="L241" s="21"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13417.0564311468</v>
      </c>
      <c r="M241" s="21"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13422.4004311468</v>
      </c>
      <c r="N241" s="7" t="n">
        <f aca="false">SUM(B241:M241)</f>
        <v>161028.241973762</v>
      </c>
      <c r="O241" s="22" t="n">
        <f aca="false">MAX(B241:M241)</f>
        <v>13422.4004311468</v>
      </c>
      <c r="P241" s="12" t="n">
        <f aca="false">O241/parametros_recargas!$B$6</f>
        <v>89.482669540979</v>
      </c>
    </row>
    <row r="242" customFormat="false" ht="15" hidden="false" customHeight="false" outlineLevel="0" collapsed="false">
      <c r="A242" s="9" t="str">
        <f aca="false">parametros_recargas!$B$88</f>
        <v>Carga de polvo BC</v>
      </c>
      <c r="B242" s="21"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19.2059021651652</v>
      </c>
      <c r="C242" s="21"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19.2059021651652</v>
      </c>
      <c r="D242" s="21"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19.2059021651652</v>
      </c>
      <c r="E242" s="21"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19.2059021651652</v>
      </c>
      <c r="F242" s="21"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19.2059021651652</v>
      </c>
      <c r="G242" s="21"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19.2059021651652</v>
      </c>
      <c r="H242" s="21"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19.2059021651652</v>
      </c>
      <c r="I242" s="21"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19.2059021651652</v>
      </c>
      <c r="J242" s="21"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19.2059021651652</v>
      </c>
      <c r="K242" s="21"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19.2059021651652</v>
      </c>
      <c r="L242" s="21"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19.2059021651652</v>
      </c>
      <c r="M242" s="21"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19.2059021651652</v>
      </c>
      <c r="N242" s="7" t="n">
        <f aca="false">SUM(B242:M242)</f>
        <v>230.470825981982</v>
      </c>
      <c r="O242" s="22" t="n">
        <f aca="false">MAX(B242:M242)</f>
        <v>19.2059021651652</v>
      </c>
      <c r="P242" s="12" t="n">
        <f aca="false">O242/parametros_recargas!$B$6</f>
        <v>0.128039347767768</v>
      </c>
    </row>
    <row r="243" customFormat="false" ht="15" hidden="false" customHeight="false" outlineLevel="0" collapsed="false">
      <c r="A243" s="9" t="str">
        <f aca="false">parametros_recargas!$B$89</f>
        <v>Descarga y carga Clase D</v>
      </c>
      <c r="B243" s="21"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17.2881473109352</v>
      </c>
      <c r="C243" s="21"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17.2881473109352</v>
      </c>
      <c r="D243" s="21"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17.2881473109352</v>
      </c>
      <c r="E243" s="21"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17.2881473109352</v>
      </c>
      <c r="F243" s="21"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17.2881473109352</v>
      </c>
      <c r="G243" s="21"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17.2881473109352</v>
      </c>
      <c r="H243" s="21"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17.2881473109352</v>
      </c>
      <c r="I243" s="21"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17.2881473109352</v>
      </c>
      <c r="J243" s="21"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17.2881473109352</v>
      </c>
      <c r="K243" s="21"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17.2881473109352</v>
      </c>
      <c r="L243" s="21"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17.2881473109352</v>
      </c>
      <c r="M243" s="21"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17.2881473109352</v>
      </c>
      <c r="N243" s="7" t="n">
        <f aca="false">SUM(B243:M243)</f>
        <v>207.457767731223</v>
      </c>
      <c r="O243" s="22" t="n">
        <f aca="false">MAX(B243:M243)</f>
        <v>17.2881473109352</v>
      </c>
      <c r="P243" s="12" t="n">
        <f aca="false">O243/parametros_recargas!$B$6</f>
        <v>0.115254315406235</v>
      </c>
    </row>
    <row r="244" customFormat="false" ht="15" hidden="false" customHeight="false" outlineLevel="0" collapsed="false">
      <c r="A244" s="9" t="str">
        <f aca="false">parametros_recargas!$B$90</f>
        <v>Carga de agua / AFFF / sales K</v>
      </c>
      <c r="B244" s="21"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670.851203156183</v>
      </c>
      <c r="C244" s="21"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670.851203156183</v>
      </c>
      <c r="D244" s="21"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670.851203156183</v>
      </c>
      <c r="E244" s="21"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670.851203156183</v>
      </c>
      <c r="F244" s="21"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670.851203156183</v>
      </c>
      <c r="G244" s="21"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670.851203156183</v>
      </c>
      <c r="H244" s="21"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670.851203156183</v>
      </c>
      <c r="I244" s="21"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670.851203156183</v>
      </c>
      <c r="J244" s="21"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670.851203156183</v>
      </c>
      <c r="K244" s="21"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670.851203156183</v>
      </c>
      <c r="L244" s="21"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670.851203156183</v>
      </c>
      <c r="M244" s="21"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670.851203156183</v>
      </c>
      <c r="N244" s="7" t="n">
        <f aca="false">SUM(B244:M244)</f>
        <v>8050.2144378742</v>
      </c>
      <c r="O244" s="22" t="n">
        <f aca="false">MAX(B244:M244)</f>
        <v>670.851203156183</v>
      </c>
      <c r="P244" s="12" t="n">
        <f aca="false">O244/parametros_recargas!$B$6</f>
        <v>4.47234135437455</v>
      </c>
    </row>
    <row r="245" customFormat="false" ht="15" hidden="false" customHeight="false" outlineLevel="0" collapsed="false">
      <c r="A245" s="9" t="str">
        <f aca="false">parametros_recargas!$B$91</f>
        <v>Carga de CO₂</v>
      </c>
      <c r="B245" s="21"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367.866227822416</v>
      </c>
      <c r="C245" s="21"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367.866227822416</v>
      </c>
      <c r="D245" s="21"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367.866227822416</v>
      </c>
      <c r="E245" s="21"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367.866227822416</v>
      </c>
      <c r="F245" s="21"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367.866227822416</v>
      </c>
      <c r="G245" s="21"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367.866227822416</v>
      </c>
      <c r="H245" s="21"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367.866227822416</v>
      </c>
      <c r="I245" s="21"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367.866227822416</v>
      </c>
      <c r="J245" s="21"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367.866227822416</v>
      </c>
      <c r="K245" s="21"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367.866227822416</v>
      </c>
      <c r="L245" s="21"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367.866227822416</v>
      </c>
      <c r="M245" s="21"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367.866227822416</v>
      </c>
      <c r="N245" s="7" t="n">
        <f aca="false">SUM(B245:M245)</f>
        <v>4414.394733869</v>
      </c>
      <c r="O245" s="22" t="n">
        <f aca="false">MAX(B245:M245)</f>
        <v>367.866227822416</v>
      </c>
      <c r="P245" s="12" t="n">
        <f aca="false">O245/parametros_recargas!$B$6</f>
        <v>2.45244151881611</v>
      </c>
    </row>
    <row r="246" customFormat="false" ht="15" hidden="false" customHeight="false" outlineLevel="0" collapsed="false">
      <c r="A246" s="9" t="str">
        <f aca="false">parametros_recargas!$B$92</f>
        <v>Ensamblaje y marbete — recinto</v>
      </c>
      <c r="B246" s="21"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13457.6952806229</v>
      </c>
      <c r="C246" s="21"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13454.9320806229</v>
      </c>
      <c r="D246" s="21"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13455.8508806229</v>
      </c>
      <c r="E246" s="21"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13455.8508806229</v>
      </c>
      <c r="F246" s="21"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13455.2056806229</v>
      </c>
      <c r="G246" s="21"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13454.3780806229</v>
      </c>
      <c r="H246" s="21"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13455.2056806229</v>
      </c>
      <c r="I246" s="21"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13455.2056806229</v>
      </c>
      <c r="J246" s="21"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13455.1144806229</v>
      </c>
      <c r="K246" s="21"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13454.2868806229</v>
      </c>
      <c r="L246" s="21"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13453.5504806229</v>
      </c>
      <c r="M246" s="21"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13458.8944806229</v>
      </c>
      <c r="N246" s="7" t="n">
        <f aca="false">SUM(B246:M246)</f>
        <v>161466.170567475</v>
      </c>
      <c r="O246" s="22" t="n">
        <f aca="false">MAX(B246:M246)</f>
        <v>13458.8944806229</v>
      </c>
      <c r="P246" s="12" t="n">
        <f aca="false">O246/parametros_recargas!$B$6</f>
        <v>89.725963204153</v>
      </c>
    </row>
    <row r="247" customFormat="false" ht="15" hidden="false" customHeight="false" outlineLevel="0" collapsed="false">
      <c r="A247" s="9" t="str">
        <f aca="false">parametros_recargas!$B$93</f>
        <v>Presurización — recinto</v>
      </c>
      <c r="B247" s="21"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13457.6952806229</v>
      </c>
      <c r="C247" s="21"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13454.9320806229</v>
      </c>
      <c r="D247" s="21"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13455.8508806229</v>
      </c>
      <c r="E247" s="21"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13455.8508806229</v>
      </c>
      <c r="F247" s="21"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13455.2056806229</v>
      </c>
      <c r="G247" s="21"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13454.3780806229</v>
      </c>
      <c r="H247" s="21"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13455.2056806229</v>
      </c>
      <c r="I247" s="21"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13455.2056806229</v>
      </c>
      <c r="J247" s="21"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13455.1144806229</v>
      </c>
      <c r="K247" s="21"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13454.2868806229</v>
      </c>
      <c r="L247" s="21"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13453.5504806229</v>
      </c>
      <c r="M247" s="21"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13458.8944806229</v>
      </c>
      <c r="N247" s="7" t="n">
        <f aca="false">SUM(B247:M247)</f>
        <v>161466.170567475</v>
      </c>
      <c r="O247" s="22" t="n">
        <f aca="false">MAX(B247:M247)</f>
        <v>13458.8944806229</v>
      </c>
      <c r="P247" s="12" t="n">
        <f aca="false">O247/parametros_recargas!$B$6</f>
        <v>89.725963204153</v>
      </c>
    </row>
    <row r="248" customFormat="false" ht="15" hidden="false" customHeight="false" outlineLevel="0" collapsed="false">
      <c r="A248" s="9" t="str">
        <f aca="false">parametros_recargas!$B$94</f>
        <v>Ensamblaje y presurización — zona general</v>
      </c>
      <c r="B248" s="21"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989.980878212414</v>
      </c>
      <c r="C248" s="21"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989.980878212414</v>
      </c>
      <c r="D248" s="21"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989.980878212414</v>
      </c>
      <c r="E248" s="21"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989.980878212414</v>
      </c>
      <c r="F248" s="21"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989.980878212414</v>
      </c>
      <c r="G248" s="21"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989.980878212414</v>
      </c>
      <c r="H248" s="21"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989.980878212414</v>
      </c>
      <c r="I248" s="21"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989.980878212414</v>
      </c>
      <c r="J248" s="21"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989.980878212414</v>
      </c>
      <c r="K248" s="21"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989.980878212414</v>
      </c>
      <c r="L248" s="21"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989.980878212414</v>
      </c>
      <c r="M248" s="21"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989.980878212414</v>
      </c>
      <c r="N248" s="7" t="n">
        <f aca="false">SUM(B248:M248)</f>
        <v>11879.770538549</v>
      </c>
      <c r="O248" s="22" t="n">
        <f aca="false">MAX(B248:M248)</f>
        <v>989.980878212414</v>
      </c>
      <c r="P248" s="12" t="n">
        <f aca="false">O248/parametros_recargas!$B$6</f>
        <v>6.5998725214161</v>
      </c>
    </row>
    <row r="249" customFormat="false" ht="15" hidden="false" customHeight="false" outlineLevel="0" collapsed="false">
      <c r="A249" s="9" t="str">
        <f aca="false">parametros_recargas!$B$95</f>
        <v>Carga y presurización de halogenado</v>
      </c>
      <c r="B249" s="21"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12.5744852042177</v>
      </c>
      <c r="C249" s="21"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12.5744852042177</v>
      </c>
      <c r="D249" s="21"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12.5744852042177</v>
      </c>
      <c r="E249" s="21"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12.5744852042177</v>
      </c>
      <c r="F249" s="21"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12.5744852042177</v>
      </c>
      <c r="G249" s="21"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12.5744852042177</v>
      </c>
      <c r="H249" s="21"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12.5744852042177</v>
      </c>
      <c r="I249" s="21"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12.5744852042177</v>
      </c>
      <c r="J249" s="21"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12.5744852042177</v>
      </c>
      <c r="K249" s="21"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12.5744852042177</v>
      </c>
      <c r="L249" s="21"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12.5744852042177</v>
      </c>
      <c r="M249" s="21"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12.5744852042177</v>
      </c>
      <c r="N249" s="7" t="n">
        <f aca="false">SUM(B249:M249)</f>
        <v>150.893822450612</v>
      </c>
      <c r="O249" s="22" t="n">
        <f aca="false">MAX(B249:M249)</f>
        <v>12.5744852042177</v>
      </c>
      <c r="P249" s="12" t="n">
        <f aca="false">O249/parametros_recargas!$B$6</f>
        <v>0.083829901361451</v>
      </c>
    </row>
    <row r="250" customFormat="false" ht="15" hidden="false" customHeight="false" outlineLevel="0" collapsed="false">
      <c r="A250" s="9" t="str">
        <f aca="false">parametros_recargas!$B$96</f>
        <v>Control de peso (CO₂ y halogenados sin recarga)</v>
      </c>
      <c r="B250" s="21"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896.077987198291</v>
      </c>
      <c r="C250" s="21"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896.077987198291</v>
      </c>
      <c r="D250" s="21"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896.077987198291</v>
      </c>
      <c r="E250" s="21"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896.077987198291</v>
      </c>
      <c r="F250" s="21"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896.077987198291</v>
      </c>
      <c r="G250" s="21"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896.077987198291</v>
      </c>
      <c r="H250" s="21"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896.077987198291</v>
      </c>
      <c r="I250" s="21"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896.077987198291</v>
      </c>
      <c r="J250" s="21"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896.077987198291</v>
      </c>
      <c r="K250" s="21"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896.077987198291</v>
      </c>
      <c r="L250" s="21"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896.077987198291</v>
      </c>
      <c r="M250" s="21"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896.077987198291</v>
      </c>
      <c r="N250" s="7" t="n">
        <f aca="false">SUM(B250:M250)</f>
        <v>10752.9358463795</v>
      </c>
      <c r="O250" s="22" t="n">
        <f aca="false">MAX(B250:M250)</f>
        <v>896.077987198291</v>
      </c>
      <c r="P250" s="12" t="n">
        <f aca="false">O250/parametros_recargas!$B$6</f>
        <v>5.97385324798861</v>
      </c>
    </row>
    <row r="251" customFormat="false" ht="15" hidden="false" customHeight="false" outlineLevel="0" collapsed="false">
      <c r="A251" s="9" t="str">
        <f aca="false">parametros_recargas!$B$97</f>
        <v>Ensayo de pérdidas</v>
      </c>
      <c r="B251" s="21"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15405.0651840041</v>
      </c>
      <c r="C251" s="21"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15402.3019840041</v>
      </c>
      <c r="D251" s="21"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15403.2207840041</v>
      </c>
      <c r="E251" s="21"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15403.2207840041</v>
      </c>
      <c r="F251" s="21"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15402.5755840041</v>
      </c>
      <c r="G251" s="21"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15401.7479840041</v>
      </c>
      <c r="H251" s="21"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15402.5755840041</v>
      </c>
      <c r="I251" s="21"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15402.5755840041</v>
      </c>
      <c r="J251" s="21"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15402.4843840041</v>
      </c>
      <c r="K251" s="21"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15401.6567840041</v>
      </c>
      <c r="L251" s="21"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15400.9203840041</v>
      </c>
      <c r="M251" s="21"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15406.2643840041</v>
      </c>
      <c r="N251" s="7" t="n">
        <f aca="false">SUM(B251:M251)</f>
        <v>184834.609408049</v>
      </c>
      <c r="O251" s="22" t="n">
        <f aca="false">MAX(B251:M251)</f>
        <v>15406.2643840041</v>
      </c>
      <c r="P251" s="12" t="n">
        <f aca="false">O251/parametros_recargas!$B$6</f>
        <v>102.708429226694</v>
      </c>
    </row>
    <row r="252" customFormat="false" ht="15" hidden="false" customHeight="false" outlineLevel="0" collapsed="false">
      <c r="A252" s="9" t="str">
        <f aca="false">parametros_recargas!$B$98</f>
        <v>Precinto, etiqueta y despacho</v>
      </c>
      <c r="B252" s="21"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15405.0651840041</v>
      </c>
      <c r="C252" s="21"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15402.3019840041</v>
      </c>
      <c r="D252" s="21"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15403.2207840041</v>
      </c>
      <c r="E252" s="21"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15403.2207840041</v>
      </c>
      <c r="F252" s="21"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15402.5755840041</v>
      </c>
      <c r="G252" s="21"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15401.7479840041</v>
      </c>
      <c r="H252" s="21"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15402.5755840041</v>
      </c>
      <c r="I252" s="21"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15402.5755840041</v>
      </c>
      <c r="J252" s="21"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15402.4843840041</v>
      </c>
      <c r="K252" s="21"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15401.6567840041</v>
      </c>
      <c r="L252" s="21"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15400.9203840041</v>
      </c>
      <c r="M252" s="21"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15406.2643840041</v>
      </c>
      <c r="N252" s="7" t="n">
        <f aca="false">SUM(B252:M252)</f>
        <v>184834.609408049</v>
      </c>
      <c r="O252" s="22" t="n">
        <f aca="false">MAX(B252:M252)</f>
        <v>15406.2643840041</v>
      </c>
      <c r="P252" s="12" t="n">
        <f aca="false">O252/parametros_recargas!$B$6</f>
        <v>102.708429226694</v>
      </c>
    </row>
    <row r="253" customFormat="false" ht="15" hidden="false" customHeight="false" outlineLevel="0" collapsed="false">
      <c r="A253" s="9" t="str">
        <f aca="false">parametros_recargas!$B$99</f>
        <v>Inutilización y disposición final</v>
      </c>
      <c r="B253" s="21"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1210.81185006352</v>
      </c>
      <c r="C253" s="21"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1210.81185006352</v>
      </c>
      <c r="D253" s="21"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1210.81185006352</v>
      </c>
      <c r="E253" s="21"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1210.81185006352</v>
      </c>
      <c r="F253" s="21"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1210.81185006352</v>
      </c>
      <c r="G253" s="21"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1210.81185006352</v>
      </c>
      <c r="H253" s="21"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1210.81185006352</v>
      </c>
      <c r="I253" s="21"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1210.81185006352</v>
      </c>
      <c r="J253" s="21"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1210.81185006352</v>
      </c>
      <c r="K253" s="21"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1210.81185006352</v>
      </c>
      <c r="L253" s="21"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1210.81185006352</v>
      </c>
      <c r="M253" s="21"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1210.81185006352</v>
      </c>
      <c r="N253" s="7" t="n">
        <f aca="false">SUM(B253:M253)</f>
        <v>14529.7422007623</v>
      </c>
      <c r="O253" s="22" t="n">
        <f aca="false">MAX(B253:M253)</f>
        <v>1210.81185006352</v>
      </c>
      <c r="P253" s="12" t="n">
        <f aca="false">O253/parametros_recargas!$B$6</f>
        <v>8.07207900042349</v>
      </c>
    </row>
    <row r="254" customFormat="false" ht="15" hidden="false" customHeight="false" outlineLevel="0" collapsed="false">
      <c r="A254" s="9" t="str">
        <f aca="false">parametros_recargas!$B$100</f>
        <v>PH de mangueras (CO₂ y rodantes)</v>
      </c>
      <c r="B254" s="21" t="n">
        <f aca="false">'Plan mensual'!D253</f>
        <v>509.271592838195</v>
      </c>
      <c r="C254" s="21" t="n">
        <f aca="false">'Plan mensual'!E253</f>
        <v>509.271592838195</v>
      </c>
      <c r="D254" s="21" t="n">
        <f aca="false">'Plan mensual'!F253</f>
        <v>509.271592838195</v>
      </c>
      <c r="E254" s="21" t="n">
        <f aca="false">'Plan mensual'!G253</f>
        <v>509.271592838195</v>
      </c>
      <c r="F254" s="21" t="n">
        <f aca="false">'Plan mensual'!H253</f>
        <v>509.271592838195</v>
      </c>
      <c r="G254" s="21" t="n">
        <f aca="false">'Plan mensual'!I253</f>
        <v>509.271592838195</v>
      </c>
      <c r="H254" s="21" t="n">
        <f aca="false">'Plan mensual'!J253</f>
        <v>509.271592838195</v>
      </c>
      <c r="I254" s="21" t="n">
        <f aca="false">'Plan mensual'!K253</f>
        <v>509.271592838195</v>
      </c>
      <c r="J254" s="21" t="n">
        <f aca="false">'Plan mensual'!L253</f>
        <v>509.271592838195</v>
      </c>
      <c r="K254" s="21" t="n">
        <f aca="false">'Plan mensual'!M253</f>
        <v>509.271592838195</v>
      </c>
      <c r="L254" s="21" t="n">
        <f aca="false">'Plan mensual'!N253</f>
        <v>509.271592838195</v>
      </c>
      <c r="M254" s="21" t="n">
        <f aca="false">'Plan mensual'!O253</f>
        <v>509.271592838195</v>
      </c>
      <c r="N254" s="7" t="n">
        <f aca="false">SUM(B254:M254)</f>
        <v>6111.25911405834</v>
      </c>
      <c r="O254" s="22" t="n">
        <f aca="false">MAX(B254:M254)</f>
        <v>509.271592838195</v>
      </c>
      <c r="P254" s="12" t="n">
        <f aca="false">O254/parametros_recargas!$B$6</f>
        <v>3.39514395225463</v>
      </c>
    </row>
    <row r="257" customFormat="false" ht="23.85" hidden="false" customHeight="false" outlineLevel="0" collapsed="false">
      <c r="A257" s="3" t="s">
        <v>371</v>
      </c>
      <c r="B257" s="3" t="s">
        <v>147</v>
      </c>
      <c r="C257" s="3" t="s">
        <v>148</v>
      </c>
      <c r="D257" s="3" t="s">
        <v>149</v>
      </c>
      <c r="E257" s="3" t="s">
        <v>150</v>
      </c>
      <c r="F257" s="3" t="s">
        <v>151</v>
      </c>
      <c r="G257" s="3" t="s">
        <v>152</v>
      </c>
      <c r="H257" s="3" t="s">
        <v>153</v>
      </c>
      <c r="I257" s="3" t="s">
        <v>154</v>
      </c>
      <c r="J257" s="3" t="s">
        <v>155</v>
      </c>
      <c r="K257" s="3" t="s">
        <v>156</v>
      </c>
      <c r="L257" s="3" t="s">
        <v>157</v>
      </c>
      <c r="M257" s="3" t="s">
        <v>158</v>
      </c>
      <c r="N257" s="3" t="s">
        <v>361</v>
      </c>
      <c r="O257" s="3" t="s">
        <v>362</v>
      </c>
      <c r="P257" s="3" t="s">
        <v>363</v>
      </c>
    </row>
    <row r="258" customFormat="false" ht="15" hidden="false" customHeight="false" outlineLevel="0" collapsed="false">
      <c r="A258" s="9" t="str">
        <f aca="false">parametros_recargas!$B$72</f>
        <v>Recepción y registro</v>
      </c>
      <c r="B258" s="21" t="n">
        <f aca="false">parametros_recargas!$E$72*'Plan mensual'!D277+parametros_recargas!$F$72*'Plan mensual'!D278+parametros_recargas!$G$72*'Plan mensual'!D279+parametros_recargas!$H$72*'Plan mensual'!D280+parametros_recargas!$I$72*'Plan mensual'!D281+parametros_recargas!$J$72*'Plan mensual'!D282+parametros_recargas!$K$72*'Plan mensual'!D283+parametros_recargas!$L$72*'Plan mensual'!D284+parametros_recargas!$M$72*'Plan mensual'!D286</f>
        <v>16574.6034611452</v>
      </c>
      <c r="C258" s="21" t="n">
        <f aca="false">parametros_recargas!$E$72*'Plan mensual'!E277+parametros_recargas!$F$72*'Plan mensual'!E278+parametros_recargas!$G$72*'Plan mensual'!E279+parametros_recargas!$H$72*'Plan mensual'!E280+parametros_recargas!$I$72*'Plan mensual'!E281+parametros_recargas!$J$72*'Plan mensual'!E282+parametros_recargas!$K$72*'Plan mensual'!E283+parametros_recargas!$L$72*'Plan mensual'!E284+parametros_recargas!$M$72*'Plan mensual'!E286</f>
        <v>16572.0322611452</v>
      </c>
      <c r="D258" s="21" t="n">
        <f aca="false">parametros_recargas!$E$72*'Plan mensual'!F277+parametros_recargas!$F$72*'Plan mensual'!F278+parametros_recargas!$G$72*'Plan mensual'!F279+parametros_recargas!$H$72*'Plan mensual'!F280+parametros_recargas!$I$72*'Plan mensual'!F281+parametros_recargas!$J$72*'Plan mensual'!F282+parametros_recargas!$K$72*'Plan mensual'!F283+parametros_recargas!$L$72*'Plan mensual'!F284+parametros_recargas!$M$72*'Plan mensual'!F286</f>
        <v>16572.8400611452</v>
      </c>
      <c r="E258" s="21" t="n">
        <f aca="false">parametros_recargas!$E$72*'Plan mensual'!G277+parametros_recargas!$F$72*'Plan mensual'!G278+parametros_recargas!$G$72*'Plan mensual'!G279+parametros_recargas!$H$72*'Plan mensual'!G280+parametros_recargas!$I$72*'Plan mensual'!G281+parametros_recargas!$J$72*'Plan mensual'!G282+parametros_recargas!$K$72*'Plan mensual'!G283+parametros_recargas!$L$72*'Plan mensual'!G284+parametros_recargas!$M$72*'Plan mensual'!G286</f>
        <v>16572.8400611452</v>
      </c>
      <c r="F258" s="21" t="n">
        <f aca="false">parametros_recargas!$E$72*'Plan mensual'!H277+parametros_recargas!$F$72*'Plan mensual'!H278+parametros_recargas!$G$72*'Plan mensual'!H279+parametros_recargas!$H$72*'Plan mensual'!H280+parametros_recargas!$I$72*'Plan mensual'!H281+parametros_recargas!$J$72*'Plan mensual'!H282+parametros_recargas!$K$72*'Plan mensual'!H283+parametros_recargas!$L$72*'Plan mensual'!H284+parametros_recargas!$M$72*'Plan mensual'!H286</f>
        <v>16572.2302611452</v>
      </c>
      <c r="G258" s="21" t="n">
        <f aca="false">parametros_recargas!$E$72*'Plan mensual'!I277+parametros_recargas!$F$72*'Plan mensual'!I278+parametros_recargas!$G$72*'Plan mensual'!I279+parametros_recargas!$H$72*'Plan mensual'!I280+parametros_recargas!$I$72*'Plan mensual'!I281+parametros_recargas!$J$72*'Plan mensual'!I282+parametros_recargas!$K$72*'Plan mensual'!I283+parametros_recargas!$L$72*'Plan mensual'!I284+parametros_recargas!$M$72*'Plan mensual'!I286</f>
        <v>16571.4884611452</v>
      </c>
      <c r="H258" s="21" t="n">
        <f aca="false">parametros_recargas!$E$72*'Plan mensual'!J277+parametros_recargas!$F$72*'Plan mensual'!J278+parametros_recargas!$G$72*'Plan mensual'!J279+parametros_recargas!$H$72*'Plan mensual'!J280+parametros_recargas!$I$72*'Plan mensual'!J281+parametros_recargas!$J$72*'Plan mensual'!J282+parametros_recargas!$K$72*'Plan mensual'!J283+parametros_recargas!$L$72*'Plan mensual'!J284+parametros_recargas!$M$72*'Plan mensual'!J286</f>
        <v>16572.2302611452</v>
      </c>
      <c r="I258" s="21" t="n">
        <f aca="false">parametros_recargas!$E$72*'Plan mensual'!K277+parametros_recargas!$F$72*'Plan mensual'!K278+parametros_recargas!$G$72*'Plan mensual'!K279+parametros_recargas!$H$72*'Plan mensual'!K280+parametros_recargas!$I$72*'Plan mensual'!K281+parametros_recargas!$J$72*'Plan mensual'!K282+parametros_recargas!$K$72*'Plan mensual'!K283+parametros_recargas!$L$72*'Plan mensual'!K284+parametros_recargas!$M$72*'Plan mensual'!K286</f>
        <v>16572.2302611452</v>
      </c>
      <c r="J258" s="21" t="n">
        <f aca="false">parametros_recargas!$E$72*'Plan mensual'!L277+parametros_recargas!$F$72*'Plan mensual'!L278+parametros_recargas!$G$72*'Plan mensual'!L279+parametros_recargas!$H$72*'Plan mensual'!L280+parametros_recargas!$I$72*'Plan mensual'!L281+parametros_recargas!$J$72*'Plan mensual'!L282+parametros_recargas!$K$72*'Plan mensual'!L283+parametros_recargas!$L$72*'Plan mensual'!L284+parametros_recargas!$M$72*'Plan mensual'!L286</f>
        <v>16572.1642611452</v>
      </c>
      <c r="K258" s="21" t="n">
        <f aca="false">parametros_recargas!$E$72*'Plan mensual'!M277+parametros_recargas!$F$72*'Plan mensual'!M278+parametros_recargas!$G$72*'Plan mensual'!M279+parametros_recargas!$H$72*'Plan mensual'!M280+parametros_recargas!$I$72*'Plan mensual'!M281+parametros_recargas!$J$72*'Plan mensual'!M282+parametros_recargas!$K$72*'Plan mensual'!M283+parametros_recargas!$L$72*'Plan mensual'!M284+parametros_recargas!$M$72*'Plan mensual'!M286</f>
        <v>16571.4224611452</v>
      </c>
      <c r="L258" s="21" t="n">
        <f aca="false">parametros_recargas!$E$72*'Plan mensual'!N277+parametros_recargas!$F$72*'Plan mensual'!N278+parametros_recargas!$G$72*'Plan mensual'!N279+parametros_recargas!$H$72*'Plan mensual'!N280+parametros_recargas!$I$72*'Plan mensual'!N281+parametros_recargas!$J$72*'Plan mensual'!N282+parametros_recargas!$K$72*'Plan mensual'!N283+parametros_recargas!$L$72*'Plan mensual'!N284+parametros_recargas!$M$72*'Plan mensual'!N286</f>
        <v>16570.7466611452</v>
      </c>
      <c r="M258" s="21" t="n">
        <f aca="false">parametros_recargas!$E$72*'Plan mensual'!O277+parametros_recargas!$F$72*'Plan mensual'!O278+parametros_recargas!$G$72*'Plan mensual'!O279+parametros_recargas!$H$72*'Plan mensual'!O280+parametros_recargas!$I$72*'Plan mensual'!O281+parametros_recargas!$J$72*'Plan mensual'!O282+parametros_recargas!$K$72*'Plan mensual'!O283+parametros_recargas!$L$72*'Plan mensual'!O284+parametros_recargas!$M$72*'Plan mensual'!O286</f>
        <v>16575.7570611452</v>
      </c>
      <c r="N258" s="7" t="n">
        <f aca="false">SUM(B258:M258)</f>
        <v>198870.585533743</v>
      </c>
      <c r="O258" s="22" t="n">
        <f aca="false">MAX(B258:M258)</f>
        <v>16575.7570611452</v>
      </c>
      <c r="P258" s="12" t="n">
        <f aca="false">O258/parametros_recargas!$B$6</f>
        <v>110.505047074302</v>
      </c>
    </row>
    <row r="259" customFormat="false" ht="15" hidden="false" customHeight="false" outlineLevel="0" collapsed="false">
      <c r="A259" s="9" t="str">
        <f aca="false">parametros_recargas!$B$73</f>
        <v>Inspección visual</v>
      </c>
      <c r="B259" s="21" t="n">
        <f aca="false">parametros_recargas!$E$73*'Plan mensual'!D277+parametros_recargas!$F$73*'Plan mensual'!D278+parametros_recargas!$G$73*'Plan mensual'!D279+parametros_recargas!$H$73*'Plan mensual'!D280+parametros_recargas!$I$73*'Plan mensual'!D281+parametros_recargas!$J$73*'Plan mensual'!D282+parametros_recargas!$K$73*'Plan mensual'!D283+parametros_recargas!$L$73*'Plan mensual'!D284+parametros_recargas!$M$73*'Plan mensual'!D286</f>
        <v>16561.2854611452</v>
      </c>
      <c r="C259" s="21" t="n">
        <f aca="false">parametros_recargas!$E$73*'Plan mensual'!E277+parametros_recargas!$F$73*'Plan mensual'!E278+parametros_recargas!$G$73*'Plan mensual'!E279+parametros_recargas!$H$73*'Plan mensual'!E280+parametros_recargas!$I$73*'Plan mensual'!E281+parametros_recargas!$J$73*'Plan mensual'!E282+parametros_recargas!$K$73*'Plan mensual'!E283+parametros_recargas!$L$73*'Plan mensual'!E284+parametros_recargas!$M$73*'Plan mensual'!E286</f>
        <v>16561.2854611452</v>
      </c>
      <c r="D259" s="21" t="n">
        <f aca="false">parametros_recargas!$E$73*'Plan mensual'!F277+parametros_recargas!$F$73*'Plan mensual'!F278+parametros_recargas!$G$73*'Plan mensual'!F279+parametros_recargas!$H$73*'Plan mensual'!F280+parametros_recargas!$I$73*'Plan mensual'!F281+parametros_recargas!$J$73*'Plan mensual'!F282+parametros_recargas!$K$73*'Plan mensual'!F283+parametros_recargas!$L$73*'Plan mensual'!F284+parametros_recargas!$M$73*'Plan mensual'!F286</f>
        <v>16561.2854611452</v>
      </c>
      <c r="E259" s="21" t="n">
        <f aca="false">parametros_recargas!$E$73*'Plan mensual'!G277+parametros_recargas!$F$73*'Plan mensual'!G278+parametros_recargas!$G$73*'Plan mensual'!G279+parametros_recargas!$H$73*'Plan mensual'!G280+parametros_recargas!$I$73*'Plan mensual'!G281+parametros_recargas!$J$73*'Plan mensual'!G282+parametros_recargas!$K$73*'Plan mensual'!G283+parametros_recargas!$L$73*'Plan mensual'!G284+parametros_recargas!$M$73*'Plan mensual'!G286</f>
        <v>16561.2854611452</v>
      </c>
      <c r="F259" s="21" t="n">
        <f aca="false">parametros_recargas!$E$73*'Plan mensual'!H277+parametros_recargas!$F$73*'Plan mensual'!H278+parametros_recargas!$G$73*'Plan mensual'!H279+parametros_recargas!$H$73*'Plan mensual'!H280+parametros_recargas!$I$73*'Plan mensual'!H281+parametros_recargas!$J$73*'Plan mensual'!H282+parametros_recargas!$K$73*'Plan mensual'!H283+parametros_recargas!$L$73*'Plan mensual'!H284+parametros_recargas!$M$73*'Plan mensual'!H286</f>
        <v>16561.2854611452</v>
      </c>
      <c r="G259" s="21" t="n">
        <f aca="false">parametros_recargas!$E$73*'Plan mensual'!I277+parametros_recargas!$F$73*'Plan mensual'!I278+parametros_recargas!$G$73*'Plan mensual'!I279+parametros_recargas!$H$73*'Plan mensual'!I280+parametros_recargas!$I$73*'Plan mensual'!I281+parametros_recargas!$J$73*'Plan mensual'!I282+parametros_recargas!$K$73*'Plan mensual'!I283+parametros_recargas!$L$73*'Plan mensual'!I284+parametros_recargas!$M$73*'Plan mensual'!I286</f>
        <v>16561.2854611452</v>
      </c>
      <c r="H259" s="21" t="n">
        <f aca="false">parametros_recargas!$E$73*'Plan mensual'!J277+parametros_recargas!$F$73*'Plan mensual'!J278+parametros_recargas!$G$73*'Plan mensual'!J279+parametros_recargas!$H$73*'Plan mensual'!J280+parametros_recargas!$I$73*'Plan mensual'!J281+parametros_recargas!$J$73*'Plan mensual'!J282+parametros_recargas!$K$73*'Plan mensual'!J283+parametros_recargas!$L$73*'Plan mensual'!J284+parametros_recargas!$M$73*'Plan mensual'!J286</f>
        <v>16561.2854611452</v>
      </c>
      <c r="I259" s="21" t="n">
        <f aca="false">parametros_recargas!$E$73*'Plan mensual'!K277+parametros_recargas!$F$73*'Plan mensual'!K278+parametros_recargas!$G$73*'Plan mensual'!K279+parametros_recargas!$H$73*'Plan mensual'!K280+parametros_recargas!$I$73*'Plan mensual'!K281+parametros_recargas!$J$73*'Plan mensual'!K282+parametros_recargas!$K$73*'Plan mensual'!K283+parametros_recargas!$L$73*'Plan mensual'!K284+parametros_recargas!$M$73*'Plan mensual'!K286</f>
        <v>16561.2854611452</v>
      </c>
      <c r="J259" s="21" t="n">
        <f aca="false">parametros_recargas!$E$73*'Plan mensual'!L277+parametros_recargas!$F$73*'Plan mensual'!L278+parametros_recargas!$G$73*'Plan mensual'!L279+parametros_recargas!$H$73*'Plan mensual'!L280+parametros_recargas!$I$73*'Plan mensual'!L281+parametros_recargas!$J$73*'Plan mensual'!L282+parametros_recargas!$K$73*'Plan mensual'!L283+parametros_recargas!$L$73*'Plan mensual'!L284+parametros_recargas!$M$73*'Plan mensual'!L286</f>
        <v>16561.2854611452</v>
      </c>
      <c r="K259" s="21" t="n">
        <f aca="false">parametros_recargas!$E$73*'Plan mensual'!M277+parametros_recargas!$F$73*'Plan mensual'!M278+parametros_recargas!$G$73*'Plan mensual'!M279+parametros_recargas!$H$73*'Plan mensual'!M280+parametros_recargas!$I$73*'Plan mensual'!M281+parametros_recargas!$J$73*'Plan mensual'!M282+parametros_recargas!$K$73*'Plan mensual'!M283+parametros_recargas!$L$73*'Plan mensual'!M284+parametros_recargas!$M$73*'Plan mensual'!M286</f>
        <v>16561.2854611452</v>
      </c>
      <c r="L259" s="21" t="n">
        <f aca="false">parametros_recargas!$E$73*'Plan mensual'!N277+parametros_recargas!$F$73*'Plan mensual'!N278+parametros_recargas!$G$73*'Plan mensual'!N279+parametros_recargas!$H$73*'Plan mensual'!N280+parametros_recargas!$I$73*'Plan mensual'!N281+parametros_recargas!$J$73*'Plan mensual'!N282+parametros_recargas!$K$73*'Plan mensual'!N283+parametros_recargas!$L$73*'Plan mensual'!N284+parametros_recargas!$M$73*'Plan mensual'!N286</f>
        <v>16561.2854611452</v>
      </c>
      <c r="M259" s="21" t="n">
        <f aca="false">parametros_recargas!$E$73*'Plan mensual'!O277+parametros_recargas!$F$73*'Plan mensual'!O278+parametros_recargas!$G$73*'Plan mensual'!O279+parametros_recargas!$H$73*'Plan mensual'!O280+parametros_recargas!$I$73*'Plan mensual'!O281+parametros_recargas!$J$73*'Plan mensual'!O282+parametros_recargas!$K$73*'Plan mensual'!O283+parametros_recargas!$L$73*'Plan mensual'!O284+parametros_recargas!$M$73*'Plan mensual'!O286</f>
        <v>16561.2854611452</v>
      </c>
      <c r="N259" s="7" t="n">
        <f aca="false">SUM(B259:M259)</f>
        <v>198735.425533743</v>
      </c>
      <c r="O259" s="22" t="n">
        <f aca="false">MAX(B259:M259)</f>
        <v>16561.2854611452</v>
      </c>
      <c r="P259" s="12" t="n">
        <f aca="false">O259/parametros_recargas!$B$6</f>
        <v>110.408569740968</v>
      </c>
    </row>
    <row r="260" customFormat="false" ht="15" hidden="false" customHeight="false" outlineLevel="0" collapsed="false">
      <c r="A260" s="9" t="str">
        <f aca="false">parametros_recargas!$B$74</f>
        <v>Descarga ABC — ruta recuperable</v>
      </c>
      <c r="B260" s="21" t="n">
        <f aca="false">parametros_recargas!$E$74*'Plan mensual'!D277+parametros_recargas!$F$74*'Plan mensual'!D278+parametros_recargas!$G$74*'Plan mensual'!D279+parametros_recargas!$H$74*'Plan mensual'!D280+parametros_recargas!$I$74*'Plan mensual'!D281+parametros_recargas!$J$74*'Plan mensual'!D282+parametros_recargas!$K$74*'Plan mensual'!D283+parametros_recargas!$L$74*'Plan mensual'!D284+parametros_recargas!$M$74*'Plan mensual'!D286</f>
        <v>12251.6986150544</v>
      </c>
      <c r="C260" s="21" t="n">
        <f aca="false">parametros_recargas!$E$74*'Plan mensual'!E277+parametros_recargas!$F$74*'Plan mensual'!E278+parametros_recargas!$G$74*'Plan mensual'!E279+parametros_recargas!$H$74*'Plan mensual'!E280+parametros_recargas!$I$74*'Plan mensual'!E281+parametros_recargas!$J$74*'Plan mensual'!E282+parametros_recargas!$K$74*'Plan mensual'!E283+parametros_recargas!$L$74*'Plan mensual'!E284+parametros_recargas!$M$74*'Plan mensual'!E286</f>
        <v>12251.6986150544</v>
      </c>
      <c r="D260" s="21" t="n">
        <f aca="false">parametros_recargas!$E$74*'Plan mensual'!F277+parametros_recargas!$F$74*'Plan mensual'!F278+parametros_recargas!$G$74*'Plan mensual'!F279+parametros_recargas!$H$74*'Plan mensual'!F280+parametros_recargas!$I$74*'Plan mensual'!F281+parametros_recargas!$J$74*'Plan mensual'!F282+parametros_recargas!$K$74*'Plan mensual'!F283+parametros_recargas!$L$74*'Plan mensual'!F284+parametros_recargas!$M$74*'Plan mensual'!F286</f>
        <v>12251.6986150544</v>
      </c>
      <c r="E260" s="21" t="n">
        <f aca="false">parametros_recargas!$E$74*'Plan mensual'!G277+parametros_recargas!$F$74*'Plan mensual'!G278+parametros_recargas!$G$74*'Plan mensual'!G279+parametros_recargas!$H$74*'Plan mensual'!G280+parametros_recargas!$I$74*'Plan mensual'!G281+parametros_recargas!$J$74*'Plan mensual'!G282+parametros_recargas!$K$74*'Plan mensual'!G283+parametros_recargas!$L$74*'Plan mensual'!G284+parametros_recargas!$M$74*'Plan mensual'!G286</f>
        <v>12251.6986150544</v>
      </c>
      <c r="F260" s="21" t="n">
        <f aca="false">parametros_recargas!$E$74*'Plan mensual'!H277+parametros_recargas!$F$74*'Plan mensual'!H278+parametros_recargas!$G$74*'Plan mensual'!H279+parametros_recargas!$H$74*'Plan mensual'!H280+parametros_recargas!$I$74*'Plan mensual'!H281+parametros_recargas!$J$74*'Plan mensual'!H282+parametros_recargas!$K$74*'Plan mensual'!H283+parametros_recargas!$L$74*'Plan mensual'!H284+parametros_recargas!$M$74*'Plan mensual'!H286</f>
        <v>12251.6986150544</v>
      </c>
      <c r="G260" s="21" t="n">
        <f aca="false">parametros_recargas!$E$74*'Plan mensual'!I277+parametros_recargas!$F$74*'Plan mensual'!I278+parametros_recargas!$G$74*'Plan mensual'!I279+parametros_recargas!$H$74*'Plan mensual'!I280+parametros_recargas!$I$74*'Plan mensual'!I281+parametros_recargas!$J$74*'Plan mensual'!I282+parametros_recargas!$K$74*'Plan mensual'!I283+parametros_recargas!$L$74*'Plan mensual'!I284+parametros_recargas!$M$74*'Plan mensual'!I286</f>
        <v>12251.6986150544</v>
      </c>
      <c r="H260" s="21" t="n">
        <f aca="false">parametros_recargas!$E$74*'Plan mensual'!J277+parametros_recargas!$F$74*'Plan mensual'!J278+parametros_recargas!$G$74*'Plan mensual'!J279+parametros_recargas!$H$74*'Plan mensual'!J280+parametros_recargas!$I$74*'Plan mensual'!J281+parametros_recargas!$J$74*'Plan mensual'!J282+parametros_recargas!$K$74*'Plan mensual'!J283+parametros_recargas!$L$74*'Plan mensual'!J284+parametros_recargas!$M$74*'Plan mensual'!J286</f>
        <v>12251.6986150544</v>
      </c>
      <c r="I260" s="21" t="n">
        <f aca="false">parametros_recargas!$E$74*'Plan mensual'!K277+parametros_recargas!$F$74*'Plan mensual'!K278+parametros_recargas!$G$74*'Plan mensual'!K279+parametros_recargas!$H$74*'Plan mensual'!K280+parametros_recargas!$I$74*'Plan mensual'!K281+parametros_recargas!$J$74*'Plan mensual'!K282+parametros_recargas!$K$74*'Plan mensual'!K283+parametros_recargas!$L$74*'Plan mensual'!K284+parametros_recargas!$M$74*'Plan mensual'!K286</f>
        <v>12251.6986150544</v>
      </c>
      <c r="J260" s="21" t="n">
        <f aca="false">parametros_recargas!$E$74*'Plan mensual'!L277+parametros_recargas!$F$74*'Plan mensual'!L278+parametros_recargas!$G$74*'Plan mensual'!L279+parametros_recargas!$H$74*'Plan mensual'!L280+parametros_recargas!$I$74*'Plan mensual'!L281+parametros_recargas!$J$74*'Plan mensual'!L282+parametros_recargas!$K$74*'Plan mensual'!L283+parametros_recargas!$L$74*'Plan mensual'!L284+parametros_recargas!$M$74*'Plan mensual'!L286</f>
        <v>12251.6986150544</v>
      </c>
      <c r="K260" s="21" t="n">
        <f aca="false">parametros_recargas!$E$74*'Plan mensual'!M277+parametros_recargas!$F$74*'Plan mensual'!M278+parametros_recargas!$G$74*'Plan mensual'!M279+parametros_recargas!$H$74*'Plan mensual'!M280+parametros_recargas!$I$74*'Plan mensual'!M281+parametros_recargas!$J$74*'Plan mensual'!M282+parametros_recargas!$K$74*'Plan mensual'!M283+parametros_recargas!$L$74*'Plan mensual'!M284+parametros_recargas!$M$74*'Plan mensual'!M286</f>
        <v>12251.6986150544</v>
      </c>
      <c r="L260" s="21" t="n">
        <f aca="false">parametros_recargas!$E$74*'Plan mensual'!N277+parametros_recargas!$F$74*'Plan mensual'!N278+parametros_recargas!$G$74*'Plan mensual'!N279+parametros_recargas!$H$74*'Plan mensual'!N280+parametros_recargas!$I$74*'Plan mensual'!N281+parametros_recargas!$J$74*'Plan mensual'!N282+parametros_recargas!$K$74*'Plan mensual'!N283+parametros_recargas!$L$74*'Plan mensual'!N284+parametros_recargas!$M$74*'Plan mensual'!N286</f>
        <v>12251.6986150544</v>
      </c>
      <c r="M260" s="21" t="n">
        <f aca="false">parametros_recargas!$E$74*'Plan mensual'!O277+parametros_recargas!$F$74*'Plan mensual'!O278+parametros_recargas!$G$74*'Plan mensual'!O279+parametros_recargas!$H$74*'Plan mensual'!O280+parametros_recargas!$I$74*'Plan mensual'!O281+parametros_recargas!$J$74*'Plan mensual'!O282+parametros_recargas!$K$74*'Plan mensual'!O283+parametros_recargas!$L$74*'Plan mensual'!O284+parametros_recargas!$M$74*'Plan mensual'!O286</f>
        <v>12251.6986150544</v>
      </c>
      <c r="N260" s="7" t="n">
        <f aca="false">SUM(B260:M260)</f>
        <v>147020.383380652</v>
      </c>
      <c r="O260" s="22" t="n">
        <f aca="false">MAX(B260:M260)</f>
        <v>12251.6986150544</v>
      </c>
      <c r="P260" s="12" t="n">
        <f aca="false">O260/parametros_recargas!$B$6</f>
        <v>81.6779907670291</v>
      </c>
    </row>
    <row r="261" customFormat="false" ht="15" hidden="false" customHeight="false" outlineLevel="0" collapsed="false">
      <c r="A261" s="9" t="str">
        <f aca="false">parametros_recargas!$B$75</f>
        <v>Descarga ABC — ruta descarte</v>
      </c>
      <c r="B261" s="21" t="n">
        <f aca="false">parametros_recargas!$E$75*'Plan mensual'!D277+parametros_recargas!$F$75*'Plan mensual'!D278+parametros_recargas!$G$75*'Plan mensual'!D279+parametros_recargas!$H$75*'Plan mensual'!D280+parametros_recargas!$I$75*'Plan mensual'!D281+parametros_recargas!$J$75*'Plan mensual'!D282+parametros_recargas!$K$75*'Plan mensual'!D283+parametros_recargas!$L$75*'Plan mensual'!D284+parametros_recargas!$M$75*'Plan mensual'!D286</f>
        <v>1441.37630765345</v>
      </c>
      <c r="C261" s="21" t="n">
        <f aca="false">parametros_recargas!$E$75*'Plan mensual'!E277+parametros_recargas!$F$75*'Plan mensual'!E278+parametros_recargas!$G$75*'Plan mensual'!E279+parametros_recargas!$H$75*'Plan mensual'!E280+parametros_recargas!$I$75*'Plan mensual'!E281+parametros_recargas!$J$75*'Plan mensual'!E282+parametros_recargas!$K$75*'Plan mensual'!E283+parametros_recargas!$L$75*'Plan mensual'!E284+parametros_recargas!$M$75*'Plan mensual'!E286</f>
        <v>1441.37630765345</v>
      </c>
      <c r="D261" s="21" t="n">
        <f aca="false">parametros_recargas!$E$75*'Plan mensual'!F277+parametros_recargas!$F$75*'Plan mensual'!F278+parametros_recargas!$G$75*'Plan mensual'!F279+parametros_recargas!$H$75*'Plan mensual'!F280+parametros_recargas!$I$75*'Plan mensual'!F281+parametros_recargas!$J$75*'Plan mensual'!F282+parametros_recargas!$K$75*'Plan mensual'!F283+parametros_recargas!$L$75*'Plan mensual'!F284+parametros_recargas!$M$75*'Plan mensual'!F286</f>
        <v>1441.37630765345</v>
      </c>
      <c r="E261" s="21" t="n">
        <f aca="false">parametros_recargas!$E$75*'Plan mensual'!G277+parametros_recargas!$F$75*'Plan mensual'!G278+parametros_recargas!$G$75*'Plan mensual'!G279+parametros_recargas!$H$75*'Plan mensual'!G280+parametros_recargas!$I$75*'Plan mensual'!G281+parametros_recargas!$J$75*'Plan mensual'!G282+parametros_recargas!$K$75*'Plan mensual'!G283+parametros_recargas!$L$75*'Plan mensual'!G284+parametros_recargas!$M$75*'Plan mensual'!G286</f>
        <v>1441.37630765345</v>
      </c>
      <c r="F261" s="21" t="n">
        <f aca="false">parametros_recargas!$E$75*'Plan mensual'!H277+parametros_recargas!$F$75*'Plan mensual'!H278+parametros_recargas!$G$75*'Plan mensual'!H279+parametros_recargas!$H$75*'Plan mensual'!H280+parametros_recargas!$I$75*'Plan mensual'!H281+parametros_recargas!$J$75*'Plan mensual'!H282+parametros_recargas!$K$75*'Plan mensual'!H283+parametros_recargas!$L$75*'Plan mensual'!H284+parametros_recargas!$M$75*'Plan mensual'!H286</f>
        <v>1441.37630765345</v>
      </c>
      <c r="G261" s="21" t="n">
        <f aca="false">parametros_recargas!$E$75*'Plan mensual'!I277+parametros_recargas!$F$75*'Plan mensual'!I278+parametros_recargas!$G$75*'Plan mensual'!I279+parametros_recargas!$H$75*'Plan mensual'!I280+parametros_recargas!$I$75*'Plan mensual'!I281+parametros_recargas!$J$75*'Plan mensual'!I282+parametros_recargas!$K$75*'Plan mensual'!I283+parametros_recargas!$L$75*'Plan mensual'!I284+parametros_recargas!$M$75*'Plan mensual'!I286</f>
        <v>1441.37630765345</v>
      </c>
      <c r="H261" s="21" t="n">
        <f aca="false">parametros_recargas!$E$75*'Plan mensual'!J277+parametros_recargas!$F$75*'Plan mensual'!J278+parametros_recargas!$G$75*'Plan mensual'!J279+parametros_recargas!$H$75*'Plan mensual'!J280+parametros_recargas!$I$75*'Plan mensual'!J281+parametros_recargas!$J$75*'Plan mensual'!J282+parametros_recargas!$K$75*'Plan mensual'!J283+parametros_recargas!$L$75*'Plan mensual'!J284+parametros_recargas!$M$75*'Plan mensual'!J286</f>
        <v>1441.37630765345</v>
      </c>
      <c r="I261" s="21" t="n">
        <f aca="false">parametros_recargas!$E$75*'Plan mensual'!K277+parametros_recargas!$F$75*'Plan mensual'!K278+parametros_recargas!$G$75*'Plan mensual'!K279+parametros_recargas!$H$75*'Plan mensual'!K280+parametros_recargas!$I$75*'Plan mensual'!K281+parametros_recargas!$J$75*'Plan mensual'!K282+parametros_recargas!$K$75*'Plan mensual'!K283+parametros_recargas!$L$75*'Plan mensual'!K284+parametros_recargas!$M$75*'Plan mensual'!K286</f>
        <v>1441.37630765345</v>
      </c>
      <c r="J261" s="21" t="n">
        <f aca="false">parametros_recargas!$E$75*'Plan mensual'!L277+parametros_recargas!$F$75*'Plan mensual'!L278+parametros_recargas!$G$75*'Plan mensual'!L279+parametros_recargas!$H$75*'Plan mensual'!L280+parametros_recargas!$I$75*'Plan mensual'!L281+parametros_recargas!$J$75*'Plan mensual'!L282+parametros_recargas!$K$75*'Plan mensual'!L283+parametros_recargas!$L$75*'Plan mensual'!L284+parametros_recargas!$M$75*'Plan mensual'!L286</f>
        <v>1441.37630765345</v>
      </c>
      <c r="K261" s="21" t="n">
        <f aca="false">parametros_recargas!$E$75*'Plan mensual'!M277+parametros_recargas!$F$75*'Plan mensual'!M278+parametros_recargas!$G$75*'Plan mensual'!M279+parametros_recargas!$H$75*'Plan mensual'!M280+parametros_recargas!$I$75*'Plan mensual'!M281+parametros_recargas!$J$75*'Plan mensual'!M282+parametros_recargas!$K$75*'Plan mensual'!M283+parametros_recargas!$L$75*'Plan mensual'!M284+parametros_recargas!$M$75*'Plan mensual'!M286</f>
        <v>1441.37630765345</v>
      </c>
      <c r="L261" s="21" t="n">
        <f aca="false">parametros_recargas!$E$75*'Plan mensual'!N277+parametros_recargas!$F$75*'Plan mensual'!N278+parametros_recargas!$G$75*'Plan mensual'!N279+parametros_recargas!$H$75*'Plan mensual'!N280+parametros_recargas!$I$75*'Plan mensual'!N281+parametros_recargas!$J$75*'Plan mensual'!N282+parametros_recargas!$K$75*'Plan mensual'!N283+parametros_recargas!$L$75*'Plan mensual'!N284+parametros_recargas!$M$75*'Plan mensual'!N286</f>
        <v>1441.37630765345</v>
      </c>
      <c r="M261" s="21" t="n">
        <f aca="false">parametros_recargas!$E$75*'Plan mensual'!O277+parametros_recargas!$F$75*'Plan mensual'!O278+parametros_recargas!$G$75*'Plan mensual'!O279+parametros_recargas!$H$75*'Plan mensual'!O280+parametros_recargas!$I$75*'Plan mensual'!O281+parametros_recargas!$J$75*'Plan mensual'!O282+parametros_recargas!$K$75*'Plan mensual'!O283+parametros_recargas!$L$75*'Plan mensual'!O284+parametros_recargas!$M$75*'Plan mensual'!O286</f>
        <v>1441.37630765345</v>
      </c>
      <c r="N261" s="7" t="n">
        <f aca="false">SUM(B261:M261)</f>
        <v>17296.5156918414</v>
      </c>
      <c r="O261" s="22" t="n">
        <f aca="false">MAX(B261:M261)</f>
        <v>1441.37630765345</v>
      </c>
      <c r="P261" s="12" t="n">
        <f aca="false">O261/parametros_recargas!$B$6</f>
        <v>9.60917538435636</v>
      </c>
    </row>
    <row r="262" customFormat="false" ht="15" hidden="false" customHeight="false" outlineLevel="0" collapsed="false">
      <c r="A262" s="9" t="str">
        <f aca="false">parametros_recargas!$B$76</f>
        <v>Descarga BC</v>
      </c>
      <c r="B262" s="21"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20.9329072661012</v>
      </c>
      <c r="C262" s="21"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20.9329072661012</v>
      </c>
      <c r="D262" s="21"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20.9329072661012</v>
      </c>
      <c r="E262" s="21"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20.9329072661012</v>
      </c>
      <c r="F262" s="21"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20.9329072661012</v>
      </c>
      <c r="G262" s="21"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20.9329072661012</v>
      </c>
      <c r="H262" s="21"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20.9329072661012</v>
      </c>
      <c r="I262" s="21"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20.9329072661012</v>
      </c>
      <c r="J262" s="21"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20.9329072661012</v>
      </c>
      <c r="K262" s="21"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20.9329072661012</v>
      </c>
      <c r="L262" s="21"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20.9329072661012</v>
      </c>
      <c r="M262" s="21"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20.9329072661012</v>
      </c>
      <c r="N262" s="7" t="n">
        <f aca="false">SUM(B262:M262)</f>
        <v>251.194887193214</v>
      </c>
      <c r="O262" s="22" t="n">
        <f aca="false">MAX(B262:M262)</f>
        <v>20.9329072661012</v>
      </c>
      <c r="P262" s="12" t="n">
        <f aca="false">O262/parametros_recargas!$B$6</f>
        <v>0.139552715107341</v>
      </c>
    </row>
    <row r="263" customFormat="false" ht="15" hidden="false" customHeight="false" outlineLevel="0" collapsed="false">
      <c r="A263" s="9" t="str">
        <f aca="false">parametros_recargas!$B$77</f>
        <v>Descarga de agua / AFFF / sales K</v>
      </c>
      <c r="B263" s="21"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726.86237077553</v>
      </c>
      <c r="C263" s="21"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726.86237077553</v>
      </c>
      <c r="D263" s="21"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726.86237077553</v>
      </c>
      <c r="E263" s="21"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726.86237077553</v>
      </c>
      <c r="F263" s="21"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726.86237077553</v>
      </c>
      <c r="G263" s="21"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726.86237077553</v>
      </c>
      <c r="H263" s="21"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726.86237077553</v>
      </c>
      <c r="I263" s="21"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726.86237077553</v>
      </c>
      <c r="J263" s="21"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726.86237077553</v>
      </c>
      <c r="K263" s="21"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726.86237077553</v>
      </c>
      <c r="L263" s="21"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726.86237077553</v>
      </c>
      <c r="M263" s="21"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726.86237077553</v>
      </c>
      <c r="N263" s="7" t="n">
        <f aca="false">SUM(B263:M263)</f>
        <v>8722.34844930636</v>
      </c>
      <c r="O263" s="22" t="n">
        <f aca="false">MAX(B263:M263)</f>
        <v>726.86237077553</v>
      </c>
      <c r="P263" s="12" t="n">
        <f aca="false">O263/parametros_recargas!$B$6</f>
        <v>4.84574913850353</v>
      </c>
    </row>
    <row r="264" customFormat="false" ht="15" hidden="false" customHeight="false" outlineLevel="0" collapsed="false">
      <c r="A264" s="9" t="str">
        <f aca="false">parametros_recargas!$B$78</f>
        <v>Recuperación de CO₂</v>
      </c>
      <c r="B264" s="21"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331.463675427466</v>
      </c>
      <c r="C264" s="21"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331.463675427466</v>
      </c>
      <c r="D264" s="21"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331.463675427466</v>
      </c>
      <c r="E264" s="21"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331.463675427466</v>
      </c>
      <c r="F264" s="21"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331.463675427466</v>
      </c>
      <c r="G264" s="21"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331.463675427466</v>
      </c>
      <c r="H264" s="21"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331.463675427466</v>
      </c>
      <c r="I264" s="21"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331.463675427466</v>
      </c>
      <c r="J264" s="21"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331.463675427466</v>
      </c>
      <c r="K264" s="21"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331.463675427466</v>
      </c>
      <c r="L264" s="21"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331.463675427466</v>
      </c>
      <c r="M264" s="21"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331.463675427466</v>
      </c>
      <c r="N264" s="7" t="n">
        <f aca="false">SUM(B264:M264)</f>
        <v>3977.56410512959</v>
      </c>
      <c r="O264" s="22" t="n">
        <f aca="false">MAX(B264:M264)</f>
        <v>331.463675427466</v>
      </c>
      <c r="P264" s="12" t="n">
        <f aca="false">O264/parametros_recargas!$B$6</f>
        <v>2.20975783618311</v>
      </c>
    </row>
    <row r="265" customFormat="false" ht="15" hidden="false" customHeight="false" outlineLevel="0" collapsed="false">
      <c r="A265" s="9" t="str">
        <f aca="false">parametros_recargas!$B$79</f>
        <v>Recuperación de halogenado</v>
      </c>
      <c r="B265" s="21"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13.7443421463291</v>
      </c>
      <c r="C265" s="21"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13.7443421463291</v>
      </c>
      <c r="D265" s="21"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13.7443421463291</v>
      </c>
      <c r="E265" s="21"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13.7443421463291</v>
      </c>
      <c r="F265" s="21"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13.7443421463291</v>
      </c>
      <c r="G265" s="21"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13.7443421463291</v>
      </c>
      <c r="H265" s="21"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13.7443421463291</v>
      </c>
      <c r="I265" s="21"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13.7443421463291</v>
      </c>
      <c r="J265" s="21"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13.7443421463291</v>
      </c>
      <c r="K265" s="21"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13.7443421463291</v>
      </c>
      <c r="L265" s="21"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13.7443421463291</v>
      </c>
      <c r="M265" s="21"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13.7443421463291</v>
      </c>
      <c r="N265" s="7" t="n">
        <f aca="false">SUM(B265:M265)</f>
        <v>164.93210575595</v>
      </c>
      <c r="O265" s="22" t="n">
        <f aca="false">MAX(B265:M265)</f>
        <v>13.7443421463291</v>
      </c>
      <c r="P265" s="12" t="n">
        <f aca="false">O265/parametros_recargas!$B$6</f>
        <v>0.0916289476421943</v>
      </c>
    </row>
    <row r="266" customFormat="false" ht="15" hidden="false" customHeight="false" outlineLevel="0" collapsed="false">
      <c r="A266" s="9" t="str">
        <f aca="false">parametros_recargas!$B$80</f>
        <v>Desarme y limpieza — recinto</v>
      </c>
      <c r="B266" s="21"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14453.5910200745</v>
      </c>
      <c r="C266" s="21"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14453.5910200745</v>
      </c>
      <c r="D266" s="21"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14453.5910200745</v>
      </c>
      <c r="E266" s="21"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14453.5910200745</v>
      </c>
      <c r="F266" s="21"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14453.5910200745</v>
      </c>
      <c r="G266" s="21"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14453.5910200745</v>
      </c>
      <c r="H266" s="21"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14453.5910200745</v>
      </c>
      <c r="I266" s="21"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14453.5910200745</v>
      </c>
      <c r="J266" s="21"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14453.5910200745</v>
      </c>
      <c r="K266" s="21"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14453.5910200745</v>
      </c>
      <c r="L266" s="21"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14453.5910200745</v>
      </c>
      <c r="M266" s="21"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14453.5910200745</v>
      </c>
      <c r="N266" s="7" t="n">
        <f aca="false">SUM(B266:M266)</f>
        <v>173443.092240894</v>
      </c>
      <c r="O266" s="22" t="n">
        <f aca="false">MAX(B266:M266)</f>
        <v>14453.5910200745</v>
      </c>
      <c r="P266" s="12" t="n">
        <f aca="false">O266/parametros_recargas!$B$6</f>
        <v>96.3572734671635</v>
      </c>
    </row>
    <row r="267" customFormat="false" ht="15" hidden="false" customHeight="false" outlineLevel="0" collapsed="false">
      <c r="A267" s="9" t="str">
        <f aca="false">parametros_recargas!$B$81</f>
        <v>Desarme e inspección interior — zona general</v>
      </c>
      <c r="B267" s="21"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1072.07038834933</v>
      </c>
      <c r="C267" s="21"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1072.07038834933</v>
      </c>
      <c r="D267" s="21"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1072.07038834933</v>
      </c>
      <c r="E267" s="21"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1072.07038834933</v>
      </c>
      <c r="F267" s="21"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1072.07038834933</v>
      </c>
      <c r="G267" s="21"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1072.07038834933</v>
      </c>
      <c r="H267" s="21"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1072.07038834933</v>
      </c>
      <c r="I267" s="21"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1072.07038834933</v>
      </c>
      <c r="J267" s="21"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1072.07038834933</v>
      </c>
      <c r="K267" s="21"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1072.07038834933</v>
      </c>
      <c r="L267" s="21"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1072.07038834933</v>
      </c>
      <c r="M267" s="21"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1072.07038834933</v>
      </c>
      <c r="N267" s="7" t="n">
        <f aca="false">SUM(B267:M267)</f>
        <v>12864.8446601919</v>
      </c>
      <c r="O267" s="22" t="n">
        <f aca="false">MAX(B267:M267)</f>
        <v>1072.07038834933</v>
      </c>
      <c r="P267" s="12" t="n">
        <f aca="false">O267/parametros_recargas!$B$6</f>
        <v>7.14713592232884</v>
      </c>
    </row>
    <row r="268" customFormat="false" ht="15" hidden="false" customHeight="false" outlineLevel="0" collapsed="false">
      <c r="A268" s="9" t="str">
        <f aca="false">parametros_recargas!$B$82</f>
        <v>Laboratorio — Puffer y mufla</v>
      </c>
      <c r="B268" s="21"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14.4346959838006</v>
      </c>
      <c r="C268" s="21"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14.4346959838006</v>
      </c>
      <c r="D268" s="21"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14.4346959838006</v>
      </c>
      <c r="E268" s="21"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14.4346959838006</v>
      </c>
      <c r="F268" s="21"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14.4346959838006</v>
      </c>
      <c r="G268" s="21"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14.4346959838006</v>
      </c>
      <c r="H268" s="21"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14.4346959838006</v>
      </c>
      <c r="I268" s="21"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14.4346959838006</v>
      </c>
      <c r="J268" s="21"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14.4346959838006</v>
      </c>
      <c r="K268" s="21"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14.4346959838006</v>
      </c>
      <c r="L268" s="21"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14.4346959838006</v>
      </c>
      <c r="M268" s="21"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14.4346959838006</v>
      </c>
      <c r="N268" s="7" t="n">
        <f aca="false">SUM(B268:M268)</f>
        <v>173.216351805608</v>
      </c>
      <c r="O268" s="22" t="n">
        <f aca="false">MAX(B268:M268)</f>
        <v>14.4346959838006</v>
      </c>
      <c r="P268" s="12" t="n">
        <f aca="false">O268/parametros_recargas!$B$6</f>
        <v>0.0962313065586709</v>
      </c>
    </row>
    <row r="269" customFormat="false" ht="15" hidden="false" customHeight="false" outlineLevel="0" collapsed="false">
      <c r="A269" s="9" t="str">
        <f aca="false">parametros_recargas!$B$83</f>
        <v>Prueba hidráulica</v>
      </c>
      <c r="B269" s="21"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3530.31580346171</v>
      </c>
      <c r="C269" s="21"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3530.31580346171</v>
      </c>
      <c r="D269" s="21"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3530.31580346171</v>
      </c>
      <c r="E269" s="21"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3530.31580346171</v>
      </c>
      <c r="F269" s="21"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3530.31580346171</v>
      </c>
      <c r="G269" s="21"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3530.31580346171</v>
      </c>
      <c r="H269" s="21"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3530.31580346171</v>
      </c>
      <c r="I269" s="21"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3530.31580346171</v>
      </c>
      <c r="J269" s="21"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3530.31580346171</v>
      </c>
      <c r="K269" s="21"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3530.31580346171</v>
      </c>
      <c r="L269" s="21"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3530.31580346171</v>
      </c>
      <c r="M269" s="21"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3530.31580346171</v>
      </c>
      <c r="N269" s="7" t="n">
        <f aca="false">SUM(B269:M269)</f>
        <v>42363.7896415405</v>
      </c>
      <c r="O269" s="22" t="n">
        <f aca="false">MAX(B269:M269)</f>
        <v>3530.31580346171</v>
      </c>
      <c r="P269" s="12" t="n">
        <f aca="false">O269/parametros_recargas!$B$6</f>
        <v>23.5354386897447</v>
      </c>
    </row>
    <row r="270" customFormat="false" ht="15" hidden="false" customHeight="false" outlineLevel="0" collapsed="false">
      <c r="A270" s="9" t="str">
        <f aca="false">parametros_recargas!$B$84</f>
        <v>Secado</v>
      </c>
      <c r="B270" s="21"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3311.42052827469</v>
      </c>
      <c r="C270" s="21"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3311.42052827469</v>
      </c>
      <c r="D270" s="21"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3311.42052827469</v>
      </c>
      <c r="E270" s="21"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3311.42052827469</v>
      </c>
      <c r="F270" s="21"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3311.42052827469</v>
      </c>
      <c r="G270" s="21"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3311.42052827469</v>
      </c>
      <c r="H270" s="21"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3311.42052827469</v>
      </c>
      <c r="I270" s="21"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3311.42052827469</v>
      </c>
      <c r="J270" s="21"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3311.42052827469</v>
      </c>
      <c r="K270" s="21"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3311.42052827469</v>
      </c>
      <c r="L270" s="21"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3311.42052827469</v>
      </c>
      <c r="M270" s="21"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3311.42052827469</v>
      </c>
      <c r="N270" s="7" t="n">
        <f aca="false">SUM(B270:M270)</f>
        <v>39737.0463392962</v>
      </c>
      <c r="O270" s="22" t="n">
        <f aca="false">MAX(B270:M270)</f>
        <v>3311.42052827469</v>
      </c>
      <c r="P270" s="12" t="n">
        <f aca="false">O270/parametros_recargas!$B$6</f>
        <v>22.0761368551646</v>
      </c>
    </row>
    <row r="271" customFormat="false" ht="15" hidden="false" customHeight="false" outlineLevel="0" collapsed="false">
      <c r="A271" s="9" t="str">
        <f aca="false">parametros_recargas!$B$85</f>
        <v>Inspección interior con videoscopio</v>
      </c>
      <c r="B271" s="21"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3311.42052827469</v>
      </c>
      <c r="C271" s="21"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3311.42052827469</v>
      </c>
      <c r="D271" s="21"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3311.42052827469</v>
      </c>
      <c r="E271" s="21"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3311.42052827469</v>
      </c>
      <c r="F271" s="21"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3311.42052827469</v>
      </c>
      <c r="G271" s="21"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3311.42052827469</v>
      </c>
      <c r="H271" s="21"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3311.42052827469</v>
      </c>
      <c r="I271" s="21"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3311.42052827469</v>
      </c>
      <c r="J271" s="21"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3311.42052827469</v>
      </c>
      <c r="K271" s="21"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3311.42052827469</v>
      </c>
      <c r="L271" s="21"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3311.42052827469</v>
      </c>
      <c r="M271" s="21"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3311.42052827469</v>
      </c>
      <c r="N271" s="7" t="n">
        <f aca="false">SUM(B271:M271)</f>
        <v>39737.0463392962</v>
      </c>
      <c r="O271" s="22" t="n">
        <f aca="false">MAX(B271:M271)</f>
        <v>3311.42052827469</v>
      </c>
      <c r="P271" s="12" t="n">
        <f aca="false">O271/parametros_recargas!$B$6</f>
        <v>22.0761368551646</v>
      </c>
    </row>
    <row r="272" customFormat="false" ht="15" hidden="false" customHeight="false" outlineLevel="0" collapsed="false">
      <c r="A272" s="9" t="str">
        <f aca="false">parametros_recargas!$B$86</f>
        <v>Pintura</v>
      </c>
      <c r="B272" s="21"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1656.12854611452</v>
      </c>
      <c r="C272" s="21"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1656.12854611452</v>
      </c>
      <c r="D272" s="21"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1656.12854611452</v>
      </c>
      <c r="E272" s="21"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1656.12854611452</v>
      </c>
      <c r="F272" s="21"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1656.12854611452</v>
      </c>
      <c r="G272" s="21"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1656.12854611452</v>
      </c>
      <c r="H272" s="21"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1656.12854611452</v>
      </c>
      <c r="I272" s="21"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1656.12854611452</v>
      </c>
      <c r="J272" s="21"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1656.12854611452</v>
      </c>
      <c r="K272" s="21"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1656.12854611452</v>
      </c>
      <c r="L272" s="21"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1656.12854611452</v>
      </c>
      <c r="M272" s="21"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1656.12854611452</v>
      </c>
      <c r="N272" s="7" t="n">
        <f aca="false">SUM(B272:M272)</f>
        <v>19873.5425533743</v>
      </c>
      <c r="O272" s="22" t="n">
        <f aca="false">MAX(B272:M272)</f>
        <v>1656.12854611452</v>
      </c>
      <c r="P272" s="12" t="n">
        <f aca="false">O272/parametros_recargas!$B$6</f>
        <v>11.0408569740968</v>
      </c>
    </row>
    <row r="273" customFormat="false" ht="15" hidden="false" customHeight="false" outlineLevel="0" collapsed="false">
      <c r="A273" s="9" t="str">
        <f aca="false">parametros_recargas!$B$87</f>
        <v>Carga de polvo ABC</v>
      </c>
      <c r="B273" s="21"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14427.0810765345</v>
      </c>
      <c r="C273" s="21"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14424.5098765345</v>
      </c>
      <c r="D273" s="21"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14425.3176765345</v>
      </c>
      <c r="E273" s="21"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14425.3176765345</v>
      </c>
      <c r="F273" s="21"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14424.7078765345</v>
      </c>
      <c r="G273" s="21"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14423.9660765345</v>
      </c>
      <c r="H273" s="21"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14424.7078765345</v>
      </c>
      <c r="I273" s="21"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14424.7078765345</v>
      </c>
      <c r="J273" s="21"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14424.6418765345</v>
      </c>
      <c r="K273" s="21"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14423.9000765345</v>
      </c>
      <c r="L273" s="21"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14423.2242765345</v>
      </c>
      <c r="M273" s="21"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14428.2346765345</v>
      </c>
      <c r="N273" s="7" t="n">
        <f aca="false">SUM(B273:M273)</f>
        <v>173100.316918414</v>
      </c>
      <c r="O273" s="22" t="n">
        <f aca="false">MAX(B273:M273)</f>
        <v>14428.2346765345</v>
      </c>
      <c r="P273" s="12" t="n">
        <f aca="false">O273/parametros_recargas!$B$6</f>
        <v>96.1882311768969</v>
      </c>
    </row>
    <row r="274" customFormat="false" ht="15" hidden="false" customHeight="false" outlineLevel="0" collapsed="false">
      <c r="A274" s="9" t="str">
        <f aca="false">parametros_recargas!$B$88</f>
        <v>Carga de polvo BC</v>
      </c>
      <c r="B274" s="21"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20.9329072661012</v>
      </c>
      <c r="C274" s="21"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20.9329072661012</v>
      </c>
      <c r="D274" s="21"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20.9329072661012</v>
      </c>
      <c r="E274" s="21"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20.9329072661012</v>
      </c>
      <c r="F274" s="21"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20.9329072661012</v>
      </c>
      <c r="G274" s="21"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20.9329072661012</v>
      </c>
      <c r="H274" s="21"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20.9329072661012</v>
      </c>
      <c r="I274" s="21"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20.9329072661012</v>
      </c>
      <c r="J274" s="21"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20.9329072661012</v>
      </c>
      <c r="K274" s="21"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20.9329072661012</v>
      </c>
      <c r="L274" s="21"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20.9329072661012</v>
      </c>
      <c r="M274" s="21"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20.9329072661012</v>
      </c>
      <c r="N274" s="7" t="n">
        <f aca="false">SUM(B274:M274)</f>
        <v>251.194887193214</v>
      </c>
      <c r="O274" s="22" t="n">
        <f aca="false">MAX(B274:M274)</f>
        <v>20.9329072661012</v>
      </c>
      <c r="P274" s="12" t="n">
        <f aca="false">O274/parametros_recargas!$B$6</f>
        <v>0.139552715107341</v>
      </c>
    </row>
    <row r="275" customFormat="false" ht="15" hidden="false" customHeight="false" outlineLevel="0" collapsed="false">
      <c r="A275" s="9" t="str">
        <f aca="false">parametros_recargas!$B$89</f>
        <v>Descarga y carga Clase D</v>
      </c>
      <c r="B275" s="21"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18.8950362738789</v>
      </c>
      <c r="C275" s="21"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18.8950362738789</v>
      </c>
      <c r="D275" s="21"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18.8950362738789</v>
      </c>
      <c r="E275" s="21"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18.8950362738789</v>
      </c>
      <c r="F275" s="21"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18.8950362738789</v>
      </c>
      <c r="G275" s="21"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18.8950362738789</v>
      </c>
      <c r="H275" s="21"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18.8950362738789</v>
      </c>
      <c r="I275" s="21"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18.8950362738789</v>
      </c>
      <c r="J275" s="21"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18.8950362738789</v>
      </c>
      <c r="K275" s="21"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18.8950362738789</v>
      </c>
      <c r="L275" s="21"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18.8950362738789</v>
      </c>
      <c r="M275" s="21"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18.8950362738789</v>
      </c>
      <c r="N275" s="7" t="n">
        <f aca="false">SUM(B275:M275)</f>
        <v>226.740435286546</v>
      </c>
      <c r="O275" s="22" t="n">
        <f aca="false">MAX(B275:M275)</f>
        <v>18.8950362738789</v>
      </c>
      <c r="P275" s="12" t="n">
        <f aca="false">O275/parametros_recargas!$B$6</f>
        <v>0.125966908492526</v>
      </c>
    </row>
    <row r="276" customFormat="false" ht="15" hidden="false" customHeight="false" outlineLevel="0" collapsed="false">
      <c r="A276" s="9" t="str">
        <f aca="false">parametros_recargas!$B$90</f>
        <v>Carga de agua / AFFF / sales K</v>
      </c>
      <c r="B276" s="21"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726.86237077553</v>
      </c>
      <c r="C276" s="21"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726.86237077553</v>
      </c>
      <c r="D276" s="21"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726.86237077553</v>
      </c>
      <c r="E276" s="21"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726.86237077553</v>
      </c>
      <c r="F276" s="21"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726.86237077553</v>
      </c>
      <c r="G276" s="21"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726.86237077553</v>
      </c>
      <c r="H276" s="21"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726.86237077553</v>
      </c>
      <c r="I276" s="21"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726.86237077553</v>
      </c>
      <c r="J276" s="21"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726.86237077553</v>
      </c>
      <c r="K276" s="21"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726.86237077553</v>
      </c>
      <c r="L276" s="21"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726.86237077553</v>
      </c>
      <c r="M276" s="21"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726.86237077553</v>
      </c>
      <c r="N276" s="7" t="n">
        <f aca="false">SUM(B276:M276)</f>
        <v>8722.34844930636</v>
      </c>
      <c r="O276" s="22" t="n">
        <f aca="false">MAX(B276:M276)</f>
        <v>726.86237077553</v>
      </c>
      <c r="P276" s="12" t="n">
        <f aca="false">O276/parametros_recargas!$B$6</f>
        <v>4.84574913850353</v>
      </c>
    </row>
    <row r="277" customFormat="false" ht="15" hidden="false" customHeight="false" outlineLevel="0" collapsed="false">
      <c r="A277" s="9" t="str">
        <f aca="false">parametros_recargas!$B$91</f>
        <v>Carga de CO₂</v>
      </c>
      <c r="B277" s="21"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397.756410512959</v>
      </c>
      <c r="C277" s="21"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397.756410512959</v>
      </c>
      <c r="D277" s="21"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397.756410512959</v>
      </c>
      <c r="E277" s="21"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397.756410512959</v>
      </c>
      <c r="F277" s="21"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397.756410512959</v>
      </c>
      <c r="G277" s="21"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397.756410512959</v>
      </c>
      <c r="H277" s="21"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397.756410512959</v>
      </c>
      <c r="I277" s="21"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397.756410512959</v>
      </c>
      <c r="J277" s="21"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397.756410512959</v>
      </c>
      <c r="K277" s="21"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397.756410512959</v>
      </c>
      <c r="L277" s="21"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397.756410512959</v>
      </c>
      <c r="M277" s="21"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397.756410512959</v>
      </c>
      <c r="N277" s="7" t="n">
        <f aca="false">SUM(B277:M277)</f>
        <v>4773.07692615551</v>
      </c>
      <c r="O277" s="22" t="n">
        <f aca="false">MAX(B277:M277)</f>
        <v>397.756410512959</v>
      </c>
      <c r="P277" s="12" t="n">
        <f aca="false">O277/parametros_recargas!$B$6</f>
        <v>2.65170940341973</v>
      </c>
    </row>
    <row r="278" customFormat="false" ht="15" hidden="false" customHeight="false" outlineLevel="0" collapsed="false">
      <c r="A278" s="9" t="str">
        <f aca="false">parametros_recargas!$B$92</f>
        <v>Ensamblaje y marbete — recinto</v>
      </c>
      <c r="B278" s="21"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14466.9090200745</v>
      </c>
      <c r="C278" s="21"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14464.3378200745</v>
      </c>
      <c r="D278" s="21"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14465.1456200745</v>
      </c>
      <c r="E278" s="21"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14465.1456200745</v>
      </c>
      <c r="F278" s="21"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14464.5358200745</v>
      </c>
      <c r="G278" s="21"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14463.7940200745</v>
      </c>
      <c r="H278" s="21"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14464.5358200745</v>
      </c>
      <c r="I278" s="21"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14464.5358200745</v>
      </c>
      <c r="J278" s="21"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14464.4698200745</v>
      </c>
      <c r="K278" s="21"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14463.7280200745</v>
      </c>
      <c r="L278" s="21"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14463.0522200745</v>
      </c>
      <c r="M278" s="21"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14468.0626200745</v>
      </c>
      <c r="N278" s="7" t="n">
        <f aca="false">SUM(B278:M278)</f>
        <v>173578.252240894</v>
      </c>
      <c r="O278" s="22" t="n">
        <f aca="false">MAX(B278:M278)</f>
        <v>14468.0626200745</v>
      </c>
      <c r="P278" s="12" t="n">
        <f aca="false">O278/parametros_recargas!$B$6</f>
        <v>96.4537508004968</v>
      </c>
    </row>
    <row r="279" customFormat="false" ht="15" hidden="false" customHeight="false" outlineLevel="0" collapsed="false">
      <c r="A279" s="9" t="str">
        <f aca="false">parametros_recargas!$B$93</f>
        <v>Presurización — recinto</v>
      </c>
      <c r="B279" s="21"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14466.9090200745</v>
      </c>
      <c r="C279" s="21"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14464.3378200745</v>
      </c>
      <c r="D279" s="21"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14465.1456200745</v>
      </c>
      <c r="E279" s="21"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14465.1456200745</v>
      </c>
      <c r="F279" s="21"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14464.5358200745</v>
      </c>
      <c r="G279" s="21"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14463.7940200745</v>
      </c>
      <c r="H279" s="21"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14464.5358200745</v>
      </c>
      <c r="I279" s="21"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14464.5358200745</v>
      </c>
      <c r="J279" s="21"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14464.4698200745</v>
      </c>
      <c r="K279" s="21"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14463.7280200745</v>
      </c>
      <c r="L279" s="21"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14463.0522200745</v>
      </c>
      <c r="M279" s="21"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14468.0626200745</v>
      </c>
      <c r="N279" s="7" t="n">
        <f aca="false">SUM(B279:M279)</f>
        <v>173578.252240894</v>
      </c>
      <c r="O279" s="22" t="n">
        <f aca="false">MAX(B279:M279)</f>
        <v>14468.0626200745</v>
      </c>
      <c r="P279" s="12" t="n">
        <f aca="false">O279/parametros_recargas!$B$6</f>
        <v>96.4537508004968</v>
      </c>
    </row>
    <row r="280" customFormat="false" ht="15" hidden="false" customHeight="false" outlineLevel="0" collapsed="false">
      <c r="A280" s="9" t="str">
        <f aca="false">parametros_recargas!$B$94</f>
        <v>Ensamblaje y presurización — zona general</v>
      </c>
      <c r="B280" s="21"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1072.07038834933</v>
      </c>
      <c r="C280" s="21"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1072.07038834933</v>
      </c>
      <c r="D280" s="21"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1072.07038834933</v>
      </c>
      <c r="E280" s="21"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1072.07038834933</v>
      </c>
      <c r="F280" s="21"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1072.07038834933</v>
      </c>
      <c r="G280" s="21"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1072.07038834933</v>
      </c>
      <c r="H280" s="21"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1072.07038834933</v>
      </c>
      <c r="I280" s="21"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1072.07038834933</v>
      </c>
      <c r="J280" s="21"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1072.07038834933</v>
      </c>
      <c r="K280" s="21"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1072.07038834933</v>
      </c>
      <c r="L280" s="21"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1072.07038834933</v>
      </c>
      <c r="M280" s="21"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1072.07038834933</v>
      </c>
      <c r="N280" s="7" t="n">
        <f aca="false">SUM(B280:M280)</f>
        <v>12864.8446601919</v>
      </c>
      <c r="O280" s="22" t="n">
        <f aca="false">MAX(B280:M280)</f>
        <v>1072.07038834933</v>
      </c>
      <c r="P280" s="12" t="n">
        <f aca="false">O280/parametros_recargas!$B$6</f>
        <v>7.14713592232884</v>
      </c>
    </row>
    <row r="281" customFormat="false" ht="15" hidden="false" customHeight="false" outlineLevel="0" collapsed="false">
      <c r="A281" s="9" t="str">
        <f aca="false">parametros_recargas!$B$95</f>
        <v>Carga y presurización de halogenado</v>
      </c>
      <c r="B281" s="21"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13.7443421463291</v>
      </c>
      <c r="C281" s="21"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13.7443421463291</v>
      </c>
      <c r="D281" s="21"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13.7443421463291</v>
      </c>
      <c r="E281" s="21"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13.7443421463291</v>
      </c>
      <c r="F281" s="21"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13.7443421463291</v>
      </c>
      <c r="G281" s="21"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13.7443421463291</v>
      </c>
      <c r="H281" s="21"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13.7443421463291</v>
      </c>
      <c r="I281" s="21"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13.7443421463291</v>
      </c>
      <c r="J281" s="21"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13.7443421463291</v>
      </c>
      <c r="K281" s="21"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13.7443421463291</v>
      </c>
      <c r="L281" s="21"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13.7443421463291</v>
      </c>
      <c r="M281" s="21"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13.7443421463291</v>
      </c>
      <c r="N281" s="7" t="n">
        <f aca="false">SUM(B281:M281)</f>
        <v>164.93210575595</v>
      </c>
      <c r="O281" s="22" t="n">
        <f aca="false">MAX(B281:M281)</f>
        <v>13.7443421463291</v>
      </c>
      <c r="P281" s="12" t="n">
        <f aca="false">O281/parametros_recargas!$B$6</f>
        <v>0.0916289476421943</v>
      </c>
    </row>
    <row r="282" customFormat="false" ht="15" hidden="false" customHeight="false" outlineLevel="0" collapsed="false">
      <c r="A282" s="9" t="str">
        <f aca="false">parametros_recargas!$B$96</f>
        <v>Control de peso (CO₂ y halogenados sin recarga)</v>
      </c>
      <c r="B282" s="21"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969.331317635892</v>
      </c>
      <c r="C282" s="21"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969.331317635892</v>
      </c>
      <c r="D282" s="21"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969.331317635892</v>
      </c>
      <c r="E282" s="21"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969.331317635892</v>
      </c>
      <c r="F282" s="21"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969.331317635892</v>
      </c>
      <c r="G282" s="21"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969.331317635892</v>
      </c>
      <c r="H282" s="21"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969.331317635892</v>
      </c>
      <c r="I282" s="21"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969.331317635892</v>
      </c>
      <c r="J282" s="21"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969.331317635892</v>
      </c>
      <c r="K282" s="21"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969.331317635892</v>
      </c>
      <c r="L282" s="21"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969.331317635892</v>
      </c>
      <c r="M282" s="21"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969.331317635892</v>
      </c>
      <c r="N282" s="7" t="n">
        <f aca="false">SUM(B282:M282)</f>
        <v>11631.9758116307</v>
      </c>
      <c r="O282" s="22" t="n">
        <f aca="false">MAX(B282:M282)</f>
        <v>969.331317635892</v>
      </c>
      <c r="P282" s="12" t="n">
        <f aca="false">O282/parametros_recargas!$B$6</f>
        <v>6.46220878423928</v>
      </c>
    </row>
    <row r="283" customFormat="false" ht="15" hidden="false" customHeight="false" outlineLevel="0" collapsed="false">
      <c r="A283" s="9" t="str">
        <f aca="false">parametros_recargas!$B$97</f>
        <v>Ensayo de pérdidas</v>
      </c>
      <c r="B283" s="21"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16574.6034611452</v>
      </c>
      <c r="C283" s="21"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16572.0322611452</v>
      </c>
      <c r="D283" s="21"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16572.8400611452</v>
      </c>
      <c r="E283" s="21"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16572.8400611452</v>
      </c>
      <c r="F283" s="21"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16572.2302611452</v>
      </c>
      <c r="G283" s="21"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16571.4884611452</v>
      </c>
      <c r="H283" s="21"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16572.2302611452</v>
      </c>
      <c r="I283" s="21"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16572.2302611452</v>
      </c>
      <c r="J283" s="21"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16572.1642611452</v>
      </c>
      <c r="K283" s="21"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16571.4224611452</v>
      </c>
      <c r="L283" s="21"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16570.7466611452</v>
      </c>
      <c r="M283" s="21"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16575.7570611452</v>
      </c>
      <c r="N283" s="7" t="n">
        <f aca="false">SUM(B283:M283)</f>
        <v>198870.585533743</v>
      </c>
      <c r="O283" s="22" t="n">
        <f aca="false">MAX(B283:M283)</f>
        <v>16575.7570611452</v>
      </c>
      <c r="P283" s="12" t="n">
        <f aca="false">O283/parametros_recargas!$B$6</f>
        <v>110.505047074302</v>
      </c>
    </row>
    <row r="284" customFormat="false" ht="15" hidden="false" customHeight="false" outlineLevel="0" collapsed="false">
      <c r="A284" s="9" t="str">
        <f aca="false">parametros_recargas!$B$98</f>
        <v>Precinto, etiqueta y despacho</v>
      </c>
      <c r="B284" s="21"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16574.6034611452</v>
      </c>
      <c r="C284" s="21"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16572.0322611452</v>
      </c>
      <c r="D284" s="21"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16572.8400611452</v>
      </c>
      <c r="E284" s="21"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16572.8400611452</v>
      </c>
      <c r="F284" s="21"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16572.2302611452</v>
      </c>
      <c r="G284" s="21"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16571.4884611452</v>
      </c>
      <c r="H284" s="21"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16572.2302611452</v>
      </c>
      <c r="I284" s="21"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16572.2302611452</v>
      </c>
      <c r="J284" s="21"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16572.1642611452</v>
      </c>
      <c r="K284" s="21"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16571.4224611452</v>
      </c>
      <c r="L284" s="21"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16570.7466611452</v>
      </c>
      <c r="M284" s="21"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16575.7570611452</v>
      </c>
      <c r="N284" s="7" t="n">
        <f aca="false">SUM(B284:M284)</f>
        <v>198870.585533743</v>
      </c>
      <c r="O284" s="22" t="n">
        <f aca="false">MAX(B284:M284)</f>
        <v>16575.7570611452</v>
      </c>
      <c r="P284" s="12" t="n">
        <f aca="false">O284/parametros_recargas!$B$6</f>
        <v>110.505047074302</v>
      </c>
    </row>
    <row r="285" customFormat="false" ht="15" hidden="false" customHeight="false" outlineLevel="0" collapsed="false">
      <c r="A285" s="9" t="str">
        <f aca="false">parametros_recargas!$B$99</f>
        <v>Inutilización y disposición final</v>
      </c>
      <c r="B285" s="21"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1302.80525852979</v>
      </c>
      <c r="C285" s="21"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1302.80525852979</v>
      </c>
      <c r="D285" s="21"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1302.80525852979</v>
      </c>
      <c r="E285" s="21"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1302.80525852979</v>
      </c>
      <c r="F285" s="21"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1302.80525852979</v>
      </c>
      <c r="G285" s="21"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1302.80525852979</v>
      </c>
      <c r="H285" s="21"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1302.80525852979</v>
      </c>
      <c r="I285" s="21"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1302.80525852979</v>
      </c>
      <c r="J285" s="21"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1302.80525852979</v>
      </c>
      <c r="K285" s="21"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1302.80525852979</v>
      </c>
      <c r="L285" s="21"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1302.80525852979</v>
      </c>
      <c r="M285" s="21"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1302.80525852979</v>
      </c>
      <c r="N285" s="7" t="n">
        <f aca="false">SUM(B285:M285)</f>
        <v>15633.6631023574</v>
      </c>
      <c r="O285" s="22" t="n">
        <f aca="false">MAX(B285:M285)</f>
        <v>1302.80525852979</v>
      </c>
      <c r="P285" s="12" t="n">
        <f aca="false">O285/parametros_recargas!$B$6</f>
        <v>8.68536839019858</v>
      </c>
    </row>
    <row r="286" customFormat="false" ht="15" hidden="false" customHeight="false" outlineLevel="0" collapsed="false">
      <c r="A286" s="9" t="str">
        <f aca="false">parametros_recargas!$B$100</f>
        <v>PH de mangueras (CO₂ y rodantes)</v>
      </c>
      <c r="B286" s="21" t="n">
        <f aca="false">'Plan mensual'!D285</f>
        <v>553.718754745944</v>
      </c>
      <c r="C286" s="21" t="n">
        <f aca="false">'Plan mensual'!E285</f>
        <v>553.718754745944</v>
      </c>
      <c r="D286" s="21" t="n">
        <f aca="false">'Plan mensual'!F285</f>
        <v>553.718754745944</v>
      </c>
      <c r="E286" s="21" t="n">
        <f aca="false">'Plan mensual'!G285</f>
        <v>553.718754745944</v>
      </c>
      <c r="F286" s="21" t="n">
        <f aca="false">'Plan mensual'!H285</f>
        <v>553.718754745944</v>
      </c>
      <c r="G286" s="21" t="n">
        <f aca="false">'Plan mensual'!I285</f>
        <v>553.718754745944</v>
      </c>
      <c r="H286" s="21" t="n">
        <f aca="false">'Plan mensual'!J285</f>
        <v>553.718754745944</v>
      </c>
      <c r="I286" s="21" t="n">
        <f aca="false">'Plan mensual'!K285</f>
        <v>553.718754745944</v>
      </c>
      <c r="J286" s="21" t="n">
        <f aca="false">'Plan mensual'!L285</f>
        <v>553.718754745944</v>
      </c>
      <c r="K286" s="21" t="n">
        <f aca="false">'Plan mensual'!M285</f>
        <v>553.718754745944</v>
      </c>
      <c r="L286" s="21" t="n">
        <f aca="false">'Plan mensual'!N285</f>
        <v>553.718754745944</v>
      </c>
      <c r="M286" s="21" t="n">
        <f aca="false">'Plan mensual'!O285</f>
        <v>553.718754745944</v>
      </c>
      <c r="N286" s="7" t="n">
        <f aca="false">SUM(B286:M286)</f>
        <v>6644.62505695133</v>
      </c>
      <c r="O286" s="22" t="n">
        <f aca="false">MAX(B286:M286)</f>
        <v>553.718754745944</v>
      </c>
      <c r="P286" s="12" t="n">
        <f aca="false">O286/parametros_recargas!$B$6</f>
        <v>3.69145836497296</v>
      </c>
    </row>
    <row r="289" customFormat="false" ht="23.85" hidden="false" customHeight="false" outlineLevel="0" collapsed="false">
      <c r="A289" s="3" t="s">
        <v>372</v>
      </c>
      <c r="B289" s="3" t="s">
        <v>147</v>
      </c>
      <c r="C289" s="3" t="s">
        <v>148</v>
      </c>
      <c r="D289" s="3" t="s">
        <v>149</v>
      </c>
      <c r="E289" s="3" t="s">
        <v>150</v>
      </c>
      <c r="F289" s="3" t="s">
        <v>151</v>
      </c>
      <c r="G289" s="3" t="s">
        <v>152</v>
      </c>
      <c r="H289" s="3" t="s">
        <v>153</v>
      </c>
      <c r="I289" s="3" t="s">
        <v>154</v>
      </c>
      <c r="J289" s="3" t="s">
        <v>155</v>
      </c>
      <c r="K289" s="3" t="s">
        <v>156</v>
      </c>
      <c r="L289" s="3" t="s">
        <v>157</v>
      </c>
      <c r="M289" s="3" t="s">
        <v>158</v>
      </c>
      <c r="N289" s="3" t="s">
        <v>361</v>
      </c>
      <c r="O289" s="3" t="s">
        <v>362</v>
      </c>
      <c r="P289" s="3" t="s">
        <v>363</v>
      </c>
    </row>
    <row r="290" customFormat="false" ht="15" hidden="false" customHeight="false" outlineLevel="0" collapsed="false">
      <c r="A290" s="9" t="str">
        <f aca="false">parametros_recargas!$B$72</f>
        <v>Recepción y registro</v>
      </c>
      <c r="B290" s="21" t="n">
        <f aca="false">parametros_recargas!$E$72*'Plan mensual'!D309+parametros_recargas!$F$72*'Plan mensual'!D310+parametros_recargas!$G$72*'Plan mensual'!D311+parametros_recargas!$H$72*'Plan mensual'!D312+parametros_recargas!$I$72*'Plan mensual'!D313+parametros_recargas!$J$72*'Plan mensual'!D314+parametros_recargas!$K$72*'Plan mensual'!D315+parametros_recargas!$L$72*'Plan mensual'!D316+parametros_recargas!$M$72*'Plan mensual'!D318</f>
        <v>17768.1059693125</v>
      </c>
      <c r="C290" s="21" t="n">
        <f aca="false">parametros_recargas!$E$72*'Plan mensual'!E309+parametros_recargas!$F$72*'Plan mensual'!E310+parametros_recargas!$G$72*'Plan mensual'!E311+parametros_recargas!$H$72*'Plan mensual'!E312+parametros_recargas!$I$72*'Plan mensual'!E313+parametros_recargas!$J$72*'Plan mensual'!E314+parametros_recargas!$K$72*'Plan mensual'!E315+parametros_recargas!$L$72*'Plan mensual'!E316+parametros_recargas!$M$72*'Plan mensual'!E318</f>
        <v>17765.4123693125</v>
      </c>
      <c r="D290" s="21" t="n">
        <f aca="false">parametros_recargas!$E$72*'Plan mensual'!F309+parametros_recargas!$F$72*'Plan mensual'!F310+parametros_recargas!$G$72*'Plan mensual'!F311+parametros_recargas!$H$72*'Plan mensual'!F312+parametros_recargas!$I$72*'Plan mensual'!F313+parametros_recargas!$J$72*'Plan mensual'!F314+parametros_recargas!$K$72*'Plan mensual'!F315+parametros_recargas!$L$72*'Plan mensual'!F316+parametros_recargas!$M$72*'Plan mensual'!F318</f>
        <v>17766.2567693125</v>
      </c>
      <c r="E290" s="21" t="n">
        <f aca="false">parametros_recargas!$E$72*'Plan mensual'!G309+parametros_recargas!$F$72*'Plan mensual'!G310+parametros_recargas!$G$72*'Plan mensual'!G311+parametros_recargas!$H$72*'Plan mensual'!G312+parametros_recargas!$I$72*'Plan mensual'!G313+parametros_recargas!$J$72*'Plan mensual'!G314+parametros_recargas!$K$72*'Plan mensual'!G315+parametros_recargas!$L$72*'Plan mensual'!G316+parametros_recargas!$M$72*'Plan mensual'!G318</f>
        <v>17766.2567693125</v>
      </c>
      <c r="F290" s="21" t="n">
        <f aca="false">parametros_recargas!$E$72*'Plan mensual'!H309+parametros_recargas!$F$72*'Plan mensual'!H310+parametros_recargas!$G$72*'Plan mensual'!H311+parametros_recargas!$H$72*'Plan mensual'!H312+parametros_recargas!$I$72*'Plan mensual'!H313+parametros_recargas!$J$72*'Plan mensual'!H314+parametros_recargas!$K$72*'Plan mensual'!H315+parametros_recargas!$L$72*'Plan mensual'!H316+parametros_recargas!$M$72*'Plan mensual'!H318</f>
        <v>17765.6175693125</v>
      </c>
      <c r="G290" s="21" t="n">
        <f aca="false">parametros_recargas!$E$72*'Plan mensual'!I309+parametros_recargas!$F$72*'Plan mensual'!I310+parametros_recargas!$G$72*'Plan mensual'!I311+parametros_recargas!$H$72*'Plan mensual'!I312+parametros_recargas!$I$72*'Plan mensual'!I313+parametros_recargas!$J$72*'Plan mensual'!I314+parametros_recargas!$K$72*'Plan mensual'!I315+parametros_recargas!$L$72*'Plan mensual'!I316+parametros_recargas!$M$72*'Plan mensual'!I318</f>
        <v>17764.8415693125</v>
      </c>
      <c r="H290" s="21" t="n">
        <f aca="false">parametros_recargas!$E$72*'Plan mensual'!J309+parametros_recargas!$F$72*'Plan mensual'!J310+parametros_recargas!$G$72*'Plan mensual'!J311+parametros_recargas!$H$72*'Plan mensual'!J312+parametros_recargas!$I$72*'Plan mensual'!J313+parametros_recargas!$J$72*'Plan mensual'!J314+parametros_recargas!$K$72*'Plan mensual'!J315+parametros_recargas!$L$72*'Plan mensual'!J316+parametros_recargas!$M$72*'Plan mensual'!J318</f>
        <v>17765.6175693125</v>
      </c>
      <c r="I290" s="21" t="n">
        <f aca="false">parametros_recargas!$E$72*'Plan mensual'!K309+parametros_recargas!$F$72*'Plan mensual'!K310+parametros_recargas!$G$72*'Plan mensual'!K311+parametros_recargas!$H$72*'Plan mensual'!K312+parametros_recargas!$I$72*'Plan mensual'!K313+parametros_recargas!$J$72*'Plan mensual'!K314+parametros_recargas!$K$72*'Plan mensual'!K315+parametros_recargas!$L$72*'Plan mensual'!K316+parametros_recargas!$M$72*'Plan mensual'!K318</f>
        <v>17765.6175693125</v>
      </c>
      <c r="J290" s="21" t="n">
        <f aca="false">parametros_recargas!$E$72*'Plan mensual'!L309+parametros_recargas!$F$72*'Plan mensual'!L310+parametros_recargas!$G$72*'Plan mensual'!L311+parametros_recargas!$H$72*'Plan mensual'!L312+parametros_recargas!$I$72*'Plan mensual'!L313+parametros_recargas!$J$72*'Plan mensual'!L314+parametros_recargas!$K$72*'Plan mensual'!L315+parametros_recargas!$L$72*'Plan mensual'!L316+parametros_recargas!$M$72*'Plan mensual'!L318</f>
        <v>17765.5491693125</v>
      </c>
      <c r="K290" s="21" t="n">
        <f aca="false">parametros_recargas!$E$72*'Plan mensual'!M309+parametros_recargas!$F$72*'Plan mensual'!M310+parametros_recargas!$G$72*'Plan mensual'!M311+parametros_recargas!$H$72*'Plan mensual'!M312+parametros_recargas!$I$72*'Plan mensual'!M313+parametros_recargas!$J$72*'Plan mensual'!M314+parametros_recargas!$K$72*'Plan mensual'!M315+parametros_recargas!$L$72*'Plan mensual'!M316+parametros_recargas!$M$72*'Plan mensual'!M318</f>
        <v>17764.7731693125</v>
      </c>
      <c r="L290" s="21" t="n">
        <f aca="false">parametros_recargas!$E$72*'Plan mensual'!N309+parametros_recargas!$F$72*'Plan mensual'!N310+parametros_recargas!$G$72*'Plan mensual'!N311+parametros_recargas!$H$72*'Plan mensual'!N312+parametros_recargas!$I$72*'Plan mensual'!N313+parametros_recargas!$J$72*'Plan mensual'!N314+parametros_recargas!$K$72*'Plan mensual'!N315+parametros_recargas!$L$72*'Plan mensual'!N316+parametros_recargas!$M$72*'Plan mensual'!N318</f>
        <v>17764.0655693125</v>
      </c>
      <c r="M290" s="21" t="n">
        <f aca="false">parametros_recargas!$E$72*'Plan mensual'!O309+parametros_recargas!$F$72*'Plan mensual'!O310+parametros_recargas!$G$72*'Plan mensual'!O311+parametros_recargas!$H$72*'Plan mensual'!O312+parametros_recargas!$I$72*'Plan mensual'!O313+parametros_recargas!$J$72*'Plan mensual'!O314+parametros_recargas!$K$72*'Plan mensual'!O315+parametros_recargas!$L$72*'Plan mensual'!O316+parametros_recargas!$M$72*'Plan mensual'!O318</f>
        <v>17769.3159693125</v>
      </c>
      <c r="N290" s="7" t="n">
        <f aca="false">SUM(B290:M290)</f>
        <v>213191.43003175</v>
      </c>
      <c r="O290" s="22" t="n">
        <f aca="false">MAX(B290:M290)</f>
        <v>17769.3159693125</v>
      </c>
      <c r="P290" s="12" t="n">
        <f aca="false">O290/parametros_recargas!$B$6</f>
        <v>118.462106462084</v>
      </c>
    </row>
    <row r="291" customFormat="false" ht="15" hidden="false" customHeight="false" outlineLevel="0" collapsed="false">
      <c r="A291" s="9" t="str">
        <f aca="false">parametros_recargas!$B$73</f>
        <v>Inspección visual</v>
      </c>
      <c r="B291" s="21" t="n">
        <f aca="false">parametros_recargas!$E$73*'Plan mensual'!D309+parametros_recargas!$F$73*'Plan mensual'!D310+parametros_recargas!$G$73*'Plan mensual'!D311+parametros_recargas!$H$73*'Plan mensual'!D312+parametros_recargas!$I$73*'Plan mensual'!D313+parametros_recargas!$J$73*'Plan mensual'!D314+parametros_recargas!$K$73*'Plan mensual'!D315+parametros_recargas!$L$73*'Plan mensual'!D316+parametros_recargas!$M$73*'Plan mensual'!D318</f>
        <v>17754.1591693125</v>
      </c>
      <c r="C291" s="21" t="n">
        <f aca="false">parametros_recargas!$E$73*'Plan mensual'!E309+parametros_recargas!$F$73*'Plan mensual'!E310+parametros_recargas!$G$73*'Plan mensual'!E311+parametros_recargas!$H$73*'Plan mensual'!E312+parametros_recargas!$I$73*'Plan mensual'!E313+parametros_recargas!$J$73*'Plan mensual'!E314+parametros_recargas!$K$73*'Plan mensual'!E315+parametros_recargas!$L$73*'Plan mensual'!E316+parametros_recargas!$M$73*'Plan mensual'!E318</f>
        <v>17754.1591693125</v>
      </c>
      <c r="D291" s="21" t="n">
        <f aca="false">parametros_recargas!$E$73*'Plan mensual'!F309+parametros_recargas!$F$73*'Plan mensual'!F310+parametros_recargas!$G$73*'Plan mensual'!F311+parametros_recargas!$H$73*'Plan mensual'!F312+parametros_recargas!$I$73*'Plan mensual'!F313+parametros_recargas!$J$73*'Plan mensual'!F314+parametros_recargas!$K$73*'Plan mensual'!F315+parametros_recargas!$L$73*'Plan mensual'!F316+parametros_recargas!$M$73*'Plan mensual'!F318</f>
        <v>17754.1591693125</v>
      </c>
      <c r="E291" s="21" t="n">
        <f aca="false">parametros_recargas!$E$73*'Plan mensual'!G309+parametros_recargas!$F$73*'Plan mensual'!G310+parametros_recargas!$G$73*'Plan mensual'!G311+parametros_recargas!$H$73*'Plan mensual'!G312+parametros_recargas!$I$73*'Plan mensual'!G313+parametros_recargas!$J$73*'Plan mensual'!G314+parametros_recargas!$K$73*'Plan mensual'!G315+parametros_recargas!$L$73*'Plan mensual'!G316+parametros_recargas!$M$73*'Plan mensual'!G318</f>
        <v>17754.1591693125</v>
      </c>
      <c r="F291" s="21" t="n">
        <f aca="false">parametros_recargas!$E$73*'Plan mensual'!H309+parametros_recargas!$F$73*'Plan mensual'!H310+parametros_recargas!$G$73*'Plan mensual'!H311+parametros_recargas!$H$73*'Plan mensual'!H312+parametros_recargas!$I$73*'Plan mensual'!H313+parametros_recargas!$J$73*'Plan mensual'!H314+parametros_recargas!$K$73*'Plan mensual'!H315+parametros_recargas!$L$73*'Plan mensual'!H316+parametros_recargas!$M$73*'Plan mensual'!H318</f>
        <v>17754.1591693125</v>
      </c>
      <c r="G291" s="21" t="n">
        <f aca="false">parametros_recargas!$E$73*'Plan mensual'!I309+parametros_recargas!$F$73*'Plan mensual'!I310+parametros_recargas!$G$73*'Plan mensual'!I311+parametros_recargas!$H$73*'Plan mensual'!I312+parametros_recargas!$I$73*'Plan mensual'!I313+parametros_recargas!$J$73*'Plan mensual'!I314+parametros_recargas!$K$73*'Plan mensual'!I315+parametros_recargas!$L$73*'Plan mensual'!I316+parametros_recargas!$M$73*'Plan mensual'!I318</f>
        <v>17754.1591693125</v>
      </c>
      <c r="H291" s="21" t="n">
        <f aca="false">parametros_recargas!$E$73*'Plan mensual'!J309+parametros_recargas!$F$73*'Plan mensual'!J310+parametros_recargas!$G$73*'Plan mensual'!J311+parametros_recargas!$H$73*'Plan mensual'!J312+parametros_recargas!$I$73*'Plan mensual'!J313+parametros_recargas!$J$73*'Plan mensual'!J314+parametros_recargas!$K$73*'Plan mensual'!J315+parametros_recargas!$L$73*'Plan mensual'!J316+parametros_recargas!$M$73*'Plan mensual'!J318</f>
        <v>17754.1591693125</v>
      </c>
      <c r="I291" s="21" t="n">
        <f aca="false">parametros_recargas!$E$73*'Plan mensual'!K309+parametros_recargas!$F$73*'Plan mensual'!K310+parametros_recargas!$G$73*'Plan mensual'!K311+parametros_recargas!$H$73*'Plan mensual'!K312+parametros_recargas!$I$73*'Plan mensual'!K313+parametros_recargas!$J$73*'Plan mensual'!K314+parametros_recargas!$K$73*'Plan mensual'!K315+parametros_recargas!$L$73*'Plan mensual'!K316+parametros_recargas!$M$73*'Plan mensual'!K318</f>
        <v>17754.1591693125</v>
      </c>
      <c r="J291" s="21" t="n">
        <f aca="false">parametros_recargas!$E$73*'Plan mensual'!L309+parametros_recargas!$F$73*'Plan mensual'!L310+parametros_recargas!$G$73*'Plan mensual'!L311+parametros_recargas!$H$73*'Plan mensual'!L312+parametros_recargas!$I$73*'Plan mensual'!L313+parametros_recargas!$J$73*'Plan mensual'!L314+parametros_recargas!$K$73*'Plan mensual'!L315+parametros_recargas!$L$73*'Plan mensual'!L316+parametros_recargas!$M$73*'Plan mensual'!L318</f>
        <v>17754.1591693125</v>
      </c>
      <c r="K291" s="21" t="n">
        <f aca="false">parametros_recargas!$E$73*'Plan mensual'!M309+parametros_recargas!$F$73*'Plan mensual'!M310+parametros_recargas!$G$73*'Plan mensual'!M311+parametros_recargas!$H$73*'Plan mensual'!M312+parametros_recargas!$I$73*'Plan mensual'!M313+parametros_recargas!$J$73*'Plan mensual'!M314+parametros_recargas!$K$73*'Plan mensual'!M315+parametros_recargas!$L$73*'Plan mensual'!M316+parametros_recargas!$M$73*'Plan mensual'!M318</f>
        <v>17754.1591693125</v>
      </c>
      <c r="L291" s="21" t="n">
        <f aca="false">parametros_recargas!$E$73*'Plan mensual'!N309+parametros_recargas!$F$73*'Plan mensual'!N310+parametros_recargas!$G$73*'Plan mensual'!N311+parametros_recargas!$H$73*'Plan mensual'!N312+parametros_recargas!$I$73*'Plan mensual'!N313+parametros_recargas!$J$73*'Plan mensual'!N314+parametros_recargas!$K$73*'Plan mensual'!N315+parametros_recargas!$L$73*'Plan mensual'!N316+parametros_recargas!$M$73*'Plan mensual'!N318</f>
        <v>17754.1591693125</v>
      </c>
      <c r="M291" s="21" t="n">
        <f aca="false">parametros_recargas!$E$73*'Plan mensual'!O309+parametros_recargas!$F$73*'Plan mensual'!O310+parametros_recargas!$G$73*'Plan mensual'!O311+parametros_recargas!$H$73*'Plan mensual'!O312+parametros_recargas!$I$73*'Plan mensual'!O313+parametros_recargas!$J$73*'Plan mensual'!O314+parametros_recargas!$K$73*'Plan mensual'!O315+parametros_recargas!$L$73*'Plan mensual'!O316+parametros_recargas!$M$73*'Plan mensual'!O318</f>
        <v>17754.1591693125</v>
      </c>
      <c r="N291" s="7" t="n">
        <f aca="false">SUM(B291:M291)</f>
        <v>213049.91003175</v>
      </c>
      <c r="O291" s="22" t="n">
        <f aca="false">MAX(B291:M291)</f>
        <v>17754.1591693125</v>
      </c>
      <c r="P291" s="12" t="n">
        <f aca="false">O291/parametros_recargas!$B$6</f>
        <v>118.36106112875</v>
      </c>
    </row>
    <row r="292" customFormat="false" ht="15" hidden="false" customHeight="false" outlineLevel="0" collapsed="false">
      <c r="A292" s="9" t="str">
        <f aca="false">parametros_recargas!$B$74</f>
        <v>Descarga ABC — ruta recuperable</v>
      </c>
      <c r="B292" s="21" t="n">
        <f aca="false">parametros_recargas!$E$74*'Plan mensual'!D309+parametros_recargas!$F$74*'Plan mensual'!D310+parametros_recargas!$G$74*'Plan mensual'!D311+parametros_recargas!$H$74*'Plan mensual'!D312+parametros_recargas!$I$74*'Plan mensual'!D313+parametros_recargas!$J$74*'Plan mensual'!D314+parametros_recargas!$K$74*'Plan mensual'!D315+parametros_recargas!$L$74*'Plan mensual'!D316+parametros_recargas!$M$74*'Plan mensual'!D318</f>
        <v>13124.713910199</v>
      </c>
      <c r="C292" s="21" t="n">
        <f aca="false">parametros_recargas!$E$74*'Plan mensual'!E309+parametros_recargas!$F$74*'Plan mensual'!E310+parametros_recargas!$G$74*'Plan mensual'!E311+parametros_recargas!$H$74*'Plan mensual'!E312+parametros_recargas!$I$74*'Plan mensual'!E313+parametros_recargas!$J$74*'Plan mensual'!E314+parametros_recargas!$K$74*'Plan mensual'!E315+parametros_recargas!$L$74*'Plan mensual'!E316+parametros_recargas!$M$74*'Plan mensual'!E318</f>
        <v>13124.713910199</v>
      </c>
      <c r="D292" s="21" t="n">
        <f aca="false">parametros_recargas!$E$74*'Plan mensual'!F309+parametros_recargas!$F$74*'Plan mensual'!F310+parametros_recargas!$G$74*'Plan mensual'!F311+parametros_recargas!$H$74*'Plan mensual'!F312+parametros_recargas!$I$74*'Plan mensual'!F313+parametros_recargas!$J$74*'Plan mensual'!F314+parametros_recargas!$K$74*'Plan mensual'!F315+parametros_recargas!$L$74*'Plan mensual'!F316+parametros_recargas!$M$74*'Plan mensual'!F318</f>
        <v>13124.713910199</v>
      </c>
      <c r="E292" s="21" t="n">
        <f aca="false">parametros_recargas!$E$74*'Plan mensual'!G309+parametros_recargas!$F$74*'Plan mensual'!G310+parametros_recargas!$G$74*'Plan mensual'!G311+parametros_recargas!$H$74*'Plan mensual'!G312+parametros_recargas!$I$74*'Plan mensual'!G313+parametros_recargas!$J$74*'Plan mensual'!G314+parametros_recargas!$K$74*'Plan mensual'!G315+parametros_recargas!$L$74*'Plan mensual'!G316+parametros_recargas!$M$74*'Plan mensual'!G318</f>
        <v>13124.713910199</v>
      </c>
      <c r="F292" s="21" t="n">
        <f aca="false">parametros_recargas!$E$74*'Plan mensual'!H309+parametros_recargas!$F$74*'Plan mensual'!H310+parametros_recargas!$G$74*'Plan mensual'!H311+parametros_recargas!$H$74*'Plan mensual'!H312+parametros_recargas!$I$74*'Plan mensual'!H313+parametros_recargas!$J$74*'Plan mensual'!H314+parametros_recargas!$K$74*'Plan mensual'!H315+parametros_recargas!$L$74*'Plan mensual'!H316+parametros_recargas!$M$74*'Plan mensual'!H318</f>
        <v>13124.713910199</v>
      </c>
      <c r="G292" s="21" t="n">
        <f aca="false">parametros_recargas!$E$74*'Plan mensual'!I309+parametros_recargas!$F$74*'Plan mensual'!I310+parametros_recargas!$G$74*'Plan mensual'!I311+parametros_recargas!$H$74*'Plan mensual'!I312+parametros_recargas!$I$74*'Plan mensual'!I313+parametros_recargas!$J$74*'Plan mensual'!I314+parametros_recargas!$K$74*'Plan mensual'!I315+parametros_recargas!$L$74*'Plan mensual'!I316+parametros_recargas!$M$74*'Plan mensual'!I318</f>
        <v>13124.713910199</v>
      </c>
      <c r="H292" s="21" t="n">
        <f aca="false">parametros_recargas!$E$74*'Plan mensual'!J309+parametros_recargas!$F$74*'Plan mensual'!J310+parametros_recargas!$G$74*'Plan mensual'!J311+parametros_recargas!$H$74*'Plan mensual'!J312+parametros_recargas!$I$74*'Plan mensual'!J313+parametros_recargas!$J$74*'Plan mensual'!J314+parametros_recargas!$K$74*'Plan mensual'!J315+parametros_recargas!$L$74*'Plan mensual'!J316+parametros_recargas!$M$74*'Plan mensual'!J318</f>
        <v>13124.713910199</v>
      </c>
      <c r="I292" s="21" t="n">
        <f aca="false">parametros_recargas!$E$74*'Plan mensual'!K309+parametros_recargas!$F$74*'Plan mensual'!K310+parametros_recargas!$G$74*'Plan mensual'!K311+parametros_recargas!$H$74*'Plan mensual'!K312+parametros_recargas!$I$74*'Plan mensual'!K313+parametros_recargas!$J$74*'Plan mensual'!K314+parametros_recargas!$K$74*'Plan mensual'!K315+parametros_recargas!$L$74*'Plan mensual'!K316+parametros_recargas!$M$74*'Plan mensual'!K318</f>
        <v>13124.713910199</v>
      </c>
      <c r="J292" s="21" t="n">
        <f aca="false">parametros_recargas!$E$74*'Plan mensual'!L309+parametros_recargas!$F$74*'Plan mensual'!L310+parametros_recargas!$G$74*'Plan mensual'!L311+parametros_recargas!$H$74*'Plan mensual'!L312+parametros_recargas!$I$74*'Plan mensual'!L313+parametros_recargas!$J$74*'Plan mensual'!L314+parametros_recargas!$K$74*'Plan mensual'!L315+parametros_recargas!$L$74*'Plan mensual'!L316+parametros_recargas!$M$74*'Plan mensual'!L318</f>
        <v>13124.713910199</v>
      </c>
      <c r="K292" s="21" t="n">
        <f aca="false">parametros_recargas!$E$74*'Plan mensual'!M309+parametros_recargas!$F$74*'Plan mensual'!M310+parametros_recargas!$G$74*'Plan mensual'!M311+parametros_recargas!$H$74*'Plan mensual'!M312+parametros_recargas!$I$74*'Plan mensual'!M313+parametros_recargas!$J$74*'Plan mensual'!M314+parametros_recargas!$K$74*'Plan mensual'!M315+parametros_recargas!$L$74*'Plan mensual'!M316+parametros_recargas!$M$74*'Plan mensual'!M318</f>
        <v>13124.713910199</v>
      </c>
      <c r="L292" s="21" t="n">
        <f aca="false">parametros_recargas!$E$74*'Plan mensual'!N309+parametros_recargas!$F$74*'Plan mensual'!N310+parametros_recargas!$G$74*'Plan mensual'!N311+parametros_recargas!$H$74*'Plan mensual'!N312+parametros_recargas!$I$74*'Plan mensual'!N313+parametros_recargas!$J$74*'Plan mensual'!N314+parametros_recargas!$K$74*'Plan mensual'!N315+parametros_recargas!$L$74*'Plan mensual'!N316+parametros_recargas!$M$74*'Plan mensual'!N318</f>
        <v>13124.713910199</v>
      </c>
      <c r="M292" s="21" t="n">
        <f aca="false">parametros_recargas!$E$74*'Plan mensual'!O309+parametros_recargas!$F$74*'Plan mensual'!O310+parametros_recargas!$G$74*'Plan mensual'!O311+parametros_recargas!$H$74*'Plan mensual'!O312+parametros_recargas!$I$74*'Plan mensual'!O313+parametros_recargas!$J$74*'Plan mensual'!O314+parametros_recargas!$K$74*'Plan mensual'!O315+parametros_recargas!$L$74*'Plan mensual'!O316+parametros_recargas!$M$74*'Plan mensual'!O318</f>
        <v>13124.713910199</v>
      </c>
      <c r="N292" s="7" t="n">
        <f aca="false">SUM(B292:M292)</f>
        <v>157496.566922388</v>
      </c>
      <c r="O292" s="22" t="n">
        <f aca="false">MAX(B292:M292)</f>
        <v>13124.713910199</v>
      </c>
      <c r="P292" s="12" t="n">
        <f aca="false">O292/parametros_recargas!$B$6</f>
        <v>87.4980927346601</v>
      </c>
    </row>
    <row r="293" customFormat="false" ht="15" hidden="false" customHeight="false" outlineLevel="0" collapsed="false">
      <c r="A293" s="9" t="str">
        <f aca="false">parametros_recargas!$B$75</f>
        <v>Descarga ABC — ruta descarte</v>
      </c>
      <c r="B293" s="21" t="n">
        <f aca="false">parametros_recargas!$E$75*'Plan mensual'!D309+parametros_recargas!$F$75*'Plan mensual'!D310+parametros_recargas!$G$75*'Plan mensual'!D311+parametros_recargas!$H$75*'Plan mensual'!D312+parametros_recargas!$I$75*'Plan mensual'!D313+parametros_recargas!$J$75*'Plan mensual'!D314+parametros_recargas!$K$75*'Plan mensual'!D315+parametros_recargas!$L$75*'Plan mensual'!D316+parametros_recargas!$M$75*'Plan mensual'!D318</f>
        <v>1544.08398943518</v>
      </c>
      <c r="C293" s="21" t="n">
        <f aca="false">parametros_recargas!$E$75*'Plan mensual'!E309+parametros_recargas!$F$75*'Plan mensual'!E310+parametros_recargas!$G$75*'Plan mensual'!E311+parametros_recargas!$H$75*'Plan mensual'!E312+parametros_recargas!$I$75*'Plan mensual'!E313+parametros_recargas!$J$75*'Plan mensual'!E314+parametros_recargas!$K$75*'Plan mensual'!E315+parametros_recargas!$L$75*'Plan mensual'!E316+parametros_recargas!$M$75*'Plan mensual'!E318</f>
        <v>1544.08398943518</v>
      </c>
      <c r="D293" s="21" t="n">
        <f aca="false">parametros_recargas!$E$75*'Plan mensual'!F309+parametros_recargas!$F$75*'Plan mensual'!F310+parametros_recargas!$G$75*'Plan mensual'!F311+parametros_recargas!$H$75*'Plan mensual'!F312+parametros_recargas!$I$75*'Plan mensual'!F313+parametros_recargas!$J$75*'Plan mensual'!F314+parametros_recargas!$K$75*'Plan mensual'!F315+parametros_recargas!$L$75*'Plan mensual'!F316+parametros_recargas!$M$75*'Plan mensual'!F318</f>
        <v>1544.08398943518</v>
      </c>
      <c r="E293" s="21" t="n">
        <f aca="false">parametros_recargas!$E$75*'Plan mensual'!G309+parametros_recargas!$F$75*'Plan mensual'!G310+parametros_recargas!$G$75*'Plan mensual'!G311+parametros_recargas!$H$75*'Plan mensual'!G312+parametros_recargas!$I$75*'Plan mensual'!G313+parametros_recargas!$J$75*'Plan mensual'!G314+parametros_recargas!$K$75*'Plan mensual'!G315+parametros_recargas!$L$75*'Plan mensual'!G316+parametros_recargas!$M$75*'Plan mensual'!G318</f>
        <v>1544.08398943518</v>
      </c>
      <c r="F293" s="21" t="n">
        <f aca="false">parametros_recargas!$E$75*'Plan mensual'!H309+parametros_recargas!$F$75*'Plan mensual'!H310+parametros_recargas!$G$75*'Plan mensual'!H311+parametros_recargas!$H$75*'Plan mensual'!H312+parametros_recargas!$I$75*'Plan mensual'!H313+parametros_recargas!$J$75*'Plan mensual'!H314+parametros_recargas!$K$75*'Plan mensual'!H315+parametros_recargas!$L$75*'Plan mensual'!H316+parametros_recargas!$M$75*'Plan mensual'!H318</f>
        <v>1544.08398943518</v>
      </c>
      <c r="G293" s="21" t="n">
        <f aca="false">parametros_recargas!$E$75*'Plan mensual'!I309+parametros_recargas!$F$75*'Plan mensual'!I310+parametros_recargas!$G$75*'Plan mensual'!I311+parametros_recargas!$H$75*'Plan mensual'!I312+parametros_recargas!$I$75*'Plan mensual'!I313+parametros_recargas!$J$75*'Plan mensual'!I314+parametros_recargas!$K$75*'Plan mensual'!I315+parametros_recargas!$L$75*'Plan mensual'!I316+parametros_recargas!$M$75*'Plan mensual'!I318</f>
        <v>1544.08398943518</v>
      </c>
      <c r="H293" s="21" t="n">
        <f aca="false">parametros_recargas!$E$75*'Plan mensual'!J309+parametros_recargas!$F$75*'Plan mensual'!J310+parametros_recargas!$G$75*'Plan mensual'!J311+parametros_recargas!$H$75*'Plan mensual'!J312+parametros_recargas!$I$75*'Plan mensual'!J313+parametros_recargas!$J$75*'Plan mensual'!J314+parametros_recargas!$K$75*'Plan mensual'!J315+parametros_recargas!$L$75*'Plan mensual'!J316+parametros_recargas!$M$75*'Plan mensual'!J318</f>
        <v>1544.08398943518</v>
      </c>
      <c r="I293" s="21" t="n">
        <f aca="false">parametros_recargas!$E$75*'Plan mensual'!K309+parametros_recargas!$F$75*'Plan mensual'!K310+parametros_recargas!$G$75*'Plan mensual'!K311+parametros_recargas!$H$75*'Plan mensual'!K312+parametros_recargas!$I$75*'Plan mensual'!K313+parametros_recargas!$J$75*'Plan mensual'!K314+parametros_recargas!$K$75*'Plan mensual'!K315+parametros_recargas!$L$75*'Plan mensual'!K316+parametros_recargas!$M$75*'Plan mensual'!K318</f>
        <v>1544.08398943518</v>
      </c>
      <c r="J293" s="21" t="n">
        <f aca="false">parametros_recargas!$E$75*'Plan mensual'!L309+parametros_recargas!$F$75*'Plan mensual'!L310+parametros_recargas!$G$75*'Plan mensual'!L311+parametros_recargas!$H$75*'Plan mensual'!L312+parametros_recargas!$I$75*'Plan mensual'!L313+parametros_recargas!$J$75*'Plan mensual'!L314+parametros_recargas!$K$75*'Plan mensual'!L315+parametros_recargas!$L$75*'Plan mensual'!L316+parametros_recargas!$M$75*'Plan mensual'!L318</f>
        <v>1544.08398943518</v>
      </c>
      <c r="K293" s="21" t="n">
        <f aca="false">parametros_recargas!$E$75*'Plan mensual'!M309+parametros_recargas!$F$75*'Plan mensual'!M310+parametros_recargas!$G$75*'Plan mensual'!M311+parametros_recargas!$H$75*'Plan mensual'!M312+parametros_recargas!$I$75*'Plan mensual'!M313+parametros_recargas!$J$75*'Plan mensual'!M314+parametros_recargas!$K$75*'Plan mensual'!M315+parametros_recargas!$L$75*'Plan mensual'!M316+parametros_recargas!$M$75*'Plan mensual'!M318</f>
        <v>1544.08398943518</v>
      </c>
      <c r="L293" s="21" t="n">
        <f aca="false">parametros_recargas!$E$75*'Plan mensual'!N309+parametros_recargas!$F$75*'Plan mensual'!N310+parametros_recargas!$G$75*'Plan mensual'!N311+parametros_recargas!$H$75*'Plan mensual'!N312+parametros_recargas!$I$75*'Plan mensual'!N313+parametros_recargas!$J$75*'Plan mensual'!N314+parametros_recargas!$K$75*'Plan mensual'!N315+parametros_recargas!$L$75*'Plan mensual'!N316+parametros_recargas!$M$75*'Plan mensual'!N318</f>
        <v>1544.08398943518</v>
      </c>
      <c r="M293" s="21" t="n">
        <f aca="false">parametros_recargas!$E$75*'Plan mensual'!O309+parametros_recargas!$F$75*'Plan mensual'!O310+parametros_recargas!$G$75*'Plan mensual'!O311+parametros_recargas!$H$75*'Plan mensual'!O312+parametros_recargas!$I$75*'Plan mensual'!O313+parametros_recargas!$J$75*'Plan mensual'!O314+parametros_recargas!$K$75*'Plan mensual'!O315+parametros_recargas!$L$75*'Plan mensual'!O316+parametros_recargas!$M$75*'Plan mensual'!O318</f>
        <v>1544.08398943518</v>
      </c>
      <c r="N293" s="7" t="n">
        <f aca="false">SUM(B293:M293)</f>
        <v>18529.0078732221</v>
      </c>
      <c r="O293" s="22" t="n">
        <f aca="false">MAX(B293:M293)</f>
        <v>1544.08398943518</v>
      </c>
      <c r="P293" s="12" t="n">
        <f aca="false">O293/parametros_recargas!$B$6</f>
        <v>10.2938932629012</v>
      </c>
    </row>
    <row r="294" customFormat="false" ht="15" hidden="false" customHeight="false" outlineLevel="0" collapsed="false">
      <c r="A294" s="9" t="str">
        <f aca="false">parametros_recargas!$B$76</f>
        <v>Descarga BC</v>
      </c>
      <c r="B294" s="21"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22.758230117595</v>
      </c>
      <c r="C294" s="21"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22.758230117595</v>
      </c>
      <c r="D294" s="21"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22.758230117595</v>
      </c>
      <c r="E294" s="21"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22.758230117595</v>
      </c>
      <c r="F294" s="21"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22.758230117595</v>
      </c>
      <c r="G294" s="21"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22.758230117595</v>
      </c>
      <c r="H294" s="21"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22.758230117595</v>
      </c>
      <c r="I294" s="21"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22.758230117595</v>
      </c>
      <c r="J294" s="21"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22.758230117595</v>
      </c>
      <c r="K294" s="21"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22.758230117595</v>
      </c>
      <c r="L294" s="21"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22.758230117595</v>
      </c>
      <c r="M294" s="21"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22.758230117595</v>
      </c>
      <c r="N294" s="7" t="n">
        <f aca="false">SUM(B294:M294)</f>
        <v>273.09876141114</v>
      </c>
      <c r="O294" s="22" t="n">
        <f aca="false">MAX(B294:M294)</f>
        <v>22.758230117595</v>
      </c>
      <c r="P294" s="12" t="n">
        <f aca="false">O294/parametros_recargas!$B$6</f>
        <v>0.1517215341173</v>
      </c>
    </row>
    <row r="295" customFormat="false" ht="15" hidden="false" customHeight="false" outlineLevel="0" collapsed="false">
      <c r="A295" s="9" t="str">
        <f aca="false">parametros_recargas!$B$77</f>
        <v>Descarga de agua / AFFF / sales K</v>
      </c>
      <c r="B295" s="21"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783.595901632515</v>
      </c>
      <c r="C295" s="21"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783.595901632515</v>
      </c>
      <c r="D295" s="21"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783.595901632515</v>
      </c>
      <c r="E295" s="21"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783.595901632515</v>
      </c>
      <c r="F295" s="21"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783.595901632515</v>
      </c>
      <c r="G295" s="21"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783.595901632515</v>
      </c>
      <c r="H295" s="21"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783.595901632515</v>
      </c>
      <c r="I295" s="21"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783.595901632515</v>
      </c>
      <c r="J295" s="21"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783.595901632515</v>
      </c>
      <c r="K295" s="21"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783.595901632515</v>
      </c>
      <c r="L295" s="21"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783.595901632515</v>
      </c>
      <c r="M295" s="21"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783.595901632515</v>
      </c>
      <c r="N295" s="7" t="n">
        <f aca="false">SUM(B295:M295)</f>
        <v>9403.15081959018</v>
      </c>
      <c r="O295" s="22" t="n">
        <f aca="false">MAX(B295:M295)</f>
        <v>783.595901632515</v>
      </c>
      <c r="P295" s="12" t="n">
        <f aca="false">O295/parametros_recargas!$B$6</f>
        <v>5.2239726775501</v>
      </c>
    </row>
    <row r="296" customFormat="false" ht="15" hidden="false" customHeight="false" outlineLevel="0" collapsed="false">
      <c r="A296" s="9" t="str">
        <f aca="false">parametros_recargas!$B$78</f>
        <v>Recuperación de CO₂</v>
      </c>
      <c r="B296" s="21"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356.68987150163</v>
      </c>
      <c r="C296" s="21"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356.68987150163</v>
      </c>
      <c r="D296" s="21"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356.68987150163</v>
      </c>
      <c r="E296" s="21"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356.68987150163</v>
      </c>
      <c r="F296" s="21"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356.68987150163</v>
      </c>
      <c r="G296" s="21"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356.68987150163</v>
      </c>
      <c r="H296" s="21"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356.68987150163</v>
      </c>
      <c r="I296" s="21"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356.68987150163</v>
      </c>
      <c r="J296" s="21"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356.68987150163</v>
      </c>
      <c r="K296" s="21"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356.68987150163</v>
      </c>
      <c r="L296" s="21"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356.68987150163</v>
      </c>
      <c r="M296" s="21"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356.68987150163</v>
      </c>
      <c r="N296" s="7" t="n">
        <f aca="false">SUM(B296:M296)</f>
        <v>4280.27845801956</v>
      </c>
      <c r="O296" s="22" t="n">
        <f aca="false">MAX(B296:M296)</f>
        <v>356.68987150163</v>
      </c>
      <c r="P296" s="12" t="n">
        <f aca="false">O296/parametros_recargas!$B$6</f>
        <v>2.37793247667754</v>
      </c>
    </row>
    <row r="297" customFormat="false" ht="15" hidden="false" customHeight="false" outlineLevel="0" collapsed="false">
      <c r="A297" s="9" t="str">
        <f aca="false">parametros_recargas!$B$79</f>
        <v>Recuperación de halogenado</v>
      </c>
      <c r="B297" s="21"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14.9232592940346</v>
      </c>
      <c r="C297" s="21"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14.9232592940346</v>
      </c>
      <c r="D297" s="21"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14.9232592940346</v>
      </c>
      <c r="E297" s="21"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14.9232592940346</v>
      </c>
      <c r="F297" s="21"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14.9232592940346</v>
      </c>
      <c r="G297" s="21"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14.9232592940346</v>
      </c>
      <c r="H297" s="21"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14.9232592940346</v>
      </c>
      <c r="I297" s="21"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14.9232592940346</v>
      </c>
      <c r="J297" s="21"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14.9232592940346</v>
      </c>
      <c r="K297" s="21"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14.9232592940346</v>
      </c>
      <c r="L297" s="21"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14.9232592940346</v>
      </c>
      <c r="M297" s="21"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14.9232592940346</v>
      </c>
      <c r="N297" s="7" t="n">
        <f aca="false">SUM(B297:M297)</f>
        <v>179.079111528415</v>
      </c>
      <c r="O297" s="22" t="n">
        <f aca="false">MAX(B297:M297)</f>
        <v>14.9232592940346</v>
      </c>
      <c r="P297" s="12" t="n">
        <f aca="false">O297/parametros_recargas!$B$6</f>
        <v>0.0994883952935637</v>
      </c>
    </row>
    <row r="298" customFormat="false" ht="15" hidden="false" customHeight="false" outlineLevel="0" collapsed="false">
      <c r="A298" s="9" t="str">
        <f aca="false">parametros_recargas!$B$80</f>
        <v>Desarme y limpieza — recinto</v>
      </c>
      <c r="B298" s="21"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15484.1107444973</v>
      </c>
      <c r="C298" s="21"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15484.1107444973</v>
      </c>
      <c r="D298" s="21"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15484.1107444973</v>
      </c>
      <c r="E298" s="21"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15484.1107444973</v>
      </c>
      <c r="F298" s="21"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15484.1107444973</v>
      </c>
      <c r="G298" s="21"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15484.1107444973</v>
      </c>
      <c r="H298" s="21"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15484.1107444973</v>
      </c>
      <c r="I298" s="21"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15484.1107444973</v>
      </c>
      <c r="J298" s="21"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15484.1107444973</v>
      </c>
      <c r="K298" s="21"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15484.1107444973</v>
      </c>
      <c r="L298" s="21"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15484.1107444973</v>
      </c>
      <c r="M298" s="21"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15484.1107444973</v>
      </c>
      <c r="N298" s="7" t="n">
        <f aca="false">SUM(B298:M298)</f>
        <v>185809.328933968</v>
      </c>
      <c r="O298" s="22" t="n">
        <f aca="false">MAX(B298:M298)</f>
        <v>15484.1107444973</v>
      </c>
      <c r="P298" s="12" t="n">
        <f aca="false">O298/parametros_recargas!$B$6</f>
        <v>103.227404963316</v>
      </c>
    </row>
    <row r="299" customFormat="false" ht="15" hidden="false" customHeight="false" outlineLevel="0" collapsed="false">
      <c r="A299" s="9" t="str">
        <f aca="false">parametros_recargas!$B$81</f>
        <v>Desarme e inspección interior — zona general</v>
      </c>
      <c r="B299" s="21"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1155.20903242818</v>
      </c>
      <c r="C299" s="21"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1155.20903242818</v>
      </c>
      <c r="D299" s="21"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1155.20903242818</v>
      </c>
      <c r="E299" s="21"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1155.20903242818</v>
      </c>
      <c r="F299" s="21"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1155.20903242818</v>
      </c>
      <c r="G299" s="21"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1155.20903242818</v>
      </c>
      <c r="H299" s="21"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1155.20903242818</v>
      </c>
      <c r="I299" s="21"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1155.20903242818</v>
      </c>
      <c r="J299" s="21"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1155.20903242818</v>
      </c>
      <c r="K299" s="21"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1155.20903242818</v>
      </c>
      <c r="L299" s="21"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1155.20903242818</v>
      </c>
      <c r="M299" s="21"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1155.20903242818</v>
      </c>
      <c r="N299" s="7" t="n">
        <f aca="false">SUM(B299:M299)</f>
        <v>13862.5083891382</v>
      </c>
      <c r="O299" s="22" t="n">
        <f aca="false">MAX(B299:M299)</f>
        <v>1155.20903242818</v>
      </c>
      <c r="P299" s="12" t="n">
        <f aca="false">O299/parametros_recargas!$B$6</f>
        <v>7.7013935495212</v>
      </c>
    </row>
    <row r="300" customFormat="false" ht="15" hidden="false" customHeight="false" outlineLevel="0" collapsed="false">
      <c r="A300" s="9" t="str">
        <f aca="false">parametros_recargas!$B$82</f>
        <v>Laboratorio — Puffer y mufla</v>
      </c>
      <c r="B300" s="21"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15.4635981244694</v>
      </c>
      <c r="C300" s="21"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15.4635981244694</v>
      </c>
      <c r="D300" s="21"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15.4635981244694</v>
      </c>
      <c r="E300" s="21"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15.4635981244694</v>
      </c>
      <c r="F300" s="21"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15.4635981244694</v>
      </c>
      <c r="G300" s="21"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15.4635981244694</v>
      </c>
      <c r="H300" s="21"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15.4635981244694</v>
      </c>
      <c r="I300" s="21"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15.4635981244694</v>
      </c>
      <c r="J300" s="21"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15.4635981244694</v>
      </c>
      <c r="K300" s="21"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15.4635981244694</v>
      </c>
      <c r="L300" s="21"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15.4635981244694</v>
      </c>
      <c r="M300" s="21"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15.4635981244694</v>
      </c>
      <c r="N300" s="7" t="n">
        <f aca="false">SUM(B300:M300)</f>
        <v>185.563177493632</v>
      </c>
      <c r="O300" s="22" t="n">
        <f aca="false">MAX(B300:M300)</f>
        <v>15.4635981244694</v>
      </c>
      <c r="P300" s="12" t="n">
        <f aca="false">O300/parametros_recargas!$B$6</f>
        <v>0.103090654163129</v>
      </c>
    </row>
    <row r="301" customFormat="false" ht="15" hidden="false" customHeight="false" outlineLevel="0" collapsed="false">
      <c r="A301" s="9" t="str">
        <f aca="false">parametros_recargas!$B$83</f>
        <v>Prueba hidráulica</v>
      </c>
      <c r="B301" s="21"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3785.91060435226</v>
      </c>
      <c r="C301" s="21"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3785.91060435226</v>
      </c>
      <c r="D301" s="21"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3785.91060435226</v>
      </c>
      <c r="E301" s="21"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3785.91060435226</v>
      </c>
      <c r="F301" s="21"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3785.91060435226</v>
      </c>
      <c r="G301" s="21"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3785.91060435226</v>
      </c>
      <c r="H301" s="21"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3785.91060435226</v>
      </c>
      <c r="I301" s="21"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3785.91060435226</v>
      </c>
      <c r="J301" s="21"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3785.91060435226</v>
      </c>
      <c r="K301" s="21"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3785.91060435226</v>
      </c>
      <c r="L301" s="21"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3785.91060435226</v>
      </c>
      <c r="M301" s="21"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3785.91060435226</v>
      </c>
      <c r="N301" s="7" t="n">
        <f aca="false">SUM(B301:M301)</f>
        <v>45430.9272522271</v>
      </c>
      <c r="O301" s="22" t="n">
        <f aca="false">MAX(B301:M301)</f>
        <v>3785.91060435226</v>
      </c>
      <c r="P301" s="12" t="n">
        <f aca="false">O301/parametros_recargas!$B$6</f>
        <v>25.2394040290151</v>
      </c>
    </row>
    <row r="302" customFormat="false" ht="15" hidden="false" customHeight="false" outlineLevel="0" collapsed="false">
      <c r="A302" s="9" t="str">
        <f aca="false">parametros_recargas!$B$84</f>
        <v>Secado</v>
      </c>
      <c r="B302" s="21"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3548.95376098098</v>
      </c>
      <c r="C302" s="21"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3548.95376098098</v>
      </c>
      <c r="D302" s="21"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3548.95376098098</v>
      </c>
      <c r="E302" s="21"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3548.95376098098</v>
      </c>
      <c r="F302" s="21"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3548.95376098098</v>
      </c>
      <c r="G302" s="21"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3548.95376098098</v>
      </c>
      <c r="H302" s="21"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3548.95376098098</v>
      </c>
      <c r="I302" s="21"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3548.95376098098</v>
      </c>
      <c r="J302" s="21"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3548.95376098098</v>
      </c>
      <c r="K302" s="21"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3548.95376098098</v>
      </c>
      <c r="L302" s="21"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3548.95376098098</v>
      </c>
      <c r="M302" s="21"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3548.95376098098</v>
      </c>
      <c r="N302" s="7" t="n">
        <f aca="false">SUM(B302:M302)</f>
        <v>42587.4451317717</v>
      </c>
      <c r="O302" s="22" t="n">
        <f aca="false">MAX(B302:M302)</f>
        <v>3548.95376098098</v>
      </c>
      <c r="P302" s="12" t="n">
        <f aca="false">O302/parametros_recargas!$B$6</f>
        <v>23.6596917398732</v>
      </c>
    </row>
    <row r="303" customFormat="false" ht="15" hidden="false" customHeight="false" outlineLevel="0" collapsed="false">
      <c r="A303" s="9" t="str">
        <f aca="false">parametros_recargas!$B$85</f>
        <v>Inspección interior con videoscopio</v>
      </c>
      <c r="B303" s="21"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3548.95376098098</v>
      </c>
      <c r="C303" s="21"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3548.95376098098</v>
      </c>
      <c r="D303" s="21"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3548.95376098098</v>
      </c>
      <c r="E303" s="21"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3548.95376098098</v>
      </c>
      <c r="F303" s="21"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3548.95376098098</v>
      </c>
      <c r="G303" s="21"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3548.95376098098</v>
      </c>
      <c r="H303" s="21"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3548.95376098098</v>
      </c>
      <c r="I303" s="21"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3548.95376098098</v>
      </c>
      <c r="J303" s="21"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3548.95376098098</v>
      </c>
      <c r="K303" s="21"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3548.95376098098</v>
      </c>
      <c r="L303" s="21"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3548.95376098098</v>
      </c>
      <c r="M303" s="21"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3548.95376098098</v>
      </c>
      <c r="N303" s="7" t="n">
        <f aca="false">SUM(B303:M303)</f>
        <v>42587.4451317717</v>
      </c>
      <c r="O303" s="22" t="n">
        <f aca="false">MAX(B303:M303)</f>
        <v>3548.95376098098</v>
      </c>
      <c r="P303" s="12" t="n">
        <f aca="false">O303/parametros_recargas!$B$6</f>
        <v>23.6596917398732</v>
      </c>
    </row>
    <row r="304" customFormat="false" ht="15" hidden="false" customHeight="false" outlineLevel="0" collapsed="false">
      <c r="A304" s="9" t="str">
        <f aca="false">parametros_recargas!$B$86</f>
        <v>Pintura</v>
      </c>
      <c r="B304" s="21"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1775.41591693125</v>
      </c>
      <c r="C304" s="21"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1775.41591693125</v>
      </c>
      <c r="D304" s="21"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1775.41591693125</v>
      </c>
      <c r="E304" s="21"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1775.41591693125</v>
      </c>
      <c r="F304" s="21"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1775.41591693125</v>
      </c>
      <c r="G304" s="21"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1775.41591693125</v>
      </c>
      <c r="H304" s="21"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1775.41591693125</v>
      </c>
      <c r="I304" s="21"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1775.41591693125</v>
      </c>
      <c r="J304" s="21"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1775.41591693125</v>
      </c>
      <c r="K304" s="21"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1775.41591693125</v>
      </c>
      <c r="L304" s="21"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1775.41591693125</v>
      </c>
      <c r="M304" s="21"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1775.41591693125</v>
      </c>
      <c r="N304" s="7" t="n">
        <f aca="false">SUM(B304:M304)</f>
        <v>21304.991003175</v>
      </c>
      <c r="O304" s="22" t="n">
        <f aca="false">MAX(B304:M304)</f>
        <v>1775.41591693125</v>
      </c>
      <c r="P304" s="12" t="n">
        <f aca="false">O304/parametros_recargas!$B$6</f>
        <v>11.836106112875</v>
      </c>
    </row>
    <row r="305" customFormat="false" ht="15" hidden="false" customHeight="false" outlineLevel="0" collapsed="false">
      <c r="A305" s="9" t="str">
        <f aca="false">parametros_recargas!$B$87</f>
        <v>Carga de polvo ABC</v>
      </c>
      <c r="B305" s="21"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15454.7866943518</v>
      </c>
      <c r="C305" s="21"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15452.0930943518</v>
      </c>
      <c r="D305" s="21"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15452.9374943518</v>
      </c>
      <c r="E305" s="21"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15452.9374943518</v>
      </c>
      <c r="F305" s="21"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15452.2982943518</v>
      </c>
      <c r="G305" s="21"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15451.5222943518</v>
      </c>
      <c r="H305" s="21"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15452.2982943518</v>
      </c>
      <c r="I305" s="21"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15452.2982943518</v>
      </c>
      <c r="J305" s="21"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15452.2298943518</v>
      </c>
      <c r="K305" s="21"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15451.4538943518</v>
      </c>
      <c r="L305" s="21"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15450.7462943518</v>
      </c>
      <c r="M305" s="21"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15455.9966943518</v>
      </c>
      <c r="N305" s="7" t="n">
        <f aca="false">SUM(B305:M305)</f>
        <v>185431.598732221</v>
      </c>
      <c r="O305" s="22" t="n">
        <f aca="false">MAX(B305:M305)</f>
        <v>15455.9966943518</v>
      </c>
      <c r="P305" s="12" t="n">
        <f aca="false">O305/parametros_recargas!$B$6</f>
        <v>103.039977962345</v>
      </c>
    </row>
    <row r="306" customFormat="false" ht="15" hidden="false" customHeight="false" outlineLevel="0" collapsed="false">
      <c r="A306" s="9" t="str">
        <f aca="false">parametros_recargas!$B$88</f>
        <v>Carga de polvo BC</v>
      </c>
      <c r="B306" s="21"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22.758230117595</v>
      </c>
      <c r="C306" s="21"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22.758230117595</v>
      </c>
      <c r="D306" s="21"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22.758230117595</v>
      </c>
      <c r="E306" s="21"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22.758230117595</v>
      </c>
      <c r="F306" s="21"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22.758230117595</v>
      </c>
      <c r="G306" s="21"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22.758230117595</v>
      </c>
      <c r="H306" s="21"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22.758230117595</v>
      </c>
      <c r="I306" s="21"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22.758230117595</v>
      </c>
      <c r="J306" s="21"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22.758230117595</v>
      </c>
      <c r="K306" s="21"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22.758230117595</v>
      </c>
      <c r="L306" s="21"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22.758230117595</v>
      </c>
      <c r="M306" s="21"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22.758230117595</v>
      </c>
      <c r="N306" s="7" t="n">
        <f aca="false">SUM(B306:M306)</f>
        <v>273.09876141114</v>
      </c>
      <c r="O306" s="22" t="n">
        <f aca="false">MAX(B306:M306)</f>
        <v>22.758230117595</v>
      </c>
      <c r="P306" s="12" t="n">
        <f aca="false">O306/parametros_recargas!$B$6</f>
        <v>0.1517215341173</v>
      </c>
    </row>
    <row r="307" customFormat="false" ht="15" hidden="false" customHeight="false" outlineLevel="0" collapsed="false">
      <c r="A307" s="9" t="str">
        <f aca="false">parametros_recargas!$B$89</f>
        <v>Descarga y carga Clase D</v>
      </c>
      <c r="B307" s="21"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20.5126200279768</v>
      </c>
      <c r="C307" s="21"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20.5126200279768</v>
      </c>
      <c r="D307" s="21"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20.5126200279768</v>
      </c>
      <c r="E307" s="21"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20.5126200279768</v>
      </c>
      <c r="F307" s="21"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20.5126200279768</v>
      </c>
      <c r="G307" s="21"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20.5126200279768</v>
      </c>
      <c r="H307" s="21"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20.5126200279768</v>
      </c>
      <c r="I307" s="21"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20.5126200279768</v>
      </c>
      <c r="J307" s="21"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20.5126200279768</v>
      </c>
      <c r="K307" s="21"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20.5126200279768</v>
      </c>
      <c r="L307" s="21"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20.5126200279768</v>
      </c>
      <c r="M307" s="21"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20.5126200279768</v>
      </c>
      <c r="N307" s="7" t="n">
        <f aca="false">SUM(B307:M307)</f>
        <v>246.151440335721</v>
      </c>
      <c r="O307" s="22" t="n">
        <f aca="false">MAX(B307:M307)</f>
        <v>20.5126200279768</v>
      </c>
      <c r="P307" s="12" t="n">
        <f aca="false">O307/parametros_recargas!$B$6</f>
        <v>0.136750800186512</v>
      </c>
    </row>
    <row r="308" customFormat="false" ht="15" hidden="false" customHeight="false" outlineLevel="0" collapsed="false">
      <c r="A308" s="9" t="str">
        <f aca="false">parametros_recargas!$B$90</f>
        <v>Carga de agua / AFFF / sales K</v>
      </c>
      <c r="B308" s="21"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783.595901632515</v>
      </c>
      <c r="C308" s="21"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783.595901632515</v>
      </c>
      <c r="D308" s="21"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783.595901632515</v>
      </c>
      <c r="E308" s="21"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783.595901632515</v>
      </c>
      <c r="F308" s="21"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783.595901632515</v>
      </c>
      <c r="G308" s="21"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783.595901632515</v>
      </c>
      <c r="H308" s="21"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783.595901632515</v>
      </c>
      <c r="I308" s="21"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783.595901632515</v>
      </c>
      <c r="J308" s="21"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783.595901632515</v>
      </c>
      <c r="K308" s="21"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783.595901632515</v>
      </c>
      <c r="L308" s="21"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783.595901632515</v>
      </c>
      <c r="M308" s="21"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783.595901632515</v>
      </c>
      <c r="N308" s="7" t="n">
        <f aca="false">SUM(B308:M308)</f>
        <v>9403.15081959018</v>
      </c>
      <c r="O308" s="22" t="n">
        <f aca="false">MAX(B308:M308)</f>
        <v>783.595901632515</v>
      </c>
      <c r="P308" s="12" t="n">
        <f aca="false">O308/parametros_recargas!$B$6</f>
        <v>5.2239726775501</v>
      </c>
    </row>
    <row r="309" customFormat="false" ht="15" hidden="false" customHeight="false" outlineLevel="0" collapsed="false">
      <c r="A309" s="9" t="str">
        <f aca="false">parametros_recargas!$B$91</f>
        <v>Carga de CO₂</v>
      </c>
      <c r="B309" s="21"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428.027845801956</v>
      </c>
      <c r="C309" s="21"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428.027845801956</v>
      </c>
      <c r="D309" s="21"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428.027845801956</v>
      </c>
      <c r="E309" s="21"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428.027845801956</v>
      </c>
      <c r="F309" s="21"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428.027845801956</v>
      </c>
      <c r="G309" s="21"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428.027845801956</v>
      </c>
      <c r="H309" s="21"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428.027845801956</v>
      </c>
      <c r="I309" s="21"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428.027845801956</v>
      </c>
      <c r="J309" s="21"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428.027845801956</v>
      </c>
      <c r="K309" s="21"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428.027845801956</v>
      </c>
      <c r="L309" s="21"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428.027845801956</v>
      </c>
      <c r="M309" s="21"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428.027845801956</v>
      </c>
      <c r="N309" s="7" t="n">
        <f aca="false">SUM(B309:M309)</f>
        <v>5136.33414962348</v>
      </c>
      <c r="O309" s="22" t="n">
        <f aca="false">MAX(B309:M309)</f>
        <v>428.027845801956</v>
      </c>
      <c r="P309" s="12" t="n">
        <f aca="false">O309/parametros_recargas!$B$6</f>
        <v>2.85351897201304</v>
      </c>
    </row>
    <row r="310" customFormat="false" ht="15" hidden="false" customHeight="false" outlineLevel="0" collapsed="false">
      <c r="A310" s="9" t="str">
        <f aca="false">parametros_recargas!$B$92</f>
        <v>Ensamblaje y marbete — recinto</v>
      </c>
      <c r="B310" s="21"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15498.0575444973</v>
      </c>
      <c r="C310" s="21"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15495.3639444973</v>
      </c>
      <c r="D310" s="21"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15496.2083444973</v>
      </c>
      <c r="E310" s="21"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15496.2083444973</v>
      </c>
      <c r="F310" s="21"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15495.5691444973</v>
      </c>
      <c r="G310" s="21"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15494.7931444973</v>
      </c>
      <c r="H310" s="21"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15495.5691444973</v>
      </c>
      <c r="I310" s="21"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15495.5691444973</v>
      </c>
      <c r="J310" s="21"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15495.5007444973</v>
      </c>
      <c r="K310" s="21"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15494.7247444973</v>
      </c>
      <c r="L310" s="21"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15494.0171444973</v>
      </c>
      <c r="M310" s="21"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15499.2675444973</v>
      </c>
      <c r="N310" s="7" t="n">
        <f aca="false">SUM(B310:M310)</f>
        <v>185950.848933968</v>
      </c>
      <c r="O310" s="22" t="n">
        <f aca="false">MAX(B310:M310)</f>
        <v>15499.2675444973</v>
      </c>
      <c r="P310" s="12" t="n">
        <f aca="false">O310/parametros_recargas!$B$6</f>
        <v>103.328450296649</v>
      </c>
    </row>
    <row r="311" customFormat="false" ht="15" hidden="false" customHeight="false" outlineLevel="0" collapsed="false">
      <c r="A311" s="9" t="str">
        <f aca="false">parametros_recargas!$B$93</f>
        <v>Presurización — recinto</v>
      </c>
      <c r="B311" s="21"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15498.0575444973</v>
      </c>
      <c r="C311" s="21"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15495.3639444973</v>
      </c>
      <c r="D311" s="21"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15496.2083444973</v>
      </c>
      <c r="E311" s="21"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15496.2083444973</v>
      </c>
      <c r="F311" s="21"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15495.5691444973</v>
      </c>
      <c r="G311" s="21"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15494.7931444973</v>
      </c>
      <c r="H311" s="21"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15495.5691444973</v>
      </c>
      <c r="I311" s="21"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15495.5691444973</v>
      </c>
      <c r="J311" s="21"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15495.5007444973</v>
      </c>
      <c r="K311" s="21"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15494.7247444973</v>
      </c>
      <c r="L311" s="21"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15494.0171444973</v>
      </c>
      <c r="M311" s="21"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15499.2675444973</v>
      </c>
      <c r="N311" s="7" t="n">
        <f aca="false">SUM(B311:M311)</f>
        <v>185950.848933968</v>
      </c>
      <c r="O311" s="22" t="n">
        <f aca="false">MAX(B311:M311)</f>
        <v>15499.2675444973</v>
      </c>
      <c r="P311" s="12" t="n">
        <f aca="false">O311/parametros_recargas!$B$6</f>
        <v>103.328450296649</v>
      </c>
    </row>
    <row r="312" customFormat="false" ht="15" hidden="false" customHeight="false" outlineLevel="0" collapsed="false">
      <c r="A312" s="9" t="str">
        <f aca="false">parametros_recargas!$B$94</f>
        <v>Ensamblaje y presurización — zona general</v>
      </c>
      <c r="B312" s="21"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1155.20903242818</v>
      </c>
      <c r="C312" s="21"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1155.20903242818</v>
      </c>
      <c r="D312" s="21"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1155.20903242818</v>
      </c>
      <c r="E312" s="21"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1155.20903242818</v>
      </c>
      <c r="F312" s="21"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1155.20903242818</v>
      </c>
      <c r="G312" s="21"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1155.20903242818</v>
      </c>
      <c r="H312" s="21"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1155.20903242818</v>
      </c>
      <c r="I312" s="21"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1155.20903242818</v>
      </c>
      <c r="J312" s="21"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1155.20903242818</v>
      </c>
      <c r="K312" s="21"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1155.20903242818</v>
      </c>
      <c r="L312" s="21"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1155.20903242818</v>
      </c>
      <c r="M312" s="21"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1155.20903242818</v>
      </c>
      <c r="N312" s="7" t="n">
        <f aca="false">SUM(B312:M312)</f>
        <v>13862.5083891382</v>
      </c>
      <c r="O312" s="22" t="n">
        <f aca="false">MAX(B312:M312)</f>
        <v>1155.20903242818</v>
      </c>
      <c r="P312" s="12" t="n">
        <f aca="false">O312/parametros_recargas!$B$6</f>
        <v>7.7013935495212</v>
      </c>
    </row>
    <row r="313" customFormat="false" ht="15" hidden="false" customHeight="false" outlineLevel="0" collapsed="false">
      <c r="A313" s="9" t="str">
        <f aca="false">parametros_recargas!$B$95</f>
        <v>Carga y presurización de halogenado</v>
      </c>
      <c r="B313" s="21"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14.9232592940346</v>
      </c>
      <c r="C313" s="21"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14.9232592940346</v>
      </c>
      <c r="D313" s="21"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14.9232592940346</v>
      </c>
      <c r="E313" s="21"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14.9232592940346</v>
      </c>
      <c r="F313" s="21"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14.9232592940346</v>
      </c>
      <c r="G313" s="21"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14.9232592940346</v>
      </c>
      <c r="H313" s="21"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14.9232592940346</v>
      </c>
      <c r="I313" s="21"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14.9232592940346</v>
      </c>
      <c r="J313" s="21"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14.9232592940346</v>
      </c>
      <c r="K313" s="21"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14.9232592940346</v>
      </c>
      <c r="L313" s="21"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14.9232592940346</v>
      </c>
      <c r="M313" s="21"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14.9232592940346</v>
      </c>
      <c r="N313" s="7" t="n">
        <f aca="false">SUM(B313:M313)</f>
        <v>179.079111528415</v>
      </c>
      <c r="O313" s="22" t="n">
        <f aca="false">MAX(B313:M313)</f>
        <v>14.9232592940346</v>
      </c>
      <c r="P313" s="12" t="n">
        <f aca="false">O313/parametros_recargas!$B$6</f>
        <v>0.0994883952935637</v>
      </c>
    </row>
    <row r="314" customFormat="false" ht="15" hidden="false" customHeight="false" outlineLevel="0" collapsed="false">
      <c r="A314" s="9" t="str">
        <f aca="false">parametros_recargas!$B$96</f>
        <v>Control de peso (CO₂ y halogenados sin recarga)</v>
      </c>
      <c r="B314" s="21"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1043.50141808667</v>
      </c>
      <c r="C314" s="21"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1043.50141808667</v>
      </c>
      <c r="D314" s="21"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1043.50141808667</v>
      </c>
      <c r="E314" s="21"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1043.50141808667</v>
      </c>
      <c r="F314" s="21"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1043.50141808667</v>
      </c>
      <c r="G314" s="21"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1043.50141808667</v>
      </c>
      <c r="H314" s="21"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1043.50141808667</v>
      </c>
      <c r="I314" s="21"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1043.50141808667</v>
      </c>
      <c r="J314" s="21"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1043.50141808667</v>
      </c>
      <c r="K314" s="21"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1043.50141808667</v>
      </c>
      <c r="L314" s="21"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1043.50141808667</v>
      </c>
      <c r="M314" s="21"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1043.50141808667</v>
      </c>
      <c r="N314" s="7" t="n">
        <f aca="false">SUM(B314:M314)</f>
        <v>12522.01701704</v>
      </c>
      <c r="O314" s="22" t="n">
        <f aca="false">MAX(B314:M314)</f>
        <v>1043.50141808667</v>
      </c>
      <c r="P314" s="12" t="n">
        <f aca="false">O314/parametros_recargas!$B$6</f>
        <v>6.95667612057779</v>
      </c>
    </row>
    <row r="315" customFormat="false" ht="15" hidden="false" customHeight="false" outlineLevel="0" collapsed="false">
      <c r="A315" s="9" t="str">
        <f aca="false">parametros_recargas!$B$97</f>
        <v>Ensayo de pérdidas</v>
      </c>
      <c r="B315" s="21"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17768.1059693125</v>
      </c>
      <c r="C315" s="21"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17765.4123693125</v>
      </c>
      <c r="D315" s="21"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17766.2567693125</v>
      </c>
      <c r="E315" s="21"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17766.2567693125</v>
      </c>
      <c r="F315" s="21"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17765.6175693125</v>
      </c>
      <c r="G315" s="21"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17764.8415693125</v>
      </c>
      <c r="H315" s="21"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17765.6175693125</v>
      </c>
      <c r="I315" s="21"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17765.6175693125</v>
      </c>
      <c r="J315" s="21"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17765.5491693125</v>
      </c>
      <c r="K315" s="21"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17764.7731693125</v>
      </c>
      <c r="L315" s="21"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17764.0655693125</v>
      </c>
      <c r="M315" s="21"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17769.3159693125</v>
      </c>
      <c r="N315" s="7" t="n">
        <f aca="false">SUM(B315:M315)</f>
        <v>213191.43003175</v>
      </c>
      <c r="O315" s="22" t="n">
        <f aca="false">MAX(B315:M315)</f>
        <v>17769.3159693125</v>
      </c>
      <c r="P315" s="12" t="n">
        <f aca="false">O315/parametros_recargas!$B$6</f>
        <v>118.462106462084</v>
      </c>
    </row>
    <row r="316" customFormat="false" ht="15" hidden="false" customHeight="false" outlineLevel="0" collapsed="false">
      <c r="A316" s="9" t="str">
        <f aca="false">parametros_recargas!$B$98</f>
        <v>Precinto, etiqueta y despacho</v>
      </c>
      <c r="B316" s="21"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17768.1059693125</v>
      </c>
      <c r="C316" s="21"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17765.4123693125</v>
      </c>
      <c r="D316" s="21"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17766.2567693125</v>
      </c>
      <c r="E316" s="21"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17766.2567693125</v>
      </c>
      <c r="F316" s="21"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17765.6175693125</v>
      </c>
      <c r="G316" s="21"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17764.8415693125</v>
      </c>
      <c r="H316" s="21"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17765.6175693125</v>
      </c>
      <c r="I316" s="21"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17765.6175693125</v>
      </c>
      <c r="J316" s="21"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17765.5491693125</v>
      </c>
      <c r="K316" s="21"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17764.7731693125</v>
      </c>
      <c r="L316" s="21"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17764.0655693125</v>
      </c>
      <c r="M316" s="21"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17769.3159693125</v>
      </c>
      <c r="N316" s="7" t="n">
        <f aca="false">SUM(B316:M316)</f>
        <v>213191.43003175</v>
      </c>
      <c r="O316" s="22" t="n">
        <f aca="false">MAX(B316:M316)</f>
        <v>17769.3159693125</v>
      </c>
      <c r="P316" s="12" t="n">
        <f aca="false">O316/parametros_recargas!$B$6</f>
        <v>118.462106462084</v>
      </c>
    </row>
    <row r="317" customFormat="false" ht="15" hidden="false" customHeight="false" outlineLevel="0" collapsed="false">
      <c r="A317" s="9" t="str">
        <f aca="false">parametros_recargas!$B$99</f>
        <v>Inutilización y disposición final</v>
      </c>
      <c r="B317" s="21"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1396.55340877823</v>
      </c>
      <c r="C317" s="21"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1396.55340877823</v>
      </c>
      <c r="D317" s="21"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1396.55340877823</v>
      </c>
      <c r="E317" s="21"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1396.55340877823</v>
      </c>
      <c r="F317" s="21"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1396.55340877823</v>
      </c>
      <c r="G317" s="21"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1396.55340877823</v>
      </c>
      <c r="H317" s="21"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1396.55340877823</v>
      </c>
      <c r="I317" s="21"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1396.55340877823</v>
      </c>
      <c r="J317" s="21"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1396.55340877823</v>
      </c>
      <c r="K317" s="21"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1396.55340877823</v>
      </c>
      <c r="L317" s="21"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1396.55340877823</v>
      </c>
      <c r="M317" s="21"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1396.55340877823</v>
      </c>
      <c r="N317" s="7" t="n">
        <f aca="false">SUM(B317:M317)</f>
        <v>16758.6409053387</v>
      </c>
      <c r="O317" s="22" t="n">
        <f aca="false">MAX(B317:M317)</f>
        <v>1396.55340877823</v>
      </c>
      <c r="P317" s="12" t="n">
        <f aca="false">O317/parametros_recargas!$B$6</f>
        <v>9.31035605852151</v>
      </c>
    </row>
    <row r="318" customFormat="false" ht="15" hidden="false" customHeight="false" outlineLevel="0" collapsed="false">
      <c r="A318" s="9" t="str">
        <f aca="false">parametros_recargas!$B$100</f>
        <v>PH de mangueras (CO₂ y rodantes)</v>
      </c>
      <c r="B318" s="21" t="n">
        <f aca="false">'Plan mensual'!D317</f>
        <v>598.355119562179</v>
      </c>
      <c r="C318" s="21" t="n">
        <f aca="false">'Plan mensual'!E317</f>
        <v>598.355119562179</v>
      </c>
      <c r="D318" s="21" t="n">
        <f aca="false">'Plan mensual'!F317</f>
        <v>598.355119562179</v>
      </c>
      <c r="E318" s="21" t="n">
        <f aca="false">'Plan mensual'!G317</f>
        <v>598.355119562179</v>
      </c>
      <c r="F318" s="21" t="n">
        <f aca="false">'Plan mensual'!H317</f>
        <v>598.355119562179</v>
      </c>
      <c r="G318" s="21" t="n">
        <f aca="false">'Plan mensual'!I317</f>
        <v>598.355119562179</v>
      </c>
      <c r="H318" s="21" t="n">
        <f aca="false">'Plan mensual'!J317</f>
        <v>598.355119562179</v>
      </c>
      <c r="I318" s="21" t="n">
        <f aca="false">'Plan mensual'!K317</f>
        <v>598.355119562179</v>
      </c>
      <c r="J318" s="21" t="n">
        <f aca="false">'Plan mensual'!L317</f>
        <v>598.355119562179</v>
      </c>
      <c r="K318" s="21" t="n">
        <f aca="false">'Plan mensual'!M317</f>
        <v>598.355119562179</v>
      </c>
      <c r="L318" s="21" t="n">
        <f aca="false">'Plan mensual'!N317</f>
        <v>598.355119562179</v>
      </c>
      <c r="M318" s="21" t="n">
        <f aca="false">'Plan mensual'!O317</f>
        <v>598.355119562179</v>
      </c>
      <c r="N318" s="7" t="n">
        <f aca="false">SUM(B318:M318)</f>
        <v>7180.26143474615</v>
      </c>
      <c r="O318" s="22" t="n">
        <f aca="false">MAX(B318:M318)</f>
        <v>598.355119562179</v>
      </c>
      <c r="P318" s="12" t="n">
        <f aca="false">O318/parametros_recargas!$B$6</f>
        <v>3.98903413041453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3" t="s">
        <v>373</v>
      </c>
      <c r="B1" s="3" t="n">
        <v>2026</v>
      </c>
      <c r="C1" s="3" t="n">
        <v>2027</v>
      </c>
      <c r="D1" s="3" t="n">
        <v>2028</v>
      </c>
      <c r="E1" s="3" t="n">
        <v>2029</v>
      </c>
      <c r="F1" s="3" t="n">
        <v>2030</v>
      </c>
      <c r="G1" s="3" t="n">
        <v>2031</v>
      </c>
      <c r="H1" s="3" t="n">
        <v>2032</v>
      </c>
      <c r="I1" s="3" t="n">
        <v>2033</v>
      </c>
      <c r="J1" s="3" t="n">
        <v>2034</v>
      </c>
      <c r="K1" s="3" t="n">
        <v>2035</v>
      </c>
      <c r="L1" s="4" t="s">
        <v>183</v>
      </c>
      <c r="N1" s="3" t="s">
        <v>374</v>
      </c>
      <c r="O1" s="3" t="s">
        <v>375</v>
      </c>
    </row>
    <row r="2" customFormat="false" ht="15" hidden="false" customHeight="false" outlineLevel="0" collapsed="false">
      <c r="A2" s="9" t="str">
        <f aca="false">parametros_recargas!$B$72</f>
        <v>Recepción y registro</v>
      </c>
      <c r="B2" s="14" t="n">
        <f aca="false">IF(parametros_recargas!$O$72*B34*B66=0,0,'Demanda por puesto'!$P$2/(parametros_recargas!$O$72*B34*B66))</f>
        <v>0.045309246733423</v>
      </c>
      <c r="C2" s="14" t="n">
        <f aca="false">IF(parametros_recargas!$O$72*C34*C66=0,0,'Demanda por puesto'!$P$34/(parametros_recargas!$O$72*C34*C66))</f>
        <v>0.20372943898379</v>
      </c>
      <c r="D2" s="14" t="n">
        <f aca="false">IF(parametros_recargas!$O$72*D34*D66=0,0,'Demanda por puesto'!$P$66/(parametros_recargas!$O$72*D34*D66))</f>
        <v>0.409344391922153</v>
      </c>
      <c r="E2" s="14" t="n">
        <f aca="false">IF(parametros_recargas!$O$72*E34*E66=0,0,'Demanda por puesto'!$P$98/(parametros_recargas!$O$72*E34*E66))</f>
        <v>0.758577493460798</v>
      </c>
      <c r="F2" s="14" t="n">
        <f aca="false">IF(parametros_recargas!$O$72*F34*F66=0,0,'Demanda por puesto'!$P$130/(parametros_recargas!$O$72*F34*F66))</f>
        <v>0.557857440571757</v>
      </c>
      <c r="G2" s="14" t="n">
        <f aca="false">IF(parametros_recargas!$O$72*G34*G66=0,0,'Demanda por puesto'!$P$162/(parametros_recargas!$O$72*G34*G66))</f>
        <v>0.758568531023545</v>
      </c>
      <c r="H2" s="14" t="n">
        <f aca="false">IF(parametros_recargas!$O$72*H34*H66=0,0,'Demanda por puesto'!$P$194/(parametros_recargas!$O$72*H34*H66))</f>
        <v>0.47076613107171</v>
      </c>
      <c r="I2" s="14" t="n">
        <f aca="false">IF(parametros_recargas!$O$72*I34*I66=0,0,'Demanda por puesto'!$P$226/(parametros_recargas!$O$72*I34*I66))</f>
        <v>0.534939735555696</v>
      </c>
      <c r="J2" s="14" t="n">
        <f aca="false">IF(parametros_recargas!$O$72*J34*J66=0,0,'Demanda por puesto'!$P$258/(parametros_recargas!$O$72*J34*J66))</f>
        <v>0.575547120178654</v>
      </c>
      <c r="K2" s="14" t="n">
        <f aca="false">IF(parametros_recargas!$O$72*K34*K66=0,0,'Demanda por puesto'!$P$290/(parametros_recargas!$O$72*K34*K66))</f>
        <v>0.616990137823352</v>
      </c>
      <c r="L2" s="9" t="str">
        <f aca="false">parametros_recargas!$D$72</f>
        <v>Manual</v>
      </c>
      <c r="N2" s="5" t="s">
        <v>376</v>
      </c>
      <c r="O2" s="5" t="s">
        <v>377</v>
      </c>
    </row>
    <row r="3" customFormat="false" ht="15" hidden="false" customHeight="false" outlineLevel="0" collapsed="false">
      <c r="A3" s="9" t="str">
        <f aca="false">parametros_recargas!$B$73</f>
        <v>Inspección visual</v>
      </c>
      <c r="B3" s="14" t="n">
        <f aca="false">IF(parametros_recargas!$O$73*B35*B67=0,0,'Demanda por puesto'!$P$3/(parametros_recargas!$O$73*B35*B67))</f>
        <v>0.0538627627467743</v>
      </c>
      <c r="C3" s="14" t="n">
        <f aca="false">IF(parametros_recargas!$O$73*C35*C67=0,0,'Demanda por puesto'!$P$35/(parametros_recargas!$O$73*C35*C67))</f>
        <v>0.243386326780549</v>
      </c>
      <c r="D3" s="14" t="n">
        <f aca="false">IF(parametros_recargas!$O$73*D35*D67=0,0,'Demanda por puesto'!$P$67/(parametros_recargas!$O$73*D35*D67))</f>
        <v>0.48931873697325</v>
      </c>
      <c r="E3" s="14" t="n">
        <f aca="false">IF(parametros_recargas!$O$73*E35*E67=0,0,'Demanda por puesto'!$P$99/(parametros_recargas!$O$73*E35*E67))</f>
        <v>0.453573429409812</v>
      </c>
      <c r="F3" s="14" t="n">
        <f aca="false">IF(parametros_recargas!$O$73*F35*F67=0,0,'Demanda por puesto'!$P$131/(parametros_recargas!$O$73*F35*F67))</f>
        <v>0.667823162019441</v>
      </c>
      <c r="G3" s="14" t="n">
        <f aca="false">IF(parametros_recargas!$O$73*G35*G67=0,0,'Demanda por puesto'!$P$163/(parametros_recargas!$O$73*G35*G67))</f>
        <v>0.60567746926328</v>
      </c>
      <c r="H3" s="14" t="n">
        <f aca="false">IF(parametros_recargas!$O$73*H35*H67=0,0,'Demanda por puesto'!$P$195/(parametros_recargas!$O$73*H35*H67))</f>
        <v>0.752274965270292</v>
      </c>
      <c r="I3" s="14" t="n">
        <f aca="false">IF(parametros_recargas!$O$73*I35*I67=0,0,'Demanda por puesto'!$P$227/(parametros_recargas!$O$73*I35*I67))</f>
        <v>0.85503393244467</v>
      </c>
      <c r="J3" s="14" t="n">
        <f aca="false">IF(parametros_recargas!$O$73*J35*J67=0,0,'Demanda por puesto'!$P$259/(parametros_recargas!$O$73*J35*J67))</f>
        <v>0.460035707254034</v>
      </c>
      <c r="K3" s="14" t="n">
        <f aca="false">IF(parametros_recargas!$O$73*K35*K67=0,0,'Demanda por puesto'!$P$291/(parametros_recargas!$O$73*K35*K67))</f>
        <v>0.493171088036459</v>
      </c>
      <c r="L3" s="9" t="str">
        <f aca="false">parametros_recargas!$D$73</f>
        <v>Manual</v>
      </c>
      <c r="N3" s="24" t="s">
        <v>378</v>
      </c>
      <c r="O3" s="5" t="s">
        <v>379</v>
      </c>
    </row>
    <row r="4" customFormat="false" ht="15" hidden="false" customHeight="false" outlineLevel="0" collapsed="false">
      <c r="A4" s="9" t="str">
        <f aca="false">parametros_recargas!$B$74</f>
        <v>Descarga ABC — ruta recuperable</v>
      </c>
      <c r="B4" s="14" t="n">
        <f aca="false">IF(parametros_recargas!$O$74*B36*B68=0,0,'Demanda por puesto'!$P$4/(parametros_recargas!$O$74*B36*B68))</f>
        <v>0.0376396168391762</v>
      </c>
      <c r="C4" s="14" t="n">
        <f aca="false">IF(parametros_recargas!$O$74*C36*C68=0,0,'Demanda por puesto'!$P$36/(parametros_recargas!$O$74*C36*C68))</f>
        <v>0.170866332734163</v>
      </c>
      <c r="D4" s="14" t="n">
        <f aca="false">IF(parametros_recargas!$O$74*D36*D68=0,0,'Demanda por puesto'!$P$68/(parametros_recargas!$O$74*D36*D68))</f>
        <v>0.338176603539684</v>
      </c>
      <c r="E4" s="14" t="n">
        <f aca="false">IF(parametros_recargas!$O$74*E36*E68=0,0,'Demanda por puesto'!$P$100/(parametros_recargas!$O$74*E36*E68))</f>
        <v>0.627041772525998</v>
      </c>
      <c r="F4" s="14" t="n">
        <f aca="false">IF(parametros_recargas!$O$74*F36*F68=0,0,'Demanda por puesto'!$P$132/(parametros_recargas!$O$74*F36*F68))</f>
        <v>0.463130596438385</v>
      </c>
      <c r="G4" s="14" t="n">
        <f aca="false">IF(parametros_recargas!$O$74*G36*G68=0,0,'Demanda por puesto'!$P$164/(parametros_recargas!$O$74*G36*G68))</f>
        <v>0.632464639023507</v>
      </c>
      <c r="H4" s="14" t="n">
        <f aca="false">IF(parametros_recargas!$O$74*H36*H68=0,0,'Demanda por puesto'!$P$196/(parametros_recargas!$O$74*H36*H68))</f>
        <v>0.786766181161481</v>
      </c>
      <c r="I4" s="14" t="n">
        <f aca="false">IF(parametros_recargas!$O$74*I36*I68=0,0,'Demanda por puesto'!$P$228/(parametros_recargas!$O$74*I36*I68))</f>
        <v>0.896886535694777</v>
      </c>
      <c r="J4" s="14" t="n">
        <f aca="false">IF(parametros_recargas!$O$74*J36*J68=0,0,'Demanda por puesto'!$P$260/(parametros_recargas!$O$74*J36*J68))</f>
        <v>0.482127028833158</v>
      </c>
      <c r="K4" s="14" t="n">
        <f aca="false">IF(parametros_recargas!$O$74*K36*K68=0,0,'Demanda por puesto'!$P$292/(parametros_recargas!$O$74*K36*K68))</f>
        <v>0.516481797392091</v>
      </c>
      <c r="L4" s="9" t="str">
        <f aca="false">parametros_recargas!$D$74</f>
        <v>Máquina</v>
      </c>
      <c r="N4" s="25" t="s">
        <v>380</v>
      </c>
      <c r="O4" s="5" t="s">
        <v>381</v>
      </c>
    </row>
    <row r="5" customFormat="false" ht="15" hidden="false" customHeight="false" outlineLevel="0" collapsed="false">
      <c r="A5" s="9" t="str">
        <f aca="false">parametros_recargas!$B$75</f>
        <v>Descarga ABC — ruta descarte</v>
      </c>
      <c r="B5" s="14" t="n">
        <f aca="false">IF(parametros_recargas!$O$75*B37*B69=0,0,'Demanda por puesto'!$P$5/(parametros_recargas!$O$75*B37*B69))</f>
        <v>0.00442819021637367</v>
      </c>
      <c r="C5" s="14" t="n">
        <f aca="false">IF(parametros_recargas!$O$75*C37*C69=0,0,'Demanda por puesto'!$P$37/(parametros_recargas!$O$75*C37*C69))</f>
        <v>0.0201019214981368</v>
      </c>
      <c r="D5" s="14" t="n">
        <f aca="false">IF(parametros_recargas!$O$75*D37*D69=0,0,'Demanda por puesto'!$P$69/(parametros_recargas!$O$75*D37*D69))</f>
        <v>0.0397854827693746</v>
      </c>
      <c r="E5" s="14" t="n">
        <f aca="false">IF(parametros_recargas!$O$75*E37*E69=0,0,'Demanda por puesto'!$P$101/(parametros_recargas!$O$75*E37*E69))</f>
        <v>0.0737696202971762</v>
      </c>
      <c r="F5" s="14" t="n">
        <f aca="false">IF(parametros_recargas!$O$75*F37*F69=0,0,'Demanda por puesto'!$P$133/(parametros_recargas!$O$75*F37*F69))</f>
        <v>0.108971905044326</v>
      </c>
      <c r="G5" s="14" t="n">
        <f aca="false">IF(parametros_recargas!$O$75*G37*G69=0,0,'Demanda por puesto'!$P$165/(parametros_recargas!$O$75*G37*G69))</f>
        <v>0.148815209182002</v>
      </c>
      <c r="H5" s="14" t="n">
        <f aca="false">IF(parametros_recargas!$O$75*H37*H69=0,0,'Demanda por puesto'!$P$197/(parametros_recargas!$O$75*H37*H69))</f>
        <v>0.185121454390937</v>
      </c>
      <c r="I5" s="14" t="n">
        <f aca="false">IF(parametros_recargas!$O$75*I37*I69=0,0,'Demanda por puesto'!$P$229/(parametros_recargas!$O$75*I37*I69))</f>
        <v>0.21103212604583</v>
      </c>
      <c r="J5" s="14" t="n">
        <f aca="false">IF(parametros_recargas!$O$75*J37*J69=0,0,'Demanda por puesto'!$P$261/(parametros_recargas!$O$75*J37*J69))</f>
        <v>0.226883307686192</v>
      </c>
      <c r="K5" s="14" t="n">
        <f aca="false">IF(parametros_recargas!$O$75*K37*K69=0,0,'Demanda por puesto'!$P$293/(parametros_recargas!$O$75*K37*K69))</f>
        <v>0.243050257596278</v>
      </c>
      <c r="L5" s="9" t="str">
        <f aca="false">parametros_recargas!$D$75</f>
        <v>Máquina</v>
      </c>
      <c r="N5" s="26" t="s">
        <v>382</v>
      </c>
      <c r="O5" s="5" t="s">
        <v>383</v>
      </c>
    </row>
    <row r="6" customFormat="false" ht="15" hidden="false" customHeight="false" outlineLevel="0" collapsed="false">
      <c r="A6" s="9" t="str">
        <f aca="false">parametros_recargas!$B$76</f>
        <v>Descarga BC</v>
      </c>
      <c r="B6" s="14" t="n">
        <f aca="false">IF(parametros_recargas!$O$76*B38*B70=0,0,'Demanda por puesto'!$P$6/(parametros_recargas!$O$76*B38*B70))</f>
        <v>4.96619444837811E-005</v>
      </c>
      <c r="C6" s="14" t="n">
        <f aca="false">IF(parametros_recargas!$O$76*C38*C70=0,0,'Demanda por puesto'!$P$38/(parametros_recargas!$O$76*C38*C70))</f>
        <v>0.000355517350449582</v>
      </c>
      <c r="D6" s="14" t="n">
        <f aca="false">IF(parametros_recargas!$O$76*D38*D70=0,0,'Demanda por puesto'!$P$70/(parametros_recargas!$O$76*D38*D70))</f>
        <v>0.000659682375578113</v>
      </c>
      <c r="E6" s="14" t="n">
        <f aca="false">IF(parametros_recargas!$O$76*E38*E70=0,0,'Demanda por puesto'!$P$102/(parametros_recargas!$O$76*E38*E70))</f>
        <v>0.00118642264990334</v>
      </c>
      <c r="F6" s="14" t="n">
        <f aca="false">IF(parametros_recargas!$O$76*F38*F70=0,0,'Demanda por puesto'!$P$134/(parametros_recargas!$O$76*F38*F70))</f>
        <v>0.00162498661516379</v>
      </c>
      <c r="G6" s="14" t="n">
        <f aca="false">IF(parametros_recargas!$O$76*G38*G70=0,0,'Demanda por puesto'!$P$166/(parametros_recargas!$O$76*G38*G70))</f>
        <v>0.00216235270797207</v>
      </c>
      <c r="H6" s="14" t="n">
        <f aca="false">IF(parametros_recargas!$O$76*H38*H70=0,0,'Demanda por puesto'!$P$198/(parametros_recargas!$O$76*H38*H70))</f>
        <v>0.00273536522292234</v>
      </c>
      <c r="I6" s="14" t="n">
        <f aca="false">IF(parametros_recargas!$O$76*I38*I70=0,0,'Demanda por puesto'!$P$230/(parametros_recargas!$O$76*I38*I70))</f>
        <v>0.00302315126673897</v>
      </c>
      <c r="J6" s="14" t="n">
        <f aca="false">IF(parametros_recargas!$O$76*J38*J70=0,0,'Demanda por puesto'!$P$262/(parametros_recargas!$O$76*J38*J70))</f>
        <v>0.00329499466225667</v>
      </c>
      <c r="K6" s="14" t="n">
        <f aca="false">IF(parametros_recargas!$O$76*K38*K70=0,0,'Demanda por puesto'!$P$294/(parametros_recargas!$O$76*K38*K70))</f>
        <v>0.00358231399999181</v>
      </c>
      <c r="L6" s="9" t="str">
        <f aca="false">parametros_recargas!$D$76</f>
        <v>Máquina</v>
      </c>
      <c r="N6" s="27" t="s">
        <v>384</v>
      </c>
      <c r="O6" s="5" t="s">
        <v>385</v>
      </c>
    </row>
    <row r="7" customFormat="false" ht="15" hidden="false" customHeight="false" outlineLevel="0" collapsed="false">
      <c r="A7" s="9" t="str">
        <f aca="false">parametros_recargas!$B$77</f>
        <v>Descarga de agua / AFFF / sales K</v>
      </c>
      <c r="B7" s="14" t="n">
        <f aca="false">IF(parametros_recargas!$O$77*B39*B71=0,0,'Demanda por puesto'!$P$7/(parametros_recargas!$O$77*B39*B71))</f>
        <v>0.00267882380112493</v>
      </c>
      <c r="C7" s="14" t="n">
        <f aca="false">IF(parametros_recargas!$O$77*C39*C71=0,0,'Demanda por puesto'!$P$39/(parametros_recargas!$O$77*C39*C71))</f>
        <v>0.0126012373452957</v>
      </c>
      <c r="D7" s="14" t="n">
        <f aca="false">IF(parametros_recargas!$O$77*D39*D71=0,0,'Demanda por puesto'!$P$71/(parametros_recargas!$O$77*D39*D71))</f>
        <v>0.0274608554027386</v>
      </c>
      <c r="E7" s="14" t="n">
        <f aca="false">IF(parametros_recargas!$O$77*E39*E71=0,0,'Demanda por puesto'!$P$103/(parametros_recargas!$O$77*E39*E71))</f>
        <v>0.0498598813685977</v>
      </c>
      <c r="F7" s="14" t="n">
        <f aca="false">IF(parametros_recargas!$O$77*F39*F71=0,0,'Demanda por puesto'!$P$135/(parametros_recargas!$O$77*F39*F71))</f>
        <v>0.0717641403586082</v>
      </c>
      <c r="G7" s="14" t="n">
        <f aca="false">IF(parametros_recargas!$O$77*G39*G71=0,0,'Demanda por puesto'!$P$167/(parametros_recargas!$O$77*G39*G71))</f>
        <v>0.0949796918136496</v>
      </c>
      <c r="H7" s="14" t="n">
        <f aca="false">IF(parametros_recargas!$O$77*H39*H71=0,0,'Demanda por puesto'!$P$199/(parametros_recargas!$O$77*H39*H71))</f>
        <v>0.116683425226256</v>
      </c>
      <c r="I7" s="14" t="n">
        <f aca="false">IF(parametros_recargas!$O$77*I39*I71=0,0,'Demanda por puesto'!$P$231/(parametros_recargas!$O$77*I39*I71))</f>
        <v>0.130443289502591</v>
      </c>
      <c r="J7" s="14" t="n">
        <f aca="false">IF(parametros_recargas!$O$77*J39*J71=0,0,'Demanda por puesto'!$P$263/(parametros_recargas!$O$77*J39*J71))</f>
        <v>0.14133434987302</v>
      </c>
      <c r="K7" s="14" t="n">
        <f aca="false">IF(parametros_recargas!$O$77*K39*K71=0,0,'Demanda por puesto'!$P$295/(parametros_recargas!$O$77*K39*K71))</f>
        <v>0.152365869761878</v>
      </c>
      <c r="L7" s="9" t="str">
        <f aca="false">parametros_recargas!$D$77</f>
        <v>Máquina</v>
      </c>
      <c r="N7" s="28" t="s">
        <v>386</v>
      </c>
      <c r="O7" s="5" t="s">
        <v>387</v>
      </c>
    </row>
    <row r="8" customFormat="false" ht="15" hidden="false" customHeight="false" outlineLevel="0" collapsed="false">
      <c r="A8" s="9" t="str">
        <f aca="false">parametros_recargas!$B$78</f>
        <v>Recuperación de CO₂</v>
      </c>
      <c r="B8" s="14" t="n">
        <f aca="false">IF(parametros_recargas!$O$78*B40*B72=0,0,'Demanda por puesto'!$P$8/(parametros_recargas!$O$78*B40*B72))</f>
        <v>0.00252521259712326</v>
      </c>
      <c r="C8" s="14" t="n">
        <f aca="false">IF(parametros_recargas!$O$78*C40*C72=0,0,'Demanda por puesto'!$P$40/(parametros_recargas!$O$78*C40*C72))</f>
        <v>0.0103134802586816</v>
      </c>
      <c r="D8" s="14" t="n">
        <f aca="false">IF(parametros_recargas!$O$78*D40*D72=0,0,'Demanda por puesto'!$P$72/(parametros_recargas!$O$78*D40*D72))</f>
        <v>0.0235294990007022</v>
      </c>
      <c r="E8" s="14" t="n">
        <f aca="false">IF(parametros_recargas!$O$78*E40*E72=0,0,'Demanda por puesto'!$P$104/(parametros_recargas!$O$78*E40*E72))</f>
        <v>0.0442833557060105</v>
      </c>
      <c r="F8" s="14" t="n">
        <f aca="false">IF(parametros_recargas!$O$78*F40*F72=0,0,'Demanda por puesto'!$P$136/(parametros_recargas!$O$78*F40*F72))</f>
        <v>0.0640573687796243</v>
      </c>
      <c r="G8" s="14" t="n">
        <f aca="false">IF(parametros_recargas!$O$78*G40*G72=0,0,'Demanda por puesto'!$P$168/(parametros_recargas!$O$78*G40*G72))</f>
        <v>0.0852588289850603</v>
      </c>
      <c r="H8" s="14" t="n">
        <f aca="false">IF(parametros_recargas!$O$78*H40*H72=0,0,'Demanda por puesto'!$P$200/(parametros_recargas!$O$78*H40*H72))</f>
        <v>0.10468200127508</v>
      </c>
      <c r="I8" s="14" t="n">
        <f aca="false">IF(parametros_recargas!$O$78*I40*I72=0,0,'Demanda por puesto'!$P$232/(parametros_recargas!$O$78*I40*I72))</f>
        <v>0.116377433184561</v>
      </c>
      <c r="J8" s="14" t="n">
        <f aca="false">IF(parametros_recargas!$O$78*J40*J72=0,0,'Demanda por puesto'!$P$264/(parametros_recargas!$O$78*J40*J72))</f>
        <v>0.125833432338205</v>
      </c>
      <c r="K8" s="14" t="n">
        <f aca="false">IF(parametros_recargas!$O$78*K40*K72=0,0,'Demanda por puesto'!$P$296/(parametros_recargas!$O$78*K40*K72))</f>
        <v>0.135410043810804</v>
      </c>
      <c r="L8" s="9" t="str">
        <f aca="false">parametros_recargas!$D$78</f>
        <v>Máquina</v>
      </c>
    </row>
    <row r="9" customFormat="false" ht="15" hidden="false" customHeight="false" outlineLevel="0" collapsed="false">
      <c r="A9" s="9" t="str">
        <f aca="false">parametros_recargas!$B$79</f>
        <v>Recuperación de halogenado</v>
      </c>
      <c r="B9" s="14" t="n">
        <f aca="false">IF(parametros_recargas!$O$79*B41*B73=0,0,'Demanda por puesto'!$P$9/(parametros_recargas!$O$79*B41*B73))</f>
        <v>0.000181120042771183</v>
      </c>
      <c r="C9" s="14" t="n">
        <f aca="false">IF(parametros_recargas!$O$79*C41*C73=0,0,'Demanda por puesto'!$P$41/(parametros_recargas!$O$79*C41*C73))</f>
        <v>0.00113286104690243</v>
      </c>
      <c r="D9" s="14" t="n">
        <f aca="false">IF(parametros_recargas!$O$79*D41*D73=0,0,'Demanda por puesto'!$P$73/(parametros_recargas!$O$79*D41*D73))</f>
        <v>0.0023324113418514</v>
      </c>
      <c r="E9" s="14" t="n">
        <f aca="false">IF(parametros_recargas!$O$79*E41*E73=0,0,'Demanda por puesto'!$P$105/(parametros_recargas!$O$79*E41*E73))</f>
        <v>0.00404012814460075</v>
      </c>
      <c r="F9" s="14" t="n">
        <f aca="false">IF(parametros_recargas!$O$79*F41*F73=0,0,'Demanda por puesto'!$P$137/(parametros_recargas!$O$79*F41*F73))</f>
        <v>0.00580489188872754</v>
      </c>
      <c r="G9" s="14" t="n">
        <f aca="false">IF(parametros_recargas!$O$79*G41*G73=0,0,'Demanda por puesto'!$P$169/(parametros_recargas!$O$79*G41*G73))</f>
        <v>0.00762979495086566</v>
      </c>
      <c r="H9" s="14" t="n">
        <f aca="false">IF(parametros_recargas!$O$79*H41*H73=0,0,'Demanda por puesto'!$P$201/(parametros_recargas!$O$79*H41*H73))</f>
        <v>0.00956079704499988</v>
      </c>
      <c r="I9" s="14" t="n">
        <f aca="false">IF(parametros_recargas!$O$79*I41*I73=0,0,'Demanda por puesto'!$P$233/(parametros_recargas!$O$79*I41*I73))</f>
        <v>0.0108280289258541</v>
      </c>
      <c r="J9" s="14" t="n">
        <f aca="false">IF(parametros_recargas!$O$79*J41*J73=0,0,'Demanda por puesto'!$P$265/(parametros_recargas!$O$79*J41*J73))</f>
        <v>0.0118354057371168</v>
      </c>
      <c r="K9" s="14" t="n">
        <f aca="false">IF(parametros_recargas!$O$79*K41*K73=0,0,'Demanda por puesto'!$P$297/(parametros_recargas!$O$79*K41*K73))</f>
        <v>0.0128505843920853</v>
      </c>
      <c r="L9" s="9" t="str">
        <f aca="false">parametros_recargas!$D$79</f>
        <v>Máquina</v>
      </c>
      <c r="N9" s="4" t="s">
        <v>97</v>
      </c>
      <c r="O9" s="29" t="n">
        <f aca="false">parametros_recargas!B7</f>
        <v>0.9</v>
      </c>
    </row>
    <row r="10" customFormat="false" ht="15" hidden="false" customHeight="false" outlineLevel="0" collapsed="false">
      <c r="A10" s="9" t="str">
        <f aca="false">parametros_recargas!$B$80</f>
        <v>Desarme y limpieza — recinto</v>
      </c>
      <c r="B10" s="14" t="n">
        <f aca="false">IF(parametros_recargas!$O$80*B42*B74=0,0,'Demanda por puesto'!$P$10/(parametros_recargas!$O$80*B42*B74))</f>
        <v>0.0516910750496203</v>
      </c>
      <c r="C10" s="14" t="n">
        <f aca="false">IF(parametros_recargas!$O$80*C42*C74=0,0,'Demanda por puesto'!$P$42/(parametros_recargas!$O$80*C42*C74))</f>
        <v>0.234956408453464</v>
      </c>
      <c r="D10" s="14" t="n">
        <f aca="false">IF(parametros_recargas!$O$80*D42*D74=0,0,'Demanda por puesto'!$P$74/(parametros_recargas!$O$80*D42*D74))</f>
        <v>0.464920530024062</v>
      </c>
      <c r="E10" s="14" t="n">
        <f aca="false">IF(parametros_recargas!$O$80*E42*E74=0,0,'Demanda por puesto'!$P$106/(parametros_recargas!$O$80*E42*E74))</f>
        <v>0.861867691910712</v>
      </c>
      <c r="F10" s="14" t="n">
        <f aca="false">IF(parametros_recargas!$O$80*F42*F74=0,0,'Demanda por puesto'!$P$138/(parametros_recargas!$O$80*F42*F74))</f>
        <v>0.636432007643164</v>
      </c>
      <c r="G10" s="14" t="n">
        <f aca="false">IF(parametros_recargas!$O$80*G42*G74=0,0,'Demanda por puesto'!$P$170/(parametros_recargas!$O$80*G42*G74))</f>
        <v>0.86899531604565</v>
      </c>
      <c r="H10" s="14" t="n">
        <f aca="false">IF(parametros_recargas!$O$80*H42*H74=0,0,'Demanda por puesto'!$P$202/(parametros_recargas!$O$80*H42*H74))</f>
        <v>0.540533624626693</v>
      </c>
      <c r="I10" s="14" t="n">
        <f aca="false">IF(parametros_recargas!$O$80*I42*I74=0,0,'Demanda por puesto'!$P$234/(parametros_recargas!$O$80*I42*I74))</f>
        <v>0.616148540361885</v>
      </c>
      <c r="J10" s="14" t="n">
        <f aca="false">IF(parametros_recargas!$O$80*J42*J74=0,0,'Demanda por puesto'!$P$266/(parametros_recargas!$O$80*J42*J74))</f>
        <v>0.662456255086749</v>
      </c>
      <c r="K10" s="14" t="n">
        <f aca="false">IF(parametros_recargas!$O$80*K42*K74=0,0,'Demanda por puesto'!$P$298/(parametros_recargas!$O$80*K42*K74))</f>
        <v>0.709688409122795</v>
      </c>
      <c r="L10" s="9" t="str">
        <f aca="false">parametros_recargas!$D$80</f>
        <v>Manual</v>
      </c>
      <c r="N10" s="4" t="s">
        <v>99</v>
      </c>
      <c r="O10" s="13" t="n">
        <f aca="false">parametros_recargas!B8</f>
        <v>2</v>
      </c>
    </row>
    <row r="11" customFormat="false" ht="15" hidden="false" customHeight="false" outlineLevel="0" collapsed="false">
      <c r="A11" s="9" t="str">
        <f aca="false">parametros_recargas!$B$81</f>
        <v>Desarme e inspección interior — zona general</v>
      </c>
      <c r="B11" s="14" t="n">
        <f aca="false">IF(parametros_recargas!$O$81*B43*B75=0,0,'Demanda por puesto'!$P$11/(parametros_recargas!$O$81*B43*B75))</f>
        <v>0.00672675930572024</v>
      </c>
      <c r="C11" s="14" t="n">
        <f aca="false">IF(parametros_recargas!$O$81*C43*C75=0,0,'Demanda por puesto'!$P$43/(parametros_recargas!$O$81*C43*C75))</f>
        <v>0.0304053559665289</v>
      </c>
      <c r="D11" s="14" t="n">
        <f aca="false">IF(parametros_recargas!$O$81*D43*D75=0,0,'Demanda por puesto'!$P$75/(parametros_recargas!$O$81*D43*D75))</f>
        <v>0.0671133651745912</v>
      </c>
      <c r="E11" s="14" t="n">
        <f aca="false">IF(parametros_recargas!$O$81*E43*E75=0,0,'Demanda por puesto'!$P$107/(parametros_recargas!$O$81*E43*E75))</f>
        <v>0.123122706072022</v>
      </c>
      <c r="F11" s="14" t="n">
        <f aca="false">IF(parametros_recargas!$O$81*F43*F75=0,0,'Demanda por puesto'!$P$139/(parametros_recargas!$O$81*F43*F75))</f>
        <v>0.177483083631463</v>
      </c>
      <c r="G11" s="14" t="n">
        <f aca="false">IF(parametros_recargas!$O$81*G43*G75=0,0,'Demanda por puesto'!$P$171/(parametros_recargas!$O$81*G43*G75))</f>
        <v>0.235289715127171</v>
      </c>
      <c r="H11" s="14" t="n">
        <f aca="false">IF(parametros_recargas!$O$81*H43*H75=0,0,'Demanda por puesto'!$P$203/(parametros_recargas!$O$81*H43*H75))</f>
        <v>0.289075684296902</v>
      </c>
      <c r="I11" s="14" t="n">
        <f aca="false">IF(parametros_recargas!$O$81*I43*I75=0,0,'Demanda por puesto'!$P$235/(parametros_recargas!$O$81*I43*I75))</f>
        <v>0.322660434380342</v>
      </c>
      <c r="J11" s="14" t="n">
        <f aca="false">IF(parametros_recargas!$O$81*J43*J75=0,0,'Demanda por puesto'!$P$267/(parametros_recargas!$O$81*J43*J75))</f>
        <v>0.349415533980521</v>
      </c>
      <c r="K11" s="14" t="n">
        <f aca="false">IF(parametros_recargas!$O$81*K43*K75=0,0,'Demanda por puesto'!$P$299/(parametros_recargas!$O$81*K43*K75))</f>
        <v>0.376512573532148</v>
      </c>
      <c r="L11" s="9" t="str">
        <f aca="false">parametros_recargas!$D$81</f>
        <v>Manual</v>
      </c>
      <c r="N11" s="4" t="s">
        <v>388</v>
      </c>
      <c r="O11" s="13" t="n">
        <f aca="false">parametros_recargas!B10</f>
        <v>2032</v>
      </c>
    </row>
    <row r="12" customFormat="false" ht="15" hidden="false" customHeight="false" outlineLevel="0" collapsed="false">
      <c r="A12" s="9" t="str">
        <f aca="false">parametros_recargas!$B$82</f>
        <v>Laboratorio — Puffer y mufla</v>
      </c>
      <c r="B12" s="14" t="n">
        <f aca="false">IF(parametros_recargas!$O$82*B44*B76=0,0,'Demanda por puesto'!$P$12/(parametros_recargas!$O$82*B44*B76))</f>
        <v>0.00165852204546048</v>
      </c>
      <c r="C12" s="14" t="n">
        <f aca="false">IF(parametros_recargas!$O$82*C44*C76=0,0,'Demanda por puesto'!$P$44/(parametros_recargas!$O$82*C44*C76))</f>
        <v>0.007533784103708</v>
      </c>
      <c r="D12" s="14" t="n">
        <f aca="false">IF(parametros_recargas!$O$82*D44*D76=0,0,'Demanda por puesto'!$P$76/(parametros_recargas!$O$82*D44*D76))</f>
        <v>0.0149091310825935</v>
      </c>
      <c r="E12" s="14" t="n">
        <f aca="false">IF(parametros_recargas!$O$82*E44*E76=0,0,'Demanda por puesto'!$P$108/(parametros_recargas!$O$82*E44*E76))</f>
        <v>0.0276429029350223</v>
      </c>
      <c r="F12" s="14" t="n">
        <f aca="false">IF(parametros_recargas!$O$82*F44*F76=0,0,'Demanda por puesto'!$P$140/(parametros_recargas!$O$82*F44*F76))</f>
        <v>0.0408291063275975</v>
      </c>
      <c r="G12" s="14" t="n">
        <f aca="false">IF(parametros_recargas!$O$82*G44*G76=0,0,'Demanda por puesto'!$P$172/(parametros_recargas!$O$82*G44*G76))</f>
        <v>0.0557552933364589</v>
      </c>
      <c r="H12" s="14" t="n">
        <f aca="false">IF(parametros_recargas!$O$82*H44*H76=0,0,'Demanda por puesto'!$P$204/(parametros_recargas!$O$82*H44*H76))</f>
        <v>0.0693595377769492</v>
      </c>
      <c r="I12" s="14" t="n">
        <f aca="false">IF(parametros_recargas!$O$82*I44*I76=0,0,'Demanda por puesto'!$P$236/(parametros_recargas!$O$82*I44*I76))</f>
        <v>0.0790639438739485</v>
      </c>
      <c r="J12" s="14" t="n">
        <f aca="false">IF(parametros_recargas!$O$82*J44*J76=0,0,'Demanda por puesto'!$P$268/(parametros_recargas!$O$82*J44*J76))</f>
        <v>0.0850043207934927</v>
      </c>
      <c r="K12" s="14" t="n">
        <f aca="false">IF(parametros_recargas!$O$82*K44*K76=0,0,'Demanda por puesto'!$P$300/(parametros_recargas!$O$82*K44*K76))</f>
        <v>0.0910634111774308</v>
      </c>
      <c r="L12" s="9" t="str">
        <f aca="false">parametros_recargas!$D$82</f>
        <v>Máquina</v>
      </c>
    </row>
    <row r="13" customFormat="false" ht="15" hidden="false" customHeight="false" outlineLevel="0" collapsed="false">
      <c r="A13" s="9" t="str">
        <f aca="false">parametros_recargas!$B$83</f>
        <v>Prueba hidráulica</v>
      </c>
      <c r="B13" s="14" t="n">
        <f aca="false">IF(parametros_recargas!$O$83*B45*B77=0,0,'Demanda por puesto'!$P$13/(parametros_recargas!$O$83*B45*B77))</f>
        <v>0.0384593408057582</v>
      </c>
      <c r="C13" s="14" t="n">
        <f aca="false">IF(parametros_recargas!$O$83*C45*C77=0,0,'Demanda por puesto'!$P$45/(parametros_recargas!$O$83*C45*C77))</f>
        <v>0.174212335847172</v>
      </c>
      <c r="D13" s="14" t="n">
        <f aca="false">IF(parametros_recargas!$O$83*D45*D77=0,0,'Demanda por puesto'!$P$77/(parametros_recargas!$O$83*D45*D77))</f>
        <v>0.352082036490823</v>
      </c>
      <c r="E13" s="14" t="n">
        <f aca="false">IF(parametros_recargas!$O$83*E45*E77=0,0,'Demanda por puesto'!$P$109/(parametros_recargas!$O$83*E45*E77))</f>
        <v>0.651818291144297</v>
      </c>
      <c r="F13" s="14" t="n">
        <f aca="false">IF(parametros_recargas!$O$83*F45*F77=0,0,'Demanda por puesto'!$P$141/(parametros_recargas!$O$83*F45*F77))</f>
        <v>0.479144644843317</v>
      </c>
      <c r="G13" s="14" t="n">
        <f aca="false">IF(parametros_recargas!$O$83*G45*G77=0,0,'Demanda por puesto'!$P$173/(parametros_recargas!$O$83*G45*G77))</f>
        <v>0.650692271812258</v>
      </c>
      <c r="H13" s="14" t="n">
        <f aca="false">IF(parametros_recargas!$O$83*H45*H77=0,0,'Demanda por puesto'!$P$205/(parametros_recargas!$O$83*H45*H77))</f>
        <v>0.807630695160183</v>
      </c>
      <c r="I13" s="14" t="n">
        <f aca="false">IF(parametros_recargas!$O$83*I45*I77=0,0,'Demanda por puesto'!$P$237/(parametros_recargas!$O$83*I45*I77))</f>
        <v>0.458505560351757</v>
      </c>
      <c r="J13" s="14" t="n">
        <f aca="false">IF(parametros_recargas!$O$83*J45*J77=0,0,'Demanda por puesto'!$P$269/(parametros_recargas!$O$83*J45*J77))</f>
        <v>0.493590450298812</v>
      </c>
      <c r="K13" s="14" t="n">
        <f aca="false">IF(parametros_recargas!$O$83*K45*K77=0,0,'Demanda por puesto'!$P$301/(parametros_recargas!$O$83*K45*K77))</f>
        <v>0.529326390052955</v>
      </c>
      <c r="L13" s="9" t="str">
        <f aca="false">parametros_recargas!$D$83</f>
        <v>Máquina</v>
      </c>
      <c r="N13" s="2" t="s">
        <v>389</v>
      </c>
    </row>
    <row r="14" customFormat="false" ht="15" hidden="false" customHeight="false" outlineLevel="0" collapsed="false">
      <c r="A14" s="9" t="str">
        <f aca="false">parametros_recargas!$B$84</f>
        <v>Secado</v>
      </c>
      <c r="B14" s="14" t="n">
        <f aca="false">IF(parametros_recargas!$O$84*B46*B78=0,0,'Demanda por puesto'!$P$14/(parametros_recargas!$O$84*B46*B78))</f>
        <v>0.0215664889522132</v>
      </c>
      <c r="C14" s="14" t="n">
        <f aca="false">IF(parametros_recargas!$O$84*C46*C78=0,0,'Demanda por puesto'!$P$46/(parametros_recargas!$O$84*C46*C78))</f>
        <v>0.0973060411787005</v>
      </c>
      <c r="D14" s="14" t="n">
        <f aca="false">IF(parametros_recargas!$O$84*D46*D78=0,0,'Demanda por puesto'!$P$78/(parametros_recargas!$O$84*D46*D78))</f>
        <v>0.194765444911396</v>
      </c>
      <c r="E14" s="14" t="n">
        <f aca="false">IF(parametros_recargas!$O$84*E46*E78=0,0,'Demanda por puesto'!$P$110/(parametros_recargas!$O$84*E46*E78))</f>
        <v>0.36143424872972</v>
      </c>
      <c r="F14" s="14" t="n">
        <f aca="false">IF(parametros_recargas!$O$84*F46*F78=0,0,'Demanda por puesto'!$P$142/(parametros_recargas!$O$84*F46*F78))</f>
        <v>0.532796663588717</v>
      </c>
      <c r="G14" s="14" t="n">
        <f aca="false">IF(parametros_recargas!$O$84*G46*G78=0,0,'Demanda por puesto'!$P$174/(parametros_recargas!$O$84*G46*G78))</f>
        <v>0.725848327025644</v>
      </c>
      <c r="H14" s="14" t="n">
        <f aca="false">IF(parametros_recargas!$O$84*H46*H78=0,0,'Demanda por puesto'!$P$206/(parametros_recargas!$O$84*H46*H78))</f>
        <v>0.451017874434489</v>
      </c>
      <c r="I14" s="14" t="n">
        <f aca="false">IF(parametros_recargas!$O$84*I46*I78=0,0,'Demanda por puesto'!$P$238/(parametros_recargas!$O$84*I46*I78))</f>
        <v>0.513064054162634</v>
      </c>
      <c r="J14" s="14" t="n">
        <f aca="false">IF(parametros_recargas!$O$84*J46*J78=0,0,'Demanda por puesto'!$P$270/(parametros_recargas!$O$84*J46*J78))</f>
        <v>0.551903421379114</v>
      </c>
      <c r="K14" s="14" t="n">
        <f aca="false">IF(parametros_recargas!$O$84*K46*K78=0,0,'Demanda por puesto'!$P$302/(parametros_recargas!$O$84*K46*K78))</f>
        <v>0.591492293496829</v>
      </c>
      <c r="L14" s="9" t="str">
        <f aca="false">parametros_recargas!$D$84</f>
        <v>Máquina</v>
      </c>
    </row>
    <row r="15" customFormat="false" ht="15" hidden="false" customHeight="false" outlineLevel="0" collapsed="false">
      <c r="A15" s="9" t="str">
        <f aca="false">parametros_recargas!$B$85</f>
        <v>Inspección interior con videoscopio</v>
      </c>
      <c r="B15" s="14" t="n">
        <f aca="false">IF(parametros_recargas!$O$85*B47*B79=0,0,'Demanda por puesto'!$P$15/(parametros_recargas!$O$85*B47*B79))</f>
        <v>0.0101841753385451</v>
      </c>
      <c r="C15" s="14" t="n">
        <f aca="false">IF(parametros_recargas!$O$85*C47*C79=0,0,'Demanda por puesto'!$P$47/(parametros_recargas!$O$85*C47*C79))</f>
        <v>0.045950075001053</v>
      </c>
      <c r="D15" s="14" t="n">
        <f aca="false">IF(parametros_recargas!$O$85*D47*D79=0,0,'Demanda por puesto'!$P$79/(parametros_recargas!$O$85*D47*D79))</f>
        <v>0.0919725712081592</v>
      </c>
      <c r="E15" s="14" t="n">
        <f aca="false">IF(parametros_recargas!$O$85*E47*E79=0,0,'Demanda por puesto'!$P$111/(parametros_recargas!$O$85*E47*E79))</f>
        <v>0.170677284122368</v>
      </c>
      <c r="F15" s="14" t="n">
        <f aca="false">IF(parametros_recargas!$O$85*F47*F79=0,0,'Demanda por puesto'!$P$143/(parametros_recargas!$O$85*F47*F79))</f>
        <v>0.25159842447245</v>
      </c>
      <c r="G15" s="14" t="n">
        <f aca="false">IF(parametros_recargas!$O$85*G47*G79=0,0,'Demanda por puesto'!$P$175/(parametros_recargas!$O$85*G47*G79))</f>
        <v>0.342761709984332</v>
      </c>
      <c r="H15" s="14" t="n">
        <f aca="false">IF(parametros_recargas!$O$85*H47*H79=0,0,'Demanda por puesto'!$P$207/(parametros_recargas!$O$85*H47*H79))</f>
        <v>0.425961325854795</v>
      </c>
      <c r="I15" s="14" t="n">
        <f aca="false">IF(parametros_recargas!$O$85*I47*I79=0,0,'Demanda por puesto'!$P$239/(parametros_recargas!$O$85*I47*I79))</f>
        <v>0.484560495598043</v>
      </c>
      <c r="J15" s="14" t="n">
        <f aca="false">IF(parametros_recargas!$O$85*J47*J79=0,0,'Demanda por puesto'!$P$271/(parametros_recargas!$O$85*J47*J79))</f>
        <v>0.521242120191386</v>
      </c>
      <c r="K15" s="14" t="n">
        <f aca="false">IF(parametros_recargas!$O$85*K47*K79=0,0,'Demanda por puesto'!$P$303/(parametros_recargas!$O$85*K47*K79))</f>
        <v>0.558631610524783</v>
      </c>
      <c r="L15" s="9" t="str">
        <f aca="false">parametros_recargas!$D$85</f>
        <v>Manual</v>
      </c>
    </row>
    <row r="16" customFormat="false" ht="15" hidden="false" customHeight="false" outlineLevel="0" collapsed="false">
      <c r="A16" s="9" t="str">
        <f aca="false">parametros_recargas!$B$86</f>
        <v>Pintura</v>
      </c>
      <c r="B16" s="14" t="n">
        <f aca="false">IF(parametros_recargas!$O$86*B48*B80=0,0,'Demanda por puesto'!$P$16/(parametros_recargas!$O$86*B48*B80))</f>
        <v>0.0448856356223119</v>
      </c>
      <c r="C16" s="14" t="n">
        <f aca="false">IF(parametros_recargas!$O$86*C48*C80=0,0,'Demanda por puesto'!$P$48/(parametros_recargas!$O$86*C48*C80))</f>
        <v>0.20282193898379</v>
      </c>
      <c r="D16" s="14" t="n">
        <f aca="false">IF(parametros_recargas!$O$86*D48*D80=0,0,'Demanda por puesto'!$P$80/(parametros_recargas!$O$86*D48*D80))</f>
        <v>0.407765614144375</v>
      </c>
      <c r="E16" s="14" t="n">
        <f aca="false">IF(parametros_recargas!$O$86*E48*E80=0,0,'Demanda por puesto'!$P$112/(parametros_recargas!$O$86*E48*E80))</f>
        <v>0.75595571568302</v>
      </c>
      <c r="F16" s="14" t="n">
        <f aca="false">IF(parametros_recargas!$O$86*F48*F80=0,0,'Demanda por puesto'!$P$144/(parametros_recargas!$O$86*F48*F80))</f>
        <v>0.556519301682868</v>
      </c>
      <c r="G16" s="14" t="n">
        <f aca="false">IF(parametros_recargas!$O$86*G48*G80=0,0,'Demanda por puesto'!$P$176/(parametros_recargas!$O$86*G48*G80))</f>
        <v>0.7570968365791</v>
      </c>
      <c r="H16" s="14" t="n">
        <f aca="false">IF(parametros_recargas!$O$86*H48*H80=0,0,'Demanda por puesto'!$P$208/(parametros_recargas!$O$86*H48*H80))</f>
        <v>0.470171853293933</v>
      </c>
      <c r="I16" s="14" t="n">
        <f aca="false">IF(parametros_recargas!$O$86*I48*I80=0,0,'Demanda por puesto'!$P$240/(parametros_recargas!$O$86*I48*I80))</f>
        <v>0.534396207777919</v>
      </c>
      <c r="J16" s="14" t="n">
        <f aca="false">IF(parametros_recargas!$O$86*J48*J80=0,0,'Demanda por puesto'!$P$272/(parametros_recargas!$O$86*J48*J80))</f>
        <v>0.575044634067543</v>
      </c>
      <c r="K16" s="14" t="n">
        <f aca="false">IF(parametros_recargas!$O$86*K48*K80=0,0,'Demanda por puesto'!$P$304/(parametros_recargas!$O$86*K48*K80))</f>
        <v>0.616463860045574</v>
      </c>
      <c r="L16" s="9" t="str">
        <f aca="false">parametros_recargas!$D$86</f>
        <v>Máquina</v>
      </c>
    </row>
    <row r="17" customFormat="false" ht="15" hidden="false" customHeight="false" outlineLevel="0" collapsed="false">
      <c r="A17" s="9" t="str">
        <f aca="false">parametros_recargas!$B$87</f>
        <v>Carga de polvo ABC</v>
      </c>
      <c r="B17" s="14" t="n">
        <f aca="false">IF(parametros_recargas!$O$87*B49*B81=0,0,'Demanda por puesto'!$P$17/(parametros_recargas!$O$87*B49*B81))</f>
        <v>0.0558208405196577</v>
      </c>
      <c r="C17" s="14" t="n">
        <f aca="false">IF(parametros_recargas!$O$87*C49*C81=0,0,'Demanda por puesto'!$P$49/(parametros_recargas!$O$87*C49*C81))</f>
        <v>0.251965385741471</v>
      </c>
      <c r="D17" s="14" t="n">
        <f aca="false">IF(parametros_recargas!$O$87*D49*D81=0,0,'Demanda por puesto'!$P$81/(parametros_recargas!$O$87*D49*D81))</f>
        <v>0.498379712618519</v>
      </c>
      <c r="E17" s="14" t="n">
        <f aca="false">IF(parametros_recargas!$O$87*E49*E81=0,0,'Demanda por puesto'!$P$113/(parametros_recargas!$O$87*E49*E81))</f>
        <v>0.461828002463003</v>
      </c>
      <c r="F17" s="14" t="n">
        <f aca="false">IF(parametros_recargas!$O$87*F49*F81=0,0,'Demanda por puesto'!$P$145/(parametros_recargas!$O$87*F49*F81))</f>
        <v>0.681363114807976</v>
      </c>
      <c r="G17" s="14" t="n">
        <f aca="false">IF(parametros_recargas!$O$87*G49*G81=0,0,'Demanda por puesto'!$P$177/(parametros_recargas!$O$87*G49*G81))</f>
        <v>0.619991062162511</v>
      </c>
      <c r="H17" s="14" t="n">
        <f aca="false">IF(parametros_recargas!$O$87*H49*H81=0,0,'Demanda por puesto'!$P$209/(parametros_recargas!$O$87*H49*H81))</f>
        <v>0.770644360532841</v>
      </c>
      <c r="I17" s="14" t="n">
        <f aca="false">IF(parametros_recargas!$O$87*I49*I81=0,0,'Demanda por puesto'!$P$241/(parametros_recargas!$O$87*I49*I81))</f>
        <v>0.878255830679979</v>
      </c>
      <c r="J17" s="14" t="n">
        <f aca="false">IF(parametros_recargas!$O$87*J49*J81=0,0,'Demanda por puesto'!$P$273/(parametros_recargas!$O$87*J49*J81))</f>
        <v>0.47203483818292</v>
      </c>
      <c r="K17" s="14" t="n">
        <f aca="false">IF(parametros_recargas!$O$87*K49*K81=0,0,'Demanda por puesto'!$P$305/(parametros_recargas!$O$87*K49*K81))</f>
        <v>0.505659151111509</v>
      </c>
      <c r="L17" s="9" t="str">
        <f aca="false">parametros_recargas!$D$87</f>
        <v>Máquina</v>
      </c>
    </row>
    <row r="18" customFormat="false" ht="15" hidden="false" customHeight="false" outlineLevel="0" collapsed="false">
      <c r="A18" s="9" t="str">
        <f aca="false">parametros_recargas!$B$88</f>
        <v>Carga de polvo BC</v>
      </c>
      <c r="B18" s="14" t="n">
        <f aca="false">IF(parametros_recargas!$O$88*B50*B82=0,0,'Demanda por puesto'!$P$18/(parametros_recargas!$O$88*B50*B82))</f>
        <v>8.17961438556394E-005</v>
      </c>
      <c r="C18" s="14" t="n">
        <f aca="false">IF(parametros_recargas!$O$88*C50*C82=0,0,'Demanda por puesto'!$P$50/(parametros_recargas!$O$88*C50*C82))</f>
        <v>0.000585557988975781</v>
      </c>
      <c r="D18" s="14" t="n">
        <f aca="false">IF(parametros_recargas!$O$88*D50*D82=0,0,'Demanda por puesto'!$P$82/(parametros_recargas!$O$88*D50*D82))</f>
        <v>0.00108653567742277</v>
      </c>
      <c r="E18" s="14" t="n">
        <f aca="false">IF(parametros_recargas!$O$88*E50*E82=0,0,'Demanda por puesto'!$P$114/(parametros_recargas!$O$88*E50*E82))</f>
        <v>0.00195410789395845</v>
      </c>
      <c r="F18" s="14" t="n">
        <f aca="false">IF(parametros_recargas!$O$88*F50*F82=0,0,'Demanda por puesto'!$P$146/(parametros_recargas!$O$88*F50*F82))</f>
        <v>0.00267644854262272</v>
      </c>
      <c r="G18" s="14" t="n">
        <f aca="false">IF(parametros_recargas!$O$88*G50*G82=0,0,'Demanda por puesto'!$P$178/(parametros_recargas!$O$88*G50*G82))</f>
        <v>0.00356152210724812</v>
      </c>
      <c r="H18" s="14" t="n">
        <f aca="false">IF(parametros_recargas!$O$88*H50*H82=0,0,'Demanda por puesto'!$P$210/(parametros_recargas!$O$88*H50*H82))</f>
        <v>0.00450530742598973</v>
      </c>
      <c r="I18" s="14" t="n">
        <f aca="false">IF(parametros_recargas!$O$88*I50*I82=0,0,'Demanda por puesto'!$P$242/(parametros_recargas!$O$88*I50*I82))</f>
        <v>0.00497930796874653</v>
      </c>
      <c r="J18" s="14" t="n">
        <f aca="false">IF(parametros_recargas!$O$88*J50*J82=0,0,'Demanda por puesto'!$P$274/(parametros_recargas!$O$88*J50*J82))</f>
        <v>0.00542705003195216</v>
      </c>
      <c r="K18" s="14" t="n">
        <f aca="false">IF(parametros_recargas!$O$88*K50*K82=0,0,'Demanda por puesto'!$P$306/(parametros_recargas!$O$88*K50*K82))</f>
        <v>0.00590028188233945</v>
      </c>
      <c r="L18" s="9" t="str">
        <f aca="false">parametros_recargas!$D$88</f>
        <v>Máquina</v>
      </c>
    </row>
    <row r="19" customFormat="false" ht="15" hidden="false" customHeight="false" outlineLevel="0" collapsed="false">
      <c r="A19" s="9" t="str">
        <f aca="false">parametros_recargas!$B$89</f>
        <v>Descarga y carga Clase D</v>
      </c>
      <c r="B19" s="14" t="n">
        <f aca="false">IF(parametros_recargas!$O$89*B51*B83=0,0,'Demanda por puesto'!$P$19/(parametros_recargas!$O$89*B51*B83))</f>
        <v>0.000286286503494738</v>
      </c>
      <c r="C19" s="14" t="n">
        <f aca="false">IF(parametros_recargas!$O$89*C51*C83=0,0,'Demanda por puesto'!$P$51/(parametros_recargas!$O$89*C51*C83))</f>
        <v>0.00204945296141523</v>
      </c>
      <c r="D19" s="14" t="n">
        <f aca="false">IF(parametros_recargas!$O$89*D51*D83=0,0,'Demanda por puesto'!$P$83/(parametros_recargas!$O$89*D51*D83))</f>
        <v>0.00380287487097971</v>
      </c>
      <c r="E19" s="14" t="n">
        <f aca="false">IF(parametros_recargas!$O$89*E51*E83=0,0,'Demanda por puesto'!$P$115/(parametros_recargas!$O$89*E51*E83))</f>
        <v>0.00636876995534002</v>
      </c>
      <c r="F19" s="14" t="n">
        <f aca="false">IF(parametros_recargas!$O$89*F51*F83=0,0,'Demanda por puesto'!$P$147/(parametros_recargas!$O$89*F51*F83))</f>
        <v>0.00875662495204759</v>
      </c>
      <c r="G19" s="14" t="n">
        <f aca="false">IF(parametros_recargas!$O$89*G51*G83=0,0,'Demanda por puesto'!$P$179/(parametros_recargas!$O$89*G51*G83))</f>
        <v>0.0109514108793687</v>
      </c>
      <c r="H19" s="14" t="n">
        <f aca="false">IF(parametros_recargas!$O$89*H51*H83=0,0,'Demanda por puesto'!$P$211/(parametros_recargas!$O$89*H51*H83))</f>
        <v>0.0139978337254462</v>
      </c>
      <c r="I19" s="14" t="n">
        <f aca="false">IF(parametros_recargas!$O$89*I51*I83=0,0,'Demanda por puesto'!$P$243/(parametros_recargas!$O$89*I51*I83))</f>
        <v>0.0156873929302931</v>
      </c>
      <c r="J19" s="14" t="n">
        <f aca="false">IF(parametros_recargas!$O$89*J51*J83=0,0,'Demanda por puesto'!$P$275/(parametros_recargas!$O$89*J51*J83))</f>
        <v>0.0171454958781493</v>
      </c>
      <c r="K19" s="14" t="n">
        <f aca="false">IF(parametros_recargas!$O$89*K51*K83=0,0,'Demanda por puesto'!$P$307/(parametros_recargas!$O$89*K51*K83))</f>
        <v>0.0186133033587197</v>
      </c>
      <c r="L19" s="9" t="str">
        <f aca="false">parametros_recargas!$D$89</f>
        <v>Manual</v>
      </c>
    </row>
    <row r="20" customFormat="false" ht="15" hidden="false" customHeight="false" outlineLevel="0" collapsed="false">
      <c r="A20" s="9" t="str">
        <f aca="false">parametros_recargas!$B$90</f>
        <v>Carga de agua / AFFF / sales K</v>
      </c>
      <c r="B20" s="14" t="n">
        <f aca="false">IF(parametros_recargas!$O$90*B52*B84=0,0,'Demanda por puesto'!$P$20/(parametros_recargas!$O$90*B52*B84))</f>
        <v>0.00255126076297612</v>
      </c>
      <c r="C20" s="14" t="n">
        <f aca="false">IF(parametros_recargas!$O$90*C52*C84=0,0,'Demanda por puesto'!$P$52/(parametros_recargas!$O$90*C52*C84))</f>
        <v>0.0120011784240911</v>
      </c>
      <c r="D20" s="14" t="n">
        <f aca="false">IF(parametros_recargas!$O$90*D52*D84=0,0,'Demanda por puesto'!$P$84/(parametros_recargas!$O$90*D52*D84))</f>
        <v>0.0261531956216558</v>
      </c>
      <c r="E20" s="14" t="n">
        <f aca="false">IF(parametros_recargas!$O$90*E52*E84=0,0,'Demanda por puesto'!$P$116/(parametros_recargas!$O$90*E52*E84))</f>
        <v>0.0474856013034264</v>
      </c>
      <c r="F20" s="14" t="n">
        <f aca="false">IF(parametros_recargas!$O$90*F52*F84=0,0,'Demanda por puesto'!$P$148/(parametros_recargas!$O$90*F52*F84))</f>
        <v>0.0683468003415316</v>
      </c>
      <c r="G20" s="14" t="n">
        <f aca="false">IF(parametros_recargas!$O$90*G52*G84=0,0,'Demanda por puesto'!$P$180/(parametros_recargas!$O$90*G52*G84))</f>
        <v>0.0904568493463329</v>
      </c>
      <c r="H20" s="14" t="n">
        <f aca="false">IF(parametros_recargas!$O$90*H52*H84=0,0,'Demanda por puesto'!$P$212/(parametros_recargas!$O$90*H52*H84))</f>
        <v>0.111127071644053</v>
      </c>
      <c r="I20" s="14" t="n">
        <f aca="false">IF(parametros_recargas!$O$90*I52*I84=0,0,'Demanda por puesto'!$P$244/(parametros_recargas!$O$90*I52*I84))</f>
        <v>0.124231704288182</v>
      </c>
      <c r="J20" s="14" t="n">
        <f aca="false">IF(parametros_recargas!$O$90*J52*J84=0,0,'Demanda por puesto'!$P$276/(parametros_recargas!$O$90*J52*J84))</f>
        <v>0.134604142736209</v>
      </c>
      <c r="K20" s="14" t="n">
        <f aca="false">IF(parametros_recargas!$O$90*K52*K84=0,0,'Demanda por puesto'!$P$308/(parametros_recargas!$O$90*K52*K84))</f>
        <v>0.14511035215417</v>
      </c>
      <c r="L20" s="9" t="str">
        <f aca="false">parametros_recargas!$D$90</f>
        <v>Máquina</v>
      </c>
    </row>
    <row r="21" customFormat="false" ht="15" hidden="false" customHeight="false" outlineLevel="0" collapsed="false">
      <c r="A21" s="9" t="str">
        <f aca="false">parametros_recargas!$B$91</f>
        <v>Carga de CO₂</v>
      </c>
      <c r="B21" s="14" t="n">
        <f aca="false">IF(parametros_recargas!$O$91*B53*B85=0,0,'Demanda por puesto'!$P$21/(parametros_recargas!$O$91*B53*B85))</f>
        <v>0.00354761574620243</v>
      </c>
      <c r="C21" s="14" t="n">
        <f aca="false">IF(parametros_recargas!$O$91*C53*C85=0,0,'Demanda por puesto'!$P$53/(parametros_recargas!$O$91*C53*C85))</f>
        <v>0.0144891820219527</v>
      </c>
      <c r="D21" s="14" t="n">
        <f aca="false">IF(parametros_recargas!$O$91*D53*D85=0,0,'Demanda por puesto'!$P$85/(parametros_recargas!$O$91*D53*D85))</f>
        <v>0.0330560766448889</v>
      </c>
      <c r="E21" s="14" t="n">
        <f aca="false">IF(parametros_recargas!$O$91*E53*E85=0,0,'Demanda por puesto'!$P$117/(parametros_recargas!$O$91*E53*E85))</f>
        <v>0.0622127143577123</v>
      </c>
      <c r="F21" s="14" t="n">
        <f aca="false">IF(parametros_recargas!$O$91*F53*F85=0,0,'Demanda por puesto'!$P$149/(parametros_recargas!$O$91*F53*F85))</f>
        <v>0.0899927912611308</v>
      </c>
      <c r="G21" s="14" t="n">
        <f aca="false">IF(parametros_recargas!$O$91*G53*G85=0,0,'Demanda por puesto'!$P$181/(parametros_recargas!$O$91*G53*G85))</f>
        <v>0.119778257305841</v>
      </c>
      <c r="H21" s="14" t="n">
        <f aca="false">IF(parametros_recargas!$O$91*H53*H85=0,0,'Demanda por puesto'!$P$213/(parametros_recargas!$O$91*H53*H85))</f>
        <v>0.147065445693771</v>
      </c>
      <c r="I21" s="14" t="n">
        <f aca="false">IF(parametros_recargas!$O$91*I53*I85=0,0,'Demanda por puesto'!$P$245/(parametros_recargas!$O$91*I53*I85))</f>
        <v>0.163496101254407</v>
      </c>
      <c r="J21" s="14" t="n">
        <f aca="false">IF(parametros_recargas!$O$91*J53*J85=0,0,'Demanda por puesto'!$P$277/(parametros_recargas!$O$91*J53*J85))</f>
        <v>0.176780626894649</v>
      </c>
      <c r="K21" s="14" t="n">
        <f aca="false">IF(parametros_recargas!$O$91*K53*K85=0,0,'Demanda por puesto'!$P$309/(parametros_recargas!$O$91*K53*K85))</f>
        <v>0.190234598134203</v>
      </c>
      <c r="L21" s="9" t="str">
        <f aca="false">parametros_recargas!$D$91</f>
        <v>Máquina</v>
      </c>
    </row>
    <row r="22" customFormat="false" ht="15" hidden="false" customHeight="false" outlineLevel="0" collapsed="false">
      <c r="A22" s="9" t="str">
        <f aca="false">parametros_recargas!$B$92</f>
        <v>Ensamblaje y marbete — recinto</v>
      </c>
      <c r="B22" s="14" t="n">
        <f aca="false">IF(parametros_recargas!$O$92*B54*B86=0,0,'Demanda por puesto'!$P$22/(parametros_recargas!$O$92*B54*B86))</f>
        <v>0.0633336263227721</v>
      </c>
      <c r="C22" s="14" t="n">
        <f aca="false">IF(parametros_recargas!$O$92*C54*C86=0,0,'Demanda por puesto'!$P$54/(parametros_recargas!$O$92*C54*C86))</f>
        <v>0.28624764661026</v>
      </c>
      <c r="D22" s="14" t="n">
        <f aca="false">IF(parametros_recargas!$O$92*D54*D86=0,0,'Demanda por puesto'!$P$86/(parametros_recargas!$O$92*D54*D86))</f>
        <v>0.566066080837247</v>
      </c>
      <c r="E22" s="14" t="n">
        <f aca="false">IF(parametros_recargas!$O$92*E54*E86=0,0,'Demanda por puesto'!$P$118/(parametros_recargas!$O$92*E54*E86))</f>
        <v>0.524441477925684</v>
      </c>
      <c r="F22" s="14" t="n">
        <f aca="false">IF(parametros_recargas!$O$92*F54*F86=0,0,'Demanda por puesto'!$P$150/(parametros_recargas!$O$92*F54*F86))</f>
        <v>0.773573758759391</v>
      </c>
      <c r="G22" s="14" t="n">
        <f aca="false">IF(parametros_recargas!$O$92*G54*G86=0,0,'Demanda por puesto'!$P$182/(parametros_recargas!$O$92*G54*G86))</f>
        <v>0.703788244616014</v>
      </c>
      <c r="H22" s="14" t="n">
        <f aca="false">IF(parametros_recargas!$O$92*H54*H86=0,0,'Demanda por puesto'!$P$214/(parametros_recargas!$O$92*H54*H86))</f>
        <v>0.874857488958965</v>
      </c>
      <c r="I22" s="14" t="n">
        <f aca="false">IF(parametros_recargas!$O$92*I54*I86=0,0,'Demanda por puesto'!$P$246/(parametros_recargas!$O$92*I54*I86))</f>
        <v>0.498477573356405</v>
      </c>
      <c r="J22" s="14" t="n">
        <f aca="false">IF(parametros_recargas!$O$92*J54*J86=0,0,'Demanda por puesto'!$P$278/(parametros_recargas!$O$92*J54*J86))</f>
        <v>0.535854171113871</v>
      </c>
      <c r="K22" s="14" t="n">
        <f aca="false">IF(parametros_recargas!$O$92*K54*K86=0,0,'Demanda por puesto'!$P$310/(parametros_recargas!$O$92*K54*K86))</f>
        <v>0.574046946092494</v>
      </c>
      <c r="L22" s="9" t="str">
        <f aca="false">parametros_recargas!$D$92</f>
        <v>Manual</v>
      </c>
    </row>
    <row r="23" customFormat="false" ht="15" hidden="false" customHeight="false" outlineLevel="0" collapsed="false">
      <c r="A23" s="9" t="str">
        <f aca="false">parametros_recargas!$B$93</f>
        <v>Presurización — recinto</v>
      </c>
      <c r="B23" s="14" t="n">
        <f aca="false">IF(parametros_recargas!$O$93*B55*B87=0,0,'Demanda por puesto'!$P$23/(parametros_recargas!$O$93*B55*B87))</f>
        <v>0.0385279560130197</v>
      </c>
      <c r="C23" s="14" t="n">
        <f aca="false">IF(parametros_recargas!$O$93*C55*C87=0,0,'Demanda por puesto'!$P$55/(parametros_recargas!$O$93*C55*C87))</f>
        <v>0.174133985021241</v>
      </c>
      <c r="D23" s="14" t="n">
        <f aca="false">IF(parametros_recargas!$O$93*D55*D87=0,0,'Demanda por puesto'!$P$87/(parametros_recargas!$O$93*D55*D87))</f>
        <v>0.344356865842659</v>
      </c>
      <c r="E23" s="14" t="n">
        <f aca="false">IF(parametros_recargas!$O$93*E55*E87=0,0,'Demanda por puesto'!$P$119/(parametros_recargas!$O$93*E55*E87))</f>
        <v>0.638070464809583</v>
      </c>
      <c r="F23" s="14" t="n">
        <f aca="false">IF(parametros_recargas!$O$93*F55*F87=0,0,'Demanda por puesto'!$P$151/(parametros_recargas!$O$93*F55*F87))</f>
        <v>0.470590703245296</v>
      </c>
      <c r="G23" s="14" t="n">
        <f aca="false">IF(parametros_recargas!$O$93*G55*G87=0,0,'Demanda por puesto'!$P$183/(parametros_recargas!$O$93*G55*G87))</f>
        <v>0.642206773212112</v>
      </c>
      <c r="H23" s="14" t="n">
        <f aca="false">IF(parametros_recargas!$O$93*H55*H87=0,0,'Demanda por puesto'!$P$215/(parametros_recargas!$O$93*H55*H87))</f>
        <v>0.798307458675056</v>
      </c>
      <c r="I23" s="14" t="n">
        <f aca="false">IF(parametros_recargas!$O$93*I55*I87=0,0,'Demanda por puesto'!$P$247/(parametros_recargas!$O$93*I55*I87))</f>
        <v>0.45486078568772</v>
      </c>
      <c r="J23" s="14" t="n">
        <f aca="false">IF(parametros_recargas!$O$93*J55*J87=0,0,'Demanda por puesto'!$P$279/(parametros_recargas!$O$93*J55*J87))</f>
        <v>0.488966931141407</v>
      </c>
      <c r="K23" s="14" t="n">
        <f aca="false">IF(parametros_recargas!$O$93*K55*K87=0,0,'Demanda por puesto'!$P$311/(parametros_recargas!$O$93*K55*K87))</f>
        <v>0.523817838309401</v>
      </c>
      <c r="L23" s="9" t="str">
        <f aca="false">parametros_recargas!$D$93</f>
        <v>Máquina</v>
      </c>
    </row>
    <row r="24" customFormat="false" ht="15" hidden="false" customHeight="false" outlineLevel="0" collapsed="false">
      <c r="A24" s="9" t="str">
        <f aca="false">parametros_recargas!$B$94</f>
        <v>Ensamblaje y presurización — zona general</v>
      </c>
      <c r="B24" s="14" t="n">
        <f aca="false">IF(parametros_recargas!$O$94*B56*B88=0,0,'Demanda por puesto'!$P$24/(parametros_recargas!$O$94*B56*B88))</f>
        <v>0.0064974379657525</v>
      </c>
      <c r="C24" s="14" t="n">
        <f aca="false">IF(parametros_recargas!$O$94*C56*C88=0,0,'Demanda por puesto'!$P$56/(parametros_recargas!$O$94*C56*C88))</f>
        <v>0.0293688097403972</v>
      </c>
      <c r="D24" s="14" t="n">
        <f aca="false">IF(parametros_recargas!$O$94*D56*D88=0,0,'Demanda por puesto'!$P$88/(parametros_recargas!$O$94*D56*D88))</f>
        <v>0.0648254095436392</v>
      </c>
      <c r="E24" s="14" t="n">
        <f aca="false">IF(parametros_recargas!$O$94*E56*E88=0,0,'Demanda por puesto'!$P$120/(parametros_recargas!$O$94*E56*E88))</f>
        <v>0.118925341092294</v>
      </c>
      <c r="F24" s="14" t="n">
        <f aca="false">IF(parametros_recargas!$O$94*F56*F88=0,0,'Demanda por puesto'!$P$152/(parametros_recargas!$O$94*F56*F88))</f>
        <v>0.171432523962208</v>
      </c>
      <c r="G24" s="14" t="n">
        <f aca="false">IF(parametros_recargas!$O$94*G56*G88=0,0,'Demanda por puesto'!$P$184/(parametros_recargas!$O$94*G56*G88))</f>
        <v>0.227268474838744</v>
      </c>
      <c r="H24" s="14" t="n">
        <f aca="false">IF(parametros_recargas!$O$94*H56*H88=0,0,'Demanda por puesto'!$P$216/(parametros_recargas!$O$94*H56*H88))</f>
        <v>0.279220831423144</v>
      </c>
      <c r="I24" s="14" t="n">
        <f aca="false">IF(parametros_recargas!$O$94*I56*I88=0,0,'Demanda por puesto'!$P$248/(parametros_recargas!$O$94*I56*I88))</f>
        <v>0.311660646844649</v>
      </c>
      <c r="J24" s="14" t="n">
        <f aca="false">IF(parametros_recargas!$O$94*J56*J88=0,0,'Demanda por puesto'!$P$280/(parametros_recargas!$O$94*J56*J88))</f>
        <v>0.337503640776639</v>
      </c>
      <c r="K24" s="14" t="n">
        <f aca="false">IF(parametros_recargas!$O$94*K56*K88=0,0,'Demanda por puesto'!$P$312/(parametros_recargas!$O$94*K56*K88))</f>
        <v>0.363676917616279</v>
      </c>
      <c r="L24" s="9" t="str">
        <f aca="false">parametros_recargas!$D$94</f>
        <v>Manual</v>
      </c>
    </row>
    <row r="25" customFormat="false" ht="15" hidden="false" customHeight="false" outlineLevel="0" collapsed="false">
      <c r="A25" s="9" t="str">
        <f aca="false">parametros_recargas!$B$95</f>
        <v>Carga y presurización de halogenado</v>
      </c>
      <c r="B25" s="14" t="n">
        <f aca="false">IF(parametros_recargas!$O$95*B57*B89=0,0,'Demanda por puesto'!$P$25/(parametros_recargas!$O$95*B57*B89))</f>
        <v>0.000167487351379804</v>
      </c>
      <c r="C25" s="14" t="n">
        <f aca="false">IF(parametros_recargas!$O$95*C57*C89=0,0,'Demanda por puesto'!$P$57/(parametros_recargas!$O$95*C57*C89))</f>
        <v>0.00104759193584526</v>
      </c>
      <c r="D25" s="14" t="n">
        <f aca="false">IF(parametros_recargas!$O$95*D57*D89=0,0,'Demanda por puesto'!$P$89/(parametros_recargas!$O$95*D57*D89))</f>
        <v>0.00215685349891635</v>
      </c>
      <c r="E25" s="14" t="n">
        <f aca="false">IF(parametros_recargas!$O$95*E57*E89=0,0,'Demanda por puesto'!$P$121/(parametros_recargas!$O$95*E57*E89))</f>
        <v>0.00373603247780284</v>
      </c>
      <c r="F25" s="14" t="n">
        <f aca="false">IF(parametros_recargas!$O$95*F57*F89=0,0,'Demanda por puesto'!$P$153/(parametros_recargas!$O$95*F57*F89))</f>
        <v>0.00536796454226417</v>
      </c>
      <c r="G25" s="14" t="n">
        <f aca="false">IF(parametros_recargas!$O$95*G57*G89=0,0,'Demanda por puesto'!$P$185/(parametros_recargas!$O$95*G57*G89))</f>
        <v>0.00705550930940265</v>
      </c>
      <c r="H25" s="14" t="n">
        <f aca="false">IF(parametros_recargas!$O$95*H57*H89=0,0,'Demanda por puesto'!$P$217/(parametros_recargas!$O$95*H57*H89))</f>
        <v>0.00884116715989237</v>
      </c>
      <c r="I25" s="14" t="n">
        <f aca="false">IF(parametros_recargas!$O$95*I57*I89=0,0,'Demanda por puesto'!$P$249/(parametros_recargas!$O$95*I57*I89))</f>
        <v>0.0100130159959511</v>
      </c>
      <c r="J25" s="14" t="n">
        <f aca="false">IF(parametros_recargas!$O$95*J57*J89=0,0,'Demanda por puesto'!$P$281/(parametros_recargas!$O$95*J57*J89))</f>
        <v>0.010944568746151</v>
      </c>
      <c r="K25" s="14" t="n">
        <f aca="false">IF(parametros_recargas!$O$95*K57*K89=0,0,'Demanda por puesto'!$P$313/(parametros_recargas!$O$95*K57*K89))</f>
        <v>0.011883336104509</v>
      </c>
      <c r="L25" s="9" t="str">
        <f aca="false">parametros_recargas!$D$95</f>
        <v>Máquina</v>
      </c>
    </row>
    <row r="26" customFormat="false" ht="15" hidden="false" customHeight="false" outlineLevel="0" collapsed="false">
      <c r="A26" s="9" t="str">
        <f aca="false">parametros_recargas!$B$96</f>
        <v>Control de peso (CO₂ y halogenados sin recarga)</v>
      </c>
      <c r="B26" s="14" t="n">
        <f aca="false">IF(parametros_recargas!$O$96*B58*B90=0,0,'Demanda por puesto'!$P$26/(parametros_recargas!$O$96*B58*B90))</f>
        <v>0.0014263690019444</v>
      </c>
      <c r="C26" s="14" t="n">
        <f aca="false">IF(parametros_recargas!$O$96*C58*C90=0,0,'Demanda por puesto'!$P$58/(parametros_recargas!$O$96*C58*C90))</f>
        <v>0.00592703313533635</v>
      </c>
      <c r="D26" s="14" t="n">
        <f aca="false">IF(parametros_recargas!$O$96*D58*D90=0,0,'Demanda por puesto'!$P$90/(parametros_recargas!$O$96*D58*D90))</f>
        <v>0.0134570535218056</v>
      </c>
      <c r="E26" s="14" t="n">
        <f aca="false">IF(parametros_recargas!$O$96*E58*E90=0,0,'Demanda por puesto'!$P$122/(parametros_recargas!$O$96*E58*E90))</f>
        <v>0.0252364470760682</v>
      </c>
      <c r="F26" s="14" t="n">
        <f aca="false">IF(parametros_recargas!$O$96*F58*F90=0,0,'Demanda por puesto'!$P$154/(parametros_recargas!$O$96*F58*F90))</f>
        <v>0.0364952332179967</v>
      </c>
      <c r="G26" s="14" t="n">
        <f aca="false">IF(parametros_recargas!$O$96*G58*G90=0,0,'Demanda por puesto'!$P$186/(parametros_recargas!$O$96*G58*G90))</f>
        <v>0.0485494127388748</v>
      </c>
      <c r="H26" s="14" t="n">
        <f aca="false">IF(parametros_recargas!$O$96*H58*H90=0,0,'Demanda por puesto'!$P$218/(parametros_recargas!$O$96*H58*H90))</f>
        <v>0.0596594202330255</v>
      </c>
      <c r="I26" s="14" t="n">
        <f aca="false">IF(parametros_recargas!$O$96*I58*I90=0,0,'Demanda por puesto'!$P$250/(parametros_recargas!$O$96*I58*I90))</f>
        <v>0.0663761471998734</v>
      </c>
      <c r="J26" s="14" t="n">
        <f aca="false">IF(parametros_recargas!$O$96*J58*J90=0,0,'Demanda por puesto'!$P$282/(parametros_recargas!$O$96*J58*J90))</f>
        <v>0.0718023198248809</v>
      </c>
      <c r="K26" s="14" t="n">
        <f aca="false">IF(parametros_recargas!$O$96*K58*K90=0,0,'Demanda por puesto'!$P$314/(parametros_recargas!$O$96*K58*K90))</f>
        <v>0.0772964013397532</v>
      </c>
      <c r="L26" s="9" t="str">
        <f aca="false">parametros_recargas!$D$96</f>
        <v>Manual</v>
      </c>
    </row>
    <row r="27" customFormat="false" ht="15" hidden="false" customHeight="false" outlineLevel="0" collapsed="false">
      <c r="A27" s="9" t="str">
        <f aca="false">parametros_recargas!$B$97</f>
        <v>Ensayo de pérdidas</v>
      </c>
      <c r="B27" s="14" t="n">
        <f aca="false">IF(parametros_recargas!$O$97*B59*B91=0,0,'Demanda por puesto'!$P$27/(parametros_recargas!$O$97*B59*B91))</f>
        <v>0.0483298631823179</v>
      </c>
      <c r="C27" s="14" t="n">
        <f aca="false">IF(parametros_recargas!$O$97*C59*C91=0,0,'Demanda por puesto'!$P$59/(parametros_recargas!$O$97*C59*C91))</f>
        <v>0.21731140158271</v>
      </c>
      <c r="D27" s="14" t="n">
        <f aca="false">IF(parametros_recargas!$O$97*D59*D91=0,0,'Demanda por puesto'!$P$91/(parametros_recargas!$O$97*D59*D91))</f>
        <v>0.436634018050296</v>
      </c>
      <c r="E27" s="14" t="n">
        <f aca="false">IF(parametros_recargas!$O$97*E59*E91=0,0,'Demanda por puesto'!$P$123/(parametros_recargas!$O$97*E59*E91))</f>
        <v>0.809149326358184</v>
      </c>
      <c r="F27" s="14" t="n">
        <f aca="false">IF(parametros_recargas!$O$97*F59*F91=0,0,'Demanda por puesto'!$P$155/(parametros_recargas!$O$97*F59*F91))</f>
        <v>0.595047936609874</v>
      </c>
      <c r="G27" s="14" t="n">
        <f aca="false">IF(parametros_recargas!$O$97*G59*G91=0,0,'Demanda por puesto'!$P$187/(parametros_recargas!$O$97*G59*G91))</f>
        <v>0.809139766425115</v>
      </c>
      <c r="H27" s="14" t="n">
        <f aca="false">IF(parametros_recargas!$O$97*H59*H91=0,0,'Demanda por puesto'!$P$219/(parametros_recargas!$O$97*H59*H91))</f>
        <v>0.502150539809824</v>
      </c>
      <c r="I27" s="14" t="n">
        <f aca="false">IF(parametros_recargas!$O$97*I59*I91=0,0,'Demanda por puesto'!$P$251/(parametros_recargas!$O$97*I59*I91))</f>
        <v>0.570602384592743</v>
      </c>
      <c r="J27" s="14" t="n">
        <f aca="false">IF(parametros_recargas!$O$97*J59*J91=0,0,'Demanda por puesto'!$P$283/(parametros_recargas!$O$97*J59*J91))</f>
        <v>0.613916928190564</v>
      </c>
      <c r="K27" s="14" t="n">
        <f aca="false">IF(parametros_recargas!$O$97*K59*K91=0,0,'Demanda por puesto'!$P$315/(parametros_recargas!$O$97*K59*K91))</f>
        <v>0.658122813678242</v>
      </c>
      <c r="L27" s="9" t="str">
        <f aca="false">parametros_recargas!$D$97</f>
        <v>Máquina</v>
      </c>
    </row>
    <row r="28" customFormat="false" ht="15" hidden="false" customHeight="false" outlineLevel="0" collapsed="false">
      <c r="A28" s="9" t="str">
        <f aca="false">parametros_recargas!$B$98</f>
        <v>Precinto, etiqueta y despacho</v>
      </c>
      <c r="B28" s="14" t="n">
        <f aca="false">IF(parametros_recargas!$O$98*B60*B92=0,0,'Demanda por puesto'!$P$28/(parametros_recargas!$O$98*B60*B92))</f>
        <v>0.0519546029209917</v>
      </c>
      <c r="C28" s="14" t="n">
        <f aca="false">IF(parametros_recargas!$O$98*C60*C92=0,0,'Demanda por puesto'!$P$60/(parametros_recargas!$O$98*C60*C92))</f>
        <v>0.233609756701413</v>
      </c>
      <c r="D28" s="14" t="n">
        <f aca="false">IF(parametros_recargas!$O$98*D60*D92=0,0,'Demanda por puesto'!$P$92/(parametros_recargas!$O$98*D60*D92))</f>
        <v>0.469381569404068</v>
      </c>
      <c r="E28" s="14" t="n">
        <f aca="false">IF(parametros_recargas!$O$98*E60*E92=0,0,'Demanda por puesto'!$P$124/(parametros_recargas!$O$98*E60*E92))</f>
        <v>0.869835525835048</v>
      </c>
      <c r="F28" s="14" t="n">
        <f aca="false">IF(parametros_recargas!$O$98*F60*F92=0,0,'Demanda por puesto'!$P$156/(parametros_recargas!$O$98*F60*F92))</f>
        <v>0.639676531855614</v>
      </c>
      <c r="G28" s="14" t="n">
        <f aca="false">IF(parametros_recargas!$O$98*G60*G92=0,0,'Demanda por puesto'!$P$188/(parametros_recargas!$O$98*G60*G92))</f>
        <v>0.869825248906998</v>
      </c>
      <c r="H28" s="14" t="n">
        <f aca="false">IF(parametros_recargas!$O$98*H60*H92=0,0,'Demanda por puesto'!$P$220/(parametros_recargas!$O$98*H60*H92))</f>
        <v>0.539811830295561</v>
      </c>
      <c r="I28" s="14" t="n">
        <f aca="false">IF(parametros_recargas!$O$98*I60*I92=0,0,'Demanda por puesto'!$P$252/(parametros_recargas!$O$98*I60*I92))</f>
        <v>0.613397563437198</v>
      </c>
      <c r="J28" s="14" t="n">
        <f aca="false">IF(parametros_recargas!$O$98*J60*J92=0,0,'Demanda por puesto'!$P$284/(parametros_recargas!$O$98*J60*J92))</f>
        <v>0.659960697804856</v>
      </c>
      <c r="K28" s="14" t="n">
        <f aca="false">IF(parametros_recargas!$O$98*K60*K92=0,0,'Demanda por puesto'!$P$316/(parametros_recargas!$O$98*K60*K92))</f>
        <v>0.70748202470411</v>
      </c>
      <c r="L28" s="9" t="str">
        <f aca="false">parametros_recargas!$D$98</f>
        <v>Manual</v>
      </c>
    </row>
    <row r="29" customFormat="false" ht="15" hidden="false" customHeight="false" outlineLevel="0" collapsed="false">
      <c r="A29" s="9" t="str">
        <f aca="false">parametros_recargas!$B$99</f>
        <v>Inutilización y disposición final</v>
      </c>
      <c r="B29" s="14" t="n">
        <f aca="false">IF(parametros_recargas!$O$99*B61*B93=0,0,'Demanda por puesto'!$P$29/(parametros_recargas!$O$99*B61*B93))</f>
        <v>0.0183521535529051</v>
      </c>
      <c r="C29" s="14" t="n">
        <f aca="false">IF(parametros_recargas!$O$99*C61*C93=0,0,'Demanda por puesto'!$P$61/(parametros_recargas!$O$99*C61*C93))</f>
        <v>0.0830658754624972</v>
      </c>
      <c r="D29" s="14" t="n">
        <f aca="false">IF(parametros_recargas!$O$99*D61*D93=0,0,'Demanda por puesto'!$P$93/(parametros_recargas!$O$99*D61*D93))</f>
        <v>0.166646266342508</v>
      </c>
      <c r="E29" s="14" t="n">
        <f aca="false">IF(parametros_recargas!$O$99*E61*E93=0,0,'Demanda por puesto'!$P$125/(parametros_recargas!$O$99*E61*E93))</f>
        <v>0.308861152122399</v>
      </c>
      <c r="F29" s="14" t="n">
        <f aca="false">IF(parametros_recargas!$O$99*F61*F93=0,0,'Demanda por puesto'!$P$157/(parametros_recargas!$O$99*F61*F93))</f>
        <v>0.454899709789072</v>
      </c>
      <c r="G29" s="14" t="n">
        <f aca="false">IF(parametros_recargas!$O$99*G61*G93=0,0,'Demanda por puesto'!$P$189/(parametros_recargas!$O$99*G61*G93))</f>
        <v>0.619091253138145</v>
      </c>
      <c r="H29" s="14" t="n">
        <f aca="false">IF(parametros_recargas!$O$99*H61*H93=0,0,'Demanda por puesto'!$P$221/(parametros_recargas!$O$99*H61*H93))</f>
        <v>0.769089222255972</v>
      </c>
      <c r="I29" s="14" t="n">
        <f aca="false">IF(parametros_recargas!$O$99*I61*I93=0,0,'Demanda por puesto'!$P$253/(parametros_recargas!$O$99*I61*I93))</f>
        <v>0.874475225045878</v>
      </c>
      <c r="J29" s="14" t="n">
        <f aca="false">IF(parametros_recargas!$O$99*J61*J93=0,0,'Demanda por puesto'!$P$285/(parametros_recargas!$O$99*J61*J93))</f>
        <v>0.47045745446909</v>
      </c>
      <c r="K29" s="14" t="n">
        <f aca="false">IF(parametros_recargas!$O$99*K61*K93=0,0,'Demanda por puesto'!$P$317/(parametros_recargas!$O$99*K61*K93))</f>
        <v>0.504310953169915</v>
      </c>
      <c r="L29" s="9" t="str">
        <f aca="false">parametros_recargas!$D$99</f>
        <v>Máquina</v>
      </c>
    </row>
    <row r="30" customFormat="false" ht="15" hidden="false" customHeight="false" outlineLevel="0" collapsed="false">
      <c r="A30" s="9" t="str">
        <f aca="false">parametros_recargas!$B$100</f>
        <v>PH de mangueras (CO₂ y rodantes)</v>
      </c>
      <c r="B30" s="14" t="n">
        <f aca="false">IF(parametros_recargas!$O$100*B62*B94=0,0,'Demanda por puesto'!$P$30/(parametros_recargas!$O$100*B62*B94))</f>
        <v>0.00535219452719085</v>
      </c>
      <c r="C30" s="14" t="n">
        <f aca="false">IF(parametros_recargas!$O$100*C62*C94=0,0,'Demanda por puesto'!$P$62/(parametros_recargas!$O$100*C62*C94))</f>
        <v>0.0279994360888863</v>
      </c>
      <c r="D30" s="14" t="n">
        <f aca="false">IF(parametros_recargas!$O$100*D62*D94=0,0,'Demanda por puesto'!$P$94/(parametros_recargas!$O$100*D62*D94))</f>
        <v>0.0596777197375229</v>
      </c>
      <c r="E30" s="14" t="n">
        <f aca="false">IF(parametros_recargas!$O$100*E62*E94=0,0,'Demanda por puesto'!$P$126/(parametros_recargas!$O$100*E62*E94))</f>
        <v>0.106718525435567</v>
      </c>
      <c r="F30" s="14" t="n">
        <f aca="false">IF(parametros_recargas!$O$100*F62*F94=0,0,'Demanda por puesto'!$P$158/(parametros_recargas!$O$100*F62*F94))</f>
        <v>0.15388759567968</v>
      </c>
      <c r="G30" s="14" t="n">
        <f aca="false">IF(parametros_recargas!$O$100*G62*G94=0,0,'Demanda por puesto'!$P$190/(parametros_recargas!$O$100*G62*G94))</f>
        <v>0.204562213436216</v>
      </c>
      <c r="H30" s="14" t="n">
        <f aca="false">IF(parametros_recargas!$O$100*H62*H94=0,0,'Demanda por puesto'!$P$222/(parametros_recargas!$O$100*H62*H94))</f>
        <v>0.252906888466611</v>
      </c>
      <c r="I30" s="14" t="n">
        <f aca="false">IF(parametros_recargas!$O$100*I62*I94=0,0,'Demanda por puesto'!$P$254/(parametros_recargas!$O$100*I62*I94))</f>
        <v>0.284814853772472</v>
      </c>
      <c r="J30" s="14" t="n">
        <f aca="false">IF(parametros_recargas!$O$100*J62*J94=0,0,'Demanda por puesto'!$P$286/(parametros_recargas!$O$100*J62*J94))</f>
        <v>0.309672340617176</v>
      </c>
      <c r="K30" s="14" t="n">
        <f aca="false">IF(parametros_recargas!$O$100*K62*K94=0,0,'Demanda por puesto'!$P$318/(parametros_recargas!$O$100*K62*K94))</f>
        <v>0.33463564094033</v>
      </c>
      <c r="L30" s="9" t="str">
        <f aca="false">parametros_recargas!$D$100</f>
        <v>Máquina</v>
      </c>
    </row>
    <row r="31" customFormat="false" ht="15" hidden="false" customHeight="false" outlineLevel="0" collapsed="false">
      <c r="A31" s="4" t="s">
        <v>390</v>
      </c>
      <c r="B31" s="29" t="n">
        <f aca="false">MAX(B2:B30)</f>
        <v>0.0633336263227721</v>
      </c>
      <c r="C31" s="29" t="n">
        <f aca="false">MAX(C2:C30)</f>
        <v>0.28624764661026</v>
      </c>
      <c r="D31" s="29" t="n">
        <f aca="false">MAX(D2:D30)</f>
        <v>0.566066080837247</v>
      </c>
      <c r="E31" s="29" t="n">
        <f aca="false">MAX(E2:E30)</f>
        <v>0.869835525835048</v>
      </c>
      <c r="F31" s="29" t="n">
        <f aca="false">MAX(F2:F30)</f>
        <v>0.773573758759391</v>
      </c>
      <c r="G31" s="29" t="n">
        <f aca="false">MAX(G2:G30)</f>
        <v>0.869825248906998</v>
      </c>
      <c r="H31" s="29" t="n">
        <f aca="false">MAX(H2:H30)</f>
        <v>0.874857488958965</v>
      </c>
      <c r="I31" s="29" t="n">
        <f aca="false">MAX(I2:I30)</f>
        <v>0.896886535694777</v>
      </c>
      <c r="J31" s="29" t="n">
        <f aca="false">MAX(J2:J30)</f>
        <v>0.662456255086749</v>
      </c>
      <c r="K31" s="29" t="n">
        <f aca="false">MAX(K2:K30)</f>
        <v>0.709688409122795</v>
      </c>
    </row>
    <row r="33" customFormat="false" ht="15" hidden="false" customHeight="false" outlineLevel="0" collapsed="false">
      <c r="A33" s="3" t="s">
        <v>391</v>
      </c>
      <c r="B33" s="3" t="n">
        <v>2026</v>
      </c>
      <c r="C33" s="3" t="n">
        <v>2027</v>
      </c>
      <c r="D33" s="3" t="n">
        <v>2028</v>
      </c>
      <c r="E33" s="3" t="n">
        <v>2029</v>
      </c>
      <c r="F33" s="3" t="n">
        <v>2030</v>
      </c>
      <c r="G33" s="3" t="n">
        <v>2031</v>
      </c>
      <c r="H33" s="3" t="n">
        <v>2032</v>
      </c>
      <c r="I33" s="3" t="n">
        <v>2033</v>
      </c>
      <c r="J33" s="3" t="n">
        <v>2034</v>
      </c>
      <c r="K33" s="3" t="n">
        <v>2035</v>
      </c>
    </row>
    <row r="34" customFormat="false" ht="15" hidden="false" customHeight="false" outlineLevel="0" collapsed="false">
      <c r="A34" s="9" t="str">
        <f aca="false">parametros_recargas!$B$72</f>
        <v>Recepción y registro</v>
      </c>
      <c r="B34" s="11" t="n">
        <v>1</v>
      </c>
      <c r="C34" s="11" t="n">
        <v>1</v>
      </c>
      <c r="D34" s="11" t="n">
        <v>1</v>
      </c>
      <c r="E34" s="11" t="n">
        <v>1</v>
      </c>
      <c r="F34" s="11" t="n">
        <v>2</v>
      </c>
      <c r="G34" s="11" t="n">
        <v>2</v>
      </c>
      <c r="H34" s="11" t="n">
        <v>2</v>
      </c>
      <c r="I34" s="11" t="n">
        <v>2</v>
      </c>
      <c r="J34" s="11" t="n">
        <v>2</v>
      </c>
      <c r="K34" s="11" t="n">
        <v>2</v>
      </c>
    </row>
    <row r="35" customFormat="false" ht="15" hidden="false" customHeight="false" outlineLevel="0" collapsed="false">
      <c r="A35" s="9" t="str">
        <f aca="false">parametros_recargas!$B$73</f>
        <v>Inspección visual</v>
      </c>
      <c r="B35" s="11" t="n">
        <v>1</v>
      </c>
      <c r="C35" s="11" t="n">
        <v>1</v>
      </c>
      <c r="D35" s="11" t="n">
        <v>1</v>
      </c>
      <c r="E35" s="11" t="n">
        <v>2</v>
      </c>
      <c r="F35" s="11" t="n">
        <v>2</v>
      </c>
      <c r="G35" s="11" t="n">
        <v>3</v>
      </c>
      <c r="H35" s="11" t="n">
        <v>3</v>
      </c>
      <c r="I35" s="11" t="n">
        <v>3</v>
      </c>
      <c r="J35" s="11" t="n">
        <v>3</v>
      </c>
      <c r="K35" s="11" t="n">
        <v>3</v>
      </c>
    </row>
    <row r="36" customFormat="false" ht="15" hidden="false" customHeight="false" outlineLevel="0" collapsed="false">
      <c r="A36" s="9" t="str">
        <f aca="false">parametros_recargas!$B$74</f>
        <v>Descarga ABC — ruta recuperable</v>
      </c>
      <c r="B36" s="11" t="n">
        <v>1</v>
      </c>
      <c r="C36" s="11" t="n">
        <v>1</v>
      </c>
      <c r="D36" s="11" t="n">
        <v>1</v>
      </c>
      <c r="E36" s="11" t="n">
        <v>1</v>
      </c>
      <c r="F36" s="11" t="n">
        <v>2</v>
      </c>
      <c r="G36" s="11" t="n">
        <v>2</v>
      </c>
      <c r="H36" s="11" t="n">
        <v>2</v>
      </c>
      <c r="I36" s="11" t="n">
        <v>2</v>
      </c>
      <c r="J36" s="11" t="n">
        <v>2</v>
      </c>
      <c r="K36" s="11" t="n">
        <v>2</v>
      </c>
    </row>
    <row r="37" customFormat="false" ht="15" hidden="false" customHeight="false" outlineLevel="0" collapsed="false">
      <c r="A37" s="9" t="str">
        <f aca="false">parametros_recargas!$B$75</f>
        <v>Descarga ABC — ruta descarte</v>
      </c>
      <c r="B37" s="11" t="n">
        <v>1</v>
      </c>
      <c r="C37" s="11" t="n">
        <v>1</v>
      </c>
      <c r="D37" s="11" t="n">
        <v>1</v>
      </c>
      <c r="E37" s="11" t="n">
        <v>1</v>
      </c>
      <c r="F37" s="11" t="n">
        <v>1</v>
      </c>
      <c r="G37" s="11" t="n">
        <v>1</v>
      </c>
      <c r="H37" s="11" t="n">
        <v>1</v>
      </c>
      <c r="I37" s="11" t="n">
        <v>1</v>
      </c>
      <c r="J37" s="11" t="n">
        <v>1</v>
      </c>
      <c r="K37" s="11" t="n">
        <v>1</v>
      </c>
    </row>
    <row r="38" customFormat="false" ht="15" hidden="false" customHeight="false" outlineLevel="0" collapsed="false">
      <c r="A38" s="9" t="str">
        <f aca="false">parametros_recargas!$B$76</f>
        <v>Descarga BC</v>
      </c>
      <c r="B38" s="11" t="n">
        <v>1</v>
      </c>
      <c r="C38" s="11" t="n">
        <v>1</v>
      </c>
      <c r="D38" s="11" t="n">
        <v>1</v>
      </c>
      <c r="E38" s="11" t="n">
        <v>1</v>
      </c>
      <c r="F38" s="11" t="n">
        <v>1</v>
      </c>
      <c r="G38" s="11" t="n">
        <v>1</v>
      </c>
      <c r="H38" s="11" t="n">
        <v>1</v>
      </c>
      <c r="I38" s="11" t="n">
        <v>1</v>
      </c>
      <c r="J38" s="11" t="n">
        <v>1</v>
      </c>
      <c r="K38" s="11" t="n">
        <v>1</v>
      </c>
    </row>
    <row r="39" customFormat="false" ht="15" hidden="false" customHeight="false" outlineLevel="0" collapsed="false">
      <c r="A39" s="9" t="str">
        <f aca="false">parametros_recargas!$B$77</f>
        <v>Descarga de agua / AFFF / sales K</v>
      </c>
      <c r="B39" s="11" t="n">
        <v>1</v>
      </c>
      <c r="C39" s="11" t="n">
        <v>1</v>
      </c>
      <c r="D39" s="11" t="n">
        <v>1</v>
      </c>
      <c r="E39" s="11" t="n">
        <v>1</v>
      </c>
      <c r="F39" s="11" t="n">
        <v>1</v>
      </c>
      <c r="G39" s="11" t="n">
        <v>1</v>
      </c>
      <c r="H39" s="11" t="n">
        <v>1</v>
      </c>
      <c r="I39" s="11" t="n">
        <v>1</v>
      </c>
      <c r="J39" s="11" t="n">
        <v>1</v>
      </c>
      <c r="K39" s="11" t="n">
        <v>1</v>
      </c>
    </row>
    <row r="40" customFormat="false" ht="15" hidden="false" customHeight="false" outlineLevel="0" collapsed="false">
      <c r="A40" s="9" t="str">
        <f aca="false">parametros_recargas!$B$78</f>
        <v>Recuperación de CO₂</v>
      </c>
      <c r="B40" s="11" t="n">
        <v>1</v>
      </c>
      <c r="C40" s="11" t="n">
        <v>1</v>
      </c>
      <c r="D40" s="11" t="n">
        <v>1</v>
      </c>
      <c r="E40" s="11" t="n">
        <v>1</v>
      </c>
      <c r="F40" s="11" t="n">
        <v>1</v>
      </c>
      <c r="G40" s="11" t="n">
        <v>1</v>
      </c>
      <c r="H40" s="11" t="n">
        <v>1</v>
      </c>
      <c r="I40" s="11" t="n">
        <v>1</v>
      </c>
      <c r="J40" s="11" t="n">
        <v>1</v>
      </c>
      <c r="K40" s="11" t="n">
        <v>1</v>
      </c>
    </row>
    <row r="41" customFormat="false" ht="15" hidden="false" customHeight="false" outlineLevel="0" collapsed="false">
      <c r="A41" s="9" t="str">
        <f aca="false">parametros_recargas!$B$79</f>
        <v>Recuperación de halogenado</v>
      </c>
      <c r="B41" s="11" t="n">
        <v>1</v>
      </c>
      <c r="C41" s="11" t="n">
        <v>1</v>
      </c>
      <c r="D41" s="11" t="n">
        <v>1</v>
      </c>
      <c r="E41" s="11" t="n">
        <v>1</v>
      </c>
      <c r="F41" s="11" t="n">
        <v>1</v>
      </c>
      <c r="G41" s="11" t="n">
        <v>1</v>
      </c>
      <c r="H41" s="11" t="n">
        <v>1</v>
      </c>
      <c r="I41" s="11" t="n">
        <v>1</v>
      </c>
      <c r="J41" s="11" t="n">
        <v>1</v>
      </c>
      <c r="K41" s="11" t="n">
        <v>1</v>
      </c>
    </row>
    <row r="42" customFormat="false" ht="15" hidden="false" customHeight="false" outlineLevel="0" collapsed="false">
      <c r="A42" s="9" t="str">
        <f aca="false">parametros_recargas!$B$80</f>
        <v>Desarme y limpieza — recinto</v>
      </c>
      <c r="B42" s="11" t="n">
        <v>1</v>
      </c>
      <c r="C42" s="11" t="n">
        <v>1</v>
      </c>
      <c r="D42" s="11" t="n">
        <v>1</v>
      </c>
      <c r="E42" s="11" t="n">
        <v>1</v>
      </c>
      <c r="F42" s="11" t="n">
        <v>2</v>
      </c>
      <c r="G42" s="11" t="n">
        <v>2</v>
      </c>
      <c r="H42" s="11" t="n">
        <v>2</v>
      </c>
      <c r="I42" s="11" t="n">
        <v>2</v>
      </c>
      <c r="J42" s="11" t="n">
        <v>2</v>
      </c>
      <c r="K42" s="11" t="n">
        <v>2</v>
      </c>
    </row>
    <row r="43" customFormat="false" ht="15" hidden="false" customHeight="false" outlineLevel="0" collapsed="false">
      <c r="A43" s="9" t="str">
        <f aca="false">parametros_recargas!$B$81</f>
        <v>Desarme e inspección interior — zona general</v>
      </c>
      <c r="B43" s="11" t="n">
        <v>1</v>
      </c>
      <c r="C43" s="11" t="n">
        <v>1</v>
      </c>
      <c r="D43" s="11" t="n">
        <v>1</v>
      </c>
      <c r="E43" s="11" t="n">
        <v>1</v>
      </c>
      <c r="F43" s="11" t="n">
        <v>1</v>
      </c>
      <c r="G43" s="11" t="n">
        <v>1</v>
      </c>
      <c r="H43" s="11" t="n">
        <v>1</v>
      </c>
      <c r="I43" s="11" t="n">
        <v>1</v>
      </c>
      <c r="J43" s="11" t="n">
        <v>1</v>
      </c>
      <c r="K43" s="11" t="n">
        <v>1</v>
      </c>
    </row>
    <row r="44" customFormat="false" ht="15" hidden="false" customHeight="false" outlineLevel="0" collapsed="false">
      <c r="A44" s="9" t="str">
        <f aca="false">parametros_recargas!$B$82</f>
        <v>Laboratorio — Puffer y mufla</v>
      </c>
      <c r="B44" s="11" t="n">
        <v>1</v>
      </c>
      <c r="C44" s="11" t="n">
        <v>1</v>
      </c>
      <c r="D44" s="11" t="n">
        <v>1</v>
      </c>
      <c r="E44" s="11" t="n">
        <v>1</v>
      </c>
      <c r="F44" s="11" t="n">
        <v>1</v>
      </c>
      <c r="G44" s="11" t="n">
        <v>1</v>
      </c>
      <c r="H44" s="11" t="n">
        <v>1</v>
      </c>
      <c r="I44" s="11" t="n">
        <v>1</v>
      </c>
      <c r="J44" s="11" t="n">
        <v>1</v>
      </c>
      <c r="K44" s="11" t="n">
        <v>1</v>
      </c>
    </row>
    <row r="45" customFormat="false" ht="15" hidden="false" customHeight="false" outlineLevel="0" collapsed="false">
      <c r="A45" s="9" t="str">
        <f aca="false">parametros_recargas!$B$83</f>
        <v>Prueba hidráulica</v>
      </c>
      <c r="B45" s="11" t="n">
        <v>1</v>
      </c>
      <c r="C45" s="11" t="n">
        <v>1</v>
      </c>
      <c r="D45" s="11" t="n">
        <v>1</v>
      </c>
      <c r="E45" s="11" t="n">
        <v>1</v>
      </c>
      <c r="F45" s="11" t="n">
        <v>2</v>
      </c>
      <c r="G45" s="11" t="n">
        <v>2</v>
      </c>
      <c r="H45" s="11" t="n">
        <v>2</v>
      </c>
      <c r="I45" s="11" t="n">
        <v>2</v>
      </c>
      <c r="J45" s="11" t="n">
        <v>2</v>
      </c>
      <c r="K45" s="11" t="n">
        <v>2</v>
      </c>
    </row>
    <row r="46" customFormat="false" ht="15" hidden="false" customHeight="false" outlineLevel="0" collapsed="false">
      <c r="A46" s="9" t="str">
        <f aca="false">parametros_recargas!$B$84</f>
        <v>Secado</v>
      </c>
      <c r="B46" s="11" t="n">
        <v>1</v>
      </c>
      <c r="C46" s="11" t="n">
        <v>1</v>
      </c>
      <c r="D46" s="11" t="n">
        <v>1</v>
      </c>
      <c r="E46" s="11" t="n">
        <v>1</v>
      </c>
      <c r="F46" s="11" t="n">
        <v>1</v>
      </c>
      <c r="G46" s="11" t="n">
        <v>1</v>
      </c>
      <c r="H46" s="11" t="n">
        <v>1</v>
      </c>
      <c r="I46" s="11" t="n">
        <v>1</v>
      </c>
      <c r="J46" s="11" t="n">
        <v>1</v>
      </c>
      <c r="K46" s="11" t="n">
        <v>1</v>
      </c>
    </row>
    <row r="47" customFormat="false" ht="15" hidden="false" customHeight="false" outlineLevel="0" collapsed="false">
      <c r="A47" s="9" t="str">
        <f aca="false">parametros_recargas!$B$85</f>
        <v>Inspección interior con videoscopio</v>
      </c>
      <c r="B47" s="11" t="n">
        <v>1</v>
      </c>
      <c r="C47" s="11" t="n">
        <v>1</v>
      </c>
      <c r="D47" s="11" t="n">
        <v>1</v>
      </c>
      <c r="E47" s="11" t="n">
        <v>1</v>
      </c>
      <c r="F47" s="11" t="n">
        <v>1</v>
      </c>
      <c r="G47" s="11" t="n">
        <v>1</v>
      </c>
      <c r="H47" s="11" t="n">
        <v>1</v>
      </c>
      <c r="I47" s="11" t="n">
        <v>1</v>
      </c>
      <c r="J47" s="11" t="n">
        <v>1</v>
      </c>
      <c r="K47" s="11" t="n">
        <v>1</v>
      </c>
    </row>
    <row r="48" customFormat="false" ht="15" hidden="false" customHeight="false" outlineLevel="0" collapsed="false">
      <c r="A48" s="9" t="str">
        <f aca="false">parametros_recargas!$B$86</f>
        <v>Pintura</v>
      </c>
      <c r="B48" s="11" t="n">
        <v>1</v>
      </c>
      <c r="C48" s="11" t="n">
        <v>1</v>
      </c>
      <c r="D48" s="11" t="n">
        <v>1</v>
      </c>
      <c r="E48" s="11" t="n">
        <v>1</v>
      </c>
      <c r="F48" s="11" t="n">
        <v>2</v>
      </c>
      <c r="G48" s="11" t="n">
        <v>2</v>
      </c>
      <c r="H48" s="11" t="n">
        <v>2</v>
      </c>
      <c r="I48" s="11" t="n">
        <v>2</v>
      </c>
      <c r="J48" s="11" t="n">
        <v>2</v>
      </c>
      <c r="K48" s="11" t="n">
        <v>2</v>
      </c>
    </row>
    <row r="49" customFormat="false" ht="15" hidden="false" customHeight="false" outlineLevel="0" collapsed="false">
      <c r="A49" s="9" t="str">
        <f aca="false">parametros_recargas!$B$87</f>
        <v>Carga de polvo ABC</v>
      </c>
      <c r="B49" s="11" t="n">
        <v>1</v>
      </c>
      <c r="C49" s="11" t="n">
        <v>1</v>
      </c>
      <c r="D49" s="11" t="n">
        <v>1</v>
      </c>
      <c r="E49" s="11" t="n">
        <v>2</v>
      </c>
      <c r="F49" s="11" t="n">
        <v>2</v>
      </c>
      <c r="G49" s="11" t="n">
        <v>3</v>
      </c>
      <c r="H49" s="11" t="n">
        <v>3</v>
      </c>
      <c r="I49" s="11" t="n">
        <v>3</v>
      </c>
      <c r="J49" s="11" t="n">
        <v>3</v>
      </c>
      <c r="K49" s="11" t="n">
        <v>3</v>
      </c>
    </row>
    <row r="50" customFormat="false" ht="15" hidden="false" customHeight="false" outlineLevel="0" collapsed="false">
      <c r="A50" s="9" t="str">
        <f aca="false">parametros_recargas!$B$88</f>
        <v>Carga de polvo BC</v>
      </c>
      <c r="B50" s="11" t="n">
        <v>1</v>
      </c>
      <c r="C50" s="11" t="n">
        <v>1</v>
      </c>
      <c r="D50" s="11" t="n">
        <v>1</v>
      </c>
      <c r="E50" s="11" t="n">
        <v>1</v>
      </c>
      <c r="F50" s="11" t="n">
        <v>1</v>
      </c>
      <c r="G50" s="11" t="n">
        <v>1</v>
      </c>
      <c r="H50" s="11" t="n">
        <v>1</v>
      </c>
      <c r="I50" s="11" t="n">
        <v>1</v>
      </c>
      <c r="J50" s="11" t="n">
        <v>1</v>
      </c>
      <c r="K50" s="11" t="n">
        <v>1</v>
      </c>
    </row>
    <row r="51" customFormat="false" ht="15" hidden="false" customHeight="false" outlineLevel="0" collapsed="false">
      <c r="A51" s="9" t="str">
        <f aca="false">parametros_recargas!$B$89</f>
        <v>Descarga y carga Clase D</v>
      </c>
      <c r="B51" s="11" t="n">
        <v>1</v>
      </c>
      <c r="C51" s="11" t="n">
        <v>1</v>
      </c>
      <c r="D51" s="11" t="n">
        <v>1</v>
      </c>
      <c r="E51" s="11" t="n">
        <v>1</v>
      </c>
      <c r="F51" s="11" t="n">
        <v>1</v>
      </c>
      <c r="G51" s="11" t="n">
        <v>1</v>
      </c>
      <c r="H51" s="11" t="n">
        <v>1</v>
      </c>
      <c r="I51" s="11" t="n">
        <v>1</v>
      </c>
      <c r="J51" s="11" t="n">
        <v>1</v>
      </c>
      <c r="K51" s="11" t="n">
        <v>1</v>
      </c>
    </row>
    <row r="52" customFormat="false" ht="15" hidden="false" customHeight="false" outlineLevel="0" collapsed="false">
      <c r="A52" s="9" t="str">
        <f aca="false">parametros_recargas!$B$90</f>
        <v>Carga de agua / AFFF / sales K</v>
      </c>
      <c r="B52" s="11" t="n">
        <v>1</v>
      </c>
      <c r="C52" s="11" t="n">
        <v>1</v>
      </c>
      <c r="D52" s="11" t="n">
        <v>1</v>
      </c>
      <c r="E52" s="11" t="n">
        <v>1</v>
      </c>
      <c r="F52" s="11" t="n">
        <v>1</v>
      </c>
      <c r="G52" s="11" t="n">
        <v>1</v>
      </c>
      <c r="H52" s="11" t="n">
        <v>1</v>
      </c>
      <c r="I52" s="11" t="n">
        <v>1</v>
      </c>
      <c r="J52" s="11" t="n">
        <v>1</v>
      </c>
      <c r="K52" s="11" t="n">
        <v>1</v>
      </c>
    </row>
    <row r="53" customFormat="false" ht="15" hidden="false" customHeight="false" outlineLevel="0" collapsed="false">
      <c r="A53" s="9" t="str">
        <f aca="false">parametros_recargas!$B$91</f>
        <v>Carga de CO₂</v>
      </c>
      <c r="B53" s="11" t="n">
        <v>1</v>
      </c>
      <c r="C53" s="11" t="n">
        <v>1</v>
      </c>
      <c r="D53" s="11" t="n">
        <v>1</v>
      </c>
      <c r="E53" s="11" t="n">
        <v>1</v>
      </c>
      <c r="F53" s="11" t="n">
        <v>1</v>
      </c>
      <c r="G53" s="11" t="n">
        <v>1</v>
      </c>
      <c r="H53" s="11" t="n">
        <v>1</v>
      </c>
      <c r="I53" s="11" t="n">
        <v>1</v>
      </c>
      <c r="J53" s="11" t="n">
        <v>1</v>
      </c>
      <c r="K53" s="11" t="n">
        <v>1</v>
      </c>
    </row>
    <row r="54" customFormat="false" ht="15" hidden="false" customHeight="false" outlineLevel="0" collapsed="false">
      <c r="A54" s="9" t="str">
        <f aca="false">parametros_recargas!$B$92</f>
        <v>Ensamblaje y marbete — recinto</v>
      </c>
      <c r="B54" s="11" t="n">
        <v>1</v>
      </c>
      <c r="C54" s="11" t="n">
        <v>1</v>
      </c>
      <c r="D54" s="11" t="n">
        <v>1</v>
      </c>
      <c r="E54" s="11" t="n">
        <v>2</v>
      </c>
      <c r="F54" s="11" t="n">
        <v>2</v>
      </c>
      <c r="G54" s="11" t="n">
        <v>3</v>
      </c>
      <c r="H54" s="11" t="n">
        <v>3</v>
      </c>
      <c r="I54" s="11" t="n">
        <v>3</v>
      </c>
      <c r="J54" s="11" t="n">
        <v>3</v>
      </c>
      <c r="K54" s="11" t="n">
        <v>3</v>
      </c>
    </row>
    <row r="55" customFormat="false" ht="15" hidden="false" customHeight="false" outlineLevel="0" collapsed="false">
      <c r="A55" s="9" t="str">
        <f aca="false">parametros_recargas!$B$93</f>
        <v>Presurización — recinto</v>
      </c>
      <c r="B55" s="11" t="n">
        <v>1</v>
      </c>
      <c r="C55" s="11" t="n">
        <v>1</v>
      </c>
      <c r="D55" s="11" t="n">
        <v>1</v>
      </c>
      <c r="E55" s="11" t="n">
        <v>1</v>
      </c>
      <c r="F55" s="11" t="n">
        <v>2</v>
      </c>
      <c r="G55" s="11" t="n">
        <v>2</v>
      </c>
      <c r="H55" s="11" t="n">
        <v>2</v>
      </c>
      <c r="I55" s="11" t="n">
        <v>2</v>
      </c>
      <c r="J55" s="11" t="n">
        <v>2</v>
      </c>
      <c r="K55" s="11" t="n">
        <v>2</v>
      </c>
    </row>
    <row r="56" customFormat="false" ht="15" hidden="false" customHeight="false" outlineLevel="0" collapsed="false">
      <c r="A56" s="9" t="str">
        <f aca="false">parametros_recargas!$B$94</f>
        <v>Ensamblaje y presurización — zona general</v>
      </c>
      <c r="B56" s="11" t="n">
        <v>1</v>
      </c>
      <c r="C56" s="11" t="n">
        <v>1</v>
      </c>
      <c r="D56" s="11" t="n">
        <v>1</v>
      </c>
      <c r="E56" s="11" t="n">
        <v>1</v>
      </c>
      <c r="F56" s="11" t="n">
        <v>1</v>
      </c>
      <c r="G56" s="11" t="n">
        <v>1</v>
      </c>
      <c r="H56" s="11" t="n">
        <v>1</v>
      </c>
      <c r="I56" s="11" t="n">
        <v>1</v>
      </c>
      <c r="J56" s="11" t="n">
        <v>1</v>
      </c>
      <c r="K56" s="11" t="n">
        <v>1</v>
      </c>
    </row>
    <row r="57" customFormat="false" ht="15" hidden="false" customHeight="false" outlineLevel="0" collapsed="false">
      <c r="A57" s="9" t="str">
        <f aca="false">parametros_recargas!$B$95</f>
        <v>Carga y presurización de halogenado</v>
      </c>
      <c r="B57" s="11" t="n">
        <v>1</v>
      </c>
      <c r="C57" s="11" t="n">
        <v>1</v>
      </c>
      <c r="D57" s="11" t="n">
        <v>1</v>
      </c>
      <c r="E57" s="11" t="n">
        <v>1</v>
      </c>
      <c r="F57" s="11" t="n">
        <v>1</v>
      </c>
      <c r="G57" s="11" t="n">
        <v>1</v>
      </c>
      <c r="H57" s="11" t="n">
        <v>1</v>
      </c>
      <c r="I57" s="11" t="n">
        <v>1</v>
      </c>
      <c r="J57" s="11" t="n">
        <v>1</v>
      </c>
      <c r="K57" s="11" t="n">
        <v>1</v>
      </c>
    </row>
    <row r="58" customFormat="false" ht="15" hidden="false" customHeight="false" outlineLevel="0" collapsed="false">
      <c r="A58" s="9" t="str">
        <f aca="false">parametros_recargas!$B$96</f>
        <v>Control de peso (CO₂ y halogenados sin recarga)</v>
      </c>
      <c r="B58" s="11" t="n">
        <v>1</v>
      </c>
      <c r="C58" s="11" t="n">
        <v>1</v>
      </c>
      <c r="D58" s="11" t="n">
        <v>1</v>
      </c>
      <c r="E58" s="11" t="n">
        <v>1</v>
      </c>
      <c r="F58" s="11" t="n">
        <v>1</v>
      </c>
      <c r="G58" s="11" t="n">
        <v>1</v>
      </c>
      <c r="H58" s="11" t="n">
        <v>1</v>
      </c>
      <c r="I58" s="11" t="n">
        <v>1</v>
      </c>
      <c r="J58" s="11" t="n">
        <v>1</v>
      </c>
      <c r="K58" s="11" t="n">
        <v>1</v>
      </c>
    </row>
    <row r="59" customFormat="false" ht="15" hidden="false" customHeight="false" outlineLevel="0" collapsed="false">
      <c r="A59" s="9" t="str">
        <f aca="false">parametros_recargas!$B$97</f>
        <v>Ensayo de pérdidas</v>
      </c>
      <c r="B59" s="11" t="n">
        <v>1</v>
      </c>
      <c r="C59" s="11" t="n">
        <v>1</v>
      </c>
      <c r="D59" s="11" t="n">
        <v>1</v>
      </c>
      <c r="E59" s="11" t="n">
        <v>1</v>
      </c>
      <c r="F59" s="11" t="n">
        <v>2</v>
      </c>
      <c r="G59" s="11" t="n">
        <v>2</v>
      </c>
      <c r="H59" s="11" t="n">
        <v>2</v>
      </c>
      <c r="I59" s="11" t="n">
        <v>2</v>
      </c>
      <c r="J59" s="11" t="n">
        <v>2</v>
      </c>
      <c r="K59" s="11" t="n">
        <v>2</v>
      </c>
    </row>
    <row r="60" customFormat="false" ht="15" hidden="false" customHeight="false" outlineLevel="0" collapsed="false">
      <c r="A60" s="9" t="str">
        <f aca="false">parametros_recargas!$B$98</f>
        <v>Precinto, etiqueta y despacho</v>
      </c>
      <c r="B60" s="11" t="n">
        <v>1</v>
      </c>
      <c r="C60" s="11" t="n">
        <v>1</v>
      </c>
      <c r="D60" s="11" t="n">
        <v>1</v>
      </c>
      <c r="E60" s="11" t="n">
        <v>1</v>
      </c>
      <c r="F60" s="11" t="n">
        <v>2</v>
      </c>
      <c r="G60" s="11" t="n">
        <v>2</v>
      </c>
      <c r="H60" s="11" t="n">
        <v>2</v>
      </c>
      <c r="I60" s="11" t="n">
        <v>2</v>
      </c>
      <c r="J60" s="11" t="n">
        <v>2</v>
      </c>
      <c r="K60" s="11" t="n">
        <v>2</v>
      </c>
    </row>
    <row r="61" customFormat="false" ht="15" hidden="false" customHeight="false" outlineLevel="0" collapsed="false">
      <c r="A61" s="9" t="str">
        <f aca="false">parametros_recargas!$B$99</f>
        <v>Inutilización y disposición final</v>
      </c>
      <c r="B61" s="11" t="n">
        <v>1</v>
      </c>
      <c r="C61" s="11" t="n">
        <v>1</v>
      </c>
      <c r="D61" s="11" t="n">
        <v>1</v>
      </c>
      <c r="E61" s="11" t="n">
        <v>1</v>
      </c>
      <c r="F61" s="11" t="n">
        <v>1</v>
      </c>
      <c r="G61" s="11" t="n">
        <v>1</v>
      </c>
      <c r="H61" s="11" t="n">
        <v>1</v>
      </c>
      <c r="I61" s="11" t="n">
        <v>1</v>
      </c>
      <c r="J61" s="11" t="n">
        <v>1</v>
      </c>
      <c r="K61" s="11" t="n">
        <v>1</v>
      </c>
    </row>
    <row r="62" customFormat="false" ht="15" hidden="false" customHeight="false" outlineLevel="0" collapsed="false">
      <c r="A62" s="9" t="str">
        <f aca="false">parametros_recargas!$B$100</f>
        <v>PH de mangueras (CO₂ y rodantes)</v>
      </c>
      <c r="B62" s="11" t="n">
        <v>1</v>
      </c>
      <c r="C62" s="11" t="n">
        <v>1</v>
      </c>
      <c r="D62" s="11" t="n">
        <v>1</v>
      </c>
      <c r="E62" s="11" t="n">
        <v>1</v>
      </c>
      <c r="F62" s="11" t="n">
        <v>1</v>
      </c>
      <c r="G62" s="11" t="n">
        <v>1</v>
      </c>
      <c r="H62" s="11" t="n">
        <v>1</v>
      </c>
      <c r="I62" s="11" t="n">
        <v>1</v>
      </c>
      <c r="J62" s="11" t="n">
        <v>1</v>
      </c>
      <c r="K62" s="11" t="n">
        <v>1</v>
      </c>
    </row>
    <row r="63" customFormat="false" ht="15" hidden="false" customHeight="false" outlineLevel="0" collapsed="false">
      <c r="A63" s="4" t="s">
        <v>392</v>
      </c>
      <c r="B63" s="13" t="n">
        <f aca="false">SUM(B34:B62)</f>
        <v>29</v>
      </c>
      <c r="C63" s="13" t="n">
        <f aca="false">SUM(C34:C62)</f>
        <v>29</v>
      </c>
      <c r="D63" s="13" t="n">
        <f aca="false">SUM(D34:D62)</f>
        <v>29</v>
      </c>
      <c r="E63" s="13" t="n">
        <f aca="false">SUM(E34:E62)</f>
        <v>32</v>
      </c>
      <c r="F63" s="13" t="n">
        <f aca="false">SUM(F34:F62)</f>
        <v>40</v>
      </c>
      <c r="G63" s="13" t="n">
        <f aca="false">SUM(G34:G62)</f>
        <v>43</v>
      </c>
      <c r="H63" s="13" t="n">
        <f aca="false">SUM(H34:H62)</f>
        <v>43</v>
      </c>
      <c r="I63" s="13" t="n">
        <f aca="false">SUM(I34:I62)</f>
        <v>43</v>
      </c>
      <c r="J63" s="13" t="n">
        <f aca="false">SUM(J34:J62)</f>
        <v>43</v>
      </c>
      <c r="K63" s="13" t="n">
        <f aca="false">SUM(K34:K62)</f>
        <v>43</v>
      </c>
    </row>
    <row r="65" customFormat="false" ht="15" hidden="false" customHeight="false" outlineLevel="0" collapsed="false">
      <c r="A65" s="3" t="s">
        <v>393</v>
      </c>
      <c r="B65" s="3" t="n">
        <v>2026</v>
      </c>
      <c r="C65" s="3" t="n">
        <v>2027</v>
      </c>
      <c r="D65" s="3" t="n">
        <v>2028</v>
      </c>
      <c r="E65" s="3" t="n">
        <v>2029</v>
      </c>
      <c r="F65" s="3" t="n">
        <v>2030</v>
      </c>
      <c r="G65" s="3" t="n">
        <v>2031</v>
      </c>
      <c r="H65" s="3" t="n">
        <v>2032</v>
      </c>
      <c r="I65" s="3" t="n">
        <v>2033</v>
      </c>
      <c r="J65" s="3" t="n">
        <v>2034</v>
      </c>
      <c r="K65" s="3" t="n">
        <v>2035</v>
      </c>
    </row>
    <row r="66" customFormat="false" ht="15" hidden="false" customHeight="false" outlineLevel="0" collapsed="false">
      <c r="A66" s="9" t="str">
        <f aca="false">parametros_recargas!$B$72</f>
        <v>Recepción y registro</v>
      </c>
      <c r="B66" s="11" t="n">
        <v>1</v>
      </c>
      <c r="C66" s="11" t="n">
        <v>1</v>
      </c>
      <c r="D66" s="11" t="n">
        <v>1</v>
      </c>
      <c r="E66" s="11" t="n">
        <v>1</v>
      </c>
      <c r="F66" s="11" t="n">
        <v>1</v>
      </c>
      <c r="G66" s="11" t="n">
        <v>1</v>
      </c>
      <c r="H66" s="11" t="n">
        <v>2</v>
      </c>
      <c r="I66" s="11" t="n">
        <v>2</v>
      </c>
      <c r="J66" s="11" t="n">
        <v>2</v>
      </c>
      <c r="K66" s="11" t="n">
        <v>2</v>
      </c>
    </row>
    <row r="67" customFormat="false" ht="15" hidden="false" customHeight="false" outlineLevel="0" collapsed="false">
      <c r="A67" s="9" t="str">
        <f aca="false">parametros_recargas!$B$73</f>
        <v>Inspección visual</v>
      </c>
      <c r="B67" s="11" t="n">
        <v>1</v>
      </c>
      <c r="C67" s="11" t="n">
        <v>1</v>
      </c>
      <c r="D67" s="11" t="n">
        <v>1</v>
      </c>
      <c r="E67" s="11" t="n">
        <v>1</v>
      </c>
      <c r="F67" s="11" t="n">
        <v>1</v>
      </c>
      <c r="G67" s="11" t="n">
        <v>1</v>
      </c>
      <c r="H67" s="11" t="n">
        <v>1</v>
      </c>
      <c r="I67" s="11" t="n">
        <v>1</v>
      </c>
      <c r="J67" s="11" t="n">
        <v>2</v>
      </c>
      <c r="K67" s="11" t="n">
        <v>2</v>
      </c>
    </row>
    <row r="68" customFormat="false" ht="15" hidden="false" customHeight="false" outlineLevel="0" collapsed="false">
      <c r="A68" s="9" t="str">
        <f aca="false">parametros_recargas!$B$74</f>
        <v>Descarga ABC — ruta recuperable</v>
      </c>
      <c r="B68" s="11" t="n">
        <v>1</v>
      </c>
      <c r="C68" s="11" t="n">
        <v>1</v>
      </c>
      <c r="D68" s="11" t="n">
        <v>1</v>
      </c>
      <c r="E68" s="11" t="n">
        <v>1</v>
      </c>
      <c r="F68" s="11" t="n">
        <v>1</v>
      </c>
      <c r="G68" s="11" t="n">
        <v>1</v>
      </c>
      <c r="H68" s="11" t="n">
        <v>1</v>
      </c>
      <c r="I68" s="11" t="n">
        <v>1</v>
      </c>
      <c r="J68" s="11" t="n">
        <v>2</v>
      </c>
      <c r="K68" s="11" t="n">
        <v>2</v>
      </c>
    </row>
    <row r="69" customFormat="false" ht="15" hidden="false" customHeight="false" outlineLevel="0" collapsed="false">
      <c r="A69" s="9" t="str">
        <f aca="false">parametros_recargas!$B$75</f>
        <v>Descarga ABC — ruta descarte</v>
      </c>
      <c r="B69" s="11" t="n">
        <v>1</v>
      </c>
      <c r="C69" s="11" t="n">
        <v>1</v>
      </c>
      <c r="D69" s="11" t="n">
        <v>1</v>
      </c>
      <c r="E69" s="11" t="n">
        <v>1</v>
      </c>
      <c r="F69" s="11" t="n">
        <v>1</v>
      </c>
      <c r="G69" s="11" t="n">
        <v>1</v>
      </c>
      <c r="H69" s="11" t="n">
        <v>1</v>
      </c>
      <c r="I69" s="11" t="n">
        <v>1</v>
      </c>
      <c r="J69" s="11" t="n">
        <v>1</v>
      </c>
      <c r="K69" s="11" t="n">
        <v>1</v>
      </c>
    </row>
    <row r="70" customFormat="false" ht="15" hidden="false" customHeight="false" outlineLevel="0" collapsed="false">
      <c r="A70" s="9" t="str">
        <f aca="false">parametros_recargas!$B$76</f>
        <v>Descarga BC</v>
      </c>
      <c r="B70" s="11" t="n">
        <v>1</v>
      </c>
      <c r="C70" s="11" t="n">
        <v>1</v>
      </c>
      <c r="D70" s="11" t="n">
        <v>1</v>
      </c>
      <c r="E70" s="11" t="n">
        <v>1</v>
      </c>
      <c r="F70" s="11" t="n">
        <v>1</v>
      </c>
      <c r="G70" s="11" t="n">
        <v>1</v>
      </c>
      <c r="H70" s="11" t="n">
        <v>1</v>
      </c>
      <c r="I70" s="11" t="n">
        <v>1</v>
      </c>
      <c r="J70" s="11" t="n">
        <v>1</v>
      </c>
      <c r="K70" s="11" t="n">
        <v>1</v>
      </c>
    </row>
    <row r="71" customFormat="false" ht="15" hidden="false" customHeight="false" outlineLevel="0" collapsed="false">
      <c r="A71" s="9" t="str">
        <f aca="false">parametros_recargas!$B$77</f>
        <v>Descarga de agua / AFFF / sales K</v>
      </c>
      <c r="B71" s="11" t="n">
        <v>1</v>
      </c>
      <c r="C71" s="11" t="n">
        <v>1</v>
      </c>
      <c r="D71" s="11" t="n">
        <v>1</v>
      </c>
      <c r="E71" s="11" t="n">
        <v>1</v>
      </c>
      <c r="F71" s="11" t="n">
        <v>1</v>
      </c>
      <c r="G71" s="11" t="n">
        <v>1</v>
      </c>
      <c r="H71" s="11" t="n">
        <v>1</v>
      </c>
      <c r="I71" s="11" t="n">
        <v>1</v>
      </c>
      <c r="J71" s="11" t="n">
        <v>1</v>
      </c>
      <c r="K71" s="11" t="n">
        <v>1</v>
      </c>
    </row>
    <row r="72" customFormat="false" ht="15" hidden="false" customHeight="false" outlineLevel="0" collapsed="false">
      <c r="A72" s="9" t="str">
        <f aca="false">parametros_recargas!$B$78</f>
        <v>Recuperación de CO₂</v>
      </c>
      <c r="B72" s="11" t="n">
        <v>1</v>
      </c>
      <c r="C72" s="11" t="n">
        <v>1</v>
      </c>
      <c r="D72" s="11" t="n">
        <v>1</v>
      </c>
      <c r="E72" s="11" t="n">
        <v>1</v>
      </c>
      <c r="F72" s="11" t="n">
        <v>1</v>
      </c>
      <c r="G72" s="11" t="n">
        <v>1</v>
      </c>
      <c r="H72" s="11" t="n">
        <v>1</v>
      </c>
      <c r="I72" s="11" t="n">
        <v>1</v>
      </c>
      <c r="J72" s="11" t="n">
        <v>1</v>
      </c>
      <c r="K72" s="11" t="n">
        <v>1</v>
      </c>
    </row>
    <row r="73" customFormat="false" ht="15" hidden="false" customHeight="false" outlineLevel="0" collapsed="false">
      <c r="A73" s="9" t="str">
        <f aca="false">parametros_recargas!$B$79</f>
        <v>Recuperación de halogenado</v>
      </c>
      <c r="B73" s="11" t="n">
        <v>1</v>
      </c>
      <c r="C73" s="11" t="n">
        <v>1</v>
      </c>
      <c r="D73" s="11" t="n">
        <v>1</v>
      </c>
      <c r="E73" s="11" t="n">
        <v>1</v>
      </c>
      <c r="F73" s="11" t="n">
        <v>1</v>
      </c>
      <c r="G73" s="11" t="n">
        <v>1</v>
      </c>
      <c r="H73" s="11" t="n">
        <v>1</v>
      </c>
      <c r="I73" s="11" t="n">
        <v>1</v>
      </c>
      <c r="J73" s="11" t="n">
        <v>1</v>
      </c>
      <c r="K73" s="11" t="n">
        <v>1</v>
      </c>
    </row>
    <row r="74" customFormat="false" ht="15" hidden="false" customHeight="false" outlineLevel="0" collapsed="false">
      <c r="A74" s="9" t="str">
        <f aca="false">parametros_recargas!$B$80</f>
        <v>Desarme y limpieza — recinto</v>
      </c>
      <c r="B74" s="11" t="n">
        <v>1</v>
      </c>
      <c r="C74" s="11" t="n">
        <v>1</v>
      </c>
      <c r="D74" s="11" t="n">
        <v>1</v>
      </c>
      <c r="E74" s="11" t="n">
        <v>1</v>
      </c>
      <c r="F74" s="11" t="n">
        <v>1</v>
      </c>
      <c r="G74" s="11" t="n">
        <v>1</v>
      </c>
      <c r="H74" s="11" t="n">
        <v>2</v>
      </c>
      <c r="I74" s="11" t="n">
        <v>2</v>
      </c>
      <c r="J74" s="11" t="n">
        <v>2</v>
      </c>
      <c r="K74" s="11" t="n">
        <v>2</v>
      </c>
    </row>
    <row r="75" customFormat="false" ht="15" hidden="false" customHeight="false" outlineLevel="0" collapsed="false">
      <c r="A75" s="9" t="str">
        <f aca="false">parametros_recargas!$B$81</f>
        <v>Desarme e inspección interior — zona general</v>
      </c>
      <c r="B75" s="11" t="n">
        <v>1</v>
      </c>
      <c r="C75" s="11" t="n">
        <v>1</v>
      </c>
      <c r="D75" s="11" t="n">
        <v>1</v>
      </c>
      <c r="E75" s="11" t="n">
        <v>1</v>
      </c>
      <c r="F75" s="11" t="n">
        <v>1</v>
      </c>
      <c r="G75" s="11" t="n">
        <v>1</v>
      </c>
      <c r="H75" s="11" t="n">
        <v>1</v>
      </c>
      <c r="I75" s="11" t="n">
        <v>1</v>
      </c>
      <c r="J75" s="11" t="n">
        <v>1</v>
      </c>
      <c r="K75" s="11" t="n">
        <v>1</v>
      </c>
    </row>
    <row r="76" customFormat="false" ht="15" hidden="false" customHeight="false" outlineLevel="0" collapsed="false">
      <c r="A76" s="9" t="str">
        <f aca="false">parametros_recargas!$B$82</f>
        <v>Laboratorio — Puffer y mufla</v>
      </c>
      <c r="B76" s="11" t="n">
        <v>1</v>
      </c>
      <c r="C76" s="11" t="n">
        <v>1</v>
      </c>
      <c r="D76" s="11" t="n">
        <v>1</v>
      </c>
      <c r="E76" s="11" t="n">
        <v>1</v>
      </c>
      <c r="F76" s="11" t="n">
        <v>1</v>
      </c>
      <c r="G76" s="11" t="n">
        <v>1</v>
      </c>
      <c r="H76" s="11" t="n">
        <v>1</v>
      </c>
      <c r="I76" s="11" t="n">
        <v>1</v>
      </c>
      <c r="J76" s="11" t="n">
        <v>1</v>
      </c>
      <c r="K76" s="11" t="n">
        <v>1</v>
      </c>
    </row>
    <row r="77" customFormat="false" ht="15" hidden="false" customHeight="false" outlineLevel="0" collapsed="false">
      <c r="A77" s="9" t="str">
        <f aca="false">parametros_recargas!$B$83</f>
        <v>Prueba hidráulica</v>
      </c>
      <c r="B77" s="11" t="n">
        <v>1</v>
      </c>
      <c r="C77" s="11" t="n">
        <v>1</v>
      </c>
      <c r="D77" s="11" t="n">
        <v>1</v>
      </c>
      <c r="E77" s="11" t="n">
        <v>1</v>
      </c>
      <c r="F77" s="11" t="n">
        <v>1</v>
      </c>
      <c r="G77" s="11" t="n">
        <v>1</v>
      </c>
      <c r="H77" s="11" t="n">
        <v>1</v>
      </c>
      <c r="I77" s="11" t="n">
        <v>2</v>
      </c>
      <c r="J77" s="11" t="n">
        <v>2</v>
      </c>
      <c r="K77" s="11" t="n">
        <v>2</v>
      </c>
    </row>
    <row r="78" customFormat="false" ht="15" hidden="false" customHeight="false" outlineLevel="0" collapsed="false">
      <c r="A78" s="9" t="str">
        <f aca="false">parametros_recargas!$B$84</f>
        <v>Secado</v>
      </c>
      <c r="B78" s="11" t="n">
        <v>1</v>
      </c>
      <c r="C78" s="11" t="n">
        <v>1</v>
      </c>
      <c r="D78" s="11" t="n">
        <v>1</v>
      </c>
      <c r="E78" s="11" t="n">
        <v>1</v>
      </c>
      <c r="F78" s="11" t="n">
        <v>1</v>
      </c>
      <c r="G78" s="11" t="n">
        <v>1</v>
      </c>
      <c r="H78" s="11" t="n">
        <v>2</v>
      </c>
      <c r="I78" s="11" t="n">
        <v>2</v>
      </c>
      <c r="J78" s="11" t="n">
        <v>2</v>
      </c>
      <c r="K78" s="11" t="n">
        <v>2</v>
      </c>
    </row>
    <row r="79" customFormat="false" ht="15" hidden="false" customHeight="false" outlineLevel="0" collapsed="false">
      <c r="A79" s="9" t="str">
        <f aca="false">parametros_recargas!$B$85</f>
        <v>Inspección interior con videoscopio</v>
      </c>
      <c r="B79" s="11" t="n">
        <v>1</v>
      </c>
      <c r="C79" s="11" t="n">
        <v>1</v>
      </c>
      <c r="D79" s="11" t="n">
        <v>1</v>
      </c>
      <c r="E79" s="11" t="n">
        <v>1</v>
      </c>
      <c r="F79" s="11" t="n">
        <v>1</v>
      </c>
      <c r="G79" s="11" t="n">
        <v>1</v>
      </c>
      <c r="H79" s="11" t="n">
        <v>1</v>
      </c>
      <c r="I79" s="11" t="n">
        <v>1</v>
      </c>
      <c r="J79" s="11" t="n">
        <v>1</v>
      </c>
      <c r="K79" s="11" t="n">
        <v>1</v>
      </c>
    </row>
    <row r="80" customFormat="false" ht="15" hidden="false" customHeight="false" outlineLevel="0" collapsed="false">
      <c r="A80" s="9" t="str">
        <f aca="false">parametros_recargas!$B$86</f>
        <v>Pintura</v>
      </c>
      <c r="B80" s="11" t="n">
        <v>1</v>
      </c>
      <c r="C80" s="11" t="n">
        <v>1</v>
      </c>
      <c r="D80" s="11" t="n">
        <v>1</v>
      </c>
      <c r="E80" s="11" t="n">
        <v>1</v>
      </c>
      <c r="F80" s="11" t="n">
        <v>1</v>
      </c>
      <c r="G80" s="11" t="n">
        <v>1</v>
      </c>
      <c r="H80" s="11" t="n">
        <v>2</v>
      </c>
      <c r="I80" s="11" t="n">
        <v>2</v>
      </c>
      <c r="J80" s="11" t="n">
        <v>2</v>
      </c>
      <c r="K80" s="11" t="n">
        <v>2</v>
      </c>
    </row>
    <row r="81" customFormat="false" ht="15" hidden="false" customHeight="false" outlineLevel="0" collapsed="false">
      <c r="A81" s="9" t="str">
        <f aca="false">parametros_recargas!$B$87</f>
        <v>Carga de polvo ABC</v>
      </c>
      <c r="B81" s="11" t="n">
        <v>1</v>
      </c>
      <c r="C81" s="11" t="n">
        <v>1</v>
      </c>
      <c r="D81" s="11" t="n">
        <v>1</v>
      </c>
      <c r="E81" s="11" t="n">
        <v>1</v>
      </c>
      <c r="F81" s="11" t="n">
        <v>1</v>
      </c>
      <c r="G81" s="11" t="n">
        <v>1</v>
      </c>
      <c r="H81" s="11" t="n">
        <v>1</v>
      </c>
      <c r="I81" s="11" t="n">
        <v>1</v>
      </c>
      <c r="J81" s="11" t="n">
        <v>2</v>
      </c>
      <c r="K81" s="11" t="n">
        <v>2</v>
      </c>
    </row>
    <row r="82" customFormat="false" ht="15" hidden="false" customHeight="false" outlineLevel="0" collapsed="false">
      <c r="A82" s="9" t="str">
        <f aca="false">parametros_recargas!$B$88</f>
        <v>Carga de polvo BC</v>
      </c>
      <c r="B82" s="11" t="n">
        <v>1</v>
      </c>
      <c r="C82" s="11" t="n">
        <v>1</v>
      </c>
      <c r="D82" s="11" t="n">
        <v>1</v>
      </c>
      <c r="E82" s="11" t="n">
        <v>1</v>
      </c>
      <c r="F82" s="11" t="n">
        <v>1</v>
      </c>
      <c r="G82" s="11" t="n">
        <v>1</v>
      </c>
      <c r="H82" s="11" t="n">
        <v>1</v>
      </c>
      <c r="I82" s="11" t="n">
        <v>1</v>
      </c>
      <c r="J82" s="11" t="n">
        <v>1</v>
      </c>
      <c r="K82" s="11" t="n">
        <v>1</v>
      </c>
    </row>
    <row r="83" customFormat="false" ht="15" hidden="false" customHeight="false" outlineLevel="0" collapsed="false">
      <c r="A83" s="9" t="str">
        <f aca="false">parametros_recargas!$B$89</f>
        <v>Descarga y carga Clase D</v>
      </c>
      <c r="B83" s="11" t="n">
        <v>1</v>
      </c>
      <c r="C83" s="11" t="n">
        <v>1</v>
      </c>
      <c r="D83" s="11" t="n">
        <v>1</v>
      </c>
      <c r="E83" s="11" t="n">
        <v>1</v>
      </c>
      <c r="F83" s="11" t="n">
        <v>1</v>
      </c>
      <c r="G83" s="11" t="n">
        <v>1</v>
      </c>
      <c r="H83" s="11" t="n">
        <v>1</v>
      </c>
      <c r="I83" s="11" t="n">
        <v>1</v>
      </c>
      <c r="J83" s="11" t="n">
        <v>1</v>
      </c>
      <c r="K83" s="11" t="n">
        <v>1</v>
      </c>
    </row>
    <row r="84" customFormat="false" ht="15" hidden="false" customHeight="false" outlineLevel="0" collapsed="false">
      <c r="A84" s="9" t="str">
        <f aca="false">parametros_recargas!$B$90</f>
        <v>Carga de agua / AFFF / sales K</v>
      </c>
      <c r="B84" s="11" t="n">
        <v>1</v>
      </c>
      <c r="C84" s="11" t="n">
        <v>1</v>
      </c>
      <c r="D84" s="11" t="n">
        <v>1</v>
      </c>
      <c r="E84" s="11" t="n">
        <v>1</v>
      </c>
      <c r="F84" s="11" t="n">
        <v>1</v>
      </c>
      <c r="G84" s="11" t="n">
        <v>1</v>
      </c>
      <c r="H84" s="11" t="n">
        <v>1</v>
      </c>
      <c r="I84" s="11" t="n">
        <v>1</v>
      </c>
      <c r="J84" s="11" t="n">
        <v>1</v>
      </c>
      <c r="K84" s="11" t="n">
        <v>1</v>
      </c>
    </row>
    <row r="85" customFormat="false" ht="15" hidden="false" customHeight="false" outlineLevel="0" collapsed="false">
      <c r="A85" s="9" t="str">
        <f aca="false">parametros_recargas!$B$91</f>
        <v>Carga de CO₂</v>
      </c>
      <c r="B85" s="11" t="n">
        <v>1</v>
      </c>
      <c r="C85" s="11" t="n">
        <v>1</v>
      </c>
      <c r="D85" s="11" t="n">
        <v>1</v>
      </c>
      <c r="E85" s="11" t="n">
        <v>1</v>
      </c>
      <c r="F85" s="11" t="n">
        <v>1</v>
      </c>
      <c r="G85" s="11" t="n">
        <v>1</v>
      </c>
      <c r="H85" s="11" t="n">
        <v>1</v>
      </c>
      <c r="I85" s="11" t="n">
        <v>1</v>
      </c>
      <c r="J85" s="11" t="n">
        <v>1</v>
      </c>
      <c r="K85" s="11" t="n">
        <v>1</v>
      </c>
    </row>
    <row r="86" customFormat="false" ht="15" hidden="false" customHeight="false" outlineLevel="0" collapsed="false">
      <c r="A86" s="9" t="str">
        <f aca="false">parametros_recargas!$B$92</f>
        <v>Ensamblaje y marbete — recinto</v>
      </c>
      <c r="B86" s="11" t="n">
        <v>1</v>
      </c>
      <c r="C86" s="11" t="n">
        <v>1</v>
      </c>
      <c r="D86" s="11" t="n">
        <v>1</v>
      </c>
      <c r="E86" s="11" t="n">
        <v>1</v>
      </c>
      <c r="F86" s="11" t="n">
        <v>1</v>
      </c>
      <c r="G86" s="11" t="n">
        <v>1</v>
      </c>
      <c r="H86" s="11" t="n">
        <v>1</v>
      </c>
      <c r="I86" s="11" t="n">
        <v>2</v>
      </c>
      <c r="J86" s="11" t="n">
        <v>2</v>
      </c>
      <c r="K86" s="11" t="n">
        <v>2</v>
      </c>
    </row>
    <row r="87" customFormat="false" ht="15" hidden="false" customHeight="false" outlineLevel="0" collapsed="false">
      <c r="A87" s="9" t="str">
        <f aca="false">parametros_recargas!$B$93</f>
        <v>Presurización — recinto</v>
      </c>
      <c r="B87" s="11" t="n">
        <v>1</v>
      </c>
      <c r="C87" s="11" t="n">
        <v>1</v>
      </c>
      <c r="D87" s="11" t="n">
        <v>1</v>
      </c>
      <c r="E87" s="11" t="n">
        <v>1</v>
      </c>
      <c r="F87" s="11" t="n">
        <v>1</v>
      </c>
      <c r="G87" s="11" t="n">
        <v>1</v>
      </c>
      <c r="H87" s="11" t="n">
        <v>1</v>
      </c>
      <c r="I87" s="11" t="n">
        <v>2</v>
      </c>
      <c r="J87" s="11" t="n">
        <v>2</v>
      </c>
      <c r="K87" s="11" t="n">
        <v>2</v>
      </c>
    </row>
    <row r="88" customFormat="false" ht="15" hidden="false" customHeight="false" outlineLevel="0" collapsed="false">
      <c r="A88" s="9" t="str">
        <f aca="false">parametros_recargas!$B$94</f>
        <v>Ensamblaje y presurización — zona general</v>
      </c>
      <c r="B88" s="11" t="n">
        <v>1</v>
      </c>
      <c r="C88" s="11" t="n">
        <v>1</v>
      </c>
      <c r="D88" s="11" t="n">
        <v>1</v>
      </c>
      <c r="E88" s="11" t="n">
        <v>1</v>
      </c>
      <c r="F88" s="11" t="n">
        <v>1</v>
      </c>
      <c r="G88" s="11" t="n">
        <v>1</v>
      </c>
      <c r="H88" s="11" t="n">
        <v>1</v>
      </c>
      <c r="I88" s="11" t="n">
        <v>1</v>
      </c>
      <c r="J88" s="11" t="n">
        <v>1</v>
      </c>
      <c r="K88" s="11" t="n">
        <v>1</v>
      </c>
    </row>
    <row r="89" customFormat="false" ht="15" hidden="false" customHeight="false" outlineLevel="0" collapsed="false">
      <c r="A89" s="9" t="str">
        <f aca="false">parametros_recargas!$B$95</f>
        <v>Carga y presurización de halogenado</v>
      </c>
      <c r="B89" s="11" t="n">
        <v>1</v>
      </c>
      <c r="C89" s="11" t="n">
        <v>1</v>
      </c>
      <c r="D89" s="11" t="n">
        <v>1</v>
      </c>
      <c r="E89" s="11" t="n">
        <v>1</v>
      </c>
      <c r="F89" s="11" t="n">
        <v>1</v>
      </c>
      <c r="G89" s="11" t="n">
        <v>1</v>
      </c>
      <c r="H89" s="11" t="n">
        <v>1</v>
      </c>
      <c r="I89" s="11" t="n">
        <v>1</v>
      </c>
      <c r="J89" s="11" t="n">
        <v>1</v>
      </c>
      <c r="K89" s="11" t="n">
        <v>1</v>
      </c>
    </row>
    <row r="90" customFormat="false" ht="15" hidden="false" customHeight="false" outlineLevel="0" collapsed="false">
      <c r="A90" s="9" t="str">
        <f aca="false">parametros_recargas!$B$96</f>
        <v>Control de peso (CO₂ y halogenados sin recarga)</v>
      </c>
      <c r="B90" s="11" t="n">
        <v>1</v>
      </c>
      <c r="C90" s="11" t="n">
        <v>1</v>
      </c>
      <c r="D90" s="11" t="n">
        <v>1</v>
      </c>
      <c r="E90" s="11" t="n">
        <v>1</v>
      </c>
      <c r="F90" s="11" t="n">
        <v>1</v>
      </c>
      <c r="G90" s="11" t="n">
        <v>1</v>
      </c>
      <c r="H90" s="11" t="n">
        <v>1</v>
      </c>
      <c r="I90" s="11" t="n">
        <v>1</v>
      </c>
      <c r="J90" s="11" t="n">
        <v>1</v>
      </c>
      <c r="K90" s="11" t="n">
        <v>1</v>
      </c>
    </row>
    <row r="91" customFormat="false" ht="15" hidden="false" customHeight="false" outlineLevel="0" collapsed="false">
      <c r="A91" s="9" t="str">
        <f aca="false">parametros_recargas!$B$97</f>
        <v>Ensayo de pérdidas</v>
      </c>
      <c r="B91" s="11" t="n">
        <v>1</v>
      </c>
      <c r="C91" s="11" t="n">
        <v>1</v>
      </c>
      <c r="D91" s="11" t="n">
        <v>1</v>
      </c>
      <c r="E91" s="11" t="n">
        <v>1</v>
      </c>
      <c r="F91" s="11" t="n">
        <v>1</v>
      </c>
      <c r="G91" s="11" t="n">
        <v>1</v>
      </c>
      <c r="H91" s="11" t="n">
        <v>2</v>
      </c>
      <c r="I91" s="11" t="n">
        <v>2</v>
      </c>
      <c r="J91" s="11" t="n">
        <v>2</v>
      </c>
      <c r="K91" s="11" t="n">
        <v>2</v>
      </c>
    </row>
    <row r="92" customFormat="false" ht="15" hidden="false" customHeight="false" outlineLevel="0" collapsed="false">
      <c r="A92" s="9" t="str">
        <f aca="false">parametros_recargas!$B$98</f>
        <v>Precinto, etiqueta y despacho</v>
      </c>
      <c r="B92" s="11" t="n">
        <v>1</v>
      </c>
      <c r="C92" s="11" t="n">
        <v>1</v>
      </c>
      <c r="D92" s="11" t="n">
        <v>1</v>
      </c>
      <c r="E92" s="11" t="n">
        <v>1</v>
      </c>
      <c r="F92" s="11" t="n">
        <v>1</v>
      </c>
      <c r="G92" s="11" t="n">
        <v>1</v>
      </c>
      <c r="H92" s="11" t="n">
        <v>2</v>
      </c>
      <c r="I92" s="11" t="n">
        <v>2</v>
      </c>
      <c r="J92" s="11" t="n">
        <v>2</v>
      </c>
      <c r="K92" s="11" t="n">
        <v>2</v>
      </c>
    </row>
    <row r="93" customFormat="false" ht="15" hidden="false" customHeight="false" outlineLevel="0" collapsed="false">
      <c r="A93" s="9" t="str">
        <f aca="false">parametros_recargas!$B$99</f>
        <v>Inutilización y disposición final</v>
      </c>
      <c r="B93" s="11" t="n">
        <v>1</v>
      </c>
      <c r="C93" s="11" t="n">
        <v>1</v>
      </c>
      <c r="D93" s="11" t="n">
        <v>1</v>
      </c>
      <c r="E93" s="11" t="n">
        <v>1</v>
      </c>
      <c r="F93" s="11" t="n">
        <v>1</v>
      </c>
      <c r="G93" s="11" t="n">
        <v>1</v>
      </c>
      <c r="H93" s="11" t="n">
        <v>1</v>
      </c>
      <c r="I93" s="11" t="n">
        <v>1</v>
      </c>
      <c r="J93" s="11" t="n">
        <v>2</v>
      </c>
      <c r="K93" s="11" t="n">
        <v>2</v>
      </c>
    </row>
    <row r="94" customFormat="false" ht="15" hidden="false" customHeight="false" outlineLevel="0" collapsed="false">
      <c r="A94" s="9" t="str">
        <f aca="false">parametros_recargas!$B$100</f>
        <v>PH de mangueras (CO₂ y rodantes)</v>
      </c>
      <c r="B94" s="11" t="n">
        <v>1</v>
      </c>
      <c r="C94" s="11" t="n">
        <v>1</v>
      </c>
      <c r="D94" s="11" t="n">
        <v>1</v>
      </c>
      <c r="E94" s="11" t="n">
        <v>1</v>
      </c>
      <c r="F94" s="11" t="n">
        <v>1</v>
      </c>
      <c r="G94" s="11" t="n">
        <v>1</v>
      </c>
      <c r="H94" s="11" t="n">
        <v>1</v>
      </c>
      <c r="I94" s="11" t="n">
        <v>1</v>
      </c>
      <c r="J94" s="11" t="n">
        <v>1</v>
      </c>
      <c r="K94" s="11" t="n">
        <v>1</v>
      </c>
    </row>
    <row r="95" customFormat="false" ht="15" hidden="false" customHeight="false" outlineLevel="0" collapsed="false">
      <c r="A95" s="4" t="s">
        <v>394</v>
      </c>
      <c r="B95" s="13" t="n">
        <f aca="false">MAX(B66:B94)</f>
        <v>1</v>
      </c>
      <c r="C95" s="13" t="n">
        <f aca="false">MAX(C66:C94)</f>
        <v>1</v>
      </c>
      <c r="D95" s="13" t="n">
        <f aca="false">MAX(D66:D94)</f>
        <v>1</v>
      </c>
      <c r="E95" s="13" t="n">
        <f aca="false">MAX(E66:E94)</f>
        <v>1</v>
      </c>
      <c r="F95" s="13" t="n">
        <f aca="false">MAX(F66:F94)</f>
        <v>1</v>
      </c>
      <c r="G95" s="13" t="n">
        <f aca="false">MAX(G66:G94)</f>
        <v>1</v>
      </c>
      <c r="H95" s="13" t="n">
        <f aca="false">MAX(H66:H94)</f>
        <v>2</v>
      </c>
      <c r="I95" s="13" t="n">
        <f aca="false">MAX(I66:I94)</f>
        <v>2</v>
      </c>
      <c r="J95" s="13" t="n">
        <f aca="false">MAX(J66:J94)</f>
        <v>2</v>
      </c>
      <c r="K95" s="13" t="n">
        <f aca="false">MAX(K66:K94)</f>
        <v>2</v>
      </c>
    </row>
    <row r="97" customFormat="false" ht="15" hidden="false" customHeight="false" outlineLevel="0" collapsed="false">
      <c r="A97" s="3" t="s">
        <v>395</v>
      </c>
      <c r="B97" s="3" t="n">
        <v>2026</v>
      </c>
      <c r="C97" s="3" t="n">
        <v>2027</v>
      </c>
      <c r="D97" s="3" t="n">
        <v>2028</v>
      </c>
      <c r="E97" s="3" t="n">
        <v>2029</v>
      </c>
      <c r="F97" s="3" t="n">
        <v>2030</v>
      </c>
      <c r="G97" s="3" t="n">
        <v>2031</v>
      </c>
      <c r="H97" s="3" t="n">
        <v>2032</v>
      </c>
      <c r="I97" s="3" t="n">
        <v>2033</v>
      </c>
      <c r="J97" s="3" t="n">
        <v>2034</v>
      </c>
      <c r="K97" s="3" t="n">
        <v>2035</v>
      </c>
    </row>
    <row r="98" customFormat="false" ht="15" hidden="false" customHeight="false" outlineLevel="0" collapsed="false">
      <c r="A98" s="9" t="str">
        <f aca="false">parametros_recargas!$B$72</f>
        <v>Recepción y registro</v>
      </c>
      <c r="B98" s="11" t="n">
        <f aca="false">IF(parametros_recargas!$O$72=0,0,ROUNDUP('Demanda por puesto'!$P$2/(parametros_recargas!$O$72*$O$9),0))</f>
        <v>1</v>
      </c>
      <c r="C98" s="11" t="n">
        <f aca="false">IF(parametros_recargas!$O$72=0,0,ROUNDUP('Demanda por puesto'!$P$34/(parametros_recargas!$O$72*$O$9),0))</f>
        <v>1</v>
      </c>
      <c r="D98" s="11" t="n">
        <f aca="false">IF(parametros_recargas!$O$72=0,0,ROUNDUP('Demanda por puesto'!$P$66/(parametros_recargas!$O$72*$O$9),0))</f>
        <v>1</v>
      </c>
      <c r="E98" s="11" t="n">
        <f aca="false">IF(parametros_recargas!$O$72=0,0,ROUNDUP('Demanda por puesto'!$P$98/(parametros_recargas!$O$72*$O$9),0))</f>
        <v>1</v>
      </c>
      <c r="F98" s="11" t="n">
        <f aca="false">IF(parametros_recargas!$O$72=0,0,ROUNDUP('Demanda por puesto'!$P$130/(parametros_recargas!$O$72*$O$9),0))</f>
        <v>2</v>
      </c>
      <c r="G98" s="11" t="n">
        <f aca="false">IF(parametros_recargas!$O$72=0,0,ROUNDUP('Demanda por puesto'!$P$162/(parametros_recargas!$O$72*$O$9),0))</f>
        <v>2</v>
      </c>
      <c r="H98" s="11" t="n">
        <f aca="false">IF(parametros_recargas!$O$72=0,0,ROUNDUP('Demanda por puesto'!$P$194/(parametros_recargas!$O$72*$O$9),0))</f>
        <v>3</v>
      </c>
      <c r="I98" s="11" t="n">
        <f aca="false">IF(parametros_recargas!$O$72=0,0,ROUNDUP('Demanda por puesto'!$P$226/(parametros_recargas!$O$72*$O$9),0))</f>
        <v>3</v>
      </c>
      <c r="J98" s="11" t="n">
        <f aca="false">IF(parametros_recargas!$O$72=0,0,ROUNDUP('Demanda por puesto'!$P$258/(parametros_recargas!$O$72*$O$9),0))</f>
        <v>3</v>
      </c>
      <c r="K98" s="11" t="n">
        <f aca="false">IF(parametros_recargas!$O$72=0,0,ROUNDUP('Demanda por puesto'!$P$290/(parametros_recargas!$O$72*$O$9),0))</f>
        <v>3</v>
      </c>
    </row>
    <row r="99" customFormat="false" ht="15" hidden="false" customHeight="false" outlineLevel="0" collapsed="false">
      <c r="A99" s="9" t="str">
        <f aca="false">parametros_recargas!$B$73</f>
        <v>Inspección visual</v>
      </c>
      <c r="B99" s="11" t="n">
        <f aca="false">IF(parametros_recargas!$O$73=0,0,ROUNDUP('Demanda por puesto'!$P$3/(parametros_recargas!$O$73*$O$9),0))</f>
        <v>1</v>
      </c>
      <c r="C99" s="11" t="n">
        <f aca="false">IF(parametros_recargas!$O$73=0,0,ROUNDUP('Demanda por puesto'!$P$35/(parametros_recargas!$O$73*$O$9),0))</f>
        <v>1</v>
      </c>
      <c r="D99" s="11" t="n">
        <f aca="false">IF(parametros_recargas!$O$73=0,0,ROUNDUP('Demanda por puesto'!$P$67/(parametros_recargas!$O$73*$O$9),0))</f>
        <v>1</v>
      </c>
      <c r="E99" s="11" t="n">
        <f aca="false">IF(parametros_recargas!$O$73=0,0,ROUNDUP('Demanda por puesto'!$P$99/(parametros_recargas!$O$73*$O$9),0))</f>
        <v>2</v>
      </c>
      <c r="F99" s="11" t="n">
        <f aca="false">IF(parametros_recargas!$O$73=0,0,ROUNDUP('Demanda por puesto'!$P$131/(parametros_recargas!$O$73*$O$9),0))</f>
        <v>2</v>
      </c>
      <c r="G99" s="11" t="n">
        <f aca="false">IF(parametros_recargas!$O$73=0,0,ROUNDUP('Demanda por puesto'!$P$163/(parametros_recargas!$O$73*$O$9),0))</f>
        <v>3</v>
      </c>
      <c r="H99" s="11" t="n">
        <f aca="false">IF(parametros_recargas!$O$73=0,0,ROUNDUP('Demanda por puesto'!$P$195/(parametros_recargas!$O$73*$O$9),0))</f>
        <v>3</v>
      </c>
      <c r="I99" s="11" t="n">
        <f aca="false">IF(parametros_recargas!$O$73=0,0,ROUNDUP('Demanda por puesto'!$P$227/(parametros_recargas!$O$73*$O$9),0))</f>
        <v>3</v>
      </c>
      <c r="J99" s="11" t="n">
        <f aca="false">IF(parametros_recargas!$O$73=0,0,ROUNDUP('Demanda por puesto'!$P$259/(parametros_recargas!$O$73*$O$9),0))</f>
        <v>4</v>
      </c>
      <c r="K99" s="11" t="n">
        <f aca="false">IF(parametros_recargas!$O$73=0,0,ROUNDUP('Demanda por puesto'!$P$291/(parametros_recargas!$O$73*$O$9),0))</f>
        <v>4</v>
      </c>
    </row>
    <row r="100" customFormat="false" ht="15" hidden="false" customHeight="false" outlineLevel="0" collapsed="false">
      <c r="A100" s="9" t="str">
        <f aca="false">parametros_recargas!$B$74</f>
        <v>Descarga ABC — ruta recuperable</v>
      </c>
      <c r="B100" s="11" t="n">
        <f aca="false">IF(parametros_recargas!$O$74=0,0,ROUNDUP('Demanda por puesto'!$P$4/(parametros_recargas!$O$74*$O$9),0))</f>
        <v>1</v>
      </c>
      <c r="C100" s="11" t="n">
        <f aca="false">IF(parametros_recargas!$O$74=0,0,ROUNDUP('Demanda por puesto'!$P$36/(parametros_recargas!$O$74*$O$9),0))</f>
        <v>1</v>
      </c>
      <c r="D100" s="11" t="n">
        <f aca="false">IF(parametros_recargas!$O$74=0,0,ROUNDUP('Demanda por puesto'!$P$68/(parametros_recargas!$O$74*$O$9),0))</f>
        <v>1</v>
      </c>
      <c r="E100" s="11" t="n">
        <f aca="false">IF(parametros_recargas!$O$74=0,0,ROUNDUP('Demanda por puesto'!$P$100/(parametros_recargas!$O$74*$O$9),0))</f>
        <v>1</v>
      </c>
      <c r="F100" s="11" t="n">
        <f aca="false">IF(parametros_recargas!$O$74=0,0,ROUNDUP('Demanda por puesto'!$P$132/(parametros_recargas!$O$74*$O$9),0))</f>
        <v>2</v>
      </c>
      <c r="G100" s="11" t="n">
        <f aca="false">IF(parametros_recargas!$O$74=0,0,ROUNDUP('Demanda por puesto'!$P$164/(parametros_recargas!$O$74*$O$9),0))</f>
        <v>2</v>
      </c>
      <c r="H100" s="11" t="n">
        <f aca="false">IF(parametros_recargas!$O$74=0,0,ROUNDUP('Demanda por puesto'!$P$196/(parametros_recargas!$O$74*$O$9),0))</f>
        <v>2</v>
      </c>
      <c r="I100" s="11" t="n">
        <f aca="false">IF(parametros_recargas!$O$74=0,0,ROUNDUP('Demanda por puesto'!$P$228/(parametros_recargas!$O$74*$O$9),0))</f>
        <v>2</v>
      </c>
      <c r="J100" s="11" t="n">
        <f aca="false">IF(parametros_recargas!$O$74=0,0,ROUNDUP('Demanda por puesto'!$P$260/(parametros_recargas!$O$74*$O$9),0))</f>
        <v>3</v>
      </c>
      <c r="K100" s="11" t="n">
        <f aca="false">IF(parametros_recargas!$O$74=0,0,ROUNDUP('Demanda por puesto'!$P$292/(parametros_recargas!$O$74*$O$9),0))</f>
        <v>3</v>
      </c>
    </row>
    <row r="101" customFormat="false" ht="15" hidden="false" customHeight="false" outlineLevel="0" collapsed="false">
      <c r="A101" s="9" t="str">
        <f aca="false">parametros_recargas!$B$75</f>
        <v>Descarga ABC — ruta descarte</v>
      </c>
      <c r="B101" s="11" t="n">
        <f aca="false">IF(parametros_recargas!$O$75=0,0,ROUNDUP('Demanda por puesto'!$P$5/(parametros_recargas!$O$75*$O$9),0))</f>
        <v>1</v>
      </c>
      <c r="C101" s="11" t="n">
        <f aca="false">IF(parametros_recargas!$O$75=0,0,ROUNDUP('Demanda por puesto'!$P$37/(parametros_recargas!$O$75*$O$9),0))</f>
        <v>1</v>
      </c>
      <c r="D101" s="11" t="n">
        <f aca="false">IF(parametros_recargas!$O$75=0,0,ROUNDUP('Demanda por puesto'!$P$69/(parametros_recargas!$O$75*$O$9),0))</f>
        <v>1</v>
      </c>
      <c r="E101" s="11" t="n">
        <f aca="false">IF(parametros_recargas!$O$75=0,0,ROUNDUP('Demanda por puesto'!$P$101/(parametros_recargas!$O$75*$O$9),0))</f>
        <v>1</v>
      </c>
      <c r="F101" s="11" t="n">
        <f aca="false">IF(parametros_recargas!$O$75=0,0,ROUNDUP('Demanda por puesto'!$P$133/(parametros_recargas!$O$75*$O$9),0))</f>
        <v>1</v>
      </c>
      <c r="G101" s="11" t="n">
        <f aca="false">IF(parametros_recargas!$O$75=0,0,ROUNDUP('Demanda por puesto'!$P$165/(parametros_recargas!$O$75*$O$9),0))</f>
        <v>1</v>
      </c>
      <c r="H101" s="11" t="n">
        <f aca="false">IF(parametros_recargas!$O$75=0,0,ROUNDUP('Demanda por puesto'!$P$197/(parametros_recargas!$O$75*$O$9),0))</f>
        <v>1</v>
      </c>
      <c r="I101" s="11" t="n">
        <f aca="false">IF(parametros_recargas!$O$75=0,0,ROUNDUP('Demanda por puesto'!$P$229/(parametros_recargas!$O$75*$O$9),0))</f>
        <v>1</v>
      </c>
      <c r="J101" s="11" t="n">
        <f aca="false">IF(parametros_recargas!$O$75=0,0,ROUNDUP('Demanda por puesto'!$P$261/(parametros_recargas!$O$75*$O$9),0))</f>
        <v>1</v>
      </c>
      <c r="K101" s="11" t="n">
        <f aca="false">IF(parametros_recargas!$O$75=0,0,ROUNDUP('Demanda por puesto'!$P$293/(parametros_recargas!$O$75*$O$9),0))</f>
        <v>1</v>
      </c>
    </row>
    <row r="102" customFormat="false" ht="15" hidden="false" customHeight="false" outlineLevel="0" collapsed="false">
      <c r="A102" s="9" t="str">
        <f aca="false">parametros_recargas!$B$76</f>
        <v>Descarga BC</v>
      </c>
      <c r="B102" s="11" t="n">
        <f aca="false">IF(parametros_recargas!$O$76=0,0,ROUNDUP('Demanda por puesto'!$P$6/(parametros_recargas!$O$76*$O$9),0))</f>
        <v>1</v>
      </c>
      <c r="C102" s="11" t="n">
        <f aca="false">IF(parametros_recargas!$O$76=0,0,ROUNDUP('Demanda por puesto'!$P$38/(parametros_recargas!$O$76*$O$9),0))</f>
        <v>1</v>
      </c>
      <c r="D102" s="11" t="n">
        <f aca="false">IF(parametros_recargas!$O$76=0,0,ROUNDUP('Demanda por puesto'!$P$70/(parametros_recargas!$O$76*$O$9),0))</f>
        <v>1</v>
      </c>
      <c r="E102" s="11" t="n">
        <f aca="false">IF(parametros_recargas!$O$76=0,0,ROUNDUP('Demanda por puesto'!$P$102/(parametros_recargas!$O$76*$O$9),0))</f>
        <v>1</v>
      </c>
      <c r="F102" s="11" t="n">
        <f aca="false">IF(parametros_recargas!$O$76=0,0,ROUNDUP('Demanda por puesto'!$P$134/(parametros_recargas!$O$76*$O$9),0))</f>
        <v>1</v>
      </c>
      <c r="G102" s="11" t="n">
        <f aca="false">IF(parametros_recargas!$O$76=0,0,ROUNDUP('Demanda por puesto'!$P$166/(parametros_recargas!$O$76*$O$9),0))</f>
        <v>1</v>
      </c>
      <c r="H102" s="11" t="n">
        <f aca="false">IF(parametros_recargas!$O$76=0,0,ROUNDUP('Demanda por puesto'!$P$198/(parametros_recargas!$O$76*$O$9),0))</f>
        <v>1</v>
      </c>
      <c r="I102" s="11" t="n">
        <f aca="false">IF(parametros_recargas!$O$76=0,0,ROUNDUP('Demanda por puesto'!$P$230/(parametros_recargas!$O$76*$O$9),0))</f>
        <v>1</v>
      </c>
      <c r="J102" s="11" t="n">
        <f aca="false">IF(parametros_recargas!$O$76=0,0,ROUNDUP('Demanda por puesto'!$P$262/(parametros_recargas!$O$76*$O$9),0))</f>
        <v>1</v>
      </c>
      <c r="K102" s="11" t="n">
        <f aca="false">IF(parametros_recargas!$O$76=0,0,ROUNDUP('Demanda por puesto'!$P$294/(parametros_recargas!$O$76*$O$9),0))</f>
        <v>1</v>
      </c>
    </row>
    <row r="103" customFormat="false" ht="15" hidden="false" customHeight="false" outlineLevel="0" collapsed="false">
      <c r="A103" s="9" t="str">
        <f aca="false">parametros_recargas!$B$77</f>
        <v>Descarga de agua / AFFF / sales K</v>
      </c>
      <c r="B103" s="11" t="n">
        <f aca="false">IF(parametros_recargas!$O$77=0,0,ROUNDUP('Demanda por puesto'!$P$7/(parametros_recargas!$O$77*$O$9),0))</f>
        <v>1</v>
      </c>
      <c r="C103" s="11" t="n">
        <f aca="false">IF(parametros_recargas!$O$77=0,0,ROUNDUP('Demanda por puesto'!$P$39/(parametros_recargas!$O$77*$O$9),0))</f>
        <v>1</v>
      </c>
      <c r="D103" s="11" t="n">
        <f aca="false">IF(parametros_recargas!$O$77=0,0,ROUNDUP('Demanda por puesto'!$P$71/(parametros_recargas!$O$77*$O$9),0))</f>
        <v>1</v>
      </c>
      <c r="E103" s="11" t="n">
        <f aca="false">IF(parametros_recargas!$O$77=0,0,ROUNDUP('Demanda por puesto'!$P$103/(parametros_recargas!$O$77*$O$9),0))</f>
        <v>1</v>
      </c>
      <c r="F103" s="11" t="n">
        <f aca="false">IF(parametros_recargas!$O$77=0,0,ROUNDUP('Demanda por puesto'!$P$135/(parametros_recargas!$O$77*$O$9),0))</f>
        <v>1</v>
      </c>
      <c r="G103" s="11" t="n">
        <f aca="false">IF(parametros_recargas!$O$77=0,0,ROUNDUP('Demanda por puesto'!$P$167/(parametros_recargas!$O$77*$O$9),0))</f>
        <v>1</v>
      </c>
      <c r="H103" s="11" t="n">
        <f aca="false">IF(parametros_recargas!$O$77=0,0,ROUNDUP('Demanda por puesto'!$P$199/(parametros_recargas!$O$77*$O$9),0))</f>
        <v>1</v>
      </c>
      <c r="I103" s="11" t="n">
        <f aca="false">IF(parametros_recargas!$O$77=0,0,ROUNDUP('Demanda por puesto'!$P$231/(parametros_recargas!$O$77*$O$9),0))</f>
        <v>1</v>
      </c>
      <c r="J103" s="11" t="n">
        <f aca="false">IF(parametros_recargas!$O$77=0,0,ROUNDUP('Demanda por puesto'!$P$263/(parametros_recargas!$O$77*$O$9),0))</f>
        <v>1</v>
      </c>
      <c r="K103" s="11" t="n">
        <f aca="false">IF(parametros_recargas!$O$77=0,0,ROUNDUP('Demanda por puesto'!$P$295/(parametros_recargas!$O$77*$O$9),0))</f>
        <v>1</v>
      </c>
    </row>
    <row r="104" customFormat="false" ht="15" hidden="false" customHeight="false" outlineLevel="0" collapsed="false">
      <c r="A104" s="9" t="str">
        <f aca="false">parametros_recargas!$B$78</f>
        <v>Recuperación de CO₂</v>
      </c>
      <c r="B104" s="11" t="n">
        <f aca="false">IF(parametros_recargas!$O$78=0,0,ROUNDUP('Demanda por puesto'!$P$8/(parametros_recargas!$O$78*$O$9),0))</f>
        <v>1</v>
      </c>
      <c r="C104" s="11" t="n">
        <f aca="false">IF(parametros_recargas!$O$78=0,0,ROUNDUP('Demanda por puesto'!$P$40/(parametros_recargas!$O$78*$O$9),0))</f>
        <v>1</v>
      </c>
      <c r="D104" s="11" t="n">
        <f aca="false">IF(parametros_recargas!$O$78=0,0,ROUNDUP('Demanda por puesto'!$P$72/(parametros_recargas!$O$78*$O$9),0))</f>
        <v>1</v>
      </c>
      <c r="E104" s="11" t="n">
        <f aca="false">IF(parametros_recargas!$O$78=0,0,ROUNDUP('Demanda por puesto'!$P$104/(parametros_recargas!$O$78*$O$9),0))</f>
        <v>1</v>
      </c>
      <c r="F104" s="11" t="n">
        <f aca="false">IF(parametros_recargas!$O$78=0,0,ROUNDUP('Demanda por puesto'!$P$136/(parametros_recargas!$O$78*$O$9),0))</f>
        <v>1</v>
      </c>
      <c r="G104" s="11" t="n">
        <f aca="false">IF(parametros_recargas!$O$78=0,0,ROUNDUP('Demanda por puesto'!$P$168/(parametros_recargas!$O$78*$O$9),0))</f>
        <v>1</v>
      </c>
      <c r="H104" s="11" t="n">
        <f aca="false">IF(parametros_recargas!$O$78=0,0,ROUNDUP('Demanda por puesto'!$P$200/(parametros_recargas!$O$78*$O$9),0))</f>
        <v>1</v>
      </c>
      <c r="I104" s="11" t="n">
        <f aca="false">IF(parametros_recargas!$O$78=0,0,ROUNDUP('Demanda por puesto'!$P$232/(parametros_recargas!$O$78*$O$9),0))</f>
        <v>1</v>
      </c>
      <c r="J104" s="11" t="n">
        <f aca="false">IF(parametros_recargas!$O$78=0,0,ROUNDUP('Demanda por puesto'!$P$264/(parametros_recargas!$O$78*$O$9),0))</f>
        <v>1</v>
      </c>
      <c r="K104" s="11" t="n">
        <f aca="false">IF(parametros_recargas!$O$78=0,0,ROUNDUP('Demanda por puesto'!$P$296/(parametros_recargas!$O$78*$O$9),0))</f>
        <v>1</v>
      </c>
    </row>
    <row r="105" customFormat="false" ht="15" hidden="false" customHeight="false" outlineLevel="0" collapsed="false">
      <c r="A105" s="9" t="str">
        <f aca="false">parametros_recargas!$B$79</f>
        <v>Recuperación de halogenado</v>
      </c>
      <c r="B105" s="11" t="n">
        <f aca="false">IF(parametros_recargas!$O$79=0,0,ROUNDUP('Demanda por puesto'!$P$9/(parametros_recargas!$O$79*$O$9),0))</f>
        <v>1</v>
      </c>
      <c r="C105" s="11" t="n">
        <f aca="false">IF(parametros_recargas!$O$79=0,0,ROUNDUP('Demanda por puesto'!$P$41/(parametros_recargas!$O$79*$O$9),0))</f>
        <v>1</v>
      </c>
      <c r="D105" s="11" t="n">
        <f aca="false">IF(parametros_recargas!$O$79=0,0,ROUNDUP('Demanda por puesto'!$P$73/(parametros_recargas!$O$79*$O$9),0))</f>
        <v>1</v>
      </c>
      <c r="E105" s="11" t="n">
        <f aca="false">IF(parametros_recargas!$O$79=0,0,ROUNDUP('Demanda por puesto'!$P$105/(parametros_recargas!$O$79*$O$9),0))</f>
        <v>1</v>
      </c>
      <c r="F105" s="11" t="n">
        <f aca="false">IF(parametros_recargas!$O$79=0,0,ROUNDUP('Demanda por puesto'!$P$137/(parametros_recargas!$O$79*$O$9),0))</f>
        <v>1</v>
      </c>
      <c r="G105" s="11" t="n">
        <f aca="false">IF(parametros_recargas!$O$79=0,0,ROUNDUP('Demanda por puesto'!$P$169/(parametros_recargas!$O$79*$O$9),0))</f>
        <v>1</v>
      </c>
      <c r="H105" s="11" t="n">
        <f aca="false">IF(parametros_recargas!$O$79=0,0,ROUNDUP('Demanda por puesto'!$P$201/(parametros_recargas!$O$79*$O$9),0))</f>
        <v>1</v>
      </c>
      <c r="I105" s="11" t="n">
        <f aca="false">IF(parametros_recargas!$O$79=0,0,ROUNDUP('Demanda por puesto'!$P$233/(parametros_recargas!$O$79*$O$9),0))</f>
        <v>1</v>
      </c>
      <c r="J105" s="11" t="n">
        <f aca="false">IF(parametros_recargas!$O$79=0,0,ROUNDUP('Demanda por puesto'!$P$265/(parametros_recargas!$O$79*$O$9),0))</f>
        <v>1</v>
      </c>
      <c r="K105" s="11" t="n">
        <f aca="false">IF(parametros_recargas!$O$79=0,0,ROUNDUP('Demanda por puesto'!$P$297/(parametros_recargas!$O$79*$O$9),0))</f>
        <v>1</v>
      </c>
    </row>
    <row r="106" customFormat="false" ht="15" hidden="false" customHeight="false" outlineLevel="0" collapsed="false">
      <c r="A106" s="9" t="str">
        <f aca="false">parametros_recargas!$B$80</f>
        <v>Desarme y limpieza — recinto</v>
      </c>
      <c r="B106" s="11" t="n">
        <f aca="false">IF(parametros_recargas!$O$80=0,0,ROUNDUP('Demanda por puesto'!$P$10/(parametros_recargas!$O$80*$O$9),0))</f>
        <v>1</v>
      </c>
      <c r="C106" s="11" t="n">
        <f aca="false">IF(parametros_recargas!$O$80=0,0,ROUNDUP('Demanda por puesto'!$P$42/(parametros_recargas!$O$80*$O$9),0))</f>
        <v>1</v>
      </c>
      <c r="D106" s="11" t="n">
        <f aca="false">IF(parametros_recargas!$O$80=0,0,ROUNDUP('Demanda por puesto'!$P$74/(parametros_recargas!$O$80*$O$9),0))</f>
        <v>1</v>
      </c>
      <c r="E106" s="11" t="n">
        <f aca="false">IF(parametros_recargas!$O$80=0,0,ROUNDUP('Demanda por puesto'!$P$106/(parametros_recargas!$O$80*$O$9),0))</f>
        <v>1</v>
      </c>
      <c r="F106" s="11" t="n">
        <f aca="false">IF(parametros_recargas!$O$80=0,0,ROUNDUP('Demanda por puesto'!$P$138/(parametros_recargas!$O$80*$O$9),0))</f>
        <v>2</v>
      </c>
      <c r="G106" s="11" t="n">
        <f aca="false">IF(parametros_recargas!$O$80=0,0,ROUNDUP('Demanda por puesto'!$P$170/(parametros_recargas!$O$80*$O$9),0))</f>
        <v>2</v>
      </c>
      <c r="H106" s="11" t="n">
        <f aca="false">IF(parametros_recargas!$O$80=0,0,ROUNDUP('Demanda por puesto'!$P$202/(parametros_recargas!$O$80*$O$9),0))</f>
        <v>3</v>
      </c>
      <c r="I106" s="11" t="n">
        <f aca="false">IF(parametros_recargas!$O$80=0,0,ROUNDUP('Demanda por puesto'!$P$234/(parametros_recargas!$O$80*$O$9),0))</f>
        <v>3</v>
      </c>
      <c r="J106" s="11" t="n">
        <f aca="false">IF(parametros_recargas!$O$80=0,0,ROUNDUP('Demanda por puesto'!$P$266/(parametros_recargas!$O$80*$O$9),0))</f>
        <v>3</v>
      </c>
      <c r="K106" s="11" t="n">
        <f aca="false">IF(parametros_recargas!$O$80=0,0,ROUNDUP('Demanda por puesto'!$P$298/(parametros_recargas!$O$80*$O$9),0))</f>
        <v>4</v>
      </c>
    </row>
    <row r="107" customFormat="false" ht="15" hidden="false" customHeight="false" outlineLevel="0" collapsed="false">
      <c r="A107" s="9" t="str">
        <f aca="false">parametros_recargas!$B$81</f>
        <v>Desarme e inspección interior — zona general</v>
      </c>
      <c r="B107" s="11" t="n">
        <f aca="false">IF(parametros_recargas!$O$81=0,0,ROUNDUP('Demanda por puesto'!$P$11/(parametros_recargas!$O$81*$O$9),0))</f>
        <v>1</v>
      </c>
      <c r="C107" s="11" t="n">
        <f aca="false">IF(parametros_recargas!$O$81=0,0,ROUNDUP('Demanda por puesto'!$P$43/(parametros_recargas!$O$81*$O$9),0))</f>
        <v>1</v>
      </c>
      <c r="D107" s="11" t="n">
        <f aca="false">IF(parametros_recargas!$O$81=0,0,ROUNDUP('Demanda por puesto'!$P$75/(parametros_recargas!$O$81*$O$9),0))</f>
        <v>1</v>
      </c>
      <c r="E107" s="11" t="n">
        <f aca="false">IF(parametros_recargas!$O$81=0,0,ROUNDUP('Demanda por puesto'!$P$107/(parametros_recargas!$O$81*$O$9),0))</f>
        <v>1</v>
      </c>
      <c r="F107" s="11" t="n">
        <f aca="false">IF(parametros_recargas!$O$81=0,0,ROUNDUP('Demanda por puesto'!$P$139/(parametros_recargas!$O$81*$O$9),0))</f>
        <v>1</v>
      </c>
      <c r="G107" s="11" t="n">
        <f aca="false">IF(parametros_recargas!$O$81=0,0,ROUNDUP('Demanda por puesto'!$P$171/(parametros_recargas!$O$81*$O$9),0))</f>
        <v>1</v>
      </c>
      <c r="H107" s="11" t="n">
        <f aca="false">IF(parametros_recargas!$O$81=0,0,ROUNDUP('Demanda por puesto'!$P$203/(parametros_recargas!$O$81*$O$9),0))</f>
        <v>1</v>
      </c>
      <c r="I107" s="11" t="n">
        <f aca="false">IF(parametros_recargas!$O$81=0,0,ROUNDUP('Demanda por puesto'!$P$235/(parametros_recargas!$O$81*$O$9),0))</f>
        <v>1</v>
      </c>
      <c r="J107" s="11" t="n">
        <f aca="false">IF(parametros_recargas!$O$81=0,0,ROUNDUP('Demanda por puesto'!$P$267/(parametros_recargas!$O$81*$O$9),0))</f>
        <v>1</v>
      </c>
      <c r="K107" s="11" t="n">
        <f aca="false">IF(parametros_recargas!$O$81=0,0,ROUNDUP('Demanda por puesto'!$P$299/(parametros_recargas!$O$81*$O$9),0))</f>
        <v>1</v>
      </c>
    </row>
    <row r="108" customFormat="false" ht="15" hidden="false" customHeight="false" outlineLevel="0" collapsed="false">
      <c r="A108" s="9" t="str">
        <f aca="false">parametros_recargas!$B$82</f>
        <v>Laboratorio — Puffer y mufla</v>
      </c>
      <c r="B108" s="11" t="n">
        <f aca="false">IF(parametros_recargas!$O$82=0,0,ROUNDUP('Demanda por puesto'!$P$12/(parametros_recargas!$O$82*$O$9),0))</f>
        <v>1</v>
      </c>
      <c r="C108" s="11" t="n">
        <f aca="false">IF(parametros_recargas!$O$82=0,0,ROUNDUP('Demanda por puesto'!$P$44/(parametros_recargas!$O$82*$O$9),0))</f>
        <v>1</v>
      </c>
      <c r="D108" s="11" t="n">
        <f aca="false">IF(parametros_recargas!$O$82=0,0,ROUNDUP('Demanda por puesto'!$P$76/(parametros_recargas!$O$82*$O$9),0))</f>
        <v>1</v>
      </c>
      <c r="E108" s="11" t="n">
        <f aca="false">IF(parametros_recargas!$O$82=0,0,ROUNDUP('Demanda por puesto'!$P$108/(parametros_recargas!$O$82*$O$9),0))</f>
        <v>1</v>
      </c>
      <c r="F108" s="11" t="n">
        <f aca="false">IF(parametros_recargas!$O$82=0,0,ROUNDUP('Demanda por puesto'!$P$140/(parametros_recargas!$O$82*$O$9),0))</f>
        <v>1</v>
      </c>
      <c r="G108" s="11" t="n">
        <f aca="false">IF(parametros_recargas!$O$82=0,0,ROUNDUP('Demanda por puesto'!$P$172/(parametros_recargas!$O$82*$O$9),0))</f>
        <v>1</v>
      </c>
      <c r="H108" s="11" t="n">
        <f aca="false">IF(parametros_recargas!$O$82=0,0,ROUNDUP('Demanda por puesto'!$P$204/(parametros_recargas!$O$82*$O$9),0))</f>
        <v>1</v>
      </c>
      <c r="I108" s="11" t="n">
        <f aca="false">IF(parametros_recargas!$O$82=0,0,ROUNDUP('Demanda por puesto'!$P$236/(parametros_recargas!$O$82*$O$9),0))</f>
        <v>1</v>
      </c>
      <c r="J108" s="11" t="n">
        <f aca="false">IF(parametros_recargas!$O$82=0,0,ROUNDUP('Demanda por puesto'!$P$268/(parametros_recargas!$O$82*$O$9),0))</f>
        <v>1</v>
      </c>
      <c r="K108" s="11" t="n">
        <f aca="false">IF(parametros_recargas!$O$82=0,0,ROUNDUP('Demanda por puesto'!$P$300/(parametros_recargas!$O$82*$O$9),0))</f>
        <v>1</v>
      </c>
    </row>
    <row r="109" customFormat="false" ht="15" hidden="false" customHeight="false" outlineLevel="0" collapsed="false">
      <c r="A109" s="9" t="str">
        <f aca="false">parametros_recargas!$B$83</f>
        <v>Prueba hidráulica</v>
      </c>
      <c r="B109" s="11" t="n">
        <f aca="false">IF(parametros_recargas!$O$83=0,0,ROUNDUP('Demanda por puesto'!$P$13/(parametros_recargas!$O$83*$O$9),0))</f>
        <v>1</v>
      </c>
      <c r="C109" s="11" t="n">
        <f aca="false">IF(parametros_recargas!$O$83=0,0,ROUNDUP('Demanda por puesto'!$P$45/(parametros_recargas!$O$83*$O$9),0))</f>
        <v>1</v>
      </c>
      <c r="D109" s="11" t="n">
        <f aca="false">IF(parametros_recargas!$O$83=0,0,ROUNDUP('Demanda por puesto'!$P$77/(parametros_recargas!$O$83*$O$9),0))</f>
        <v>1</v>
      </c>
      <c r="E109" s="11" t="n">
        <f aca="false">IF(parametros_recargas!$O$83=0,0,ROUNDUP('Demanda por puesto'!$P$109/(parametros_recargas!$O$83*$O$9),0))</f>
        <v>1</v>
      </c>
      <c r="F109" s="11" t="n">
        <f aca="false">IF(parametros_recargas!$O$83=0,0,ROUNDUP('Demanda por puesto'!$P$141/(parametros_recargas!$O$83*$O$9),0))</f>
        <v>2</v>
      </c>
      <c r="G109" s="11" t="n">
        <f aca="false">IF(parametros_recargas!$O$83=0,0,ROUNDUP('Demanda por puesto'!$P$173/(parametros_recargas!$O$83*$O$9),0))</f>
        <v>2</v>
      </c>
      <c r="H109" s="11" t="n">
        <f aca="false">IF(parametros_recargas!$O$83=0,0,ROUNDUP('Demanda por puesto'!$P$205/(parametros_recargas!$O$83*$O$9),0))</f>
        <v>2</v>
      </c>
      <c r="I109" s="11" t="n">
        <f aca="false">IF(parametros_recargas!$O$83=0,0,ROUNDUP('Demanda por puesto'!$P$237/(parametros_recargas!$O$83*$O$9),0))</f>
        <v>3</v>
      </c>
      <c r="J109" s="11" t="n">
        <f aca="false">IF(parametros_recargas!$O$83=0,0,ROUNDUP('Demanda por puesto'!$P$269/(parametros_recargas!$O$83*$O$9),0))</f>
        <v>3</v>
      </c>
      <c r="K109" s="11" t="n">
        <f aca="false">IF(parametros_recargas!$O$83=0,0,ROUNDUP('Demanda por puesto'!$P$301/(parametros_recargas!$O$83*$O$9),0))</f>
        <v>3</v>
      </c>
    </row>
    <row r="110" customFormat="false" ht="15" hidden="false" customHeight="false" outlineLevel="0" collapsed="false">
      <c r="A110" s="9" t="str">
        <f aca="false">parametros_recargas!$B$84</f>
        <v>Secado</v>
      </c>
      <c r="B110" s="11" t="n">
        <f aca="false">IF(parametros_recargas!$O$84=0,0,ROUNDUP('Demanda por puesto'!$P$14/(parametros_recargas!$O$84*$O$9),0))</f>
        <v>1</v>
      </c>
      <c r="C110" s="11" t="n">
        <f aca="false">IF(parametros_recargas!$O$84=0,0,ROUNDUP('Demanda por puesto'!$P$46/(parametros_recargas!$O$84*$O$9),0))</f>
        <v>1</v>
      </c>
      <c r="D110" s="11" t="n">
        <f aca="false">IF(parametros_recargas!$O$84=0,0,ROUNDUP('Demanda por puesto'!$P$78/(parametros_recargas!$O$84*$O$9),0))</f>
        <v>1</v>
      </c>
      <c r="E110" s="11" t="n">
        <f aca="false">IF(parametros_recargas!$O$84=0,0,ROUNDUP('Demanda por puesto'!$P$110/(parametros_recargas!$O$84*$O$9),0))</f>
        <v>1</v>
      </c>
      <c r="F110" s="11" t="n">
        <f aca="false">IF(parametros_recargas!$O$84=0,0,ROUNDUP('Demanda por puesto'!$P$142/(parametros_recargas!$O$84*$O$9),0))</f>
        <v>1</v>
      </c>
      <c r="G110" s="11" t="n">
        <f aca="false">IF(parametros_recargas!$O$84=0,0,ROUNDUP('Demanda por puesto'!$P$174/(parametros_recargas!$O$84*$O$9),0))</f>
        <v>1</v>
      </c>
      <c r="H110" s="11" t="n">
        <f aca="false">IF(parametros_recargas!$O$84=0,0,ROUNDUP('Demanda por puesto'!$P$206/(parametros_recargas!$O$84*$O$9),0))</f>
        <v>2</v>
      </c>
      <c r="I110" s="11" t="n">
        <f aca="false">IF(parametros_recargas!$O$84=0,0,ROUNDUP('Demanda por puesto'!$P$238/(parametros_recargas!$O$84*$O$9),0))</f>
        <v>2</v>
      </c>
      <c r="J110" s="11" t="n">
        <f aca="false">IF(parametros_recargas!$O$84=0,0,ROUNDUP('Demanda por puesto'!$P$270/(parametros_recargas!$O$84*$O$9),0))</f>
        <v>2</v>
      </c>
      <c r="K110" s="11" t="n">
        <f aca="false">IF(parametros_recargas!$O$84=0,0,ROUNDUP('Demanda por puesto'!$P$302/(parametros_recargas!$O$84*$O$9),0))</f>
        <v>2</v>
      </c>
    </row>
    <row r="111" customFormat="false" ht="15" hidden="false" customHeight="false" outlineLevel="0" collapsed="false">
      <c r="A111" s="9" t="str">
        <f aca="false">parametros_recargas!$B$85</f>
        <v>Inspección interior con videoscopio</v>
      </c>
      <c r="B111" s="11" t="n">
        <f aca="false">IF(parametros_recargas!$O$85=0,0,ROUNDUP('Demanda por puesto'!$P$15/(parametros_recargas!$O$85*$O$9),0))</f>
        <v>1</v>
      </c>
      <c r="C111" s="11" t="n">
        <f aca="false">IF(parametros_recargas!$O$85=0,0,ROUNDUP('Demanda por puesto'!$P$47/(parametros_recargas!$O$85*$O$9),0))</f>
        <v>1</v>
      </c>
      <c r="D111" s="11" t="n">
        <f aca="false">IF(parametros_recargas!$O$85=0,0,ROUNDUP('Demanda por puesto'!$P$79/(parametros_recargas!$O$85*$O$9),0))</f>
        <v>1</v>
      </c>
      <c r="E111" s="11" t="n">
        <f aca="false">IF(parametros_recargas!$O$85=0,0,ROUNDUP('Demanda por puesto'!$P$111/(parametros_recargas!$O$85*$O$9),0))</f>
        <v>1</v>
      </c>
      <c r="F111" s="11" t="n">
        <f aca="false">IF(parametros_recargas!$O$85=0,0,ROUNDUP('Demanda por puesto'!$P$143/(parametros_recargas!$O$85*$O$9),0))</f>
        <v>1</v>
      </c>
      <c r="G111" s="11" t="n">
        <f aca="false">IF(parametros_recargas!$O$85=0,0,ROUNDUP('Demanda por puesto'!$P$175/(parametros_recargas!$O$85*$O$9),0))</f>
        <v>1</v>
      </c>
      <c r="H111" s="11" t="n">
        <f aca="false">IF(parametros_recargas!$O$85=0,0,ROUNDUP('Demanda por puesto'!$P$207/(parametros_recargas!$O$85*$O$9),0))</f>
        <v>1</v>
      </c>
      <c r="I111" s="11" t="n">
        <f aca="false">IF(parametros_recargas!$O$85=0,0,ROUNDUP('Demanda por puesto'!$P$239/(parametros_recargas!$O$85*$O$9),0))</f>
        <v>1</v>
      </c>
      <c r="J111" s="11" t="n">
        <f aca="false">IF(parametros_recargas!$O$85=0,0,ROUNDUP('Demanda por puesto'!$P$271/(parametros_recargas!$O$85*$O$9),0))</f>
        <v>1</v>
      </c>
      <c r="K111" s="11" t="n">
        <f aca="false">IF(parametros_recargas!$O$85=0,0,ROUNDUP('Demanda por puesto'!$P$303/(parametros_recargas!$O$85*$O$9),0))</f>
        <v>1</v>
      </c>
    </row>
    <row r="112" customFormat="false" ht="15" hidden="false" customHeight="false" outlineLevel="0" collapsed="false">
      <c r="A112" s="9" t="str">
        <f aca="false">parametros_recargas!$B$86</f>
        <v>Pintura</v>
      </c>
      <c r="B112" s="11" t="n">
        <f aca="false">IF(parametros_recargas!$O$86=0,0,ROUNDUP('Demanda por puesto'!$P$16/(parametros_recargas!$O$86*$O$9),0))</f>
        <v>1</v>
      </c>
      <c r="C112" s="11" t="n">
        <f aca="false">IF(parametros_recargas!$O$86=0,0,ROUNDUP('Demanda por puesto'!$P$48/(parametros_recargas!$O$86*$O$9),0))</f>
        <v>1</v>
      </c>
      <c r="D112" s="11" t="n">
        <f aca="false">IF(parametros_recargas!$O$86=0,0,ROUNDUP('Demanda por puesto'!$P$80/(parametros_recargas!$O$86*$O$9),0))</f>
        <v>1</v>
      </c>
      <c r="E112" s="11" t="n">
        <f aca="false">IF(parametros_recargas!$O$86=0,0,ROUNDUP('Demanda por puesto'!$P$112/(parametros_recargas!$O$86*$O$9),0))</f>
        <v>1</v>
      </c>
      <c r="F112" s="11" t="n">
        <f aca="false">IF(parametros_recargas!$O$86=0,0,ROUNDUP('Demanda por puesto'!$P$144/(parametros_recargas!$O$86*$O$9),0))</f>
        <v>2</v>
      </c>
      <c r="G112" s="11" t="n">
        <f aca="false">IF(parametros_recargas!$O$86=0,0,ROUNDUP('Demanda por puesto'!$P$176/(parametros_recargas!$O$86*$O$9),0))</f>
        <v>2</v>
      </c>
      <c r="H112" s="11" t="n">
        <f aca="false">IF(parametros_recargas!$O$86=0,0,ROUNDUP('Demanda por puesto'!$P$208/(parametros_recargas!$O$86*$O$9),0))</f>
        <v>3</v>
      </c>
      <c r="I112" s="11" t="n">
        <f aca="false">IF(parametros_recargas!$O$86=0,0,ROUNDUP('Demanda por puesto'!$P$240/(parametros_recargas!$O$86*$O$9),0))</f>
        <v>3</v>
      </c>
      <c r="J112" s="11" t="n">
        <f aca="false">IF(parametros_recargas!$O$86=0,0,ROUNDUP('Demanda por puesto'!$P$272/(parametros_recargas!$O$86*$O$9),0))</f>
        <v>3</v>
      </c>
      <c r="K112" s="11" t="n">
        <f aca="false">IF(parametros_recargas!$O$86=0,0,ROUNDUP('Demanda por puesto'!$P$304/(parametros_recargas!$O$86*$O$9),0))</f>
        <v>3</v>
      </c>
    </row>
    <row r="113" customFormat="false" ht="15" hidden="false" customHeight="false" outlineLevel="0" collapsed="false">
      <c r="A113" s="9" t="str">
        <f aca="false">parametros_recargas!$B$87</f>
        <v>Carga de polvo ABC</v>
      </c>
      <c r="B113" s="11" t="n">
        <f aca="false">IF(parametros_recargas!$O$87=0,0,ROUNDUP('Demanda por puesto'!$P$17/(parametros_recargas!$O$87*$O$9),0))</f>
        <v>1</v>
      </c>
      <c r="C113" s="11" t="n">
        <f aca="false">IF(parametros_recargas!$O$87=0,0,ROUNDUP('Demanda por puesto'!$P$49/(parametros_recargas!$O$87*$O$9),0))</f>
        <v>1</v>
      </c>
      <c r="D113" s="11" t="n">
        <f aca="false">IF(parametros_recargas!$O$87=0,0,ROUNDUP('Demanda por puesto'!$P$81/(parametros_recargas!$O$87*$O$9),0))</f>
        <v>1</v>
      </c>
      <c r="E113" s="11" t="n">
        <f aca="false">IF(parametros_recargas!$O$87=0,0,ROUNDUP('Demanda por puesto'!$P$113/(parametros_recargas!$O$87*$O$9),0))</f>
        <v>2</v>
      </c>
      <c r="F113" s="11" t="n">
        <f aca="false">IF(parametros_recargas!$O$87=0,0,ROUNDUP('Demanda por puesto'!$P$145/(parametros_recargas!$O$87*$O$9),0))</f>
        <v>2</v>
      </c>
      <c r="G113" s="11" t="n">
        <f aca="false">IF(parametros_recargas!$O$87=0,0,ROUNDUP('Demanda por puesto'!$P$177/(parametros_recargas!$O$87*$O$9),0))</f>
        <v>3</v>
      </c>
      <c r="H113" s="11" t="n">
        <f aca="false">IF(parametros_recargas!$O$87=0,0,ROUNDUP('Demanda por puesto'!$P$209/(parametros_recargas!$O$87*$O$9),0))</f>
        <v>3</v>
      </c>
      <c r="I113" s="11" t="n">
        <f aca="false">IF(parametros_recargas!$O$87=0,0,ROUNDUP('Demanda por puesto'!$P$241/(parametros_recargas!$O$87*$O$9),0))</f>
        <v>3</v>
      </c>
      <c r="J113" s="11" t="n">
        <f aca="false">IF(parametros_recargas!$O$87=0,0,ROUNDUP('Demanda por puesto'!$P$273/(parametros_recargas!$O$87*$O$9),0))</f>
        <v>4</v>
      </c>
      <c r="K113" s="11" t="n">
        <f aca="false">IF(parametros_recargas!$O$87=0,0,ROUNDUP('Demanda por puesto'!$P$305/(parametros_recargas!$O$87*$O$9),0))</f>
        <v>4</v>
      </c>
    </row>
    <row r="114" customFormat="false" ht="15" hidden="false" customHeight="false" outlineLevel="0" collapsed="false">
      <c r="A114" s="9" t="str">
        <f aca="false">parametros_recargas!$B$88</f>
        <v>Carga de polvo BC</v>
      </c>
      <c r="B114" s="11" t="n">
        <f aca="false">IF(parametros_recargas!$O$88=0,0,ROUNDUP('Demanda por puesto'!$P$18/(parametros_recargas!$O$88*$O$9),0))</f>
        <v>1</v>
      </c>
      <c r="C114" s="11" t="n">
        <f aca="false">IF(parametros_recargas!$O$88=0,0,ROUNDUP('Demanda por puesto'!$P$50/(parametros_recargas!$O$88*$O$9),0))</f>
        <v>1</v>
      </c>
      <c r="D114" s="11" t="n">
        <f aca="false">IF(parametros_recargas!$O$88=0,0,ROUNDUP('Demanda por puesto'!$P$82/(parametros_recargas!$O$88*$O$9),0))</f>
        <v>1</v>
      </c>
      <c r="E114" s="11" t="n">
        <f aca="false">IF(parametros_recargas!$O$88=0,0,ROUNDUP('Demanda por puesto'!$P$114/(parametros_recargas!$O$88*$O$9),0))</f>
        <v>1</v>
      </c>
      <c r="F114" s="11" t="n">
        <f aca="false">IF(parametros_recargas!$O$88=0,0,ROUNDUP('Demanda por puesto'!$P$146/(parametros_recargas!$O$88*$O$9),0))</f>
        <v>1</v>
      </c>
      <c r="G114" s="11" t="n">
        <f aca="false">IF(parametros_recargas!$O$88=0,0,ROUNDUP('Demanda por puesto'!$P$178/(parametros_recargas!$O$88*$O$9),0))</f>
        <v>1</v>
      </c>
      <c r="H114" s="11" t="n">
        <f aca="false">IF(parametros_recargas!$O$88=0,0,ROUNDUP('Demanda por puesto'!$P$210/(parametros_recargas!$O$88*$O$9),0))</f>
        <v>1</v>
      </c>
      <c r="I114" s="11" t="n">
        <f aca="false">IF(parametros_recargas!$O$88=0,0,ROUNDUP('Demanda por puesto'!$P$242/(parametros_recargas!$O$88*$O$9),0))</f>
        <v>1</v>
      </c>
      <c r="J114" s="11" t="n">
        <f aca="false">IF(parametros_recargas!$O$88=0,0,ROUNDUP('Demanda por puesto'!$P$274/(parametros_recargas!$O$88*$O$9),0))</f>
        <v>1</v>
      </c>
      <c r="K114" s="11" t="n">
        <f aca="false">IF(parametros_recargas!$O$88=0,0,ROUNDUP('Demanda por puesto'!$P$306/(parametros_recargas!$O$88*$O$9),0))</f>
        <v>1</v>
      </c>
    </row>
    <row r="115" customFormat="false" ht="15" hidden="false" customHeight="false" outlineLevel="0" collapsed="false">
      <c r="A115" s="9" t="str">
        <f aca="false">parametros_recargas!$B$89</f>
        <v>Descarga y carga Clase D</v>
      </c>
      <c r="B115" s="11" t="n">
        <f aca="false">IF(parametros_recargas!$O$89=0,0,ROUNDUP('Demanda por puesto'!$P$19/(parametros_recargas!$O$89*$O$9),0))</f>
        <v>1</v>
      </c>
      <c r="C115" s="11" t="n">
        <f aca="false">IF(parametros_recargas!$O$89=0,0,ROUNDUP('Demanda por puesto'!$P$51/(parametros_recargas!$O$89*$O$9),0))</f>
        <v>1</v>
      </c>
      <c r="D115" s="11" t="n">
        <f aca="false">IF(parametros_recargas!$O$89=0,0,ROUNDUP('Demanda por puesto'!$P$83/(parametros_recargas!$O$89*$O$9),0))</f>
        <v>1</v>
      </c>
      <c r="E115" s="11" t="n">
        <f aca="false">IF(parametros_recargas!$O$89=0,0,ROUNDUP('Demanda por puesto'!$P$115/(parametros_recargas!$O$89*$O$9),0))</f>
        <v>1</v>
      </c>
      <c r="F115" s="11" t="n">
        <f aca="false">IF(parametros_recargas!$O$89=0,0,ROUNDUP('Demanda por puesto'!$P$147/(parametros_recargas!$O$89*$O$9),0))</f>
        <v>1</v>
      </c>
      <c r="G115" s="11" t="n">
        <f aca="false">IF(parametros_recargas!$O$89=0,0,ROUNDUP('Demanda por puesto'!$P$179/(parametros_recargas!$O$89*$O$9),0))</f>
        <v>1</v>
      </c>
      <c r="H115" s="11" t="n">
        <f aca="false">IF(parametros_recargas!$O$89=0,0,ROUNDUP('Demanda por puesto'!$P$211/(parametros_recargas!$O$89*$O$9),0))</f>
        <v>1</v>
      </c>
      <c r="I115" s="11" t="n">
        <f aca="false">IF(parametros_recargas!$O$89=0,0,ROUNDUP('Demanda por puesto'!$P$243/(parametros_recargas!$O$89*$O$9),0))</f>
        <v>1</v>
      </c>
      <c r="J115" s="11" t="n">
        <f aca="false">IF(parametros_recargas!$O$89=0,0,ROUNDUP('Demanda por puesto'!$P$275/(parametros_recargas!$O$89*$O$9),0))</f>
        <v>1</v>
      </c>
      <c r="K115" s="11" t="n">
        <f aca="false">IF(parametros_recargas!$O$89=0,0,ROUNDUP('Demanda por puesto'!$P$307/(parametros_recargas!$O$89*$O$9),0))</f>
        <v>1</v>
      </c>
    </row>
    <row r="116" customFormat="false" ht="15" hidden="false" customHeight="false" outlineLevel="0" collapsed="false">
      <c r="A116" s="9" t="str">
        <f aca="false">parametros_recargas!$B$90</f>
        <v>Carga de agua / AFFF / sales K</v>
      </c>
      <c r="B116" s="11" t="n">
        <f aca="false">IF(parametros_recargas!$O$90=0,0,ROUNDUP('Demanda por puesto'!$P$20/(parametros_recargas!$O$90*$O$9),0))</f>
        <v>1</v>
      </c>
      <c r="C116" s="11" t="n">
        <f aca="false">IF(parametros_recargas!$O$90=0,0,ROUNDUP('Demanda por puesto'!$P$52/(parametros_recargas!$O$90*$O$9),0))</f>
        <v>1</v>
      </c>
      <c r="D116" s="11" t="n">
        <f aca="false">IF(parametros_recargas!$O$90=0,0,ROUNDUP('Demanda por puesto'!$P$84/(parametros_recargas!$O$90*$O$9),0))</f>
        <v>1</v>
      </c>
      <c r="E116" s="11" t="n">
        <f aca="false">IF(parametros_recargas!$O$90=0,0,ROUNDUP('Demanda por puesto'!$P$116/(parametros_recargas!$O$90*$O$9),0))</f>
        <v>1</v>
      </c>
      <c r="F116" s="11" t="n">
        <f aca="false">IF(parametros_recargas!$O$90=0,0,ROUNDUP('Demanda por puesto'!$P$148/(parametros_recargas!$O$90*$O$9),0))</f>
        <v>1</v>
      </c>
      <c r="G116" s="11" t="n">
        <f aca="false">IF(parametros_recargas!$O$90=0,0,ROUNDUP('Demanda por puesto'!$P$180/(parametros_recargas!$O$90*$O$9),0))</f>
        <v>1</v>
      </c>
      <c r="H116" s="11" t="n">
        <f aca="false">IF(parametros_recargas!$O$90=0,0,ROUNDUP('Demanda por puesto'!$P$212/(parametros_recargas!$O$90*$O$9),0))</f>
        <v>1</v>
      </c>
      <c r="I116" s="11" t="n">
        <f aca="false">IF(parametros_recargas!$O$90=0,0,ROUNDUP('Demanda por puesto'!$P$244/(parametros_recargas!$O$90*$O$9),0))</f>
        <v>1</v>
      </c>
      <c r="J116" s="11" t="n">
        <f aca="false">IF(parametros_recargas!$O$90=0,0,ROUNDUP('Demanda por puesto'!$P$276/(parametros_recargas!$O$90*$O$9),0))</f>
        <v>1</v>
      </c>
      <c r="K116" s="11" t="n">
        <f aca="false">IF(parametros_recargas!$O$90=0,0,ROUNDUP('Demanda por puesto'!$P$308/(parametros_recargas!$O$90*$O$9),0))</f>
        <v>1</v>
      </c>
    </row>
    <row r="117" customFormat="false" ht="15" hidden="false" customHeight="false" outlineLevel="0" collapsed="false">
      <c r="A117" s="9" t="str">
        <f aca="false">parametros_recargas!$B$91</f>
        <v>Carga de CO₂</v>
      </c>
      <c r="B117" s="11" t="n">
        <f aca="false">IF(parametros_recargas!$O$91=0,0,ROUNDUP('Demanda por puesto'!$P$21/(parametros_recargas!$O$91*$O$9),0))</f>
        <v>1</v>
      </c>
      <c r="C117" s="11" t="n">
        <f aca="false">IF(parametros_recargas!$O$91=0,0,ROUNDUP('Demanda por puesto'!$P$53/(parametros_recargas!$O$91*$O$9),0))</f>
        <v>1</v>
      </c>
      <c r="D117" s="11" t="n">
        <f aca="false">IF(parametros_recargas!$O$91=0,0,ROUNDUP('Demanda por puesto'!$P$85/(parametros_recargas!$O$91*$O$9),0))</f>
        <v>1</v>
      </c>
      <c r="E117" s="11" t="n">
        <f aca="false">IF(parametros_recargas!$O$91=0,0,ROUNDUP('Demanda por puesto'!$P$117/(parametros_recargas!$O$91*$O$9),0))</f>
        <v>1</v>
      </c>
      <c r="F117" s="11" t="n">
        <f aca="false">IF(parametros_recargas!$O$91=0,0,ROUNDUP('Demanda por puesto'!$P$149/(parametros_recargas!$O$91*$O$9),0))</f>
        <v>1</v>
      </c>
      <c r="G117" s="11" t="n">
        <f aca="false">IF(parametros_recargas!$O$91=0,0,ROUNDUP('Demanda por puesto'!$P$181/(parametros_recargas!$O$91*$O$9),0))</f>
        <v>1</v>
      </c>
      <c r="H117" s="11" t="n">
        <f aca="false">IF(parametros_recargas!$O$91=0,0,ROUNDUP('Demanda por puesto'!$P$213/(parametros_recargas!$O$91*$O$9),0))</f>
        <v>1</v>
      </c>
      <c r="I117" s="11" t="n">
        <f aca="false">IF(parametros_recargas!$O$91=0,0,ROUNDUP('Demanda por puesto'!$P$245/(parametros_recargas!$O$91*$O$9),0))</f>
        <v>1</v>
      </c>
      <c r="J117" s="11" t="n">
        <f aca="false">IF(parametros_recargas!$O$91=0,0,ROUNDUP('Demanda por puesto'!$P$277/(parametros_recargas!$O$91*$O$9),0))</f>
        <v>1</v>
      </c>
      <c r="K117" s="11" t="n">
        <f aca="false">IF(parametros_recargas!$O$91=0,0,ROUNDUP('Demanda por puesto'!$P$309/(parametros_recargas!$O$91*$O$9),0))</f>
        <v>1</v>
      </c>
    </row>
    <row r="118" customFormat="false" ht="15" hidden="false" customHeight="false" outlineLevel="0" collapsed="false">
      <c r="A118" s="9" t="str">
        <f aca="false">parametros_recargas!$B$92</f>
        <v>Ensamblaje y marbete — recinto</v>
      </c>
      <c r="B118" s="11" t="n">
        <f aca="false">IF(parametros_recargas!$O$92=0,0,ROUNDUP('Demanda por puesto'!$P$22/(parametros_recargas!$O$92*$O$9),0))</f>
        <v>1</v>
      </c>
      <c r="C118" s="11" t="n">
        <f aca="false">IF(parametros_recargas!$O$92=0,0,ROUNDUP('Demanda por puesto'!$P$54/(parametros_recargas!$O$92*$O$9),0))</f>
        <v>1</v>
      </c>
      <c r="D118" s="11" t="n">
        <f aca="false">IF(parametros_recargas!$O$92=0,0,ROUNDUP('Demanda por puesto'!$P$86/(parametros_recargas!$O$92*$O$9),0))</f>
        <v>1</v>
      </c>
      <c r="E118" s="11" t="n">
        <f aca="false">IF(parametros_recargas!$O$92=0,0,ROUNDUP('Demanda por puesto'!$P$118/(parametros_recargas!$O$92*$O$9),0))</f>
        <v>2</v>
      </c>
      <c r="F118" s="11" t="n">
        <f aca="false">IF(parametros_recargas!$O$92=0,0,ROUNDUP('Demanda por puesto'!$P$150/(parametros_recargas!$O$92*$O$9),0))</f>
        <v>2</v>
      </c>
      <c r="G118" s="11" t="n">
        <f aca="false">IF(parametros_recargas!$O$92=0,0,ROUNDUP('Demanda por puesto'!$P$182/(parametros_recargas!$O$92*$O$9),0))</f>
        <v>3</v>
      </c>
      <c r="H118" s="11" t="n">
        <f aca="false">IF(parametros_recargas!$O$92=0,0,ROUNDUP('Demanda por puesto'!$P$214/(parametros_recargas!$O$92*$O$9),0))</f>
        <v>3</v>
      </c>
      <c r="I118" s="11" t="n">
        <f aca="false">IF(parametros_recargas!$O$92=0,0,ROUNDUP('Demanda por puesto'!$P$246/(parametros_recargas!$O$92*$O$9),0))</f>
        <v>4</v>
      </c>
      <c r="J118" s="11" t="n">
        <f aca="false">IF(parametros_recargas!$O$92=0,0,ROUNDUP('Demanda por puesto'!$P$278/(parametros_recargas!$O$92*$O$9),0))</f>
        <v>4</v>
      </c>
      <c r="K118" s="11" t="n">
        <f aca="false">IF(parametros_recargas!$O$92=0,0,ROUNDUP('Demanda por puesto'!$P$310/(parametros_recargas!$O$92*$O$9),0))</f>
        <v>4</v>
      </c>
    </row>
    <row r="119" customFormat="false" ht="15" hidden="false" customHeight="false" outlineLevel="0" collapsed="false">
      <c r="A119" s="9" t="str">
        <f aca="false">parametros_recargas!$B$93</f>
        <v>Presurización — recinto</v>
      </c>
      <c r="B119" s="11" t="n">
        <f aca="false">IF(parametros_recargas!$O$93=0,0,ROUNDUP('Demanda por puesto'!$P$23/(parametros_recargas!$O$93*$O$9),0))</f>
        <v>1</v>
      </c>
      <c r="C119" s="11" t="n">
        <f aca="false">IF(parametros_recargas!$O$93=0,0,ROUNDUP('Demanda por puesto'!$P$55/(parametros_recargas!$O$93*$O$9),0))</f>
        <v>1</v>
      </c>
      <c r="D119" s="11" t="n">
        <f aca="false">IF(parametros_recargas!$O$93=0,0,ROUNDUP('Demanda por puesto'!$P$87/(parametros_recargas!$O$93*$O$9),0))</f>
        <v>1</v>
      </c>
      <c r="E119" s="11" t="n">
        <f aca="false">IF(parametros_recargas!$O$93=0,0,ROUNDUP('Demanda por puesto'!$P$119/(parametros_recargas!$O$93*$O$9),0))</f>
        <v>1</v>
      </c>
      <c r="F119" s="11" t="n">
        <f aca="false">IF(parametros_recargas!$O$93=0,0,ROUNDUP('Demanda por puesto'!$P$151/(parametros_recargas!$O$93*$O$9),0))</f>
        <v>2</v>
      </c>
      <c r="G119" s="11" t="n">
        <f aca="false">IF(parametros_recargas!$O$93=0,0,ROUNDUP('Demanda por puesto'!$P$183/(parametros_recargas!$O$93*$O$9),0))</f>
        <v>2</v>
      </c>
      <c r="H119" s="11" t="n">
        <f aca="false">IF(parametros_recargas!$O$93=0,0,ROUNDUP('Demanda por puesto'!$P$215/(parametros_recargas!$O$93*$O$9),0))</f>
        <v>2</v>
      </c>
      <c r="I119" s="11" t="n">
        <f aca="false">IF(parametros_recargas!$O$93=0,0,ROUNDUP('Demanda por puesto'!$P$247/(parametros_recargas!$O$93*$O$9),0))</f>
        <v>3</v>
      </c>
      <c r="J119" s="11" t="n">
        <f aca="false">IF(parametros_recargas!$O$93=0,0,ROUNDUP('Demanda por puesto'!$P$279/(parametros_recargas!$O$93*$O$9),0))</f>
        <v>3</v>
      </c>
      <c r="K119" s="11" t="n">
        <f aca="false">IF(parametros_recargas!$O$93=0,0,ROUNDUP('Demanda por puesto'!$P$311/(parametros_recargas!$O$93*$O$9),0))</f>
        <v>3</v>
      </c>
    </row>
    <row r="120" customFormat="false" ht="15" hidden="false" customHeight="false" outlineLevel="0" collapsed="false">
      <c r="A120" s="9" t="str">
        <f aca="false">parametros_recargas!$B$94</f>
        <v>Ensamblaje y presurización — zona general</v>
      </c>
      <c r="B120" s="11" t="n">
        <f aca="false">IF(parametros_recargas!$O$94=0,0,ROUNDUP('Demanda por puesto'!$P$24/(parametros_recargas!$O$94*$O$9),0))</f>
        <v>1</v>
      </c>
      <c r="C120" s="11" t="n">
        <f aca="false">IF(parametros_recargas!$O$94=0,0,ROUNDUP('Demanda por puesto'!$P$56/(parametros_recargas!$O$94*$O$9),0))</f>
        <v>1</v>
      </c>
      <c r="D120" s="11" t="n">
        <f aca="false">IF(parametros_recargas!$O$94=0,0,ROUNDUP('Demanda por puesto'!$P$88/(parametros_recargas!$O$94*$O$9),0))</f>
        <v>1</v>
      </c>
      <c r="E120" s="11" t="n">
        <f aca="false">IF(parametros_recargas!$O$94=0,0,ROUNDUP('Demanda por puesto'!$P$120/(parametros_recargas!$O$94*$O$9),0))</f>
        <v>1</v>
      </c>
      <c r="F120" s="11" t="n">
        <f aca="false">IF(parametros_recargas!$O$94=0,0,ROUNDUP('Demanda por puesto'!$P$152/(parametros_recargas!$O$94*$O$9),0))</f>
        <v>1</v>
      </c>
      <c r="G120" s="11" t="n">
        <f aca="false">IF(parametros_recargas!$O$94=0,0,ROUNDUP('Demanda por puesto'!$P$184/(parametros_recargas!$O$94*$O$9),0))</f>
        <v>1</v>
      </c>
      <c r="H120" s="11" t="n">
        <f aca="false">IF(parametros_recargas!$O$94=0,0,ROUNDUP('Demanda por puesto'!$P$216/(parametros_recargas!$O$94*$O$9),0))</f>
        <v>1</v>
      </c>
      <c r="I120" s="11" t="n">
        <f aca="false">IF(parametros_recargas!$O$94=0,0,ROUNDUP('Demanda por puesto'!$P$248/(parametros_recargas!$O$94*$O$9),0))</f>
        <v>1</v>
      </c>
      <c r="J120" s="11" t="n">
        <f aca="false">IF(parametros_recargas!$O$94=0,0,ROUNDUP('Demanda por puesto'!$P$280/(parametros_recargas!$O$94*$O$9),0))</f>
        <v>1</v>
      </c>
      <c r="K120" s="11" t="n">
        <f aca="false">IF(parametros_recargas!$O$94=0,0,ROUNDUP('Demanda por puesto'!$P$312/(parametros_recargas!$O$94*$O$9),0))</f>
        <v>1</v>
      </c>
    </row>
    <row r="121" customFormat="false" ht="15" hidden="false" customHeight="false" outlineLevel="0" collapsed="false">
      <c r="A121" s="9" t="str">
        <f aca="false">parametros_recargas!$B$95</f>
        <v>Carga y presurización de halogenado</v>
      </c>
      <c r="B121" s="11" t="n">
        <f aca="false">IF(parametros_recargas!$O$95=0,0,ROUNDUP('Demanda por puesto'!$P$25/(parametros_recargas!$O$95*$O$9),0))</f>
        <v>1</v>
      </c>
      <c r="C121" s="11" t="n">
        <f aca="false">IF(parametros_recargas!$O$95=0,0,ROUNDUP('Demanda por puesto'!$P$57/(parametros_recargas!$O$95*$O$9),0))</f>
        <v>1</v>
      </c>
      <c r="D121" s="11" t="n">
        <f aca="false">IF(parametros_recargas!$O$95=0,0,ROUNDUP('Demanda por puesto'!$P$89/(parametros_recargas!$O$95*$O$9),0))</f>
        <v>1</v>
      </c>
      <c r="E121" s="11" t="n">
        <f aca="false">IF(parametros_recargas!$O$95=0,0,ROUNDUP('Demanda por puesto'!$P$121/(parametros_recargas!$O$95*$O$9),0))</f>
        <v>1</v>
      </c>
      <c r="F121" s="11" t="n">
        <f aca="false">IF(parametros_recargas!$O$95=0,0,ROUNDUP('Demanda por puesto'!$P$153/(parametros_recargas!$O$95*$O$9),0))</f>
        <v>1</v>
      </c>
      <c r="G121" s="11" t="n">
        <f aca="false">IF(parametros_recargas!$O$95=0,0,ROUNDUP('Demanda por puesto'!$P$185/(parametros_recargas!$O$95*$O$9),0))</f>
        <v>1</v>
      </c>
      <c r="H121" s="11" t="n">
        <f aca="false">IF(parametros_recargas!$O$95=0,0,ROUNDUP('Demanda por puesto'!$P$217/(parametros_recargas!$O$95*$O$9),0))</f>
        <v>1</v>
      </c>
      <c r="I121" s="11" t="n">
        <f aca="false">IF(parametros_recargas!$O$95=0,0,ROUNDUP('Demanda por puesto'!$P$249/(parametros_recargas!$O$95*$O$9),0))</f>
        <v>1</v>
      </c>
      <c r="J121" s="11" t="n">
        <f aca="false">IF(parametros_recargas!$O$95=0,0,ROUNDUP('Demanda por puesto'!$P$281/(parametros_recargas!$O$95*$O$9),0))</f>
        <v>1</v>
      </c>
      <c r="K121" s="11" t="n">
        <f aca="false">IF(parametros_recargas!$O$95=0,0,ROUNDUP('Demanda por puesto'!$P$313/(parametros_recargas!$O$95*$O$9),0))</f>
        <v>1</v>
      </c>
    </row>
    <row r="122" customFormat="false" ht="15" hidden="false" customHeight="false" outlineLevel="0" collapsed="false">
      <c r="A122" s="9" t="str">
        <f aca="false">parametros_recargas!$B$96</f>
        <v>Control de peso (CO₂ y halogenados sin recarga)</v>
      </c>
      <c r="B122" s="11" t="n">
        <f aca="false">IF(parametros_recargas!$O$96=0,0,ROUNDUP('Demanda por puesto'!$P$26/(parametros_recargas!$O$96*$O$9),0))</f>
        <v>1</v>
      </c>
      <c r="C122" s="11" t="n">
        <f aca="false">IF(parametros_recargas!$O$96=0,0,ROUNDUP('Demanda por puesto'!$P$58/(parametros_recargas!$O$96*$O$9),0))</f>
        <v>1</v>
      </c>
      <c r="D122" s="11" t="n">
        <f aca="false">IF(parametros_recargas!$O$96=0,0,ROUNDUP('Demanda por puesto'!$P$90/(parametros_recargas!$O$96*$O$9),0))</f>
        <v>1</v>
      </c>
      <c r="E122" s="11" t="n">
        <f aca="false">IF(parametros_recargas!$O$96=0,0,ROUNDUP('Demanda por puesto'!$P$122/(parametros_recargas!$O$96*$O$9),0))</f>
        <v>1</v>
      </c>
      <c r="F122" s="11" t="n">
        <f aca="false">IF(parametros_recargas!$O$96=0,0,ROUNDUP('Demanda por puesto'!$P$154/(parametros_recargas!$O$96*$O$9),0))</f>
        <v>1</v>
      </c>
      <c r="G122" s="11" t="n">
        <f aca="false">IF(parametros_recargas!$O$96=0,0,ROUNDUP('Demanda por puesto'!$P$186/(parametros_recargas!$O$96*$O$9),0))</f>
        <v>1</v>
      </c>
      <c r="H122" s="11" t="n">
        <f aca="false">IF(parametros_recargas!$O$96=0,0,ROUNDUP('Demanda por puesto'!$P$218/(parametros_recargas!$O$96*$O$9),0))</f>
        <v>1</v>
      </c>
      <c r="I122" s="11" t="n">
        <f aca="false">IF(parametros_recargas!$O$96=0,0,ROUNDUP('Demanda por puesto'!$P$250/(parametros_recargas!$O$96*$O$9),0))</f>
        <v>1</v>
      </c>
      <c r="J122" s="11" t="n">
        <f aca="false">IF(parametros_recargas!$O$96=0,0,ROUNDUP('Demanda por puesto'!$P$282/(parametros_recargas!$O$96*$O$9),0))</f>
        <v>1</v>
      </c>
      <c r="K122" s="11" t="n">
        <f aca="false">IF(parametros_recargas!$O$96=0,0,ROUNDUP('Demanda por puesto'!$P$314/(parametros_recargas!$O$96*$O$9),0))</f>
        <v>1</v>
      </c>
    </row>
    <row r="123" customFormat="false" ht="15" hidden="false" customHeight="false" outlineLevel="0" collapsed="false">
      <c r="A123" s="9" t="str">
        <f aca="false">parametros_recargas!$B$97</f>
        <v>Ensayo de pérdidas</v>
      </c>
      <c r="B123" s="11" t="n">
        <f aca="false">IF(parametros_recargas!$O$97=0,0,ROUNDUP('Demanda por puesto'!$P$27/(parametros_recargas!$O$97*$O$9),0))</f>
        <v>1</v>
      </c>
      <c r="C123" s="11" t="n">
        <f aca="false">IF(parametros_recargas!$O$97=0,0,ROUNDUP('Demanda por puesto'!$P$59/(parametros_recargas!$O$97*$O$9),0))</f>
        <v>1</v>
      </c>
      <c r="D123" s="11" t="n">
        <f aca="false">IF(parametros_recargas!$O$97=0,0,ROUNDUP('Demanda por puesto'!$P$91/(parametros_recargas!$O$97*$O$9),0))</f>
        <v>1</v>
      </c>
      <c r="E123" s="11" t="n">
        <f aca="false">IF(parametros_recargas!$O$97=0,0,ROUNDUP('Demanda por puesto'!$P$123/(parametros_recargas!$O$97*$O$9),0))</f>
        <v>1</v>
      </c>
      <c r="F123" s="11" t="n">
        <f aca="false">IF(parametros_recargas!$O$97=0,0,ROUNDUP('Demanda por puesto'!$P$155/(parametros_recargas!$O$97*$O$9),0))</f>
        <v>2</v>
      </c>
      <c r="G123" s="11" t="n">
        <f aca="false">IF(parametros_recargas!$O$97=0,0,ROUNDUP('Demanda por puesto'!$P$187/(parametros_recargas!$O$97*$O$9),0))</f>
        <v>2</v>
      </c>
      <c r="H123" s="11" t="n">
        <f aca="false">IF(parametros_recargas!$O$97=0,0,ROUNDUP('Demanda por puesto'!$P$219/(parametros_recargas!$O$97*$O$9),0))</f>
        <v>3</v>
      </c>
      <c r="I123" s="11" t="n">
        <f aca="false">IF(parametros_recargas!$O$97=0,0,ROUNDUP('Demanda por puesto'!$P$251/(parametros_recargas!$O$97*$O$9),0))</f>
        <v>3</v>
      </c>
      <c r="J123" s="11" t="n">
        <f aca="false">IF(parametros_recargas!$O$97=0,0,ROUNDUP('Demanda por puesto'!$P$283/(parametros_recargas!$O$97*$O$9),0))</f>
        <v>3</v>
      </c>
      <c r="K123" s="11" t="n">
        <f aca="false">IF(parametros_recargas!$O$97=0,0,ROUNDUP('Demanda por puesto'!$P$315/(parametros_recargas!$O$97*$O$9),0))</f>
        <v>3</v>
      </c>
    </row>
    <row r="124" customFormat="false" ht="15" hidden="false" customHeight="false" outlineLevel="0" collapsed="false">
      <c r="A124" s="9" t="str">
        <f aca="false">parametros_recargas!$B$98</f>
        <v>Precinto, etiqueta y despacho</v>
      </c>
      <c r="B124" s="11" t="n">
        <f aca="false">IF(parametros_recargas!$O$98=0,0,ROUNDUP('Demanda por puesto'!$P$28/(parametros_recargas!$O$98*$O$9),0))</f>
        <v>1</v>
      </c>
      <c r="C124" s="11" t="n">
        <f aca="false">IF(parametros_recargas!$O$98=0,0,ROUNDUP('Demanda por puesto'!$P$60/(parametros_recargas!$O$98*$O$9),0))</f>
        <v>1</v>
      </c>
      <c r="D124" s="11" t="n">
        <f aca="false">IF(parametros_recargas!$O$98=0,0,ROUNDUP('Demanda por puesto'!$P$92/(parametros_recargas!$O$98*$O$9),0))</f>
        <v>1</v>
      </c>
      <c r="E124" s="11" t="n">
        <f aca="false">IF(parametros_recargas!$O$98=0,0,ROUNDUP('Demanda por puesto'!$P$124/(parametros_recargas!$O$98*$O$9),0))</f>
        <v>1</v>
      </c>
      <c r="F124" s="11" t="n">
        <f aca="false">IF(parametros_recargas!$O$98=0,0,ROUNDUP('Demanda por puesto'!$P$156/(parametros_recargas!$O$98*$O$9),0))</f>
        <v>2</v>
      </c>
      <c r="G124" s="11" t="n">
        <f aca="false">IF(parametros_recargas!$O$98=0,0,ROUNDUP('Demanda por puesto'!$P$188/(parametros_recargas!$O$98*$O$9),0))</f>
        <v>2</v>
      </c>
      <c r="H124" s="11" t="n">
        <f aca="false">IF(parametros_recargas!$O$98=0,0,ROUNDUP('Demanda por puesto'!$P$220/(parametros_recargas!$O$98*$O$9),0))</f>
        <v>3</v>
      </c>
      <c r="I124" s="11" t="n">
        <f aca="false">IF(parametros_recargas!$O$98=0,0,ROUNDUP('Demanda por puesto'!$P$252/(parametros_recargas!$O$98*$O$9),0))</f>
        <v>3</v>
      </c>
      <c r="J124" s="11" t="n">
        <f aca="false">IF(parametros_recargas!$O$98=0,0,ROUNDUP('Demanda por puesto'!$P$284/(parametros_recargas!$O$98*$O$9),0))</f>
        <v>3</v>
      </c>
      <c r="K124" s="11" t="n">
        <f aca="false">IF(parametros_recargas!$O$98=0,0,ROUNDUP('Demanda por puesto'!$P$316/(parametros_recargas!$O$98*$O$9),0))</f>
        <v>4</v>
      </c>
    </row>
    <row r="125" customFormat="false" ht="15" hidden="false" customHeight="false" outlineLevel="0" collapsed="false">
      <c r="A125" s="9" t="str">
        <f aca="false">parametros_recargas!$B$99</f>
        <v>Inutilización y disposición final</v>
      </c>
      <c r="B125" s="11" t="n">
        <f aca="false">IF(parametros_recargas!$O$99=0,0,ROUNDUP('Demanda por puesto'!$P$29/(parametros_recargas!$O$99*$O$9),0))</f>
        <v>1</v>
      </c>
      <c r="C125" s="11" t="n">
        <f aca="false">IF(parametros_recargas!$O$99=0,0,ROUNDUP('Demanda por puesto'!$P$61/(parametros_recargas!$O$99*$O$9),0))</f>
        <v>1</v>
      </c>
      <c r="D125" s="11" t="n">
        <f aca="false">IF(parametros_recargas!$O$99=0,0,ROUNDUP('Demanda por puesto'!$P$93/(parametros_recargas!$O$99*$O$9),0))</f>
        <v>1</v>
      </c>
      <c r="E125" s="11" t="n">
        <f aca="false">IF(parametros_recargas!$O$99=0,0,ROUNDUP('Demanda por puesto'!$P$125/(parametros_recargas!$O$99*$O$9),0))</f>
        <v>1</v>
      </c>
      <c r="F125" s="11" t="n">
        <f aca="false">IF(parametros_recargas!$O$99=0,0,ROUNDUP('Demanda por puesto'!$P$157/(parametros_recargas!$O$99*$O$9),0))</f>
        <v>1</v>
      </c>
      <c r="G125" s="11" t="n">
        <f aca="false">IF(parametros_recargas!$O$99=0,0,ROUNDUP('Demanda por puesto'!$P$189/(parametros_recargas!$O$99*$O$9),0))</f>
        <v>1</v>
      </c>
      <c r="H125" s="11" t="n">
        <f aca="false">IF(parametros_recargas!$O$99=0,0,ROUNDUP('Demanda por puesto'!$P$221/(parametros_recargas!$O$99*$O$9),0))</f>
        <v>1</v>
      </c>
      <c r="I125" s="11" t="n">
        <f aca="false">IF(parametros_recargas!$O$99=0,0,ROUNDUP('Demanda por puesto'!$P$253/(parametros_recargas!$O$99*$O$9),0))</f>
        <v>1</v>
      </c>
      <c r="J125" s="11" t="n">
        <f aca="false">IF(parametros_recargas!$O$99=0,0,ROUNDUP('Demanda por puesto'!$P$285/(parametros_recargas!$O$99*$O$9),0))</f>
        <v>2</v>
      </c>
      <c r="K125" s="11" t="n">
        <f aca="false">IF(parametros_recargas!$O$99=0,0,ROUNDUP('Demanda por puesto'!$P$317/(parametros_recargas!$O$99*$O$9),0))</f>
        <v>2</v>
      </c>
    </row>
    <row r="126" customFormat="false" ht="15" hidden="false" customHeight="false" outlineLevel="0" collapsed="false">
      <c r="A126" s="9" t="str">
        <f aca="false">parametros_recargas!$B$100</f>
        <v>PH de mangueras (CO₂ y rodantes)</v>
      </c>
      <c r="B126" s="11" t="n">
        <f aca="false">IF(parametros_recargas!$O$100=0,0,ROUNDUP('Demanda por puesto'!$P$30/(parametros_recargas!$O$100*$O$9),0))</f>
        <v>1</v>
      </c>
      <c r="C126" s="11" t="n">
        <f aca="false">IF(parametros_recargas!$O$100=0,0,ROUNDUP('Demanda por puesto'!$P$62/(parametros_recargas!$O$100*$O$9),0))</f>
        <v>1</v>
      </c>
      <c r="D126" s="11" t="n">
        <f aca="false">IF(parametros_recargas!$O$100=0,0,ROUNDUP('Demanda por puesto'!$P$94/(parametros_recargas!$O$100*$O$9),0))</f>
        <v>1</v>
      </c>
      <c r="E126" s="11" t="n">
        <f aca="false">IF(parametros_recargas!$O$100=0,0,ROUNDUP('Demanda por puesto'!$P$126/(parametros_recargas!$O$100*$O$9),0))</f>
        <v>1</v>
      </c>
      <c r="F126" s="11" t="n">
        <f aca="false">IF(parametros_recargas!$O$100=0,0,ROUNDUP('Demanda por puesto'!$P$158/(parametros_recargas!$O$100*$O$9),0))</f>
        <v>1</v>
      </c>
      <c r="G126" s="11" t="n">
        <f aca="false">IF(parametros_recargas!$O$100=0,0,ROUNDUP('Demanda por puesto'!$P$190/(parametros_recargas!$O$100*$O$9),0))</f>
        <v>1</v>
      </c>
      <c r="H126" s="11" t="n">
        <f aca="false">IF(parametros_recargas!$O$100=0,0,ROUNDUP('Demanda por puesto'!$P$222/(parametros_recargas!$O$100*$O$9),0))</f>
        <v>1</v>
      </c>
      <c r="I126" s="11" t="n">
        <f aca="false">IF(parametros_recargas!$O$100=0,0,ROUNDUP('Demanda por puesto'!$P$254/(parametros_recargas!$O$100*$O$9),0))</f>
        <v>1</v>
      </c>
      <c r="J126" s="11" t="n">
        <f aca="false">IF(parametros_recargas!$O$100=0,0,ROUNDUP('Demanda por puesto'!$P$286/(parametros_recargas!$O$100*$O$9),0))</f>
        <v>1</v>
      </c>
      <c r="K126" s="11" t="n">
        <f aca="false">IF(parametros_recargas!$O$100=0,0,ROUNDUP('Demanda por puesto'!$P$318/(parametros_recargas!$O$100*$O$9),0))</f>
        <v>1</v>
      </c>
    </row>
    <row r="127" customFormat="false" ht="15" hidden="false" customHeight="false" outlineLevel="0" collapsed="false">
      <c r="A127" s="4" t="s">
        <v>396</v>
      </c>
      <c r="B127" s="13" t="n">
        <f aca="false">SUM(B98:B126)</f>
        <v>29</v>
      </c>
      <c r="C127" s="13" t="n">
        <f aca="false">SUM(C98:C126)</f>
        <v>29</v>
      </c>
      <c r="D127" s="13" t="n">
        <f aca="false">SUM(D98:D126)</f>
        <v>29</v>
      </c>
      <c r="E127" s="13" t="n">
        <f aca="false">SUM(E98:E126)</f>
        <v>32</v>
      </c>
      <c r="F127" s="13" t="n">
        <f aca="false">SUM(F98:F126)</f>
        <v>40</v>
      </c>
      <c r="G127" s="13" t="n">
        <f aca="false">SUM(G98:G126)</f>
        <v>43</v>
      </c>
      <c r="H127" s="13" t="n">
        <f aca="false">SUM(H98:H126)</f>
        <v>49</v>
      </c>
      <c r="I127" s="13" t="n">
        <f aca="false">SUM(I98:I126)</f>
        <v>52</v>
      </c>
      <c r="J127" s="13" t="n">
        <f aca="false">SUM(J98:J126)</f>
        <v>56</v>
      </c>
      <c r="K127" s="13" t="n">
        <f aca="false">SUM(K98:K126)</f>
        <v>58</v>
      </c>
    </row>
    <row r="129" customFormat="false" ht="15" hidden="false" customHeight="false" outlineLevel="0" collapsed="false">
      <c r="A129" s="3" t="s">
        <v>397</v>
      </c>
      <c r="B129" s="3" t="n">
        <v>2026</v>
      </c>
      <c r="C129" s="3" t="n">
        <v>2027</v>
      </c>
      <c r="D129" s="3" t="n">
        <v>2028</v>
      </c>
      <c r="E129" s="3" t="n">
        <v>2029</v>
      </c>
      <c r="F129" s="3" t="n">
        <v>2030</v>
      </c>
      <c r="G129" s="3" t="n">
        <v>2031</v>
      </c>
      <c r="H129" s="3" t="n">
        <v>2032</v>
      </c>
      <c r="I129" s="3" t="n">
        <v>2033</v>
      </c>
      <c r="J129" s="3" t="n">
        <v>2034</v>
      </c>
      <c r="K129" s="3" t="n">
        <v>2035</v>
      </c>
    </row>
    <row r="130" customFormat="false" ht="15" hidden="false" customHeight="false" outlineLevel="0" collapsed="false">
      <c r="A130" s="9" t="str">
        <f aca="false">parametros_recargas!$B$72</f>
        <v>Recepción y registro</v>
      </c>
      <c r="B130" s="9" t="str">
        <f aca="false">IF('Demanda por puesto'!$P$2=0,"—",IF(parametros_recargas!$O$72=0,$N$7,IF(B2&lt;=$O$9,$N$2,IF(parametros_recargas!$D$72="Tercerizado",$N$6,IF(B$129&lt;$O$11,IF(parametros_recargas!$D$72="Manual",$N$5,$N$4),IF(B66&lt;$O$10,$N$3,IF(B2&lt;=1,$N$7,IF(parametros_recargas!$D$72="Manual",$N$5,$N$4))))))))</f>
        <v>OK</v>
      </c>
      <c r="C130" s="9" t="str">
        <f aca="false">IF('Demanda por puesto'!$P$34=0,"—",IF(parametros_recargas!$O$72=0,$N$7,IF(C2&lt;=$O$9,$N$2,IF(parametros_recargas!$D$72="Tercerizado",$N$6,IF(C$129&lt;$O$11,IF(parametros_recargas!$D$72="Manual",$N$5,$N$4),IF(C66&lt;$O$10,$N$3,IF(C2&lt;=1,$N$7,IF(parametros_recargas!$D$72="Manual",$N$5,$N$4))))))))</f>
        <v>OK</v>
      </c>
      <c r="D130" s="9" t="str">
        <f aca="false">IF('Demanda por puesto'!$P$66=0,"—",IF(parametros_recargas!$O$72=0,$N$7,IF(D2&lt;=$O$9,$N$2,IF(parametros_recargas!$D$72="Tercerizado",$N$6,IF(D$129&lt;$O$11,IF(parametros_recargas!$D$72="Manual",$N$5,$N$4),IF(D66&lt;$O$10,$N$3,IF(D2&lt;=1,$N$7,IF(parametros_recargas!$D$72="Manual",$N$5,$N$4))))))))</f>
        <v>OK</v>
      </c>
      <c r="E130" s="9" t="str">
        <f aca="false">IF('Demanda por puesto'!$P$98=0,"—",IF(parametros_recargas!$O$72=0,$N$7,IF(E2&lt;=$O$9,$N$2,IF(parametros_recargas!$D$72="Tercerizado",$N$6,IF(E$129&lt;$O$11,IF(parametros_recargas!$D$72="Manual",$N$5,$N$4),IF(E66&lt;$O$10,$N$3,IF(E2&lt;=1,$N$7,IF(parametros_recargas!$D$72="Manual",$N$5,$N$4))))))))</f>
        <v>OK</v>
      </c>
      <c r="F130" s="9" t="str">
        <f aca="false">IF('Demanda por puesto'!$P$130=0,"—",IF(parametros_recargas!$O$72=0,$N$7,IF(F2&lt;=$O$9,$N$2,IF(parametros_recargas!$D$72="Tercerizado",$N$6,IF(F$129&lt;$O$11,IF(parametros_recargas!$D$72="Manual",$N$5,$N$4),IF(F66&lt;$O$10,$N$3,IF(F2&lt;=1,$N$7,IF(parametros_recargas!$D$72="Manual",$N$5,$N$4))))))))</f>
        <v>OK</v>
      </c>
      <c r="G130" s="9" t="str">
        <f aca="false">IF('Demanda por puesto'!$P$162=0,"—",IF(parametros_recargas!$O$72=0,$N$7,IF(G2&lt;=$O$9,$N$2,IF(parametros_recargas!$D$72="Tercerizado",$N$6,IF(G$129&lt;$O$11,IF(parametros_recargas!$D$72="Manual",$N$5,$N$4),IF(G66&lt;$O$10,$N$3,IF(G2&lt;=1,$N$7,IF(parametros_recargas!$D$72="Manual",$N$5,$N$4))))))))</f>
        <v>OK</v>
      </c>
      <c r="H130" s="9" t="str">
        <f aca="false">IF('Demanda por puesto'!$P$194=0,"—",IF(parametros_recargas!$O$72=0,$N$7,IF(H2&lt;=$O$9,$N$2,IF(parametros_recargas!$D$72="Tercerizado",$N$6,IF(H$129&lt;$O$11,IF(parametros_recargas!$D$72="Manual",$N$5,$N$4),IF(H66&lt;$O$10,$N$3,IF(H2&lt;=1,$N$7,IF(parametros_recargas!$D$72="Manual",$N$5,$N$4))))))))</f>
        <v>OK</v>
      </c>
      <c r="I130" s="9" t="str">
        <f aca="false">IF('Demanda por puesto'!$P$226=0,"—",IF(parametros_recargas!$O$72=0,$N$7,IF(I2&lt;=$O$9,$N$2,IF(parametros_recargas!$D$72="Tercerizado",$N$6,IF(I$129&lt;$O$11,IF(parametros_recargas!$D$72="Manual",$N$5,$N$4),IF(I66&lt;$O$10,$N$3,IF(I2&lt;=1,$N$7,IF(parametros_recargas!$D$72="Manual",$N$5,$N$4))))))))</f>
        <v>OK</v>
      </c>
      <c r="J130" s="9" t="str">
        <f aca="false">IF('Demanda por puesto'!$P$258=0,"—",IF(parametros_recargas!$O$72=0,$N$7,IF(J2&lt;=$O$9,$N$2,IF(parametros_recargas!$D$72="Tercerizado",$N$6,IF(J$129&lt;$O$11,IF(parametros_recargas!$D$72="Manual",$N$5,$N$4),IF(J66&lt;$O$10,$N$3,IF(J2&lt;=1,$N$7,IF(parametros_recargas!$D$72="Manual",$N$5,$N$4))))))))</f>
        <v>OK</v>
      </c>
      <c r="K130" s="9" t="str">
        <f aca="false">IF('Demanda por puesto'!$P$290=0,"—",IF(parametros_recargas!$O$72=0,$N$7,IF(K2&lt;=$O$9,$N$2,IF(parametros_recargas!$D$72="Tercerizado",$N$6,IF(K$129&lt;$O$11,IF(parametros_recargas!$D$72="Manual",$N$5,$N$4),IF(K66&lt;$O$10,$N$3,IF(K2&lt;=1,$N$7,IF(parametros_recargas!$D$72="Manual",$N$5,$N$4))))))))</f>
        <v>OK</v>
      </c>
    </row>
    <row r="131" customFormat="false" ht="15" hidden="false" customHeight="false" outlineLevel="0" collapsed="false">
      <c r="A131" s="9" t="str">
        <f aca="false">parametros_recargas!$B$73</f>
        <v>Inspección visual</v>
      </c>
      <c r="B131" s="9" t="str">
        <f aca="false">IF('Demanda por puesto'!$P$3=0,"—",IF(parametros_recargas!$O$73=0,$N$7,IF(B3&lt;=$O$9,$N$2,IF(parametros_recargas!$D$73="Tercerizado",$N$6,IF(B$129&lt;$O$11,IF(parametros_recargas!$D$73="Manual",$N$5,$N$4),IF(B67&lt;$O$10,$N$3,IF(B3&lt;=1,$N$7,IF(parametros_recargas!$D$73="Manual",$N$5,$N$4))))))))</f>
        <v>OK</v>
      </c>
      <c r="C131" s="9" t="str">
        <f aca="false">IF('Demanda por puesto'!$P$35=0,"—",IF(parametros_recargas!$O$73=0,$N$7,IF(C3&lt;=$O$9,$N$2,IF(parametros_recargas!$D$73="Tercerizado",$N$6,IF(C$129&lt;$O$11,IF(parametros_recargas!$D$73="Manual",$N$5,$N$4),IF(C67&lt;$O$10,$N$3,IF(C3&lt;=1,$N$7,IF(parametros_recargas!$D$73="Manual",$N$5,$N$4))))))))</f>
        <v>OK</v>
      </c>
      <c r="D131" s="9" t="str">
        <f aca="false">IF('Demanda por puesto'!$P$67=0,"—",IF(parametros_recargas!$O$73=0,$N$7,IF(D3&lt;=$O$9,$N$2,IF(parametros_recargas!$D$73="Tercerizado",$N$6,IF(D$129&lt;$O$11,IF(parametros_recargas!$D$73="Manual",$N$5,$N$4),IF(D67&lt;$O$10,$N$3,IF(D3&lt;=1,$N$7,IF(parametros_recargas!$D$73="Manual",$N$5,$N$4))))))))</f>
        <v>OK</v>
      </c>
      <c r="E131" s="9" t="str">
        <f aca="false">IF('Demanda por puesto'!$P$99=0,"—",IF(parametros_recargas!$O$73=0,$N$7,IF(E3&lt;=$O$9,$N$2,IF(parametros_recargas!$D$73="Tercerizado",$N$6,IF(E$129&lt;$O$11,IF(parametros_recargas!$D$73="Manual",$N$5,$N$4),IF(E67&lt;$O$10,$N$3,IF(E3&lt;=1,$N$7,IF(parametros_recargas!$D$73="Manual",$N$5,$N$4))))))))</f>
        <v>OK</v>
      </c>
      <c r="F131" s="9" t="str">
        <f aca="false">IF('Demanda por puesto'!$P$131=0,"—",IF(parametros_recargas!$O$73=0,$N$7,IF(F3&lt;=$O$9,$N$2,IF(parametros_recargas!$D$73="Tercerizado",$N$6,IF(F$129&lt;$O$11,IF(parametros_recargas!$D$73="Manual",$N$5,$N$4),IF(F67&lt;$O$10,$N$3,IF(F3&lt;=1,$N$7,IF(parametros_recargas!$D$73="Manual",$N$5,$N$4))))))))</f>
        <v>OK</v>
      </c>
      <c r="G131" s="9" t="str">
        <f aca="false">IF('Demanda por puesto'!$P$163=0,"—",IF(parametros_recargas!$O$73=0,$N$7,IF(G3&lt;=$O$9,$N$2,IF(parametros_recargas!$D$73="Tercerizado",$N$6,IF(G$129&lt;$O$11,IF(parametros_recargas!$D$73="Manual",$N$5,$N$4),IF(G67&lt;$O$10,$N$3,IF(G3&lt;=1,$N$7,IF(parametros_recargas!$D$73="Manual",$N$5,$N$4))))))))</f>
        <v>OK</v>
      </c>
      <c r="H131" s="9" t="str">
        <f aca="false">IF('Demanda por puesto'!$P$195=0,"—",IF(parametros_recargas!$O$73=0,$N$7,IF(H3&lt;=$O$9,$N$2,IF(parametros_recargas!$D$73="Tercerizado",$N$6,IF(H$129&lt;$O$11,IF(parametros_recargas!$D$73="Manual",$N$5,$N$4),IF(H67&lt;$O$10,$N$3,IF(H3&lt;=1,$N$7,IF(parametros_recargas!$D$73="Manual",$N$5,$N$4))))))))</f>
        <v>OK</v>
      </c>
      <c r="I131" s="9" t="str">
        <f aca="false">IF('Demanda por puesto'!$P$227=0,"—",IF(parametros_recargas!$O$73=0,$N$7,IF(I3&lt;=$O$9,$N$2,IF(parametros_recargas!$D$73="Tercerizado",$N$6,IF(I$129&lt;$O$11,IF(parametros_recargas!$D$73="Manual",$N$5,$N$4),IF(I67&lt;$O$10,$N$3,IF(I3&lt;=1,$N$7,IF(parametros_recargas!$D$73="Manual",$N$5,$N$4))))))))</f>
        <v>OK</v>
      </c>
      <c r="J131" s="9" t="str">
        <f aca="false">IF('Demanda por puesto'!$P$259=0,"—",IF(parametros_recargas!$O$73=0,$N$7,IF(J3&lt;=$O$9,$N$2,IF(parametros_recargas!$D$73="Tercerizado",$N$6,IF(J$129&lt;$O$11,IF(parametros_recargas!$D$73="Manual",$N$5,$N$4),IF(J67&lt;$O$10,$N$3,IF(J3&lt;=1,$N$7,IF(parametros_recargas!$D$73="Manual",$N$5,$N$4))))))))</f>
        <v>OK</v>
      </c>
      <c r="K131" s="9" t="str">
        <f aca="false">IF('Demanda por puesto'!$P$291=0,"—",IF(parametros_recargas!$O$73=0,$N$7,IF(K3&lt;=$O$9,$N$2,IF(parametros_recargas!$D$73="Tercerizado",$N$6,IF(K$129&lt;$O$11,IF(parametros_recargas!$D$73="Manual",$N$5,$N$4),IF(K67&lt;$O$10,$N$3,IF(K3&lt;=1,$N$7,IF(parametros_recargas!$D$73="Manual",$N$5,$N$4))))))))</f>
        <v>OK</v>
      </c>
    </row>
    <row r="132" customFormat="false" ht="15" hidden="false" customHeight="false" outlineLevel="0" collapsed="false">
      <c r="A132" s="9" t="str">
        <f aca="false">parametros_recargas!$B$74</f>
        <v>Descarga ABC — ruta recuperable</v>
      </c>
      <c r="B132" s="9" t="str">
        <f aca="false">IF('Demanda por puesto'!$P$4=0,"—",IF(parametros_recargas!$O$74=0,$N$7,IF(B4&lt;=$O$9,$N$2,IF(parametros_recargas!$D$74="Tercerizado",$N$6,IF(B$129&lt;$O$11,IF(parametros_recargas!$D$74="Manual",$N$5,$N$4),IF(B68&lt;$O$10,$N$3,IF(B4&lt;=1,$N$7,IF(parametros_recargas!$D$74="Manual",$N$5,$N$4))))))))</f>
        <v>OK</v>
      </c>
      <c r="C132" s="9" t="str">
        <f aca="false">IF('Demanda por puesto'!$P$36=0,"—",IF(parametros_recargas!$O$74=0,$N$7,IF(C4&lt;=$O$9,$N$2,IF(parametros_recargas!$D$74="Tercerizado",$N$6,IF(C$129&lt;$O$11,IF(parametros_recargas!$D$74="Manual",$N$5,$N$4),IF(C68&lt;$O$10,$N$3,IF(C4&lt;=1,$N$7,IF(parametros_recargas!$D$74="Manual",$N$5,$N$4))))))))</f>
        <v>OK</v>
      </c>
      <c r="D132" s="9" t="str">
        <f aca="false">IF('Demanda por puesto'!$P$68=0,"—",IF(parametros_recargas!$O$74=0,$N$7,IF(D4&lt;=$O$9,$N$2,IF(parametros_recargas!$D$74="Tercerizado",$N$6,IF(D$129&lt;$O$11,IF(parametros_recargas!$D$74="Manual",$N$5,$N$4),IF(D68&lt;$O$10,$N$3,IF(D4&lt;=1,$N$7,IF(parametros_recargas!$D$74="Manual",$N$5,$N$4))))))))</f>
        <v>OK</v>
      </c>
      <c r="E132" s="9" t="str">
        <f aca="false">IF('Demanda por puesto'!$P$100=0,"—",IF(parametros_recargas!$O$74=0,$N$7,IF(E4&lt;=$O$9,$N$2,IF(parametros_recargas!$D$74="Tercerizado",$N$6,IF(E$129&lt;$O$11,IF(parametros_recargas!$D$74="Manual",$N$5,$N$4),IF(E68&lt;$O$10,$N$3,IF(E4&lt;=1,$N$7,IF(parametros_recargas!$D$74="Manual",$N$5,$N$4))))))))</f>
        <v>OK</v>
      </c>
      <c r="F132" s="9" t="str">
        <f aca="false">IF('Demanda por puesto'!$P$132=0,"—",IF(parametros_recargas!$O$74=0,$N$7,IF(F4&lt;=$O$9,$N$2,IF(parametros_recargas!$D$74="Tercerizado",$N$6,IF(F$129&lt;$O$11,IF(parametros_recargas!$D$74="Manual",$N$5,$N$4),IF(F68&lt;$O$10,$N$3,IF(F4&lt;=1,$N$7,IF(parametros_recargas!$D$74="Manual",$N$5,$N$4))))))))</f>
        <v>OK</v>
      </c>
      <c r="G132" s="9" t="str">
        <f aca="false">IF('Demanda por puesto'!$P$164=0,"—",IF(parametros_recargas!$O$74=0,$N$7,IF(G4&lt;=$O$9,$N$2,IF(parametros_recargas!$D$74="Tercerizado",$N$6,IF(G$129&lt;$O$11,IF(parametros_recargas!$D$74="Manual",$N$5,$N$4),IF(G68&lt;$O$10,$N$3,IF(G4&lt;=1,$N$7,IF(parametros_recargas!$D$74="Manual",$N$5,$N$4))))))))</f>
        <v>OK</v>
      </c>
      <c r="H132" s="9" t="str">
        <f aca="false">IF('Demanda por puesto'!$P$196=0,"—",IF(parametros_recargas!$O$74=0,$N$7,IF(H4&lt;=$O$9,$N$2,IF(parametros_recargas!$D$74="Tercerizado",$N$6,IF(H$129&lt;$O$11,IF(parametros_recargas!$D$74="Manual",$N$5,$N$4),IF(H68&lt;$O$10,$N$3,IF(H4&lt;=1,$N$7,IF(parametros_recargas!$D$74="Manual",$N$5,$N$4))))))))</f>
        <v>OK</v>
      </c>
      <c r="I132" s="9" t="str">
        <f aca="false">IF('Demanda por puesto'!$P$228=0,"—",IF(parametros_recargas!$O$74=0,$N$7,IF(I4&lt;=$O$9,$N$2,IF(parametros_recargas!$D$74="Tercerizado",$N$6,IF(I$129&lt;$O$11,IF(parametros_recargas!$D$74="Manual",$N$5,$N$4),IF(I68&lt;$O$10,$N$3,IF(I4&lt;=1,$N$7,IF(parametros_recargas!$D$74="Manual",$N$5,$N$4))))))))</f>
        <v>OK</v>
      </c>
      <c r="J132" s="9" t="str">
        <f aca="false">IF('Demanda por puesto'!$P$260=0,"—",IF(parametros_recargas!$O$74=0,$N$7,IF(J4&lt;=$O$9,$N$2,IF(parametros_recargas!$D$74="Tercerizado",$N$6,IF(J$129&lt;$O$11,IF(parametros_recargas!$D$74="Manual",$N$5,$N$4),IF(J68&lt;$O$10,$N$3,IF(J4&lt;=1,$N$7,IF(parametros_recargas!$D$74="Manual",$N$5,$N$4))))))))</f>
        <v>OK</v>
      </c>
      <c r="K132" s="9" t="str">
        <f aca="false">IF('Demanda por puesto'!$P$292=0,"—",IF(parametros_recargas!$O$74=0,$N$7,IF(K4&lt;=$O$9,$N$2,IF(parametros_recargas!$D$74="Tercerizado",$N$6,IF(K$129&lt;$O$11,IF(parametros_recargas!$D$74="Manual",$N$5,$N$4),IF(K68&lt;$O$10,$N$3,IF(K4&lt;=1,$N$7,IF(parametros_recargas!$D$74="Manual",$N$5,$N$4))))))))</f>
        <v>OK</v>
      </c>
    </row>
    <row r="133" customFormat="false" ht="15" hidden="false" customHeight="false" outlineLevel="0" collapsed="false">
      <c r="A133" s="9" t="str">
        <f aca="false">parametros_recargas!$B$75</f>
        <v>Descarga ABC — ruta descarte</v>
      </c>
      <c r="B133" s="9" t="str">
        <f aca="false">IF('Demanda por puesto'!$P$5=0,"—",IF(parametros_recargas!$O$75=0,$N$7,IF(B5&lt;=$O$9,$N$2,IF(parametros_recargas!$D$75="Tercerizado",$N$6,IF(B$129&lt;$O$11,IF(parametros_recargas!$D$75="Manual",$N$5,$N$4),IF(B69&lt;$O$10,$N$3,IF(B5&lt;=1,$N$7,IF(parametros_recargas!$D$75="Manual",$N$5,$N$4))))))))</f>
        <v>OK</v>
      </c>
      <c r="C133" s="9" t="str">
        <f aca="false">IF('Demanda por puesto'!$P$37=0,"—",IF(parametros_recargas!$O$75=0,$N$7,IF(C5&lt;=$O$9,$N$2,IF(parametros_recargas!$D$75="Tercerizado",$N$6,IF(C$129&lt;$O$11,IF(parametros_recargas!$D$75="Manual",$N$5,$N$4),IF(C69&lt;$O$10,$N$3,IF(C5&lt;=1,$N$7,IF(parametros_recargas!$D$75="Manual",$N$5,$N$4))))))))</f>
        <v>OK</v>
      </c>
      <c r="D133" s="9" t="str">
        <f aca="false">IF('Demanda por puesto'!$P$69=0,"—",IF(parametros_recargas!$O$75=0,$N$7,IF(D5&lt;=$O$9,$N$2,IF(parametros_recargas!$D$75="Tercerizado",$N$6,IF(D$129&lt;$O$11,IF(parametros_recargas!$D$75="Manual",$N$5,$N$4),IF(D69&lt;$O$10,$N$3,IF(D5&lt;=1,$N$7,IF(parametros_recargas!$D$75="Manual",$N$5,$N$4))))))))</f>
        <v>OK</v>
      </c>
      <c r="E133" s="9" t="str">
        <f aca="false">IF('Demanda por puesto'!$P$101=0,"—",IF(parametros_recargas!$O$75=0,$N$7,IF(E5&lt;=$O$9,$N$2,IF(parametros_recargas!$D$75="Tercerizado",$N$6,IF(E$129&lt;$O$11,IF(parametros_recargas!$D$75="Manual",$N$5,$N$4),IF(E69&lt;$O$10,$N$3,IF(E5&lt;=1,$N$7,IF(parametros_recargas!$D$75="Manual",$N$5,$N$4))))))))</f>
        <v>OK</v>
      </c>
      <c r="F133" s="9" t="str">
        <f aca="false">IF('Demanda por puesto'!$P$133=0,"—",IF(parametros_recargas!$O$75=0,$N$7,IF(F5&lt;=$O$9,$N$2,IF(parametros_recargas!$D$75="Tercerizado",$N$6,IF(F$129&lt;$O$11,IF(parametros_recargas!$D$75="Manual",$N$5,$N$4),IF(F69&lt;$O$10,$N$3,IF(F5&lt;=1,$N$7,IF(parametros_recargas!$D$75="Manual",$N$5,$N$4))))))))</f>
        <v>OK</v>
      </c>
      <c r="G133" s="9" t="str">
        <f aca="false">IF('Demanda por puesto'!$P$165=0,"—",IF(parametros_recargas!$O$75=0,$N$7,IF(G5&lt;=$O$9,$N$2,IF(parametros_recargas!$D$75="Tercerizado",$N$6,IF(G$129&lt;$O$11,IF(parametros_recargas!$D$75="Manual",$N$5,$N$4),IF(G69&lt;$O$10,$N$3,IF(G5&lt;=1,$N$7,IF(parametros_recargas!$D$75="Manual",$N$5,$N$4))))))))</f>
        <v>OK</v>
      </c>
      <c r="H133" s="9" t="str">
        <f aca="false">IF('Demanda por puesto'!$P$197=0,"—",IF(parametros_recargas!$O$75=0,$N$7,IF(H5&lt;=$O$9,$N$2,IF(parametros_recargas!$D$75="Tercerizado",$N$6,IF(H$129&lt;$O$11,IF(parametros_recargas!$D$75="Manual",$N$5,$N$4),IF(H69&lt;$O$10,$N$3,IF(H5&lt;=1,$N$7,IF(parametros_recargas!$D$75="Manual",$N$5,$N$4))))))))</f>
        <v>OK</v>
      </c>
      <c r="I133" s="9" t="str">
        <f aca="false">IF('Demanda por puesto'!$P$229=0,"—",IF(parametros_recargas!$O$75=0,$N$7,IF(I5&lt;=$O$9,$N$2,IF(parametros_recargas!$D$75="Tercerizado",$N$6,IF(I$129&lt;$O$11,IF(parametros_recargas!$D$75="Manual",$N$5,$N$4),IF(I69&lt;$O$10,$N$3,IF(I5&lt;=1,$N$7,IF(parametros_recargas!$D$75="Manual",$N$5,$N$4))))))))</f>
        <v>OK</v>
      </c>
      <c r="J133" s="9" t="str">
        <f aca="false">IF('Demanda por puesto'!$P$261=0,"—",IF(parametros_recargas!$O$75=0,$N$7,IF(J5&lt;=$O$9,$N$2,IF(parametros_recargas!$D$75="Tercerizado",$N$6,IF(J$129&lt;$O$11,IF(parametros_recargas!$D$75="Manual",$N$5,$N$4),IF(J69&lt;$O$10,$N$3,IF(J5&lt;=1,$N$7,IF(parametros_recargas!$D$75="Manual",$N$5,$N$4))))))))</f>
        <v>OK</v>
      </c>
      <c r="K133" s="9" t="str">
        <f aca="false">IF('Demanda por puesto'!$P$293=0,"—",IF(parametros_recargas!$O$75=0,$N$7,IF(K5&lt;=$O$9,$N$2,IF(parametros_recargas!$D$75="Tercerizado",$N$6,IF(K$129&lt;$O$11,IF(parametros_recargas!$D$75="Manual",$N$5,$N$4),IF(K69&lt;$O$10,$N$3,IF(K5&lt;=1,$N$7,IF(parametros_recargas!$D$75="Manual",$N$5,$N$4))))))))</f>
        <v>OK</v>
      </c>
    </row>
    <row r="134" customFormat="false" ht="15" hidden="false" customHeight="false" outlineLevel="0" collapsed="false">
      <c r="A134" s="9" t="str">
        <f aca="false">parametros_recargas!$B$76</f>
        <v>Descarga BC</v>
      </c>
      <c r="B134" s="9" t="str">
        <f aca="false">IF('Demanda por puesto'!$P$6=0,"—",IF(parametros_recargas!$O$76=0,$N$7,IF(B6&lt;=$O$9,$N$2,IF(parametros_recargas!$D$76="Tercerizado",$N$6,IF(B$129&lt;$O$11,IF(parametros_recargas!$D$76="Manual",$N$5,$N$4),IF(B70&lt;$O$10,$N$3,IF(B6&lt;=1,$N$7,IF(parametros_recargas!$D$76="Manual",$N$5,$N$4))))))))</f>
        <v>OK</v>
      </c>
      <c r="C134" s="9" t="str">
        <f aca="false">IF('Demanda por puesto'!$P$38=0,"—",IF(parametros_recargas!$O$76=0,$N$7,IF(C6&lt;=$O$9,$N$2,IF(parametros_recargas!$D$76="Tercerizado",$N$6,IF(C$129&lt;$O$11,IF(parametros_recargas!$D$76="Manual",$N$5,$N$4),IF(C70&lt;$O$10,$N$3,IF(C6&lt;=1,$N$7,IF(parametros_recargas!$D$76="Manual",$N$5,$N$4))))))))</f>
        <v>OK</v>
      </c>
      <c r="D134" s="9" t="str">
        <f aca="false">IF('Demanda por puesto'!$P$70=0,"—",IF(parametros_recargas!$O$76=0,$N$7,IF(D6&lt;=$O$9,$N$2,IF(parametros_recargas!$D$76="Tercerizado",$N$6,IF(D$129&lt;$O$11,IF(parametros_recargas!$D$76="Manual",$N$5,$N$4),IF(D70&lt;$O$10,$N$3,IF(D6&lt;=1,$N$7,IF(parametros_recargas!$D$76="Manual",$N$5,$N$4))))))))</f>
        <v>OK</v>
      </c>
      <c r="E134" s="9" t="str">
        <f aca="false">IF('Demanda por puesto'!$P$102=0,"—",IF(parametros_recargas!$O$76=0,$N$7,IF(E6&lt;=$O$9,$N$2,IF(parametros_recargas!$D$76="Tercerizado",$N$6,IF(E$129&lt;$O$11,IF(parametros_recargas!$D$76="Manual",$N$5,$N$4),IF(E70&lt;$O$10,$N$3,IF(E6&lt;=1,$N$7,IF(parametros_recargas!$D$76="Manual",$N$5,$N$4))))))))</f>
        <v>OK</v>
      </c>
      <c r="F134" s="9" t="str">
        <f aca="false">IF('Demanda por puesto'!$P$134=0,"—",IF(parametros_recargas!$O$76=0,$N$7,IF(F6&lt;=$O$9,$N$2,IF(parametros_recargas!$D$76="Tercerizado",$N$6,IF(F$129&lt;$O$11,IF(parametros_recargas!$D$76="Manual",$N$5,$N$4),IF(F70&lt;$O$10,$N$3,IF(F6&lt;=1,$N$7,IF(parametros_recargas!$D$76="Manual",$N$5,$N$4))))))))</f>
        <v>OK</v>
      </c>
      <c r="G134" s="9" t="str">
        <f aca="false">IF('Demanda por puesto'!$P$166=0,"—",IF(parametros_recargas!$O$76=0,$N$7,IF(G6&lt;=$O$9,$N$2,IF(parametros_recargas!$D$76="Tercerizado",$N$6,IF(G$129&lt;$O$11,IF(parametros_recargas!$D$76="Manual",$N$5,$N$4),IF(G70&lt;$O$10,$N$3,IF(G6&lt;=1,$N$7,IF(parametros_recargas!$D$76="Manual",$N$5,$N$4))))))))</f>
        <v>OK</v>
      </c>
      <c r="H134" s="9" t="str">
        <f aca="false">IF('Demanda por puesto'!$P$198=0,"—",IF(parametros_recargas!$O$76=0,$N$7,IF(H6&lt;=$O$9,$N$2,IF(parametros_recargas!$D$76="Tercerizado",$N$6,IF(H$129&lt;$O$11,IF(parametros_recargas!$D$76="Manual",$N$5,$N$4),IF(H70&lt;$O$10,$N$3,IF(H6&lt;=1,$N$7,IF(parametros_recargas!$D$76="Manual",$N$5,$N$4))))))))</f>
        <v>OK</v>
      </c>
      <c r="I134" s="9" t="str">
        <f aca="false">IF('Demanda por puesto'!$P$230=0,"—",IF(parametros_recargas!$O$76=0,$N$7,IF(I6&lt;=$O$9,$N$2,IF(parametros_recargas!$D$76="Tercerizado",$N$6,IF(I$129&lt;$O$11,IF(parametros_recargas!$D$76="Manual",$N$5,$N$4),IF(I70&lt;$O$10,$N$3,IF(I6&lt;=1,$N$7,IF(parametros_recargas!$D$76="Manual",$N$5,$N$4))))))))</f>
        <v>OK</v>
      </c>
      <c r="J134" s="9" t="str">
        <f aca="false">IF('Demanda por puesto'!$P$262=0,"—",IF(parametros_recargas!$O$76=0,$N$7,IF(J6&lt;=$O$9,$N$2,IF(parametros_recargas!$D$76="Tercerizado",$N$6,IF(J$129&lt;$O$11,IF(parametros_recargas!$D$76="Manual",$N$5,$N$4),IF(J70&lt;$O$10,$N$3,IF(J6&lt;=1,$N$7,IF(parametros_recargas!$D$76="Manual",$N$5,$N$4))))))))</f>
        <v>OK</v>
      </c>
      <c r="K134" s="9" t="str">
        <f aca="false">IF('Demanda por puesto'!$P$294=0,"—",IF(parametros_recargas!$O$76=0,$N$7,IF(K6&lt;=$O$9,$N$2,IF(parametros_recargas!$D$76="Tercerizado",$N$6,IF(K$129&lt;$O$11,IF(parametros_recargas!$D$76="Manual",$N$5,$N$4),IF(K70&lt;$O$10,$N$3,IF(K6&lt;=1,$N$7,IF(parametros_recargas!$D$76="Manual",$N$5,$N$4))))))))</f>
        <v>OK</v>
      </c>
    </row>
    <row r="135" customFormat="false" ht="15" hidden="false" customHeight="false" outlineLevel="0" collapsed="false">
      <c r="A135" s="9" t="str">
        <f aca="false">parametros_recargas!$B$77</f>
        <v>Descarga de agua / AFFF / sales K</v>
      </c>
      <c r="B135" s="9" t="str">
        <f aca="false">IF('Demanda por puesto'!$P$7=0,"—",IF(parametros_recargas!$O$77=0,$N$7,IF(B7&lt;=$O$9,$N$2,IF(parametros_recargas!$D$77="Tercerizado",$N$6,IF(B$129&lt;$O$11,IF(parametros_recargas!$D$77="Manual",$N$5,$N$4),IF(B71&lt;$O$10,$N$3,IF(B7&lt;=1,$N$7,IF(parametros_recargas!$D$77="Manual",$N$5,$N$4))))))))</f>
        <v>OK</v>
      </c>
      <c r="C135" s="9" t="str">
        <f aca="false">IF('Demanda por puesto'!$P$39=0,"—",IF(parametros_recargas!$O$77=0,$N$7,IF(C7&lt;=$O$9,$N$2,IF(parametros_recargas!$D$77="Tercerizado",$N$6,IF(C$129&lt;$O$11,IF(parametros_recargas!$D$77="Manual",$N$5,$N$4),IF(C71&lt;$O$10,$N$3,IF(C7&lt;=1,$N$7,IF(parametros_recargas!$D$77="Manual",$N$5,$N$4))))))))</f>
        <v>OK</v>
      </c>
      <c r="D135" s="9" t="str">
        <f aca="false">IF('Demanda por puesto'!$P$71=0,"—",IF(parametros_recargas!$O$77=0,$N$7,IF(D7&lt;=$O$9,$N$2,IF(parametros_recargas!$D$77="Tercerizado",$N$6,IF(D$129&lt;$O$11,IF(parametros_recargas!$D$77="Manual",$N$5,$N$4),IF(D71&lt;$O$10,$N$3,IF(D7&lt;=1,$N$7,IF(parametros_recargas!$D$77="Manual",$N$5,$N$4))))))))</f>
        <v>OK</v>
      </c>
      <c r="E135" s="9" t="str">
        <f aca="false">IF('Demanda por puesto'!$P$103=0,"—",IF(parametros_recargas!$O$77=0,$N$7,IF(E7&lt;=$O$9,$N$2,IF(parametros_recargas!$D$77="Tercerizado",$N$6,IF(E$129&lt;$O$11,IF(parametros_recargas!$D$77="Manual",$N$5,$N$4),IF(E71&lt;$O$10,$N$3,IF(E7&lt;=1,$N$7,IF(parametros_recargas!$D$77="Manual",$N$5,$N$4))))))))</f>
        <v>OK</v>
      </c>
      <c r="F135" s="9" t="str">
        <f aca="false">IF('Demanda por puesto'!$P$135=0,"—",IF(parametros_recargas!$O$77=0,$N$7,IF(F7&lt;=$O$9,$N$2,IF(parametros_recargas!$D$77="Tercerizado",$N$6,IF(F$129&lt;$O$11,IF(parametros_recargas!$D$77="Manual",$N$5,$N$4),IF(F71&lt;$O$10,$N$3,IF(F7&lt;=1,$N$7,IF(parametros_recargas!$D$77="Manual",$N$5,$N$4))))))))</f>
        <v>OK</v>
      </c>
      <c r="G135" s="9" t="str">
        <f aca="false">IF('Demanda por puesto'!$P$167=0,"—",IF(parametros_recargas!$O$77=0,$N$7,IF(G7&lt;=$O$9,$N$2,IF(parametros_recargas!$D$77="Tercerizado",$N$6,IF(G$129&lt;$O$11,IF(parametros_recargas!$D$77="Manual",$N$5,$N$4),IF(G71&lt;$O$10,$N$3,IF(G7&lt;=1,$N$7,IF(parametros_recargas!$D$77="Manual",$N$5,$N$4))))))))</f>
        <v>OK</v>
      </c>
      <c r="H135" s="9" t="str">
        <f aca="false">IF('Demanda por puesto'!$P$199=0,"—",IF(parametros_recargas!$O$77=0,$N$7,IF(H7&lt;=$O$9,$N$2,IF(parametros_recargas!$D$77="Tercerizado",$N$6,IF(H$129&lt;$O$11,IF(parametros_recargas!$D$77="Manual",$N$5,$N$4),IF(H71&lt;$O$10,$N$3,IF(H7&lt;=1,$N$7,IF(parametros_recargas!$D$77="Manual",$N$5,$N$4))))))))</f>
        <v>OK</v>
      </c>
      <c r="I135" s="9" t="str">
        <f aca="false">IF('Demanda por puesto'!$P$231=0,"—",IF(parametros_recargas!$O$77=0,$N$7,IF(I7&lt;=$O$9,$N$2,IF(parametros_recargas!$D$77="Tercerizado",$N$6,IF(I$129&lt;$O$11,IF(parametros_recargas!$D$77="Manual",$N$5,$N$4),IF(I71&lt;$O$10,$N$3,IF(I7&lt;=1,$N$7,IF(parametros_recargas!$D$77="Manual",$N$5,$N$4))))))))</f>
        <v>OK</v>
      </c>
      <c r="J135" s="9" t="str">
        <f aca="false">IF('Demanda por puesto'!$P$263=0,"—",IF(parametros_recargas!$O$77=0,$N$7,IF(J7&lt;=$O$9,$N$2,IF(parametros_recargas!$D$77="Tercerizado",$N$6,IF(J$129&lt;$O$11,IF(parametros_recargas!$D$77="Manual",$N$5,$N$4),IF(J71&lt;$O$10,$N$3,IF(J7&lt;=1,$N$7,IF(parametros_recargas!$D$77="Manual",$N$5,$N$4))))))))</f>
        <v>OK</v>
      </c>
      <c r="K135" s="9" t="str">
        <f aca="false">IF('Demanda por puesto'!$P$295=0,"—",IF(parametros_recargas!$O$77=0,$N$7,IF(K7&lt;=$O$9,$N$2,IF(parametros_recargas!$D$77="Tercerizado",$N$6,IF(K$129&lt;$O$11,IF(parametros_recargas!$D$77="Manual",$N$5,$N$4),IF(K71&lt;$O$10,$N$3,IF(K7&lt;=1,$N$7,IF(parametros_recargas!$D$77="Manual",$N$5,$N$4))))))))</f>
        <v>OK</v>
      </c>
    </row>
    <row r="136" customFormat="false" ht="15" hidden="false" customHeight="false" outlineLevel="0" collapsed="false">
      <c r="A136" s="9" t="str">
        <f aca="false">parametros_recargas!$B$78</f>
        <v>Recuperación de CO₂</v>
      </c>
      <c r="B136" s="9" t="str">
        <f aca="false">IF('Demanda por puesto'!$P$8=0,"—",IF(parametros_recargas!$O$78=0,$N$7,IF(B8&lt;=$O$9,$N$2,IF(parametros_recargas!$D$78="Tercerizado",$N$6,IF(B$129&lt;$O$11,IF(parametros_recargas!$D$78="Manual",$N$5,$N$4),IF(B72&lt;$O$10,$N$3,IF(B8&lt;=1,$N$7,IF(parametros_recargas!$D$78="Manual",$N$5,$N$4))))))))</f>
        <v>OK</v>
      </c>
      <c r="C136" s="9" t="str">
        <f aca="false">IF('Demanda por puesto'!$P$40=0,"—",IF(parametros_recargas!$O$78=0,$N$7,IF(C8&lt;=$O$9,$N$2,IF(parametros_recargas!$D$78="Tercerizado",$N$6,IF(C$129&lt;$O$11,IF(parametros_recargas!$D$78="Manual",$N$5,$N$4),IF(C72&lt;$O$10,$N$3,IF(C8&lt;=1,$N$7,IF(parametros_recargas!$D$78="Manual",$N$5,$N$4))))))))</f>
        <v>OK</v>
      </c>
      <c r="D136" s="9" t="str">
        <f aca="false">IF('Demanda por puesto'!$P$72=0,"—",IF(parametros_recargas!$O$78=0,$N$7,IF(D8&lt;=$O$9,$N$2,IF(parametros_recargas!$D$78="Tercerizado",$N$6,IF(D$129&lt;$O$11,IF(parametros_recargas!$D$78="Manual",$N$5,$N$4),IF(D72&lt;$O$10,$N$3,IF(D8&lt;=1,$N$7,IF(parametros_recargas!$D$78="Manual",$N$5,$N$4))))))))</f>
        <v>OK</v>
      </c>
      <c r="E136" s="9" t="str">
        <f aca="false">IF('Demanda por puesto'!$P$104=0,"—",IF(parametros_recargas!$O$78=0,$N$7,IF(E8&lt;=$O$9,$N$2,IF(parametros_recargas!$D$78="Tercerizado",$N$6,IF(E$129&lt;$O$11,IF(parametros_recargas!$D$78="Manual",$N$5,$N$4),IF(E72&lt;$O$10,$N$3,IF(E8&lt;=1,$N$7,IF(parametros_recargas!$D$78="Manual",$N$5,$N$4))))))))</f>
        <v>OK</v>
      </c>
      <c r="F136" s="9" t="str">
        <f aca="false">IF('Demanda por puesto'!$P$136=0,"—",IF(parametros_recargas!$O$78=0,$N$7,IF(F8&lt;=$O$9,$N$2,IF(parametros_recargas!$D$78="Tercerizado",$N$6,IF(F$129&lt;$O$11,IF(parametros_recargas!$D$78="Manual",$N$5,$N$4),IF(F72&lt;$O$10,$N$3,IF(F8&lt;=1,$N$7,IF(parametros_recargas!$D$78="Manual",$N$5,$N$4))))))))</f>
        <v>OK</v>
      </c>
      <c r="G136" s="9" t="str">
        <f aca="false">IF('Demanda por puesto'!$P$168=0,"—",IF(parametros_recargas!$O$78=0,$N$7,IF(G8&lt;=$O$9,$N$2,IF(parametros_recargas!$D$78="Tercerizado",$N$6,IF(G$129&lt;$O$11,IF(parametros_recargas!$D$78="Manual",$N$5,$N$4),IF(G72&lt;$O$10,$N$3,IF(G8&lt;=1,$N$7,IF(parametros_recargas!$D$78="Manual",$N$5,$N$4))))))))</f>
        <v>OK</v>
      </c>
      <c r="H136" s="9" t="str">
        <f aca="false">IF('Demanda por puesto'!$P$200=0,"—",IF(parametros_recargas!$O$78=0,$N$7,IF(H8&lt;=$O$9,$N$2,IF(parametros_recargas!$D$78="Tercerizado",$N$6,IF(H$129&lt;$O$11,IF(parametros_recargas!$D$78="Manual",$N$5,$N$4),IF(H72&lt;$O$10,$N$3,IF(H8&lt;=1,$N$7,IF(parametros_recargas!$D$78="Manual",$N$5,$N$4))))))))</f>
        <v>OK</v>
      </c>
      <c r="I136" s="9" t="str">
        <f aca="false">IF('Demanda por puesto'!$P$232=0,"—",IF(parametros_recargas!$O$78=0,$N$7,IF(I8&lt;=$O$9,$N$2,IF(parametros_recargas!$D$78="Tercerizado",$N$6,IF(I$129&lt;$O$11,IF(parametros_recargas!$D$78="Manual",$N$5,$N$4),IF(I72&lt;$O$10,$N$3,IF(I8&lt;=1,$N$7,IF(parametros_recargas!$D$78="Manual",$N$5,$N$4))))))))</f>
        <v>OK</v>
      </c>
      <c r="J136" s="9" t="str">
        <f aca="false">IF('Demanda por puesto'!$P$264=0,"—",IF(parametros_recargas!$O$78=0,$N$7,IF(J8&lt;=$O$9,$N$2,IF(parametros_recargas!$D$78="Tercerizado",$N$6,IF(J$129&lt;$O$11,IF(parametros_recargas!$D$78="Manual",$N$5,$N$4),IF(J72&lt;$O$10,$N$3,IF(J8&lt;=1,$N$7,IF(parametros_recargas!$D$78="Manual",$N$5,$N$4))))))))</f>
        <v>OK</v>
      </c>
      <c r="K136" s="9" t="str">
        <f aca="false">IF('Demanda por puesto'!$P$296=0,"—",IF(parametros_recargas!$O$78=0,$N$7,IF(K8&lt;=$O$9,$N$2,IF(parametros_recargas!$D$78="Tercerizado",$N$6,IF(K$129&lt;$O$11,IF(parametros_recargas!$D$78="Manual",$N$5,$N$4),IF(K72&lt;$O$10,$N$3,IF(K8&lt;=1,$N$7,IF(parametros_recargas!$D$78="Manual",$N$5,$N$4))))))))</f>
        <v>OK</v>
      </c>
    </row>
    <row r="137" customFormat="false" ht="15" hidden="false" customHeight="false" outlineLevel="0" collapsed="false">
      <c r="A137" s="9" t="str">
        <f aca="false">parametros_recargas!$B$79</f>
        <v>Recuperación de halogenado</v>
      </c>
      <c r="B137" s="9" t="str">
        <f aca="false">IF('Demanda por puesto'!$P$9=0,"—",IF(parametros_recargas!$O$79=0,$N$7,IF(B9&lt;=$O$9,$N$2,IF(parametros_recargas!$D$79="Tercerizado",$N$6,IF(B$129&lt;$O$11,IF(parametros_recargas!$D$79="Manual",$N$5,$N$4),IF(B73&lt;$O$10,$N$3,IF(B9&lt;=1,$N$7,IF(parametros_recargas!$D$79="Manual",$N$5,$N$4))))))))</f>
        <v>OK</v>
      </c>
      <c r="C137" s="9" t="str">
        <f aca="false">IF('Demanda por puesto'!$P$41=0,"—",IF(parametros_recargas!$O$79=0,$N$7,IF(C9&lt;=$O$9,$N$2,IF(parametros_recargas!$D$79="Tercerizado",$N$6,IF(C$129&lt;$O$11,IF(parametros_recargas!$D$79="Manual",$N$5,$N$4),IF(C73&lt;$O$10,$N$3,IF(C9&lt;=1,$N$7,IF(parametros_recargas!$D$79="Manual",$N$5,$N$4))))))))</f>
        <v>OK</v>
      </c>
      <c r="D137" s="9" t="str">
        <f aca="false">IF('Demanda por puesto'!$P$73=0,"—",IF(parametros_recargas!$O$79=0,$N$7,IF(D9&lt;=$O$9,$N$2,IF(parametros_recargas!$D$79="Tercerizado",$N$6,IF(D$129&lt;$O$11,IF(parametros_recargas!$D$79="Manual",$N$5,$N$4),IF(D73&lt;$O$10,$N$3,IF(D9&lt;=1,$N$7,IF(parametros_recargas!$D$79="Manual",$N$5,$N$4))))))))</f>
        <v>OK</v>
      </c>
      <c r="E137" s="9" t="str">
        <f aca="false">IF('Demanda por puesto'!$P$105=0,"—",IF(parametros_recargas!$O$79=0,$N$7,IF(E9&lt;=$O$9,$N$2,IF(parametros_recargas!$D$79="Tercerizado",$N$6,IF(E$129&lt;$O$11,IF(parametros_recargas!$D$79="Manual",$N$5,$N$4),IF(E73&lt;$O$10,$N$3,IF(E9&lt;=1,$N$7,IF(parametros_recargas!$D$79="Manual",$N$5,$N$4))))))))</f>
        <v>OK</v>
      </c>
      <c r="F137" s="9" t="str">
        <f aca="false">IF('Demanda por puesto'!$P$137=0,"—",IF(parametros_recargas!$O$79=0,$N$7,IF(F9&lt;=$O$9,$N$2,IF(parametros_recargas!$D$79="Tercerizado",$N$6,IF(F$129&lt;$O$11,IF(parametros_recargas!$D$79="Manual",$N$5,$N$4),IF(F73&lt;$O$10,$N$3,IF(F9&lt;=1,$N$7,IF(parametros_recargas!$D$79="Manual",$N$5,$N$4))))))))</f>
        <v>OK</v>
      </c>
      <c r="G137" s="9" t="str">
        <f aca="false">IF('Demanda por puesto'!$P$169=0,"—",IF(parametros_recargas!$O$79=0,$N$7,IF(G9&lt;=$O$9,$N$2,IF(parametros_recargas!$D$79="Tercerizado",$N$6,IF(G$129&lt;$O$11,IF(parametros_recargas!$D$79="Manual",$N$5,$N$4),IF(G73&lt;$O$10,$N$3,IF(G9&lt;=1,$N$7,IF(parametros_recargas!$D$79="Manual",$N$5,$N$4))))))))</f>
        <v>OK</v>
      </c>
      <c r="H137" s="9" t="str">
        <f aca="false">IF('Demanda por puesto'!$P$201=0,"—",IF(parametros_recargas!$O$79=0,$N$7,IF(H9&lt;=$O$9,$N$2,IF(parametros_recargas!$D$79="Tercerizado",$N$6,IF(H$129&lt;$O$11,IF(parametros_recargas!$D$79="Manual",$N$5,$N$4),IF(H73&lt;$O$10,$N$3,IF(H9&lt;=1,$N$7,IF(parametros_recargas!$D$79="Manual",$N$5,$N$4))))))))</f>
        <v>OK</v>
      </c>
      <c r="I137" s="9" t="str">
        <f aca="false">IF('Demanda por puesto'!$P$233=0,"—",IF(parametros_recargas!$O$79=0,$N$7,IF(I9&lt;=$O$9,$N$2,IF(parametros_recargas!$D$79="Tercerizado",$N$6,IF(I$129&lt;$O$11,IF(parametros_recargas!$D$79="Manual",$N$5,$N$4),IF(I73&lt;$O$10,$N$3,IF(I9&lt;=1,$N$7,IF(parametros_recargas!$D$79="Manual",$N$5,$N$4))))))))</f>
        <v>OK</v>
      </c>
      <c r="J137" s="9" t="str">
        <f aca="false">IF('Demanda por puesto'!$P$265=0,"—",IF(parametros_recargas!$O$79=0,$N$7,IF(J9&lt;=$O$9,$N$2,IF(parametros_recargas!$D$79="Tercerizado",$N$6,IF(J$129&lt;$O$11,IF(parametros_recargas!$D$79="Manual",$N$5,$N$4),IF(J73&lt;$O$10,$N$3,IF(J9&lt;=1,$N$7,IF(parametros_recargas!$D$79="Manual",$N$5,$N$4))))))))</f>
        <v>OK</v>
      </c>
      <c r="K137" s="9" t="str">
        <f aca="false">IF('Demanda por puesto'!$P$297=0,"—",IF(parametros_recargas!$O$79=0,$N$7,IF(K9&lt;=$O$9,$N$2,IF(parametros_recargas!$D$79="Tercerizado",$N$6,IF(K$129&lt;$O$11,IF(parametros_recargas!$D$79="Manual",$N$5,$N$4),IF(K73&lt;$O$10,$N$3,IF(K9&lt;=1,$N$7,IF(parametros_recargas!$D$79="Manual",$N$5,$N$4))))))))</f>
        <v>OK</v>
      </c>
    </row>
    <row r="138" customFormat="false" ht="15" hidden="false" customHeight="false" outlineLevel="0" collapsed="false">
      <c r="A138" s="9" t="str">
        <f aca="false">parametros_recargas!$B$80</f>
        <v>Desarme y limpieza — recinto</v>
      </c>
      <c r="B138" s="9" t="str">
        <f aca="false">IF('Demanda por puesto'!$P$10=0,"—",IF(parametros_recargas!$O$80=0,$N$7,IF(B10&lt;=$O$9,$N$2,IF(parametros_recargas!$D$80="Tercerizado",$N$6,IF(B$129&lt;$O$11,IF(parametros_recargas!$D$80="Manual",$N$5,$N$4),IF(B74&lt;$O$10,$N$3,IF(B10&lt;=1,$N$7,IF(parametros_recargas!$D$80="Manual",$N$5,$N$4))))))))</f>
        <v>OK</v>
      </c>
      <c r="C138" s="9" t="str">
        <f aca="false">IF('Demanda por puesto'!$P$42=0,"—",IF(parametros_recargas!$O$80=0,$N$7,IF(C10&lt;=$O$9,$N$2,IF(parametros_recargas!$D$80="Tercerizado",$N$6,IF(C$129&lt;$O$11,IF(parametros_recargas!$D$80="Manual",$N$5,$N$4),IF(C74&lt;$O$10,$N$3,IF(C10&lt;=1,$N$7,IF(parametros_recargas!$D$80="Manual",$N$5,$N$4))))))))</f>
        <v>OK</v>
      </c>
      <c r="D138" s="9" t="str">
        <f aca="false">IF('Demanda por puesto'!$P$74=0,"—",IF(parametros_recargas!$O$80=0,$N$7,IF(D10&lt;=$O$9,$N$2,IF(parametros_recargas!$D$80="Tercerizado",$N$6,IF(D$129&lt;$O$11,IF(parametros_recargas!$D$80="Manual",$N$5,$N$4),IF(D74&lt;$O$10,$N$3,IF(D10&lt;=1,$N$7,IF(parametros_recargas!$D$80="Manual",$N$5,$N$4))))))))</f>
        <v>OK</v>
      </c>
      <c r="E138" s="9" t="str">
        <f aca="false">IF('Demanda por puesto'!$P$106=0,"—",IF(parametros_recargas!$O$80=0,$N$7,IF(E10&lt;=$O$9,$N$2,IF(parametros_recargas!$D$80="Tercerizado",$N$6,IF(E$129&lt;$O$11,IF(parametros_recargas!$D$80="Manual",$N$5,$N$4),IF(E74&lt;$O$10,$N$3,IF(E10&lt;=1,$N$7,IF(parametros_recargas!$D$80="Manual",$N$5,$N$4))))))))</f>
        <v>OK</v>
      </c>
      <c r="F138" s="9" t="str">
        <f aca="false">IF('Demanda por puesto'!$P$138=0,"—",IF(parametros_recargas!$O$80=0,$N$7,IF(F10&lt;=$O$9,$N$2,IF(parametros_recargas!$D$80="Tercerizado",$N$6,IF(F$129&lt;$O$11,IF(parametros_recargas!$D$80="Manual",$N$5,$N$4),IF(F74&lt;$O$10,$N$3,IF(F10&lt;=1,$N$7,IF(parametros_recargas!$D$80="Manual",$N$5,$N$4))))))))</f>
        <v>OK</v>
      </c>
      <c r="G138" s="9" t="str">
        <f aca="false">IF('Demanda por puesto'!$P$170=0,"—",IF(parametros_recargas!$O$80=0,$N$7,IF(G10&lt;=$O$9,$N$2,IF(parametros_recargas!$D$80="Tercerizado",$N$6,IF(G$129&lt;$O$11,IF(parametros_recargas!$D$80="Manual",$N$5,$N$4),IF(G74&lt;$O$10,$N$3,IF(G10&lt;=1,$N$7,IF(parametros_recargas!$D$80="Manual",$N$5,$N$4))))))))</f>
        <v>OK</v>
      </c>
      <c r="H138" s="9" t="str">
        <f aca="false">IF('Demanda por puesto'!$P$202=0,"—",IF(parametros_recargas!$O$80=0,$N$7,IF(H10&lt;=$O$9,$N$2,IF(parametros_recargas!$D$80="Tercerizado",$N$6,IF(H$129&lt;$O$11,IF(parametros_recargas!$D$80="Manual",$N$5,$N$4),IF(H74&lt;$O$10,$N$3,IF(H10&lt;=1,$N$7,IF(parametros_recargas!$D$80="Manual",$N$5,$N$4))))))))</f>
        <v>OK</v>
      </c>
      <c r="I138" s="9" t="str">
        <f aca="false">IF('Demanda por puesto'!$P$234=0,"—",IF(parametros_recargas!$O$80=0,$N$7,IF(I10&lt;=$O$9,$N$2,IF(parametros_recargas!$D$80="Tercerizado",$N$6,IF(I$129&lt;$O$11,IF(parametros_recargas!$D$80="Manual",$N$5,$N$4),IF(I74&lt;$O$10,$N$3,IF(I10&lt;=1,$N$7,IF(parametros_recargas!$D$80="Manual",$N$5,$N$4))))))))</f>
        <v>OK</v>
      </c>
      <c r="J138" s="9" t="str">
        <f aca="false">IF('Demanda por puesto'!$P$266=0,"—",IF(parametros_recargas!$O$80=0,$N$7,IF(J10&lt;=$O$9,$N$2,IF(parametros_recargas!$D$80="Tercerizado",$N$6,IF(J$129&lt;$O$11,IF(parametros_recargas!$D$80="Manual",$N$5,$N$4),IF(J74&lt;$O$10,$N$3,IF(J10&lt;=1,$N$7,IF(parametros_recargas!$D$80="Manual",$N$5,$N$4))))))))</f>
        <v>OK</v>
      </c>
      <c r="K138" s="9" t="str">
        <f aca="false">IF('Demanda por puesto'!$P$298=0,"—",IF(parametros_recargas!$O$80=0,$N$7,IF(K10&lt;=$O$9,$N$2,IF(parametros_recargas!$D$80="Tercerizado",$N$6,IF(K$129&lt;$O$11,IF(parametros_recargas!$D$80="Manual",$N$5,$N$4),IF(K74&lt;$O$10,$N$3,IF(K10&lt;=1,$N$7,IF(parametros_recargas!$D$80="Manual",$N$5,$N$4))))))))</f>
        <v>OK</v>
      </c>
    </row>
    <row r="139" customFormat="false" ht="15" hidden="false" customHeight="false" outlineLevel="0" collapsed="false">
      <c r="A139" s="9" t="str">
        <f aca="false">parametros_recargas!$B$81</f>
        <v>Desarme e inspección interior — zona general</v>
      </c>
      <c r="B139" s="9" t="str">
        <f aca="false">IF('Demanda por puesto'!$P$11=0,"—",IF(parametros_recargas!$O$81=0,$N$7,IF(B11&lt;=$O$9,$N$2,IF(parametros_recargas!$D$81="Tercerizado",$N$6,IF(B$129&lt;$O$11,IF(parametros_recargas!$D$81="Manual",$N$5,$N$4),IF(B75&lt;$O$10,$N$3,IF(B11&lt;=1,$N$7,IF(parametros_recargas!$D$81="Manual",$N$5,$N$4))))))))</f>
        <v>OK</v>
      </c>
      <c r="C139" s="9" t="str">
        <f aca="false">IF('Demanda por puesto'!$P$43=0,"—",IF(parametros_recargas!$O$81=0,$N$7,IF(C11&lt;=$O$9,$N$2,IF(parametros_recargas!$D$81="Tercerizado",$N$6,IF(C$129&lt;$O$11,IF(parametros_recargas!$D$81="Manual",$N$5,$N$4),IF(C75&lt;$O$10,$N$3,IF(C11&lt;=1,$N$7,IF(parametros_recargas!$D$81="Manual",$N$5,$N$4))))))))</f>
        <v>OK</v>
      </c>
      <c r="D139" s="9" t="str">
        <f aca="false">IF('Demanda por puesto'!$P$75=0,"—",IF(parametros_recargas!$O$81=0,$N$7,IF(D11&lt;=$O$9,$N$2,IF(parametros_recargas!$D$81="Tercerizado",$N$6,IF(D$129&lt;$O$11,IF(parametros_recargas!$D$81="Manual",$N$5,$N$4),IF(D75&lt;$O$10,$N$3,IF(D11&lt;=1,$N$7,IF(parametros_recargas!$D$81="Manual",$N$5,$N$4))))))))</f>
        <v>OK</v>
      </c>
      <c r="E139" s="9" t="str">
        <f aca="false">IF('Demanda por puesto'!$P$107=0,"—",IF(parametros_recargas!$O$81=0,$N$7,IF(E11&lt;=$O$9,$N$2,IF(parametros_recargas!$D$81="Tercerizado",$N$6,IF(E$129&lt;$O$11,IF(parametros_recargas!$D$81="Manual",$N$5,$N$4),IF(E75&lt;$O$10,$N$3,IF(E11&lt;=1,$N$7,IF(parametros_recargas!$D$81="Manual",$N$5,$N$4))))))))</f>
        <v>OK</v>
      </c>
      <c r="F139" s="9" t="str">
        <f aca="false">IF('Demanda por puesto'!$P$139=0,"—",IF(parametros_recargas!$O$81=0,$N$7,IF(F11&lt;=$O$9,$N$2,IF(parametros_recargas!$D$81="Tercerizado",$N$6,IF(F$129&lt;$O$11,IF(parametros_recargas!$D$81="Manual",$N$5,$N$4),IF(F75&lt;$O$10,$N$3,IF(F11&lt;=1,$N$7,IF(parametros_recargas!$D$81="Manual",$N$5,$N$4))))))))</f>
        <v>OK</v>
      </c>
      <c r="G139" s="9" t="str">
        <f aca="false">IF('Demanda por puesto'!$P$171=0,"—",IF(parametros_recargas!$O$81=0,$N$7,IF(G11&lt;=$O$9,$N$2,IF(parametros_recargas!$D$81="Tercerizado",$N$6,IF(G$129&lt;$O$11,IF(parametros_recargas!$D$81="Manual",$N$5,$N$4),IF(G75&lt;$O$10,$N$3,IF(G11&lt;=1,$N$7,IF(parametros_recargas!$D$81="Manual",$N$5,$N$4))))))))</f>
        <v>OK</v>
      </c>
      <c r="H139" s="9" t="str">
        <f aca="false">IF('Demanda por puesto'!$P$203=0,"—",IF(parametros_recargas!$O$81=0,$N$7,IF(H11&lt;=$O$9,$N$2,IF(parametros_recargas!$D$81="Tercerizado",$N$6,IF(H$129&lt;$O$11,IF(parametros_recargas!$D$81="Manual",$N$5,$N$4),IF(H75&lt;$O$10,$N$3,IF(H11&lt;=1,$N$7,IF(parametros_recargas!$D$81="Manual",$N$5,$N$4))))))))</f>
        <v>OK</v>
      </c>
      <c r="I139" s="9" t="str">
        <f aca="false">IF('Demanda por puesto'!$P$235=0,"—",IF(parametros_recargas!$O$81=0,$N$7,IF(I11&lt;=$O$9,$N$2,IF(parametros_recargas!$D$81="Tercerizado",$N$6,IF(I$129&lt;$O$11,IF(parametros_recargas!$D$81="Manual",$N$5,$N$4),IF(I75&lt;$O$10,$N$3,IF(I11&lt;=1,$N$7,IF(parametros_recargas!$D$81="Manual",$N$5,$N$4))))))))</f>
        <v>OK</v>
      </c>
      <c r="J139" s="9" t="str">
        <f aca="false">IF('Demanda por puesto'!$P$267=0,"—",IF(parametros_recargas!$O$81=0,$N$7,IF(J11&lt;=$O$9,$N$2,IF(parametros_recargas!$D$81="Tercerizado",$N$6,IF(J$129&lt;$O$11,IF(parametros_recargas!$D$81="Manual",$N$5,$N$4),IF(J75&lt;$O$10,$N$3,IF(J11&lt;=1,$N$7,IF(parametros_recargas!$D$81="Manual",$N$5,$N$4))))))))</f>
        <v>OK</v>
      </c>
      <c r="K139" s="9" t="str">
        <f aca="false">IF('Demanda por puesto'!$P$299=0,"—",IF(parametros_recargas!$O$81=0,$N$7,IF(K11&lt;=$O$9,$N$2,IF(parametros_recargas!$D$81="Tercerizado",$N$6,IF(K$129&lt;$O$11,IF(parametros_recargas!$D$81="Manual",$N$5,$N$4),IF(K75&lt;$O$10,$N$3,IF(K11&lt;=1,$N$7,IF(parametros_recargas!$D$81="Manual",$N$5,$N$4))))))))</f>
        <v>OK</v>
      </c>
    </row>
    <row r="140" customFormat="false" ht="15" hidden="false" customHeight="false" outlineLevel="0" collapsed="false">
      <c r="A140" s="9" t="str">
        <f aca="false">parametros_recargas!$B$82</f>
        <v>Laboratorio — Puffer y mufla</v>
      </c>
      <c r="B140" s="9" t="str">
        <f aca="false">IF('Demanda por puesto'!$P$12=0,"—",IF(parametros_recargas!$O$82=0,$N$7,IF(B12&lt;=$O$9,$N$2,IF(parametros_recargas!$D$82="Tercerizado",$N$6,IF(B$129&lt;$O$11,IF(parametros_recargas!$D$82="Manual",$N$5,$N$4),IF(B76&lt;$O$10,$N$3,IF(B12&lt;=1,$N$7,IF(parametros_recargas!$D$82="Manual",$N$5,$N$4))))))))</f>
        <v>OK</v>
      </c>
      <c r="C140" s="9" t="str">
        <f aca="false">IF('Demanda por puesto'!$P$44=0,"—",IF(parametros_recargas!$O$82=0,$N$7,IF(C12&lt;=$O$9,$N$2,IF(parametros_recargas!$D$82="Tercerizado",$N$6,IF(C$129&lt;$O$11,IF(parametros_recargas!$D$82="Manual",$N$5,$N$4),IF(C76&lt;$O$10,$N$3,IF(C12&lt;=1,$N$7,IF(parametros_recargas!$D$82="Manual",$N$5,$N$4))))))))</f>
        <v>OK</v>
      </c>
      <c r="D140" s="9" t="str">
        <f aca="false">IF('Demanda por puesto'!$P$76=0,"—",IF(parametros_recargas!$O$82=0,$N$7,IF(D12&lt;=$O$9,$N$2,IF(parametros_recargas!$D$82="Tercerizado",$N$6,IF(D$129&lt;$O$11,IF(parametros_recargas!$D$82="Manual",$N$5,$N$4),IF(D76&lt;$O$10,$N$3,IF(D12&lt;=1,$N$7,IF(parametros_recargas!$D$82="Manual",$N$5,$N$4))))))))</f>
        <v>OK</v>
      </c>
      <c r="E140" s="9" t="str">
        <f aca="false">IF('Demanda por puesto'!$P$108=0,"—",IF(parametros_recargas!$O$82=0,$N$7,IF(E12&lt;=$O$9,$N$2,IF(parametros_recargas!$D$82="Tercerizado",$N$6,IF(E$129&lt;$O$11,IF(parametros_recargas!$D$82="Manual",$N$5,$N$4),IF(E76&lt;$O$10,$N$3,IF(E12&lt;=1,$N$7,IF(parametros_recargas!$D$82="Manual",$N$5,$N$4))))))))</f>
        <v>OK</v>
      </c>
      <c r="F140" s="9" t="str">
        <f aca="false">IF('Demanda por puesto'!$P$140=0,"—",IF(parametros_recargas!$O$82=0,$N$7,IF(F12&lt;=$O$9,$N$2,IF(parametros_recargas!$D$82="Tercerizado",$N$6,IF(F$129&lt;$O$11,IF(parametros_recargas!$D$82="Manual",$N$5,$N$4),IF(F76&lt;$O$10,$N$3,IF(F12&lt;=1,$N$7,IF(parametros_recargas!$D$82="Manual",$N$5,$N$4))))))))</f>
        <v>OK</v>
      </c>
      <c r="G140" s="9" t="str">
        <f aca="false">IF('Demanda por puesto'!$P$172=0,"—",IF(parametros_recargas!$O$82=0,$N$7,IF(G12&lt;=$O$9,$N$2,IF(parametros_recargas!$D$82="Tercerizado",$N$6,IF(G$129&lt;$O$11,IF(parametros_recargas!$D$82="Manual",$N$5,$N$4),IF(G76&lt;$O$10,$N$3,IF(G12&lt;=1,$N$7,IF(parametros_recargas!$D$82="Manual",$N$5,$N$4))))))))</f>
        <v>OK</v>
      </c>
      <c r="H140" s="9" t="str">
        <f aca="false">IF('Demanda por puesto'!$P$204=0,"—",IF(parametros_recargas!$O$82=0,$N$7,IF(H12&lt;=$O$9,$N$2,IF(parametros_recargas!$D$82="Tercerizado",$N$6,IF(H$129&lt;$O$11,IF(parametros_recargas!$D$82="Manual",$N$5,$N$4),IF(H76&lt;$O$10,$N$3,IF(H12&lt;=1,$N$7,IF(parametros_recargas!$D$82="Manual",$N$5,$N$4))))))))</f>
        <v>OK</v>
      </c>
      <c r="I140" s="9" t="str">
        <f aca="false">IF('Demanda por puesto'!$P$236=0,"—",IF(parametros_recargas!$O$82=0,$N$7,IF(I12&lt;=$O$9,$N$2,IF(parametros_recargas!$D$82="Tercerizado",$N$6,IF(I$129&lt;$O$11,IF(parametros_recargas!$D$82="Manual",$N$5,$N$4),IF(I76&lt;$O$10,$N$3,IF(I12&lt;=1,$N$7,IF(parametros_recargas!$D$82="Manual",$N$5,$N$4))))))))</f>
        <v>OK</v>
      </c>
      <c r="J140" s="9" t="str">
        <f aca="false">IF('Demanda por puesto'!$P$268=0,"—",IF(parametros_recargas!$O$82=0,$N$7,IF(J12&lt;=$O$9,$N$2,IF(parametros_recargas!$D$82="Tercerizado",$N$6,IF(J$129&lt;$O$11,IF(parametros_recargas!$D$82="Manual",$N$5,$N$4),IF(J76&lt;$O$10,$N$3,IF(J12&lt;=1,$N$7,IF(parametros_recargas!$D$82="Manual",$N$5,$N$4))))))))</f>
        <v>OK</v>
      </c>
      <c r="K140" s="9" t="str">
        <f aca="false">IF('Demanda por puesto'!$P$300=0,"—",IF(parametros_recargas!$O$82=0,$N$7,IF(K12&lt;=$O$9,$N$2,IF(parametros_recargas!$D$82="Tercerizado",$N$6,IF(K$129&lt;$O$11,IF(parametros_recargas!$D$82="Manual",$N$5,$N$4),IF(K76&lt;$O$10,$N$3,IF(K12&lt;=1,$N$7,IF(parametros_recargas!$D$82="Manual",$N$5,$N$4))))))))</f>
        <v>OK</v>
      </c>
    </row>
    <row r="141" customFormat="false" ht="15" hidden="false" customHeight="false" outlineLevel="0" collapsed="false">
      <c r="A141" s="9" t="str">
        <f aca="false">parametros_recargas!$B$83</f>
        <v>Prueba hidráulica</v>
      </c>
      <c r="B141" s="9" t="str">
        <f aca="false">IF('Demanda por puesto'!$P$13=0,"—",IF(parametros_recargas!$O$83=0,$N$7,IF(B13&lt;=$O$9,$N$2,IF(parametros_recargas!$D$83="Tercerizado",$N$6,IF(B$129&lt;$O$11,IF(parametros_recargas!$D$83="Manual",$N$5,$N$4),IF(B77&lt;$O$10,$N$3,IF(B13&lt;=1,$N$7,IF(parametros_recargas!$D$83="Manual",$N$5,$N$4))))))))</f>
        <v>OK</v>
      </c>
      <c r="C141" s="9" t="str">
        <f aca="false">IF('Demanda por puesto'!$P$45=0,"—",IF(parametros_recargas!$O$83=0,$N$7,IF(C13&lt;=$O$9,$N$2,IF(parametros_recargas!$D$83="Tercerizado",$N$6,IF(C$129&lt;$O$11,IF(parametros_recargas!$D$83="Manual",$N$5,$N$4),IF(C77&lt;$O$10,$N$3,IF(C13&lt;=1,$N$7,IF(parametros_recargas!$D$83="Manual",$N$5,$N$4))))))))</f>
        <v>OK</v>
      </c>
      <c r="D141" s="9" t="str">
        <f aca="false">IF('Demanda por puesto'!$P$77=0,"—",IF(parametros_recargas!$O$83=0,$N$7,IF(D13&lt;=$O$9,$N$2,IF(parametros_recargas!$D$83="Tercerizado",$N$6,IF(D$129&lt;$O$11,IF(parametros_recargas!$D$83="Manual",$N$5,$N$4),IF(D77&lt;$O$10,$N$3,IF(D13&lt;=1,$N$7,IF(parametros_recargas!$D$83="Manual",$N$5,$N$4))))))))</f>
        <v>OK</v>
      </c>
      <c r="E141" s="9" t="str">
        <f aca="false">IF('Demanda por puesto'!$P$109=0,"—",IF(parametros_recargas!$O$83=0,$N$7,IF(E13&lt;=$O$9,$N$2,IF(parametros_recargas!$D$83="Tercerizado",$N$6,IF(E$129&lt;$O$11,IF(parametros_recargas!$D$83="Manual",$N$5,$N$4),IF(E77&lt;$O$10,$N$3,IF(E13&lt;=1,$N$7,IF(parametros_recargas!$D$83="Manual",$N$5,$N$4))))))))</f>
        <v>OK</v>
      </c>
      <c r="F141" s="9" t="str">
        <f aca="false">IF('Demanda por puesto'!$P$141=0,"—",IF(parametros_recargas!$O$83=0,$N$7,IF(F13&lt;=$O$9,$N$2,IF(parametros_recargas!$D$83="Tercerizado",$N$6,IF(F$129&lt;$O$11,IF(parametros_recargas!$D$83="Manual",$N$5,$N$4),IF(F77&lt;$O$10,$N$3,IF(F13&lt;=1,$N$7,IF(parametros_recargas!$D$83="Manual",$N$5,$N$4))))))))</f>
        <v>OK</v>
      </c>
      <c r="G141" s="9" t="str">
        <f aca="false">IF('Demanda por puesto'!$P$173=0,"—",IF(parametros_recargas!$O$83=0,$N$7,IF(G13&lt;=$O$9,$N$2,IF(parametros_recargas!$D$83="Tercerizado",$N$6,IF(G$129&lt;$O$11,IF(parametros_recargas!$D$83="Manual",$N$5,$N$4),IF(G77&lt;$O$10,$N$3,IF(G13&lt;=1,$N$7,IF(parametros_recargas!$D$83="Manual",$N$5,$N$4))))))))</f>
        <v>OK</v>
      </c>
      <c r="H141" s="9" t="str">
        <f aca="false">IF('Demanda por puesto'!$P$205=0,"—",IF(parametros_recargas!$O$83=0,$N$7,IF(H13&lt;=$O$9,$N$2,IF(parametros_recargas!$D$83="Tercerizado",$N$6,IF(H$129&lt;$O$11,IF(parametros_recargas!$D$83="Manual",$N$5,$N$4),IF(H77&lt;$O$10,$N$3,IF(H13&lt;=1,$N$7,IF(parametros_recargas!$D$83="Manual",$N$5,$N$4))))))))</f>
        <v>OK</v>
      </c>
      <c r="I141" s="9" t="str">
        <f aca="false">IF('Demanda por puesto'!$P$237=0,"—",IF(parametros_recargas!$O$83=0,$N$7,IF(I13&lt;=$O$9,$N$2,IF(parametros_recargas!$D$83="Tercerizado",$N$6,IF(I$129&lt;$O$11,IF(parametros_recargas!$D$83="Manual",$N$5,$N$4),IF(I77&lt;$O$10,$N$3,IF(I13&lt;=1,$N$7,IF(parametros_recargas!$D$83="Manual",$N$5,$N$4))))))))</f>
        <v>OK</v>
      </c>
      <c r="J141" s="9" t="str">
        <f aca="false">IF('Demanda por puesto'!$P$269=0,"—",IF(parametros_recargas!$O$83=0,$N$7,IF(J13&lt;=$O$9,$N$2,IF(parametros_recargas!$D$83="Tercerizado",$N$6,IF(J$129&lt;$O$11,IF(parametros_recargas!$D$83="Manual",$N$5,$N$4),IF(J77&lt;$O$10,$N$3,IF(J13&lt;=1,$N$7,IF(parametros_recargas!$D$83="Manual",$N$5,$N$4))))))))</f>
        <v>OK</v>
      </c>
      <c r="K141" s="9" t="str">
        <f aca="false">IF('Demanda por puesto'!$P$301=0,"—",IF(parametros_recargas!$O$83=0,$N$7,IF(K13&lt;=$O$9,$N$2,IF(parametros_recargas!$D$83="Tercerizado",$N$6,IF(K$129&lt;$O$11,IF(parametros_recargas!$D$83="Manual",$N$5,$N$4),IF(K77&lt;$O$10,$N$3,IF(K13&lt;=1,$N$7,IF(parametros_recargas!$D$83="Manual",$N$5,$N$4))))))))</f>
        <v>OK</v>
      </c>
    </row>
    <row r="142" customFormat="false" ht="15" hidden="false" customHeight="false" outlineLevel="0" collapsed="false">
      <c r="A142" s="9" t="str">
        <f aca="false">parametros_recargas!$B$84</f>
        <v>Secado</v>
      </c>
      <c r="B142" s="9" t="str">
        <f aca="false">IF('Demanda por puesto'!$P$14=0,"—",IF(parametros_recargas!$O$84=0,$N$7,IF(B14&lt;=$O$9,$N$2,IF(parametros_recargas!$D$84="Tercerizado",$N$6,IF(B$129&lt;$O$11,IF(parametros_recargas!$D$84="Manual",$N$5,$N$4),IF(B78&lt;$O$10,$N$3,IF(B14&lt;=1,$N$7,IF(parametros_recargas!$D$84="Manual",$N$5,$N$4))))))))</f>
        <v>OK</v>
      </c>
      <c r="C142" s="9" t="str">
        <f aca="false">IF('Demanda por puesto'!$P$46=0,"—",IF(parametros_recargas!$O$84=0,$N$7,IF(C14&lt;=$O$9,$N$2,IF(parametros_recargas!$D$84="Tercerizado",$N$6,IF(C$129&lt;$O$11,IF(parametros_recargas!$D$84="Manual",$N$5,$N$4),IF(C78&lt;$O$10,$N$3,IF(C14&lt;=1,$N$7,IF(parametros_recargas!$D$84="Manual",$N$5,$N$4))))))))</f>
        <v>OK</v>
      </c>
      <c r="D142" s="9" t="str">
        <f aca="false">IF('Demanda por puesto'!$P$78=0,"—",IF(parametros_recargas!$O$84=0,$N$7,IF(D14&lt;=$O$9,$N$2,IF(parametros_recargas!$D$84="Tercerizado",$N$6,IF(D$129&lt;$O$11,IF(parametros_recargas!$D$84="Manual",$N$5,$N$4),IF(D78&lt;$O$10,$N$3,IF(D14&lt;=1,$N$7,IF(parametros_recargas!$D$84="Manual",$N$5,$N$4))))))))</f>
        <v>OK</v>
      </c>
      <c r="E142" s="9" t="str">
        <f aca="false">IF('Demanda por puesto'!$P$110=0,"—",IF(parametros_recargas!$O$84=0,$N$7,IF(E14&lt;=$O$9,$N$2,IF(parametros_recargas!$D$84="Tercerizado",$N$6,IF(E$129&lt;$O$11,IF(parametros_recargas!$D$84="Manual",$N$5,$N$4),IF(E78&lt;$O$10,$N$3,IF(E14&lt;=1,$N$7,IF(parametros_recargas!$D$84="Manual",$N$5,$N$4))))))))</f>
        <v>OK</v>
      </c>
      <c r="F142" s="9" t="str">
        <f aca="false">IF('Demanda por puesto'!$P$142=0,"—",IF(parametros_recargas!$O$84=0,$N$7,IF(F14&lt;=$O$9,$N$2,IF(parametros_recargas!$D$84="Tercerizado",$N$6,IF(F$129&lt;$O$11,IF(parametros_recargas!$D$84="Manual",$N$5,$N$4),IF(F78&lt;$O$10,$N$3,IF(F14&lt;=1,$N$7,IF(parametros_recargas!$D$84="Manual",$N$5,$N$4))))))))</f>
        <v>OK</v>
      </c>
      <c r="G142" s="9" t="str">
        <f aca="false">IF('Demanda por puesto'!$P$174=0,"—",IF(parametros_recargas!$O$84=0,$N$7,IF(G14&lt;=$O$9,$N$2,IF(parametros_recargas!$D$84="Tercerizado",$N$6,IF(G$129&lt;$O$11,IF(parametros_recargas!$D$84="Manual",$N$5,$N$4),IF(G78&lt;$O$10,$N$3,IF(G14&lt;=1,$N$7,IF(parametros_recargas!$D$84="Manual",$N$5,$N$4))))))))</f>
        <v>OK</v>
      </c>
      <c r="H142" s="9" t="str">
        <f aca="false">IF('Demanda por puesto'!$P$206=0,"—",IF(parametros_recargas!$O$84=0,$N$7,IF(H14&lt;=$O$9,$N$2,IF(parametros_recargas!$D$84="Tercerizado",$N$6,IF(H$129&lt;$O$11,IF(parametros_recargas!$D$84="Manual",$N$5,$N$4),IF(H78&lt;$O$10,$N$3,IF(H14&lt;=1,$N$7,IF(parametros_recargas!$D$84="Manual",$N$5,$N$4))))))))</f>
        <v>OK</v>
      </c>
      <c r="I142" s="9" t="str">
        <f aca="false">IF('Demanda por puesto'!$P$238=0,"—",IF(parametros_recargas!$O$84=0,$N$7,IF(I14&lt;=$O$9,$N$2,IF(parametros_recargas!$D$84="Tercerizado",$N$6,IF(I$129&lt;$O$11,IF(parametros_recargas!$D$84="Manual",$N$5,$N$4),IF(I78&lt;$O$10,$N$3,IF(I14&lt;=1,$N$7,IF(parametros_recargas!$D$84="Manual",$N$5,$N$4))))))))</f>
        <v>OK</v>
      </c>
      <c r="J142" s="9" t="str">
        <f aca="false">IF('Demanda por puesto'!$P$270=0,"—",IF(parametros_recargas!$O$84=0,$N$7,IF(J14&lt;=$O$9,$N$2,IF(parametros_recargas!$D$84="Tercerizado",$N$6,IF(J$129&lt;$O$11,IF(parametros_recargas!$D$84="Manual",$N$5,$N$4),IF(J78&lt;$O$10,$N$3,IF(J14&lt;=1,$N$7,IF(parametros_recargas!$D$84="Manual",$N$5,$N$4))))))))</f>
        <v>OK</v>
      </c>
      <c r="K142" s="9" t="str">
        <f aca="false">IF('Demanda por puesto'!$P$302=0,"—",IF(parametros_recargas!$O$84=0,$N$7,IF(K14&lt;=$O$9,$N$2,IF(parametros_recargas!$D$84="Tercerizado",$N$6,IF(K$129&lt;$O$11,IF(parametros_recargas!$D$84="Manual",$N$5,$N$4),IF(K78&lt;$O$10,$N$3,IF(K14&lt;=1,$N$7,IF(parametros_recargas!$D$84="Manual",$N$5,$N$4))))))))</f>
        <v>OK</v>
      </c>
    </row>
    <row r="143" customFormat="false" ht="15" hidden="false" customHeight="false" outlineLevel="0" collapsed="false">
      <c r="A143" s="9" t="str">
        <f aca="false">parametros_recargas!$B$85</f>
        <v>Inspección interior con videoscopio</v>
      </c>
      <c r="B143" s="9" t="str">
        <f aca="false">IF('Demanda por puesto'!$P$15=0,"—",IF(parametros_recargas!$O$85=0,$N$7,IF(B15&lt;=$O$9,$N$2,IF(parametros_recargas!$D$85="Tercerizado",$N$6,IF(B$129&lt;$O$11,IF(parametros_recargas!$D$85="Manual",$N$5,$N$4),IF(B79&lt;$O$10,$N$3,IF(B15&lt;=1,$N$7,IF(parametros_recargas!$D$85="Manual",$N$5,$N$4))))))))</f>
        <v>OK</v>
      </c>
      <c r="C143" s="9" t="str">
        <f aca="false">IF('Demanda por puesto'!$P$47=0,"—",IF(parametros_recargas!$O$85=0,$N$7,IF(C15&lt;=$O$9,$N$2,IF(parametros_recargas!$D$85="Tercerizado",$N$6,IF(C$129&lt;$O$11,IF(parametros_recargas!$D$85="Manual",$N$5,$N$4),IF(C79&lt;$O$10,$N$3,IF(C15&lt;=1,$N$7,IF(parametros_recargas!$D$85="Manual",$N$5,$N$4))))))))</f>
        <v>OK</v>
      </c>
      <c r="D143" s="9" t="str">
        <f aca="false">IF('Demanda por puesto'!$P$79=0,"—",IF(parametros_recargas!$O$85=0,$N$7,IF(D15&lt;=$O$9,$N$2,IF(parametros_recargas!$D$85="Tercerizado",$N$6,IF(D$129&lt;$O$11,IF(parametros_recargas!$D$85="Manual",$N$5,$N$4),IF(D79&lt;$O$10,$N$3,IF(D15&lt;=1,$N$7,IF(parametros_recargas!$D$85="Manual",$N$5,$N$4))))))))</f>
        <v>OK</v>
      </c>
      <c r="E143" s="9" t="str">
        <f aca="false">IF('Demanda por puesto'!$P$111=0,"—",IF(parametros_recargas!$O$85=0,$N$7,IF(E15&lt;=$O$9,$N$2,IF(parametros_recargas!$D$85="Tercerizado",$N$6,IF(E$129&lt;$O$11,IF(parametros_recargas!$D$85="Manual",$N$5,$N$4),IF(E79&lt;$O$10,$N$3,IF(E15&lt;=1,$N$7,IF(parametros_recargas!$D$85="Manual",$N$5,$N$4))))))))</f>
        <v>OK</v>
      </c>
      <c r="F143" s="9" t="str">
        <f aca="false">IF('Demanda por puesto'!$P$143=0,"—",IF(parametros_recargas!$O$85=0,$N$7,IF(F15&lt;=$O$9,$N$2,IF(parametros_recargas!$D$85="Tercerizado",$N$6,IF(F$129&lt;$O$11,IF(parametros_recargas!$D$85="Manual",$N$5,$N$4),IF(F79&lt;$O$10,$N$3,IF(F15&lt;=1,$N$7,IF(parametros_recargas!$D$85="Manual",$N$5,$N$4))))))))</f>
        <v>OK</v>
      </c>
      <c r="G143" s="9" t="str">
        <f aca="false">IF('Demanda por puesto'!$P$175=0,"—",IF(parametros_recargas!$O$85=0,$N$7,IF(G15&lt;=$O$9,$N$2,IF(parametros_recargas!$D$85="Tercerizado",$N$6,IF(G$129&lt;$O$11,IF(parametros_recargas!$D$85="Manual",$N$5,$N$4),IF(G79&lt;$O$10,$N$3,IF(G15&lt;=1,$N$7,IF(parametros_recargas!$D$85="Manual",$N$5,$N$4))))))))</f>
        <v>OK</v>
      </c>
      <c r="H143" s="9" t="str">
        <f aca="false">IF('Demanda por puesto'!$P$207=0,"—",IF(parametros_recargas!$O$85=0,$N$7,IF(H15&lt;=$O$9,$N$2,IF(parametros_recargas!$D$85="Tercerizado",$N$6,IF(H$129&lt;$O$11,IF(parametros_recargas!$D$85="Manual",$N$5,$N$4),IF(H79&lt;$O$10,$N$3,IF(H15&lt;=1,$N$7,IF(parametros_recargas!$D$85="Manual",$N$5,$N$4))))))))</f>
        <v>OK</v>
      </c>
      <c r="I143" s="9" t="str">
        <f aca="false">IF('Demanda por puesto'!$P$239=0,"—",IF(parametros_recargas!$O$85=0,$N$7,IF(I15&lt;=$O$9,$N$2,IF(parametros_recargas!$D$85="Tercerizado",$N$6,IF(I$129&lt;$O$11,IF(parametros_recargas!$D$85="Manual",$N$5,$N$4),IF(I79&lt;$O$10,$N$3,IF(I15&lt;=1,$N$7,IF(parametros_recargas!$D$85="Manual",$N$5,$N$4))))))))</f>
        <v>OK</v>
      </c>
      <c r="J143" s="9" t="str">
        <f aca="false">IF('Demanda por puesto'!$P$271=0,"—",IF(parametros_recargas!$O$85=0,$N$7,IF(J15&lt;=$O$9,$N$2,IF(parametros_recargas!$D$85="Tercerizado",$N$6,IF(J$129&lt;$O$11,IF(parametros_recargas!$D$85="Manual",$N$5,$N$4),IF(J79&lt;$O$10,$N$3,IF(J15&lt;=1,$N$7,IF(parametros_recargas!$D$85="Manual",$N$5,$N$4))))))))</f>
        <v>OK</v>
      </c>
      <c r="K143" s="9" t="str">
        <f aca="false">IF('Demanda por puesto'!$P$303=0,"—",IF(parametros_recargas!$O$85=0,$N$7,IF(K15&lt;=$O$9,$N$2,IF(parametros_recargas!$D$85="Tercerizado",$N$6,IF(K$129&lt;$O$11,IF(parametros_recargas!$D$85="Manual",$N$5,$N$4),IF(K79&lt;$O$10,$N$3,IF(K15&lt;=1,$N$7,IF(parametros_recargas!$D$85="Manual",$N$5,$N$4))))))))</f>
        <v>OK</v>
      </c>
    </row>
    <row r="144" customFormat="false" ht="15" hidden="false" customHeight="false" outlineLevel="0" collapsed="false">
      <c r="A144" s="9" t="str">
        <f aca="false">parametros_recargas!$B$86</f>
        <v>Pintura</v>
      </c>
      <c r="B144" s="9" t="str">
        <f aca="false">IF('Demanda por puesto'!$P$16=0,"—",IF(parametros_recargas!$O$86=0,$N$7,IF(B16&lt;=$O$9,$N$2,IF(parametros_recargas!$D$86="Tercerizado",$N$6,IF(B$129&lt;$O$11,IF(parametros_recargas!$D$86="Manual",$N$5,$N$4),IF(B80&lt;$O$10,$N$3,IF(B16&lt;=1,$N$7,IF(parametros_recargas!$D$86="Manual",$N$5,$N$4))))))))</f>
        <v>OK</v>
      </c>
      <c r="C144" s="9" t="str">
        <f aca="false">IF('Demanda por puesto'!$P$48=0,"—",IF(parametros_recargas!$O$86=0,$N$7,IF(C16&lt;=$O$9,$N$2,IF(parametros_recargas!$D$86="Tercerizado",$N$6,IF(C$129&lt;$O$11,IF(parametros_recargas!$D$86="Manual",$N$5,$N$4),IF(C80&lt;$O$10,$N$3,IF(C16&lt;=1,$N$7,IF(parametros_recargas!$D$86="Manual",$N$5,$N$4))))))))</f>
        <v>OK</v>
      </c>
      <c r="D144" s="9" t="str">
        <f aca="false">IF('Demanda por puesto'!$P$80=0,"—",IF(parametros_recargas!$O$86=0,$N$7,IF(D16&lt;=$O$9,$N$2,IF(parametros_recargas!$D$86="Tercerizado",$N$6,IF(D$129&lt;$O$11,IF(parametros_recargas!$D$86="Manual",$N$5,$N$4),IF(D80&lt;$O$10,$N$3,IF(D16&lt;=1,$N$7,IF(parametros_recargas!$D$86="Manual",$N$5,$N$4))))))))</f>
        <v>OK</v>
      </c>
      <c r="E144" s="9" t="str">
        <f aca="false">IF('Demanda por puesto'!$P$112=0,"—",IF(parametros_recargas!$O$86=0,$N$7,IF(E16&lt;=$O$9,$N$2,IF(parametros_recargas!$D$86="Tercerizado",$N$6,IF(E$129&lt;$O$11,IF(parametros_recargas!$D$86="Manual",$N$5,$N$4),IF(E80&lt;$O$10,$N$3,IF(E16&lt;=1,$N$7,IF(parametros_recargas!$D$86="Manual",$N$5,$N$4))))))))</f>
        <v>OK</v>
      </c>
      <c r="F144" s="9" t="str">
        <f aca="false">IF('Demanda por puesto'!$P$144=0,"—",IF(parametros_recargas!$O$86=0,$N$7,IF(F16&lt;=$O$9,$N$2,IF(parametros_recargas!$D$86="Tercerizado",$N$6,IF(F$129&lt;$O$11,IF(parametros_recargas!$D$86="Manual",$N$5,$N$4),IF(F80&lt;$O$10,$N$3,IF(F16&lt;=1,$N$7,IF(parametros_recargas!$D$86="Manual",$N$5,$N$4))))))))</f>
        <v>OK</v>
      </c>
      <c r="G144" s="9" t="str">
        <f aca="false">IF('Demanda por puesto'!$P$176=0,"—",IF(parametros_recargas!$O$86=0,$N$7,IF(G16&lt;=$O$9,$N$2,IF(parametros_recargas!$D$86="Tercerizado",$N$6,IF(G$129&lt;$O$11,IF(parametros_recargas!$D$86="Manual",$N$5,$N$4),IF(G80&lt;$O$10,$N$3,IF(G16&lt;=1,$N$7,IF(parametros_recargas!$D$86="Manual",$N$5,$N$4))))))))</f>
        <v>OK</v>
      </c>
      <c r="H144" s="9" t="str">
        <f aca="false">IF('Demanda por puesto'!$P$208=0,"—",IF(parametros_recargas!$O$86=0,$N$7,IF(H16&lt;=$O$9,$N$2,IF(parametros_recargas!$D$86="Tercerizado",$N$6,IF(H$129&lt;$O$11,IF(parametros_recargas!$D$86="Manual",$N$5,$N$4),IF(H80&lt;$O$10,$N$3,IF(H16&lt;=1,$N$7,IF(parametros_recargas!$D$86="Manual",$N$5,$N$4))))))))</f>
        <v>OK</v>
      </c>
      <c r="I144" s="9" t="str">
        <f aca="false">IF('Demanda por puesto'!$P$240=0,"—",IF(parametros_recargas!$O$86=0,$N$7,IF(I16&lt;=$O$9,$N$2,IF(parametros_recargas!$D$86="Tercerizado",$N$6,IF(I$129&lt;$O$11,IF(parametros_recargas!$D$86="Manual",$N$5,$N$4),IF(I80&lt;$O$10,$N$3,IF(I16&lt;=1,$N$7,IF(parametros_recargas!$D$86="Manual",$N$5,$N$4))))))))</f>
        <v>OK</v>
      </c>
      <c r="J144" s="9" t="str">
        <f aca="false">IF('Demanda por puesto'!$P$272=0,"—",IF(parametros_recargas!$O$86=0,$N$7,IF(J16&lt;=$O$9,$N$2,IF(parametros_recargas!$D$86="Tercerizado",$N$6,IF(J$129&lt;$O$11,IF(parametros_recargas!$D$86="Manual",$N$5,$N$4),IF(J80&lt;$O$10,$N$3,IF(J16&lt;=1,$N$7,IF(parametros_recargas!$D$86="Manual",$N$5,$N$4))))))))</f>
        <v>OK</v>
      </c>
      <c r="K144" s="9" t="str">
        <f aca="false">IF('Demanda por puesto'!$P$304=0,"—",IF(parametros_recargas!$O$86=0,$N$7,IF(K16&lt;=$O$9,$N$2,IF(parametros_recargas!$D$86="Tercerizado",$N$6,IF(K$129&lt;$O$11,IF(parametros_recargas!$D$86="Manual",$N$5,$N$4),IF(K80&lt;$O$10,$N$3,IF(K16&lt;=1,$N$7,IF(parametros_recargas!$D$86="Manual",$N$5,$N$4))))))))</f>
        <v>OK</v>
      </c>
    </row>
    <row r="145" customFormat="false" ht="15" hidden="false" customHeight="false" outlineLevel="0" collapsed="false">
      <c r="A145" s="9" t="str">
        <f aca="false">parametros_recargas!$B$87</f>
        <v>Carga de polvo ABC</v>
      </c>
      <c r="B145" s="9" t="str">
        <f aca="false">IF('Demanda por puesto'!$P$17=0,"—",IF(parametros_recargas!$O$87=0,$N$7,IF(B17&lt;=$O$9,$N$2,IF(parametros_recargas!$D$87="Tercerizado",$N$6,IF(B$129&lt;$O$11,IF(parametros_recargas!$D$87="Manual",$N$5,$N$4),IF(B81&lt;$O$10,$N$3,IF(B17&lt;=1,$N$7,IF(parametros_recargas!$D$87="Manual",$N$5,$N$4))))))))</f>
        <v>OK</v>
      </c>
      <c r="C145" s="9" t="str">
        <f aca="false">IF('Demanda por puesto'!$P$49=0,"—",IF(parametros_recargas!$O$87=0,$N$7,IF(C17&lt;=$O$9,$N$2,IF(parametros_recargas!$D$87="Tercerizado",$N$6,IF(C$129&lt;$O$11,IF(parametros_recargas!$D$87="Manual",$N$5,$N$4),IF(C81&lt;$O$10,$N$3,IF(C17&lt;=1,$N$7,IF(parametros_recargas!$D$87="Manual",$N$5,$N$4))))))))</f>
        <v>OK</v>
      </c>
      <c r="D145" s="9" t="str">
        <f aca="false">IF('Demanda por puesto'!$P$81=0,"—",IF(parametros_recargas!$O$87=0,$N$7,IF(D17&lt;=$O$9,$N$2,IF(parametros_recargas!$D$87="Tercerizado",$N$6,IF(D$129&lt;$O$11,IF(parametros_recargas!$D$87="Manual",$N$5,$N$4),IF(D81&lt;$O$10,$N$3,IF(D17&lt;=1,$N$7,IF(parametros_recargas!$D$87="Manual",$N$5,$N$4))))))))</f>
        <v>OK</v>
      </c>
      <c r="E145" s="9" t="str">
        <f aca="false">IF('Demanda por puesto'!$P$113=0,"—",IF(parametros_recargas!$O$87=0,$N$7,IF(E17&lt;=$O$9,$N$2,IF(parametros_recargas!$D$87="Tercerizado",$N$6,IF(E$129&lt;$O$11,IF(parametros_recargas!$D$87="Manual",$N$5,$N$4),IF(E81&lt;$O$10,$N$3,IF(E17&lt;=1,$N$7,IF(parametros_recargas!$D$87="Manual",$N$5,$N$4))))))))</f>
        <v>OK</v>
      </c>
      <c r="F145" s="9" t="str">
        <f aca="false">IF('Demanda por puesto'!$P$145=0,"—",IF(parametros_recargas!$O$87=0,$N$7,IF(F17&lt;=$O$9,$N$2,IF(parametros_recargas!$D$87="Tercerizado",$N$6,IF(F$129&lt;$O$11,IF(parametros_recargas!$D$87="Manual",$N$5,$N$4),IF(F81&lt;$O$10,$N$3,IF(F17&lt;=1,$N$7,IF(parametros_recargas!$D$87="Manual",$N$5,$N$4))))))))</f>
        <v>OK</v>
      </c>
      <c r="G145" s="9" t="str">
        <f aca="false">IF('Demanda por puesto'!$P$177=0,"—",IF(parametros_recargas!$O$87=0,$N$7,IF(G17&lt;=$O$9,$N$2,IF(parametros_recargas!$D$87="Tercerizado",$N$6,IF(G$129&lt;$O$11,IF(parametros_recargas!$D$87="Manual",$N$5,$N$4),IF(G81&lt;$O$10,$N$3,IF(G17&lt;=1,$N$7,IF(parametros_recargas!$D$87="Manual",$N$5,$N$4))))))))</f>
        <v>OK</v>
      </c>
      <c r="H145" s="9" t="str">
        <f aca="false">IF('Demanda por puesto'!$P$209=0,"—",IF(parametros_recargas!$O$87=0,$N$7,IF(H17&lt;=$O$9,$N$2,IF(parametros_recargas!$D$87="Tercerizado",$N$6,IF(H$129&lt;$O$11,IF(parametros_recargas!$D$87="Manual",$N$5,$N$4),IF(H81&lt;$O$10,$N$3,IF(H17&lt;=1,$N$7,IF(parametros_recargas!$D$87="Manual",$N$5,$N$4))))))))</f>
        <v>OK</v>
      </c>
      <c r="I145" s="9" t="str">
        <f aca="false">IF('Demanda por puesto'!$P$241=0,"—",IF(parametros_recargas!$O$87=0,$N$7,IF(I17&lt;=$O$9,$N$2,IF(parametros_recargas!$D$87="Tercerizado",$N$6,IF(I$129&lt;$O$11,IF(parametros_recargas!$D$87="Manual",$N$5,$N$4),IF(I81&lt;$O$10,$N$3,IF(I17&lt;=1,$N$7,IF(parametros_recargas!$D$87="Manual",$N$5,$N$4))))))))</f>
        <v>OK</v>
      </c>
      <c r="J145" s="9" t="str">
        <f aca="false">IF('Demanda por puesto'!$P$273=0,"—",IF(parametros_recargas!$O$87=0,$N$7,IF(J17&lt;=$O$9,$N$2,IF(parametros_recargas!$D$87="Tercerizado",$N$6,IF(J$129&lt;$O$11,IF(parametros_recargas!$D$87="Manual",$N$5,$N$4),IF(J81&lt;$O$10,$N$3,IF(J17&lt;=1,$N$7,IF(parametros_recargas!$D$87="Manual",$N$5,$N$4))))))))</f>
        <v>OK</v>
      </c>
      <c r="K145" s="9" t="str">
        <f aca="false">IF('Demanda por puesto'!$P$305=0,"—",IF(parametros_recargas!$O$87=0,$N$7,IF(K17&lt;=$O$9,$N$2,IF(parametros_recargas!$D$87="Tercerizado",$N$6,IF(K$129&lt;$O$11,IF(parametros_recargas!$D$87="Manual",$N$5,$N$4),IF(K81&lt;$O$10,$N$3,IF(K17&lt;=1,$N$7,IF(parametros_recargas!$D$87="Manual",$N$5,$N$4))))))))</f>
        <v>OK</v>
      </c>
    </row>
    <row r="146" customFormat="false" ht="15" hidden="false" customHeight="false" outlineLevel="0" collapsed="false">
      <c r="A146" s="9" t="str">
        <f aca="false">parametros_recargas!$B$88</f>
        <v>Carga de polvo BC</v>
      </c>
      <c r="B146" s="9" t="str">
        <f aca="false">IF('Demanda por puesto'!$P$18=0,"—",IF(parametros_recargas!$O$88=0,$N$7,IF(B18&lt;=$O$9,$N$2,IF(parametros_recargas!$D$88="Tercerizado",$N$6,IF(B$129&lt;$O$11,IF(parametros_recargas!$D$88="Manual",$N$5,$N$4),IF(B82&lt;$O$10,$N$3,IF(B18&lt;=1,$N$7,IF(parametros_recargas!$D$88="Manual",$N$5,$N$4))))))))</f>
        <v>OK</v>
      </c>
      <c r="C146" s="9" t="str">
        <f aca="false">IF('Demanda por puesto'!$P$50=0,"—",IF(parametros_recargas!$O$88=0,$N$7,IF(C18&lt;=$O$9,$N$2,IF(parametros_recargas!$D$88="Tercerizado",$N$6,IF(C$129&lt;$O$11,IF(parametros_recargas!$D$88="Manual",$N$5,$N$4),IF(C82&lt;$O$10,$N$3,IF(C18&lt;=1,$N$7,IF(parametros_recargas!$D$88="Manual",$N$5,$N$4))))))))</f>
        <v>OK</v>
      </c>
      <c r="D146" s="9" t="str">
        <f aca="false">IF('Demanda por puesto'!$P$82=0,"—",IF(parametros_recargas!$O$88=0,$N$7,IF(D18&lt;=$O$9,$N$2,IF(parametros_recargas!$D$88="Tercerizado",$N$6,IF(D$129&lt;$O$11,IF(parametros_recargas!$D$88="Manual",$N$5,$N$4),IF(D82&lt;$O$10,$N$3,IF(D18&lt;=1,$N$7,IF(parametros_recargas!$D$88="Manual",$N$5,$N$4))))))))</f>
        <v>OK</v>
      </c>
      <c r="E146" s="9" t="str">
        <f aca="false">IF('Demanda por puesto'!$P$114=0,"—",IF(parametros_recargas!$O$88=0,$N$7,IF(E18&lt;=$O$9,$N$2,IF(parametros_recargas!$D$88="Tercerizado",$N$6,IF(E$129&lt;$O$11,IF(parametros_recargas!$D$88="Manual",$N$5,$N$4),IF(E82&lt;$O$10,$N$3,IF(E18&lt;=1,$N$7,IF(parametros_recargas!$D$88="Manual",$N$5,$N$4))))))))</f>
        <v>OK</v>
      </c>
      <c r="F146" s="9" t="str">
        <f aca="false">IF('Demanda por puesto'!$P$146=0,"—",IF(parametros_recargas!$O$88=0,$N$7,IF(F18&lt;=$O$9,$N$2,IF(parametros_recargas!$D$88="Tercerizado",$N$6,IF(F$129&lt;$O$11,IF(parametros_recargas!$D$88="Manual",$N$5,$N$4),IF(F82&lt;$O$10,$N$3,IF(F18&lt;=1,$N$7,IF(parametros_recargas!$D$88="Manual",$N$5,$N$4))))))))</f>
        <v>OK</v>
      </c>
      <c r="G146" s="9" t="str">
        <f aca="false">IF('Demanda por puesto'!$P$178=0,"—",IF(parametros_recargas!$O$88=0,$N$7,IF(G18&lt;=$O$9,$N$2,IF(parametros_recargas!$D$88="Tercerizado",$N$6,IF(G$129&lt;$O$11,IF(parametros_recargas!$D$88="Manual",$N$5,$N$4),IF(G82&lt;$O$10,$N$3,IF(G18&lt;=1,$N$7,IF(parametros_recargas!$D$88="Manual",$N$5,$N$4))))))))</f>
        <v>OK</v>
      </c>
      <c r="H146" s="9" t="str">
        <f aca="false">IF('Demanda por puesto'!$P$210=0,"—",IF(parametros_recargas!$O$88=0,$N$7,IF(H18&lt;=$O$9,$N$2,IF(parametros_recargas!$D$88="Tercerizado",$N$6,IF(H$129&lt;$O$11,IF(parametros_recargas!$D$88="Manual",$N$5,$N$4),IF(H82&lt;$O$10,$N$3,IF(H18&lt;=1,$N$7,IF(parametros_recargas!$D$88="Manual",$N$5,$N$4))))))))</f>
        <v>OK</v>
      </c>
      <c r="I146" s="9" t="str">
        <f aca="false">IF('Demanda por puesto'!$P$242=0,"—",IF(parametros_recargas!$O$88=0,$N$7,IF(I18&lt;=$O$9,$N$2,IF(parametros_recargas!$D$88="Tercerizado",$N$6,IF(I$129&lt;$O$11,IF(parametros_recargas!$D$88="Manual",$N$5,$N$4),IF(I82&lt;$O$10,$N$3,IF(I18&lt;=1,$N$7,IF(parametros_recargas!$D$88="Manual",$N$5,$N$4))))))))</f>
        <v>OK</v>
      </c>
      <c r="J146" s="9" t="str">
        <f aca="false">IF('Demanda por puesto'!$P$274=0,"—",IF(parametros_recargas!$O$88=0,$N$7,IF(J18&lt;=$O$9,$N$2,IF(parametros_recargas!$D$88="Tercerizado",$N$6,IF(J$129&lt;$O$11,IF(parametros_recargas!$D$88="Manual",$N$5,$N$4),IF(J82&lt;$O$10,$N$3,IF(J18&lt;=1,$N$7,IF(parametros_recargas!$D$88="Manual",$N$5,$N$4))))))))</f>
        <v>OK</v>
      </c>
      <c r="K146" s="9" t="str">
        <f aca="false">IF('Demanda por puesto'!$P$306=0,"—",IF(parametros_recargas!$O$88=0,$N$7,IF(K18&lt;=$O$9,$N$2,IF(parametros_recargas!$D$88="Tercerizado",$N$6,IF(K$129&lt;$O$11,IF(parametros_recargas!$D$88="Manual",$N$5,$N$4),IF(K82&lt;$O$10,$N$3,IF(K18&lt;=1,$N$7,IF(parametros_recargas!$D$88="Manual",$N$5,$N$4))))))))</f>
        <v>OK</v>
      </c>
    </row>
    <row r="147" customFormat="false" ht="15" hidden="false" customHeight="false" outlineLevel="0" collapsed="false">
      <c r="A147" s="9" t="str">
        <f aca="false">parametros_recargas!$B$89</f>
        <v>Descarga y carga Clase D</v>
      </c>
      <c r="B147" s="9" t="str">
        <f aca="false">IF('Demanda por puesto'!$P$19=0,"—",IF(parametros_recargas!$O$89=0,$N$7,IF(B19&lt;=$O$9,$N$2,IF(parametros_recargas!$D$89="Tercerizado",$N$6,IF(B$129&lt;$O$11,IF(parametros_recargas!$D$89="Manual",$N$5,$N$4),IF(B83&lt;$O$10,$N$3,IF(B19&lt;=1,$N$7,IF(parametros_recargas!$D$89="Manual",$N$5,$N$4))))))))</f>
        <v>OK</v>
      </c>
      <c r="C147" s="9" t="str">
        <f aca="false">IF('Demanda por puesto'!$P$51=0,"—",IF(parametros_recargas!$O$89=0,$N$7,IF(C19&lt;=$O$9,$N$2,IF(parametros_recargas!$D$89="Tercerizado",$N$6,IF(C$129&lt;$O$11,IF(parametros_recargas!$D$89="Manual",$N$5,$N$4),IF(C83&lt;$O$10,$N$3,IF(C19&lt;=1,$N$7,IF(parametros_recargas!$D$89="Manual",$N$5,$N$4))))))))</f>
        <v>OK</v>
      </c>
      <c r="D147" s="9" t="str">
        <f aca="false">IF('Demanda por puesto'!$P$83=0,"—",IF(parametros_recargas!$O$89=0,$N$7,IF(D19&lt;=$O$9,$N$2,IF(parametros_recargas!$D$89="Tercerizado",$N$6,IF(D$129&lt;$O$11,IF(parametros_recargas!$D$89="Manual",$N$5,$N$4),IF(D83&lt;$O$10,$N$3,IF(D19&lt;=1,$N$7,IF(parametros_recargas!$D$89="Manual",$N$5,$N$4))))))))</f>
        <v>OK</v>
      </c>
      <c r="E147" s="9" t="str">
        <f aca="false">IF('Demanda por puesto'!$P$115=0,"—",IF(parametros_recargas!$O$89=0,$N$7,IF(E19&lt;=$O$9,$N$2,IF(parametros_recargas!$D$89="Tercerizado",$N$6,IF(E$129&lt;$O$11,IF(parametros_recargas!$D$89="Manual",$N$5,$N$4),IF(E83&lt;$O$10,$N$3,IF(E19&lt;=1,$N$7,IF(parametros_recargas!$D$89="Manual",$N$5,$N$4))))))))</f>
        <v>OK</v>
      </c>
      <c r="F147" s="9" t="str">
        <f aca="false">IF('Demanda por puesto'!$P$147=0,"—",IF(parametros_recargas!$O$89=0,$N$7,IF(F19&lt;=$O$9,$N$2,IF(parametros_recargas!$D$89="Tercerizado",$N$6,IF(F$129&lt;$O$11,IF(parametros_recargas!$D$89="Manual",$N$5,$N$4),IF(F83&lt;$O$10,$N$3,IF(F19&lt;=1,$N$7,IF(parametros_recargas!$D$89="Manual",$N$5,$N$4))))))))</f>
        <v>OK</v>
      </c>
      <c r="G147" s="9" t="str">
        <f aca="false">IF('Demanda por puesto'!$P$179=0,"—",IF(parametros_recargas!$O$89=0,$N$7,IF(G19&lt;=$O$9,$N$2,IF(parametros_recargas!$D$89="Tercerizado",$N$6,IF(G$129&lt;$O$11,IF(parametros_recargas!$D$89="Manual",$N$5,$N$4),IF(G83&lt;$O$10,$N$3,IF(G19&lt;=1,$N$7,IF(parametros_recargas!$D$89="Manual",$N$5,$N$4))))))))</f>
        <v>OK</v>
      </c>
      <c r="H147" s="9" t="str">
        <f aca="false">IF('Demanda por puesto'!$P$211=0,"—",IF(parametros_recargas!$O$89=0,$N$7,IF(H19&lt;=$O$9,$N$2,IF(parametros_recargas!$D$89="Tercerizado",$N$6,IF(H$129&lt;$O$11,IF(parametros_recargas!$D$89="Manual",$N$5,$N$4),IF(H83&lt;$O$10,$N$3,IF(H19&lt;=1,$N$7,IF(parametros_recargas!$D$89="Manual",$N$5,$N$4))))))))</f>
        <v>OK</v>
      </c>
      <c r="I147" s="9" t="str">
        <f aca="false">IF('Demanda por puesto'!$P$243=0,"—",IF(parametros_recargas!$O$89=0,$N$7,IF(I19&lt;=$O$9,$N$2,IF(parametros_recargas!$D$89="Tercerizado",$N$6,IF(I$129&lt;$O$11,IF(parametros_recargas!$D$89="Manual",$N$5,$N$4),IF(I83&lt;$O$10,$N$3,IF(I19&lt;=1,$N$7,IF(parametros_recargas!$D$89="Manual",$N$5,$N$4))))))))</f>
        <v>OK</v>
      </c>
      <c r="J147" s="9" t="str">
        <f aca="false">IF('Demanda por puesto'!$P$275=0,"—",IF(parametros_recargas!$O$89=0,$N$7,IF(J19&lt;=$O$9,$N$2,IF(parametros_recargas!$D$89="Tercerizado",$N$6,IF(J$129&lt;$O$11,IF(parametros_recargas!$D$89="Manual",$N$5,$N$4),IF(J83&lt;$O$10,$N$3,IF(J19&lt;=1,$N$7,IF(parametros_recargas!$D$89="Manual",$N$5,$N$4))))))))</f>
        <v>OK</v>
      </c>
      <c r="K147" s="9" t="str">
        <f aca="false">IF('Demanda por puesto'!$P$307=0,"—",IF(parametros_recargas!$O$89=0,$N$7,IF(K19&lt;=$O$9,$N$2,IF(parametros_recargas!$D$89="Tercerizado",$N$6,IF(K$129&lt;$O$11,IF(parametros_recargas!$D$89="Manual",$N$5,$N$4),IF(K83&lt;$O$10,$N$3,IF(K19&lt;=1,$N$7,IF(parametros_recargas!$D$89="Manual",$N$5,$N$4))))))))</f>
        <v>OK</v>
      </c>
    </row>
    <row r="148" customFormat="false" ht="15" hidden="false" customHeight="false" outlineLevel="0" collapsed="false">
      <c r="A148" s="9" t="str">
        <f aca="false">parametros_recargas!$B$90</f>
        <v>Carga de agua / AFFF / sales K</v>
      </c>
      <c r="B148" s="9" t="str">
        <f aca="false">IF('Demanda por puesto'!$P$20=0,"—",IF(parametros_recargas!$O$90=0,$N$7,IF(B20&lt;=$O$9,$N$2,IF(parametros_recargas!$D$90="Tercerizado",$N$6,IF(B$129&lt;$O$11,IF(parametros_recargas!$D$90="Manual",$N$5,$N$4),IF(B84&lt;$O$10,$N$3,IF(B20&lt;=1,$N$7,IF(parametros_recargas!$D$90="Manual",$N$5,$N$4))))))))</f>
        <v>OK</v>
      </c>
      <c r="C148" s="9" t="str">
        <f aca="false">IF('Demanda por puesto'!$P$52=0,"—",IF(parametros_recargas!$O$90=0,$N$7,IF(C20&lt;=$O$9,$N$2,IF(parametros_recargas!$D$90="Tercerizado",$N$6,IF(C$129&lt;$O$11,IF(parametros_recargas!$D$90="Manual",$N$5,$N$4),IF(C84&lt;$O$10,$N$3,IF(C20&lt;=1,$N$7,IF(parametros_recargas!$D$90="Manual",$N$5,$N$4))))))))</f>
        <v>OK</v>
      </c>
      <c r="D148" s="9" t="str">
        <f aca="false">IF('Demanda por puesto'!$P$84=0,"—",IF(parametros_recargas!$O$90=0,$N$7,IF(D20&lt;=$O$9,$N$2,IF(parametros_recargas!$D$90="Tercerizado",$N$6,IF(D$129&lt;$O$11,IF(parametros_recargas!$D$90="Manual",$N$5,$N$4),IF(D84&lt;$O$10,$N$3,IF(D20&lt;=1,$N$7,IF(parametros_recargas!$D$90="Manual",$N$5,$N$4))))))))</f>
        <v>OK</v>
      </c>
      <c r="E148" s="9" t="str">
        <f aca="false">IF('Demanda por puesto'!$P$116=0,"—",IF(parametros_recargas!$O$90=0,$N$7,IF(E20&lt;=$O$9,$N$2,IF(parametros_recargas!$D$90="Tercerizado",$N$6,IF(E$129&lt;$O$11,IF(parametros_recargas!$D$90="Manual",$N$5,$N$4),IF(E84&lt;$O$10,$N$3,IF(E20&lt;=1,$N$7,IF(parametros_recargas!$D$90="Manual",$N$5,$N$4))))))))</f>
        <v>OK</v>
      </c>
      <c r="F148" s="9" t="str">
        <f aca="false">IF('Demanda por puesto'!$P$148=0,"—",IF(parametros_recargas!$O$90=0,$N$7,IF(F20&lt;=$O$9,$N$2,IF(parametros_recargas!$D$90="Tercerizado",$N$6,IF(F$129&lt;$O$11,IF(parametros_recargas!$D$90="Manual",$N$5,$N$4),IF(F84&lt;$O$10,$N$3,IF(F20&lt;=1,$N$7,IF(parametros_recargas!$D$90="Manual",$N$5,$N$4))))))))</f>
        <v>OK</v>
      </c>
      <c r="G148" s="9" t="str">
        <f aca="false">IF('Demanda por puesto'!$P$180=0,"—",IF(parametros_recargas!$O$90=0,$N$7,IF(G20&lt;=$O$9,$N$2,IF(parametros_recargas!$D$90="Tercerizado",$N$6,IF(G$129&lt;$O$11,IF(parametros_recargas!$D$90="Manual",$N$5,$N$4),IF(G84&lt;$O$10,$N$3,IF(G20&lt;=1,$N$7,IF(parametros_recargas!$D$90="Manual",$N$5,$N$4))))))))</f>
        <v>OK</v>
      </c>
      <c r="H148" s="9" t="str">
        <f aca="false">IF('Demanda por puesto'!$P$212=0,"—",IF(parametros_recargas!$O$90=0,$N$7,IF(H20&lt;=$O$9,$N$2,IF(parametros_recargas!$D$90="Tercerizado",$N$6,IF(H$129&lt;$O$11,IF(parametros_recargas!$D$90="Manual",$N$5,$N$4),IF(H84&lt;$O$10,$N$3,IF(H20&lt;=1,$N$7,IF(parametros_recargas!$D$90="Manual",$N$5,$N$4))))))))</f>
        <v>OK</v>
      </c>
      <c r="I148" s="9" t="str">
        <f aca="false">IF('Demanda por puesto'!$P$244=0,"—",IF(parametros_recargas!$O$90=0,$N$7,IF(I20&lt;=$O$9,$N$2,IF(parametros_recargas!$D$90="Tercerizado",$N$6,IF(I$129&lt;$O$11,IF(parametros_recargas!$D$90="Manual",$N$5,$N$4),IF(I84&lt;$O$10,$N$3,IF(I20&lt;=1,$N$7,IF(parametros_recargas!$D$90="Manual",$N$5,$N$4))))))))</f>
        <v>OK</v>
      </c>
      <c r="J148" s="9" t="str">
        <f aca="false">IF('Demanda por puesto'!$P$276=0,"—",IF(parametros_recargas!$O$90=0,$N$7,IF(J20&lt;=$O$9,$N$2,IF(parametros_recargas!$D$90="Tercerizado",$N$6,IF(J$129&lt;$O$11,IF(parametros_recargas!$D$90="Manual",$N$5,$N$4),IF(J84&lt;$O$10,$N$3,IF(J20&lt;=1,$N$7,IF(parametros_recargas!$D$90="Manual",$N$5,$N$4))))))))</f>
        <v>OK</v>
      </c>
      <c r="K148" s="9" t="str">
        <f aca="false">IF('Demanda por puesto'!$P$308=0,"—",IF(parametros_recargas!$O$90=0,$N$7,IF(K20&lt;=$O$9,$N$2,IF(parametros_recargas!$D$90="Tercerizado",$N$6,IF(K$129&lt;$O$11,IF(parametros_recargas!$D$90="Manual",$N$5,$N$4),IF(K84&lt;$O$10,$N$3,IF(K20&lt;=1,$N$7,IF(parametros_recargas!$D$90="Manual",$N$5,$N$4))))))))</f>
        <v>OK</v>
      </c>
    </row>
    <row r="149" customFormat="false" ht="15" hidden="false" customHeight="false" outlineLevel="0" collapsed="false">
      <c r="A149" s="9" t="str">
        <f aca="false">parametros_recargas!$B$91</f>
        <v>Carga de CO₂</v>
      </c>
      <c r="B149" s="9" t="str">
        <f aca="false">IF('Demanda por puesto'!$P$21=0,"—",IF(parametros_recargas!$O$91=0,$N$7,IF(B21&lt;=$O$9,$N$2,IF(parametros_recargas!$D$91="Tercerizado",$N$6,IF(B$129&lt;$O$11,IF(parametros_recargas!$D$91="Manual",$N$5,$N$4),IF(B85&lt;$O$10,$N$3,IF(B21&lt;=1,$N$7,IF(parametros_recargas!$D$91="Manual",$N$5,$N$4))))))))</f>
        <v>OK</v>
      </c>
      <c r="C149" s="9" t="str">
        <f aca="false">IF('Demanda por puesto'!$P$53=0,"—",IF(parametros_recargas!$O$91=0,$N$7,IF(C21&lt;=$O$9,$N$2,IF(parametros_recargas!$D$91="Tercerizado",$N$6,IF(C$129&lt;$O$11,IF(parametros_recargas!$D$91="Manual",$N$5,$N$4),IF(C85&lt;$O$10,$N$3,IF(C21&lt;=1,$N$7,IF(parametros_recargas!$D$91="Manual",$N$5,$N$4))))))))</f>
        <v>OK</v>
      </c>
      <c r="D149" s="9" t="str">
        <f aca="false">IF('Demanda por puesto'!$P$85=0,"—",IF(parametros_recargas!$O$91=0,$N$7,IF(D21&lt;=$O$9,$N$2,IF(parametros_recargas!$D$91="Tercerizado",$N$6,IF(D$129&lt;$O$11,IF(parametros_recargas!$D$91="Manual",$N$5,$N$4),IF(D85&lt;$O$10,$N$3,IF(D21&lt;=1,$N$7,IF(parametros_recargas!$D$91="Manual",$N$5,$N$4))))))))</f>
        <v>OK</v>
      </c>
      <c r="E149" s="9" t="str">
        <f aca="false">IF('Demanda por puesto'!$P$117=0,"—",IF(parametros_recargas!$O$91=0,$N$7,IF(E21&lt;=$O$9,$N$2,IF(parametros_recargas!$D$91="Tercerizado",$N$6,IF(E$129&lt;$O$11,IF(parametros_recargas!$D$91="Manual",$N$5,$N$4),IF(E85&lt;$O$10,$N$3,IF(E21&lt;=1,$N$7,IF(parametros_recargas!$D$91="Manual",$N$5,$N$4))))))))</f>
        <v>OK</v>
      </c>
      <c r="F149" s="9" t="str">
        <f aca="false">IF('Demanda por puesto'!$P$149=0,"—",IF(parametros_recargas!$O$91=0,$N$7,IF(F21&lt;=$O$9,$N$2,IF(parametros_recargas!$D$91="Tercerizado",$N$6,IF(F$129&lt;$O$11,IF(parametros_recargas!$D$91="Manual",$N$5,$N$4),IF(F85&lt;$O$10,$N$3,IF(F21&lt;=1,$N$7,IF(parametros_recargas!$D$91="Manual",$N$5,$N$4))))))))</f>
        <v>OK</v>
      </c>
      <c r="G149" s="9" t="str">
        <f aca="false">IF('Demanda por puesto'!$P$181=0,"—",IF(parametros_recargas!$O$91=0,$N$7,IF(G21&lt;=$O$9,$N$2,IF(parametros_recargas!$D$91="Tercerizado",$N$6,IF(G$129&lt;$O$11,IF(parametros_recargas!$D$91="Manual",$N$5,$N$4),IF(G85&lt;$O$10,$N$3,IF(G21&lt;=1,$N$7,IF(parametros_recargas!$D$91="Manual",$N$5,$N$4))))))))</f>
        <v>OK</v>
      </c>
      <c r="H149" s="9" t="str">
        <f aca="false">IF('Demanda por puesto'!$P$213=0,"—",IF(parametros_recargas!$O$91=0,$N$7,IF(H21&lt;=$O$9,$N$2,IF(parametros_recargas!$D$91="Tercerizado",$N$6,IF(H$129&lt;$O$11,IF(parametros_recargas!$D$91="Manual",$N$5,$N$4),IF(H85&lt;$O$10,$N$3,IF(H21&lt;=1,$N$7,IF(parametros_recargas!$D$91="Manual",$N$5,$N$4))))))))</f>
        <v>OK</v>
      </c>
      <c r="I149" s="9" t="str">
        <f aca="false">IF('Demanda por puesto'!$P$245=0,"—",IF(parametros_recargas!$O$91=0,$N$7,IF(I21&lt;=$O$9,$N$2,IF(parametros_recargas!$D$91="Tercerizado",$N$6,IF(I$129&lt;$O$11,IF(parametros_recargas!$D$91="Manual",$N$5,$N$4),IF(I85&lt;$O$10,$N$3,IF(I21&lt;=1,$N$7,IF(parametros_recargas!$D$91="Manual",$N$5,$N$4))))))))</f>
        <v>OK</v>
      </c>
      <c r="J149" s="9" t="str">
        <f aca="false">IF('Demanda por puesto'!$P$277=0,"—",IF(parametros_recargas!$O$91=0,$N$7,IF(J21&lt;=$O$9,$N$2,IF(parametros_recargas!$D$91="Tercerizado",$N$6,IF(J$129&lt;$O$11,IF(parametros_recargas!$D$91="Manual",$N$5,$N$4),IF(J85&lt;$O$10,$N$3,IF(J21&lt;=1,$N$7,IF(parametros_recargas!$D$91="Manual",$N$5,$N$4))))))))</f>
        <v>OK</v>
      </c>
      <c r="K149" s="9" t="str">
        <f aca="false">IF('Demanda por puesto'!$P$309=0,"—",IF(parametros_recargas!$O$91=0,$N$7,IF(K21&lt;=$O$9,$N$2,IF(parametros_recargas!$D$91="Tercerizado",$N$6,IF(K$129&lt;$O$11,IF(parametros_recargas!$D$91="Manual",$N$5,$N$4),IF(K85&lt;$O$10,$N$3,IF(K21&lt;=1,$N$7,IF(parametros_recargas!$D$91="Manual",$N$5,$N$4))))))))</f>
        <v>OK</v>
      </c>
    </row>
    <row r="150" customFormat="false" ht="15" hidden="false" customHeight="false" outlineLevel="0" collapsed="false">
      <c r="A150" s="9" t="str">
        <f aca="false">parametros_recargas!$B$92</f>
        <v>Ensamblaje y marbete — recinto</v>
      </c>
      <c r="B150" s="9" t="str">
        <f aca="false">IF('Demanda por puesto'!$P$22=0,"—",IF(parametros_recargas!$O$92=0,$N$7,IF(B22&lt;=$O$9,$N$2,IF(parametros_recargas!$D$92="Tercerizado",$N$6,IF(B$129&lt;$O$11,IF(parametros_recargas!$D$92="Manual",$N$5,$N$4),IF(B86&lt;$O$10,$N$3,IF(B22&lt;=1,$N$7,IF(parametros_recargas!$D$92="Manual",$N$5,$N$4))))))))</f>
        <v>OK</v>
      </c>
      <c r="C150" s="9" t="str">
        <f aca="false">IF('Demanda por puesto'!$P$54=0,"—",IF(parametros_recargas!$O$92=0,$N$7,IF(C22&lt;=$O$9,$N$2,IF(parametros_recargas!$D$92="Tercerizado",$N$6,IF(C$129&lt;$O$11,IF(parametros_recargas!$D$92="Manual",$N$5,$N$4),IF(C86&lt;$O$10,$N$3,IF(C22&lt;=1,$N$7,IF(parametros_recargas!$D$92="Manual",$N$5,$N$4))))))))</f>
        <v>OK</v>
      </c>
      <c r="D150" s="9" t="str">
        <f aca="false">IF('Demanda por puesto'!$P$86=0,"—",IF(parametros_recargas!$O$92=0,$N$7,IF(D22&lt;=$O$9,$N$2,IF(parametros_recargas!$D$92="Tercerizado",$N$6,IF(D$129&lt;$O$11,IF(parametros_recargas!$D$92="Manual",$N$5,$N$4),IF(D86&lt;$O$10,$N$3,IF(D22&lt;=1,$N$7,IF(parametros_recargas!$D$92="Manual",$N$5,$N$4))))))))</f>
        <v>OK</v>
      </c>
      <c r="E150" s="9" t="str">
        <f aca="false">IF('Demanda por puesto'!$P$118=0,"—",IF(parametros_recargas!$O$92=0,$N$7,IF(E22&lt;=$O$9,$N$2,IF(parametros_recargas!$D$92="Tercerizado",$N$6,IF(E$129&lt;$O$11,IF(parametros_recargas!$D$92="Manual",$N$5,$N$4),IF(E86&lt;$O$10,$N$3,IF(E22&lt;=1,$N$7,IF(parametros_recargas!$D$92="Manual",$N$5,$N$4))))))))</f>
        <v>OK</v>
      </c>
      <c r="F150" s="9" t="str">
        <f aca="false">IF('Demanda por puesto'!$P$150=0,"—",IF(parametros_recargas!$O$92=0,$N$7,IF(F22&lt;=$O$9,$N$2,IF(parametros_recargas!$D$92="Tercerizado",$N$6,IF(F$129&lt;$O$11,IF(parametros_recargas!$D$92="Manual",$N$5,$N$4),IF(F86&lt;$O$10,$N$3,IF(F22&lt;=1,$N$7,IF(parametros_recargas!$D$92="Manual",$N$5,$N$4))))))))</f>
        <v>OK</v>
      </c>
      <c r="G150" s="9" t="str">
        <f aca="false">IF('Demanda por puesto'!$P$182=0,"—",IF(parametros_recargas!$O$92=0,$N$7,IF(G22&lt;=$O$9,$N$2,IF(parametros_recargas!$D$92="Tercerizado",$N$6,IF(G$129&lt;$O$11,IF(parametros_recargas!$D$92="Manual",$N$5,$N$4),IF(G86&lt;$O$10,$N$3,IF(G22&lt;=1,$N$7,IF(parametros_recargas!$D$92="Manual",$N$5,$N$4))))))))</f>
        <v>OK</v>
      </c>
      <c r="H150" s="9" t="str">
        <f aca="false">IF('Demanda por puesto'!$P$214=0,"—",IF(parametros_recargas!$O$92=0,$N$7,IF(H22&lt;=$O$9,$N$2,IF(parametros_recargas!$D$92="Tercerizado",$N$6,IF(H$129&lt;$O$11,IF(parametros_recargas!$D$92="Manual",$N$5,$N$4),IF(H86&lt;$O$10,$N$3,IF(H22&lt;=1,$N$7,IF(parametros_recargas!$D$92="Manual",$N$5,$N$4))))))))</f>
        <v>OK</v>
      </c>
      <c r="I150" s="9" t="str">
        <f aca="false">IF('Demanda por puesto'!$P$246=0,"—",IF(parametros_recargas!$O$92=0,$N$7,IF(I22&lt;=$O$9,$N$2,IF(parametros_recargas!$D$92="Tercerizado",$N$6,IF(I$129&lt;$O$11,IF(parametros_recargas!$D$92="Manual",$N$5,$N$4),IF(I86&lt;$O$10,$N$3,IF(I22&lt;=1,$N$7,IF(parametros_recargas!$D$92="Manual",$N$5,$N$4))))))))</f>
        <v>OK</v>
      </c>
      <c r="J150" s="9" t="str">
        <f aca="false">IF('Demanda por puesto'!$P$278=0,"—",IF(parametros_recargas!$O$92=0,$N$7,IF(J22&lt;=$O$9,$N$2,IF(parametros_recargas!$D$92="Tercerizado",$N$6,IF(J$129&lt;$O$11,IF(parametros_recargas!$D$92="Manual",$N$5,$N$4),IF(J86&lt;$O$10,$N$3,IF(J22&lt;=1,$N$7,IF(parametros_recargas!$D$92="Manual",$N$5,$N$4))))))))</f>
        <v>OK</v>
      </c>
      <c r="K150" s="9" t="str">
        <f aca="false">IF('Demanda por puesto'!$P$310=0,"—",IF(parametros_recargas!$O$92=0,$N$7,IF(K22&lt;=$O$9,$N$2,IF(parametros_recargas!$D$92="Tercerizado",$N$6,IF(K$129&lt;$O$11,IF(parametros_recargas!$D$92="Manual",$N$5,$N$4),IF(K86&lt;$O$10,$N$3,IF(K22&lt;=1,$N$7,IF(parametros_recargas!$D$92="Manual",$N$5,$N$4))))))))</f>
        <v>OK</v>
      </c>
    </row>
    <row r="151" customFormat="false" ht="15" hidden="false" customHeight="false" outlineLevel="0" collapsed="false">
      <c r="A151" s="9" t="str">
        <f aca="false">parametros_recargas!$B$93</f>
        <v>Presurización — recinto</v>
      </c>
      <c r="B151" s="9" t="str">
        <f aca="false">IF('Demanda por puesto'!$P$23=0,"—",IF(parametros_recargas!$O$93=0,$N$7,IF(B23&lt;=$O$9,$N$2,IF(parametros_recargas!$D$93="Tercerizado",$N$6,IF(B$129&lt;$O$11,IF(parametros_recargas!$D$93="Manual",$N$5,$N$4),IF(B87&lt;$O$10,$N$3,IF(B23&lt;=1,$N$7,IF(parametros_recargas!$D$93="Manual",$N$5,$N$4))))))))</f>
        <v>OK</v>
      </c>
      <c r="C151" s="9" t="str">
        <f aca="false">IF('Demanda por puesto'!$P$55=0,"—",IF(parametros_recargas!$O$93=0,$N$7,IF(C23&lt;=$O$9,$N$2,IF(parametros_recargas!$D$93="Tercerizado",$N$6,IF(C$129&lt;$O$11,IF(parametros_recargas!$D$93="Manual",$N$5,$N$4),IF(C87&lt;$O$10,$N$3,IF(C23&lt;=1,$N$7,IF(parametros_recargas!$D$93="Manual",$N$5,$N$4))))))))</f>
        <v>OK</v>
      </c>
      <c r="D151" s="9" t="str">
        <f aca="false">IF('Demanda por puesto'!$P$87=0,"—",IF(parametros_recargas!$O$93=0,$N$7,IF(D23&lt;=$O$9,$N$2,IF(parametros_recargas!$D$93="Tercerizado",$N$6,IF(D$129&lt;$O$11,IF(parametros_recargas!$D$93="Manual",$N$5,$N$4),IF(D87&lt;$O$10,$N$3,IF(D23&lt;=1,$N$7,IF(parametros_recargas!$D$93="Manual",$N$5,$N$4))))))))</f>
        <v>OK</v>
      </c>
      <c r="E151" s="9" t="str">
        <f aca="false">IF('Demanda por puesto'!$P$119=0,"—",IF(parametros_recargas!$O$93=0,$N$7,IF(E23&lt;=$O$9,$N$2,IF(parametros_recargas!$D$93="Tercerizado",$N$6,IF(E$129&lt;$O$11,IF(parametros_recargas!$D$93="Manual",$N$5,$N$4),IF(E87&lt;$O$10,$N$3,IF(E23&lt;=1,$N$7,IF(parametros_recargas!$D$93="Manual",$N$5,$N$4))))))))</f>
        <v>OK</v>
      </c>
      <c r="F151" s="9" t="str">
        <f aca="false">IF('Demanda por puesto'!$P$151=0,"—",IF(parametros_recargas!$O$93=0,$N$7,IF(F23&lt;=$O$9,$N$2,IF(parametros_recargas!$D$93="Tercerizado",$N$6,IF(F$129&lt;$O$11,IF(parametros_recargas!$D$93="Manual",$N$5,$N$4),IF(F87&lt;$O$10,$N$3,IF(F23&lt;=1,$N$7,IF(parametros_recargas!$D$93="Manual",$N$5,$N$4))))))))</f>
        <v>OK</v>
      </c>
      <c r="G151" s="9" t="str">
        <f aca="false">IF('Demanda por puesto'!$P$183=0,"—",IF(parametros_recargas!$O$93=0,$N$7,IF(G23&lt;=$O$9,$N$2,IF(parametros_recargas!$D$93="Tercerizado",$N$6,IF(G$129&lt;$O$11,IF(parametros_recargas!$D$93="Manual",$N$5,$N$4),IF(G87&lt;$O$10,$N$3,IF(G23&lt;=1,$N$7,IF(parametros_recargas!$D$93="Manual",$N$5,$N$4))))))))</f>
        <v>OK</v>
      </c>
      <c r="H151" s="9" t="str">
        <f aca="false">IF('Demanda por puesto'!$P$215=0,"—",IF(parametros_recargas!$O$93=0,$N$7,IF(H23&lt;=$O$9,$N$2,IF(parametros_recargas!$D$93="Tercerizado",$N$6,IF(H$129&lt;$O$11,IF(parametros_recargas!$D$93="Manual",$N$5,$N$4),IF(H87&lt;$O$10,$N$3,IF(H23&lt;=1,$N$7,IF(parametros_recargas!$D$93="Manual",$N$5,$N$4))))))))</f>
        <v>OK</v>
      </c>
      <c r="I151" s="9" t="str">
        <f aca="false">IF('Demanda por puesto'!$P$247=0,"—",IF(parametros_recargas!$O$93=0,$N$7,IF(I23&lt;=$O$9,$N$2,IF(parametros_recargas!$D$93="Tercerizado",$N$6,IF(I$129&lt;$O$11,IF(parametros_recargas!$D$93="Manual",$N$5,$N$4),IF(I87&lt;$O$10,$N$3,IF(I23&lt;=1,$N$7,IF(parametros_recargas!$D$93="Manual",$N$5,$N$4))))))))</f>
        <v>OK</v>
      </c>
      <c r="J151" s="9" t="str">
        <f aca="false">IF('Demanda por puesto'!$P$279=0,"—",IF(parametros_recargas!$O$93=0,$N$7,IF(J23&lt;=$O$9,$N$2,IF(parametros_recargas!$D$93="Tercerizado",$N$6,IF(J$129&lt;$O$11,IF(parametros_recargas!$D$93="Manual",$N$5,$N$4),IF(J87&lt;$O$10,$N$3,IF(J23&lt;=1,$N$7,IF(parametros_recargas!$D$93="Manual",$N$5,$N$4))))))))</f>
        <v>OK</v>
      </c>
      <c r="K151" s="9" t="str">
        <f aca="false">IF('Demanda por puesto'!$P$311=0,"—",IF(parametros_recargas!$O$93=0,$N$7,IF(K23&lt;=$O$9,$N$2,IF(parametros_recargas!$D$93="Tercerizado",$N$6,IF(K$129&lt;$O$11,IF(parametros_recargas!$D$93="Manual",$N$5,$N$4),IF(K87&lt;$O$10,$N$3,IF(K23&lt;=1,$N$7,IF(parametros_recargas!$D$93="Manual",$N$5,$N$4))))))))</f>
        <v>OK</v>
      </c>
    </row>
    <row r="152" customFormat="false" ht="15" hidden="false" customHeight="false" outlineLevel="0" collapsed="false">
      <c r="A152" s="9" t="str">
        <f aca="false">parametros_recargas!$B$94</f>
        <v>Ensamblaje y presurización — zona general</v>
      </c>
      <c r="B152" s="9" t="str">
        <f aca="false">IF('Demanda por puesto'!$P$24=0,"—",IF(parametros_recargas!$O$94=0,$N$7,IF(B24&lt;=$O$9,$N$2,IF(parametros_recargas!$D$94="Tercerizado",$N$6,IF(B$129&lt;$O$11,IF(parametros_recargas!$D$94="Manual",$N$5,$N$4),IF(B88&lt;$O$10,$N$3,IF(B24&lt;=1,$N$7,IF(parametros_recargas!$D$94="Manual",$N$5,$N$4))))))))</f>
        <v>OK</v>
      </c>
      <c r="C152" s="9" t="str">
        <f aca="false">IF('Demanda por puesto'!$P$56=0,"—",IF(parametros_recargas!$O$94=0,$N$7,IF(C24&lt;=$O$9,$N$2,IF(parametros_recargas!$D$94="Tercerizado",$N$6,IF(C$129&lt;$O$11,IF(parametros_recargas!$D$94="Manual",$N$5,$N$4),IF(C88&lt;$O$10,$N$3,IF(C24&lt;=1,$N$7,IF(parametros_recargas!$D$94="Manual",$N$5,$N$4))))))))</f>
        <v>OK</v>
      </c>
      <c r="D152" s="9" t="str">
        <f aca="false">IF('Demanda por puesto'!$P$88=0,"—",IF(parametros_recargas!$O$94=0,$N$7,IF(D24&lt;=$O$9,$N$2,IF(parametros_recargas!$D$94="Tercerizado",$N$6,IF(D$129&lt;$O$11,IF(parametros_recargas!$D$94="Manual",$N$5,$N$4),IF(D88&lt;$O$10,$N$3,IF(D24&lt;=1,$N$7,IF(parametros_recargas!$D$94="Manual",$N$5,$N$4))))))))</f>
        <v>OK</v>
      </c>
      <c r="E152" s="9" t="str">
        <f aca="false">IF('Demanda por puesto'!$P$120=0,"—",IF(parametros_recargas!$O$94=0,$N$7,IF(E24&lt;=$O$9,$N$2,IF(parametros_recargas!$D$94="Tercerizado",$N$6,IF(E$129&lt;$O$11,IF(parametros_recargas!$D$94="Manual",$N$5,$N$4),IF(E88&lt;$O$10,$N$3,IF(E24&lt;=1,$N$7,IF(parametros_recargas!$D$94="Manual",$N$5,$N$4))))))))</f>
        <v>OK</v>
      </c>
      <c r="F152" s="9" t="str">
        <f aca="false">IF('Demanda por puesto'!$P$152=0,"—",IF(parametros_recargas!$O$94=0,$N$7,IF(F24&lt;=$O$9,$N$2,IF(parametros_recargas!$D$94="Tercerizado",$N$6,IF(F$129&lt;$O$11,IF(parametros_recargas!$D$94="Manual",$N$5,$N$4),IF(F88&lt;$O$10,$N$3,IF(F24&lt;=1,$N$7,IF(parametros_recargas!$D$94="Manual",$N$5,$N$4))))))))</f>
        <v>OK</v>
      </c>
      <c r="G152" s="9" t="str">
        <f aca="false">IF('Demanda por puesto'!$P$184=0,"—",IF(parametros_recargas!$O$94=0,$N$7,IF(G24&lt;=$O$9,$N$2,IF(parametros_recargas!$D$94="Tercerizado",$N$6,IF(G$129&lt;$O$11,IF(parametros_recargas!$D$94="Manual",$N$5,$N$4),IF(G88&lt;$O$10,$N$3,IF(G24&lt;=1,$N$7,IF(parametros_recargas!$D$94="Manual",$N$5,$N$4))))))))</f>
        <v>OK</v>
      </c>
      <c r="H152" s="9" t="str">
        <f aca="false">IF('Demanda por puesto'!$P$216=0,"—",IF(parametros_recargas!$O$94=0,$N$7,IF(H24&lt;=$O$9,$N$2,IF(parametros_recargas!$D$94="Tercerizado",$N$6,IF(H$129&lt;$O$11,IF(parametros_recargas!$D$94="Manual",$N$5,$N$4),IF(H88&lt;$O$10,$N$3,IF(H24&lt;=1,$N$7,IF(parametros_recargas!$D$94="Manual",$N$5,$N$4))))))))</f>
        <v>OK</v>
      </c>
      <c r="I152" s="9" t="str">
        <f aca="false">IF('Demanda por puesto'!$P$248=0,"—",IF(parametros_recargas!$O$94=0,$N$7,IF(I24&lt;=$O$9,$N$2,IF(parametros_recargas!$D$94="Tercerizado",$N$6,IF(I$129&lt;$O$11,IF(parametros_recargas!$D$94="Manual",$N$5,$N$4),IF(I88&lt;$O$10,$N$3,IF(I24&lt;=1,$N$7,IF(parametros_recargas!$D$94="Manual",$N$5,$N$4))))))))</f>
        <v>OK</v>
      </c>
      <c r="J152" s="9" t="str">
        <f aca="false">IF('Demanda por puesto'!$P$280=0,"—",IF(parametros_recargas!$O$94=0,$N$7,IF(J24&lt;=$O$9,$N$2,IF(parametros_recargas!$D$94="Tercerizado",$N$6,IF(J$129&lt;$O$11,IF(parametros_recargas!$D$94="Manual",$N$5,$N$4),IF(J88&lt;$O$10,$N$3,IF(J24&lt;=1,$N$7,IF(parametros_recargas!$D$94="Manual",$N$5,$N$4))))))))</f>
        <v>OK</v>
      </c>
      <c r="K152" s="9" t="str">
        <f aca="false">IF('Demanda por puesto'!$P$312=0,"—",IF(parametros_recargas!$O$94=0,$N$7,IF(K24&lt;=$O$9,$N$2,IF(parametros_recargas!$D$94="Tercerizado",$N$6,IF(K$129&lt;$O$11,IF(parametros_recargas!$D$94="Manual",$N$5,$N$4),IF(K88&lt;$O$10,$N$3,IF(K24&lt;=1,$N$7,IF(parametros_recargas!$D$94="Manual",$N$5,$N$4))))))))</f>
        <v>OK</v>
      </c>
    </row>
    <row r="153" customFormat="false" ht="15" hidden="false" customHeight="false" outlineLevel="0" collapsed="false">
      <c r="A153" s="9" t="str">
        <f aca="false">parametros_recargas!$B$95</f>
        <v>Carga y presurización de halogenado</v>
      </c>
      <c r="B153" s="9" t="str">
        <f aca="false">IF('Demanda por puesto'!$P$25=0,"—",IF(parametros_recargas!$O$95=0,$N$7,IF(B25&lt;=$O$9,$N$2,IF(parametros_recargas!$D$95="Tercerizado",$N$6,IF(B$129&lt;$O$11,IF(parametros_recargas!$D$95="Manual",$N$5,$N$4),IF(B89&lt;$O$10,$N$3,IF(B25&lt;=1,$N$7,IF(parametros_recargas!$D$95="Manual",$N$5,$N$4))))))))</f>
        <v>OK</v>
      </c>
      <c r="C153" s="9" t="str">
        <f aca="false">IF('Demanda por puesto'!$P$57=0,"—",IF(parametros_recargas!$O$95=0,$N$7,IF(C25&lt;=$O$9,$N$2,IF(parametros_recargas!$D$95="Tercerizado",$N$6,IF(C$129&lt;$O$11,IF(parametros_recargas!$D$95="Manual",$N$5,$N$4),IF(C89&lt;$O$10,$N$3,IF(C25&lt;=1,$N$7,IF(parametros_recargas!$D$95="Manual",$N$5,$N$4))))))))</f>
        <v>OK</v>
      </c>
      <c r="D153" s="9" t="str">
        <f aca="false">IF('Demanda por puesto'!$P$89=0,"—",IF(parametros_recargas!$O$95=0,$N$7,IF(D25&lt;=$O$9,$N$2,IF(parametros_recargas!$D$95="Tercerizado",$N$6,IF(D$129&lt;$O$11,IF(parametros_recargas!$D$95="Manual",$N$5,$N$4),IF(D89&lt;$O$10,$N$3,IF(D25&lt;=1,$N$7,IF(parametros_recargas!$D$95="Manual",$N$5,$N$4))))))))</f>
        <v>OK</v>
      </c>
      <c r="E153" s="9" t="str">
        <f aca="false">IF('Demanda por puesto'!$P$121=0,"—",IF(parametros_recargas!$O$95=0,$N$7,IF(E25&lt;=$O$9,$N$2,IF(parametros_recargas!$D$95="Tercerizado",$N$6,IF(E$129&lt;$O$11,IF(parametros_recargas!$D$95="Manual",$N$5,$N$4),IF(E89&lt;$O$10,$N$3,IF(E25&lt;=1,$N$7,IF(parametros_recargas!$D$95="Manual",$N$5,$N$4))))))))</f>
        <v>OK</v>
      </c>
      <c r="F153" s="9" t="str">
        <f aca="false">IF('Demanda por puesto'!$P$153=0,"—",IF(parametros_recargas!$O$95=0,$N$7,IF(F25&lt;=$O$9,$N$2,IF(parametros_recargas!$D$95="Tercerizado",$N$6,IF(F$129&lt;$O$11,IF(parametros_recargas!$D$95="Manual",$N$5,$N$4),IF(F89&lt;$O$10,$N$3,IF(F25&lt;=1,$N$7,IF(parametros_recargas!$D$95="Manual",$N$5,$N$4))))))))</f>
        <v>OK</v>
      </c>
      <c r="G153" s="9" t="str">
        <f aca="false">IF('Demanda por puesto'!$P$185=0,"—",IF(parametros_recargas!$O$95=0,$N$7,IF(G25&lt;=$O$9,$N$2,IF(parametros_recargas!$D$95="Tercerizado",$N$6,IF(G$129&lt;$O$11,IF(parametros_recargas!$D$95="Manual",$N$5,$N$4),IF(G89&lt;$O$10,$N$3,IF(G25&lt;=1,$N$7,IF(parametros_recargas!$D$95="Manual",$N$5,$N$4))))))))</f>
        <v>OK</v>
      </c>
      <c r="H153" s="9" t="str">
        <f aca="false">IF('Demanda por puesto'!$P$217=0,"—",IF(parametros_recargas!$O$95=0,$N$7,IF(H25&lt;=$O$9,$N$2,IF(parametros_recargas!$D$95="Tercerizado",$N$6,IF(H$129&lt;$O$11,IF(parametros_recargas!$D$95="Manual",$N$5,$N$4),IF(H89&lt;$O$10,$N$3,IF(H25&lt;=1,$N$7,IF(parametros_recargas!$D$95="Manual",$N$5,$N$4))))))))</f>
        <v>OK</v>
      </c>
      <c r="I153" s="9" t="str">
        <f aca="false">IF('Demanda por puesto'!$P$249=0,"—",IF(parametros_recargas!$O$95=0,$N$7,IF(I25&lt;=$O$9,$N$2,IF(parametros_recargas!$D$95="Tercerizado",$N$6,IF(I$129&lt;$O$11,IF(parametros_recargas!$D$95="Manual",$N$5,$N$4),IF(I89&lt;$O$10,$N$3,IF(I25&lt;=1,$N$7,IF(parametros_recargas!$D$95="Manual",$N$5,$N$4))))))))</f>
        <v>OK</v>
      </c>
      <c r="J153" s="9" t="str">
        <f aca="false">IF('Demanda por puesto'!$P$281=0,"—",IF(parametros_recargas!$O$95=0,$N$7,IF(J25&lt;=$O$9,$N$2,IF(parametros_recargas!$D$95="Tercerizado",$N$6,IF(J$129&lt;$O$11,IF(parametros_recargas!$D$95="Manual",$N$5,$N$4),IF(J89&lt;$O$10,$N$3,IF(J25&lt;=1,$N$7,IF(parametros_recargas!$D$95="Manual",$N$5,$N$4))))))))</f>
        <v>OK</v>
      </c>
      <c r="K153" s="9" t="str">
        <f aca="false">IF('Demanda por puesto'!$P$313=0,"—",IF(parametros_recargas!$O$95=0,$N$7,IF(K25&lt;=$O$9,$N$2,IF(parametros_recargas!$D$95="Tercerizado",$N$6,IF(K$129&lt;$O$11,IF(parametros_recargas!$D$95="Manual",$N$5,$N$4),IF(K89&lt;$O$10,$N$3,IF(K25&lt;=1,$N$7,IF(parametros_recargas!$D$95="Manual",$N$5,$N$4))))))))</f>
        <v>OK</v>
      </c>
    </row>
    <row r="154" customFormat="false" ht="15" hidden="false" customHeight="false" outlineLevel="0" collapsed="false">
      <c r="A154" s="9" t="str">
        <f aca="false">parametros_recargas!$B$96</f>
        <v>Control de peso (CO₂ y halogenados sin recarga)</v>
      </c>
      <c r="B154" s="9" t="str">
        <f aca="false">IF('Demanda por puesto'!$P$26=0,"—",IF(parametros_recargas!$O$96=0,$N$7,IF(B26&lt;=$O$9,$N$2,IF(parametros_recargas!$D$96="Tercerizado",$N$6,IF(B$129&lt;$O$11,IF(parametros_recargas!$D$96="Manual",$N$5,$N$4),IF(B90&lt;$O$10,$N$3,IF(B26&lt;=1,$N$7,IF(parametros_recargas!$D$96="Manual",$N$5,$N$4))))))))</f>
        <v>OK</v>
      </c>
      <c r="C154" s="9" t="str">
        <f aca="false">IF('Demanda por puesto'!$P$58=0,"—",IF(parametros_recargas!$O$96=0,$N$7,IF(C26&lt;=$O$9,$N$2,IF(parametros_recargas!$D$96="Tercerizado",$N$6,IF(C$129&lt;$O$11,IF(parametros_recargas!$D$96="Manual",$N$5,$N$4),IF(C90&lt;$O$10,$N$3,IF(C26&lt;=1,$N$7,IF(parametros_recargas!$D$96="Manual",$N$5,$N$4))))))))</f>
        <v>OK</v>
      </c>
      <c r="D154" s="9" t="str">
        <f aca="false">IF('Demanda por puesto'!$P$90=0,"—",IF(parametros_recargas!$O$96=0,$N$7,IF(D26&lt;=$O$9,$N$2,IF(parametros_recargas!$D$96="Tercerizado",$N$6,IF(D$129&lt;$O$11,IF(parametros_recargas!$D$96="Manual",$N$5,$N$4),IF(D90&lt;$O$10,$N$3,IF(D26&lt;=1,$N$7,IF(parametros_recargas!$D$96="Manual",$N$5,$N$4))))))))</f>
        <v>OK</v>
      </c>
      <c r="E154" s="9" t="str">
        <f aca="false">IF('Demanda por puesto'!$P$122=0,"—",IF(parametros_recargas!$O$96=0,$N$7,IF(E26&lt;=$O$9,$N$2,IF(parametros_recargas!$D$96="Tercerizado",$N$6,IF(E$129&lt;$O$11,IF(parametros_recargas!$D$96="Manual",$N$5,$N$4),IF(E90&lt;$O$10,$N$3,IF(E26&lt;=1,$N$7,IF(parametros_recargas!$D$96="Manual",$N$5,$N$4))))))))</f>
        <v>OK</v>
      </c>
      <c r="F154" s="9" t="str">
        <f aca="false">IF('Demanda por puesto'!$P$154=0,"—",IF(parametros_recargas!$O$96=0,$N$7,IF(F26&lt;=$O$9,$N$2,IF(parametros_recargas!$D$96="Tercerizado",$N$6,IF(F$129&lt;$O$11,IF(parametros_recargas!$D$96="Manual",$N$5,$N$4),IF(F90&lt;$O$10,$N$3,IF(F26&lt;=1,$N$7,IF(parametros_recargas!$D$96="Manual",$N$5,$N$4))))))))</f>
        <v>OK</v>
      </c>
      <c r="G154" s="9" t="str">
        <f aca="false">IF('Demanda por puesto'!$P$186=0,"—",IF(parametros_recargas!$O$96=0,$N$7,IF(G26&lt;=$O$9,$N$2,IF(parametros_recargas!$D$96="Tercerizado",$N$6,IF(G$129&lt;$O$11,IF(parametros_recargas!$D$96="Manual",$N$5,$N$4),IF(G90&lt;$O$10,$N$3,IF(G26&lt;=1,$N$7,IF(parametros_recargas!$D$96="Manual",$N$5,$N$4))))))))</f>
        <v>OK</v>
      </c>
      <c r="H154" s="9" t="str">
        <f aca="false">IF('Demanda por puesto'!$P$218=0,"—",IF(parametros_recargas!$O$96=0,$N$7,IF(H26&lt;=$O$9,$N$2,IF(parametros_recargas!$D$96="Tercerizado",$N$6,IF(H$129&lt;$O$11,IF(parametros_recargas!$D$96="Manual",$N$5,$N$4),IF(H90&lt;$O$10,$N$3,IF(H26&lt;=1,$N$7,IF(parametros_recargas!$D$96="Manual",$N$5,$N$4))))))))</f>
        <v>OK</v>
      </c>
      <c r="I154" s="9" t="str">
        <f aca="false">IF('Demanda por puesto'!$P$250=0,"—",IF(parametros_recargas!$O$96=0,$N$7,IF(I26&lt;=$O$9,$N$2,IF(parametros_recargas!$D$96="Tercerizado",$N$6,IF(I$129&lt;$O$11,IF(parametros_recargas!$D$96="Manual",$N$5,$N$4),IF(I90&lt;$O$10,$N$3,IF(I26&lt;=1,$N$7,IF(parametros_recargas!$D$96="Manual",$N$5,$N$4))))))))</f>
        <v>OK</v>
      </c>
      <c r="J154" s="9" t="str">
        <f aca="false">IF('Demanda por puesto'!$P$282=0,"—",IF(parametros_recargas!$O$96=0,$N$7,IF(J26&lt;=$O$9,$N$2,IF(parametros_recargas!$D$96="Tercerizado",$N$6,IF(J$129&lt;$O$11,IF(parametros_recargas!$D$96="Manual",$N$5,$N$4),IF(J90&lt;$O$10,$N$3,IF(J26&lt;=1,$N$7,IF(parametros_recargas!$D$96="Manual",$N$5,$N$4))))))))</f>
        <v>OK</v>
      </c>
      <c r="K154" s="9" t="str">
        <f aca="false">IF('Demanda por puesto'!$P$314=0,"—",IF(parametros_recargas!$O$96=0,$N$7,IF(K26&lt;=$O$9,$N$2,IF(parametros_recargas!$D$96="Tercerizado",$N$6,IF(K$129&lt;$O$11,IF(parametros_recargas!$D$96="Manual",$N$5,$N$4),IF(K90&lt;$O$10,$N$3,IF(K26&lt;=1,$N$7,IF(parametros_recargas!$D$96="Manual",$N$5,$N$4))))))))</f>
        <v>OK</v>
      </c>
    </row>
    <row r="155" customFormat="false" ht="15" hidden="false" customHeight="false" outlineLevel="0" collapsed="false">
      <c r="A155" s="9" t="str">
        <f aca="false">parametros_recargas!$B$97</f>
        <v>Ensayo de pérdidas</v>
      </c>
      <c r="B155" s="9" t="str">
        <f aca="false">IF('Demanda por puesto'!$P$27=0,"—",IF(parametros_recargas!$O$97=0,$N$7,IF(B27&lt;=$O$9,$N$2,IF(parametros_recargas!$D$97="Tercerizado",$N$6,IF(B$129&lt;$O$11,IF(parametros_recargas!$D$97="Manual",$N$5,$N$4),IF(B91&lt;$O$10,$N$3,IF(B27&lt;=1,$N$7,IF(parametros_recargas!$D$97="Manual",$N$5,$N$4))))))))</f>
        <v>OK</v>
      </c>
      <c r="C155" s="9" t="str">
        <f aca="false">IF('Demanda por puesto'!$P$59=0,"—",IF(parametros_recargas!$O$97=0,$N$7,IF(C27&lt;=$O$9,$N$2,IF(parametros_recargas!$D$97="Tercerizado",$N$6,IF(C$129&lt;$O$11,IF(parametros_recargas!$D$97="Manual",$N$5,$N$4),IF(C91&lt;$O$10,$N$3,IF(C27&lt;=1,$N$7,IF(parametros_recargas!$D$97="Manual",$N$5,$N$4))))))))</f>
        <v>OK</v>
      </c>
      <c r="D155" s="9" t="str">
        <f aca="false">IF('Demanda por puesto'!$P$91=0,"—",IF(parametros_recargas!$O$97=0,$N$7,IF(D27&lt;=$O$9,$N$2,IF(parametros_recargas!$D$97="Tercerizado",$N$6,IF(D$129&lt;$O$11,IF(parametros_recargas!$D$97="Manual",$N$5,$N$4),IF(D91&lt;$O$10,$N$3,IF(D27&lt;=1,$N$7,IF(parametros_recargas!$D$97="Manual",$N$5,$N$4))))))))</f>
        <v>OK</v>
      </c>
      <c r="E155" s="9" t="str">
        <f aca="false">IF('Demanda por puesto'!$P$123=0,"—",IF(parametros_recargas!$O$97=0,$N$7,IF(E27&lt;=$O$9,$N$2,IF(parametros_recargas!$D$97="Tercerizado",$N$6,IF(E$129&lt;$O$11,IF(parametros_recargas!$D$97="Manual",$N$5,$N$4),IF(E91&lt;$O$10,$N$3,IF(E27&lt;=1,$N$7,IF(parametros_recargas!$D$97="Manual",$N$5,$N$4))))))))</f>
        <v>OK</v>
      </c>
      <c r="F155" s="9" t="str">
        <f aca="false">IF('Demanda por puesto'!$P$155=0,"—",IF(parametros_recargas!$O$97=0,$N$7,IF(F27&lt;=$O$9,$N$2,IF(parametros_recargas!$D$97="Tercerizado",$N$6,IF(F$129&lt;$O$11,IF(parametros_recargas!$D$97="Manual",$N$5,$N$4),IF(F91&lt;$O$10,$N$3,IF(F27&lt;=1,$N$7,IF(parametros_recargas!$D$97="Manual",$N$5,$N$4))))))))</f>
        <v>OK</v>
      </c>
      <c r="G155" s="9" t="str">
        <f aca="false">IF('Demanda por puesto'!$P$187=0,"—",IF(parametros_recargas!$O$97=0,$N$7,IF(G27&lt;=$O$9,$N$2,IF(parametros_recargas!$D$97="Tercerizado",$N$6,IF(G$129&lt;$O$11,IF(parametros_recargas!$D$97="Manual",$N$5,$N$4),IF(G91&lt;$O$10,$N$3,IF(G27&lt;=1,$N$7,IF(parametros_recargas!$D$97="Manual",$N$5,$N$4))))))))</f>
        <v>OK</v>
      </c>
      <c r="H155" s="9" t="str">
        <f aca="false">IF('Demanda por puesto'!$P$219=0,"—",IF(parametros_recargas!$O$97=0,$N$7,IF(H27&lt;=$O$9,$N$2,IF(parametros_recargas!$D$97="Tercerizado",$N$6,IF(H$129&lt;$O$11,IF(parametros_recargas!$D$97="Manual",$N$5,$N$4),IF(H91&lt;$O$10,$N$3,IF(H27&lt;=1,$N$7,IF(parametros_recargas!$D$97="Manual",$N$5,$N$4))))))))</f>
        <v>OK</v>
      </c>
      <c r="I155" s="9" t="str">
        <f aca="false">IF('Demanda por puesto'!$P$251=0,"—",IF(parametros_recargas!$O$97=0,$N$7,IF(I27&lt;=$O$9,$N$2,IF(parametros_recargas!$D$97="Tercerizado",$N$6,IF(I$129&lt;$O$11,IF(parametros_recargas!$D$97="Manual",$N$5,$N$4),IF(I91&lt;$O$10,$N$3,IF(I27&lt;=1,$N$7,IF(parametros_recargas!$D$97="Manual",$N$5,$N$4))))))))</f>
        <v>OK</v>
      </c>
      <c r="J155" s="9" t="str">
        <f aca="false">IF('Demanda por puesto'!$P$283=0,"—",IF(parametros_recargas!$O$97=0,$N$7,IF(J27&lt;=$O$9,$N$2,IF(parametros_recargas!$D$97="Tercerizado",$N$6,IF(J$129&lt;$O$11,IF(parametros_recargas!$D$97="Manual",$N$5,$N$4),IF(J91&lt;$O$10,$N$3,IF(J27&lt;=1,$N$7,IF(parametros_recargas!$D$97="Manual",$N$5,$N$4))))))))</f>
        <v>OK</v>
      </c>
      <c r="K155" s="9" t="str">
        <f aca="false">IF('Demanda por puesto'!$P$315=0,"—",IF(parametros_recargas!$O$97=0,$N$7,IF(K27&lt;=$O$9,$N$2,IF(parametros_recargas!$D$97="Tercerizado",$N$6,IF(K$129&lt;$O$11,IF(parametros_recargas!$D$97="Manual",$N$5,$N$4),IF(K91&lt;$O$10,$N$3,IF(K27&lt;=1,$N$7,IF(parametros_recargas!$D$97="Manual",$N$5,$N$4))))))))</f>
        <v>OK</v>
      </c>
    </row>
    <row r="156" customFormat="false" ht="15" hidden="false" customHeight="false" outlineLevel="0" collapsed="false">
      <c r="A156" s="9" t="str">
        <f aca="false">parametros_recargas!$B$98</f>
        <v>Precinto, etiqueta y despacho</v>
      </c>
      <c r="B156" s="9" t="str">
        <f aca="false">IF('Demanda por puesto'!$P$28=0,"—",IF(parametros_recargas!$O$98=0,$N$7,IF(B28&lt;=$O$9,$N$2,IF(parametros_recargas!$D$98="Tercerizado",$N$6,IF(B$129&lt;$O$11,IF(parametros_recargas!$D$98="Manual",$N$5,$N$4),IF(B92&lt;$O$10,$N$3,IF(B28&lt;=1,$N$7,IF(parametros_recargas!$D$98="Manual",$N$5,$N$4))))))))</f>
        <v>OK</v>
      </c>
      <c r="C156" s="9" t="str">
        <f aca="false">IF('Demanda por puesto'!$P$60=0,"—",IF(parametros_recargas!$O$98=0,$N$7,IF(C28&lt;=$O$9,$N$2,IF(parametros_recargas!$D$98="Tercerizado",$N$6,IF(C$129&lt;$O$11,IF(parametros_recargas!$D$98="Manual",$N$5,$N$4),IF(C92&lt;$O$10,$N$3,IF(C28&lt;=1,$N$7,IF(parametros_recargas!$D$98="Manual",$N$5,$N$4))))))))</f>
        <v>OK</v>
      </c>
      <c r="D156" s="9" t="str">
        <f aca="false">IF('Demanda por puesto'!$P$92=0,"—",IF(parametros_recargas!$O$98=0,$N$7,IF(D28&lt;=$O$9,$N$2,IF(parametros_recargas!$D$98="Tercerizado",$N$6,IF(D$129&lt;$O$11,IF(parametros_recargas!$D$98="Manual",$N$5,$N$4),IF(D92&lt;$O$10,$N$3,IF(D28&lt;=1,$N$7,IF(parametros_recargas!$D$98="Manual",$N$5,$N$4))))))))</f>
        <v>OK</v>
      </c>
      <c r="E156" s="9" t="str">
        <f aca="false">IF('Demanda por puesto'!$P$124=0,"—",IF(parametros_recargas!$O$98=0,$N$7,IF(E28&lt;=$O$9,$N$2,IF(parametros_recargas!$D$98="Tercerizado",$N$6,IF(E$129&lt;$O$11,IF(parametros_recargas!$D$98="Manual",$N$5,$N$4),IF(E92&lt;$O$10,$N$3,IF(E28&lt;=1,$N$7,IF(parametros_recargas!$D$98="Manual",$N$5,$N$4))))))))</f>
        <v>OK</v>
      </c>
      <c r="F156" s="9" t="str">
        <f aca="false">IF('Demanda por puesto'!$P$156=0,"—",IF(parametros_recargas!$O$98=0,$N$7,IF(F28&lt;=$O$9,$N$2,IF(parametros_recargas!$D$98="Tercerizado",$N$6,IF(F$129&lt;$O$11,IF(parametros_recargas!$D$98="Manual",$N$5,$N$4),IF(F92&lt;$O$10,$N$3,IF(F28&lt;=1,$N$7,IF(parametros_recargas!$D$98="Manual",$N$5,$N$4))))))))</f>
        <v>OK</v>
      </c>
      <c r="G156" s="9" t="str">
        <f aca="false">IF('Demanda por puesto'!$P$188=0,"—",IF(parametros_recargas!$O$98=0,$N$7,IF(G28&lt;=$O$9,$N$2,IF(parametros_recargas!$D$98="Tercerizado",$N$6,IF(G$129&lt;$O$11,IF(parametros_recargas!$D$98="Manual",$N$5,$N$4),IF(G92&lt;$O$10,$N$3,IF(G28&lt;=1,$N$7,IF(parametros_recargas!$D$98="Manual",$N$5,$N$4))))))))</f>
        <v>OK</v>
      </c>
      <c r="H156" s="9" t="str">
        <f aca="false">IF('Demanda por puesto'!$P$220=0,"—",IF(parametros_recargas!$O$98=0,$N$7,IF(H28&lt;=$O$9,$N$2,IF(parametros_recargas!$D$98="Tercerizado",$N$6,IF(H$129&lt;$O$11,IF(parametros_recargas!$D$98="Manual",$N$5,$N$4),IF(H92&lt;$O$10,$N$3,IF(H28&lt;=1,$N$7,IF(parametros_recargas!$D$98="Manual",$N$5,$N$4))))))))</f>
        <v>OK</v>
      </c>
      <c r="I156" s="9" t="str">
        <f aca="false">IF('Demanda por puesto'!$P$252=0,"—",IF(parametros_recargas!$O$98=0,$N$7,IF(I28&lt;=$O$9,$N$2,IF(parametros_recargas!$D$98="Tercerizado",$N$6,IF(I$129&lt;$O$11,IF(parametros_recargas!$D$98="Manual",$N$5,$N$4),IF(I92&lt;$O$10,$N$3,IF(I28&lt;=1,$N$7,IF(parametros_recargas!$D$98="Manual",$N$5,$N$4))))))))</f>
        <v>OK</v>
      </c>
      <c r="J156" s="9" t="str">
        <f aca="false">IF('Demanda por puesto'!$P$284=0,"—",IF(parametros_recargas!$O$98=0,$N$7,IF(J28&lt;=$O$9,$N$2,IF(parametros_recargas!$D$98="Tercerizado",$N$6,IF(J$129&lt;$O$11,IF(parametros_recargas!$D$98="Manual",$N$5,$N$4),IF(J92&lt;$O$10,$N$3,IF(J28&lt;=1,$N$7,IF(parametros_recargas!$D$98="Manual",$N$5,$N$4))))))))</f>
        <v>OK</v>
      </c>
      <c r="K156" s="9" t="str">
        <f aca="false">IF('Demanda por puesto'!$P$316=0,"—",IF(parametros_recargas!$O$98=0,$N$7,IF(K28&lt;=$O$9,$N$2,IF(parametros_recargas!$D$98="Tercerizado",$N$6,IF(K$129&lt;$O$11,IF(parametros_recargas!$D$98="Manual",$N$5,$N$4),IF(K92&lt;$O$10,$N$3,IF(K28&lt;=1,$N$7,IF(parametros_recargas!$D$98="Manual",$N$5,$N$4))))))))</f>
        <v>OK</v>
      </c>
    </row>
    <row r="157" customFormat="false" ht="15" hidden="false" customHeight="false" outlineLevel="0" collapsed="false">
      <c r="A157" s="9" t="str">
        <f aca="false">parametros_recargas!$B$99</f>
        <v>Inutilización y disposición final</v>
      </c>
      <c r="B157" s="9" t="str">
        <f aca="false">IF('Demanda por puesto'!$P$29=0,"—",IF(parametros_recargas!$O$99=0,$N$7,IF(B29&lt;=$O$9,$N$2,IF(parametros_recargas!$D$99="Tercerizado",$N$6,IF(B$129&lt;$O$11,IF(parametros_recargas!$D$99="Manual",$N$5,$N$4),IF(B93&lt;$O$10,$N$3,IF(B29&lt;=1,$N$7,IF(parametros_recargas!$D$99="Manual",$N$5,$N$4))))))))</f>
        <v>OK</v>
      </c>
      <c r="C157" s="9" t="str">
        <f aca="false">IF('Demanda por puesto'!$P$61=0,"—",IF(parametros_recargas!$O$99=0,$N$7,IF(C29&lt;=$O$9,$N$2,IF(parametros_recargas!$D$99="Tercerizado",$N$6,IF(C$129&lt;$O$11,IF(parametros_recargas!$D$99="Manual",$N$5,$N$4),IF(C93&lt;$O$10,$N$3,IF(C29&lt;=1,$N$7,IF(parametros_recargas!$D$99="Manual",$N$5,$N$4))))))))</f>
        <v>OK</v>
      </c>
      <c r="D157" s="9" t="str">
        <f aca="false">IF('Demanda por puesto'!$P$93=0,"—",IF(parametros_recargas!$O$99=0,$N$7,IF(D29&lt;=$O$9,$N$2,IF(parametros_recargas!$D$99="Tercerizado",$N$6,IF(D$129&lt;$O$11,IF(parametros_recargas!$D$99="Manual",$N$5,$N$4),IF(D93&lt;$O$10,$N$3,IF(D29&lt;=1,$N$7,IF(parametros_recargas!$D$99="Manual",$N$5,$N$4))))))))</f>
        <v>OK</v>
      </c>
      <c r="E157" s="9" t="str">
        <f aca="false">IF('Demanda por puesto'!$P$125=0,"—",IF(parametros_recargas!$O$99=0,$N$7,IF(E29&lt;=$O$9,$N$2,IF(parametros_recargas!$D$99="Tercerizado",$N$6,IF(E$129&lt;$O$11,IF(parametros_recargas!$D$99="Manual",$N$5,$N$4),IF(E93&lt;$O$10,$N$3,IF(E29&lt;=1,$N$7,IF(parametros_recargas!$D$99="Manual",$N$5,$N$4))))))))</f>
        <v>OK</v>
      </c>
      <c r="F157" s="9" t="str">
        <f aca="false">IF('Demanda por puesto'!$P$157=0,"—",IF(parametros_recargas!$O$99=0,$N$7,IF(F29&lt;=$O$9,$N$2,IF(parametros_recargas!$D$99="Tercerizado",$N$6,IF(F$129&lt;$O$11,IF(parametros_recargas!$D$99="Manual",$N$5,$N$4),IF(F93&lt;$O$10,$N$3,IF(F29&lt;=1,$N$7,IF(parametros_recargas!$D$99="Manual",$N$5,$N$4))))))))</f>
        <v>OK</v>
      </c>
      <c r="G157" s="9" t="str">
        <f aca="false">IF('Demanda por puesto'!$P$189=0,"—",IF(parametros_recargas!$O$99=0,$N$7,IF(G29&lt;=$O$9,$N$2,IF(parametros_recargas!$D$99="Tercerizado",$N$6,IF(G$129&lt;$O$11,IF(parametros_recargas!$D$99="Manual",$N$5,$N$4),IF(G93&lt;$O$10,$N$3,IF(G29&lt;=1,$N$7,IF(parametros_recargas!$D$99="Manual",$N$5,$N$4))))))))</f>
        <v>OK</v>
      </c>
      <c r="H157" s="9" t="str">
        <f aca="false">IF('Demanda por puesto'!$P$221=0,"—",IF(parametros_recargas!$O$99=0,$N$7,IF(H29&lt;=$O$9,$N$2,IF(parametros_recargas!$D$99="Tercerizado",$N$6,IF(H$129&lt;$O$11,IF(parametros_recargas!$D$99="Manual",$N$5,$N$4),IF(H93&lt;$O$10,$N$3,IF(H29&lt;=1,$N$7,IF(parametros_recargas!$D$99="Manual",$N$5,$N$4))))))))</f>
        <v>OK</v>
      </c>
      <c r="I157" s="9" t="str">
        <f aca="false">IF('Demanda por puesto'!$P$253=0,"—",IF(parametros_recargas!$O$99=0,$N$7,IF(I29&lt;=$O$9,$N$2,IF(parametros_recargas!$D$99="Tercerizado",$N$6,IF(I$129&lt;$O$11,IF(parametros_recargas!$D$99="Manual",$N$5,$N$4),IF(I93&lt;$O$10,$N$3,IF(I29&lt;=1,$N$7,IF(parametros_recargas!$D$99="Manual",$N$5,$N$4))))))))</f>
        <v>OK</v>
      </c>
      <c r="J157" s="9" t="str">
        <f aca="false">IF('Demanda por puesto'!$P$285=0,"—",IF(parametros_recargas!$O$99=0,$N$7,IF(J29&lt;=$O$9,$N$2,IF(parametros_recargas!$D$99="Tercerizado",$N$6,IF(J$129&lt;$O$11,IF(parametros_recargas!$D$99="Manual",$N$5,$N$4),IF(J93&lt;$O$10,$N$3,IF(J29&lt;=1,$N$7,IF(parametros_recargas!$D$99="Manual",$N$5,$N$4))))))))</f>
        <v>OK</v>
      </c>
      <c r="K157" s="9" t="str">
        <f aca="false">IF('Demanda por puesto'!$P$317=0,"—",IF(parametros_recargas!$O$99=0,$N$7,IF(K29&lt;=$O$9,$N$2,IF(parametros_recargas!$D$99="Tercerizado",$N$6,IF(K$129&lt;$O$11,IF(parametros_recargas!$D$99="Manual",$N$5,$N$4),IF(K93&lt;$O$10,$N$3,IF(K29&lt;=1,$N$7,IF(parametros_recargas!$D$99="Manual",$N$5,$N$4))))))))</f>
        <v>OK</v>
      </c>
    </row>
    <row r="158" customFormat="false" ht="15" hidden="false" customHeight="false" outlineLevel="0" collapsed="false">
      <c r="A158" s="9" t="str">
        <f aca="false">parametros_recargas!$B$100</f>
        <v>PH de mangueras (CO₂ y rodantes)</v>
      </c>
      <c r="B158" s="9" t="str">
        <f aca="false">IF('Demanda por puesto'!$P$30=0,"—",IF(parametros_recargas!$O$100=0,$N$7,IF(B30&lt;=$O$9,$N$2,IF(parametros_recargas!$D$100="Tercerizado",$N$6,IF(B$129&lt;$O$11,IF(parametros_recargas!$D$100="Manual",$N$5,$N$4),IF(B94&lt;$O$10,$N$3,IF(B30&lt;=1,$N$7,IF(parametros_recargas!$D$100="Manual",$N$5,$N$4))))))))</f>
        <v>OK</v>
      </c>
      <c r="C158" s="9" t="str">
        <f aca="false">IF('Demanda por puesto'!$P$62=0,"—",IF(parametros_recargas!$O$100=0,$N$7,IF(C30&lt;=$O$9,$N$2,IF(parametros_recargas!$D$100="Tercerizado",$N$6,IF(C$129&lt;$O$11,IF(parametros_recargas!$D$100="Manual",$N$5,$N$4),IF(C94&lt;$O$10,$N$3,IF(C30&lt;=1,$N$7,IF(parametros_recargas!$D$100="Manual",$N$5,$N$4))))))))</f>
        <v>OK</v>
      </c>
      <c r="D158" s="9" t="str">
        <f aca="false">IF('Demanda por puesto'!$P$94=0,"—",IF(parametros_recargas!$O$100=0,$N$7,IF(D30&lt;=$O$9,$N$2,IF(parametros_recargas!$D$100="Tercerizado",$N$6,IF(D$129&lt;$O$11,IF(parametros_recargas!$D$100="Manual",$N$5,$N$4),IF(D94&lt;$O$10,$N$3,IF(D30&lt;=1,$N$7,IF(parametros_recargas!$D$100="Manual",$N$5,$N$4))))))))</f>
        <v>OK</v>
      </c>
      <c r="E158" s="9" t="str">
        <f aca="false">IF('Demanda por puesto'!$P$126=0,"—",IF(parametros_recargas!$O$100=0,$N$7,IF(E30&lt;=$O$9,$N$2,IF(parametros_recargas!$D$100="Tercerizado",$N$6,IF(E$129&lt;$O$11,IF(parametros_recargas!$D$100="Manual",$N$5,$N$4),IF(E94&lt;$O$10,$N$3,IF(E30&lt;=1,$N$7,IF(parametros_recargas!$D$100="Manual",$N$5,$N$4))))))))</f>
        <v>OK</v>
      </c>
      <c r="F158" s="9" t="str">
        <f aca="false">IF('Demanda por puesto'!$P$158=0,"—",IF(parametros_recargas!$O$100=0,$N$7,IF(F30&lt;=$O$9,$N$2,IF(parametros_recargas!$D$100="Tercerizado",$N$6,IF(F$129&lt;$O$11,IF(parametros_recargas!$D$100="Manual",$N$5,$N$4),IF(F94&lt;$O$10,$N$3,IF(F30&lt;=1,$N$7,IF(parametros_recargas!$D$100="Manual",$N$5,$N$4))))))))</f>
        <v>OK</v>
      </c>
      <c r="G158" s="9" t="str">
        <f aca="false">IF('Demanda por puesto'!$P$190=0,"—",IF(parametros_recargas!$O$100=0,$N$7,IF(G30&lt;=$O$9,$N$2,IF(parametros_recargas!$D$100="Tercerizado",$N$6,IF(G$129&lt;$O$11,IF(parametros_recargas!$D$100="Manual",$N$5,$N$4),IF(G94&lt;$O$10,$N$3,IF(G30&lt;=1,$N$7,IF(parametros_recargas!$D$100="Manual",$N$5,$N$4))))))))</f>
        <v>OK</v>
      </c>
      <c r="H158" s="9" t="str">
        <f aca="false">IF('Demanda por puesto'!$P$222=0,"—",IF(parametros_recargas!$O$100=0,$N$7,IF(H30&lt;=$O$9,$N$2,IF(parametros_recargas!$D$100="Tercerizado",$N$6,IF(H$129&lt;$O$11,IF(parametros_recargas!$D$100="Manual",$N$5,$N$4),IF(H94&lt;$O$10,$N$3,IF(H30&lt;=1,$N$7,IF(parametros_recargas!$D$100="Manual",$N$5,$N$4))))))))</f>
        <v>OK</v>
      </c>
      <c r="I158" s="9" t="str">
        <f aca="false">IF('Demanda por puesto'!$P$254=0,"—",IF(parametros_recargas!$O$100=0,$N$7,IF(I30&lt;=$O$9,$N$2,IF(parametros_recargas!$D$100="Tercerizado",$N$6,IF(I$129&lt;$O$11,IF(parametros_recargas!$D$100="Manual",$N$5,$N$4),IF(I94&lt;$O$10,$N$3,IF(I30&lt;=1,$N$7,IF(parametros_recargas!$D$100="Manual",$N$5,$N$4))))))))</f>
        <v>OK</v>
      </c>
      <c r="J158" s="9" t="str">
        <f aca="false">IF('Demanda por puesto'!$P$286=0,"—",IF(parametros_recargas!$O$100=0,$N$7,IF(J30&lt;=$O$9,$N$2,IF(parametros_recargas!$D$100="Tercerizado",$N$6,IF(J$129&lt;$O$11,IF(parametros_recargas!$D$100="Manual",$N$5,$N$4),IF(J94&lt;$O$10,$N$3,IF(J30&lt;=1,$N$7,IF(parametros_recargas!$D$100="Manual",$N$5,$N$4))))))))</f>
        <v>OK</v>
      </c>
      <c r="K158" s="9" t="str">
        <f aca="false">IF('Demanda por puesto'!$P$318=0,"—",IF(parametros_recargas!$O$100=0,$N$7,IF(K30&lt;=$O$9,$N$2,IF(parametros_recargas!$D$100="Tercerizado",$N$6,IF(K$129&lt;$O$11,IF(parametros_recargas!$D$100="Manual",$N$5,$N$4),IF(K94&lt;$O$10,$N$3,IF(K30&lt;=1,$N$7,IF(parametros_recargas!$D$100="Manual",$N$5,$N$4))))))))</f>
        <v>OK</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2026-10-18T22:36:12Z</dcterms:created>
  <dc:creator>openpyxl</dc:creator>
  <dc:description/>
  <dc:language>en-US</dc:language>
  <cp:lastModifiedBy/>
  <dcterms:modified xsi:type="dcterms:W3CDTF">2026-10-18T22:36:12Z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