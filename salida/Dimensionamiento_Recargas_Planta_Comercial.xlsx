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ROY_Indexado" sheetId="1" state="visible" r:id="rId3"/>
    <sheet name="datos_base" sheetId="2" state="visible" r:id="rId4"/>
    <sheet name="parametros_recargas" sheetId="3" state="visible" r:id="rId5"/>
    <sheet name="Plan mensual" sheetId="4" state="visible" r:id="rId6"/>
    <sheet name="Demanda por puesto" sheetId="5" state="visible" r:id="rId7"/>
    <sheet name="Resumen Capacidad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<sst xmlns="http://schemas.openxmlformats.org/spreadsheetml/2006/main" count="797" uniqueCount="312">
  <si>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</si>
  <si>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</si>
  <si>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</si>
  <si>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</si>
  <si>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</si>
  <si>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</si>
  <si>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</si>
  <si>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</si>
  <si>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</si>
  <si>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</si>
  <si>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</si>
  <si>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</si>
  <si>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</si>
  <si>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</si>
  <si>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</si>
  <si>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</si>
  <si>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</si>
  <si>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</si>
  <si>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</si>
  <si>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</si>
  <si>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</si>
  <si>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</si>
  <si>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</si>
  <si>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</si>
  <si>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</si>
  <si>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</si>
  <si>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</si>
  <si>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</si>
  <si>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</si>
  <si>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</si>
  <si>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</si>
  <si>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</si>
  <si>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</si>
  <si>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</si>
  <si>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</si>
  <si>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</si>
  <si>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</si>
  <si>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</si>
  <si>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</si>
  <si>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</si>
  <si>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</si>
  <si>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</si>
  <si>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</si>
  <si>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</si>
  <si>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</si>
  <si>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</si>
  <si>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</si>
  <si>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</si>
  <si>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</si>
  <si>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</si>
  <si>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</si>
  <si>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</si>
  <si>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</si>
  <si>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</si>
  <si>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</si>
  <si>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</si>
  <si>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</si>
  <si>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</si>
  <si>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</si>
  <si>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</si>
  <si>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</si>
  <si>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</si>
  <si>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</si>
  <si>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</si>
  <si>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</si>
  <si>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</si>
  <si>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</si>
  <si>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</si>
  <si>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</si>
  <si>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</si>
  <si>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</si>
  <si>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</si>
  <si>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</si>
  <si>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</si>
  <si>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</si>
  <si>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</si>
  <si>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</si>
  <si>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COMERCIAL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</si>
  <si>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</si>
  <si>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</si>
  <si>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</si>
  <si>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</si>
  <si>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</si>
  <si>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</si>
  <si>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</si>
  <si>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</si>
  <si>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</si>
  <si>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</si>
  <si>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</si>
  <si>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</si>
  <si>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</si>
  <si>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</si>
  <si>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</si>
  <si>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</si>
  <si>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</si>
  <si>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</si>
  <si>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</si>
  <si>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</si>
  <si>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</si>
  <si>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</si>
  <si>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</si>
  <si>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</si>
  <si>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</si>
  <si>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</si>
  <si>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</si>
  <si>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</si>
  <si>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</si>
  <si>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</si>
  <si>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</si>
  <si>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</si>
  <si>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</si>
  <si>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</si>
  <si>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</si>
  <si>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</si>
  <si>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</si>
  <si>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</si>
  <si>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</si>
  <si>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(rampa del crecimiento anual)</t>
  </si>
  <si>
    <t xml:space="preserve">Cada equipo vuelve en su mes (IRAM 3517-2 9.2.1 y 9.4.14 a). Criterio: el crecimiento al año siguiente se reparte parejo mes a mes; 2035 usa el crecimiento 2034→2035.</t>
  </si>
  <si>
    <t xml:space="preserve">Año</t>
  </si>
  <si>
    <t xml:space="preserve">Recargas del año</t>
  </si>
  <si>
    <t xml:space="preserve">Recargas del año siguiente</t>
  </si>
  <si>
    <t xml:space="preserve">Crecimiento</t>
  </si>
  <si>
    <t xml:space="preserve">Factor mensual (q)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</si>
  <si>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</si>
  <si>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</si>
  <si>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</si>
  <si>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</si>
  <si>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</si>
  <si>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</si>
  <si>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</si>
  <si>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</si>
  <si>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</si>
  <si>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</si>
  <si>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</si>
  <si>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</si>
  <si>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</si>
  <si>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</si>
  <si>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</si>
  <si>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</si>
  <si>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</si>
  <si>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</si>
  <si>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</si>
  <si>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</si>
  <si>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</si>
  <si>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</si>
  <si>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</si>
  <si>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</si>
  <si>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</si>
  <si>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</si>
  <si>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</si>
  <si>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</si>
  <si>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</si>
  <si>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</si>
  <si>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</si>
  <si>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</si>
  <si>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</si>
  <si>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</si>
  <si>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</si>
  <si>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</si>
  <si>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</si>
  <si>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</si>
  <si>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</si>
  <si>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</si>
  <si>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</si>
  <si>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</si>
  <si>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</si>
  <si>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</si>
  <si>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</si>
  <si>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</si>
  <si>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</si>
  <si>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</si>
  <si>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</si>
  <si>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</si>
  <si>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</si>
  <si>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</si>
  <si>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</si>
  <si>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</si>
  <si>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</si>
  <si>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</si>
  <si>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</si>
  <si>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</si>
  <si>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</si>
  <si>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</si>
  <si>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</si>
  <si>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</si>
  <si>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</si>
  <si>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</si>
  <si>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</si>
  <si>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</si>
  <si>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</si>
  <si>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</si>
  <si>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</si>
  <si>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</si>
  <si>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</si>
  <si>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</si>
  <si>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</si>
  <si>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</si>
  <si>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</si>
  <si>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</si>
  <si>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</si>
  <si>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</si>
  <si>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</si>
  <si>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</si>
  <si>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</si>
  <si>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</si>
  <si>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</si>
  <si>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</si>
  <si>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</si>
  <si>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</si>
  <si>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</si>
  <si>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</si>
  <si>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</si>
  <si>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</si>
  <si>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</si>
  <si>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</si>
  <si>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</si>
  <si>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</si>
  <si>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</si>
  <si>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</si>
  <si>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</si>
  <si>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</si>
  <si>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</si>
  <si>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</si>
  <si>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</si>
  <si>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</si>
  <si>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</si>
  <si>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</si>
  <si>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</si>
  <si>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</si>
  <si>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</si>
  <si>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</si>
  <si>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</si>
  <si>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</si>
  <si>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</si>
  <si>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</si>
  <si>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</si>
  <si>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</si>
  <si>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</si>
  <si>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</si>
  <si>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</si>
  <si>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</si>
  <si>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</si>
  <si>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</si>
  <si>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</si>
  <si>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</si>
  <si>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</si>
  <si>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</si>
  <si>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</si>
  <si>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</si>
  <si>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</si>
  <si>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</si>
  <si>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</si>
  <si>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</si>
  <si>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</si>
  <si>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</si>
  <si>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</si>
  <si>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</si>
  <si>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</si>
  <si>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</si>
  <si>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</si>
  <si>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</si>
  <si>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</si>
  <si>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</si>
  <si>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</si>
  <si>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</si>
  <si>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</si>
  <si>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</si>
  <si>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</si>
  <si>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</si>
  <si>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Agente</t>
  </si>
  <si>
    <t xml:space="preserve">u. equiv.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</si>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</sst>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000"/>
    <numFmt numFmtId="172" formatCode="0.0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26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0.7117634944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58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2475.14482829177</v>
      </c>
      <c r="C2" s="13" t="n">
        <f aca="false">PROY_Indexado!C5*PROY_Indexado!$B$53</f>
        <v>12079.0433371409</v>
      </c>
      <c r="D2" s="13" t="n">
        <f aca="false">PROY_Indexado!D5*PROY_Indexado!$B$53</f>
        <v>21741.5914098928</v>
      </c>
      <c r="E2" s="13" t="n">
        <f aca="false">PROY_Indexado!E5*PROY_Indexado!$B$53</f>
        <v>39893.1417352838</v>
      </c>
      <c r="F2" s="13" t="n">
        <f aca="false">PROY_Indexado!F5*PROY_Indexado!$B$53</f>
        <v>59980.470624167</v>
      </c>
      <c r="G2" s="13" t="n">
        <f aca="false">PROY_Indexado!G5*PROY_Indexado!$B$53</f>
        <v>83566.602439553</v>
      </c>
      <c r="H2" s="13" t="n">
        <f aca="false">PROY_Indexado!H5*PROY_Indexado!$B$53</f>
        <v>105063.861805261</v>
      </c>
      <c r="I2" s="13" t="n">
        <f aca="false">PROY_Indexado!I5*PROY_Indexado!$B$53</f>
        <v>121999.36672723</v>
      </c>
      <c r="J2" s="13" t="n">
        <f aca="false">PROY_Indexado!J5*PROY_Indexado!$B$53</f>
        <v>130744.239144474</v>
      </c>
      <c r="K2" s="13" t="n">
        <f aca="false">PROY_Indexado!K5*PROY_Indexado!$B$53</f>
        <v>139706.853822866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234.879581556037</v>
      </c>
      <c r="C3" s="13" t="n">
        <f aca="false">PROY_Indexado!C6*PROY_Indexado!$B$53</f>
        <v>916.334304461805</v>
      </c>
      <c r="D3" s="13" t="n">
        <f aca="false">PROY_Indexado!D6*PROY_Indexado!$B$53</f>
        <v>2097.68745976827</v>
      </c>
      <c r="E3" s="13" t="n">
        <f aca="false">PROY_Indexado!E6*PROY_Indexado!$B$53</f>
        <v>3862.05951790904</v>
      </c>
      <c r="F3" s="13" t="n">
        <f aca="false">PROY_Indexado!F6*PROY_Indexado!$B$53</f>
        <v>5587.96679777898</v>
      </c>
      <c r="G3" s="13" t="n">
        <f aca="false">PROY_Indexado!G6*PROY_Indexado!$B$53</f>
        <v>7419.38255775269</v>
      </c>
      <c r="H3" s="13" t="n">
        <f aca="false">PROY_Indexado!H6*PROY_Indexado!$B$53</f>
        <v>9117.61613344917</v>
      </c>
      <c r="I3" s="13" t="n">
        <f aca="false">PROY_Indexado!I6*PROY_Indexado!$B$53</f>
        <v>10151.9313411915</v>
      </c>
      <c r="J3" s="13" t="n">
        <f aca="false">PROY_Indexado!J6*PROY_Indexado!$B$53</f>
        <v>10984.5533588211</v>
      </c>
      <c r="K3" s="13" t="n">
        <f aca="false">PROY_Indexado!K6*PROY_Indexado!$B$53</f>
        <v>11830.051049947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1388.21931793785</v>
      </c>
      <c r="C4" s="13" t="n">
        <f aca="false">PROY_Indexado!C7*PROY_Indexado!$B$53</f>
        <v>5589.20719798536</v>
      </c>
      <c r="D4" s="13" t="n">
        <f aca="false">PROY_Indexado!D7*PROY_Indexado!$B$53</f>
        <v>12652.2061013923</v>
      </c>
      <c r="E4" s="13" t="n">
        <f aca="false">PROY_Indexado!E7*PROY_Indexado!$B$53</f>
        <v>23919.216760094</v>
      </c>
      <c r="F4" s="13" t="n">
        <f aca="false">PROY_Indexado!F7*PROY_Indexado!$B$53</f>
        <v>34454.7425238456</v>
      </c>
      <c r="G4" s="13" t="n">
        <f aca="false">PROY_Indexado!G7*PROY_Indexado!$B$53</f>
        <v>45782.7936852982</v>
      </c>
      <c r="H4" s="13" t="n">
        <f aca="false">PROY_Indexado!H7*PROY_Indexado!$B$53</f>
        <v>56030.8054965996</v>
      </c>
      <c r="I4" s="13" t="n">
        <f aca="false">PROY_Indexado!I7*PROY_Indexado!$B$53</f>
        <v>62092.263139539</v>
      </c>
      <c r="J4" s="13" t="n">
        <f aca="false">PROY_Indexado!J7*PROY_Indexado!$B$53</f>
        <v>66979.5552939497</v>
      </c>
      <c r="K4" s="13" t="n">
        <f aca="false">PROY_Indexado!K7*PROY_Indexado!$B$53</f>
        <v>71955.8558790957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84.2326770523077</v>
      </c>
      <c r="C5" s="13" t="n">
        <f aca="false">PROY_Indexado!C8*PROY_Indexado!$B$53</f>
        <v>311.55068111409</v>
      </c>
      <c r="D5" s="13" t="n">
        <f aca="false">PROY_Indexado!D8*PROY_Indexado!$B$53</f>
        <v>729.539660266975</v>
      </c>
      <c r="E5" s="13" t="n">
        <f aca="false">PROY_Indexado!E8*PROY_Indexado!$B$53</f>
        <v>1395.34817383334</v>
      </c>
      <c r="F5" s="13" t="n">
        <f aca="false">PROY_Indexado!F8*PROY_Indexado!$B$53</f>
        <v>2024.95066139605</v>
      </c>
      <c r="G5" s="13" t="n">
        <f aca="false">PROY_Indexado!G8*PROY_Indexado!$B$53</f>
        <v>2712.09694414371</v>
      </c>
      <c r="H5" s="13" t="n">
        <f aca="false">PROY_Indexado!H8*PROY_Indexado!$B$53</f>
        <v>3319.43579985985</v>
      </c>
      <c r="I5" s="13" t="n">
        <f aca="false">PROY_Indexado!I8*PROY_Indexado!$B$53</f>
        <v>3675.9129471876</v>
      </c>
      <c r="J5" s="13" t="n">
        <f aca="false">PROY_Indexado!J8*PROY_Indexado!$B$53</f>
        <v>3965.62186010178</v>
      </c>
      <c r="K5" s="13" t="n">
        <f aca="false">PROY_Indexado!K8*PROY_Indexado!$B$53</f>
        <v>4260.58129786147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113.390142623807</v>
      </c>
      <c r="C6" s="13" t="n">
        <f aca="false">PROY_Indexado!C9*PROY_Indexado!$B$53</f>
        <v>457.965388633145</v>
      </c>
      <c r="D6" s="13" t="n">
        <f aca="false">PROY_Indexado!D9*PROY_Indexado!$B$53</f>
        <v>1049.39757654732</v>
      </c>
      <c r="E6" s="13" t="n">
        <f aca="false">PROY_Indexado!E9*PROY_Indexado!$B$53</f>
        <v>1969.05897675789</v>
      </c>
      <c r="F6" s="13" t="n">
        <f aca="false">PROY_Indexado!F9*PROY_Indexado!$B$53</f>
        <v>2840.97923347503</v>
      </c>
      <c r="G6" s="13" t="n">
        <f aca="false">PROY_Indexado!G9*PROY_Indexado!$B$53</f>
        <v>3797.7961792378</v>
      </c>
      <c r="H6" s="13" t="n">
        <f aca="false">PROY_Indexado!H9*PROY_Indexado!$B$53</f>
        <v>4654.19222714906</v>
      </c>
      <c r="I6" s="13" t="n">
        <f aca="false">PROY_Indexado!I9*PROY_Indexado!$B$53</f>
        <v>5174.39225980645</v>
      </c>
      <c r="J6" s="13" t="n">
        <f aca="false">PROY_Indexado!J9*PROY_Indexado!$B$53</f>
        <v>5591.21641380079</v>
      </c>
      <c r="K6" s="13" t="n">
        <f aca="false">PROY_Indexado!K9*PROY_Indexado!$B$53</f>
        <v>6014.98096081728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16.1985919050815</v>
      </c>
      <c r="C7" s="13" t="n">
        <f aca="false">PROY_Indexado!C10*PROY_Indexado!$B$53</f>
        <v>114.81866263352</v>
      </c>
      <c r="D7" s="13" t="n">
        <f aca="false">PROY_Indexado!D10*PROY_Indexado!$B$53</f>
        <v>225.349501118225</v>
      </c>
      <c r="E7" s="13" t="n">
        <f aca="false">PROY_Indexado!E10*PROY_Indexado!$B$53</f>
        <v>375.38023765896</v>
      </c>
      <c r="F7" s="13" t="n">
        <f aca="false">PROY_Indexado!F10*PROY_Indexado!$B$53</f>
        <v>529.401819301053</v>
      </c>
      <c r="G7" s="13" t="n">
        <f aca="false">PROY_Indexado!G10*PROY_Indexado!$B$53</f>
        <v>685.338801347676</v>
      </c>
      <c r="H7" s="13" t="n">
        <f aca="false">PROY_Indexado!H10*PROY_Indexado!$B$53</f>
        <v>850.516240860368</v>
      </c>
      <c r="I7" s="13" t="n">
        <f aca="false">PROY_Indexado!I10*PROY_Indexado!$B$53</f>
        <v>962.031769263164</v>
      </c>
      <c r="J7" s="13" t="n">
        <f aca="false">PROY_Indexado!J10*PROY_Indexado!$B$53</f>
        <v>1051.66533974034</v>
      </c>
      <c r="K7" s="13" t="n">
        <f aca="false">PROY_Indexado!K10*PROY_Indexado!$B$53</f>
        <v>1141.98283308283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8.09929559665901</v>
      </c>
      <c r="C8" s="13" t="n">
        <f aca="false">PROY_Indexado!C11*PROY_Indexado!$B$53</f>
        <v>59.2354634114683</v>
      </c>
      <c r="D8" s="13" t="n">
        <f aca="false">PROY_Indexado!D11*PROY_Indexado!$B$53</f>
        <v>117.059353190262</v>
      </c>
      <c r="E8" s="13" t="n">
        <f aca="false">PROY_Indexado!E11*PROY_Indexado!$B$53</f>
        <v>200.248356483697</v>
      </c>
      <c r="F8" s="13" t="n">
        <f aca="false">PROY_Indexado!F11*PROY_Indexado!$B$53</f>
        <v>283.924243730767</v>
      </c>
      <c r="G8" s="13" t="n">
        <f aca="false">PROY_Indexado!G11*PROY_Indexado!$B$53</f>
        <v>366.221737623981</v>
      </c>
      <c r="H8" s="13" t="n">
        <f aca="false">PROY_Indexado!H11*PROY_Indexado!$B$53</f>
        <v>447.745862045301</v>
      </c>
      <c r="I8" s="13" t="n">
        <f aca="false">PROY_Indexado!I11*PROY_Indexado!$B$53</f>
        <v>506.190555502727</v>
      </c>
      <c r="J8" s="13" t="n">
        <f aca="false">PROY_Indexado!J11*PROY_Indexado!$B$53</f>
        <v>550.485701732129</v>
      </c>
      <c r="K8" s="13" t="n">
        <f aca="false">PROY_Indexado!K11*PROY_Indexado!$B$53</f>
        <v>595.283971511053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4.85957735799541</v>
      </c>
      <c r="C9" s="13" t="n">
        <f aca="false">PROY_Indexado!C12*PROY_Indexado!$B$53</f>
        <v>33.5049226894026</v>
      </c>
      <c r="D9" s="13" t="n">
        <f aca="false">PROY_Indexado!D12*PROY_Indexado!$B$53</f>
        <v>63.2684264058438</v>
      </c>
      <c r="E9" s="13" t="n">
        <f aca="false">PROY_Indexado!E12*PROY_Indexado!$B$53</f>
        <v>113.528050359665</v>
      </c>
      <c r="F9" s="13" t="n">
        <f aca="false">PROY_Indexado!F12*PROY_Indexado!$B$53</f>
        <v>156.442912791368</v>
      </c>
      <c r="G9" s="13" t="n">
        <f aca="false">PROY_Indexado!G12*PROY_Indexado!$B$53</f>
        <v>207.742306481294</v>
      </c>
      <c r="H9" s="13" t="n">
        <f aca="false">PROY_Indexado!H12*PROY_Indexado!$B$53</f>
        <v>262.529814616504</v>
      </c>
      <c r="I9" s="13" t="n">
        <f aca="false">PROY_Indexado!I12*PROY_Indexado!$B$53</f>
        <v>290.690583531525</v>
      </c>
      <c r="J9" s="13" t="n">
        <f aca="false">PROY_Indexado!J12*PROY_Indexado!$B$53</f>
        <v>317.291314201865</v>
      </c>
      <c r="K9" s="13" t="n">
        <f aca="false">PROY_Indexado!K12*PROY_Indexado!$B$53</f>
        <v>344.122846997007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58.3149304312353</v>
      </c>
      <c r="C10" s="13" t="n">
        <f aca="false">PROY_Indexado!C13*PROY_Indexado!$B$53</f>
        <v>238.724661052559</v>
      </c>
      <c r="D10" s="13" t="n">
        <f aca="false">PROY_Indexado!D13*PROY_Indexado!$B$53</f>
        <v>531.401451932801</v>
      </c>
      <c r="E10" s="13" t="n">
        <f aca="false">PROY_Indexado!E13*PROY_Indexado!$B$53</f>
        <v>967.21529652271</v>
      </c>
      <c r="F10" s="13" t="n">
        <f aca="false">PROY_Indexado!F13*PROY_Indexado!$B$53</f>
        <v>1395.85755449574</v>
      </c>
      <c r="G10" s="13" t="n">
        <f aca="false">PROY_Indexado!G13*PROY_Indexado!$B$53</f>
        <v>1849.54691574823</v>
      </c>
      <c r="H10" s="13" t="n">
        <f aca="false">PROY_Indexado!H13*PROY_Indexado!$B$53</f>
        <v>2275.69542490701</v>
      </c>
      <c r="I10" s="13" t="n">
        <f aca="false">PROY_Indexado!I13*PROY_Indexado!$B$53</f>
        <v>2547.07374520378</v>
      </c>
      <c r="J10" s="13" t="n">
        <f aca="false">PROY_Indexado!J13*PROY_Indexado!$B$53</f>
        <v>2755.05712028652</v>
      </c>
      <c r="K10" s="13" t="n">
        <f aca="false">PROY_Indexado!K13*PROY_Indexado!$B$53</f>
        <v>2966.31679967506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320.732117727676</v>
      </c>
      <c r="C11" s="13" t="n">
        <f aca="false">PROY_Indexado!C14*PROY_Indexado!$B$53</f>
        <v>1207.9918279534</v>
      </c>
      <c r="D11" s="13" t="n">
        <f aca="false">PROY_Indexado!D14*PROY_Indexado!$B$53</f>
        <v>2815.16473668998</v>
      </c>
      <c r="E11" s="13" t="n">
        <f aca="false">PROY_Indexado!E14*PROY_Indexado!$B$53</f>
        <v>5381.8290745489</v>
      </c>
      <c r="F11" s="13" t="n">
        <f aca="false">PROY_Indexado!F14*PROY_Indexado!$B$53</f>
        <v>7772.56042931962</v>
      </c>
      <c r="G11" s="13" t="n">
        <f aca="false">PROY_Indexado!G14*PROY_Indexado!$B$53</f>
        <v>10331.1654250021</v>
      </c>
      <c r="H11" s="13" t="n">
        <f aca="false">PROY_Indexado!H14*PROY_Indexado!$B$53</f>
        <v>12631.3103337822</v>
      </c>
      <c r="I11" s="13" t="n">
        <f aca="false">PROY_Indexado!I14*PROY_Indexado!$B$53</f>
        <v>13962.8107085724</v>
      </c>
      <c r="J11" s="13" t="n">
        <f aca="false">PROY_Indexado!J14*PROY_Indexado!$B$53</f>
        <v>15062.2011643158</v>
      </c>
      <c r="K11" s="13" t="n">
        <f aca="false">PROY_Indexado!K14*PROY_Indexado!$B$53</f>
        <v>16181.5883805524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89.0922551220666</v>
      </c>
      <c r="C12" s="13" t="n">
        <f aca="false">PROY_Indexado!C15*PROY_Indexado!$B$53</f>
        <v>458.112601964928</v>
      </c>
      <c r="D12" s="13" t="n">
        <f aca="false">PROY_Indexado!D15*PROY_Indexado!$B$53</f>
        <v>979.120880505447</v>
      </c>
      <c r="E12" s="13" t="n">
        <f aca="false">PROY_Indexado!E15*PROY_Indexado!$B$53</f>
        <v>1751.14052567374</v>
      </c>
      <c r="F12" s="13" t="n">
        <f aca="false">PROY_Indexado!F15*PROY_Indexado!$B$53</f>
        <v>2523.38499700053</v>
      </c>
      <c r="G12" s="13" t="n">
        <f aca="false">PROY_Indexado!G15*PROY_Indexado!$B$53</f>
        <v>3361.9876650447</v>
      </c>
      <c r="H12" s="13" t="n">
        <f aca="false">PROY_Indexado!H15*PROY_Indexado!$B$53</f>
        <v>4166.59600537953</v>
      </c>
      <c r="I12" s="13" t="n">
        <f aca="false">PROY_Indexado!I15*PROY_Indexado!$B$53</f>
        <v>4703.66051743215</v>
      </c>
      <c r="J12" s="13" t="n">
        <f aca="false">PROY_Indexado!J15*PROY_Indexado!$B$53</f>
        <v>5114.52491838814</v>
      </c>
      <c r="K12" s="13" t="n">
        <f aca="false">PROY_Indexado!K15*PROY_Indexado!$B$53</f>
        <v>5530.10136592383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12.9588736664179</v>
      </c>
      <c r="C13" s="13" t="n">
        <f aca="false">PROY_Indexado!C16*PROY_Indexado!$B$53</f>
        <v>79.7709804700263</v>
      </c>
      <c r="D13" s="13" t="n">
        <f aca="false">PROY_Indexado!D16*PROY_Indexado!$B$53</f>
        <v>164.313478918521</v>
      </c>
      <c r="E13" s="13" t="n">
        <f aca="false">PROY_Indexado!E16*PROY_Indexado!$B$53</f>
        <v>285.214546387503</v>
      </c>
      <c r="F13" s="13" t="n">
        <f aca="false">PROY_Indexado!F16*PROY_Indexado!$B$53</f>
        <v>408.913671458658</v>
      </c>
      <c r="G13" s="13" t="n">
        <f aca="false">PROY_Indexado!G16*PROY_Indexado!$B$53</f>
        <v>536.915676611825</v>
      </c>
      <c r="H13" s="13" t="n">
        <f aca="false">PROY_Indexado!H16*PROY_Indexado!$B$53</f>
        <v>672.508912038187</v>
      </c>
      <c r="I13" s="13" t="n">
        <f aca="false">PROY_Indexado!I16*PROY_Indexado!$B$53</f>
        <v>763.177496247794</v>
      </c>
      <c r="J13" s="13" t="n">
        <f aca="false">PROY_Indexado!J16*PROY_Indexado!$B$53</f>
        <v>833.970263528919</v>
      </c>
      <c r="K13" s="13" t="n">
        <f aca="false">PROY_Indexado!K16*PROY_Indexado!$B$53</f>
        <v>905.321241295216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4.85957735799541</v>
      </c>
      <c r="C14" s="13" t="n">
        <f aca="false">PROY_Indexado!C17*PROY_Indexado!$B$53</f>
        <v>33.5049226894026</v>
      </c>
      <c r="D14" s="13" t="n">
        <f aca="false">PROY_Indexado!D17*PROY_Indexado!$B$53</f>
        <v>63.2684264058438</v>
      </c>
      <c r="E14" s="13" t="n">
        <f aca="false">PROY_Indexado!E17*PROY_Indexado!$B$53</f>
        <v>105.539708727094</v>
      </c>
      <c r="F14" s="13" t="n">
        <f aca="false">PROY_Indexado!F17*PROY_Indexado!$B$53</f>
        <v>146.0724126252</v>
      </c>
      <c r="G14" s="13" t="n">
        <f aca="false">PROY_Indexado!G17*PROY_Indexado!$B$53</f>
        <v>182.044293350923</v>
      </c>
      <c r="H14" s="13" t="n">
        <f aca="false">PROY_Indexado!H17*PROY_Indexado!$B$53</f>
        <v>233.755873551037</v>
      </c>
      <c r="I14" s="13" t="n">
        <f aca="false">PROY_Indexado!I17*PROY_Indexado!$B$53</f>
        <v>261.151770738523</v>
      </c>
      <c r="J14" s="13" t="n">
        <f aca="false">PROY_Indexado!J17*PROY_Indexado!$B$53</f>
        <v>285.902375410877</v>
      </c>
      <c r="K14" s="13" t="n">
        <f aca="false">PROY_Indexado!K17*PROY_Indexado!$B$53</f>
        <v>310.817709914611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12.5539087086441</v>
      </c>
      <c r="C15" s="13" t="n">
        <f aca="false">PROY_Indexado!C18*PROY_Indexado!$B$53</f>
        <v>61.2029905272747</v>
      </c>
      <c r="D15" s="13" t="n">
        <f aca="false">PROY_Indexado!D18*PROY_Indexado!$B$53</f>
        <v>133.006936004935</v>
      </c>
      <c r="E15" s="13" t="n">
        <f aca="false">PROY_Indexado!E18*PROY_Indexado!$B$53</f>
        <v>239.567934240765</v>
      </c>
      <c r="F15" s="13" t="n">
        <f aca="false">PROY_Indexado!F18*PROY_Indexado!$B$53</f>
        <v>344.58790970543</v>
      </c>
      <c r="G15" s="13" t="n">
        <f aca="false">PROY_Indexado!G18*PROY_Indexado!$B$53</f>
        <v>457.820788896913</v>
      </c>
      <c r="H15" s="13" t="n">
        <f aca="false">PROY_Indexado!H18*PROY_Indexado!$B$53</f>
        <v>564.023985759399</v>
      </c>
      <c r="I15" s="13" t="n">
        <f aca="false">PROY_Indexado!I18*PROY_Indexado!$B$53</f>
        <v>633.240113624099</v>
      </c>
      <c r="J15" s="13" t="n">
        <f aca="false">PROY_Indexado!J18*PROY_Indexado!$B$53</f>
        <v>687.073208836743</v>
      </c>
      <c r="K15" s="13" t="n">
        <f aca="false">PROY_Indexado!K18*PROY_Indexado!$B$53</f>
        <v>741.614643249615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27.6185987319589</v>
      </c>
      <c r="C16" s="13" t="n">
        <f aca="false">PROY_Indexado!C19*PROY_Indexado!$B$53</f>
        <v>134.646580014121</v>
      </c>
      <c r="D16" s="13" t="n">
        <f aca="false">PROY_Indexado!D19*PROY_Indexado!$B$53</f>
        <v>292.615259637915</v>
      </c>
      <c r="E16" s="13" t="n">
        <f aca="false">PROY_Indexado!E19*PROY_Indexado!$B$53</f>
        <v>527.049455187331</v>
      </c>
      <c r="F16" s="13" t="n">
        <f aca="false">PROY_Indexado!F19*PROY_Indexado!$B$53</f>
        <v>758.093400924889</v>
      </c>
      <c r="G16" s="13" t="n">
        <f aca="false">PROY_Indexado!G19*PROY_Indexado!$B$53</f>
        <v>1007.20573628497</v>
      </c>
      <c r="H16" s="13" t="n">
        <f aca="false">PROY_Indexado!H19*PROY_Indexado!$B$53</f>
        <v>1240.85276909774</v>
      </c>
      <c r="I16" s="13" t="n">
        <f aca="false">PROY_Indexado!I19*PROY_Indexado!$B$53</f>
        <v>1393.12824968831</v>
      </c>
      <c r="J16" s="13" t="n">
        <f aca="false">PROY_Indexado!J19*PROY_Indexado!$B$53</f>
        <v>1511.56105872907</v>
      </c>
      <c r="K16" s="13" t="n">
        <f aca="false">PROY_Indexado!K19*PROY_Indexado!$B$53</f>
        <v>1631.55221415268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6.02587586697322</v>
      </c>
      <c r="C17" s="13" t="n">
        <f aca="false">PROY_Indexado!C20*PROY_Indexado!$B$53</f>
        <v>29.3774353676802</v>
      </c>
      <c r="D17" s="13" t="n">
        <f aca="false">PROY_Indexado!D20*PROY_Indexado!$B$53</f>
        <v>63.8433291684866</v>
      </c>
      <c r="E17" s="13" t="n">
        <f aca="false">PROY_Indexado!E20*PROY_Indexado!$B$53</f>
        <v>114.992608378626</v>
      </c>
      <c r="F17" s="13" t="n">
        <f aca="false">PROY_Indexado!F20*PROY_Indexado!$B$53</f>
        <v>165.402196630136</v>
      </c>
      <c r="G17" s="13" t="n">
        <f aca="false">PROY_Indexado!G20*PROY_Indexado!$B$53</f>
        <v>219.753978812871</v>
      </c>
      <c r="H17" s="13" t="n">
        <f aca="false">PROY_Indexado!H20*PROY_Indexado!$B$53</f>
        <v>270.73151305063</v>
      </c>
      <c r="I17" s="13" t="n">
        <f aca="false">PROY_Indexado!I20*PROY_Indexado!$B$53</f>
        <v>303.955254283333</v>
      </c>
      <c r="J17" s="13" t="n">
        <f aca="false">PROY_Indexado!J20*PROY_Indexado!$B$53</f>
        <v>329.795140383989</v>
      </c>
      <c r="K17" s="13" t="n">
        <f aca="false">PROY_Indexado!K20*PROY_Indexado!$B$53</f>
        <v>355.975028788286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4.01725081523665</v>
      </c>
      <c r="C18" s="13" t="n">
        <f aca="false">PROY_Indexado!C21*PROY_Indexado!$B$53</f>
        <v>19.5849569117868</v>
      </c>
      <c r="D18" s="13" t="n">
        <f aca="false">PROY_Indexado!D21*PROY_Indexado!$B$53</f>
        <v>42.5622199201667</v>
      </c>
      <c r="E18" s="13" t="n">
        <f aca="false">PROY_Indexado!E21*PROY_Indexado!$B$53</f>
        <v>76.6617391563387</v>
      </c>
      <c r="F18" s="13" t="n">
        <f aca="false">PROY_Indexado!F21*PROY_Indexado!$B$53</f>
        <v>110.268130849503</v>
      </c>
      <c r="G18" s="13" t="n">
        <f aca="false">PROY_Indexado!G21*PROY_Indexado!$B$53</f>
        <v>146.50265230466</v>
      </c>
      <c r="H18" s="13" t="n">
        <f aca="false">PROY_Indexado!H21*PROY_Indexado!$B$53</f>
        <v>180.487675841595</v>
      </c>
      <c r="I18" s="13" t="n">
        <f aca="false">PROY_Indexado!I21*PROY_Indexado!$B$53</f>
        <v>202.636836188889</v>
      </c>
      <c r="J18" s="13" t="n">
        <f aca="false">PROY_Indexado!J21*PROY_Indexado!$B$53</f>
        <v>219.863426685405</v>
      </c>
      <c r="K18" s="13" t="n">
        <f aca="false">PROY_Indexado!K21*PROY_Indexado!$B$53</f>
        <v>237.316685384348</v>
      </c>
    </row>
    <row r="19" customFormat="false" ht="15" hidden="false" customHeight="false" outlineLevel="0" collapsed="false">
      <c r="A19" s="6" t="s">
        <v>59</v>
      </c>
      <c r="B19" s="7" t="n">
        <f aca="false">SUM(B2:B18)</f>
        <v>4861.19740074972</v>
      </c>
      <c r="C19" s="7" t="n">
        <f aca="false">SUM(C2:C18)</f>
        <v>21824.5769150208</v>
      </c>
      <c r="D19" s="7" t="n">
        <f aca="false">SUM(D2:D18)</f>
        <v>43761.3962077661</v>
      </c>
      <c r="E19" s="7" t="n">
        <f aca="false">SUM(E2:E18)</f>
        <v>81177.1926972034</v>
      </c>
      <c r="F19" s="7" t="n">
        <f aca="false">SUM(F2:F18)</f>
        <v>119484.019519496</v>
      </c>
      <c r="G19" s="7" t="n">
        <f aca="false">SUM(G2:G18)</f>
        <v>162630.917783496</v>
      </c>
      <c r="H19" s="7" t="n">
        <f aca="false">SUM(H2:H18)</f>
        <v>201982.665873248</v>
      </c>
      <c r="I19" s="7" t="n">
        <f aca="false">SUM(I2:I18)</f>
        <v>229623.614015231</v>
      </c>
      <c r="J19" s="7" t="n">
        <f aca="false">SUM(J2:J18)</f>
        <v>246984.577103387</v>
      </c>
      <c r="K19" s="7" t="n">
        <f aca="false">SUM(K2:K18)</f>
        <v>264710.316731115</v>
      </c>
    </row>
    <row r="21" customFormat="false" ht="15" hidden="false" customHeight="false" outlineLevel="0" collapsed="false">
      <c r="A21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61</v>
      </c>
      <c r="B1" s="3" t="s">
        <v>46</v>
      </c>
      <c r="C1" s="3" t="s">
        <v>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63</v>
      </c>
      <c r="B2" s="14" t="n">
        <v>20</v>
      </c>
      <c r="C2" s="4" t="s">
        <v>64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65</v>
      </c>
      <c r="B3" s="14" t="n">
        <v>8</v>
      </c>
      <c r="C3" s="4" t="s">
        <v>66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67</v>
      </c>
      <c r="B4" s="14" t="n">
        <v>30</v>
      </c>
      <c r="C4" s="4" t="s">
        <v>68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69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70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71</v>
      </c>
      <c r="B7" s="17" t="n">
        <v>0.9</v>
      </c>
      <c r="C7" s="4" t="s">
        <v>72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73</v>
      </c>
      <c r="B8" s="14" t="n">
        <v>2</v>
      </c>
      <c r="C8" s="4" t="s">
        <v>74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75</v>
      </c>
      <c r="B9" s="14" t="n">
        <v>3</v>
      </c>
      <c r="C9" s="4" t="s">
        <v>76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77</v>
      </c>
    </row>
    <row r="12" customFormat="false" ht="15" hidden="false" customHeight="true" outlineLevel="0" collapsed="false">
      <c r="A12" s="3" t="s">
        <v>61</v>
      </c>
      <c r="B12" s="3" t="s">
        <v>46</v>
      </c>
      <c r="C12" s="3" t="s">
        <v>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78</v>
      </c>
      <c r="B13" s="14" t="n">
        <v>5</v>
      </c>
      <c r="C13" s="4" t="s">
        <v>79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80</v>
      </c>
      <c r="B14" s="14" t="n">
        <v>2</v>
      </c>
      <c r="C14" s="4" t="s">
        <v>81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82</v>
      </c>
      <c r="B15" s="10" t="n">
        <f aca="false">1/B13</f>
        <v>0.2</v>
      </c>
      <c r="C15" s="4" t="s">
        <v>83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84</v>
      </c>
      <c r="B16" s="10" t="n">
        <f aca="false">1/B14</f>
        <v>0.5</v>
      </c>
      <c r="C16" s="4" t="s">
        <v>85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86</v>
      </c>
      <c r="B17" s="14" t="n">
        <v>30</v>
      </c>
      <c r="C17" s="4" t="s">
        <v>87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88</v>
      </c>
      <c r="B18" s="14" t="n">
        <v>20</v>
      </c>
      <c r="C18" s="4" t="s">
        <v>89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90</v>
      </c>
      <c r="B19" s="10" t="n">
        <f aca="false">1/B17</f>
        <v>0.0333333333333333</v>
      </c>
      <c r="C19" s="4" t="s">
        <v>91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92</v>
      </c>
      <c r="B20" s="10" t="n">
        <f aca="false">1/B18</f>
        <v>0.05</v>
      </c>
      <c r="C20" s="4" t="s">
        <v>93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94</v>
      </c>
      <c r="B21" s="10" t="n">
        <f aca="false">PROY_Indexado!B48</f>
        <v>0.02</v>
      </c>
      <c r="C21" s="4" t="s">
        <v>95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96</v>
      </c>
      <c r="B22" s="10" t="n">
        <f aca="false">PROY_Indexado!B49</f>
        <v>0.01</v>
      </c>
      <c r="C22" s="4" t="s">
        <v>97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98</v>
      </c>
      <c r="B23" s="10" t="n">
        <f aca="false">B19+B21+B22</f>
        <v>0.0633333333333333</v>
      </c>
      <c r="C23" s="4" t="s">
        <v>99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100</v>
      </c>
      <c r="B24" s="10" t="n">
        <f aca="false">B20+B21+B22</f>
        <v>0.08</v>
      </c>
      <c r="C24" s="4" t="s">
        <v>99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101</v>
      </c>
      <c r="B25" s="10" t="n">
        <f aca="false">PROY_Indexado!B47</f>
        <v>0.05</v>
      </c>
      <c r="C25" s="4" t="s">
        <v>102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103</v>
      </c>
      <c r="B26" s="14" t="n">
        <v>10</v>
      </c>
      <c r="C26" s="4" t="s">
        <v>104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105</v>
      </c>
      <c r="B27" s="10" t="n">
        <f aca="false">1/B26</f>
        <v>0.1</v>
      </c>
      <c r="C27" s="4" t="s">
        <v>106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107</v>
      </c>
      <c r="B28" s="17" t="n">
        <v>1</v>
      </c>
      <c r="C28" s="4" t="s">
        <v>108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109</v>
      </c>
      <c r="B29" s="8" t="n">
        <v>0.05</v>
      </c>
      <c r="C29" s="4" t="s">
        <v>110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111</v>
      </c>
      <c r="B30" s="8" t="n">
        <v>0.1</v>
      </c>
      <c r="C30" s="4" t="s">
        <v>112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113</v>
      </c>
      <c r="B31" s="8" t="n">
        <v>0.01</v>
      </c>
      <c r="C31" s="4" t="s">
        <v>114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115</v>
      </c>
      <c r="B32" s="18" t="n">
        <v>0.001</v>
      </c>
      <c r="C32" s="4" t="s">
        <v>116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117</v>
      </c>
    </row>
    <row r="35" customFormat="false" ht="15" hidden="false" customHeight="false" outlineLevel="0" collapsed="false">
      <c r="A35" s="2" t="s">
        <v>118</v>
      </c>
    </row>
    <row r="36" customFormat="false" ht="23.85" hidden="false" customHeight="false" outlineLevel="0" collapsed="false">
      <c r="A36" s="3" t="s">
        <v>119</v>
      </c>
      <c r="B36" s="3" t="s">
        <v>120</v>
      </c>
      <c r="C36" s="3" t="s">
        <v>121</v>
      </c>
      <c r="D36" s="3" t="s">
        <v>122</v>
      </c>
      <c r="E36" s="3" t="s">
        <v>123</v>
      </c>
      <c r="F36" s="3" t="s">
        <v>124</v>
      </c>
      <c r="G36" s="3" t="s">
        <v>125</v>
      </c>
      <c r="H36" s="3" t="s">
        <v>126</v>
      </c>
      <c r="I36" s="3" t="s">
        <v>127</v>
      </c>
      <c r="J36" s="3" t="s">
        <v>128</v>
      </c>
      <c r="K36" s="3" t="s">
        <v>129</v>
      </c>
      <c r="L36" s="3" t="s">
        <v>130</v>
      </c>
      <c r="M36" s="3" t="s">
        <v>131</v>
      </c>
      <c r="N36" s="3" t="s">
        <v>132</v>
      </c>
      <c r="O36" s="3" t="s">
        <v>133</v>
      </c>
      <c r="P36" s="3" t="s">
        <v>134</v>
      </c>
      <c r="Q36" s="3" t="s">
        <v>135</v>
      </c>
      <c r="R36" s="3" t="s">
        <v>136</v>
      </c>
    </row>
    <row r="37" customFormat="false" ht="15" hidden="false" customHeight="false" outlineLevel="0" collapsed="false">
      <c r="A37" s="19" t="n">
        <v>2026</v>
      </c>
      <c r="B37" s="13" t="n">
        <f aca="false">datos_base!B19</f>
        <v>4861.19740074972</v>
      </c>
      <c r="C37" s="13" t="n">
        <f aca="false">datos_base!C19</f>
        <v>21824.5769150208</v>
      </c>
      <c r="D37" s="20" t="n">
        <f aca="false">IF(B37&gt;0,C37/B37,1)</f>
        <v>4.48954755708026</v>
      </c>
      <c r="E37" s="21" t="n">
        <f aca="false">D37^(1/12)</f>
        <v>1.13331389819629</v>
      </c>
      <c r="F37" s="11" t="n">
        <f aca="false">IF(ABS($E37-1)&lt;0.000000001,1/12,$E37^0*($E37-1)/($E37^12-1))</f>
        <v>0.0382037774283359</v>
      </c>
      <c r="G37" s="11" t="n">
        <f aca="false">IF(ABS($E37-1)&lt;0.000000001,1/12,$E37^1*($E37-1)/($E37^12-1))</f>
        <v>0.0432968719231306</v>
      </c>
      <c r="H37" s="11" t="n">
        <f aca="false">IF(ABS($E37-1)&lt;0.000000001,1/12,$E37^2*($E37-1)/($E37^12-1))</f>
        <v>0.0490689466989086</v>
      </c>
      <c r="I37" s="11" t="n">
        <f aca="false">IF(ABS($E37-1)&lt;0.000000001,1/12,$E37^3*($E37-1)/($E37^12-1))</f>
        <v>0.0556105192637259</v>
      </c>
      <c r="J37" s="11" t="n">
        <f aca="false">IF(ABS($E37-1)&lt;0.000000001,1/12,$E37^4*($E37-1)/($E37^12-1))</f>
        <v>0.063024174367493</v>
      </c>
      <c r="K37" s="11" t="n">
        <f aca="false">IF(ABS($E37-1)&lt;0.000000001,1/12,$E37^5*($E37-1)/($E37^12-1))</f>
        <v>0.071426172733026</v>
      </c>
      <c r="L37" s="11" t="n">
        <f aca="false">IF(ABS($E37-1)&lt;0.000000001,1/12,$E37^6*($E37-1)/($E37^12-1))</f>
        <v>0.080948274253307</v>
      </c>
      <c r="M37" s="11" t="n">
        <f aca="false">IF(ABS($E37-1)&lt;0.000000001,1/12,$E37^7*($E37-1)/($E37^12-1))</f>
        <v>0.0917398042462776</v>
      </c>
      <c r="N37" s="11" t="n">
        <f aca="false">IF(ABS($E37-1)&lt;0.000000001,1/12,$E37^8*($E37-1)/($E37^12-1))</f>
        <v>0.103969995170113</v>
      </c>
      <c r="O37" s="11" t="n">
        <f aca="false">IF(ABS($E37-1)&lt;0.000000001,1/12,$E37^9*($E37-1)/($E37^12-1))</f>
        <v>0.11783064052169</v>
      </c>
      <c r="P37" s="11" t="n">
        <f aca="false">IF(ABS($E37-1)&lt;0.000000001,1/12,$E37^10*($E37-1)/($E37^12-1))</f>
        <v>0.133539102536602</v>
      </c>
      <c r="Q37" s="11" t="n">
        <f aca="false">IF(ABS($E37-1)&lt;0.000000001,1/12,$E37^11*($E37-1)/($E37^12-1))</f>
        <v>0.15134172085739</v>
      </c>
      <c r="R37" s="10" t="n">
        <f aca="false">SUM(F37:Q37)</f>
        <v>1</v>
      </c>
    </row>
    <row r="38" customFormat="false" ht="15" hidden="false" customHeight="false" outlineLevel="0" collapsed="false">
      <c r="A38" s="19" t="n">
        <v>2027</v>
      </c>
      <c r="B38" s="13" t="n">
        <f aca="false">datos_base!C19</f>
        <v>21824.5769150208</v>
      </c>
      <c r="C38" s="13" t="n">
        <f aca="false">datos_base!D19</f>
        <v>43761.3962077661</v>
      </c>
      <c r="D38" s="20" t="n">
        <f aca="false">IF(B38&gt;0,C38/B38,1)</f>
        <v>2.0051429348739</v>
      </c>
      <c r="E38" s="21" t="n">
        <f aca="false">D38^(1/12)</f>
        <v>1.05968985845881</v>
      </c>
      <c r="F38" s="11" t="n">
        <f aca="false">IF(ABS($E38-1)&lt;0.000000001,1/12,$E38^0*($E38-1)/($E38^12-1))</f>
        <v>0.0593844481096613</v>
      </c>
      <c r="G38" s="11" t="n">
        <f aca="false">IF(ABS($E38-1)&lt;0.000000001,1/12,$E38^1*($E38-1)/($E38^12-1))</f>
        <v>0.0629290974119816</v>
      </c>
      <c r="H38" s="11" t="n">
        <f aca="false">IF(ABS($E38-1)&lt;0.000000001,1/12,$E38^2*($E38-1)/($E38^12-1))</f>
        <v>0.0666853263294436</v>
      </c>
      <c r="I38" s="11" t="n">
        <f aca="false">IF(ABS($E38-1)&lt;0.000000001,1/12,$E38^3*($E38-1)/($E38^12-1))</f>
        <v>0.0706657640193278</v>
      </c>
      <c r="J38" s="11" t="n">
        <f aca="false">IF(ABS($E38-1)&lt;0.000000001,1/12,$E38^4*($E38-1)/($E38^12-1))</f>
        <v>0.0748837934715252</v>
      </c>
      <c r="K38" s="11" t="n">
        <f aca="false">IF(ABS($E38-1)&lt;0.000000001,1/12,$E38^5*($E38-1)/($E38^12-1))</f>
        <v>0.0793535965046995</v>
      </c>
      <c r="L38" s="11" t="n">
        <f aca="false">IF(ABS($E38-1)&lt;0.000000001,1/12,$E38^6*($E38-1)/($E38^12-1))</f>
        <v>0.0840902014482627</v>
      </c>
      <c r="M38" s="11" t="n">
        <f aca="false">IF(ABS($E38-1)&lt;0.000000001,1/12,$E38^7*($E38-1)/($E38^12-1))</f>
        <v>0.0891095336704824</v>
      </c>
      <c r="N38" s="11" t="n">
        <f aca="false">IF(ABS($E38-1)&lt;0.000000001,1/12,$E38^8*($E38-1)/($E38^12-1))</f>
        <v>0.0944284691226043</v>
      </c>
      <c r="O38" s="11" t="n">
        <f aca="false">IF(ABS($E38-1)&lt;0.000000001,1/12,$E38^9*($E38-1)/($E38^12-1))</f>
        <v>0.100064891079015</v>
      </c>
      <c r="P38" s="11" t="n">
        <f aca="false">IF(ABS($E38-1)&lt;0.000000001,1/12,$E38^10*($E38-1)/($E38^12-1))</f>
        <v>0.106037750264218</v>
      </c>
      <c r="Q38" s="11" t="n">
        <f aca="false">IF(ABS($E38-1)&lt;0.000000001,1/12,$E38^11*($E38-1)/($E38^12-1))</f>
        <v>0.11236712856878</v>
      </c>
      <c r="R38" s="10" t="n">
        <f aca="false">SUM(F38:Q38)</f>
        <v>1</v>
      </c>
    </row>
    <row r="39" customFormat="false" ht="15" hidden="false" customHeight="false" outlineLevel="0" collapsed="false">
      <c r="A39" s="19" t="n">
        <v>2028</v>
      </c>
      <c r="B39" s="13" t="n">
        <f aca="false">datos_base!D19</f>
        <v>43761.3962077661</v>
      </c>
      <c r="C39" s="13" t="n">
        <f aca="false">datos_base!E19</f>
        <v>81177.1926972034</v>
      </c>
      <c r="D39" s="20" t="n">
        <f aca="false">IF(B39&gt;0,C39/B39,1)</f>
        <v>1.85499549218673</v>
      </c>
      <c r="E39" s="21" t="n">
        <f aca="false">D39^(1/12)</f>
        <v>1.05283885666119</v>
      </c>
      <c r="F39" s="11" t="n">
        <f aca="false">IF(ABS($E39-1)&lt;0.000000001,1/12,$E39^0*($E39-1)/($E39^12-1))</f>
        <v>0.0618001581810152</v>
      </c>
      <c r="G39" s="11" t="n">
        <f aca="false">IF(ABS($E39-1)&lt;0.000000001,1/12,$E39^1*($E39-1)/($E39^12-1))</f>
        <v>0.065065607880781</v>
      </c>
      <c r="H39" s="11" t="n">
        <f aca="false">IF(ABS($E39-1)&lt;0.000000001,1/12,$E39^2*($E39-1)/($E39^12-1))</f>
        <v>0.0685036002091671</v>
      </c>
      <c r="I39" s="11" t="n">
        <f aca="false">IF(ABS($E39-1)&lt;0.000000001,1/12,$E39^3*($E39-1)/($E39^12-1))</f>
        <v>0.0721232521213951</v>
      </c>
      <c r="J39" s="11" t="n">
        <f aca="false">IF(ABS($E39-1)&lt;0.000000001,1/12,$E39^4*($E39-1)/($E39^12-1))</f>
        <v>0.0759341623021766</v>
      </c>
      <c r="K39" s="11" t="n">
        <f aca="false">IF(ABS($E39-1)&lt;0.000000001,1/12,$E39^5*($E39-1)/($E39^12-1))</f>
        <v>0.0799464366197492</v>
      </c>
      <c r="L39" s="11" t="n">
        <f aca="false">IF(ABS($E39-1)&lt;0.000000001,1/12,$E39^6*($E39-1)/($E39^12-1))</f>
        <v>0.0841707149248734</v>
      </c>
      <c r="M39" s="11" t="n">
        <f aca="false">IF(ABS($E39-1)&lt;0.000000001,1/12,$E39^7*($E39-1)/($E39^12-1))</f>
        <v>0.0886181992658591</v>
      </c>
      <c r="N39" s="11" t="n">
        <f aca="false">IF(ABS($E39-1)&lt;0.000000001,1/12,$E39^8*($E39-1)/($E39^12-1))</f>
        <v>0.093300683594441</v>
      </c>
      <c r="O39" s="11" t="n">
        <f aca="false">IF(ABS($E39-1)&lt;0.000000001,1/12,$E39^9*($E39-1)/($E39^12-1))</f>
        <v>0.0982305850412791</v>
      </c>
      <c r="P39" s="11" t="n">
        <f aca="false">IF(ABS($E39-1)&lt;0.000000001,1/12,$E39^10*($E39-1)/($E39^12-1))</f>
        <v>0.103420976844021</v>
      </c>
      <c r="Q39" s="11" t="n">
        <f aca="false">IF(ABS($E39-1)&lt;0.000000001,1/12,$E39^11*($E39-1)/($E39^12-1))</f>
        <v>0.108885623015243</v>
      </c>
      <c r="R39" s="10" t="n">
        <f aca="false">SUM(F39:Q39)</f>
        <v>1</v>
      </c>
    </row>
    <row r="40" customFormat="false" ht="15" hidden="false" customHeight="false" outlineLevel="0" collapsed="false">
      <c r="A40" s="19" t="n">
        <v>2029</v>
      </c>
      <c r="B40" s="13" t="n">
        <f aca="false">datos_base!E19</f>
        <v>81177.1926972034</v>
      </c>
      <c r="C40" s="13" t="n">
        <f aca="false">datos_base!F19</f>
        <v>119484.019519496</v>
      </c>
      <c r="D40" s="20" t="n">
        <f aca="false">IF(B40&gt;0,C40/B40,1)</f>
        <v>1.47189149500623</v>
      </c>
      <c r="E40" s="21" t="n">
        <f aca="false">D40^(1/12)</f>
        <v>1.03273679271127</v>
      </c>
      <c r="F40" s="11" t="n">
        <f aca="false">IF(ABS($E40-1)&lt;0.000000001,1/12,$E40^0*($E40-1)/($E40^12-1))</f>
        <v>0.0693735595104109</v>
      </c>
      <c r="G40" s="11" t="n">
        <f aca="false">IF(ABS($E40-1)&lt;0.000000001,1/12,$E40^1*($E40-1)/($E40^12-1))</f>
        <v>0.0716446273477462</v>
      </c>
      <c r="H40" s="11" t="n">
        <f aca="false">IF(ABS($E40-1)&lt;0.000000001,1/12,$E40^2*($E40-1)/($E40^12-1))</f>
        <v>0.0739900426621057</v>
      </c>
      <c r="I40" s="11" t="n">
        <f aca="false">IF(ABS($E40-1)&lt;0.000000001,1/12,$E40^3*($E40-1)/($E40^12-1))</f>
        <v>0.0764122393514332</v>
      </c>
      <c r="J40" s="11" t="n">
        <f aca="false">IF(ABS($E40-1)&lt;0.000000001,1/12,$E40^4*($E40-1)/($E40^12-1))</f>
        <v>0.0789137309916851</v>
      </c>
      <c r="K40" s="11" t="n">
        <f aca="false">IF(ABS($E40-1)&lt;0.000000001,1/12,$E40^5*($E40-1)/($E40^12-1))</f>
        <v>0.0814971134452329</v>
      </c>
      <c r="L40" s="11" t="n">
        <f aca="false">IF(ABS($E40-1)&lt;0.000000001,1/12,$E40^6*($E40-1)/($E40^12-1))</f>
        <v>0.0841650675546565</v>
      </c>
      <c r="M40" s="11" t="n">
        <f aca="false">IF(ABS($E40-1)&lt;0.000000001,1/12,$E40^7*($E40-1)/($E40^12-1))</f>
        <v>0.0869203619247234</v>
      </c>
      <c r="N40" s="11" t="n">
        <f aca="false">IF(ABS($E40-1)&lt;0.000000001,1/12,$E40^8*($E40-1)/($E40^12-1))</f>
        <v>0.0897658557954418</v>
      </c>
      <c r="O40" s="11" t="n">
        <f aca="false">IF(ABS($E40-1)&lt;0.000000001,1/12,$E40^9*($E40-1)/($E40^12-1))</f>
        <v>0.092704502009167</v>
      </c>
      <c r="P40" s="11" t="n">
        <f aca="false">IF(ABS($E40-1)&lt;0.000000001,1/12,$E40^10*($E40-1)/($E40^12-1))</f>
        <v>0.0957393500748428</v>
      </c>
      <c r="Q40" s="11" t="n">
        <f aca="false">IF(ABS($E40-1)&lt;0.000000001,1/12,$E40^11*($E40-1)/($E40^12-1))</f>
        <v>0.0988735493325547</v>
      </c>
      <c r="R40" s="10" t="n">
        <f aca="false">SUM(F40:Q40)</f>
        <v>1</v>
      </c>
    </row>
    <row r="41" customFormat="false" ht="15" hidden="false" customHeight="false" outlineLevel="0" collapsed="false">
      <c r="A41" s="19" t="n">
        <v>2030</v>
      </c>
      <c r="B41" s="13" t="n">
        <f aca="false">datos_base!F19</f>
        <v>119484.019519496</v>
      </c>
      <c r="C41" s="13" t="n">
        <f aca="false">datos_base!G19</f>
        <v>162630.917783496</v>
      </c>
      <c r="D41" s="20" t="n">
        <f aca="false">IF(B41&gt;0,C41/B41,1)</f>
        <v>1.36111020065708</v>
      </c>
      <c r="E41" s="21" t="n">
        <f aca="false">D41^(1/12)</f>
        <v>1.02602460118996</v>
      </c>
      <c r="F41" s="11" t="n">
        <f aca="false">IF(ABS($E41-1)&lt;0.000000001,1/12,$E41^0*($E41-1)/($E41^12-1))</f>
        <v>0.0720683080749448</v>
      </c>
      <c r="G41" s="11" t="n">
        <f aca="false">IF(ABS($E41-1)&lt;0.000000001,1/12,$E41^1*($E41-1)/($E41^12-1))</f>
        <v>0.0739438570510304</v>
      </c>
      <c r="H41" s="11" t="n">
        <f aca="false">IF(ABS($E41-1)&lt;0.000000001,1/12,$E41^2*($E41-1)/($E41^12-1))</f>
        <v>0.0758682164412309</v>
      </c>
      <c r="I41" s="11" t="n">
        <f aca="false">IF(ABS($E41-1)&lt;0.000000001,1/12,$E41^3*($E41-1)/($E41^12-1))</f>
        <v>0.0778426565171075</v>
      </c>
      <c r="J41" s="11" t="n">
        <f aca="false">IF(ABS($E41-1)&lt;0.000000001,1/12,$E41^4*($E41-1)/($E41^12-1))</f>
        <v>0.0798684806085322</v>
      </c>
      <c r="K41" s="11" t="n">
        <f aca="false">IF(ABS($E41-1)&lt;0.000000001,1/12,$E41^5*($E41-1)/($E41^12-1))</f>
        <v>0.0819470259640173</v>
      </c>
      <c r="L41" s="11" t="n">
        <f aca="false">IF(ABS($E41-1)&lt;0.000000001,1/12,$E41^6*($E41-1)/($E41^12-1))</f>
        <v>0.0840796646334342</v>
      </c>
      <c r="M41" s="11" t="n">
        <f aca="false">IF(ABS($E41-1)&lt;0.000000001,1/12,$E41^7*($E41-1)/($E41^12-1))</f>
        <v>0.0862678043737049</v>
      </c>
      <c r="N41" s="11" t="n">
        <f aca="false">IF(ABS($E41-1)&lt;0.000000001,1/12,$E41^8*($E41-1)/($E41^12-1))</f>
        <v>0.088512889578064</v>
      </c>
      <c r="O41" s="11" t="n">
        <f aca="false">IF(ABS($E41-1)&lt;0.000000001,1/12,$E41^9*($E41-1)/($E41^12-1))</f>
        <v>0.0908164022295041</v>
      </c>
      <c r="P41" s="11" t="n">
        <f aca="false">IF(ABS($E41-1)&lt;0.000000001,1/12,$E41^10*($E41-1)/($E41^12-1))</f>
        <v>0.0931798628790339</v>
      </c>
      <c r="Q41" s="11" t="n">
        <f aca="false">IF(ABS($E41-1)&lt;0.000000001,1/12,$E41^11*($E41-1)/($E41^12-1))</f>
        <v>0.0956048316493959</v>
      </c>
      <c r="R41" s="10" t="n">
        <f aca="false">SUM(F41:Q41)</f>
        <v>1</v>
      </c>
    </row>
    <row r="42" customFormat="false" ht="15" hidden="false" customHeight="false" outlineLevel="0" collapsed="false">
      <c r="A42" s="19" t="n">
        <v>2031</v>
      </c>
      <c r="B42" s="13" t="n">
        <f aca="false">datos_base!G19</f>
        <v>162630.917783496</v>
      </c>
      <c r="C42" s="13" t="n">
        <f aca="false">datos_base!H19</f>
        <v>201982.665873248</v>
      </c>
      <c r="D42" s="20" t="n">
        <f aca="false">IF(B42&gt;0,C42/B42,1)</f>
        <v>1.24196966128015</v>
      </c>
      <c r="E42" s="21" t="n">
        <f aca="false">D42^(1/12)</f>
        <v>1.01822224842803</v>
      </c>
      <c r="F42" s="11" t="n">
        <f aca="false">IF(ABS($E42-1)&lt;0.000000001,1/12,$E42^0*($E42-1)/($E42^12-1))</f>
        <v>0.0753079883305414</v>
      </c>
      <c r="G42" s="11" t="n">
        <f aca="false">IF(ABS($E42-1)&lt;0.000000001,1/12,$E42^1*($E42-1)/($E42^12-1))</f>
        <v>0.0766802692025157</v>
      </c>
      <c r="H42" s="11" t="n">
        <f aca="false">IF(ABS($E42-1)&lt;0.000000001,1/12,$E42^2*($E42-1)/($E42^12-1))</f>
        <v>0.0780775561174523</v>
      </c>
      <c r="I42" s="11" t="n">
        <f aca="false">IF(ABS($E42-1)&lt;0.000000001,1/12,$E42^3*($E42-1)/($E42^12-1))</f>
        <v>0.079500304741678</v>
      </c>
      <c r="J42" s="11" t="n">
        <f aca="false">IF(ABS($E42-1)&lt;0.000000001,1/12,$E42^4*($E42-1)/($E42^12-1))</f>
        <v>0.080948979044785</v>
      </c>
      <c r="K42" s="11" t="n">
        <f aca="false">IF(ABS($E42-1)&lt;0.000000001,1/12,$E42^5*($E42-1)/($E42^12-1))</f>
        <v>0.0824240514509345</v>
      </c>
      <c r="L42" s="11" t="n">
        <f aca="false">IF(ABS($E42-1)&lt;0.000000001,1/12,$E42^6*($E42-1)/($E42^12-1))</f>
        <v>0.0839260029929182</v>
      </c>
      <c r="M42" s="11" t="n">
        <f aca="false">IF(ABS($E42-1)&lt;0.000000001,1/12,$E42^7*($E42-1)/($E42^12-1))</f>
        <v>0.0854553234690268</v>
      </c>
      <c r="N42" s="11" t="n">
        <f aca="false">IF(ABS($E42-1)&lt;0.000000001,1/12,$E42^8*($E42-1)/($E42^12-1))</f>
        <v>0.0870125116027772</v>
      </c>
      <c r="O42" s="11" t="n">
        <f aca="false">IF(ABS($E42-1)&lt;0.000000001,1/12,$E42^9*($E42-1)/($E42^12-1))</f>
        <v>0.0885980752055499</v>
      </c>
      <c r="P42" s="11" t="n">
        <f aca="false">IF(ABS($E42-1)&lt;0.000000001,1/12,$E42^10*($E42-1)/($E42^12-1))</f>
        <v>0.0902125313421908</v>
      </c>
      <c r="Q42" s="11" t="n">
        <f aca="false">IF(ABS($E42-1)&lt;0.000000001,1/12,$E42^11*($E42-1)/($E42^12-1))</f>
        <v>0.0918564064996297</v>
      </c>
      <c r="R42" s="10" t="n">
        <f aca="false">SUM(F42:Q42)</f>
        <v>1</v>
      </c>
    </row>
    <row r="43" customFormat="false" ht="15" hidden="false" customHeight="false" outlineLevel="0" collapsed="false">
      <c r="A43" s="19" t="n">
        <v>2032</v>
      </c>
      <c r="B43" s="13" t="n">
        <f aca="false">datos_base!H19</f>
        <v>201982.665873248</v>
      </c>
      <c r="C43" s="13" t="n">
        <f aca="false">datos_base!I19</f>
        <v>229623.614015231</v>
      </c>
      <c r="D43" s="20" t="n">
        <f aca="false">IF(B43&gt;0,C43/B43,1)</f>
        <v>1.13684812022101</v>
      </c>
      <c r="E43" s="21" t="n">
        <f aca="false">D43^(1/12)</f>
        <v>1.01074562615561</v>
      </c>
      <c r="F43" s="11" t="n">
        <f aca="false">IF(ABS($E43-1)&lt;0.000000001,1/12,$E43^0*($E43-1)/($E43^12-1))</f>
        <v>0.0785222781156994</v>
      </c>
      <c r="G43" s="11" t="n">
        <f aca="false">IF(ABS($E43-1)&lt;0.000000001,1/12,$E43^1*($E43-1)/($E43^12-1))</f>
        <v>0.0793660491612171</v>
      </c>
      <c r="H43" s="11" t="n">
        <f aca="false">IF(ABS($E43-1)&lt;0.000000001,1/12,$E43^2*($E43-1)/($E43^12-1))</f>
        <v>0.0802188870549509</v>
      </c>
      <c r="I43" s="11" t="n">
        <f aca="false">IF(ABS($E43-1)&lt;0.000000001,1/12,$E43^3*($E43-1)/($E43^12-1))</f>
        <v>0.0810808892258621</v>
      </c>
      <c r="J43" s="11" t="n">
        <f aca="false">IF(ABS($E43-1)&lt;0.000000001,1/12,$E43^4*($E43-1)/($E43^12-1))</f>
        <v>0.0819521541498473</v>
      </c>
      <c r="K43" s="11" t="n">
        <f aca="false">IF(ABS($E43-1)&lt;0.000000001,1/12,$E43^5*($E43-1)/($E43^12-1))</f>
        <v>0.082832781360988</v>
      </c>
      <c r="L43" s="11" t="n">
        <f aca="false">IF(ABS($E43-1)&lt;0.000000001,1/12,$E43^6*($E43-1)/($E43^12-1))</f>
        <v>0.0837228714629222</v>
      </c>
      <c r="M43" s="11" t="n">
        <f aca="false">IF(ABS($E43-1)&lt;0.000000001,1/12,$E43^7*($E43-1)/($E43^12-1))</f>
        <v>0.0846225261403365</v>
      </c>
      <c r="N43" s="11" t="n">
        <f aca="false">IF(ABS($E43-1)&lt;0.000000001,1/12,$E43^8*($E43-1)/($E43^12-1))</f>
        <v>0.0855318481705834</v>
      </c>
      <c r="O43" s="11" t="n">
        <f aca="false">IF(ABS($E43-1)&lt;0.000000001,1/12,$E43^9*($E43-1)/($E43^12-1))</f>
        <v>0.0864509414354225</v>
      </c>
      <c r="P43" s="11" t="n">
        <f aca="false">IF(ABS($E43-1)&lt;0.000000001,1/12,$E43^10*($E43-1)/($E43^12-1))</f>
        <v>0.0873799109328877</v>
      </c>
      <c r="Q43" s="11" t="n">
        <f aca="false">IF(ABS($E43-1)&lt;0.000000001,1/12,$E43^11*($E43-1)/($E43^12-1))</f>
        <v>0.0883188627892825</v>
      </c>
      <c r="R43" s="10" t="n">
        <f aca="false">SUM(F43:Q43)</f>
        <v>1</v>
      </c>
    </row>
    <row r="44" customFormat="false" ht="15" hidden="false" customHeight="false" outlineLevel="0" collapsed="false">
      <c r="A44" s="19" t="n">
        <v>2033</v>
      </c>
      <c r="B44" s="13" t="n">
        <f aca="false">datos_base!I19</f>
        <v>229623.614015231</v>
      </c>
      <c r="C44" s="13" t="n">
        <f aca="false">datos_base!J19</f>
        <v>246984.577103387</v>
      </c>
      <c r="D44" s="20" t="n">
        <f aca="false">IF(B44&gt;0,C44/B44,1)</f>
        <v>1.07560617475084</v>
      </c>
      <c r="E44" s="21" t="n">
        <f aca="false">D44^(1/12)</f>
        <v>1.00609218115406</v>
      </c>
      <c r="F44" s="11" t="n">
        <f aca="false">IF(ABS($E44-1)&lt;0.000000001,1/12,$E44^0*($E44-1)/($E44^12-1))</f>
        <v>0.080577825477091</v>
      </c>
      <c r="G44" s="11" t="n">
        <f aca="false">IF(ABS($E44-1)&lt;0.000000001,1/12,$E44^1*($E44-1)/($E44^12-1))</f>
        <v>0.081068720186898</v>
      </c>
      <c r="H44" s="11" t="n">
        <f aca="false">IF(ABS($E44-1)&lt;0.000000001,1/12,$E44^2*($E44-1)/($E44^12-1))</f>
        <v>0.0815626055162047</v>
      </c>
      <c r="I44" s="11" t="n">
        <f aca="false">IF(ABS($E44-1)&lt;0.000000001,1/12,$E44^3*($E44-1)/($E44^12-1))</f>
        <v>0.0820594996844069</v>
      </c>
      <c r="J44" s="11" t="n">
        <f aca="false">IF(ABS($E44-1)&lt;0.000000001,1/12,$E44^4*($E44-1)/($E44^12-1))</f>
        <v>0.0825594210218961</v>
      </c>
      <c r="K44" s="11" t="n">
        <f aca="false">IF(ABS($E44-1)&lt;0.000000001,1/12,$E44^5*($E44-1)/($E44^12-1))</f>
        <v>0.0830623879707362</v>
      </c>
      <c r="L44" s="11" t="n">
        <f aca="false">IF(ABS($E44-1)&lt;0.000000001,1/12,$E44^6*($E44-1)/($E44^12-1))</f>
        <v>0.083568419085343</v>
      </c>
      <c r="M44" s="11" t="n">
        <f aca="false">IF(ABS($E44-1)&lt;0.000000001,1/12,$E44^7*($E44-1)/($E44^12-1))</f>
        <v>0.0840775330331697</v>
      </c>
      <c r="N44" s="11" t="n">
        <f aca="false">IF(ABS($E44-1)&lt;0.000000001,1/12,$E44^8*($E44-1)/($E44^12-1))</f>
        <v>0.0845897485953945</v>
      </c>
      <c r="O44" s="11" t="n">
        <f aca="false">IF(ABS($E44-1)&lt;0.000000001,1/12,$E44^9*($E44-1)/($E44^12-1))</f>
        <v>0.0851050846676144</v>
      </c>
      <c r="P44" s="11" t="n">
        <f aca="false">IF(ABS($E44-1)&lt;0.000000001,1/12,$E44^10*($E44-1)/($E44^12-1))</f>
        <v>0.0856235602605415</v>
      </c>
      <c r="Q44" s="11" t="n">
        <f aca="false">IF(ABS($E44-1)&lt;0.000000001,1/12,$E44^11*($E44-1)/($E44^12-1))</f>
        <v>0.0861451945007046</v>
      </c>
      <c r="R44" s="10" t="n">
        <f aca="false">SUM(F44:Q44)</f>
        <v>1</v>
      </c>
    </row>
    <row r="45" customFormat="false" ht="15" hidden="false" customHeight="false" outlineLevel="0" collapsed="false">
      <c r="A45" s="19" t="n">
        <v>2034</v>
      </c>
      <c r="B45" s="13" t="n">
        <f aca="false">datos_base!J19</f>
        <v>246984.577103387</v>
      </c>
      <c r="C45" s="13" t="n">
        <f aca="false">datos_base!K19</f>
        <v>264710.316731115</v>
      </c>
      <c r="D45" s="20" t="n">
        <f aca="false">IF(B45&gt;0,C45/B45,1)</f>
        <v>1.07176860934239</v>
      </c>
      <c r="E45" s="21" t="n">
        <f aca="false">D45^(1/12)</f>
        <v>1.00579256153194</v>
      </c>
      <c r="F45" s="11" t="n">
        <f aca="false">IF(ABS($E45-1)&lt;0.000000001,1/12,$E45^0*($E45-1)/($E45^12-1))</f>
        <v>0.0807116312411818</v>
      </c>
      <c r="G45" s="11" t="n">
        <f aca="false">IF(ABS($E45-1)&lt;0.000000001,1/12,$E45^1*($E45-1)/($E45^12-1))</f>
        <v>0.0811791583314891</v>
      </c>
      <c r="H45" s="11" t="n">
        <f aca="false">IF(ABS($E45-1)&lt;0.000000001,1/12,$E45^2*($E45-1)/($E45^12-1))</f>
        <v>0.081649393601235</v>
      </c>
      <c r="I45" s="11" t="n">
        <f aca="false">IF(ABS($E45-1)&lt;0.000000001,1/12,$E45^3*($E45-1)/($E45^12-1))</f>
        <v>0.0821223527377154</v>
      </c>
      <c r="J45" s="11" t="n">
        <f aca="false">IF(ABS($E45-1)&lt;0.000000001,1/12,$E45^4*($E45-1)/($E45^12-1))</f>
        <v>0.0825980515190958</v>
      </c>
      <c r="K45" s="11" t="n">
        <f aca="false">IF(ABS($E45-1)&lt;0.000000001,1/12,$E45^5*($E45-1)/($E45^12-1))</f>
        <v>0.0830765058149382</v>
      </c>
      <c r="L45" s="11" t="n">
        <f aca="false">IF(ABS($E45-1)&lt;0.000000001,1/12,$E45^6*($E45-1)/($E45^12-1))</f>
        <v>0.0835577315867294</v>
      </c>
      <c r="M45" s="11" t="n">
        <f aca="false">IF(ABS($E45-1)&lt;0.000000001,1/12,$E45^7*($E45-1)/($E45^12-1))</f>
        <v>0.0840417448884144</v>
      </c>
      <c r="N45" s="11" t="n">
        <f aca="false">IF(ABS($E45-1)&lt;0.000000001,1/12,$E45^8*($E45-1)/($E45^12-1))</f>
        <v>0.0845285618669318</v>
      </c>
      <c r="O45" s="11" t="n">
        <f aca="false">IF(ABS($E45-1)&lt;0.000000001,1/12,$E45^9*($E45-1)/($E45^12-1))</f>
        <v>0.085018198762752</v>
      </c>
      <c r="P45" s="11" t="n">
        <f aca="false">IF(ABS($E45-1)&lt;0.000000001,1/12,$E45^10*($E45-1)/($E45^12-1))</f>
        <v>0.0855106719104195</v>
      </c>
      <c r="Q45" s="11" t="n">
        <f aca="false">IF(ABS($E45-1)&lt;0.000000001,1/12,$E45^11*($E45-1)/($E45^12-1))</f>
        <v>0.0860059977390977</v>
      </c>
      <c r="R45" s="10" t="n">
        <f aca="false">SUM(F45:Q45)</f>
        <v>1</v>
      </c>
    </row>
    <row r="46" customFormat="false" ht="15" hidden="false" customHeight="false" outlineLevel="0" collapsed="false">
      <c r="A46" s="19" t="n">
        <v>2035</v>
      </c>
      <c r="B46" s="13" t="n">
        <f aca="false">datos_base!K19</f>
        <v>264710.316731115</v>
      </c>
      <c r="C46" s="13" t="n">
        <f aca="false">IF(datos_base!J19&gt;0,datos_base!K19^2/datos_base!J19,0)</f>
        <v>283708.20804149</v>
      </c>
      <c r="D46" s="20" t="n">
        <f aca="false">IF(B46&gt;0,C46/B46,1)</f>
        <v>1.07176860934239</v>
      </c>
      <c r="E46" s="21" t="n">
        <f aca="false">D46^(1/12)</f>
        <v>1.00579256153194</v>
      </c>
      <c r="F46" s="11" t="n">
        <f aca="false">IF(ABS($E46-1)&lt;0.000000001,1/12,$E46^0*($E46-1)/($E46^12-1))</f>
        <v>0.0807116312411818</v>
      </c>
      <c r="G46" s="11" t="n">
        <f aca="false">IF(ABS($E46-1)&lt;0.000000001,1/12,$E46^1*($E46-1)/($E46^12-1))</f>
        <v>0.0811791583314891</v>
      </c>
      <c r="H46" s="11" t="n">
        <f aca="false">IF(ABS($E46-1)&lt;0.000000001,1/12,$E46^2*($E46-1)/($E46^12-1))</f>
        <v>0.081649393601235</v>
      </c>
      <c r="I46" s="11" t="n">
        <f aca="false">IF(ABS($E46-1)&lt;0.000000001,1/12,$E46^3*($E46-1)/($E46^12-1))</f>
        <v>0.0821223527377154</v>
      </c>
      <c r="J46" s="11" t="n">
        <f aca="false">IF(ABS($E46-1)&lt;0.000000001,1/12,$E46^4*($E46-1)/($E46^12-1))</f>
        <v>0.0825980515190958</v>
      </c>
      <c r="K46" s="11" t="n">
        <f aca="false">IF(ABS($E46-1)&lt;0.000000001,1/12,$E46^5*($E46-1)/($E46^12-1))</f>
        <v>0.0830765058149382</v>
      </c>
      <c r="L46" s="11" t="n">
        <f aca="false">IF(ABS($E46-1)&lt;0.000000001,1/12,$E46^6*($E46-1)/($E46^12-1))</f>
        <v>0.0835577315867294</v>
      </c>
      <c r="M46" s="11" t="n">
        <f aca="false">IF(ABS($E46-1)&lt;0.000000001,1/12,$E46^7*($E46-1)/($E46^12-1))</f>
        <v>0.0840417448884144</v>
      </c>
      <c r="N46" s="11" t="n">
        <f aca="false">IF(ABS($E46-1)&lt;0.000000001,1/12,$E46^8*($E46-1)/($E46^12-1))</f>
        <v>0.0845285618669318</v>
      </c>
      <c r="O46" s="11" t="n">
        <f aca="false">IF(ABS($E46-1)&lt;0.000000001,1/12,$E46^9*($E46-1)/($E46^12-1))</f>
        <v>0.085018198762752</v>
      </c>
      <c r="P46" s="11" t="n">
        <f aca="false">IF(ABS($E46-1)&lt;0.000000001,1/12,$E46^10*($E46-1)/($E46^12-1))</f>
        <v>0.0855106719104195</v>
      </c>
      <c r="Q46" s="11" t="n">
        <f aca="false">IF(ABS($E46-1)&lt;0.000000001,1/12,$E46^11*($E46-1)/($E46^12-1))</f>
        <v>0.0860059977390977</v>
      </c>
      <c r="R46" s="10" t="n">
        <f aca="false">SUM(F46:Q46)</f>
        <v>1</v>
      </c>
    </row>
    <row r="49" customFormat="false" ht="15" hidden="false" customHeight="false" outlineLevel="0" collapsed="false">
      <c r="A49" s="1" t="s">
        <v>137</v>
      </c>
    </row>
    <row r="50" customFormat="false" ht="35.05" hidden="false" customHeight="true" outlineLevel="0" collapsed="false">
      <c r="A50" s="3" t="s">
        <v>138</v>
      </c>
      <c r="B50" s="3" t="s">
        <v>139</v>
      </c>
      <c r="C50" s="3" t="s">
        <v>140</v>
      </c>
      <c r="D50" s="3" t="s">
        <v>141</v>
      </c>
      <c r="E50" s="3" t="s">
        <v>142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143</v>
      </c>
      <c r="C51" s="14" t="n">
        <v>1</v>
      </c>
      <c r="D51" s="14" t="n">
        <v>0</v>
      </c>
      <c r="E51" s="4" t="s">
        <v>144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143</v>
      </c>
      <c r="C52" s="14" t="n">
        <v>1</v>
      </c>
      <c r="D52" s="14" t="n">
        <v>0</v>
      </c>
      <c r="E52" s="4" t="s">
        <v>145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143</v>
      </c>
      <c r="C53" s="14" t="n">
        <v>1</v>
      </c>
      <c r="D53" s="14" t="n">
        <v>0</v>
      </c>
      <c r="E53" s="4" t="s">
        <v>145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143</v>
      </c>
      <c r="C54" s="14" t="n">
        <v>1</v>
      </c>
      <c r="D54" s="14" t="n">
        <v>0</v>
      </c>
      <c r="E54" s="4" t="s">
        <v>145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146</v>
      </c>
      <c r="C55" s="14" t="n">
        <v>1</v>
      </c>
      <c r="D55" s="14" t="n">
        <v>0</v>
      </c>
      <c r="E55" s="4" t="s">
        <v>145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147</v>
      </c>
      <c r="C56" s="14" t="n">
        <v>1</v>
      </c>
      <c r="D56" s="14" t="n">
        <v>0</v>
      </c>
      <c r="E56" s="4" t="s">
        <v>145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147</v>
      </c>
      <c r="C57" s="16" t="n">
        <f aca="false">$B$9</f>
        <v>3</v>
      </c>
      <c r="D57" s="14" t="n">
        <v>1</v>
      </c>
      <c r="E57" s="4" t="s">
        <v>148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149</v>
      </c>
      <c r="C58" s="14" t="n">
        <v>1</v>
      </c>
      <c r="D58" s="14" t="n">
        <v>0</v>
      </c>
      <c r="E58" s="4" t="s">
        <v>145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150</v>
      </c>
      <c r="C59" s="14" t="n">
        <v>1</v>
      </c>
      <c r="D59" s="14" t="n">
        <v>0</v>
      </c>
      <c r="E59" s="4" t="s">
        <v>145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151</v>
      </c>
      <c r="C60" s="14" t="n">
        <v>1</v>
      </c>
      <c r="D60" s="14" t="n">
        <v>0</v>
      </c>
      <c r="E60" s="4" t="s">
        <v>152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151</v>
      </c>
      <c r="C61" s="14" t="n">
        <v>1</v>
      </c>
      <c r="D61" s="14" t="n">
        <v>1</v>
      </c>
      <c r="E61" s="4" t="s">
        <v>153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154</v>
      </c>
      <c r="C62" s="14" t="n">
        <v>1</v>
      </c>
      <c r="D62" s="14" t="n">
        <v>0</v>
      </c>
      <c r="E62" s="4" t="s">
        <v>145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155</v>
      </c>
      <c r="C63" s="14" t="n">
        <v>1</v>
      </c>
      <c r="D63" s="14" t="n">
        <v>0</v>
      </c>
      <c r="E63" s="4" t="s">
        <v>145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143</v>
      </c>
      <c r="C64" s="16" t="n">
        <f aca="false">$B$9</f>
        <v>3</v>
      </c>
      <c r="D64" s="14" t="n">
        <v>1</v>
      </c>
      <c r="E64" s="4" t="s">
        <v>156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143</v>
      </c>
      <c r="C65" s="16" t="n">
        <f aca="false">$B$9</f>
        <v>3</v>
      </c>
      <c r="D65" s="14" t="n">
        <v>1</v>
      </c>
      <c r="E65" s="4" t="s">
        <v>156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143</v>
      </c>
      <c r="C66" s="16" t="n">
        <f aca="false">$B$9</f>
        <v>3</v>
      </c>
      <c r="D66" s="14" t="n">
        <v>1</v>
      </c>
      <c r="E66" s="4" t="s">
        <v>156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143</v>
      </c>
      <c r="C67" s="16" t="n">
        <f aca="false">$B$9</f>
        <v>3</v>
      </c>
      <c r="D67" s="14" t="n">
        <v>1</v>
      </c>
      <c r="E67" s="4" t="s">
        <v>156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157</v>
      </c>
    </row>
    <row r="71" customFormat="false" ht="35.05" hidden="false" customHeight="false" outlineLevel="0" collapsed="false">
      <c r="A71" s="3" t="s">
        <v>158</v>
      </c>
      <c r="B71" s="3" t="s">
        <v>159</v>
      </c>
      <c r="C71" s="3" t="s">
        <v>160</v>
      </c>
      <c r="D71" s="3" t="s">
        <v>161</v>
      </c>
      <c r="E71" s="3" t="s">
        <v>143</v>
      </c>
      <c r="F71" s="3" t="s">
        <v>149</v>
      </c>
      <c r="G71" s="3" t="s">
        <v>155</v>
      </c>
      <c r="H71" s="3" t="s">
        <v>146</v>
      </c>
      <c r="I71" s="3" t="s">
        <v>147</v>
      </c>
      <c r="J71" s="3" t="s">
        <v>150</v>
      </c>
      <c r="K71" s="3" t="s">
        <v>151</v>
      </c>
      <c r="L71" s="3" t="s">
        <v>154</v>
      </c>
      <c r="M71" s="3" t="s">
        <v>162</v>
      </c>
      <c r="N71" s="3" t="s">
        <v>163</v>
      </c>
      <c r="O71" s="3" t="s">
        <v>164</v>
      </c>
      <c r="P71" s="3" t="s">
        <v>165</v>
      </c>
      <c r="Q71" s="3" t="s">
        <v>166</v>
      </c>
    </row>
    <row r="72" customFormat="false" ht="23.85" hidden="false" customHeight="false" outlineLevel="0" collapsed="false">
      <c r="A72" s="19" t="n">
        <v>1</v>
      </c>
      <c r="B72" s="4" t="s">
        <v>167</v>
      </c>
      <c r="C72" s="4" t="s">
        <v>168</v>
      </c>
      <c r="D72" s="9" t="s">
        <v>169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2" t="n">
        <f aca="false">IF(M72&gt;0,3600/M72,0)</f>
        <v>48</v>
      </c>
      <c r="O72" s="7" t="n">
        <f aca="false">N72*$B$6</f>
        <v>7200</v>
      </c>
      <c r="P72" s="4" t="s">
        <v>170</v>
      </c>
      <c r="Q72" s="4"/>
    </row>
    <row r="73" customFormat="false" ht="15" hidden="false" customHeight="false" outlineLevel="0" collapsed="false">
      <c r="A73" s="19" t="n">
        <v>2</v>
      </c>
      <c r="B73" s="4" t="s">
        <v>171</v>
      </c>
      <c r="C73" s="4" t="s">
        <v>172</v>
      </c>
      <c r="D73" s="9" t="s">
        <v>169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2" t="n">
        <f aca="false">IF(M73&gt;0,3600/M73,0)</f>
        <v>40</v>
      </c>
      <c r="O73" s="7" t="n">
        <f aca="false">N73*$B$6</f>
        <v>6000</v>
      </c>
      <c r="P73" s="4" t="s">
        <v>173</v>
      </c>
      <c r="Q73" s="4" t="s">
        <v>174</v>
      </c>
    </row>
    <row r="74" customFormat="false" ht="15" hidden="false" customHeight="false" outlineLevel="0" collapsed="false">
      <c r="A74" s="19" t="n">
        <v>3</v>
      </c>
      <c r="B74" s="4" t="s">
        <v>175</v>
      </c>
      <c r="C74" s="4" t="s">
        <v>176</v>
      </c>
      <c r="D74" s="9" t="s">
        <v>177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2" t="n">
        <f aca="false">IF(M74&gt;0,3600/M74,0)</f>
        <v>42.3529411764706</v>
      </c>
      <c r="O74" s="7" t="n">
        <f aca="false">N74*$B$6</f>
        <v>6352.94117647059</v>
      </c>
      <c r="P74" s="4" t="s">
        <v>178</v>
      </c>
      <c r="Q74" s="4"/>
    </row>
    <row r="75" customFormat="false" ht="15" hidden="false" customHeight="false" outlineLevel="0" collapsed="false">
      <c r="A75" s="19" t="n">
        <v>4</v>
      </c>
      <c r="B75" s="4" t="s">
        <v>179</v>
      </c>
      <c r="C75" s="4" t="s">
        <v>180</v>
      </c>
      <c r="D75" s="9" t="s">
        <v>177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2" t="n">
        <f aca="false">IF(M75&gt;0,3600/M75,0)</f>
        <v>42.3529411764706</v>
      </c>
      <c r="O75" s="7" t="n">
        <f aca="false">N75*$B$6</f>
        <v>6352.94117647059</v>
      </c>
      <c r="P75" s="4" t="s">
        <v>181</v>
      </c>
      <c r="Q75" s="4"/>
    </row>
    <row r="76" customFormat="false" ht="15" hidden="false" customHeight="false" outlineLevel="0" collapsed="false">
      <c r="A76" s="19" t="n">
        <v>5</v>
      </c>
      <c r="B76" s="4" t="s">
        <v>182</v>
      </c>
      <c r="C76" s="4" t="s">
        <v>183</v>
      </c>
      <c r="D76" s="9" t="s">
        <v>177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2" t="n">
        <f aca="false">IF(M76&gt;0,3600/M76,0)</f>
        <v>42.3529411764706</v>
      </c>
      <c r="O76" s="7" t="n">
        <f aca="false">N76*$B$6</f>
        <v>6352.94117647059</v>
      </c>
      <c r="P76" s="4" t="s">
        <v>184</v>
      </c>
      <c r="Q76" s="4"/>
    </row>
    <row r="77" customFormat="false" ht="15" hidden="false" customHeight="false" outlineLevel="0" collapsed="false">
      <c r="A77" s="19" t="n">
        <v>6</v>
      </c>
      <c r="B77" s="4" t="s">
        <v>185</v>
      </c>
      <c r="C77" s="4" t="s">
        <v>186</v>
      </c>
      <c r="D77" s="9" t="s">
        <v>177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2" t="n">
        <f aca="false">IF(M77&gt;0,3600/M77,0)</f>
        <v>34.2857142857143</v>
      </c>
      <c r="O77" s="7" t="n">
        <f aca="false">N77*$B$6</f>
        <v>5142.85714285714</v>
      </c>
      <c r="P77" s="4" t="s">
        <v>187</v>
      </c>
      <c r="Q77" s="4" t="s">
        <v>188</v>
      </c>
    </row>
    <row r="78" customFormat="false" ht="23.85" hidden="false" customHeight="false" outlineLevel="0" collapsed="false">
      <c r="A78" s="19" t="n">
        <v>7</v>
      </c>
      <c r="B78" s="4" t="s">
        <v>189</v>
      </c>
      <c r="C78" s="4" t="s">
        <v>190</v>
      </c>
      <c r="D78" s="9" t="s">
        <v>177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2" t="n">
        <f aca="false">IF(M78&gt;0,3600/M78,0)</f>
        <v>17.5609756097561</v>
      </c>
      <c r="O78" s="7" t="n">
        <f aca="false">N78*$B$6</f>
        <v>2634.14634146342</v>
      </c>
      <c r="P78" s="4" t="s">
        <v>191</v>
      </c>
      <c r="Q78" s="4"/>
    </row>
    <row r="79" customFormat="false" ht="23.85" hidden="false" customHeight="false" outlineLevel="0" collapsed="false">
      <c r="A79" s="19" t="n">
        <v>8</v>
      </c>
      <c r="B79" s="4" t="s">
        <v>192</v>
      </c>
      <c r="C79" s="4" t="s">
        <v>193</v>
      </c>
      <c r="D79" s="9" t="s">
        <v>177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2" t="n">
        <f aca="false">IF(M79&gt;0,3600/M79,0)</f>
        <v>7.74193548387097</v>
      </c>
      <c r="O79" s="7" t="n">
        <f aca="false">N79*$B$6</f>
        <v>1161.29032258065</v>
      </c>
      <c r="P79" s="4" t="s">
        <v>194</v>
      </c>
      <c r="Q79" s="4"/>
    </row>
    <row r="80" customFormat="false" ht="23.85" hidden="false" customHeight="false" outlineLevel="0" collapsed="false">
      <c r="A80" s="19" t="n">
        <v>9</v>
      </c>
      <c r="B80" s="4" t="s">
        <v>195</v>
      </c>
      <c r="C80" s="4" t="s">
        <v>196</v>
      </c>
      <c r="D80" s="9" t="s">
        <v>169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2" t="n">
        <f aca="false">IF(M80&gt;0,3600/M80,0)</f>
        <v>36.3636363636364</v>
      </c>
      <c r="O80" s="7" t="n">
        <f aca="false">N80*$B$6</f>
        <v>5454.54545454546</v>
      </c>
      <c r="P80" s="4" t="s">
        <v>197</v>
      </c>
      <c r="Q80" s="4" t="s">
        <v>198</v>
      </c>
    </row>
    <row r="81" customFormat="false" ht="15" hidden="false" customHeight="false" outlineLevel="0" collapsed="false">
      <c r="A81" s="19" t="n">
        <v>10</v>
      </c>
      <c r="B81" s="4" t="s">
        <v>199</v>
      </c>
      <c r="C81" s="4" t="s">
        <v>200</v>
      </c>
      <c r="D81" s="9" t="s">
        <v>169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2" t="n">
        <f aca="false">IF(M81&gt;0,3600/M81,0)</f>
        <v>20.4545454545455</v>
      </c>
      <c r="O81" s="7" t="n">
        <f aca="false">N81*$B$6</f>
        <v>3068.18181818182</v>
      </c>
      <c r="P81" s="4" t="s">
        <v>201</v>
      </c>
      <c r="Q81" s="4"/>
    </row>
    <row r="82" customFormat="false" ht="15" hidden="false" customHeight="false" outlineLevel="0" collapsed="false">
      <c r="A82" s="19" t="n">
        <v>11</v>
      </c>
      <c r="B82" s="4" t="s">
        <v>202</v>
      </c>
      <c r="C82" s="4" t="s">
        <v>203</v>
      </c>
      <c r="D82" s="9" t="s">
        <v>177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2" t="n">
        <f aca="false">IF(M82&gt;0,3600/M82,0)</f>
        <v>1.13207547169811</v>
      </c>
      <c r="O82" s="7" t="n">
        <f aca="false">N82*$B$6</f>
        <v>169.811320754717</v>
      </c>
      <c r="P82" s="4" t="s">
        <v>204</v>
      </c>
      <c r="Q82" s="4"/>
    </row>
    <row r="83" customFormat="false" ht="23.85" hidden="false" customHeight="false" outlineLevel="0" collapsed="false">
      <c r="A83" s="19" t="n">
        <v>12</v>
      </c>
      <c r="B83" s="4" t="s">
        <v>205</v>
      </c>
      <c r="C83" s="4" t="s">
        <v>206</v>
      </c>
      <c r="D83" s="9" t="s">
        <v>177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2" t="n">
        <f aca="false">IF(M83&gt;0,3600/M83,0)</f>
        <v>11.9205298013245</v>
      </c>
      <c r="O83" s="7" t="n">
        <f aca="false">N83*$B$6</f>
        <v>1788.07947019868</v>
      </c>
      <c r="P83" s="4" t="s">
        <v>207</v>
      </c>
      <c r="Q83" s="4"/>
    </row>
    <row r="84" customFormat="false" ht="15" hidden="false" customHeight="false" outlineLevel="0" collapsed="false">
      <c r="A84" s="19" t="n">
        <v>13</v>
      </c>
      <c r="B84" s="4" t="s">
        <v>208</v>
      </c>
      <c r="C84" s="4" t="s">
        <v>209</v>
      </c>
      <c r="D84" s="9" t="s">
        <v>177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2" t="n">
        <f aca="false">IF(M84&gt;0,3600/M84,0)</f>
        <v>20</v>
      </c>
      <c r="O84" s="7" t="n">
        <f aca="false">N84*$B$6</f>
        <v>3000</v>
      </c>
      <c r="P84" s="4" t="s">
        <v>210</v>
      </c>
      <c r="Q84" s="4" t="s">
        <v>211</v>
      </c>
    </row>
    <row r="85" customFormat="false" ht="15" hidden="false" customHeight="false" outlineLevel="0" collapsed="false">
      <c r="A85" s="19" t="n">
        <v>14</v>
      </c>
      <c r="B85" s="4" t="s">
        <v>212</v>
      </c>
      <c r="C85" s="4" t="s">
        <v>213</v>
      </c>
      <c r="D85" s="9" t="s">
        <v>169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2" t="n">
        <f aca="false">IF(M85&gt;0,3600/M85,0)</f>
        <v>42.3529411764706</v>
      </c>
      <c r="O85" s="7" t="n">
        <f aca="false">N85*$B$6</f>
        <v>6352.94117647059</v>
      </c>
      <c r="P85" s="4" t="s">
        <v>214</v>
      </c>
      <c r="Q85" s="4"/>
    </row>
    <row r="86" customFormat="false" ht="23.85" hidden="false" customHeight="false" outlineLevel="0" collapsed="false">
      <c r="A86" s="19" t="n">
        <v>15</v>
      </c>
      <c r="B86" s="4" t="s">
        <v>215</v>
      </c>
      <c r="C86" s="4" t="s">
        <v>216</v>
      </c>
      <c r="D86" s="9" t="s">
        <v>177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2" t="n">
        <f aca="false">IF(M86&gt;0,3600/M86,0)</f>
        <v>4.8</v>
      </c>
      <c r="O86" s="7" t="n">
        <f aca="false">N86*$B$6</f>
        <v>720</v>
      </c>
      <c r="P86" s="4"/>
      <c r="Q86" s="4" t="s">
        <v>217</v>
      </c>
    </row>
    <row r="87" customFormat="false" ht="15" hidden="false" customHeight="false" outlineLevel="0" collapsed="false">
      <c r="A87" s="19" t="n">
        <v>16</v>
      </c>
      <c r="B87" s="4" t="s">
        <v>218</v>
      </c>
      <c r="C87" s="4" t="s">
        <v>219</v>
      </c>
      <c r="D87" s="9" t="s">
        <v>177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2" t="n">
        <f aca="false">IF(M87&gt;0,3600/M87,0)</f>
        <v>33.9622641509434</v>
      </c>
      <c r="O87" s="7" t="n">
        <f aca="false">N87*$B$6</f>
        <v>5094.33962264151</v>
      </c>
      <c r="P87" s="4" t="s">
        <v>220</v>
      </c>
      <c r="Q87" s="4" t="s">
        <v>221</v>
      </c>
    </row>
    <row r="88" customFormat="false" ht="15" hidden="false" customHeight="false" outlineLevel="0" collapsed="false">
      <c r="A88" s="19" t="n">
        <v>17</v>
      </c>
      <c r="B88" s="4" t="s">
        <v>222</v>
      </c>
      <c r="C88" s="4" t="s">
        <v>223</v>
      </c>
      <c r="D88" s="9" t="s">
        <v>177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2" t="n">
        <f aca="false">IF(M88&gt;0,3600/M88,0)</f>
        <v>25.7142857142857</v>
      </c>
      <c r="O88" s="7" t="n">
        <f aca="false">N88*$B$6</f>
        <v>3857.14285714286</v>
      </c>
      <c r="P88" s="4" t="s">
        <v>224</v>
      </c>
      <c r="Q88" s="4"/>
    </row>
    <row r="89" customFormat="false" ht="15" hidden="false" customHeight="false" outlineLevel="0" collapsed="false">
      <c r="A89" s="19" t="n">
        <v>18</v>
      </c>
      <c r="B89" s="4" t="s">
        <v>225</v>
      </c>
      <c r="C89" s="4" t="s">
        <v>226</v>
      </c>
      <c r="D89" s="9" t="s">
        <v>169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2" t="n">
        <f aca="false">IF(M89&gt;0,3600/M89,0)</f>
        <v>7.3469387755102</v>
      </c>
      <c r="O89" s="7" t="n">
        <f aca="false">N89*$B$6</f>
        <v>1102.04081632653</v>
      </c>
      <c r="P89" s="4" t="s">
        <v>227</v>
      </c>
      <c r="Q89" s="4" t="s">
        <v>228</v>
      </c>
    </row>
    <row r="90" customFormat="false" ht="23.85" hidden="false" customHeight="false" outlineLevel="0" collapsed="false">
      <c r="A90" s="19" t="n">
        <v>19</v>
      </c>
      <c r="B90" s="4" t="s">
        <v>229</v>
      </c>
      <c r="C90" s="4" t="s">
        <v>230</v>
      </c>
      <c r="D90" s="9" t="s">
        <v>177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2" t="n">
        <f aca="false">IF(M90&gt;0,3600/M90,0)</f>
        <v>36</v>
      </c>
      <c r="O90" s="7" t="n">
        <f aca="false">N90*$B$6</f>
        <v>5400</v>
      </c>
      <c r="P90" s="4" t="s">
        <v>231</v>
      </c>
      <c r="Q90" s="4"/>
    </row>
    <row r="91" customFormat="false" ht="15" hidden="false" customHeight="false" outlineLevel="0" collapsed="false">
      <c r="A91" s="19" t="n">
        <v>20</v>
      </c>
      <c r="B91" s="4" t="s">
        <v>232</v>
      </c>
      <c r="C91" s="4" t="s">
        <v>233</v>
      </c>
      <c r="D91" s="9" t="s">
        <v>177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2" t="n">
        <f aca="false">IF(M91&gt;0,3600/M91,0)</f>
        <v>15</v>
      </c>
      <c r="O91" s="7" t="n">
        <f aca="false">N91*$B$6</f>
        <v>2250</v>
      </c>
      <c r="P91" s="4" t="s">
        <v>234</v>
      </c>
      <c r="Q91" s="4"/>
    </row>
    <row r="92" customFormat="false" ht="15" hidden="false" customHeight="false" outlineLevel="0" collapsed="false">
      <c r="A92" s="19" t="n">
        <v>21</v>
      </c>
      <c r="B92" s="4" t="s">
        <v>235</v>
      </c>
      <c r="C92" s="4" t="s">
        <v>236</v>
      </c>
      <c r="D92" s="9" t="s">
        <v>169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2" t="n">
        <f aca="false">IF(M92&gt;0,3600/M92,0)</f>
        <v>30</v>
      </c>
      <c r="O92" s="7" t="n">
        <f aca="false">N92*$B$6</f>
        <v>4500</v>
      </c>
      <c r="P92" s="4" t="s">
        <v>237</v>
      </c>
      <c r="Q92" s="4"/>
    </row>
    <row r="93" customFormat="false" ht="15" hidden="false" customHeight="false" outlineLevel="0" collapsed="false">
      <c r="A93" s="19" t="n">
        <v>22</v>
      </c>
      <c r="B93" s="4" t="s">
        <v>238</v>
      </c>
      <c r="C93" s="4" t="s">
        <v>239</v>
      </c>
      <c r="D93" s="9" t="s">
        <v>177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2" t="n">
        <f aca="false">IF(M93&gt;0,3600/M93,0)</f>
        <v>49.3150684931507</v>
      </c>
      <c r="O93" s="7" t="n">
        <f aca="false">N93*$B$6</f>
        <v>7397.2602739726</v>
      </c>
      <c r="P93" s="4" t="s">
        <v>240</v>
      </c>
      <c r="Q93" s="4"/>
    </row>
    <row r="94" customFormat="false" ht="15" hidden="false" customHeight="false" outlineLevel="0" collapsed="false">
      <c r="A94" s="19" t="n">
        <v>23</v>
      </c>
      <c r="B94" s="4" t="s">
        <v>241</v>
      </c>
      <c r="C94" s="4" t="s">
        <v>242</v>
      </c>
      <c r="D94" s="9" t="s">
        <v>169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2" t="n">
        <f aca="false">IF(M94&gt;0,3600/M94,0)</f>
        <v>21.1764705882353</v>
      </c>
      <c r="O94" s="7" t="n">
        <f aca="false">N94*$B$6</f>
        <v>3176.47058823529</v>
      </c>
      <c r="P94" s="4" t="s">
        <v>243</v>
      </c>
      <c r="Q94" s="4"/>
    </row>
    <row r="95" customFormat="false" ht="15" hidden="false" customHeight="false" outlineLevel="0" collapsed="false">
      <c r="A95" s="19" t="n">
        <v>24</v>
      </c>
      <c r="B95" s="4" t="s">
        <v>244</v>
      </c>
      <c r="C95" s="4" t="s">
        <v>245</v>
      </c>
      <c r="D95" s="9" t="s">
        <v>177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2" t="n">
        <f aca="false">IF(M95&gt;0,3600/M95,0)</f>
        <v>8.37209302325582</v>
      </c>
      <c r="O95" s="7" t="n">
        <f aca="false">N95*$B$6</f>
        <v>1255.81395348837</v>
      </c>
      <c r="P95" s="4" t="s">
        <v>246</v>
      </c>
      <c r="Q95" s="4"/>
    </row>
    <row r="96" customFormat="false" ht="23.85" hidden="false" customHeight="false" outlineLevel="0" collapsed="false">
      <c r="A96" s="19" t="n">
        <v>25</v>
      </c>
      <c r="B96" s="4" t="s">
        <v>247</v>
      </c>
      <c r="C96" s="4" t="s">
        <v>248</v>
      </c>
      <c r="D96" s="9" t="s">
        <v>169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2" t="n">
        <f aca="false">IF(M96&gt;0,3600/M96,0)</f>
        <v>90</v>
      </c>
      <c r="O96" s="7" t="n">
        <f aca="false">N96*$B$6</f>
        <v>13500</v>
      </c>
      <c r="P96" s="4" t="s">
        <v>249</v>
      </c>
      <c r="Q96" s="4" t="s">
        <v>250</v>
      </c>
    </row>
    <row r="97" customFormat="false" ht="23.85" hidden="false" customHeight="false" outlineLevel="0" collapsed="false">
      <c r="A97" s="19" t="n">
        <v>26</v>
      </c>
      <c r="B97" s="4" t="s">
        <v>251</v>
      </c>
      <c r="C97" s="4" t="s">
        <v>252</v>
      </c>
      <c r="D97" s="9" t="s">
        <v>177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2" t="n">
        <f aca="false">IF(M97&gt;0,3600/M97,0)</f>
        <v>45</v>
      </c>
      <c r="O97" s="7" t="n">
        <f aca="false">N97*$B$6</f>
        <v>6750</v>
      </c>
      <c r="P97" s="4" t="s">
        <v>253</v>
      </c>
      <c r="Q97" s="4"/>
    </row>
    <row r="98" customFormat="false" ht="15" hidden="false" customHeight="false" outlineLevel="0" collapsed="false">
      <c r="A98" s="19" t="n">
        <v>27</v>
      </c>
      <c r="B98" s="4" t="s">
        <v>254</v>
      </c>
      <c r="C98" s="4" t="s">
        <v>255</v>
      </c>
      <c r="D98" s="9" t="s">
        <v>169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2" t="n">
        <f aca="false">IF(M98&gt;0,3600/M98,0)</f>
        <v>41.8604651162791</v>
      </c>
      <c r="O98" s="7" t="n">
        <f aca="false">N98*$B$6</f>
        <v>6279.06976744186</v>
      </c>
      <c r="P98" s="4" t="s">
        <v>256</v>
      </c>
      <c r="Q98" s="4" t="s">
        <v>257</v>
      </c>
    </row>
    <row r="99" customFormat="false" ht="15" hidden="false" customHeight="false" outlineLevel="0" collapsed="false">
      <c r="A99" s="19" t="n">
        <v>28</v>
      </c>
      <c r="B99" s="4" t="s">
        <v>258</v>
      </c>
      <c r="C99" s="4" t="s">
        <v>259</v>
      </c>
      <c r="D99" s="9" t="s">
        <v>177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2" t="n">
        <f aca="false">IF(M99&gt;0,3600/M99,0)</f>
        <v>9.23076923076923</v>
      </c>
      <c r="O99" s="7" t="n">
        <f aca="false">N99*$B$6</f>
        <v>1384.61538461538</v>
      </c>
      <c r="P99" s="4" t="s">
        <v>260</v>
      </c>
      <c r="Q99" s="4" t="s">
        <v>261</v>
      </c>
    </row>
    <row r="100" customFormat="false" ht="35.05" hidden="false" customHeight="false" outlineLevel="0" collapsed="false">
      <c r="A100" s="19" t="n">
        <v>29</v>
      </c>
      <c r="B100" s="4" t="s">
        <v>262</v>
      </c>
      <c r="C100" s="4" t="s">
        <v>263</v>
      </c>
      <c r="D100" s="9" t="s">
        <v>177</v>
      </c>
      <c r="E100" s="12" t="s">
        <v>264</v>
      </c>
      <c r="F100" s="12" t="s">
        <v>264</v>
      </c>
      <c r="G100" s="12" t="s">
        <v>264</v>
      </c>
      <c r="H100" s="12" t="s">
        <v>264</v>
      </c>
      <c r="I100" s="12" t="s">
        <v>264</v>
      </c>
      <c r="J100" s="12" t="s">
        <v>264</v>
      </c>
      <c r="K100" s="12" t="s">
        <v>264</v>
      </c>
      <c r="L100" s="12" t="s">
        <v>264</v>
      </c>
      <c r="M100" s="14" t="n">
        <f aca="false">12+20+90+90+75+15</f>
        <v>302</v>
      </c>
      <c r="N100" s="22" t="n">
        <f aca="false">IF(M100&gt;0,3600/M100,0)</f>
        <v>11.9205298013245</v>
      </c>
      <c r="O100" s="7" t="n">
        <f aca="false">N100*$B$6</f>
        <v>1788.07947019868</v>
      </c>
      <c r="P100" s="4" t="s">
        <v>265</v>
      </c>
      <c r="Q100" s="4" t="s">
        <v>266</v>
      </c>
    </row>
    <row r="102" customFormat="false" ht="23.85" hidden="false" customHeight="false" outlineLevel="0" collapsed="false">
      <c r="A102" s="12" t="s">
        <v>264</v>
      </c>
      <c r="B102" s="4" t="s">
        <v>267</v>
      </c>
      <c r="C102" s="4" t="s">
        <v>268</v>
      </c>
      <c r="M102" s="14" t="n">
        <v>60</v>
      </c>
      <c r="N102" s="22" t="n">
        <f aca="false">IF(M102&gt;0,3600/M102,0)</f>
        <v>60</v>
      </c>
      <c r="Q102" s="4" t="s">
        <v>269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</cols>
  <sheetData>
    <row r="1" customFormat="false" ht="15" hidden="false" customHeight="false" outlineLevel="0" collapsed="false">
      <c r="A1" s="23" t="n">
        <v>2026</v>
      </c>
      <c r="B1" s="3" t="s">
        <v>270</v>
      </c>
      <c r="C1" s="3" t="s">
        <v>271</v>
      </c>
      <c r="D1" s="3" t="s">
        <v>124</v>
      </c>
      <c r="E1" s="3" t="s">
        <v>125</v>
      </c>
      <c r="F1" s="3" t="s">
        <v>126</v>
      </c>
      <c r="G1" s="3" t="s">
        <v>127</v>
      </c>
      <c r="H1" s="3" t="s">
        <v>128</v>
      </c>
      <c r="I1" s="3" t="s">
        <v>129</v>
      </c>
      <c r="J1" s="3" t="s">
        <v>130</v>
      </c>
      <c r="K1" s="3" t="s">
        <v>131</v>
      </c>
      <c r="L1" s="3" t="s">
        <v>132</v>
      </c>
      <c r="M1" s="3" t="s">
        <v>133</v>
      </c>
      <c r="N1" s="3" t="s">
        <v>134</v>
      </c>
      <c r="O1" s="3" t="s">
        <v>135</v>
      </c>
      <c r="P1" s="3" t="s">
        <v>136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4" t="n">
        <f aca="false">parametros_recargas!C51</f>
        <v>1</v>
      </c>
      <c r="D2" s="25" t="n">
        <f aca="false">datos_base!$B$2*parametros_recargas!$F$37</f>
        <v>94.5598821229555</v>
      </c>
      <c r="E2" s="25" t="n">
        <f aca="false">datos_base!$B$2*parametros_recargas!$G$37</f>
        <v>107.166028621748</v>
      </c>
      <c r="F2" s="25" t="n">
        <f aca="false">datos_base!$B$2*parametros_recargas!$H$37</f>
        <v>121.452749651528</v>
      </c>
      <c r="G2" s="25" t="n">
        <f aca="false">datos_base!$B$2*parametros_recargas!$I$37</f>
        <v>137.644089154231</v>
      </c>
      <c r="H2" s="25" t="n">
        <f aca="false">datos_base!$B$2*parametros_recargas!$J$37</f>
        <v>155.993959243059</v>
      </c>
      <c r="I2" s="25" t="n">
        <f aca="false">datos_base!$B$2*parametros_recargas!$K$37</f>
        <v>176.790122044824</v>
      </c>
      <c r="J2" s="25" t="n">
        <f aca="false">datos_base!$B$2*parametros_recargas!$L$37</f>
        <v>200.358702377217</v>
      </c>
      <c r="K2" s="25" t="n">
        <f aca="false">datos_base!$B$2*parametros_recargas!$M$37</f>
        <v>227.069302028674</v>
      </c>
      <c r="L2" s="25" t="n">
        <f aca="false">datos_base!$B$2*parametros_recargas!$N$37</f>
        <v>257.340795842826</v>
      </c>
      <c r="M2" s="25" t="n">
        <f aca="false">datos_base!$B$2*parametros_recargas!$O$37</f>
        <v>291.647900501568</v>
      </c>
      <c r="N2" s="25" t="n">
        <f aca="false">datos_base!$B$2*parametros_recargas!$P$37</f>
        <v>330.528619018195</v>
      </c>
      <c r="O2" s="25" t="n">
        <f aca="false">datos_base!$B$2*parametros_recargas!$Q$37</f>
        <v>374.592677684947</v>
      </c>
      <c r="P2" s="7" t="n">
        <f aca="false">SUM(D2:O2)</f>
        <v>2475.14482829177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4" t="n">
        <f aca="false">parametros_recargas!C52</f>
        <v>1</v>
      </c>
      <c r="D3" s="25" t="n">
        <f aca="false">datos_base!$B$3*parametros_recargas!$F$37</f>
        <v>8.97328725622748</v>
      </c>
      <c r="E3" s="25" t="n">
        <f aca="false">datos_base!$B$3*parametros_recargas!$G$37</f>
        <v>10.1695511599902</v>
      </c>
      <c r="F3" s="25" t="n">
        <f aca="false">datos_base!$B$3*parametros_recargas!$H$37</f>
        <v>11.5252936680351</v>
      </c>
      <c r="G3" s="25" t="n">
        <f aca="false">datos_base!$B$3*parametros_recargas!$I$37</f>
        <v>13.0617754947779</v>
      </c>
      <c r="H3" s="25" t="n">
        <f aca="false">datos_base!$B$3*parametros_recargas!$J$37</f>
        <v>14.8030917033514</v>
      </c>
      <c r="I3" s="25" t="n">
        <f aca="false">datos_base!$B$3*parametros_recargas!$K$37</f>
        <v>16.7765495636823</v>
      </c>
      <c r="J3" s="25" t="n">
        <f aca="false">datos_base!$B$3*parametros_recargas!$L$37</f>
        <v>19.0130967843001</v>
      </c>
      <c r="K3" s="25" t="n">
        <f aca="false">datos_base!$B$3*parametros_recargas!$M$37</f>
        <v>21.5478068333984</v>
      </c>
      <c r="L3" s="25" t="n">
        <f aca="false">datos_base!$B$3*parametros_recargas!$N$37</f>
        <v>24.4204289599393</v>
      </c>
      <c r="M3" s="25" t="n">
        <f aca="false">datos_base!$B$3*parametros_recargas!$O$37</f>
        <v>27.6760115402143</v>
      </c>
      <c r="N3" s="25" t="n">
        <f aca="false">datos_base!$B$3*parametros_recargas!$P$37</f>
        <v>31.3656085251658</v>
      </c>
      <c r="O3" s="25" t="n">
        <f aca="false">datos_base!$B$3*parametros_recargas!$Q$37</f>
        <v>35.5470800669543</v>
      </c>
      <c r="P3" s="7" t="n">
        <f aca="false">SUM(D3:O3)</f>
        <v>234.879581556037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4" t="n">
        <f aca="false">parametros_recargas!C53</f>
        <v>1</v>
      </c>
      <c r="D4" s="25" t="n">
        <f aca="false">datos_base!$B$4*parametros_recargas!$F$37</f>
        <v>53.0352218442139</v>
      </c>
      <c r="E4" s="25" t="n">
        <f aca="false">datos_base!$B$4*parametros_recargas!$G$37</f>
        <v>60.105554009971</v>
      </c>
      <c r="F4" s="25" t="n">
        <f aca="false">datos_base!$B$4*parametros_recargas!$H$37</f>
        <v>68.1184597182877</v>
      </c>
      <c r="G4" s="25" t="n">
        <f aca="false">datos_base!$B$4*parametros_recargas!$I$37</f>
        <v>77.1995971224594</v>
      </c>
      <c r="H4" s="25" t="n">
        <f aca="false">datos_base!$B$4*parametros_recargas!$J$37</f>
        <v>87.4913763540374</v>
      </c>
      <c r="I4" s="25" t="n">
        <f aca="false">datos_base!$B$4*parametros_recargas!$K$37</f>
        <v>99.1551927943526</v>
      </c>
      <c r="J4" s="25" t="n">
        <f aca="false">datos_base!$B$4*parametros_recargas!$L$37</f>
        <v>112.373958072172</v>
      </c>
      <c r="K4" s="25" t="n">
        <f aca="false">datos_base!$B$4*parametros_recargas!$M$37</f>
        <v>127.35496847852</v>
      </c>
      <c r="L4" s="25" t="n">
        <f aca="false">datos_base!$B$4*parametros_recargas!$N$37</f>
        <v>144.333155781056</v>
      </c>
      <c r="M4" s="25" t="n">
        <f aca="false">datos_base!$B$4*parametros_recargas!$O$37</f>
        <v>163.574771417201</v>
      </c>
      <c r="N4" s="25" t="n">
        <f aca="false">datos_base!$B$4*parametros_recargas!$P$37</f>
        <v>185.381561841395</v>
      </c>
      <c r="O4" s="25" t="n">
        <f aca="false">datos_base!$B$4*parametros_recargas!$Q$37</f>
        <v>210.095500504187</v>
      </c>
      <c r="P4" s="7" t="n">
        <f aca="false">SUM(D4:O4)</f>
        <v>1388.21931793785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4" t="n">
        <f aca="false">parametros_recargas!C54</f>
        <v>1</v>
      </c>
      <c r="D5" s="25" t="n">
        <f aca="false">datos_base!$B$5*parametros_recargas!$F$37</f>
        <v>3.21800644629925</v>
      </c>
      <c r="E5" s="25" t="n">
        <f aca="false">datos_base!$B$5*parametros_recargas!$G$37</f>
        <v>3.64701143007619</v>
      </c>
      <c r="F5" s="25" t="n">
        <f aca="false">datos_base!$B$5*parametros_recargas!$H$37</f>
        <v>4.13320874058606</v>
      </c>
      <c r="G5" s="25" t="n">
        <f aca="false">datos_base!$B$5*parametros_recargas!$I$37</f>
        <v>4.68422290985256</v>
      </c>
      <c r="H5" s="25" t="n">
        <f aca="false">datos_base!$B$5*parametros_recargas!$J$37</f>
        <v>5.30869492598536</v>
      </c>
      <c r="I5" s="25" t="n">
        <f aca="false">datos_base!$B$5*parametros_recargas!$K$37</f>
        <v>6.01641774090332</v>
      </c>
      <c r="J5" s="25" t="n">
        <f aca="false">datos_base!$B$5*parametros_recargas!$L$37</f>
        <v>6.81848984312044</v>
      </c>
      <c r="K5" s="25" t="n">
        <f aca="false">datos_base!$B$5*parametros_recargas!$M$37</f>
        <v>7.72748930391862</v>
      </c>
      <c r="L5" s="25" t="n">
        <f aca="false">datos_base!$B$5*parametros_recargas!$N$37</f>
        <v>8.75767102629413</v>
      </c>
      <c r="M5" s="25" t="n">
        <f aca="false">datos_base!$B$5*parametros_recargas!$O$37</f>
        <v>9.92519028993008</v>
      </c>
      <c r="N5" s="25" t="n">
        <f aca="false">datos_base!$B$5*parametros_recargas!$P$37</f>
        <v>11.2483560978206</v>
      </c>
      <c r="O5" s="25" t="n">
        <f aca="false">datos_base!$B$5*parametros_recargas!$Q$37</f>
        <v>12.747918297521</v>
      </c>
      <c r="P5" s="7" t="n">
        <f aca="false">SUM(D5:O5)</f>
        <v>84.2326770523076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4" t="n">
        <f aca="false">parametros_recargas!C55</f>
        <v>1</v>
      </c>
      <c r="D6" s="25" t="n">
        <f aca="false">datos_base!$B$6*parametros_recargas!$F$37</f>
        <v>4.33193177136718</v>
      </c>
      <c r="E6" s="25" t="n">
        <f aca="false">datos_base!$B$6*parametros_recargas!$G$37</f>
        <v>4.90943848252849</v>
      </c>
      <c r="F6" s="25" t="n">
        <f aca="false">datos_base!$B$6*parametros_recargas!$H$37</f>
        <v>5.56393486458923</v>
      </c>
      <c r="G6" s="25" t="n">
        <f aca="false">datos_base!$B$6*parametros_recargas!$I$37</f>
        <v>6.30568471069785</v>
      </c>
      <c r="H6" s="25" t="n">
        <f aca="false">datos_base!$B$6*parametros_recargas!$J$37</f>
        <v>7.14632012027771</v>
      </c>
      <c r="I6" s="25" t="n">
        <f aca="false">datos_base!$B$6*parametros_recargas!$K$37</f>
        <v>8.0990239132705</v>
      </c>
      <c r="J6" s="25" t="n">
        <f aca="false">datos_base!$B$6*parametros_recargas!$L$37</f>
        <v>9.17873636273354</v>
      </c>
      <c r="K6" s="25" t="n">
        <f aca="false">datos_base!$B$6*parametros_recargas!$M$37</f>
        <v>10.4023894877656</v>
      </c>
      <c r="L6" s="25" t="n">
        <f aca="false">datos_base!$B$6*parametros_recargas!$N$37</f>
        <v>11.7891725809357</v>
      </c>
      <c r="M6" s="25" t="n">
        <f aca="false">datos_base!$B$6*parametros_recargas!$O$37</f>
        <v>13.360833134209</v>
      </c>
      <c r="N6" s="25" t="n">
        <f aca="false">datos_base!$B$6*parametros_recargas!$P$37</f>
        <v>15.1420178824805</v>
      </c>
      <c r="O6" s="25" t="n">
        <f aca="false">datos_base!$B$6*parametros_recargas!$Q$37</f>
        <v>17.1606593129519</v>
      </c>
      <c r="P6" s="7" t="n">
        <f aca="false">SUM(D6:O6)</f>
        <v>113.390142623807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4" t="n">
        <f aca="false">parametros_recargas!C56</f>
        <v>1</v>
      </c>
      <c r="D7" s="25" t="n">
        <f aca="false">datos_base!$B$7*parametros_recargas!$F$37</f>
        <v>0.618847399794177</v>
      </c>
      <c r="E7" s="25" t="n">
        <f aca="false">datos_base!$B$7*parametros_recargas!$G$37</f>
        <v>0.701348359049375</v>
      </c>
      <c r="F7" s="25" t="n">
        <f aca="false">datos_base!$B$7*parametros_recargas!$H$37</f>
        <v>0.794847842787817</v>
      </c>
      <c r="G7" s="25" t="n">
        <f aca="false">datos_base!$B$7*parametros_recargas!$I$37</f>
        <v>0.90081210718277</v>
      </c>
      <c r="H7" s="25" t="n">
        <f aca="false">datos_base!$B$7*parametros_recargas!$J$37</f>
        <v>1.02090288073372</v>
      </c>
      <c r="I7" s="25" t="n">
        <f aca="false">datos_base!$B$7*parametros_recargas!$K$37</f>
        <v>1.15700342344415</v>
      </c>
      <c r="J7" s="25" t="n">
        <f aca="false">datos_base!$B$7*parametros_recargas!$L$37</f>
        <v>1.31124806004994</v>
      </c>
      <c r="K7" s="25" t="n">
        <f aca="false">datos_base!$B$7*parametros_recargas!$M$37</f>
        <v>1.48605565043751</v>
      </c>
      <c r="L7" s="25" t="n">
        <f aca="false">datos_base!$B$7*parametros_recargas!$N$37</f>
        <v>1.68416752213396</v>
      </c>
      <c r="M7" s="25" t="n">
        <f aca="false">datos_base!$B$7*parametros_recargas!$O$37</f>
        <v>1.90869045972522</v>
      </c>
      <c r="N7" s="25" t="n">
        <f aca="false">datos_base!$B$7*parametros_recargas!$P$37</f>
        <v>2.16314542536125</v>
      </c>
      <c r="O7" s="25" t="n">
        <f aca="false">datos_base!$B$7*parametros_recargas!$Q$37</f>
        <v>2.45152277438163</v>
      </c>
      <c r="P7" s="7" t="n">
        <f aca="false">SUM(D7:O7)</f>
        <v>16.1985919050815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4" t="n">
        <f aca="false">parametros_recargas!C57</f>
        <v>3</v>
      </c>
      <c r="D8" s="25" t="n">
        <f aca="false">datos_base!$B$8*parametros_recargas!$F$37</f>
        <v>0.309423686301061</v>
      </c>
      <c r="E8" s="25" t="n">
        <f aca="false">datos_base!$B$8*parametros_recargas!$G$37</f>
        <v>0.350674164116121</v>
      </c>
      <c r="F8" s="25" t="n">
        <f aca="false">datos_base!$B$8*parametros_recargas!$H$37</f>
        <v>0.397423903931166</v>
      </c>
      <c r="G8" s="25" t="n">
        <f aca="false">datos_base!$B$8*parametros_recargas!$I$37</f>
        <v>0.450406033800616</v>
      </c>
      <c r="H8" s="25" t="n">
        <f aca="false">datos_base!$B$8*parametros_recargas!$J$37</f>
        <v>0.510451417937705</v>
      </c>
      <c r="I8" s="25" t="n">
        <f aca="false">datos_base!$B$8*parametros_recargas!$K$37</f>
        <v>0.578501686302803</v>
      </c>
      <c r="J8" s="25" t="n">
        <f aca="false">datos_base!$B$8*parametros_recargas!$L$37</f>
        <v>0.655624001216955</v>
      </c>
      <c r="K8" s="25" t="n">
        <f aca="false">datos_base!$B$8*parametros_recargas!$M$37</f>
        <v>0.743027792570235</v>
      </c>
      <c r="L8" s="25" t="n">
        <f aca="false">datos_base!$B$8*parametros_recargas!$N$37</f>
        <v>0.842083724065956</v>
      </c>
      <c r="M8" s="25" t="n">
        <f aca="false">datos_base!$B$8*parametros_recargas!$O$37</f>
        <v>0.954345187928835</v>
      </c>
      <c r="N8" s="25" t="n">
        <f aca="false">datos_base!$B$8*parametros_recargas!$P$37</f>
        <v>1.0815726651565</v>
      </c>
      <c r="O8" s="25" t="n">
        <f aca="false">datos_base!$B$8*parametros_recargas!$Q$37</f>
        <v>1.22576133333106</v>
      </c>
      <c r="P8" s="7" t="n">
        <f aca="false">SUM(D8:O8)</f>
        <v>8.09929559665901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4" t="n">
        <f aca="false">parametros_recargas!C58</f>
        <v>1</v>
      </c>
      <c r="D9" s="25" t="n">
        <f aca="false">datos_base!$B$9*parametros_recargas!$F$37</f>
        <v>0.185654211780637</v>
      </c>
      <c r="E9" s="25" t="n">
        <f aca="false">datos_base!$B$9*parametros_recargas!$G$37</f>
        <v>0.210404498469673</v>
      </c>
      <c r="F9" s="25" t="n">
        <f aca="false">datos_base!$B$9*parametros_recargas!$H$37</f>
        <v>0.238454342358699</v>
      </c>
      <c r="G9" s="25" t="n">
        <f aca="false">datos_base!$B$9*parametros_recargas!$I$37</f>
        <v>0.27024362028037</v>
      </c>
      <c r="H9" s="25" t="n">
        <f aca="false">datos_base!$B$9*parametros_recargas!$J$37</f>
        <v>0.306270850762623</v>
      </c>
      <c r="I9" s="25" t="n">
        <f aca="false">datos_base!$B$9*parametros_recargas!$K$37</f>
        <v>0.347101011781682</v>
      </c>
      <c r="J9" s="25" t="n">
        <f aca="false">datos_base!$B$9*parametros_recargas!$L$37</f>
        <v>0.393374400730173</v>
      </c>
      <c r="K9" s="25" t="n">
        <f aca="false">datos_base!$B$9*parametros_recargas!$M$37</f>
        <v>0.445816675542141</v>
      </c>
      <c r="L9" s="25" t="n">
        <f aca="false">datos_base!$B$9*parametros_recargas!$N$37</f>
        <v>0.505250234439573</v>
      </c>
      <c r="M9" s="25" t="n">
        <f aca="false">datos_base!$B$9*parametros_recargas!$O$37</f>
        <v>0.572607112757301</v>
      </c>
      <c r="N9" s="25" t="n">
        <f aca="false">datos_base!$B$9*parametros_recargas!$P$37</f>
        <v>0.648943599093898</v>
      </c>
      <c r="O9" s="25" t="n">
        <f aca="false">datos_base!$B$9*parametros_recargas!$Q$37</f>
        <v>0.735456799998634</v>
      </c>
      <c r="P9" s="7" t="n">
        <f aca="false">SUM(D9:O9)</f>
        <v>4.8595773579954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4" t="n">
        <f aca="false">parametros_recargas!C59</f>
        <v>1</v>
      </c>
      <c r="D10" s="25" t="n">
        <f aca="false">datos_base!$B$10*parametros_recargas!$F$37</f>
        <v>2.2278506229438</v>
      </c>
      <c r="E10" s="25" t="n">
        <f aca="false">datos_base!$B$10*parametros_recargas!$G$37</f>
        <v>2.52485407408747</v>
      </c>
      <c r="F10" s="25" t="n">
        <f aca="false">datos_base!$B$10*parametros_recargas!$H$37</f>
        <v>2.86145221308085</v>
      </c>
      <c r="G10" s="25" t="n">
        <f aca="false">datos_base!$B$10*parametros_recargas!$I$37</f>
        <v>3.24292356210905</v>
      </c>
      <c r="H10" s="25" t="n">
        <f aca="false">datos_base!$B$10*parametros_recargas!$J$37</f>
        <v>3.6752503437264</v>
      </c>
      <c r="I10" s="25" t="n">
        <f aca="false">datos_base!$B$10*parametros_recargas!$K$37</f>
        <v>4.16521229389581</v>
      </c>
      <c r="J10" s="25" t="n">
        <f aca="false">datos_base!$B$10*parametros_recargas!$L$37</f>
        <v>4.72049298161016</v>
      </c>
      <c r="K10" s="25" t="n">
        <f aca="false">datos_base!$B$10*parametros_recargas!$M$37</f>
        <v>5.34980030239682</v>
      </c>
      <c r="L10" s="25" t="n">
        <f aca="false">datos_base!$B$10*parametros_recargas!$N$37</f>
        <v>6.06300303528102</v>
      </c>
      <c r="M10" s="25" t="n">
        <f aca="false">datos_base!$B$10*parametros_recargas!$O$37</f>
        <v>6.87128560469026</v>
      </c>
      <c r="N10" s="25" t="n">
        <f aca="false">datos_base!$B$10*parametros_recargas!$P$37</f>
        <v>7.78732347427155</v>
      </c>
      <c r="O10" s="25" t="n">
        <f aca="false">datos_base!$B$10*parametros_recargas!$Q$37</f>
        <v>8.82548192314215</v>
      </c>
      <c r="P10" s="7" t="n">
        <f aca="false">SUM(D10:O10)</f>
        <v>58.3149304312353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4" t="n">
        <f aca="false">parametros_recargas!C60</f>
        <v>1</v>
      </c>
      <c r="D11" s="25" t="n">
        <f aca="false">datos_base!$B$11*parametros_recargas!$F$37</f>
        <v>12.253178439787</v>
      </c>
      <c r="E11" s="25" t="n">
        <f aca="false">datos_base!$B$11*parametros_recargas!$G$37</f>
        <v>13.8866974228897</v>
      </c>
      <c r="F11" s="25" t="n">
        <f aca="false">datos_base!$B$11*parametros_recargas!$H$37</f>
        <v>15.7379871894074</v>
      </c>
      <c r="G11" s="25" t="n">
        <f aca="false">datos_base!$B$11*parametros_recargas!$I$37</f>
        <v>17.8360796113905</v>
      </c>
      <c r="H11" s="25" t="n">
        <f aca="false">datos_base!$B$11*parametros_recargas!$J$37</f>
        <v>20.2138769129243</v>
      </c>
      <c r="I11" s="25" t="n">
        <f aca="false">datos_base!$B$11*parametros_recargas!$K$37</f>
        <v>22.9086676418462</v>
      </c>
      <c r="J11" s="25" t="n">
        <f aca="false">datos_base!$B$11*parametros_recargas!$L$37</f>
        <v>25.9627114276639</v>
      </c>
      <c r="K11" s="25" t="n">
        <f aca="false">datos_base!$B$11*parametros_recargas!$M$37</f>
        <v>29.4239016958311</v>
      </c>
      <c r="L11" s="25" t="n">
        <f aca="false">datos_base!$B$11*parametros_recargas!$N$37</f>
        <v>33.3465167310466</v>
      </c>
      <c r="M11" s="25" t="n">
        <f aca="false">datos_base!$B$11*parametros_recargas!$O$37</f>
        <v>37.7920708677302</v>
      </c>
      <c r="N11" s="25" t="n">
        <f aca="false">datos_base!$B$11*parametros_recargas!$P$37</f>
        <v>42.8302791560176</v>
      </c>
      <c r="O11" s="25" t="n">
        <f aca="false">datos_base!$B$11*parametros_recargas!$Q$37</f>
        <v>48.5401506311416</v>
      </c>
      <c r="P11" s="7" t="n">
        <f aca="false">SUM(D11:O11)</f>
        <v>320.732117727676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4" t="n">
        <f aca="false">parametros_recargas!C61</f>
        <v>1</v>
      </c>
      <c r="D12" s="25" t="n">
        <f aca="false">datos_base!$B$12*parametros_recargas!$F$37</f>
        <v>3.40366068527195</v>
      </c>
      <c r="E12" s="25" t="n">
        <f aca="false">datos_base!$B$12*parametros_recargas!$G$37</f>
        <v>3.857415959363</v>
      </c>
      <c r="F12" s="25" t="n">
        <f aca="false">datos_base!$B$12*parametros_recargas!$H$37</f>
        <v>4.37166311787025</v>
      </c>
      <c r="G12" s="25" t="n">
        <f aca="false">datos_base!$B$12*parametros_recargas!$I$37</f>
        <v>4.95446656971447</v>
      </c>
      <c r="H12" s="25" t="n">
        <f aca="false">datos_base!$B$12*parametros_recargas!$J$37</f>
        <v>5.61496582160629</v>
      </c>
      <c r="I12" s="25" t="n">
        <f aca="false">datos_base!$B$12*parametros_recargas!$K$37</f>
        <v>6.36351880352355</v>
      </c>
      <c r="J12" s="25" t="n">
        <f aca="false">datos_base!$B$12*parametros_recargas!$L$37</f>
        <v>7.21186430146664</v>
      </c>
      <c r="K12" s="25" t="n">
        <f aca="false">datos_base!$B$12*parametros_recargas!$M$37</f>
        <v>8.17330604475781</v>
      </c>
      <c r="L12" s="25" t="n">
        <f aca="false">datos_base!$B$12*parametros_recargas!$N$37</f>
        <v>9.26292133473575</v>
      </c>
      <c r="M12" s="25" t="n">
        <f aca="false">datos_base!$B$12*parametros_recargas!$O$37</f>
        <v>10.4977974865549</v>
      </c>
      <c r="N12" s="25" t="n">
        <f aca="false">datos_base!$B$12*parametros_recargas!$P$37</f>
        <v>11.8972997919628</v>
      </c>
      <c r="O12" s="25" t="n">
        <f aca="false">datos_base!$B$12*parametros_recargas!$Q$37</f>
        <v>13.4833752052392</v>
      </c>
      <c r="P12" s="7" t="n">
        <f aca="false">SUM(D12:O12)</f>
        <v>89.0922551220666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4" t="n">
        <f aca="false">parametros_recargas!C62</f>
        <v>1</v>
      </c>
      <c r="D13" s="25" t="n">
        <f aca="false">datos_base!$B$13*parametros_recargas!$F$37</f>
        <v>0.495077925273752</v>
      </c>
      <c r="E13" s="25" t="n">
        <f aca="false">datos_base!$B$13*parametros_recargas!$G$37</f>
        <v>0.561078693402927</v>
      </c>
      <c r="F13" s="25" t="n">
        <f aca="false">datos_base!$B$13*parametros_recargas!$H$37</f>
        <v>0.63587828121535</v>
      </c>
      <c r="G13" s="25" t="n">
        <f aca="false">datos_base!$B$13*parametros_recargas!$I$37</f>
        <v>0.720649693662523</v>
      </c>
      <c r="H13" s="25" t="n">
        <f aca="false">datos_base!$B$13*parametros_recargas!$J$37</f>
        <v>0.816722313558635</v>
      </c>
      <c r="I13" s="25" t="n">
        <f aca="false">datos_base!$B$13*parametros_recargas!$K$37</f>
        <v>0.925602748923027</v>
      </c>
      <c r="J13" s="25" t="n">
        <f aca="false">datos_base!$B$13*parametros_recargas!$L$37</f>
        <v>1.04899845956316</v>
      </c>
      <c r="K13" s="25" t="n">
        <f aca="false">datos_base!$B$13*parametros_recargas!$M$37</f>
        <v>1.18884453340942</v>
      </c>
      <c r="L13" s="25" t="n">
        <f aca="false">datos_base!$B$13*parametros_recargas!$N$37</f>
        <v>1.34733403250758</v>
      </c>
      <c r="M13" s="25" t="n">
        <f aca="false">datos_base!$B$13*parametros_recargas!$O$37</f>
        <v>1.52695238455368</v>
      </c>
      <c r="N13" s="25" t="n">
        <f aca="false">datos_base!$B$13*parametros_recargas!$P$37</f>
        <v>1.73051635929865</v>
      </c>
      <c r="O13" s="25" t="n">
        <f aca="false">datos_base!$B$13*parametros_recargas!$Q$37</f>
        <v>1.9612182410492</v>
      </c>
      <c r="P13" s="7" t="n">
        <f aca="false">SUM(D13:O13)</f>
        <v>12.9588736664179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4" t="n">
        <f aca="false">parametros_recargas!C63</f>
        <v>1</v>
      </c>
      <c r="D14" s="25" t="n">
        <f aca="false">datos_base!$B$14*parametros_recargas!$F$37</f>
        <v>0.185654211780637</v>
      </c>
      <c r="E14" s="25" t="n">
        <f aca="false">datos_base!$B$14*parametros_recargas!$G$37</f>
        <v>0.210404498469673</v>
      </c>
      <c r="F14" s="25" t="n">
        <f aca="false">datos_base!$B$14*parametros_recargas!$H$37</f>
        <v>0.238454342358699</v>
      </c>
      <c r="G14" s="25" t="n">
        <f aca="false">datos_base!$B$14*parametros_recargas!$I$37</f>
        <v>0.27024362028037</v>
      </c>
      <c r="H14" s="25" t="n">
        <f aca="false">datos_base!$B$14*parametros_recargas!$J$37</f>
        <v>0.306270850762623</v>
      </c>
      <c r="I14" s="25" t="n">
        <f aca="false">datos_base!$B$14*parametros_recargas!$K$37</f>
        <v>0.347101011781682</v>
      </c>
      <c r="J14" s="25" t="n">
        <f aca="false">datos_base!$B$14*parametros_recargas!$L$37</f>
        <v>0.393374400730173</v>
      </c>
      <c r="K14" s="25" t="n">
        <f aca="false">datos_base!$B$14*parametros_recargas!$M$37</f>
        <v>0.445816675542141</v>
      </c>
      <c r="L14" s="25" t="n">
        <f aca="false">datos_base!$B$14*parametros_recargas!$N$37</f>
        <v>0.505250234439573</v>
      </c>
      <c r="M14" s="25" t="n">
        <f aca="false">datos_base!$B$14*parametros_recargas!$O$37</f>
        <v>0.572607112757301</v>
      </c>
      <c r="N14" s="25" t="n">
        <f aca="false">datos_base!$B$14*parametros_recargas!$P$37</f>
        <v>0.648943599093898</v>
      </c>
      <c r="O14" s="25" t="n">
        <f aca="false">datos_base!$B$14*parametros_recargas!$Q$37</f>
        <v>0.735456799998634</v>
      </c>
      <c r="P14" s="7" t="n">
        <f aca="false">SUM(D14:O14)</f>
        <v>4.8595773579954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4" t="n">
        <f aca="false">parametros_recargas!C64</f>
        <v>3</v>
      </c>
      <c r="D15" s="25" t="n">
        <f aca="false">datos_base!$B$15*parametros_recargas!$F$37</f>
        <v>0.479606734160686</v>
      </c>
      <c r="E15" s="25" t="n">
        <f aca="false">datos_base!$B$15*parametros_recargas!$G$37</f>
        <v>0.543544977492837</v>
      </c>
      <c r="F15" s="25" t="n">
        <f aca="false">datos_base!$B$15*parametros_recargas!$H$37</f>
        <v>0.616007077287421</v>
      </c>
      <c r="G15" s="25" t="n">
        <f aca="false">datos_base!$B$15*parametros_recargas!$I$37</f>
        <v>0.698129382077108</v>
      </c>
      <c r="H15" s="25" t="n">
        <f aca="false">datos_base!$B$15*parametros_recargas!$J$37</f>
        <v>0.791199731447173</v>
      </c>
      <c r="I15" s="25" t="n">
        <f aca="false">datos_base!$B$15*parametros_recargas!$K$37</f>
        <v>0.896677651898251</v>
      </c>
      <c r="J15" s="25" t="n">
        <f aca="false">datos_base!$B$15*parametros_recargas!$L$37</f>
        <v>1.0162172450983</v>
      </c>
      <c r="K15" s="25" t="n">
        <f aca="false">datos_base!$B$15*parametros_recargas!$M$37</f>
        <v>1.15169312745665</v>
      </c>
      <c r="L15" s="25" t="n">
        <f aca="false">datos_base!$B$15*parametros_recargas!$N$37</f>
        <v>1.30522982780377</v>
      </c>
      <c r="M15" s="25" t="n">
        <f aca="false">datos_base!$B$15*parametros_recargas!$O$37</f>
        <v>1.47923510419036</v>
      </c>
      <c r="N15" s="25" t="n">
        <f aca="false">datos_base!$B$15*parametros_recargas!$P$37</f>
        <v>1.67643770227876</v>
      </c>
      <c r="O15" s="25" t="n">
        <f aca="false">datos_base!$B$15*parametros_recargas!$Q$37</f>
        <v>1.89993014745277</v>
      </c>
      <c r="P15" s="7" t="n">
        <f aca="false">SUM(D15:O15)</f>
        <v>12.5539087086441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4" t="n">
        <f aca="false">parametros_recargas!C65</f>
        <v>3</v>
      </c>
      <c r="D16" s="25" t="n">
        <f aca="false">datos_base!$B$16*parametros_recargas!$F$37</f>
        <v>1.05513479883828</v>
      </c>
      <c r="E16" s="25" t="n">
        <f aca="false">datos_base!$B$16*parametros_recargas!$G$37</f>
        <v>1.19579893199396</v>
      </c>
      <c r="F16" s="25" t="n">
        <f aca="false">datos_base!$B$16*parametros_recargas!$H$37</f>
        <v>1.35521554907703</v>
      </c>
      <c r="G16" s="25" t="n">
        <f aca="false">datos_base!$B$16*parametros_recargas!$I$37</f>
        <v>1.53588461682072</v>
      </c>
      <c r="H16" s="25" t="n">
        <f aca="false">datos_base!$B$16*parametros_recargas!$J$37</f>
        <v>1.7406393822688</v>
      </c>
      <c r="I16" s="25" t="n">
        <f aca="false">datos_base!$B$16*parametros_recargas!$K$37</f>
        <v>1.97269080367303</v>
      </c>
      <c r="J16" s="25" t="n">
        <f aca="false">datos_base!$B$16*parametros_recargas!$L$37</f>
        <v>2.23567790464665</v>
      </c>
      <c r="K16" s="25" t="n">
        <f aca="false">datos_base!$B$16*parametros_recargas!$M$37</f>
        <v>2.5337248412264</v>
      </c>
      <c r="L16" s="25" t="n">
        <f aca="false">datos_base!$B$16*parametros_recargas!$N$37</f>
        <v>2.87150557676706</v>
      </c>
      <c r="M16" s="25" t="n">
        <f aca="false">datos_base!$B$16*parametros_recargas!$O$37</f>
        <v>3.25431717889825</v>
      </c>
      <c r="N16" s="25" t="n">
        <f aca="false">datos_base!$B$16*parametros_recargas!$P$37</f>
        <v>3.68816288798432</v>
      </c>
      <c r="O16" s="25" t="n">
        <f aca="false">datos_base!$B$16*parametros_recargas!$Q$37</f>
        <v>4.17984625976439</v>
      </c>
      <c r="P16" s="7" t="n">
        <f aca="false">SUM(D16:O16)</f>
        <v>27.6185987319589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4" t="n">
        <f aca="false">parametros_recargas!C66</f>
        <v>3</v>
      </c>
      <c r="D17" s="25" t="n">
        <f aca="false">datos_base!$B$17*parametros_recargas!$F$37</f>
        <v>0.230211220432625</v>
      </c>
      <c r="E17" s="25" t="n">
        <f aca="false">datos_base!$B$17*parametros_recargas!$G$37</f>
        <v>0.260901575637023</v>
      </c>
      <c r="F17" s="25" t="n">
        <f aca="false">datos_base!$B$17*parametros_recargas!$H$37</f>
        <v>0.295683381730749</v>
      </c>
      <c r="G17" s="25" t="n">
        <f aca="false">datos_base!$B$17*parametros_recargas!$I$37</f>
        <v>0.335102085981135</v>
      </c>
      <c r="H17" s="25" t="n">
        <f aca="false">datos_base!$B$17*parametros_recargas!$J$37</f>
        <v>0.379775851356988</v>
      </c>
      <c r="I17" s="25" t="n">
        <f aca="false">datos_base!$B$17*parametros_recargas!$K$37</f>
        <v>0.430405250542202</v>
      </c>
      <c r="J17" s="25" t="n">
        <f aca="false">datos_base!$B$17*parametros_recargas!$L$37</f>
        <v>0.487784252296133</v>
      </c>
      <c r="K17" s="25" t="n">
        <f aca="false">datos_base!$B$17*parametros_recargas!$M$37</f>
        <v>0.552812672448491</v>
      </c>
      <c r="L17" s="25" t="n">
        <f aca="false">datos_base!$B$17*parametros_recargas!$N$37</f>
        <v>0.626510284784907</v>
      </c>
      <c r="M17" s="25" t="n">
        <f aca="false">datos_base!$B$17*parametros_recargas!$O$37</f>
        <v>0.710032813109649</v>
      </c>
      <c r="N17" s="25" t="n">
        <f aca="false">datos_base!$B$17*parametros_recargas!$P$37</f>
        <v>0.804690055272573</v>
      </c>
      <c r="O17" s="25" t="n">
        <f aca="false">datos_base!$B$17*parametros_recargas!$Q$37</f>
        <v>0.911966423380745</v>
      </c>
      <c r="P17" s="7" t="n">
        <f aca="false">SUM(D17:O17)</f>
        <v>6.02587586697322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4" t="n">
        <f aca="false">parametros_recargas!C67</f>
        <v>3</v>
      </c>
      <c r="D18" s="25" t="n">
        <f aca="false">datos_base!$B$18*parametros_recargas!$F$37</f>
        <v>0.153474156019102</v>
      </c>
      <c r="E18" s="25" t="n">
        <f aca="false">datos_base!$B$18*parametros_recargas!$G$37</f>
        <v>0.173934394030393</v>
      </c>
      <c r="F18" s="25" t="n">
        <f aca="false">datos_base!$B$18*parametros_recargas!$H$37</f>
        <v>0.197122266128994</v>
      </c>
      <c r="G18" s="25" t="n">
        <f aca="false">datos_base!$B$18*parametros_recargas!$I$37</f>
        <v>0.223401403847936</v>
      </c>
      <c r="H18" s="25" t="n">
        <f aca="false">datos_base!$B$18*parametros_recargas!$J$37</f>
        <v>0.253183915857428</v>
      </c>
      <c r="I18" s="25" t="n">
        <f aca="false">datos_base!$B$18*parametros_recargas!$K$37</f>
        <v>0.286936850640982</v>
      </c>
      <c r="J18" s="25" t="n">
        <f aca="false">datos_base!$B$18*parametros_recargas!$L$37</f>
        <v>0.325189520736097</v>
      </c>
      <c r="K18" s="25" t="n">
        <f aca="false">datos_base!$B$18*parametros_recargas!$M$37</f>
        <v>0.368541803398009</v>
      </c>
      <c r="L18" s="25" t="n">
        <f aca="false">datos_base!$B$18*parametros_recargas!$N$37</f>
        <v>0.417673547857287</v>
      </c>
      <c r="M18" s="25" t="n">
        <f aca="false">datos_base!$B$18*parametros_recargas!$O$37</f>
        <v>0.473355236695616</v>
      </c>
      <c r="N18" s="25" t="n">
        <f aca="false">datos_base!$B$18*parametros_recargas!$P$37</f>
        <v>0.536460068531135</v>
      </c>
      <c r="O18" s="25" t="n">
        <f aca="false">datos_base!$B$18*parametros_recargas!$Q$37</f>
        <v>0.607977651493668</v>
      </c>
      <c r="P18" s="7" t="n">
        <f aca="false">SUM(D18:O18)</f>
        <v>4.01725081523665</v>
      </c>
    </row>
    <row r="19" customFormat="false" ht="15" hidden="false" customHeight="false" outlineLevel="0" collapsed="false">
      <c r="A19" s="6" t="s">
        <v>272</v>
      </c>
      <c r="D19" s="7" t="n">
        <f aca="false">SUM(D2:D18)</f>
        <v>185.716103533447</v>
      </c>
      <c r="E19" s="7" t="n">
        <f aca="false">SUM(E2:E18)</f>
        <v>210.474641253316</v>
      </c>
      <c r="F19" s="7" t="n">
        <f aca="false">SUM(F2:F18)</f>
        <v>238.533836150261</v>
      </c>
      <c r="G19" s="7" t="n">
        <f aca="false">SUM(G2:G18)</f>
        <v>270.333711699167</v>
      </c>
      <c r="H19" s="7" t="n">
        <f aca="false">SUM(H2:H18)</f>
        <v>306.372952619654</v>
      </c>
      <c r="I19" s="7" t="n">
        <f aca="false">SUM(I2:I18)</f>
        <v>347.216725235286</v>
      </c>
      <c r="J19" s="7" t="n">
        <f aca="false">SUM(J2:J18)</f>
        <v>393.505540395352</v>
      </c>
      <c r="K19" s="7" t="n">
        <f aca="false">SUM(K2:K18)</f>
        <v>445.965297947292</v>
      </c>
      <c r="L19" s="7" t="n">
        <f aca="false">SUM(L2:L18)</f>
        <v>505.418670276915</v>
      </c>
      <c r="M19" s="7" t="n">
        <f aca="false">SUM(M2:M18)</f>
        <v>572.798003432714</v>
      </c>
      <c r="N19" s="7" t="n">
        <f aca="false">SUM(N2:N18)</f>
        <v>649.15993814938</v>
      </c>
      <c r="O19" s="7" t="n">
        <f aca="false">SUM(O2:O18)</f>
        <v>735.701980056935</v>
      </c>
      <c r="P19" s="7" t="n">
        <f aca="false">SUM(P2:P18)</f>
        <v>4861.19740074972</v>
      </c>
    </row>
    <row r="20" customFormat="false" ht="15" hidden="false" customHeight="false" outlineLevel="0" collapsed="false">
      <c r="A20" s="6" t="s">
        <v>273</v>
      </c>
    </row>
    <row r="21" customFormat="false" ht="15" hidden="false" customHeight="false" outlineLevel="0" collapsed="false">
      <c r="A21" s="4" t="s">
        <v>143</v>
      </c>
      <c r="D21" s="25" t="n">
        <f aca="false">SUMPRODUCT(($B$2:$B$18=$A21)*D$2:D$18*$C$2:$C$18)</f>
        <v>165.541678398048</v>
      </c>
      <c r="E21" s="25" t="n">
        <f aca="false">SUMPRODUCT(($B$2:$B$18=$A21)*E$2:E$18*$C$2:$C$18)</f>
        <v>187.610684859248</v>
      </c>
      <c r="F21" s="25" t="n">
        <f aca="false">SUMPRODUCT(($B$2:$B$18=$A21)*F$2:F$18*$C$2:$C$18)</f>
        <v>212.62179660111</v>
      </c>
      <c r="G21" s="25" t="n">
        <f aca="false">SUMPRODUCT(($B$2:$B$18=$A21)*G$2:G$18*$C$2:$C$18)</f>
        <v>240.967237147502</v>
      </c>
      <c r="H21" s="25" t="n">
        <f aca="false">SUMPRODUCT(($B$2:$B$18=$A21)*H$2:H$18*$C$2:$C$18)</f>
        <v>273.091518869225</v>
      </c>
      <c r="I21" s="25" t="n">
        <f aca="false">SUMPRODUCT(($B$2:$B$18=$A21)*I$2:I$18*$C$2:$C$18)</f>
        <v>309.498413814026</v>
      </c>
      <c r="J21" s="25" t="n">
        <f aca="false">SUMPRODUCT(($B$2:$B$18=$A21)*J$2:J$18*$C$2:$C$18)</f>
        <v>350.758853845141</v>
      </c>
      <c r="K21" s="25" t="n">
        <f aca="false">SUMPRODUCT(($B$2:$B$18=$A21)*K$2:K$18*$C$2:$C$18)</f>
        <v>397.519883978099</v>
      </c>
      <c r="L21" s="25" t="n">
        <f aca="false">SUMPRODUCT(($B$2:$B$18=$A21)*L$2:L$18*$C$2:$C$18)</f>
        <v>450.514809321755</v>
      </c>
      <c r="M21" s="25" t="n">
        <f aca="false">SUMPRODUCT(($B$2:$B$18=$A21)*M$2:M$18*$C$2:$C$18)</f>
        <v>510.574694747595</v>
      </c>
      <c r="N21" s="25" t="n">
        <f aca="false">SUMPRODUCT(($B$2:$B$18=$A21)*N$2:N$18*$C$2:$C$18)</f>
        <v>578.641397624777</v>
      </c>
      <c r="O21" s="25" t="n">
        <f aca="false">SUMPRODUCT(($B$2:$B$18=$A21)*O$2:O$18*$C$2:$C$18)</f>
        <v>655.782337999884</v>
      </c>
      <c r="P21" s="25" t="n">
        <f aca="false">SUMPRODUCT(($B$2:$B$18=$A21)*P$2:P$18*$C$2:$C$18)</f>
        <v>4333.12330720641</v>
      </c>
    </row>
    <row r="22" customFormat="false" ht="15" hidden="false" customHeight="false" outlineLevel="0" collapsed="false">
      <c r="A22" s="4" t="s">
        <v>149</v>
      </c>
      <c r="D22" s="25" t="n">
        <f aca="false">SUMPRODUCT(($B$2:$B$18=$A22)*D$2:D$18*$C$2:$C$18)</f>
        <v>0.185654211780637</v>
      </c>
      <c r="E22" s="25" t="n">
        <f aca="false">SUMPRODUCT(($B$2:$B$18=$A22)*E$2:E$18*$C$2:$C$18)</f>
        <v>0.210404498469673</v>
      </c>
      <c r="F22" s="25" t="n">
        <f aca="false">SUMPRODUCT(($B$2:$B$18=$A22)*F$2:F$18*$C$2:$C$18)</f>
        <v>0.238454342358699</v>
      </c>
      <c r="G22" s="25" t="n">
        <f aca="false">SUMPRODUCT(($B$2:$B$18=$A22)*G$2:G$18*$C$2:$C$18)</f>
        <v>0.27024362028037</v>
      </c>
      <c r="H22" s="25" t="n">
        <f aca="false">SUMPRODUCT(($B$2:$B$18=$A22)*H$2:H$18*$C$2:$C$18)</f>
        <v>0.306270850762623</v>
      </c>
      <c r="I22" s="25" t="n">
        <f aca="false">SUMPRODUCT(($B$2:$B$18=$A22)*I$2:I$18*$C$2:$C$18)</f>
        <v>0.347101011781682</v>
      </c>
      <c r="J22" s="25" t="n">
        <f aca="false">SUMPRODUCT(($B$2:$B$18=$A22)*J$2:J$18*$C$2:$C$18)</f>
        <v>0.393374400730173</v>
      </c>
      <c r="K22" s="25" t="n">
        <f aca="false">SUMPRODUCT(($B$2:$B$18=$A22)*K$2:K$18*$C$2:$C$18)</f>
        <v>0.445816675542141</v>
      </c>
      <c r="L22" s="25" t="n">
        <f aca="false">SUMPRODUCT(($B$2:$B$18=$A22)*L$2:L$18*$C$2:$C$18)</f>
        <v>0.505250234439573</v>
      </c>
      <c r="M22" s="25" t="n">
        <f aca="false">SUMPRODUCT(($B$2:$B$18=$A22)*M$2:M$18*$C$2:$C$18)</f>
        <v>0.572607112757301</v>
      </c>
      <c r="N22" s="25" t="n">
        <f aca="false">SUMPRODUCT(($B$2:$B$18=$A22)*N$2:N$18*$C$2:$C$18)</f>
        <v>0.648943599093898</v>
      </c>
      <c r="O22" s="25" t="n">
        <f aca="false">SUMPRODUCT(($B$2:$B$18=$A22)*O$2:O$18*$C$2:$C$18)</f>
        <v>0.735456799998634</v>
      </c>
      <c r="P22" s="25" t="n">
        <f aca="false">SUMPRODUCT(($B$2:$B$18=$A22)*P$2:P$18*$C$2:$C$18)</f>
        <v>4.8595773579954</v>
      </c>
    </row>
    <row r="23" customFormat="false" ht="15" hidden="false" customHeight="false" outlineLevel="0" collapsed="false">
      <c r="A23" s="4" t="s">
        <v>155</v>
      </c>
      <c r="D23" s="25" t="n">
        <f aca="false">SUMPRODUCT(($B$2:$B$18=$A23)*D$2:D$18*$C$2:$C$18)</f>
        <v>0.185654211780637</v>
      </c>
      <c r="E23" s="25" t="n">
        <f aca="false">SUMPRODUCT(($B$2:$B$18=$A23)*E$2:E$18*$C$2:$C$18)</f>
        <v>0.210404498469673</v>
      </c>
      <c r="F23" s="25" t="n">
        <f aca="false">SUMPRODUCT(($B$2:$B$18=$A23)*F$2:F$18*$C$2:$C$18)</f>
        <v>0.238454342358699</v>
      </c>
      <c r="G23" s="25" t="n">
        <f aca="false">SUMPRODUCT(($B$2:$B$18=$A23)*G$2:G$18*$C$2:$C$18)</f>
        <v>0.27024362028037</v>
      </c>
      <c r="H23" s="25" t="n">
        <f aca="false">SUMPRODUCT(($B$2:$B$18=$A23)*H$2:H$18*$C$2:$C$18)</f>
        <v>0.306270850762623</v>
      </c>
      <c r="I23" s="25" t="n">
        <f aca="false">SUMPRODUCT(($B$2:$B$18=$A23)*I$2:I$18*$C$2:$C$18)</f>
        <v>0.347101011781682</v>
      </c>
      <c r="J23" s="25" t="n">
        <f aca="false">SUMPRODUCT(($B$2:$B$18=$A23)*J$2:J$18*$C$2:$C$18)</f>
        <v>0.393374400730173</v>
      </c>
      <c r="K23" s="25" t="n">
        <f aca="false">SUMPRODUCT(($B$2:$B$18=$A23)*K$2:K$18*$C$2:$C$18)</f>
        <v>0.445816675542141</v>
      </c>
      <c r="L23" s="25" t="n">
        <f aca="false">SUMPRODUCT(($B$2:$B$18=$A23)*L$2:L$18*$C$2:$C$18)</f>
        <v>0.505250234439573</v>
      </c>
      <c r="M23" s="25" t="n">
        <f aca="false">SUMPRODUCT(($B$2:$B$18=$A23)*M$2:M$18*$C$2:$C$18)</f>
        <v>0.572607112757301</v>
      </c>
      <c r="N23" s="25" t="n">
        <f aca="false">SUMPRODUCT(($B$2:$B$18=$A23)*N$2:N$18*$C$2:$C$18)</f>
        <v>0.648943599093898</v>
      </c>
      <c r="O23" s="25" t="n">
        <f aca="false">SUMPRODUCT(($B$2:$B$18=$A23)*O$2:O$18*$C$2:$C$18)</f>
        <v>0.735456799998634</v>
      </c>
      <c r="P23" s="25" t="n">
        <f aca="false">SUMPRODUCT(($B$2:$B$18=$A23)*P$2:P$18*$C$2:$C$18)</f>
        <v>4.8595773579954</v>
      </c>
    </row>
    <row r="24" customFormat="false" ht="15" hidden="false" customHeight="false" outlineLevel="0" collapsed="false">
      <c r="A24" s="4" t="s">
        <v>146</v>
      </c>
      <c r="D24" s="25" t="n">
        <f aca="false">SUMPRODUCT(($B$2:$B$18=$A24)*D$2:D$18*$C$2:$C$18)</f>
        <v>4.33193177136718</v>
      </c>
      <c r="E24" s="25" t="n">
        <f aca="false">SUMPRODUCT(($B$2:$B$18=$A24)*E$2:E$18*$C$2:$C$18)</f>
        <v>4.90943848252849</v>
      </c>
      <c r="F24" s="25" t="n">
        <f aca="false">SUMPRODUCT(($B$2:$B$18=$A24)*F$2:F$18*$C$2:$C$18)</f>
        <v>5.56393486458923</v>
      </c>
      <c r="G24" s="25" t="n">
        <f aca="false">SUMPRODUCT(($B$2:$B$18=$A24)*G$2:G$18*$C$2:$C$18)</f>
        <v>6.30568471069785</v>
      </c>
      <c r="H24" s="25" t="n">
        <f aca="false">SUMPRODUCT(($B$2:$B$18=$A24)*H$2:H$18*$C$2:$C$18)</f>
        <v>7.14632012027771</v>
      </c>
      <c r="I24" s="25" t="n">
        <f aca="false">SUMPRODUCT(($B$2:$B$18=$A24)*I$2:I$18*$C$2:$C$18)</f>
        <v>8.0990239132705</v>
      </c>
      <c r="J24" s="25" t="n">
        <f aca="false">SUMPRODUCT(($B$2:$B$18=$A24)*J$2:J$18*$C$2:$C$18)</f>
        <v>9.17873636273354</v>
      </c>
      <c r="K24" s="25" t="n">
        <f aca="false">SUMPRODUCT(($B$2:$B$18=$A24)*K$2:K$18*$C$2:$C$18)</f>
        <v>10.4023894877656</v>
      </c>
      <c r="L24" s="25" t="n">
        <f aca="false">SUMPRODUCT(($B$2:$B$18=$A24)*L$2:L$18*$C$2:$C$18)</f>
        <v>11.7891725809357</v>
      </c>
      <c r="M24" s="25" t="n">
        <f aca="false">SUMPRODUCT(($B$2:$B$18=$A24)*M$2:M$18*$C$2:$C$18)</f>
        <v>13.360833134209</v>
      </c>
      <c r="N24" s="25" t="n">
        <f aca="false">SUMPRODUCT(($B$2:$B$18=$A24)*N$2:N$18*$C$2:$C$18)</f>
        <v>15.1420178824805</v>
      </c>
      <c r="O24" s="25" t="n">
        <f aca="false">SUMPRODUCT(($B$2:$B$18=$A24)*O$2:O$18*$C$2:$C$18)</f>
        <v>17.1606593129519</v>
      </c>
      <c r="P24" s="25" t="n">
        <f aca="false">SUMPRODUCT(($B$2:$B$18=$A24)*P$2:P$18*$C$2:$C$18)</f>
        <v>113.390142623807</v>
      </c>
    </row>
    <row r="25" customFormat="false" ht="15" hidden="false" customHeight="false" outlineLevel="0" collapsed="false">
      <c r="A25" s="4" t="s">
        <v>147</v>
      </c>
      <c r="D25" s="25" t="n">
        <f aca="false">SUMPRODUCT(($B$2:$B$18=$A25)*D$2:D$18*$C$2:$C$18)</f>
        <v>1.54711845869736</v>
      </c>
      <c r="E25" s="25" t="n">
        <f aca="false">SUMPRODUCT(($B$2:$B$18=$A25)*E$2:E$18*$C$2:$C$18)</f>
        <v>1.75337085139774</v>
      </c>
      <c r="F25" s="25" t="n">
        <f aca="false">SUMPRODUCT(($B$2:$B$18=$A25)*F$2:F$18*$C$2:$C$18)</f>
        <v>1.98711955458131</v>
      </c>
      <c r="G25" s="25" t="n">
        <f aca="false">SUMPRODUCT(($B$2:$B$18=$A25)*G$2:G$18*$C$2:$C$18)</f>
        <v>2.25203020858462</v>
      </c>
      <c r="H25" s="25" t="n">
        <f aca="false">SUMPRODUCT(($B$2:$B$18=$A25)*H$2:H$18*$C$2:$C$18)</f>
        <v>2.55225713454683</v>
      </c>
      <c r="I25" s="25" t="n">
        <f aca="false">SUMPRODUCT(($B$2:$B$18=$A25)*I$2:I$18*$C$2:$C$18)</f>
        <v>2.89250848235256</v>
      </c>
      <c r="J25" s="25" t="n">
        <f aca="false">SUMPRODUCT(($B$2:$B$18=$A25)*J$2:J$18*$C$2:$C$18)</f>
        <v>3.2781200637008</v>
      </c>
      <c r="K25" s="25" t="n">
        <f aca="false">SUMPRODUCT(($B$2:$B$18=$A25)*K$2:K$18*$C$2:$C$18)</f>
        <v>3.71513902814822</v>
      </c>
      <c r="L25" s="25" t="n">
        <f aca="false">SUMPRODUCT(($B$2:$B$18=$A25)*L$2:L$18*$C$2:$C$18)</f>
        <v>4.21041869433183</v>
      </c>
      <c r="M25" s="25" t="n">
        <f aca="false">SUMPRODUCT(($B$2:$B$18=$A25)*M$2:M$18*$C$2:$C$18)</f>
        <v>4.77172602351172</v>
      </c>
      <c r="N25" s="25" t="n">
        <f aca="false">SUMPRODUCT(($B$2:$B$18=$A25)*N$2:N$18*$C$2:$C$18)</f>
        <v>5.40786342083074</v>
      </c>
      <c r="O25" s="25" t="n">
        <f aca="false">SUMPRODUCT(($B$2:$B$18=$A25)*O$2:O$18*$C$2:$C$18)</f>
        <v>6.1288067743748</v>
      </c>
      <c r="P25" s="25" t="n">
        <f aca="false">SUMPRODUCT(($B$2:$B$18=$A25)*P$2:P$18*$C$2:$C$18)</f>
        <v>40.4964786950585</v>
      </c>
    </row>
    <row r="26" customFormat="false" ht="15" hidden="false" customHeight="false" outlineLevel="0" collapsed="false">
      <c r="A26" s="4" t="s">
        <v>150</v>
      </c>
      <c r="D26" s="25" t="n">
        <f aca="false">SUMPRODUCT(($B$2:$B$18=$A26)*D$2:D$18*$C$2:$C$18)</f>
        <v>2.2278506229438</v>
      </c>
      <c r="E26" s="25" t="n">
        <f aca="false">SUMPRODUCT(($B$2:$B$18=$A26)*E$2:E$18*$C$2:$C$18)</f>
        <v>2.52485407408747</v>
      </c>
      <c r="F26" s="25" t="n">
        <f aca="false">SUMPRODUCT(($B$2:$B$18=$A26)*F$2:F$18*$C$2:$C$18)</f>
        <v>2.86145221308085</v>
      </c>
      <c r="G26" s="25" t="n">
        <f aca="false">SUMPRODUCT(($B$2:$B$18=$A26)*G$2:G$18*$C$2:$C$18)</f>
        <v>3.24292356210905</v>
      </c>
      <c r="H26" s="25" t="n">
        <f aca="false">SUMPRODUCT(($B$2:$B$18=$A26)*H$2:H$18*$C$2:$C$18)</f>
        <v>3.6752503437264</v>
      </c>
      <c r="I26" s="25" t="n">
        <f aca="false">SUMPRODUCT(($B$2:$B$18=$A26)*I$2:I$18*$C$2:$C$18)</f>
        <v>4.16521229389581</v>
      </c>
      <c r="J26" s="25" t="n">
        <f aca="false">SUMPRODUCT(($B$2:$B$18=$A26)*J$2:J$18*$C$2:$C$18)</f>
        <v>4.72049298161016</v>
      </c>
      <c r="K26" s="25" t="n">
        <f aca="false">SUMPRODUCT(($B$2:$B$18=$A26)*K$2:K$18*$C$2:$C$18)</f>
        <v>5.34980030239682</v>
      </c>
      <c r="L26" s="25" t="n">
        <f aca="false">SUMPRODUCT(($B$2:$B$18=$A26)*L$2:L$18*$C$2:$C$18)</f>
        <v>6.06300303528102</v>
      </c>
      <c r="M26" s="25" t="n">
        <f aca="false">SUMPRODUCT(($B$2:$B$18=$A26)*M$2:M$18*$C$2:$C$18)</f>
        <v>6.87128560469026</v>
      </c>
      <c r="N26" s="25" t="n">
        <f aca="false">SUMPRODUCT(($B$2:$B$18=$A26)*N$2:N$18*$C$2:$C$18)</f>
        <v>7.78732347427155</v>
      </c>
      <c r="O26" s="25" t="n">
        <f aca="false">SUMPRODUCT(($B$2:$B$18=$A26)*O$2:O$18*$C$2:$C$18)</f>
        <v>8.82548192314215</v>
      </c>
      <c r="P26" s="25" t="n">
        <f aca="false">SUMPRODUCT(($B$2:$B$18=$A26)*P$2:P$18*$C$2:$C$18)</f>
        <v>58.3149304312353</v>
      </c>
    </row>
    <row r="27" customFormat="false" ht="15" hidden="false" customHeight="false" outlineLevel="0" collapsed="false">
      <c r="A27" s="4" t="s">
        <v>151</v>
      </c>
      <c r="D27" s="25" t="n">
        <f aca="false">SUMPRODUCT(($B$2:$B$18=$A27)*D$2:D$18*$C$2:$C$18)</f>
        <v>15.6568391250589</v>
      </c>
      <c r="E27" s="25" t="n">
        <f aca="false">SUMPRODUCT(($B$2:$B$18=$A27)*E$2:E$18*$C$2:$C$18)</f>
        <v>17.7441133822526</v>
      </c>
      <c r="F27" s="25" t="n">
        <f aca="false">SUMPRODUCT(($B$2:$B$18=$A27)*F$2:F$18*$C$2:$C$18)</f>
        <v>20.1096503072777</v>
      </c>
      <c r="G27" s="25" t="n">
        <f aca="false">SUMPRODUCT(($B$2:$B$18=$A27)*G$2:G$18*$C$2:$C$18)</f>
        <v>22.790546181105</v>
      </c>
      <c r="H27" s="25" t="n">
        <f aca="false">SUMPRODUCT(($B$2:$B$18=$A27)*H$2:H$18*$C$2:$C$18)</f>
        <v>25.8288427345306</v>
      </c>
      <c r="I27" s="25" t="n">
        <f aca="false">SUMPRODUCT(($B$2:$B$18=$A27)*I$2:I$18*$C$2:$C$18)</f>
        <v>29.2721864453698</v>
      </c>
      <c r="J27" s="25" t="n">
        <f aca="false">SUMPRODUCT(($B$2:$B$18=$A27)*J$2:J$18*$C$2:$C$18)</f>
        <v>33.1745757291305</v>
      </c>
      <c r="K27" s="25" t="n">
        <f aca="false">SUMPRODUCT(($B$2:$B$18=$A27)*K$2:K$18*$C$2:$C$18)</f>
        <v>37.5972077405889</v>
      </c>
      <c r="L27" s="25" t="n">
        <f aca="false">SUMPRODUCT(($B$2:$B$18=$A27)*L$2:L$18*$C$2:$C$18)</f>
        <v>42.6094380657824</v>
      </c>
      <c r="M27" s="25" t="n">
        <f aca="false">SUMPRODUCT(($B$2:$B$18=$A27)*M$2:M$18*$C$2:$C$18)</f>
        <v>48.2898683542851</v>
      </c>
      <c r="N27" s="25" t="n">
        <f aca="false">SUMPRODUCT(($B$2:$B$18=$A27)*N$2:N$18*$C$2:$C$18)</f>
        <v>54.7275789479804</v>
      </c>
      <c r="O27" s="25" t="n">
        <f aca="false">SUMPRODUCT(($B$2:$B$18=$A27)*O$2:O$18*$C$2:$C$18)</f>
        <v>62.0235258363807</v>
      </c>
      <c r="P27" s="25" t="n">
        <f aca="false">SUMPRODUCT(($B$2:$B$18=$A27)*P$2:P$18*$C$2:$C$18)</f>
        <v>409.824372849743</v>
      </c>
    </row>
    <row r="28" customFormat="false" ht="15" hidden="false" customHeight="false" outlineLevel="0" collapsed="false">
      <c r="A28" s="4" t="s">
        <v>154</v>
      </c>
      <c r="D28" s="25" t="n">
        <f aca="false">SUMPRODUCT(($B$2:$B$18=$A28)*D$2:D$18*$C$2:$C$18)</f>
        <v>0.495077925273752</v>
      </c>
      <c r="E28" s="25" t="n">
        <f aca="false">SUMPRODUCT(($B$2:$B$18=$A28)*E$2:E$18*$C$2:$C$18)</f>
        <v>0.561078693402927</v>
      </c>
      <c r="F28" s="25" t="n">
        <f aca="false">SUMPRODUCT(($B$2:$B$18=$A28)*F$2:F$18*$C$2:$C$18)</f>
        <v>0.63587828121535</v>
      </c>
      <c r="G28" s="25" t="n">
        <f aca="false">SUMPRODUCT(($B$2:$B$18=$A28)*G$2:G$18*$C$2:$C$18)</f>
        <v>0.720649693662523</v>
      </c>
      <c r="H28" s="25" t="n">
        <f aca="false">SUMPRODUCT(($B$2:$B$18=$A28)*H$2:H$18*$C$2:$C$18)</f>
        <v>0.816722313558635</v>
      </c>
      <c r="I28" s="25" t="n">
        <f aca="false">SUMPRODUCT(($B$2:$B$18=$A28)*I$2:I$18*$C$2:$C$18)</f>
        <v>0.925602748923027</v>
      </c>
      <c r="J28" s="25" t="n">
        <f aca="false">SUMPRODUCT(($B$2:$B$18=$A28)*J$2:J$18*$C$2:$C$18)</f>
        <v>1.04899845956316</v>
      </c>
      <c r="K28" s="25" t="n">
        <f aca="false">SUMPRODUCT(($B$2:$B$18=$A28)*K$2:K$18*$C$2:$C$18)</f>
        <v>1.18884453340942</v>
      </c>
      <c r="L28" s="25" t="n">
        <f aca="false">SUMPRODUCT(($B$2:$B$18=$A28)*L$2:L$18*$C$2:$C$18)</f>
        <v>1.34733403250758</v>
      </c>
      <c r="M28" s="25" t="n">
        <f aca="false">SUMPRODUCT(($B$2:$B$18=$A28)*M$2:M$18*$C$2:$C$18)</f>
        <v>1.52695238455368</v>
      </c>
      <c r="N28" s="25" t="n">
        <f aca="false">SUMPRODUCT(($B$2:$B$18=$A28)*N$2:N$18*$C$2:$C$18)</f>
        <v>1.73051635929865</v>
      </c>
      <c r="O28" s="25" t="n">
        <f aca="false">SUMPRODUCT(($B$2:$B$18=$A28)*O$2:O$18*$C$2:$C$18)</f>
        <v>1.9612182410492</v>
      </c>
      <c r="P28" s="25" t="n">
        <f aca="false">SUMPRODUCT(($B$2:$B$18=$A28)*P$2:P$18*$C$2:$C$18)</f>
        <v>12.9588736664179</v>
      </c>
    </row>
    <row r="29" customFormat="false" ht="15" hidden="false" customHeight="false" outlineLevel="0" collapsed="false">
      <c r="A29" s="6" t="s">
        <v>274</v>
      </c>
      <c r="D29" s="26" t="n">
        <f aca="false">SUMPRODUCT(D$2:D$18*parametros_recargas!$D$51:$D$67)</f>
        <v>5.6315112810237</v>
      </c>
      <c r="E29" s="26" t="n">
        <f aca="false">SUMPRODUCT(E$2:E$18*parametros_recargas!$D$51:$D$67)</f>
        <v>6.38227000263333</v>
      </c>
      <c r="F29" s="26" t="n">
        <f aca="false">SUMPRODUCT(F$2:F$18*parametros_recargas!$D$51:$D$67)</f>
        <v>7.23311529602561</v>
      </c>
      <c r="G29" s="26" t="n">
        <f aca="false">SUMPRODUCT(G$2:G$18*parametros_recargas!$D$51:$D$67)</f>
        <v>8.19739009224198</v>
      </c>
      <c r="H29" s="26" t="n">
        <f aca="false">SUMPRODUCT(H$2:H$18*parametros_recargas!$D$51:$D$67)</f>
        <v>9.29021612047438</v>
      </c>
      <c r="I29" s="26" t="n">
        <f aca="false">SUMPRODUCT(I$2:I$18*parametros_recargas!$D$51:$D$67)</f>
        <v>10.5287310465808</v>
      </c>
      <c r="J29" s="26" t="n">
        <f aca="false">SUMPRODUCT(J$2:J$18*parametros_recargas!$D$51:$D$67)</f>
        <v>11.9323572254608</v>
      </c>
      <c r="K29" s="26" t="n">
        <f aca="false">SUMPRODUCT(K$2:K$18*parametros_recargas!$D$51:$D$67)</f>
        <v>13.5231062818576</v>
      </c>
      <c r="L29" s="26" t="n">
        <f aca="false">SUMPRODUCT(L$2:L$18*parametros_recargas!$D$51:$D$67)</f>
        <v>15.3259242960147</v>
      </c>
      <c r="M29" s="26" t="n">
        <f aca="false">SUMPRODUCT(M$2:M$18*parametros_recargas!$D$51:$D$67)</f>
        <v>17.3690830073776</v>
      </c>
      <c r="N29" s="26" t="n">
        <f aca="false">SUMPRODUCT(N$2:N$18*parametros_recargas!$D$51:$D$67)</f>
        <v>19.684623171186</v>
      </c>
      <c r="O29" s="26" t="n">
        <f aca="false">SUMPRODUCT(O$2:O$18*parametros_recargas!$D$51:$D$67)</f>
        <v>22.3088570206618</v>
      </c>
      <c r="P29" s="26" t="n">
        <f aca="false">SUMPRODUCT(P$2:P$18*parametros_recargas!$D$51:$D$67)</f>
        <v>147.407184841538</v>
      </c>
    </row>
    <row r="33" customFormat="false" ht="15" hidden="false" customHeight="false" outlineLevel="0" collapsed="false">
      <c r="A33" s="23" t="n">
        <v>2027</v>
      </c>
      <c r="B33" s="3" t="s">
        <v>270</v>
      </c>
      <c r="C33" s="3" t="s">
        <v>271</v>
      </c>
      <c r="D33" s="3" t="s">
        <v>124</v>
      </c>
      <c r="E33" s="3" t="s">
        <v>125</v>
      </c>
      <c r="F33" s="3" t="s">
        <v>126</v>
      </c>
      <c r="G33" s="3" t="s">
        <v>127</v>
      </c>
      <c r="H33" s="3" t="s">
        <v>128</v>
      </c>
      <c r="I33" s="3" t="s">
        <v>129</v>
      </c>
      <c r="J33" s="3" t="s">
        <v>130</v>
      </c>
      <c r="K33" s="3" t="s">
        <v>131</v>
      </c>
      <c r="L33" s="3" t="s">
        <v>132</v>
      </c>
      <c r="M33" s="3" t="s">
        <v>133</v>
      </c>
      <c r="N33" s="3" t="s">
        <v>134</v>
      </c>
      <c r="O33" s="3" t="s">
        <v>135</v>
      </c>
      <c r="P33" s="3" t="s">
        <v>136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4" t="n">
        <f aca="false">parametros_recargas!C51</f>
        <v>1</v>
      </c>
      <c r="D34" s="25" t="n">
        <f aca="false">datos_base!$C$2*parametros_recargas!$F$38</f>
        <v>717.307322268791</v>
      </c>
      <c r="E34" s="25" t="n">
        <f aca="false">datos_base!$C$2*parametros_recargas!$G$38</f>
        <v>760.123294806485</v>
      </c>
      <c r="F34" s="25" t="n">
        <f aca="false">datos_base!$C$2*parametros_recargas!$H$38</f>
        <v>805.49494668473</v>
      </c>
      <c r="G34" s="25" t="n">
        <f aca="false">datos_base!$C$2*parametros_recargas!$I$38</f>
        <v>853.574826041629</v>
      </c>
      <c r="H34" s="25" t="n">
        <f aca="false">datos_base!$C$2*parametros_recargas!$J$38</f>
        <v>904.524586592059</v>
      </c>
      <c r="I34" s="25" t="n">
        <f aca="false">datos_base!$C$2*parametros_recargas!$K$38</f>
        <v>958.515531138255</v>
      </c>
      <c r="J34" s="25" t="n">
        <f aca="false">datos_base!$C$2*parametros_recargas!$L$38</f>
        <v>1015.72918752247</v>
      </c>
      <c r="K34" s="25" t="n">
        <f aca="false">datos_base!$C$2*parametros_recargas!$M$38</f>
        <v>1076.35791895817</v>
      </c>
      <c r="L34" s="25" t="n">
        <f aca="false">datos_base!$C$2*parametros_recargas!$N$38</f>
        <v>1140.6055707918</v>
      </c>
      <c r="M34" s="25" t="n">
        <f aca="false">datos_base!$C$2*parametros_recargas!$O$38</f>
        <v>1208.6881558697</v>
      </c>
      <c r="N34" s="25" t="n">
        <f aca="false">datos_base!$C$2*parametros_recargas!$P$38</f>
        <v>1280.8345808144</v>
      </c>
      <c r="O34" s="25" t="n">
        <f aca="false">datos_base!$C$2*parametros_recargas!$Q$38</f>
        <v>1357.28741565237</v>
      </c>
      <c r="P34" s="7" t="n">
        <f aca="false">SUM(D34:O34)</f>
        <v>12079.0433371409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4" t="n">
        <f aca="false">parametros_recargas!C52</f>
        <v>1</v>
      </c>
      <c r="D35" s="25" t="n">
        <f aca="false">datos_base!$C$3*parametros_recargas!$F$38</f>
        <v>54.4160069544146</v>
      </c>
      <c r="E35" s="25" t="n">
        <f aca="false">datos_base!$C$3*parametros_recargas!$G$38</f>
        <v>57.6640907074174</v>
      </c>
      <c r="F35" s="25" t="n">
        <f aca="false">datos_base!$C$3*parametros_recargas!$H$38</f>
        <v>61.1060521198992</v>
      </c>
      <c r="G35" s="25" t="n">
        <f aca="false">datos_base!$C$3*parametros_recargas!$I$38</f>
        <v>64.7534637219128</v>
      </c>
      <c r="H35" s="25" t="n">
        <f aca="false">datos_base!$C$3*parametros_recargas!$J$38</f>
        <v>68.6185888061916</v>
      </c>
      <c r="I35" s="25" t="n">
        <f aca="false">datos_base!$C$3*parametros_recargas!$K$38</f>
        <v>72.7144226596765</v>
      </c>
      <c r="J35" s="25" t="n">
        <f aca="false">datos_base!$C$3*parametros_recargas!$L$38</f>
        <v>77.0547362561469</v>
      </c>
      <c r="K35" s="25" t="n">
        <f aca="false">datos_base!$C$3*parametros_recargas!$M$38</f>
        <v>81.6541225568573</v>
      </c>
      <c r="L35" s="25" t="n">
        <f aca="false">datos_base!$C$3*parametros_recargas!$N$38</f>
        <v>86.5280455748546</v>
      </c>
      <c r="M35" s="25" t="n">
        <f aca="false">datos_base!$C$3*parametros_recargas!$O$38</f>
        <v>91.6928923679353</v>
      </c>
      <c r="N35" s="25" t="n">
        <f aca="false">datos_base!$C$3*parametros_recargas!$P$38</f>
        <v>97.1660281350565</v>
      </c>
      <c r="O35" s="25" t="n">
        <f aca="false">datos_base!$C$3*parametros_recargas!$Q$38</f>
        <v>102.965854601443</v>
      </c>
      <c r="P35" s="7" t="n">
        <f aca="false">SUM(D35:O35)</f>
        <v>916.334304461806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4" t="n">
        <f aca="false">parametros_recargas!C53</f>
        <v>1</v>
      </c>
      <c r="D36" s="25" t="n">
        <f aca="false">datos_base!$C$4*parametros_recargas!$F$38</f>
        <v>331.911984822907</v>
      </c>
      <c r="E36" s="25" t="n">
        <f aca="false">datos_base!$C$4*parametros_recargas!$G$38</f>
        <v>351.723764217769</v>
      </c>
      <c r="F36" s="25" t="n">
        <f aca="false">datos_base!$C$4*parametros_recargas!$H$38</f>
        <v>372.718105920528</v>
      </c>
      <c r="G36" s="25" t="n">
        <f aca="false">datos_base!$C$4*parametros_recargas!$I$38</f>
        <v>394.965596907961</v>
      </c>
      <c r="H36" s="25" t="n">
        <f aca="false">datos_base!$C$4*parametros_recargas!$J$38</f>
        <v>418.541037483498</v>
      </c>
      <c r="I36" s="25" t="n">
        <f aca="false">datos_base!$C$4*parametros_recargas!$K$38</f>
        <v>443.523692770092</v>
      </c>
      <c r="J36" s="25" t="n">
        <f aca="false">datos_base!$C$4*parametros_recargas!$L$38</f>
        <v>469.997559214668</v>
      </c>
      <c r="K36" s="25" t="n">
        <f aca="false">datos_base!$C$4*parametros_recargas!$M$38</f>
        <v>498.051647000179</v>
      </c>
      <c r="L36" s="25" t="n">
        <f aca="false">datos_base!$C$4*parametros_recargas!$N$38</f>
        <v>527.780279314798</v>
      </c>
      <c r="M36" s="25" t="n">
        <f aca="false">datos_base!$C$4*parametros_recargas!$O$38</f>
        <v>559.28340948445</v>
      </c>
      <c r="N36" s="25" t="n">
        <f aca="false">datos_base!$C$4*parametros_recargas!$P$38</f>
        <v>592.666957034939</v>
      </c>
      <c r="O36" s="25" t="n">
        <f aca="false">datos_base!$C$4*parametros_recargas!$Q$38</f>
        <v>628.043163813569</v>
      </c>
      <c r="P36" s="7" t="n">
        <f aca="false">SUM(D36:O36)</f>
        <v>5589.20719798536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4" t="n">
        <f aca="false">parametros_recargas!C54</f>
        <v>1</v>
      </c>
      <c r="D37" s="25" t="n">
        <f aca="false">datos_base!$C$5*parametros_recargas!$F$38</f>
        <v>18.5012652561493</v>
      </c>
      <c r="E37" s="25" t="n">
        <f aca="false">datos_base!$C$5*parametros_recargas!$G$38</f>
        <v>19.6056031605978</v>
      </c>
      <c r="F37" s="25" t="n">
        <f aca="false">datos_base!$C$5*parametros_recargas!$H$38</f>
        <v>20.7758588382535</v>
      </c>
      <c r="G37" s="25" t="n">
        <f aca="false">datos_base!$C$5*parametros_recargas!$I$38</f>
        <v>22.0159669116691</v>
      </c>
      <c r="H37" s="25" t="n">
        <f aca="false">datos_base!$C$5*parametros_recargas!$J$38</f>
        <v>23.3300968604605</v>
      </c>
      <c r="I37" s="25" t="n">
        <f aca="false">datos_base!$C$5*parametros_recargas!$K$38</f>
        <v>24.7226670398918</v>
      </c>
      <c r="J37" s="25" t="n">
        <f aca="false">datos_base!$C$5*parametros_recargas!$L$38</f>
        <v>26.1983595362273</v>
      </c>
      <c r="K37" s="25" t="n">
        <f aca="false">datos_base!$C$5*parametros_recargas!$M$38</f>
        <v>27.7621359087978</v>
      </c>
      <c r="L37" s="25" t="n">
        <f aca="false">datos_base!$C$5*parametros_recargas!$N$38</f>
        <v>29.4192538717082</v>
      </c>
      <c r="M37" s="25" t="n">
        <f aca="false">datos_base!$C$5*parametros_recargas!$O$38</f>
        <v>31.1752849712743</v>
      </c>
      <c r="N37" s="25" t="n">
        <f aca="false">datos_base!$C$5*parametros_recargas!$P$38</f>
        <v>33.0361333186228</v>
      </c>
      <c r="O37" s="25" t="n">
        <f aca="false">datos_base!$C$5*parametros_recargas!$Q$38</f>
        <v>35.0080554404378</v>
      </c>
      <c r="P37" s="7" t="n">
        <f aca="false">SUM(D37:O37)</f>
        <v>311.55068111409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4" t="n">
        <f aca="false">parametros_recargas!C55</f>
        <v>1</v>
      </c>
      <c r="D38" s="25" t="n">
        <f aca="false">datos_base!$C$6*parametros_recargas!$F$38</f>
        <v>27.1960218573059</v>
      </c>
      <c r="E38" s="25" t="n">
        <f aca="false">datos_base!$C$6*parametros_recargas!$G$38</f>
        <v>28.8193485526112</v>
      </c>
      <c r="F38" s="25" t="n">
        <f aca="false">datos_base!$C$6*parametros_recargas!$H$38</f>
        <v>30.5395713885917</v>
      </c>
      <c r="G38" s="25" t="n">
        <f aca="false">datos_base!$C$6*parametros_recargas!$I$38</f>
        <v>32.3624740821696</v>
      </c>
      <c r="H38" s="25" t="n">
        <f aca="false">datos_base!$C$6*parametros_recargas!$J$38</f>
        <v>34.2941855795112</v>
      </c>
      <c r="I38" s="25" t="n">
        <f aca="false">datos_base!$C$6*parametros_recargas!$K$38</f>
        <v>36.3412006627125</v>
      </c>
      <c r="J38" s="25" t="n">
        <f aca="false">datos_base!$C$6*parametros_recargas!$L$38</f>
        <v>38.5104017864931</v>
      </c>
      <c r="K38" s="25" t="n">
        <f aca="false">datos_base!$C$6*parametros_recargas!$M$38</f>
        <v>40.8090822183208</v>
      </c>
      <c r="L38" s="25" t="n">
        <f aca="false">datos_base!$C$6*parametros_recargas!$N$38</f>
        <v>43.2449705597664</v>
      </c>
      <c r="M38" s="25" t="n">
        <f aca="false">datos_base!$C$6*parametros_recargas!$O$38</f>
        <v>45.8262567315343</v>
      </c>
      <c r="N38" s="25" t="n">
        <f aca="false">datos_base!$C$6*parametros_recargas!$P$38</f>
        <v>48.5616195095368</v>
      </c>
      <c r="O38" s="25" t="n">
        <f aca="false">datos_base!$C$6*parametros_recargas!$Q$38</f>
        <v>51.4602557045918</v>
      </c>
      <c r="P38" s="7" t="n">
        <f aca="false">SUM(D38:O38)</f>
        <v>457.965388633145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4" t="n">
        <f aca="false">parametros_recargas!C56</f>
        <v>1</v>
      </c>
      <c r="D39" s="25" t="n">
        <f aca="false">datos_base!$C$7*parametros_recargas!$F$38</f>
        <v>6.81844291318099</v>
      </c>
      <c r="E39" s="25" t="n">
        <f aca="false">datos_base!$C$7*parametros_recargas!$G$38</f>
        <v>7.22543480557825</v>
      </c>
      <c r="F39" s="25" t="n">
        <f aca="false">datos_base!$C$7*parametros_recargas!$H$38</f>
        <v>7.65671998642659</v>
      </c>
      <c r="G39" s="25" t="n">
        <f aca="false">datos_base!$C$7*parametros_recargas!$I$38</f>
        <v>8.11374851867515</v>
      </c>
      <c r="H39" s="25" t="n">
        <f aca="false">datos_base!$C$7*parametros_recargas!$J$38</f>
        <v>8.59805701932526</v>
      </c>
      <c r="I39" s="25" t="n">
        <f aca="false">datos_base!$C$7*parametros_recargas!$K$38</f>
        <v>9.11127382582958</v>
      </c>
      <c r="J39" s="25" t="n">
        <f aca="false">datos_base!$C$7*parametros_recargas!$L$38</f>
        <v>9.65512447087283</v>
      </c>
      <c r="K39" s="25" t="n">
        <f aca="false">datos_base!$C$7*parametros_recargas!$M$38</f>
        <v>10.2314374839414</v>
      </c>
      <c r="L39" s="25" t="n">
        <f aca="false">datos_base!$C$7*parametros_recargas!$N$38</f>
        <v>10.8421505391881</v>
      </c>
      <c r="M39" s="25" t="n">
        <f aca="false">datos_base!$C$7*parametros_recargas!$O$38</f>
        <v>11.4893169702614</v>
      </c>
      <c r="N39" s="25" t="n">
        <f aca="false">datos_base!$C$7*parametros_recargas!$P$38</f>
        <v>12.1751126740047</v>
      </c>
      <c r="O39" s="25" t="n">
        <f aca="false">datos_base!$C$7*parametros_recargas!$Q$38</f>
        <v>12.9018434262361</v>
      </c>
      <c r="P39" s="7" t="n">
        <f aca="false">SUM(D39:O39)</f>
        <v>114.81866263352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4" t="n">
        <f aca="false">parametros_recargas!C57</f>
        <v>3</v>
      </c>
      <c r="D40" s="25" t="n">
        <f aca="false">datos_base!$C$8*parametros_recargas!$F$38</f>
        <v>3.51766530321008</v>
      </c>
      <c r="E40" s="25" t="n">
        <f aca="false">datos_base!$C$8*parametros_recargas!$G$38</f>
        <v>3.72763424726416</v>
      </c>
      <c r="F40" s="25" t="n">
        <f aca="false">datos_base!$C$8*parametros_recargas!$H$38</f>
        <v>3.95013620786958</v>
      </c>
      <c r="G40" s="25" t="n">
        <f aca="false">datos_base!$C$8*parametros_recargas!$I$38</f>
        <v>4.18591927901034</v>
      </c>
      <c r="H40" s="25" t="n">
        <f aca="false">datos_base!$C$8*parametros_recargas!$J$38</f>
        <v>4.43577620829448</v>
      </c>
      <c r="I40" s="25" t="n">
        <f aca="false">datos_base!$C$8*parametros_recargas!$K$38</f>
        <v>4.70054706232254</v>
      </c>
      <c r="J40" s="25" t="n">
        <f aca="false">datos_base!$C$8*parametros_recargas!$L$38</f>
        <v>4.98112205115156</v>
      </c>
      <c r="K40" s="25" t="n">
        <f aca="false">datos_base!$C$8*parametros_recargas!$M$38</f>
        <v>5.27844452135086</v>
      </c>
      <c r="L40" s="25" t="n">
        <f aca="false">datos_base!$C$8*parametros_recargas!$N$38</f>
        <v>5.59351412771299</v>
      </c>
      <c r="M40" s="25" t="n">
        <f aca="false">datos_base!$C$8*parametros_recargas!$O$38</f>
        <v>5.92739019428354</v>
      </c>
      <c r="N40" s="25" t="n">
        <f aca="false">datos_base!$C$8*parametros_recargas!$P$38</f>
        <v>6.28119527601047</v>
      </c>
      <c r="O40" s="25" t="n">
        <f aca="false">datos_base!$C$8*parametros_recargas!$Q$38</f>
        <v>6.6561189329877</v>
      </c>
      <c r="P40" s="7" t="n">
        <f aca="false">SUM(D40:O40)</f>
        <v>59.2354634114683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4" t="n">
        <f aca="false">parametros_recargas!C58</f>
        <v>1</v>
      </c>
      <c r="D41" s="25" t="n">
        <f aca="false">datos_base!$C$9*parametros_recargas!$F$38</f>
        <v>1.98967134286704</v>
      </c>
      <c r="E41" s="25" t="n">
        <f aca="false">datos_base!$C$9*parametros_recargas!$G$38</f>
        <v>2.10843454370233</v>
      </c>
      <c r="F41" s="25" t="n">
        <f aca="false">datos_base!$C$9*parametros_recargas!$H$38</f>
        <v>2.23428670318559</v>
      </c>
      <c r="G41" s="25" t="n">
        <f aca="false">datos_base!$C$9*parametros_recargas!$I$38</f>
        <v>2.36765096025514</v>
      </c>
      <c r="H41" s="25" t="n">
        <f aca="false">datos_base!$C$9*parametros_recargas!$J$38</f>
        <v>2.50897571095264</v>
      </c>
      <c r="I41" s="25" t="n">
        <f aca="false">datos_base!$C$9*parametros_recargas!$K$38</f>
        <v>2.658736116016</v>
      </c>
      <c r="J41" s="25" t="n">
        <f aca="false">datos_base!$C$9*parametros_recargas!$L$38</f>
        <v>2.81743569846033</v>
      </c>
      <c r="K41" s="25" t="n">
        <f aca="false">datos_base!$C$9*parametros_recargas!$M$38</f>
        <v>2.98560803651823</v>
      </c>
      <c r="L41" s="25" t="n">
        <f aca="false">datos_base!$C$9*parametros_recargas!$N$38</f>
        <v>3.16381855763149</v>
      </c>
      <c r="M41" s="25" t="n">
        <f aca="false">datos_base!$C$9*parametros_recargas!$O$38</f>
        <v>3.35266643952588</v>
      </c>
      <c r="N41" s="25" t="n">
        <f aca="false">datos_base!$C$9*parametros_recargas!$P$38</f>
        <v>3.55278662476079</v>
      </c>
      <c r="O41" s="25" t="n">
        <f aca="false">datos_base!$C$9*parametros_recargas!$Q$38</f>
        <v>3.76485195552712</v>
      </c>
      <c r="P41" s="7" t="n">
        <f aca="false">SUM(D41:O41)</f>
        <v>33.5049226894026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4" t="n">
        <f aca="false">parametros_recargas!C59</f>
        <v>1</v>
      </c>
      <c r="D42" s="25" t="n">
        <f aca="false">datos_base!$C$10*parametros_recargas!$F$38</f>
        <v>14.1765322467722</v>
      </c>
      <c r="E42" s="25" t="n">
        <f aca="false">datos_base!$C$10*parametros_recargas!$G$38</f>
        <v>15.0227274500188</v>
      </c>
      <c r="F42" s="25" t="n">
        <f aca="false">datos_base!$C$10*parametros_recargas!$H$38</f>
        <v>15.9194319251757</v>
      </c>
      <c r="G42" s="25" t="n">
        <f aca="false">datos_base!$C$10*parametros_recargas!$I$38</f>
        <v>16.8696605635341</v>
      </c>
      <c r="H42" s="25" t="n">
        <f aca="false">datos_base!$C$10*parametros_recargas!$J$38</f>
        <v>17.8766082148197</v>
      </c>
      <c r="I42" s="25" t="n">
        <f aca="false">datos_base!$C$10*parametros_recargas!$K$38</f>
        <v>18.9436604288859</v>
      </c>
      <c r="J42" s="25" t="n">
        <f aca="false">datos_base!$C$10*parametros_recargas!$L$38</f>
        <v>20.0744048385779</v>
      </c>
      <c r="K42" s="25" t="n">
        <f aca="false">datos_base!$C$10*parametros_recargas!$M$38</f>
        <v>21.2726432220375</v>
      </c>
      <c r="L42" s="25" t="n">
        <f aca="false">datos_base!$C$10*parametros_recargas!$N$38</f>
        <v>22.5424042850057</v>
      </c>
      <c r="M42" s="25" t="n">
        <f aca="false">datos_base!$C$10*parametros_recargas!$O$38</f>
        <v>23.887957206099</v>
      </c>
      <c r="N42" s="25" t="n">
        <f aca="false">datos_base!$C$10*parametros_recargas!$P$38</f>
        <v>25.3138259906012</v>
      </c>
      <c r="O42" s="25" t="n">
        <f aca="false">datos_base!$C$10*parametros_recargas!$Q$38</f>
        <v>26.8248046810312</v>
      </c>
      <c r="P42" s="7" t="n">
        <f aca="false">SUM(D42:O42)</f>
        <v>238.724661052559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4" t="n">
        <f aca="false">parametros_recargas!C60</f>
        <v>1</v>
      </c>
      <c r="D43" s="25" t="n">
        <f aca="false">datos_base!$C$11*parametros_recargas!$F$38</f>
        <v>71.7359280239935</v>
      </c>
      <c r="E43" s="25" t="n">
        <f aca="false">datos_base!$C$11*parametros_recargas!$G$38</f>
        <v>76.0178354141572</v>
      </c>
      <c r="F43" s="25" t="n">
        <f aca="false">datos_base!$C$11*parametros_recargas!$H$38</f>
        <v>80.5553292503735</v>
      </c>
      <c r="G43" s="25" t="n">
        <f aca="false">datos_base!$C$11*parametros_recargas!$I$38</f>
        <v>85.3636654514312</v>
      </c>
      <c r="H43" s="25" t="n">
        <f aca="false">datos_base!$C$11*parametros_recargas!$J$38</f>
        <v>90.4590105597525</v>
      </c>
      <c r="I43" s="25" t="n">
        <f aca="false">datos_base!$C$11*parametros_recargas!$K$38</f>
        <v>95.8584960963883</v>
      </c>
      <c r="J43" s="25" t="n">
        <f aca="false">datos_base!$C$11*parametros_recargas!$L$38</f>
        <v>101.580276160456</v>
      </c>
      <c r="K43" s="25" t="n">
        <f aca="false">datos_base!$C$11*parametros_recargas!$M$38</f>
        <v>107.643588466681</v>
      </c>
      <c r="L43" s="25" t="n">
        <f aca="false">datos_base!$C$11*parametros_recargas!$N$38</f>
        <v>114.068819026256</v>
      </c>
      <c r="M43" s="25" t="n">
        <f aca="false">datos_base!$C$11*parametros_recargas!$O$38</f>
        <v>120.877570688497</v>
      </c>
      <c r="N43" s="25" t="n">
        <f aca="false">datos_base!$C$11*parametros_recargas!$P$38</f>
        <v>128.092735773738</v>
      </c>
      <c r="O43" s="25" t="n">
        <f aca="false">datos_base!$C$11*parametros_recargas!$Q$38</f>
        <v>135.738573041675</v>
      </c>
      <c r="P43" s="7" t="n">
        <f aca="false">SUM(D43:O43)</f>
        <v>1207.9918279534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4" t="n">
        <f aca="false">parametros_recargas!C61</f>
        <v>1</v>
      </c>
      <c r="D44" s="25" t="n">
        <f aca="false">datos_base!$C$12*parametros_recargas!$F$38</f>
        <v>27.2047640397682</v>
      </c>
      <c r="E44" s="25" t="n">
        <f aca="false">datos_base!$C$12*parametros_recargas!$G$38</f>
        <v>28.8286125547073</v>
      </c>
      <c r="F44" s="25" t="n">
        <f aca="false">datos_base!$C$12*parametros_recargas!$H$38</f>
        <v>30.5493883576617</v>
      </c>
      <c r="G44" s="25" t="n">
        <f aca="false">datos_base!$C$12*parametros_recargas!$I$38</f>
        <v>32.3728770247339</v>
      </c>
      <c r="H44" s="25" t="n">
        <f aca="false">datos_base!$C$12*parametros_recargas!$J$38</f>
        <v>34.3052094722447</v>
      </c>
      <c r="I44" s="25" t="n">
        <f aca="false">datos_base!$C$12*parametros_recargas!$K$38</f>
        <v>36.3528825700429</v>
      </c>
      <c r="J44" s="25" t="n">
        <f aca="false">datos_base!$C$12*parametros_recargas!$L$38</f>
        <v>38.5227809852186</v>
      </c>
      <c r="K44" s="25" t="n">
        <f aca="false">datos_base!$C$12*parametros_recargas!$M$38</f>
        <v>40.8222003296661</v>
      </c>
      <c r="L44" s="25" t="n">
        <f aca="false">datos_base!$C$12*parametros_recargas!$N$38</f>
        <v>43.2588716893211</v>
      </c>
      <c r="M44" s="25" t="n">
        <f aca="false">datos_base!$C$12*parametros_recargas!$O$38</f>
        <v>45.8409876175446</v>
      </c>
      <c r="N44" s="25" t="n">
        <f aca="false">datos_base!$C$12*parametros_recargas!$P$38</f>
        <v>48.577229680048</v>
      </c>
      <c r="O44" s="25" t="n">
        <f aca="false">datos_base!$C$12*parametros_recargas!$Q$38</f>
        <v>51.4767976439713</v>
      </c>
      <c r="P44" s="7" t="n">
        <f aca="false">SUM(D44:O44)</f>
        <v>458.112601964929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4" t="n">
        <f aca="false">parametros_recargas!C62</f>
        <v>1</v>
      </c>
      <c r="D45" s="25" t="n">
        <f aca="false">datos_base!$C$13*parametros_recargas!$F$38</f>
        <v>4.73715565037908</v>
      </c>
      <c r="E45" s="25" t="n">
        <f aca="false">datos_base!$C$13*parametros_recargas!$G$38</f>
        <v>5.01991580064757</v>
      </c>
      <c r="F45" s="25" t="n">
        <f aca="false">datos_base!$C$13*parametros_recargas!$H$38</f>
        <v>5.31955386426337</v>
      </c>
      <c r="G45" s="25" t="n">
        <f aca="false">datos_base!$C$13*parametros_recargas!$I$38</f>
        <v>5.63707728148528</v>
      </c>
      <c r="H45" s="25" t="n">
        <f aca="false">datos_base!$C$13*parametros_recargas!$J$38</f>
        <v>5.97355362653852</v>
      </c>
      <c r="I45" s="25" t="n">
        <f aca="false">datos_base!$C$13*parametros_recargas!$K$38</f>
        <v>6.33011419700273</v>
      </c>
      <c r="J45" s="25" t="n">
        <f aca="false">datos_base!$C$13*parametros_recargas!$L$38</f>
        <v>6.70795781744994</v>
      </c>
      <c r="K45" s="25" t="n">
        <f aca="false">datos_base!$C$13*parametros_recargas!$M$38</f>
        <v>7.10835487012121</v>
      </c>
      <c r="L45" s="25" t="n">
        <f aca="false">datos_base!$C$13*parametros_recargas!$N$38</f>
        <v>7.53265156619375</v>
      </c>
      <c r="M45" s="25" t="n">
        <f aca="false">datos_base!$C$13*parametros_recargas!$O$38</f>
        <v>7.9822744719994</v>
      </c>
      <c r="N45" s="25" t="n">
        <f aca="false">datos_base!$C$13*parametros_recargas!$P$38</f>
        <v>8.45873530541243</v>
      </c>
      <c r="O45" s="25" t="n">
        <f aca="false">datos_base!$C$13*parametros_recargas!$Q$38</f>
        <v>8.96363601853306</v>
      </c>
      <c r="P45" s="7" t="n">
        <f aca="false">SUM(D45:O45)</f>
        <v>79.7709804700263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4" t="n">
        <f aca="false">parametros_recargas!C63</f>
        <v>1</v>
      </c>
      <c r="D46" s="25" t="n">
        <f aca="false">datos_base!$C$14*parametros_recargas!$F$38</f>
        <v>1.98967134286704</v>
      </c>
      <c r="E46" s="25" t="n">
        <f aca="false">datos_base!$C$14*parametros_recargas!$G$38</f>
        <v>2.10843454370233</v>
      </c>
      <c r="F46" s="25" t="n">
        <f aca="false">datos_base!$C$14*parametros_recargas!$H$38</f>
        <v>2.23428670318559</v>
      </c>
      <c r="G46" s="25" t="n">
        <f aca="false">datos_base!$C$14*parametros_recargas!$I$38</f>
        <v>2.36765096025514</v>
      </c>
      <c r="H46" s="25" t="n">
        <f aca="false">datos_base!$C$14*parametros_recargas!$J$38</f>
        <v>2.50897571095264</v>
      </c>
      <c r="I46" s="25" t="n">
        <f aca="false">datos_base!$C$14*parametros_recargas!$K$38</f>
        <v>2.658736116016</v>
      </c>
      <c r="J46" s="25" t="n">
        <f aca="false">datos_base!$C$14*parametros_recargas!$L$38</f>
        <v>2.81743569846033</v>
      </c>
      <c r="K46" s="25" t="n">
        <f aca="false">datos_base!$C$14*parametros_recargas!$M$38</f>
        <v>2.98560803651823</v>
      </c>
      <c r="L46" s="25" t="n">
        <f aca="false">datos_base!$C$14*parametros_recargas!$N$38</f>
        <v>3.16381855763149</v>
      </c>
      <c r="M46" s="25" t="n">
        <f aca="false">datos_base!$C$14*parametros_recargas!$O$38</f>
        <v>3.35266643952588</v>
      </c>
      <c r="N46" s="25" t="n">
        <f aca="false">datos_base!$C$14*parametros_recargas!$P$38</f>
        <v>3.55278662476079</v>
      </c>
      <c r="O46" s="25" t="n">
        <f aca="false">datos_base!$C$14*parametros_recargas!$Q$38</f>
        <v>3.76485195552712</v>
      </c>
      <c r="P46" s="7" t="n">
        <f aca="false">SUM(D46:O46)</f>
        <v>33.5049226894026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4" t="n">
        <f aca="false">parametros_recargas!C64</f>
        <v>3</v>
      </c>
      <c r="D47" s="25" t="n">
        <f aca="false">datos_base!$C$15*parametros_recargas!$F$38</f>
        <v>3.63450581512303</v>
      </c>
      <c r="E47" s="25" t="n">
        <f aca="false">datos_base!$C$15*parametros_recargas!$G$38</f>
        <v>3.85144895279546</v>
      </c>
      <c r="F47" s="25" t="n">
        <f aca="false">datos_base!$C$15*parametros_recargas!$H$38</f>
        <v>4.08134139564916</v>
      </c>
      <c r="G47" s="25" t="n">
        <f aca="false">datos_base!$C$15*parametros_recargas!$I$38</f>
        <v>4.32495608587755</v>
      </c>
      <c r="H47" s="25" t="n">
        <f aca="false">datos_base!$C$15*parametros_recargas!$J$38</f>
        <v>4.58311210248415</v>
      </c>
      <c r="I47" s="25" t="n">
        <f aca="false">datos_base!$C$15*parametros_recargas!$K$38</f>
        <v>4.8566774151823</v>
      </c>
      <c r="J47" s="25" t="n">
        <f aca="false">datos_base!$C$15*parametros_recargas!$L$38</f>
        <v>5.14657180267464</v>
      </c>
      <c r="K47" s="25" t="n">
        <f aca="false">datos_base!$C$15*parametros_recargas!$M$38</f>
        <v>5.4537699451244</v>
      </c>
      <c r="L47" s="25" t="n">
        <f aca="false">datos_base!$C$15*parametros_recargas!$N$38</f>
        <v>5.7793047012158</v>
      </c>
      <c r="M47" s="25" t="n">
        <f aca="false">datos_base!$C$15*parametros_recargas!$O$38</f>
        <v>6.12427058082172</v>
      </c>
      <c r="N47" s="25" t="n">
        <f aca="false">datos_base!$C$15*parametros_recargas!$P$38</f>
        <v>6.48982742495443</v>
      </c>
      <c r="O47" s="25" t="n">
        <f aca="false">datos_base!$C$15*parametros_recargas!$Q$38</f>
        <v>6.87720430537208</v>
      </c>
      <c r="P47" s="7" t="n">
        <f aca="false">SUM(D47:O47)</f>
        <v>61.2029905272747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4" t="n">
        <f aca="false">parametros_recargas!C65</f>
        <v>3</v>
      </c>
      <c r="D48" s="25" t="n">
        <f aca="false">datos_base!$C$16*parametros_recargas!$F$38</f>
        <v>7.9959128439919</v>
      </c>
      <c r="E48" s="25" t="n">
        <f aca="false">datos_base!$C$16*parametros_recargas!$G$38</f>
        <v>8.47318774989877</v>
      </c>
      <c r="F48" s="25" t="n">
        <f aca="false">datos_base!$C$16*parametros_recargas!$H$38</f>
        <v>8.97895112738516</v>
      </c>
      <c r="G48" s="25" t="n">
        <f aca="false">datos_base!$C$16*parametros_recargas!$I$38</f>
        <v>9.51490344928738</v>
      </c>
      <c r="H48" s="25" t="n">
        <f aca="false">datos_base!$C$16*parametros_recargas!$J$38</f>
        <v>10.0828466894246</v>
      </c>
      <c r="I48" s="25" t="n">
        <f aca="false">datos_base!$C$16*parametros_recargas!$K$38</f>
        <v>10.6846903811783</v>
      </c>
      <c r="J48" s="25" t="n">
        <f aca="false">datos_base!$C$16*parametros_recargas!$L$38</f>
        <v>11.322458037707</v>
      </c>
      <c r="K48" s="25" t="n">
        <f aca="false">datos_base!$C$16*parametros_recargas!$M$38</f>
        <v>11.9982939553836</v>
      </c>
      <c r="L48" s="25" t="n">
        <f aca="false">datos_base!$C$16*parametros_recargas!$N$38</f>
        <v>12.7144704233276</v>
      </c>
      <c r="M48" s="25" t="n">
        <f aca="false">datos_base!$C$16*parametros_recargas!$O$38</f>
        <v>13.4733953632748</v>
      </c>
      <c r="N48" s="25" t="n">
        <f aca="false">datos_base!$C$16*parametros_recargas!$P$38</f>
        <v>14.2776204254683</v>
      </c>
      <c r="O48" s="25" t="n">
        <f aca="false">datos_base!$C$16*parametros_recargas!$Q$38</f>
        <v>15.1298495677932</v>
      </c>
      <c r="P48" s="7" t="n">
        <f aca="false">SUM(D48:O48)</f>
        <v>134.646580014121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4" t="n">
        <f aca="false">parametros_recargas!C66</f>
        <v>3</v>
      </c>
      <c r="D49" s="25" t="n">
        <f aca="false">datos_base!$C$17*parametros_recargas!$F$38</f>
        <v>1.74456278618693</v>
      </c>
      <c r="E49" s="25" t="n">
        <f aca="false">datos_base!$C$17*parametros_recargas!$G$38</f>
        <v>1.84869549196694</v>
      </c>
      <c r="F49" s="25" t="n">
        <f aca="false">datos_base!$C$17*parametros_recargas!$H$38</f>
        <v>1.95904386421589</v>
      </c>
      <c r="G49" s="25" t="n">
        <f aca="false">datos_base!$C$17*parametros_recargas!$I$38</f>
        <v>2.07597891518555</v>
      </c>
      <c r="H49" s="25" t="n">
        <f aca="false">datos_base!$C$17*parametros_recargas!$J$38</f>
        <v>2.19989380279645</v>
      </c>
      <c r="I49" s="25" t="n">
        <f aca="false">datos_base!$C$17*parametros_recargas!$K$38</f>
        <v>2.33120515250979</v>
      </c>
      <c r="J49" s="25" t="n">
        <f aca="false">datos_base!$C$17*parametros_recargas!$L$38</f>
        <v>2.47035445810155</v>
      </c>
      <c r="K49" s="25" t="n">
        <f aca="false">datos_base!$C$17*parametros_recargas!$M$38</f>
        <v>2.61780956604872</v>
      </c>
      <c r="L49" s="25" t="n">
        <f aca="false">datos_base!$C$17*parametros_recargas!$N$38</f>
        <v>2.7740662485183</v>
      </c>
      <c r="M49" s="25" t="n">
        <f aca="false">datos_base!$C$17*parametros_recargas!$O$38</f>
        <v>2.93964987024772</v>
      </c>
      <c r="N49" s="25" t="n">
        <f aca="false">datos_base!$C$17*parametros_recargas!$P$38</f>
        <v>3.11511715492127</v>
      </c>
      <c r="O49" s="25" t="n">
        <f aca="false">datos_base!$C$17*parametros_recargas!$Q$38</f>
        <v>3.30105805698114</v>
      </c>
      <c r="P49" s="7" t="n">
        <f aca="false">SUM(D49:O49)</f>
        <v>29.3774353676803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4" t="n">
        <f aca="false">parametros_recargas!C67</f>
        <v>3</v>
      </c>
      <c r="D50" s="25" t="n">
        <f aca="false">datos_base!$C$18*parametros_recargas!$F$38</f>
        <v>1.16304185745796</v>
      </c>
      <c r="E50" s="25" t="n">
        <f aca="false">datos_base!$C$18*parametros_recargas!$G$38</f>
        <v>1.2324636613113</v>
      </c>
      <c r="F50" s="25" t="n">
        <f aca="false">datos_base!$C$18*parametros_recargas!$H$38</f>
        <v>1.3060292428106</v>
      </c>
      <c r="G50" s="25" t="n">
        <f aca="false">datos_base!$C$18*parametros_recargas!$I$38</f>
        <v>1.38398594345703</v>
      </c>
      <c r="H50" s="25" t="n">
        <f aca="false">datos_base!$C$18*parametros_recargas!$J$38</f>
        <v>1.46659586853097</v>
      </c>
      <c r="I50" s="25" t="n">
        <f aca="false">datos_base!$C$18*parametros_recargas!$K$38</f>
        <v>1.55413676833986</v>
      </c>
      <c r="J50" s="25" t="n">
        <f aca="false">datos_base!$C$18*parametros_recargas!$L$38</f>
        <v>1.6469029720677</v>
      </c>
      <c r="K50" s="25" t="n">
        <f aca="false">datos_base!$C$18*parametros_recargas!$M$38</f>
        <v>1.74520637736582</v>
      </c>
      <c r="L50" s="25" t="n">
        <f aca="false">datos_base!$C$18*parametros_recargas!$N$38</f>
        <v>1.8493774990122</v>
      </c>
      <c r="M50" s="25" t="n">
        <f aca="false">datos_base!$C$18*parametros_recargas!$O$38</f>
        <v>1.95976658016515</v>
      </c>
      <c r="N50" s="25" t="n">
        <f aca="false">datos_base!$C$18*parametros_recargas!$P$38</f>
        <v>2.07674476994751</v>
      </c>
      <c r="O50" s="25" t="n">
        <f aca="false">datos_base!$C$18*parametros_recargas!$Q$38</f>
        <v>2.20070537132076</v>
      </c>
      <c r="P50" s="7" t="n">
        <f aca="false">SUM(D50:O50)</f>
        <v>19.5849569117868</v>
      </c>
    </row>
    <row r="51" customFormat="false" ht="15" hidden="false" customHeight="false" outlineLevel="0" collapsed="false">
      <c r="A51" s="6" t="s">
        <v>272</v>
      </c>
      <c r="D51" s="7" t="n">
        <f aca="false">SUM(D34:D50)</f>
        <v>1296.04045532537</v>
      </c>
      <c r="E51" s="7" t="n">
        <f aca="false">SUM(E34:E50)</f>
        <v>1373.40092666063</v>
      </c>
      <c r="F51" s="7" t="n">
        <f aca="false">SUM(F34:F50)</f>
        <v>1455.3790335802</v>
      </c>
      <c r="G51" s="7" t="n">
        <f aca="false">SUM(G34:G50)</f>
        <v>1542.25040209853</v>
      </c>
      <c r="H51" s="7" t="n">
        <f aca="false">SUM(H34:H50)</f>
        <v>1634.30711030784</v>
      </c>
      <c r="I51" s="7" t="n">
        <f aca="false">SUM(I34:I50)</f>
        <v>1731.85867040034</v>
      </c>
      <c r="J51" s="7" t="n">
        <f aca="false">SUM(J34:J50)</f>
        <v>1835.2330693072</v>
      </c>
      <c r="K51" s="7" t="n">
        <f aca="false">SUM(K34:K50)</f>
        <v>1944.77787145308</v>
      </c>
      <c r="L51" s="7" t="n">
        <f aca="false">SUM(L34:L50)</f>
        <v>2060.86138733395</v>
      </c>
      <c r="M51" s="7" t="n">
        <f aca="false">SUM(M34:M50)</f>
        <v>2183.87391184714</v>
      </c>
      <c r="N51" s="7" t="n">
        <f aca="false">SUM(N34:N50)</f>
        <v>2314.22903653719</v>
      </c>
      <c r="O51" s="7" t="n">
        <f aca="false">SUM(O34:O50)</f>
        <v>2452.36504016937</v>
      </c>
      <c r="P51" s="7" t="n">
        <f aca="false">SUM(P34:P50)</f>
        <v>21824.5769150208</v>
      </c>
    </row>
    <row r="52" customFormat="false" ht="15" hidden="false" customHeight="false" outlineLevel="0" collapsed="false">
      <c r="A52" s="6" t="s">
        <v>273</v>
      </c>
    </row>
    <row r="53" customFormat="false" ht="15" hidden="false" customHeight="false" outlineLevel="0" collapsed="false">
      <c r="A53" s="4" t="s">
        <v>143</v>
      </c>
      <c r="D53" s="25" t="n">
        <f aca="false">SUMPRODUCT(($B$34:$B$50=$A53)*D$34:D$50*$C$34:$C$50)</f>
        <v>1165.75064921054</v>
      </c>
      <c r="E53" s="25" t="n">
        <f aca="false">SUMPRODUCT(($B$34:$B$50=$A53)*E$34:E$50*$C$34:$C$50)</f>
        <v>1235.33414046019</v>
      </c>
      <c r="F53" s="25" t="n">
        <f aca="false">SUMPRODUCT(($B$34:$B$50=$A53)*F$34:F$50*$C$34:$C$50)</f>
        <v>1309.07106045359</v>
      </c>
      <c r="G53" s="25" t="n">
        <f aca="false">SUMPRODUCT(($B$34:$B$50=$A53)*G$34:G$50*$C$34:$C$50)</f>
        <v>1387.2093267646</v>
      </c>
      <c r="H53" s="25" t="n">
        <f aca="false">SUMPRODUCT(($B$34:$B$50=$A53)*H$34:H$50*$C$34:$C$50)</f>
        <v>1470.01165513192</v>
      </c>
      <c r="I53" s="25" t="n">
        <f aca="false">SUMPRODUCT(($B$34:$B$50=$A53)*I$34:I$50*$C$34:$C$50)</f>
        <v>1557.75644275955</v>
      </c>
      <c r="J53" s="25" t="n">
        <f aca="false">SUMPRODUCT(($B$34:$B$50=$A53)*J$34:J$50*$C$34:$C$50)</f>
        <v>1650.73870434117</v>
      </c>
      <c r="K53" s="25" t="n">
        <f aca="false">SUMPRODUCT(($B$34:$B$50=$A53)*K$34:K$50*$C$34:$C$50)</f>
        <v>1749.27106395577</v>
      </c>
      <c r="L53" s="25" t="n">
        <f aca="false">SUMPRODUCT(($B$34:$B$50=$A53)*L$34:L$50*$C$34:$C$50)</f>
        <v>1853.68480616939</v>
      </c>
      <c r="M53" s="25" t="n">
        <f aca="false">SUMPRODUCT(($B$34:$B$50=$A53)*M$34:M$50*$C$34:$C$50)</f>
        <v>1964.33098987689</v>
      </c>
      <c r="N53" s="25" t="n">
        <f aca="false">SUMPRODUCT(($B$34:$B$50=$A53)*N$34:N$50*$C$34:$C$50)</f>
        <v>2081.5816286289</v>
      </c>
      <c r="O53" s="25" t="n">
        <f aca="false">SUMPRODUCT(($B$34:$B$50=$A53)*O$34:O$50*$C$34:$C$50)</f>
        <v>2205.83094141222</v>
      </c>
      <c r="P53" s="25" t="n">
        <f aca="false">SUMPRODUCT(($B$34:$B$50=$A53)*P$34:P$50*$C$34:$C$50)</f>
        <v>19630.5714091647</v>
      </c>
    </row>
    <row r="54" customFormat="false" ht="15" hidden="false" customHeight="false" outlineLevel="0" collapsed="false">
      <c r="A54" s="4" t="s">
        <v>149</v>
      </c>
      <c r="D54" s="25" t="n">
        <f aca="false">SUMPRODUCT(($B$34:$B$50=$A54)*D$34:D$50*$C$34:$C$50)</f>
        <v>1.98967134286704</v>
      </c>
      <c r="E54" s="25" t="n">
        <f aca="false">SUMPRODUCT(($B$34:$B$50=$A54)*E$34:E$50*$C$34:$C$50)</f>
        <v>2.10843454370233</v>
      </c>
      <c r="F54" s="25" t="n">
        <f aca="false">SUMPRODUCT(($B$34:$B$50=$A54)*F$34:F$50*$C$34:$C$50)</f>
        <v>2.23428670318559</v>
      </c>
      <c r="G54" s="25" t="n">
        <f aca="false">SUMPRODUCT(($B$34:$B$50=$A54)*G$34:G$50*$C$34:$C$50)</f>
        <v>2.36765096025514</v>
      </c>
      <c r="H54" s="25" t="n">
        <f aca="false">SUMPRODUCT(($B$34:$B$50=$A54)*H$34:H$50*$C$34:$C$50)</f>
        <v>2.50897571095264</v>
      </c>
      <c r="I54" s="25" t="n">
        <f aca="false">SUMPRODUCT(($B$34:$B$50=$A54)*I$34:I$50*$C$34:$C$50)</f>
        <v>2.658736116016</v>
      </c>
      <c r="J54" s="25" t="n">
        <f aca="false">SUMPRODUCT(($B$34:$B$50=$A54)*J$34:J$50*$C$34:$C$50)</f>
        <v>2.81743569846033</v>
      </c>
      <c r="K54" s="25" t="n">
        <f aca="false">SUMPRODUCT(($B$34:$B$50=$A54)*K$34:K$50*$C$34:$C$50)</f>
        <v>2.98560803651823</v>
      </c>
      <c r="L54" s="25" t="n">
        <f aca="false">SUMPRODUCT(($B$34:$B$50=$A54)*L$34:L$50*$C$34:$C$50)</f>
        <v>3.16381855763149</v>
      </c>
      <c r="M54" s="25" t="n">
        <f aca="false">SUMPRODUCT(($B$34:$B$50=$A54)*M$34:M$50*$C$34:$C$50)</f>
        <v>3.35266643952588</v>
      </c>
      <c r="N54" s="25" t="n">
        <f aca="false">SUMPRODUCT(($B$34:$B$50=$A54)*N$34:N$50*$C$34:$C$50)</f>
        <v>3.55278662476079</v>
      </c>
      <c r="O54" s="25" t="n">
        <f aca="false">SUMPRODUCT(($B$34:$B$50=$A54)*O$34:O$50*$C$34:$C$50)</f>
        <v>3.76485195552712</v>
      </c>
      <c r="P54" s="25" t="n">
        <f aca="false">SUMPRODUCT(($B$34:$B$50=$A54)*P$34:P$50*$C$34:$C$50)</f>
        <v>33.5049226894026</v>
      </c>
    </row>
    <row r="55" customFormat="false" ht="15" hidden="false" customHeight="false" outlineLevel="0" collapsed="false">
      <c r="A55" s="4" t="s">
        <v>155</v>
      </c>
      <c r="D55" s="25" t="n">
        <f aca="false">SUMPRODUCT(($B$34:$B$50=$A55)*D$34:D$50*$C$34:$C$50)</f>
        <v>1.98967134286704</v>
      </c>
      <c r="E55" s="25" t="n">
        <f aca="false">SUMPRODUCT(($B$34:$B$50=$A55)*E$34:E$50*$C$34:$C$50)</f>
        <v>2.10843454370233</v>
      </c>
      <c r="F55" s="25" t="n">
        <f aca="false">SUMPRODUCT(($B$34:$B$50=$A55)*F$34:F$50*$C$34:$C$50)</f>
        <v>2.23428670318559</v>
      </c>
      <c r="G55" s="25" t="n">
        <f aca="false">SUMPRODUCT(($B$34:$B$50=$A55)*G$34:G$50*$C$34:$C$50)</f>
        <v>2.36765096025514</v>
      </c>
      <c r="H55" s="25" t="n">
        <f aca="false">SUMPRODUCT(($B$34:$B$50=$A55)*H$34:H$50*$C$34:$C$50)</f>
        <v>2.50897571095264</v>
      </c>
      <c r="I55" s="25" t="n">
        <f aca="false">SUMPRODUCT(($B$34:$B$50=$A55)*I$34:I$50*$C$34:$C$50)</f>
        <v>2.658736116016</v>
      </c>
      <c r="J55" s="25" t="n">
        <f aca="false">SUMPRODUCT(($B$34:$B$50=$A55)*J$34:J$50*$C$34:$C$50)</f>
        <v>2.81743569846033</v>
      </c>
      <c r="K55" s="25" t="n">
        <f aca="false">SUMPRODUCT(($B$34:$B$50=$A55)*K$34:K$50*$C$34:$C$50)</f>
        <v>2.98560803651823</v>
      </c>
      <c r="L55" s="25" t="n">
        <f aca="false">SUMPRODUCT(($B$34:$B$50=$A55)*L$34:L$50*$C$34:$C$50)</f>
        <v>3.16381855763149</v>
      </c>
      <c r="M55" s="25" t="n">
        <f aca="false">SUMPRODUCT(($B$34:$B$50=$A55)*M$34:M$50*$C$34:$C$50)</f>
        <v>3.35266643952588</v>
      </c>
      <c r="N55" s="25" t="n">
        <f aca="false">SUMPRODUCT(($B$34:$B$50=$A55)*N$34:N$50*$C$34:$C$50)</f>
        <v>3.55278662476079</v>
      </c>
      <c r="O55" s="25" t="n">
        <f aca="false">SUMPRODUCT(($B$34:$B$50=$A55)*O$34:O$50*$C$34:$C$50)</f>
        <v>3.76485195552712</v>
      </c>
      <c r="P55" s="25" t="n">
        <f aca="false">SUMPRODUCT(($B$34:$B$50=$A55)*P$34:P$50*$C$34:$C$50)</f>
        <v>33.5049226894026</v>
      </c>
    </row>
    <row r="56" customFormat="false" ht="15" hidden="false" customHeight="false" outlineLevel="0" collapsed="false">
      <c r="A56" s="4" t="s">
        <v>146</v>
      </c>
      <c r="D56" s="25" t="n">
        <f aca="false">SUMPRODUCT(($B$34:$B$50=$A56)*D$34:D$50*$C$34:$C$50)</f>
        <v>27.1960218573059</v>
      </c>
      <c r="E56" s="25" t="n">
        <f aca="false">SUMPRODUCT(($B$34:$B$50=$A56)*E$34:E$50*$C$34:$C$50)</f>
        <v>28.8193485526112</v>
      </c>
      <c r="F56" s="25" t="n">
        <f aca="false">SUMPRODUCT(($B$34:$B$50=$A56)*F$34:F$50*$C$34:$C$50)</f>
        <v>30.5395713885917</v>
      </c>
      <c r="G56" s="25" t="n">
        <f aca="false">SUMPRODUCT(($B$34:$B$50=$A56)*G$34:G$50*$C$34:$C$50)</f>
        <v>32.3624740821696</v>
      </c>
      <c r="H56" s="25" t="n">
        <f aca="false">SUMPRODUCT(($B$34:$B$50=$A56)*H$34:H$50*$C$34:$C$50)</f>
        <v>34.2941855795112</v>
      </c>
      <c r="I56" s="25" t="n">
        <f aca="false">SUMPRODUCT(($B$34:$B$50=$A56)*I$34:I$50*$C$34:$C$50)</f>
        <v>36.3412006627125</v>
      </c>
      <c r="J56" s="25" t="n">
        <f aca="false">SUMPRODUCT(($B$34:$B$50=$A56)*J$34:J$50*$C$34:$C$50)</f>
        <v>38.5104017864931</v>
      </c>
      <c r="K56" s="25" t="n">
        <f aca="false">SUMPRODUCT(($B$34:$B$50=$A56)*K$34:K$50*$C$34:$C$50)</f>
        <v>40.8090822183208</v>
      </c>
      <c r="L56" s="25" t="n">
        <f aca="false">SUMPRODUCT(($B$34:$B$50=$A56)*L$34:L$50*$C$34:$C$50)</f>
        <v>43.2449705597664</v>
      </c>
      <c r="M56" s="25" t="n">
        <f aca="false">SUMPRODUCT(($B$34:$B$50=$A56)*M$34:M$50*$C$34:$C$50)</f>
        <v>45.8262567315343</v>
      </c>
      <c r="N56" s="25" t="n">
        <f aca="false">SUMPRODUCT(($B$34:$B$50=$A56)*N$34:N$50*$C$34:$C$50)</f>
        <v>48.5616195095368</v>
      </c>
      <c r="O56" s="25" t="n">
        <f aca="false">SUMPRODUCT(($B$34:$B$50=$A56)*O$34:O$50*$C$34:$C$50)</f>
        <v>51.4602557045918</v>
      </c>
      <c r="P56" s="25" t="n">
        <f aca="false">SUMPRODUCT(($B$34:$B$50=$A56)*P$34:P$50*$C$34:$C$50)</f>
        <v>457.965388633145</v>
      </c>
    </row>
    <row r="57" customFormat="false" ht="15" hidden="false" customHeight="false" outlineLevel="0" collapsed="false">
      <c r="A57" s="4" t="s">
        <v>147</v>
      </c>
      <c r="D57" s="25" t="n">
        <f aca="false">SUMPRODUCT(($B$34:$B$50=$A57)*D$34:D$50*$C$34:$C$50)</f>
        <v>17.3714388228112</v>
      </c>
      <c r="E57" s="25" t="n">
        <f aca="false">SUMPRODUCT(($B$34:$B$50=$A57)*E$34:E$50*$C$34:$C$50)</f>
        <v>18.4083375473707</v>
      </c>
      <c r="F57" s="25" t="n">
        <f aca="false">SUMPRODUCT(($B$34:$B$50=$A57)*F$34:F$50*$C$34:$C$50)</f>
        <v>19.5071286100353</v>
      </c>
      <c r="G57" s="25" t="n">
        <f aca="false">SUMPRODUCT(($B$34:$B$50=$A57)*G$34:G$50*$C$34:$C$50)</f>
        <v>20.6715063557062</v>
      </c>
      <c r="H57" s="25" t="n">
        <f aca="false">SUMPRODUCT(($B$34:$B$50=$A57)*H$34:H$50*$C$34:$C$50)</f>
        <v>21.9053856442087</v>
      </c>
      <c r="I57" s="25" t="n">
        <f aca="false">SUMPRODUCT(($B$34:$B$50=$A57)*I$34:I$50*$C$34:$C$50)</f>
        <v>23.2129150127972</v>
      </c>
      <c r="J57" s="25" t="n">
        <f aca="false">SUMPRODUCT(($B$34:$B$50=$A57)*J$34:J$50*$C$34:$C$50)</f>
        <v>24.5984906243275</v>
      </c>
      <c r="K57" s="25" t="n">
        <f aca="false">SUMPRODUCT(($B$34:$B$50=$A57)*K$34:K$50*$C$34:$C$50)</f>
        <v>26.066771047994</v>
      </c>
      <c r="L57" s="25" t="n">
        <f aca="false">SUMPRODUCT(($B$34:$B$50=$A57)*L$34:L$50*$C$34:$C$50)</f>
        <v>27.622692922327</v>
      </c>
      <c r="M57" s="25" t="n">
        <f aca="false">SUMPRODUCT(($B$34:$B$50=$A57)*M$34:M$50*$C$34:$C$50)</f>
        <v>29.271487553112</v>
      </c>
      <c r="N57" s="25" t="n">
        <f aca="false">SUMPRODUCT(($B$34:$B$50=$A57)*N$34:N$50*$C$34:$C$50)</f>
        <v>31.0186985020361</v>
      </c>
      <c r="O57" s="25" t="n">
        <f aca="false">SUMPRODUCT(($B$34:$B$50=$A57)*O$34:O$50*$C$34:$C$50)</f>
        <v>32.8702002251992</v>
      </c>
      <c r="P57" s="25" t="n">
        <f aca="false">SUMPRODUCT(($B$34:$B$50=$A57)*P$34:P$50*$C$34:$C$50)</f>
        <v>292.525052867925</v>
      </c>
    </row>
    <row r="58" customFormat="false" ht="15" hidden="false" customHeight="false" outlineLevel="0" collapsed="false">
      <c r="A58" s="4" t="s">
        <v>150</v>
      </c>
      <c r="D58" s="25" t="n">
        <f aca="false">SUMPRODUCT(($B$34:$B$50=$A58)*D$34:D$50*$C$34:$C$50)</f>
        <v>14.1765322467722</v>
      </c>
      <c r="E58" s="25" t="n">
        <f aca="false">SUMPRODUCT(($B$34:$B$50=$A58)*E$34:E$50*$C$34:$C$50)</f>
        <v>15.0227274500188</v>
      </c>
      <c r="F58" s="25" t="n">
        <f aca="false">SUMPRODUCT(($B$34:$B$50=$A58)*F$34:F$50*$C$34:$C$50)</f>
        <v>15.9194319251757</v>
      </c>
      <c r="G58" s="25" t="n">
        <f aca="false">SUMPRODUCT(($B$34:$B$50=$A58)*G$34:G$50*$C$34:$C$50)</f>
        <v>16.8696605635341</v>
      </c>
      <c r="H58" s="25" t="n">
        <f aca="false">SUMPRODUCT(($B$34:$B$50=$A58)*H$34:H$50*$C$34:$C$50)</f>
        <v>17.8766082148197</v>
      </c>
      <c r="I58" s="25" t="n">
        <f aca="false">SUMPRODUCT(($B$34:$B$50=$A58)*I$34:I$50*$C$34:$C$50)</f>
        <v>18.9436604288859</v>
      </c>
      <c r="J58" s="25" t="n">
        <f aca="false">SUMPRODUCT(($B$34:$B$50=$A58)*J$34:J$50*$C$34:$C$50)</f>
        <v>20.0744048385779</v>
      </c>
      <c r="K58" s="25" t="n">
        <f aca="false">SUMPRODUCT(($B$34:$B$50=$A58)*K$34:K$50*$C$34:$C$50)</f>
        <v>21.2726432220375</v>
      </c>
      <c r="L58" s="25" t="n">
        <f aca="false">SUMPRODUCT(($B$34:$B$50=$A58)*L$34:L$50*$C$34:$C$50)</f>
        <v>22.5424042850057</v>
      </c>
      <c r="M58" s="25" t="n">
        <f aca="false">SUMPRODUCT(($B$34:$B$50=$A58)*M$34:M$50*$C$34:$C$50)</f>
        <v>23.887957206099</v>
      </c>
      <c r="N58" s="25" t="n">
        <f aca="false">SUMPRODUCT(($B$34:$B$50=$A58)*N$34:N$50*$C$34:$C$50)</f>
        <v>25.3138259906012</v>
      </c>
      <c r="O58" s="25" t="n">
        <f aca="false">SUMPRODUCT(($B$34:$B$50=$A58)*O$34:O$50*$C$34:$C$50)</f>
        <v>26.8248046810312</v>
      </c>
      <c r="P58" s="25" t="n">
        <f aca="false">SUMPRODUCT(($B$34:$B$50=$A58)*P$34:P$50*$C$34:$C$50)</f>
        <v>238.724661052559</v>
      </c>
    </row>
    <row r="59" customFormat="false" ht="15" hidden="false" customHeight="false" outlineLevel="0" collapsed="false">
      <c r="A59" s="4" t="s">
        <v>151</v>
      </c>
      <c r="D59" s="25" t="n">
        <f aca="false">SUMPRODUCT(($B$34:$B$50=$A59)*D$34:D$50*$C$34:$C$50)</f>
        <v>98.9406920637617</v>
      </c>
      <c r="E59" s="25" t="n">
        <f aca="false">SUMPRODUCT(($B$34:$B$50=$A59)*E$34:E$50*$C$34:$C$50)</f>
        <v>104.846447968864</v>
      </c>
      <c r="F59" s="25" t="n">
        <f aca="false">SUMPRODUCT(($B$34:$B$50=$A59)*F$34:F$50*$C$34:$C$50)</f>
        <v>111.104717608035</v>
      </c>
      <c r="G59" s="25" t="n">
        <f aca="false">SUMPRODUCT(($B$34:$B$50=$A59)*G$34:G$50*$C$34:$C$50)</f>
        <v>117.736542476165</v>
      </c>
      <c r="H59" s="25" t="n">
        <f aca="false">SUMPRODUCT(($B$34:$B$50=$A59)*H$34:H$50*$C$34:$C$50)</f>
        <v>124.764220031997</v>
      </c>
      <c r="I59" s="25" t="n">
        <f aca="false">SUMPRODUCT(($B$34:$B$50=$A59)*I$34:I$50*$C$34:$C$50)</f>
        <v>132.211378666431</v>
      </c>
      <c r="J59" s="25" t="n">
        <f aca="false">SUMPRODUCT(($B$34:$B$50=$A59)*J$34:J$50*$C$34:$C$50)</f>
        <v>140.103057145675</v>
      </c>
      <c r="K59" s="25" t="n">
        <f aca="false">SUMPRODUCT(($B$34:$B$50=$A59)*K$34:K$50*$C$34:$C$50)</f>
        <v>148.465788796347</v>
      </c>
      <c r="L59" s="25" t="n">
        <f aca="false">SUMPRODUCT(($B$34:$B$50=$A59)*L$34:L$50*$C$34:$C$50)</f>
        <v>157.327690715577</v>
      </c>
      <c r="M59" s="25" t="n">
        <f aca="false">SUMPRODUCT(($B$34:$B$50=$A59)*M$34:M$50*$C$34:$C$50)</f>
        <v>166.718558306041</v>
      </c>
      <c r="N59" s="25" t="n">
        <f aca="false">SUMPRODUCT(($B$34:$B$50=$A59)*N$34:N$50*$C$34:$C$50)</f>
        <v>176.669965453786</v>
      </c>
      <c r="O59" s="25" t="n">
        <f aca="false">SUMPRODUCT(($B$34:$B$50=$A59)*O$34:O$50*$C$34:$C$50)</f>
        <v>187.215370685646</v>
      </c>
      <c r="P59" s="25" t="n">
        <f aca="false">SUMPRODUCT(($B$34:$B$50=$A59)*P$34:P$50*$C$34:$C$50)</f>
        <v>1666.10442991833</v>
      </c>
    </row>
    <row r="60" customFormat="false" ht="15" hidden="false" customHeight="false" outlineLevel="0" collapsed="false">
      <c r="A60" s="4" t="s">
        <v>154</v>
      </c>
      <c r="D60" s="25" t="n">
        <f aca="false">SUMPRODUCT(($B$34:$B$50=$A60)*D$34:D$50*$C$34:$C$50)</f>
        <v>4.73715565037908</v>
      </c>
      <c r="E60" s="25" t="n">
        <f aca="false">SUMPRODUCT(($B$34:$B$50=$A60)*E$34:E$50*$C$34:$C$50)</f>
        <v>5.01991580064757</v>
      </c>
      <c r="F60" s="25" t="n">
        <f aca="false">SUMPRODUCT(($B$34:$B$50=$A60)*F$34:F$50*$C$34:$C$50)</f>
        <v>5.31955386426337</v>
      </c>
      <c r="G60" s="25" t="n">
        <f aca="false">SUMPRODUCT(($B$34:$B$50=$A60)*G$34:G$50*$C$34:$C$50)</f>
        <v>5.63707728148528</v>
      </c>
      <c r="H60" s="25" t="n">
        <f aca="false">SUMPRODUCT(($B$34:$B$50=$A60)*H$34:H$50*$C$34:$C$50)</f>
        <v>5.97355362653852</v>
      </c>
      <c r="I60" s="25" t="n">
        <f aca="false">SUMPRODUCT(($B$34:$B$50=$A60)*I$34:I$50*$C$34:$C$50)</f>
        <v>6.33011419700273</v>
      </c>
      <c r="J60" s="25" t="n">
        <f aca="false">SUMPRODUCT(($B$34:$B$50=$A60)*J$34:J$50*$C$34:$C$50)</f>
        <v>6.70795781744994</v>
      </c>
      <c r="K60" s="25" t="n">
        <f aca="false">SUMPRODUCT(($B$34:$B$50=$A60)*K$34:K$50*$C$34:$C$50)</f>
        <v>7.10835487012121</v>
      </c>
      <c r="L60" s="25" t="n">
        <f aca="false">SUMPRODUCT(($B$34:$B$50=$A60)*L$34:L$50*$C$34:$C$50)</f>
        <v>7.53265156619375</v>
      </c>
      <c r="M60" s="25" t="n">
        <f aca="false">SUMPRODUCT(($B$34:$B$50=$A60)*M$34:M$50*$C$34:$C$50)</f>
        <v>7.9822744719994</v>
      </c>
      <c r="N60" s="25" t="n">
        <f aca="false">SUMPRODUCT(($B$34:$B$50=$A60)*N$34:N$50*$C$34:$C$50)</f>
        <v>8.45873530541243</v>
      </c>
      <c r="O60" s="25" t="n">
        <f aca="false">SUMPRODUCT(($B$34:$B$50=$A60)*O$34:O$50*$C$34:$C$50)</f>
        <v>8.96363601853306</v>
      </c>
      <c r="P60" s="25" t="n">
        <f aca="false">SUMPRODUCT(($B$34:$B$50=$A60)*P$34:P$50*$C$34:$C$50)</f>
        <v>79.7709804700263</v>
      </c>
    </row>
    <row r="61" customFormat="false" ht="15" hidden="false" customHeight="false" outlineLevel="0" collapsed="false">
      <c r="A61" s="6" t="s">
        <v>274</v>
      </c>
      <c r="D61" s="26" t="n">
        <f aca="false">SUMPRODUCT(D$34:D$50*parametros_recargas!$D$51:$D$67)</f>
        <v>45.2604526457381</v>
      </c>
      <c r="E61" s="26" t="n">
        <f aca="false">SUMPRODUCT(E$34:E$50*parametros_recargas!$D$51:$D$67)</f>
        <v>47.962042657944</v>
      </c>
      <c r="F61" s="26" t="n">
        <f aca="false">SUMPRODUCT(F$34:F$50*parametros_recargas!$D$51:$D$67)</f>
        <v>50.8248901955921</v>
      </c>
      <c r="G61" s="26" t="n">
        <f aca="false">SUMPRODUCT(G$34:G$50*parametros_recargas!$D$51:$D$67)</f>
        <v>53.8586206975517</v>
      </c>
      <c r="H61" s="26" t="n">
        <f aca="false">SUMPRODUCT(H$34:H$50*parametros_recargas!$D$51:$D$67)</f>
        <v>57.0734341437754</v>
      </c>
      <c r="I61" s="26" t="n">
        <f aca="false">SUMPRODUCT(I$34:I$50*parametros_recargas!$D$51:$D$67)</f>
        <v>60.4801393495757</v>
      </c>
      <c r="J61" s="26" t="n">
        <f aca="false">SUMPRODUCT(J$34:J$50*parametros_recargas!$D$51:$D$67)</f>
        <v>64.0901903069211</v>
      </c>
      <c r="K61" s="26" t="n">
        <f aca="false">SUMPRODUCT(K$34:K$50*parametros_recargas!$D$51:$D$67)</f>
        <v>67.9157246949395</v>
      </c>
      <c r="L61" s="26" t="n">
        <f aca="false">SUMPRODUCT(L$34:L$50*parametros_recargas!$D$51:$D$67)</f>
        <v>71.9696046891081</v>
      </c>
      <c r="M61" s="26" t="n">
        <f aca="false">SUMPRODUCT(M$34:M$50*parametros_recargas!$D$51:$D$67)</f>
        <v>76.2654602063376</v>
      </c>
      <c r="N61" s="26" t="n">
        <f aca="false">SUMPRODUCT(N$34:N$50*parametros_recargas!$D$51:$D$67)</f>
        <v>80.81773473135</v>
      </c>
      <c r="O61" s="26" t="n">
        <f aca="false">SUMPRODUCT(O$34:O$50*parametros_recargas!$D$51:$D$67)</f>
        <v>85.6417338784261</v>
      </c>
      <c r="P61" s="26" t="n">
        <f aca="false">SUMPRODUCT(P$34:P$50*parametros_recargas!$D$51:$D$67)</f>
        <v>762.160028197259</v>
      </c>
    </row>
    <row r="65" customFormat="false" ht="15" hidden="false" customHeight="false" outlineLevel="0" collapsed="false">
      <c r="A65" s="23" t="n">
        <v>2028</v>
      </c>
      <c r="B65" s="3" t="s">
        <v>270</v>
      </c>
      <c r="C65" s="3" t="s">
        <v>271</v>
      </c>
      <c r="D65" s="3" t="s">
        <v>124</v>
      </c>
      <c r="E65" s="3" t="s">
        <v>125</v>
      </c>
      <c r="F65" s="3" t="s">
        <v>126</v>
      </c>
      <c r="G65" s="3" t="s">
        <v>127</v>
      </c>
      <c r="H65" s="3" t="s">
        <v>128</v>
      </c>
      <c r="I65" s="3" t="s">
        <v>129</v>
      </c>
      <c r="J65" s="3" t="s">
        <v>130</v>
      </c>
      <c r="K65" s="3" t="s">
        <v>131</v>
      </c>
      <c r="L65" s="3" t="s">
        <v>132</v>
      </c>
      <c r="M65" s="3" t="s">
        <v>133</v>
      </c>
      <c r="N65" s="3" t="s">
        <v>134</v>
      </c>
      <c r="O65" s="3" t="s">
        <v>135</v>
      </c>
      <c r="P65" s="3" t="s">
        <v>136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4" t="n">
        <f aca="false">parametros_recargas!C51</f>
        <v>1</v>
      </c>
      <c r="D66" s="25" t="n">
        <f aca="false">datos_base!$D$2*parametros_recargas!$F$39</f>
        <v>1343.63378823838</v>
      </c>
      <c r="E66" s="25" t="n">
        <f aca="false">datos_base!$D$2*parametros_recargas!$G$39</f>
        <v>1414.62986138024</v>
      </c>
      <c r="F66" s="25" t="n">
        <f aca="false">datos_base!$D$2*parametros_recargas!$H$39</f>
        <v>1489.37728585436</v>
      </c>
      <c r="G66" s="25" t="n">
        <f aca="false">datos_base!$D$2*parametros_recargas!$I$39</f>
        <v>1568.07427877605</v>
      </c>
      <c r="H66" s="25" t="n">
        <f aca="false">datos_base!$D$2*parametros_recargas!$J$39</f>
        <v>1650.92953082641</v>
      </c>
      <c r="I66" s="25" t="n">
        <f aca="false">datos_base!$D$2*parametros_recargas!$K$39</f>
        <v>1738.16275966348</v>
      </c>
      <c r="J66" s="25" t="n">
        <f aca="false">datos_base!$D$2*parametros_recargas!$L$39</f>
        <v>1830.00529257516</v>
      </c>
      <c r="K66" s="25" t="n">
        <f aca="false">datos_base!$D$2*parametros_recargas!$M$39</f>
        <v>1926.70067991877</v>
      </c>
      <c r="L66" s="25" t="n">
        <f aca="false">datos_base!$D$2*parametros_recargas!$N$39</f>
        <v>2028.50534097402</v>
      </c>
      <c r="M66" s="25" t="n">
        <f aca="false">datos_base!$D$2*parametros_recargas!$O$39</f>
        <v>2135.68924392222</v>
      </c>
      <c r="N66" s="25" t="n">
        <f aca="false">datos_base!$D$2*parametros_recargas!$P$39</f>
        <v>2248.53662175468</v>
      </c>
      <c r="O66" s="25" t="n">
        <f aca="false">datos_base!$D$2*parametros_recargas!$Q$39</f>
        <v>2367.34672600902</v>
      </c>
      <c r="P66" s="7" t="n">
        <f aca="false">SUM(D66:O66)</f>
        <v>21741.5914098928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4" t="n">
        <f aca="false">parametros_recargas!C52</f>
        <v>1</v>
      </c>
      <c r="D67" s="25" t="n">
        <f aca="false">datos_base!$D$3*parametros_recargas!$F$39</f>
        <v>129.637416828011</v>
      </c>
      <c r="E67" s="25" t="n">
        <f aca="false">datos_base!$D$3*parametros_recargas!$G$39</f>
        <v>136.487309713714</v>
      </c>
      <c r="F67" s="25" t="n">
        <f aca="false">datos_base!$D$3*parametros_recargas!$H$39</f>
        <v>143.699143107749</v>
      </c>
      <c r="G67" s="25" t="n">
        <f aca="false">datos_base!$D$3*parametros_recargas!$I$39</f>
        <v>151.292041532756</v>
      </c>
      <c r="H67" s="25" t="n">
        <f aca="false">datos_base!$D$3*parametros_recargas!$J$39</f>
        <v>159.286140029284</v>
      </c>
      <c r="I67" s="25" t="n">
        <f aca="false">datos_base!$D$3*parametros_recargas!$K$39</f>
        <v>167.702637550407</v>
      </c>
      <c r="J67" s="25" t="n">
        <f aca="false">datos_base!$D$3*parametros_recargas!$L$39</f>
        <v>176.563853177637</v>
      </c>
      <c r="K67" s="25" t="n">
        <f aca="false">datos_base!$D$3*parametros_recargas!$M$39</f>
        <v>185.893285307238</v>
      </c>
      <c r="L67" s="25" t="n">
        <f aca="false">datos_base!$D$3*parametros_recargas!$N$39</f>
        <v>195.715673963866</v>
      </c>
      <c r="M67" s="25" t="n">
        <f aca="false">datos_base!$D$3*parametros_recargas!$O$39</f>
        <v>206.057066406792</v>
      </c>
      <c r="N67" s="25" t="n">
        <f aca="false">datos_base!$D$3*parametros_recargas!$P$39</f>
        <v>216.944886202686</v>
      </c>
      <c r="O67" s="25" t="n">
        <f aca="false">datos_base!$D$3*parametros_recargas!$Q$39</f>
        <v>228.408005948129</v>
      </c>
      <c r="P67" s="7" t="n">
        <f aca="false">SUM(D67:O67)</f>
        <v>2097.68745976827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4" t="n">
        <f aca="false">parametros_recargas!C53</f>
        <v>1</v>
      </c>
      <c r="D68" s="25" t="n">
        <f aca="false">datos_base!$D$4*parametros_recargas!$F$39</f>
        <v>781.908338404852</v>
      </c>
      <c r="E68" s="25" t="n">
        <f aca="false">datos_base!$D$4*parametros_recargas!$G$39</f>
        <v>823.223481020019</v>
      </c>
      <c r="F68" s="25" t="n">
        <f aca="false">datos_base!$D$4*parametros_recargas!$H$39</f>
        <v>866.721668533765</v>
      </c>
      <c r="G68" s="25" t="n">
        <f aca="false">datos_base!$D$4*parametros_recargas!$I$39</f>
        <v>912.518250542572</v>
      </c>
      <c r="H68" s="25" t="n">
        <f aca="false">datos_base!$D$4*parametros_recargas!$J$39</f>
        <v>960.734671583715</v>
      </c>
      <c r="I68" s="25" t="n">
        <f aca="false">datos_base!$D$4*parametros_recargas!$K$39</f>
        <v>1011.49879318497</v>
      </c>
      <c r="J68" s="25" t="n">
        <f aca="false">datos_base!$D$4*parametros_recargas!$L$39</f>
        <v>1064.94523293104</v>
      </c>
      <c r="K68" s="25" t="n">
        <f aca="false">datos_base!$D$4*parametros_recargas!$M$39</f>
        <v>1121.2157214459</v>
      </c>
      <c r="L68" s="25" t="n">
        <f aca="false">datos_base!$D$4*parametros_recargas!$N$39</f>
        <v>1180.45947823766</v>
      </c>
      <c r="M68" s="25" t="n">
        <f aca="false">datos_base!$D$4*parametros_recargas!$O$39</f>
        <v>1242.83360740261</v>
      </c>
      <c r="N68" s="25" t="n">
        <f aca="false">datos_base!$D$4*parametros_recargas!$P$39</f>
        <v>1308.50351423787</v>
      </c>
      <c r="O68" s="25" t="n">
        <f aca="false">datos_base!$D$4*parametros_recargas!$Q$39</f>
        <v>1377.64334386736</v>
      </c>
      <c r="P68" s="7" t="n">
        <f aca="false">SUM(D68:O68)</f>
        <v>12652.2061013923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4" t="n">
        <f aca="false">parametros_recargas!C54</f>
        <v>1</v>
      </c>
      <c r="D69" s="25" t="n">
        <f aca="false">datos_base!$D$5*parametros_recargas!$F$39</f>
        <v>45.0856664038231</v>
      </c>
      <c r="E69" s="25" t="n">
        <f aca="false">datos_base!$D$5*parametros_recargas!$G$39</f>
        <v>47.4679414684092</v>
      </c>
      <c r="F69" s="25" t="n">
        <f aca="false">datos_base!$D$5*parametros_recargas!$H$39</f>
        <v>49.9760932236604</v>
      </c>
      <c r="G69" s="25" t="n">
        <f aca="false">datos_base!$D$5*parametros_recargas!$I$39</f>
        <v>52.6167728499919</v>
      </c>
      <c r="H69" s="25" t="n">
        <f aca="false">datos_base!$D$5*parametros_recargas!$J$39</f>
        <v>55.3969829685872</v>
      </c>
      <c r="I69" s="25" t="n">
        <f aca="false">datos_base!$D$5*parametros_recargas!$K$39</f>
        <v>58.3240962111271</v>
      </c>
      <c r="J69" s="25" t="n">
        <f aca="false">datos_base!$D$5*parametros_recargas!$L$39</f>
        <v>61.4058747707205</v>
      </c>
      <c r="K69" s="25" t="n">
        <f aca="false">datos_base!$D$5*parametros_recargas!$M$39</f>
        <v>64.6504909858859</v>
      </c>
      <c r="L69" s="25" t="n">
        <f aca="false">datos_base!$D$5*parametros_recargas!$N$39</f>
        <v>68.066549012165</v>
      </c>
      <c r="M69" s="25" t="n">
        <f aca="false">datos_base!$D$5*parametros_recargas!$O$39</f>
        <v>71.6631076388409</v>
      </c>
      <c r="N69" s="25" t="n">
        <f aca="false">datos_base!$D$5*parametros_recargas!$P$39</f>
        <v>75.4497043112654</v>
      </c>
      <c r="O69" s="25" t="n">
        <f aca="false">datos_base!$D$5*parametros_recargas!$Q$39</f>
        <v>79.4363804224979</v>
      </c>
      <c r="P69" s="7" t="n">
        <f aca="false">SUM(D69:O69)</f>
        <v>729.539660266975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4" t="n">
        <f aca="false">parametros_recargas!C55</f>
        <v>1</v>
      </c>
      <c r="D70" s="25" t="n">
        <f aca="false">datos_base!$D$6*parametros_recargas!$F$39</f>
        <v>64.8529362253985</v>
      </c>
      <c r="E70" s="25" t="n">
        <f aca="false">datos_base!$D$6*parametros_recargas!$G$39</f>
        <v>68.2796912266699</v>
      </c>
      <c r="F70" s="25" t="n">
        <f aca="false">datos_base!$D$6*parametros_recargas!$H$39</f>
        <v>71.8875120442666</v>
      </c>
      <c r="G70" s="25" t="n">
        <f aca="false">datos_base!$D$6*parametros_recargas!$I$39</f>
        <v>75.6859659889035</v>
      </c>
      <c r="H70" s="25" t="n">
        <f aca="false">datos_base!$D$6*parametros_recargas!$J$39</f>
        <v>79.6851258970552</v>
      </c>
      <c r="I70" s="25" t="n">
        <f aca="false">datos_base!$D$6*parametros_recargas!$K$39</f>
        <v>83.8955968423589</v>
      </c>
      <c r="J70" s="25" t="n">
        <f aca="false">datos_base!$D$6*parametros_recargas!$L$39</f>
        <v>88.3285442584177</v>
      </c>
      <c r="K70" s="25" t="n">
        <f aca="false">datos_base!$D$6*parametros_recargas!$M$39</f>
        <v>92.9957235475802</v>
      </c>
      <c r="L70" s="25" t="n">
        <f aca="false">datos_base!$D$6*parametros_recargas!$N$39</f>
        <v>97.9095112542149</v>
      </c>
      <c r="M70" s="25" t="n">
        <f aca="false">datos_base!$D$6*parametros_recargas!$O$39</f>
        <v>103.082937885144</v>
      </c>
      <c r="N70" s="25" t="n">
        <f aca="false">datos_base!$D$6*parametros_recargas!$P$39</f>
        <v>108.529722464272</v>
      </c>
      <c r="O70" s="25" t="n">
        <f aca="false">datos_base!$D$6*parametros_recargas!$Q$39</f>
        <v>114.264308913041</v>
      </c>
      <c r="P70" s="7" t="n">
        <f aca="false">SUM(D70:O70)</f>
        <v>1049.39757654732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4" t="n">
        <f aca="false">parametros_recargas!C56</f>
        <v>1</v>
      </c>
      <c r="D71" s="25" t="n">
        <f aca="false">datos_base!$D$7*parametros_recargas!$F$39</f>
        <v>13.9266348151192</v>
      </c>
      <c r="E71" s="25" t="n">
        <f aca="false">datos_base!$D$7*parametros_recargas!$G$39</f>
        <v>14.6625022758881</v>
      </c>
      <c r="F71" s="25" t="n">
        <f aca="false">datos_base!$D$7*parametros_recargas!$H$39</f>
        <v>15.4372521319382</v>
      </c>
      <c r="G71" s="25" t="n">
        <f aca="false">datos_base!$D$7*parametros_recargas!$I$39</f>
        <v>16.2529388845804</v>
      </c>
      <c r="H71" s="25" t="n">
        <f aca="false">datos_base!$D$7*parametros_recargas!$J$39</f>
        <v>17.1117255926259</v>
      </c>
      <c r="I71" s="25" t="n">
        <f aca="false">datos_base!$D$7*parametros_recargas!$K$39</f>
        <v>18.0158896084403</v>
      </c>
      <c r="J71" s="25" t="n">
        <f aca="false">datos_base!$D$7*parametros_recargas!$L$39</f>
        <v>18.9678286170846</v>
      </c>
      <c r="K71" s="25" t="n">
        <f aca="false">datos_base!$D$7*parametros_recargas!$M$39</f>
        <v>19.9700669945568</v>
      </c>
      <c r="L71" s="25" t="n">
        <f aca="false">datos_base!$D$7*parametros_recargas!$N$39</f>
        <v>21.0252625019967</v>
      </c>
      <c r="M71" s="25" t="n">
        <f aca="false">datos_base!$D$7*parametros_recargas!$O$39</f>
        <v>22.1362133336037</v>
      </c>
      <c r="N71" s="25" t="n">
        <f aca="false">datos_base!$D$7*parametros_recargas!$P$39</f>
        <v>23.3058655369596</v>
      </c>
      <c r="O71" s="25" t="n">
        <f aca="false">datos_base!$D$7*parametros_recargas!$Q$39</f>
        <v>24.537320825432</v>
      </c>
      <c r="P71" s="7" t="n">
        <f aca="false">SUM(D71:O71)</f>
        <v>225.349501118225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4" t="n">
        <f aca="false">parametros_recargas!C57</f>
        <v>3</v>
      </c>
      <c r="D72" s="25" t="n">
        <f aca="false">datos_base!$D$8*parametros_recargas!$F$39</f>
        <v>7.23428654372549</v>
      </c>
      <c r="E72" s="25" t="n">
        <f aca="false">datos_base!$D$8*parametros_recargas!$G$39</f>
        <v>7.61653797345541</v>
      </c>
      <c r="F72" s="25" t="n">
        <f aca="false">datos_base!$D$8*parametros_recargas!$H$39</f>
        <v>8.01898713168936</v>
      </c>
      <c r="G72" s="25" t="n">
        <f aca="false">datos_base!$D$8*parametros_recargas!$I$39</f>
        <v>8.44270124330866</v>
      </c>
      <c r="H72" s="25" t="n">
        <f aca="false">datos_base!$D$8*parametros_recargas!$J$39</f>
        <v>8.88880392413714</v>
      </c>
      <c r="I72" s="25" t="n">
        <f aca="false">datos_base!$D$8*parametros_recargas!$K$39</f>
        <v>9.35847816057408</v>
      </c>
      <c r="J72" s="25" t="n">
        <f aca="false">datos_base!$D$8*parametros_recargas!$L$39</f>
        <v>9.85296944666758</v>
      </c>
      <c r="K72" s="25" t="n">
        <f aca="false">datos_base!$D$8*parametros_recargas!$M$39</f>
        <v>10.3735890869472</v>
      </c>
      <c r="L72" s="25" t="n">
        <f aca="false">datos_base!$D$8*parametros_recargas!$N$39</f>
        <v>10.9217176737745</v>
      </c>
      <c r="M72" s="25" t="n">
        <f aca="false">datos_base!$D$8*parametros_recargas!$O$39</f>
        <v>11.4988087484331</v>
      </c>
      <c r="N72" s="25" t="n">
        <f aca="false">datos_base!$D$8*parametros_recargas!$P$39</f>
        <v>12.1063926556661</v>
      </c>
      <c r="O72" s="25" t="n">
        <f aca="false">datos_base!$D$8*parametros_recargas!$Q$39</f>
        <v>12.7460806018829</v>
      </c>
      <c r="P72" s="7" t="n">
        <f aca="false">SUM(D72:O72)</f>
        <v>117.059353190262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4" t="n">
        <f aca="false">parametros_recargas!C58</f>
        <v>1</v>
      </c>
      <c r="D73" s="25" t="n">
        <f aca="false">datos_base!$D$9*parametros_recargas!$F$39</f>
        <v>3.90999875974507</v>
      </c>
      <c r="E73" s="25" t="n">
        <f aca="false">datos_base!$D$9*parametros_recargas!$G$39</f>
        <v>4.11659862375668</v>
      </c>
      <c r="F73" s="25" t="n">
        <f aca="false">datos_base!$D$9*parametros_recargas!$H$39</f>
        <v>4.33411498836903</v>
      </c>
      <c r="G73" s="25" t="n">
        <f aca="false">datos_base!$D$9*parametros_recargas!$I$39</f>
        <v>4.5631246689926</v>
      </c>
      <c r="H73" s="25" t="n">
        <f aca="false">datos_base!$D$9*parametros_recargas!$J$39</f>
        <v>4.80423495930466</v>
      </c>
      <c r="I73" s="25" t="n">
        <f aca="false">datos_base!$D$9*parametros_recargas!$K$39</f>
        <v>5.05808524168606</v>
      </c>
      <c r="J73" s="25" t="n">
        <f aca="false">datos_base!$D$9*parametros_recargas!$L$39</f>
        <v>5.32534868275161</v>
      </c>
      <c r="K73" s="25" t="n">
        <f aca="false">datos_base!$D$9*parametros_recargas!$M$39</f>
        <v>5.60673401847041</v>
      </c>
      <c r="L73" s="25" t="n">
        <f aca="false">datos_base!$D$9*parametros_recargas!$N$39</f>
        <v>5.90298743360981</v>
      </c>
      <c r="M73" s="25" t="n">
        <f aca="false">datos_base!$D$9*parametros_recargas!$O$39</f>
        <v>6.21489454048715</v>
      </c>
      <c r="N73" s="25" t="n">
        <f aca="false">datos_base!$D$9*parametros_recargas!$P$39</f>
        <v>6.54328246227639</v>
      </c>
      <c r="O73" s="25" t="n">
        <f aca="false">datos_base!$D$9*parametros_recargas!$Q$39</f>
        <v>6.88902202639432</v>
      </c>
      <c r="P73" s="7" t="n">
        <f aca="false">SUM(D73:O73)</f>
        <v>63.2684264058438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4" t="n">
        <f aca="false">parametros_recargas!C59</f>
        <v>1</v>
      </c>
      <c r="D74" s="25" t="n">
        <f aca="false">datos_base!$D$10*parametros_recargas!$F$39</f>
        <v>32.8406937870683</v>
      </c>
      <c r="E74" s="25" t="n">
        <f aca="false">datos_base!$D$10*parametros_recargas!$G$39</f>
        <v>34.5759584987373</v>
      </c>
      <c r="F74" s="25" t="n">
        <f aca="false">datos_base!$D$10*parametros_recargas!$H$39</f>
        <v>36.4029126137755</v>
      </c>
      <c r="G74" s="25" t="n">
        <f aca="false">datos_base!$D$10*parametros_recargas!$I$39</f>
        <v>38.3264008954248</v>
      </c>
      <c r="H74" s="25" t="n">
        <f aca="false">datos_base!$D$10*parametros_recargas!$J$39</f>
        <v>40.3515240986776</v>
      </c>
      <c r="I74" s="25" t="n">
        <f aca="false">datos_base!$D$10*parametros_recargas!$K$39</f>
        <v>42.4836524965884</v>
      </c>
      <c r="J74" s="25" t="n">
        <f aca="false">datos_base!$D$10*parametros_recargas!$L$39</f>
        <v>44.7284401212996</v>
      </c>
      <c r="K74" s="25" t="n">
        <f aca="false">datos_base!$D$10*parametros_recargas!$M$39</f>
        <v>47.0918397575478</v>
      </c>
      <c r="L74" s="25" t="n">
        <f aca="false">datos_base!$D$10*parametros_recargas!$N$39</f>
        <v>49.5801187284088</v>
      </c>
      <c r="M74" s="25" t="n">
        <f aca="false">datos_base!$D$10*parametros_recargas!$O$39</f>
        <v>52.1998755151442</v>
      </c>
      <c r="N74" s="25" t="n">
        <f aca="false">datos_base!$D$10*parametros_recargas!$P$39</f>
        <v>54.9580572552211</v>
      </c>
      <c r="O74" s="25" t="n">
        <f aca="false">datos_base!$D$10*parametros_recargas!$Q$39</f>
        <v>57.8619781649075</v>
      </c>
      <c r="P74" s="7" t="n">
        <f aca="false">SUM(D74:O74)</f>
        <v>531.401451932801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4" t="n">
        <f aca="false">parametros_recargas!C60</f>
        <v>1</v>
      </c>
      <c r="D75" s="25" t="n">
        <f aca="false">datos_base!$D$11*parametros_recargas!$F$39</f>
        <v>173.977626033057</v>
      </c>
      <c r="E75" s="25" t="n">
        <f aca="false">datos_base!$D$11*parametros_recargas!$G$39</f>
        <v>183.170404877272</v>
      </c>
      <c r="F75" s="25" t="n">
        <f aca="false">datos_base!$D$11*parametros_recargas!$H$39</f>
        <v>192.848919645156</v>
      </c>
      <c r="G75" s="25" t="n">
        <f aca="false">datos_base!$D$11*parametros_recargas!$I$39</f>
        <v>203.038836067552</v>
      </c>
      <c r="H75" s="25" t="n">
        <f aca="false">datos_base!$D$11*parametros_recargas!$J$39</f>
        <v>213.767176023181</v>
      </c>
      <c r="I75" s="25" t="n">
        <f aca="false">datos_base!$D$11*parametros_recargas!$K$39</f>
        <v>225.062389195939</v>
      </c>
      <c r="J75" s="25" t="n">
        <f aca="false">datos_base!$D$11*parametros_recargas!$L$39</f>
        <v>236.954428518489</v>
      </c>
      <c r="K75" s="25" t="n">
        <f aca="false">datos_base!$D$11*parametros_recargas!$M$39</f>
        <v>249.474829602212</v>
      </c>
      <c r="L75" s="25" t="n">
        <f aca="false">datos_base!$D$11*parametros_recargas!$N$39</f>
        <v>262.65679436414</v>
      </c>
      <c r="M75" s="25" t="n">
        <f aca="false">datos_base!$D$11*parametros_recargas!$O$39</f>
        <v>276.535279072635</v>
      </c>
      <c r="N75" s="25" t="n">
        <f aca="false">datos_base!$D$11*parametros_recargas!$P$39</f>
        <v>291.147087045318</v>
      </c>
      <c r="O75" s="25" t="n">
        <f aca="false">datos_base!$D$11*parametros_recargas!$Q$39</f>
        <v>306.53096624503</v>
      </c>
      <c r="P75" s="7" t="n">
        <f aca="false">SUM(D75:O75)</f>
        <v>2815.16473668998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4" t="n">
        <f aca="false">parametros_recargas!C61</f>
        <v>1</v>
      </c>
      <c r="D76" s="25" t="n">
        <f aca="false">datos_base!$D$12*parametros_recargas!$F$39</f>
        <v>60.5098252935715</v>
      </c>
      <c r="E76" s="25" t="n">
        <f aca="false">datos_base!$D$12*parametros_recargas!$G$39</f>
        <v>63.7070952788524</v>
      </c>
      <c r="F76" s="25" t="n">
        <f aca="false">datos_base!$D$12*parametros_recargas!$H$39</f>
        <v>67.0733053545928</v>
      </c>
      <c r="G76" s="25" t="n">
        <f aca="false">datos_base!$D$12*parametros_recargas!$I$39</f>
        <v>70.6173821220167</v>
      </c>
      <c r="H76" s="25" t="n">
        <f aca="false">datos_base!$D$12*parametros_recargas!$J$39</f>
        <v>74.3487238537507</v>
      </c>
      <c r="I76" s="25" t="n">
        <f aca="false">datos_base!$D$12*parametros_recargas!$K$39</f>
        <v>78.2772254164018</v>
      </c>
      <c r="J76" s="25" t="n">
        <f aca="false">datos_base!$D$12*parametros_recargas!$L$39</f>
        <v>82.413304510015</v>
      </c>
      <c r="K76" s="25" t="n">
        <f aca="false">datos_base!$D$12*parametros_recargas!$M$39</f>
        <v>86.7679292939951</v>
      </c>
      <c r="L76" s="25" t="n">
        <f aca="false">datos_base!$D$12*parametros_recargas!$N$39</f>
        <v>91.3526474727492</v>
      </c>
      <c r="M76" s="25" t="n">
        <f aca="false">datos_base!$D$12*parametros_recargas!$O$39</f>
        <v>96.1796169181824</v>
      </c>
      <c r="N76" s="25" t="n">
        <f aca="false">datos_base!$D$12*parametros_recargas!$P$39</f>
        <v>101.261637910251</v>
      </c>
      <c r="O76" s="25" t="n">
        <f aca="false">datos_base!$D$12*parametros_recargas!$Q$39</f>
        <v>106.612187081068</v>
      </c>
      <c r="P76" s="7" t="n">
        <f aca="false">SUM(D76:O76)</f>
        <v>979.120880505447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4" t="n">
        <f aca="false">parametros_recargas!C62</f>
        <v>1</v>
      </c>
      <c r="D77" s="25" t="n">
        <f aca="false">datos_base!$D$13*parametros_recargas!$F$39</f>
        <v>10.1545989884375</v>
      </c>
      <c r="E77" s="25" t="n">
        <f aca="false">datos_base!$D$13*parametros_recargas!$G$39</f>
        <v>10.6911563888395</v>
      </c>
      <c r="F77" s="25" t="n">
        <f aca="false">datos_base!$D$13*parametros_recargas!$H$39</f>
        <v>11.2560648688118</v>
      </c>
      <c r="G77" s="25" t="n">
        <f aca="false">datos_base!$D$13*parametros_recargas!$I$39</f>
        <v>11.850822466984</v>
      </c>
      <c r="H77" s="25" t="n">
        <f aca="false">datos_base!$D$13*parametros_recargas!$J$39</f>
        <v>12.4770063766342</v>
      </c>
      <c r="I77" s="25" t="n">
        <f aca="false">datos_base!$D$13*parametros_recargas!$K$39</f>
        <v>13.13627712813</v>
      </c>
      <c r="J77" s="25" t="n">
        <f aca="false">datos_base!$D$13*parametros_recargas!$L$39</f>
        <v>13.830382992365</v>
      </c>
      <c r="K77" s="25" t="n">
        <f aca="false">datos_base!$D$13*parametros_recargas!$M$39</f>
        <v>14.561164616868</v>
      </c>
      <c r="L77" s="25" t="n">
        <f aca="false">datos_base!$D$13*parametros_recargas!$N$39</f>
        <v>15.3305599068788</v>
      </c>
      <c r="M77" s="25" t="n">
        <f aca="false">datos_base!$D$13*parametros_recargas!$O$39</f>
        <v>16.1406091643342</v>
      </c>
      <c r="N77" s="25" t="n">
        <f aca="false">datos_base!$D$13*parametros_recargas!$P$39</f>
        <v>16.9934604983928</v>
      </c>
      <c r="O77" s="25" t="n">
        <f aca="false">datos_base!$D$13*parametros_recargas!$Q$39</f>
        <v>17.8913755218451</v>
      </c>
      <c r="P77" s="7" t="n">
        <f aca="false">SUM(D77:O77)</f>
        <v>164.313478918521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4" t="n">
        <f aca="false">parametros_recargas!C63</f>
        <v>1</v>
      </c>
      <c r="D78" s="25" t="n">
        <f aca="false">datos_base!$D$14*parametros_recargas!$F$39</f>
        <v>3.90999875974507</v>
      </c>
      <c r="E78" s="25" t="n">
        <f aca="false">datos_base!$D$14*parametros_recargas!$G$39</f>
        <v>4.11659862375668</v>
      </c>
      <c r="F78" s="25" t="n">
        <f aca="false">datos_base!$D$14*parametros_recargas!$H$39</f>
        <v>4.33411498836903</v>
      </c>
      <c r="G78" s="25" t="n">
        <f aca="false">datos_base!$D$14*parametros_recargas!$I$39</f>
        <v>4.5631246689926</v>
      </c>
      <c r="H78" s="25" t="n">
        <f aca="false">datos_base!$D$14*parametros_recargas!$J$39</f>
        <v>4.80423495930466</v>
      </c>
      <c r="I78" s="25" t="n">
        <f aca="false">datos_base!$D$14*parametros_recargas!$K$39</f>
        <v>5.05808524168606</v>
      </c>
      <c r="J78" s="25" t="n">
        <f aca="false">datos_base!$D$14*parametros_recargas!$L$39</f>
        <v>5.32534868275161</v>
      </c>
      <c r="K78" s="25" t="n">
        <f aca="false">datos_base!$D$14*parametros_recargas!$M$39</f>
        <v>5.60673401847041</v>
      </c>
      <c r="L78" s="25" t="n">
        <f aca="false">datos_base!$D$14*parametros_recargas!$N$39</f>
        <v>5.90298743360981</v>
      </c>
      <c r="M78" s="25" t="n">
        <f aca="false">datos_base!$D$14*parametros_recargas!$O$39</f>
        <v>6.21489454048715</v>
      </c>
      <c r="N78" s="25" t="n">
        <f aca="false">datos_base!$D$14*parametros_recargas!$P$39</f>
        <v>6.54328246227639</v>
      </c>
      <c r="O78" s="25" t="n">
        <f aca="false">datos_base!$D$14*parametros_recargas!$Q$39</f>
        <v>6.88902202639432</v>
      </c>
      <c r="P78" s="7" t="n">
        <f aca="false">SUM(D78:O78)</f>
        <v>63.2684264058438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4" t="n">
        <f aca="false">parametros_recargas!C64</f>
        <v>3</v>
      </c>
      <c r="D79" s="25" t="n">
        <f aca="false">datos_base!$D$15*parametros_recargas!$F$39</f>
        <v>8.21984968427714</v>
      </c>
      <c r="E79" s="25" t="n">
        <f aca="false">datos_base!$D$15*parametros_recargas!$G$39</f>
        <v>8.65417714352123</v>
      </c>
      <c r="F79" s="25" t="n">
        <f aca="false">datos_base!$D$15*parametros_recargas!$H$39</f>
        <v>9.11145396912833</v>
      </c>
      <c r="G79" s="25" t="n">
        <f aca="false">datos_base!$D$15*parametros_recargas!$I$39</f>
        <v>9.59289277937818</v>
      </c>
      <c r="H79" s="25" t="n">
        <f aca="false">datos_base!$D$15*parametros_recargas!$J$39</f>
        <v>10.0997702659139</v>
      </c>
      <c r="I79" s="25" t="n">
        <f aca="false">datos_base!$D$15*parametros_recargas!$K$39</f>
        <v>10.6334305793056</v>
      </c>
      <c r="J79" s="25" t="n">
        <f aca="false">datos_base!$D$15*parametros_recargas!$L$39</f>
        <v>11.1952888935023</v>
      </c>
      <c r="K79" s="25" t="n">
        <f aca="false">datos_base!$D$15*parametros_recargas!$M$39</f>
        <v>11.7868351586267</v>
      </c>
      <c r="L79" s="25" t="n">
        <f aca="false">datos_base!$D$15*parametros_recargas!$N$39</f>
        <v>12.4096380520625</v>
      </c>
      <c r="M79" s="25" t="n">
        <f aca="false">datos_base!$D$15*parametros_recargas!$O$39</f>
        <v>13.0653491383127</v>
      </c>
      <c r="N79" s="25" t="n">
        <f aca="false">datos_base!$D$15*parametros_recargas!$P$39</f>
        <v>13.7557072486605</v>
      </c>
      <c r="O79" s="25" t="n">
        <f aca="false">datos_base!$D$15*parametros_recargas!$Q$39</f>
        <v>14.4825430922458</v>
      </c>
      <c r="P79" s="7" t="n">
        <f aca="false">SUM(D79:O79)</f>
        <v>133.006936004935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4" t="n">
        <f aca="false">parametros_recargas!C65</f>
        <v>3</v>
      </c>
      <c r="D80" s="25" t="n">
        <f aca="false">datos_base!$D$16*parametros_recargas!$F$39</f>
        <v>18.083669331802</v>
      </c>
      <c r="E80" s="25" t="n">
        <f aca="false">datos_base!$D$16*parametros_recargas!$G$39</f>
        <v>19.0391897435335</v>
      </c>
      <c r="F80" s="25" t="n">
        <f aca="false">datos_base!$D$16*parametros_recargas!$H$39</f>
        <v>20.0451987613374</v>
      </c>
      <c r="G80" s="25" t="n">
        <f aca="false">datos_base!$D$16*parametros_recargas!$I$39</f>
        <v>21.1043641454328</v>
      </c>
      <c r="H80" s="25" t="n">
        <f aca="false">datos_base!$D$16*parametros_recargas!$J$39</f>
        <v>22.219494617439</v>
      </c>
      <c r="I80" s="25" t="n">
        <f aca="false">datos_base!$D$16*parametros_recargas!$K$39</f>
        <v>23.393547308614</v>
      </c>
      <c r="J80" s="25" t="n">
        <f aca="false">datos_base!$D$16*parametros_recargas!$L$39</f>
        <v>24.6296356016508</v>
      </c>
      <c r="K80" s="25" t="n">
        <f aca="false">datos_base!$D$16*parametros_recargas!$M$39</f>
        <v>25.9310373868238</v>
      </c>
      <c r="L80" s="25" t="n">
        <f aca="false">datos_base!$D$16*parametros_recargas!$N$39</f>
        <v>27.3012037543823</v>
      </c>
      <c r="M80" s="25" t="n">
        <f aca="false">datos_base!$D$16*parametros_recargas!$O$39</f>
        <v>28.7437681462382</v>
      </c>
      <c r="N80" s="25" t="n">
        <f aca="false">datos_base!$D$16*parametros_recargas!$P$39</f>
        <v>30.2625559912199</v>
      </c>
      <c r="O80" s="25" t="n">
        <f aca="false">datos_base!$D$16*parametros_recargas!$Q$39</f>
        <v>31.8615948494413</v>
      </c>
      <c r="P80" s="7" t="n">
        <f aca="false">SUM(D80:O80)</f>
        <v>292.615259637915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4" t="n">
        <f aca="false">parametros_recargas!C66</f>
        <v>3</v>
      </c>
      <c r="D81" s="25" t="n">
        <f aca="false">datos_base!$D$17*parametros_recargas!$F$39</f>
        <v>3.94552784141509</v>
      </c>
      <c r="E81" s="25" t="n">
        <f aca="false">datos_base!$D$17*parametros_recargas!$G$39</f>
        <v>4.15400502148038</v>
      </c>
      <c r="F81" s="25" t="n">
        <f aca="false">datos_base!$D$17*parametros_recargas!$H$39</f>
        <v>4.37349789738026</v>
      </c>
      <c r="G81" s="25" t="n">
        <f aca="false">datos_base!$D$17*parametros_recargas!$I$39</f>
        <v>4.60458852588797</v>
      </c>
      <c r="H81" s="25" t="n">
        <f aca="false">datos_base!$D$17*parametros_recargas!$J$39</f>
        <v>4.84788971899115</v>
      </c>
      <c r="I81" s="25" t="n">
        <f aca="false">datos_base!$D$17*parametros_recargas!$K$39</f>
        <v>5.1040466689622</v>
      </c>
      <c r="J81" s="25" t="n">
        <f aca="false">datos_base!$D$17*parametros_recargas!$L$39</f>
        <v>5.37373865929554</v>
      </c>
      <c r="K81" s="25" t="n">
        <f aca="false">datos_base!$D$17*parametros_recargas!$M$39</f>
        <v>5.65768086604878</v>
      </c>
      <c r="L81" s="25" t="n">
        <f aca="false">datos_base!$D$17*parametros_recargas!$N$39</f>
        <v>5.95662625436471</v>
      </c>
      <c r="M81" s="25" t="n">
        <f aca="false">datos_base!$D$17*parametros_recargas!$O$39</f>
        <v>6.2713675752034</v>
      </c>
      <c r="N81" s="25" t="n">
        <f aca="false">datos_base!$D$17*parametros_recargas!$P$39</f>
        <v>6.60273946757924</v>
      </c>
      <c r="O81" s="25" t="n">
        <f aca="false">datos_base!$D$17*parametros_recargas!$Q$39</f>
        <v>6.95162067187787</v>
      </c>
      <c r="P81" s="7" t="n">
        <f aca="false">SUM(D81:O81)</f>
        <v>63.8433291684866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4" t="n">
        <f aca="false">parametros_recargas!C67</f>
        <v>3</v>
      </c>
      <c r="D82" s="25" t="n">
        <f aca="false">datos_base!$D$18*parametros_recargas!$F$39</f>
        <v>2.63035192360146</v>
      </c>
      <c r="E82" s="25" t="n">
        <f aca="false">datos_base!$D$18*parametros_recargas!$G$39</f>
        <v>2.76933671186113</v>
      </c>
      <c r="F82" s="25" t="n">
        <f aca="false">datos_base!$D$18*parametros_recargas!$H$39</f>
        <v>2.91566529742575</v>
      </c>
      <c r="G82" s="25" t="n">
        <f aca="false">datos_base!$D$18*parametros_recargas!$I$39</f>
        <v>3.06972571814845</v>
      </c>
      <c r="H82" s="25" t="n">
        <f aca="false">datos_base!$D$18*parametros_recargas!$J$39</f>
        <v>3.23192651535888</v>
      </c>
      <c r="I82" s="25" t="n">
        <f aca="false">datos_base!$D$18*parametros_recargas!$K$39</f>
        <v>3.40269781724344</v>
      </c>
      <c r="J82" s="25" t="n">
        <f aca="false">datos_base!$D$18*parametros_recargas!$L$39</f>
        <v>3.58249247947012</v>
      </c>
      <c r="K82" s="25" t="n">
        <f aca="false">datos_base!$D$18*parametros_recargas!$M$39</f>
        <v>3.77178728608265</v>
      </c>
      <c r="L82" s="25" t="n">
        <f aca="false">datos_base!$D$18*parametros_recargas!$N$39</f>
        <v>3.97108421384849</v>
      </c>
      <c r="M82" s="25" t="n">
        <f aca="false">datos_base!$D$18*parametros_recargas!$O$39</f>
        <v>4.18091176341356</v>
      </c>
      <c r="N82" s="25" t="n">
        <f aca="false">datos_base!$D$18*parametros_recargas!$P$39</f>
        <v>4.40182636079368</v>
      </c>
      <c r="O82" s="25" t="n">
        <f aca="false">datos_base!$D$18*parametros_recargas!$Q$39</f>
        <v>4.63441383291912</v>
      </c>
      <c r="P82" s="7" t="n">
        <f aca="false">SUM(D82:O82)</f>
        <v>42.5622199201667</v>
      </c>
    </row>
    <row r="83" customFormat="false" ht="15" hidden="false" customHeight="false" outlineLevel="0" collapsed="false">
      <c r="A83" s="6" t="s">
        <v>272</v>
      </c>
      <c r="D83" s="7" t="n">
        <f aca="false">SUM(D66:D82)</f>
        <v>2704.46120786202</v>
      </c>
      <c r="E83" s="7" t="n">
        <f aca="false">SUM(E66:E82)</f>
        <v>2847.36184597001</v>
      </c>
      <c r="F83" s="7" t="n">
        <f aca="false">SUM(F66:F82)</f>
        <v>2997.81319041177</v>
      </c>
      <c r="G83" s="7" t="n">
        <f aca="false">SUM(G66:G82)</f>
        <v>3156.21421187698</v>
      </c>
      <c r="H83" s="7" t="n">
        <f aca="false">SUM(H66:H82)</f>
        <v>3322.98496221037</v>
      </c>
      <c r="I83" s="7" t="n">
        <f aca="false">SUM(I66:I82)</f>
        <v>3498.56768831591</v>
      </c>
      <c r="J83" s="7" t="n">
        <f aca="false">SUM(J66:J82)</f>
        <v>3683.42800491832</v>
      </c>
      <c r="K83" s="7" t="n">
        <f aca="false">SUM(K66:K82)</f>
        <v>3878.05612929203</v>
      </c>
      <c r="L83" s="7" t="n">
        <f aca="false">SUM(L66:L82)</f>
        <v>4082.96818123176</v>
      </c>
      <c r="M83" s="7" t="n">
        <f aca="false">SUM(M66:M82)</f>
        <v>4298.70755171208</v>
      </c>
      <c r="N83" s="7" t="n">
        <f aca="false">SUM(N66:N82)</f>
        <v>4525.84634386539</v>
      </c>
      <c r="O83" s="7" t="n">
        <f aca="false">SUM(O66:O82)</f>
        <v>4764.98689009948</v>
      </c>
      <c r="P83" s="7" t="n">
        <f aca="false">SUM(P66:P82)</f>
        <v>43761.3962077661</v>
      </c>
    </row>
    <row r="84" customFormat="false" ht="15" hidden="false" customHeight="false" outlineLevel="0" collapsed="false">
      <c r="A84" s="6" t="s">
        <v>273</v>
      </c>
    </row>
    <row r="85" customFormat="false" ht="15" hidden="false" customHeight="false" outlineLevel="0" collapsed="false">
      <c r="A85" s="4" t="s">
        <v>143</v>
      </c>
      <c r="D85" s="25" t="n">
        <f aca="false">SUMPRODUCT(($B$66:$B$82=$A85)*D$66:D$82*$C$66:$C$82)</f>
        <v>2398.90340621835</v>
      </c>
      <c r="E85" s="25" t="n">
        <f aca="false">SUMPRODUCT(($B$66:$B$82=$A85)*E$66:E$82*$C$66:$C$82)</f>
        <v>2525.65871944357</v>
      </c>
      <c r="F85" s="25" t="n">
        <f aca="false">SUMPRODUCT(($B$66:$B$82=$A85)*F$66:F$82*$C$66:$C$82)</f>
        <v>2659.11163849535</v>
      </c>
      <c r="G85" s="25" t="n">
        <f aca="false">SUMPRODUCT(($B$66:$B$82=$A85)*G$66:G$82*$C$66:$C$82)</f>
        <v>2799.61605720792</v>
      </c>
      <c r="H85" s="25" t="n">
        <f aca="false">SUMPRODUCT(($B$66:$B$82=$A85)*H$66:H$82*$C$66:$C$82)</f>
        <v>2947.5445687611</v>
      </c>
      <c r="I85" s="25" t="n">
        <f aca="false">SUMPRODUCT(($B$66:$B$82=$A85)*I$66:I$82*$C$66:$C$82)</f>
        <v>3103.28945373235</v>
      </c>
      <c r="J85" s="25" t="n">
        <f aca="false">SUMPRODUCT(($B$66:$B$82=$A85)*J$66:J$82*$C$66:$C$82)</f>
        <v>3267.26372035631</v>
      </c>
      <c r="K85" s="25" t="n">
        <f aca="false">SUMPRODUCT(($B$66:$B$82=$A85)*K$66:K$82*$C$66:$C$82)</f>
        <v>3439.90219975054</v>
      </c>
      <c r="L85" s="25" t="n">
        <f aca="false">SUMPRODUCT(($B$66:$B$82=$A85)*L$66:L$82*$C$66:$C$82)</f>
        <v>3621.66269901169</v>
      </c>
      <c r="M85" s="25" t="n">
        <f aca="false">SUMPRODUCT(($B$66:$B$82=$A85)*M$66:M$82*$C$66:$C$82)</f>
        <v>3813.02721523996</v>
      </c>
      <c r="N85" s="25" t="n">
        <f aca="false">SUMPRODUCT(($B$66:$B$82=$A85)*N$66:N$82*$C$66:$C$82)</f>
        <v>4014.50321371126</v>
      </c>
      <c r="O85" s="25" t="n">
        <f aca="false">SUMPRODUCT(($B$66:$B$82=$A85)*O$66:O$82*$C$66:$C$82)</f>
        <v>4226.62497358646</v>
      </c>
      <c r="P85" s="25" t="n">
        <f aca="false">SUMPRODUCT(($B$66:$B$82=$A85)*P$66:P$82*$C$66:$C$82)</f>
        <v>38817.1078655149</v>
      </c>
    </row>
    <row r="86" customFormat="false" ht="15" hidden="false" customHeight="false" outlineLevel="0" collapsed="false">
      <c r="A86" s="4" t="s">
        <v>149</v>
      </c>
      <c r="D86" s="25" t="n">
        <f aca="false">SUMPRODUCT(($B$66:$B$82=$A86)*D$66:D$82*$C$66:$C$82)</f>
        <v>3.90999875974507</v>
      </c>
      <c r="E86" s="25" t="n">
        <f aca="false">SUMPRODUCT(($B$66:$B$82=$A86)*E$66:E$82*$C$66:$C$82)</f>
        <v>4.11659862375668</v>
      </c>
      <c r="F86" s="25" t="n">
        <f aca="false">SUMPRODUCT(($B$66:$B$82=$A86)*F$66:F$82*$C$66:$C$82)</f>
        <v>4.33411498836903</v>
      </c>
      <c r="G86" s="25" t="n">
        <f aca="false">SUMPRODUCT(($B$66:$B$82=$A86)*G$66:G$82*$C$66:$C$82)</f>
        <v>4.5631246689926</v>
      </c>
      <c r="H86" s="25" t="n">
        <f aca="false">SUMPRODUCT(($B$66:$B$82=$A86)*H$66:H$82*$C$66:$C$82)</f>
        <v>4.80423495930466</v>
      </c>
      <c r="I86" s="25" t="n">
        <f aca="false">SUMPRODUCT(($B$66:$B$82=$A86)*I$66:I$82*$C$66:$C$82)</f>
        <v>5.05808524168606</v>
      </c>
      <c r="J86" s="25" t="n">
        <f aca="false">SUMPRODUCT(($B$66:$B$82=$A86)*J$66:J$82*$C$66:$C$82)</f>
        <v>5.32534868275161</v>
      </c>
      <c r="K86" s="25" t="n">
        <f aca="false">SUMPRODUCT(($B$66:$B$82=$A86)*K$66:K$82*$C$66:$C$82)</f>
        <v>5.60673401847041</v>
      </c>
      <c r="L86" s="25" t="n">
        <f aca="false">SUMPRODUCT(($B$66:$B$82=$A86)*L$66:L$82*$C$66:$C$82)</f>
        <v>5.90298743360981</v>
      </c>
      <c r="M86" s="25" t="n">
        <f aca="false">SUMPRODUCT(($B$66:$B$82=$A86)*M$66:M$82*$C$66:$C$82)</f>
        <v>6.21489454048715</v>
      </c>
      <c r="N86" s="25" t="n">
        <f aca="false">SUMPRODUCT(($B$66:$B$82=$A86)*N$66:N$82*$C$66:$C$82)</f>
        <v>6.54328246227639</v>
      </c>
      <c r="O86" s="25" t="n">
        <f aca="false">SUMPRODUCT(($B$66:$B$82=$A86)*O$66:O$82*$C$66:$C$82)</f>
        <v>6.88902202639432</v>
      </c>
      <c r="P86" s="25" t="n">
        <f aca="false">SUMPRODUCT(($B$66:$B$82=$A86)*P$66:P$82*$C$66:$C$82)</f>
        <v>63.2684264058438</v>
      </c>
    </row>
    <row r="87" customFormat="false" ht="15" hidden="false" customHeight="false" outlineLevel="0" collapsed="false">
      <c r="A87" s="4" t="s">
        <v>155</v>
      </c>
      <c r="D87" s="25" t="n">
        <f aca="false">SUMPRODUCT(($B$66:$B$82=$A87)*D$66:D$82*$C$66:$C$82)</f>
        <v>3.90999875974507</v>
      </c>
      <c r="E87" s="25" t="n">
        <f aca="false">SUMPRODUCT(($B$66:$B$82=$A87)*E$66:E$82*$C$66:$C$82)</f>
        <v>4.11659862375668</v>
      </c>
      <c r="F87" s="25" t="n">
        <f aca="false">SUMPRODUCT(($B$66:$B$82=$A87)*F$66:F$82*$C$66:$C$82)</f>
        <v>4.33411498836903</v>
      </c>
      <c r="G87" s="25" t="n">
        <f aca="false">SUMPRODUCT(($B$66:$B$82=$A87)*G$66:G$82*$C$66:$C$82)</f>
        <v>4.5631246689926</v>
      </c>
      <c r="H87" s="25" t="n">
        <f aca="false">SUMPRODUCT(($B$66:$B$82=$A87)*H$66:H$82*$C$66:$C$82)</f>
        <v>4.80423495930466</v>
      </c>
      <c r="I87" s="25" t="n">
        <f aca="false">SUMPRODUCT(($B$66:$B$82=$A87)*I$66:I$82*$C$66:$C$82)</f>
        <v>5.05808524168606</v>
      </c>
      <c r="J87" s="25" t="n">
        <f aca="false">SUMPRODUCT(($B$66:$B$82=$A87)*J$66:J$82*$C$66:$C$82)</f>
        <v>5.32534868275161</v>
      </c>
      <c r="K87" s="25" t="n">
        <f aca="false">SUMPRODUCT(($B$66:$B$82=$A87)*K$66:K$82*$C$66:$C$82)</f>
        <v>5.60673401847041</v>
      </c>
      <c r="L87" s="25" t="n">
        <f aca="false">SUMPRODUCT(($B$66:$B$82=$A87)*L$66:L$82*$C$66:$C$82)</f>
        <v>5.90298743360981</v>
      </c>
      <c r="M87" s="25" t="n">
        <f aca="false">SUMPRODUCT(($B$66:$B$82=$A87)*M$66:M$82*$C$66:$C$82)</f>
        <v>6.21489454048715</v>
      </c>
      <c r="N87" s="25" t="n">
        <f aca="false">SUMPRODUCT(($B$66:$B$82=$A87)*N$66:N$82*$C$66:$C$82)</f>
        <v>6.54328246227639</v>
      </c>
      <c r="O87" s="25" t="n">
        <f aca="false">SUMPRODUCT(($B$66:$B$82=$A87)*O$66:O$82*$C$66:$C$82)</f>
        <v>6.88902202639432</v>
      </c>
      <c r="P87" s="25" t="n">
        <f aca="false">SUMPRODUCT(($B$66:$B$82=$A87)*P$66:P$82*$C$66:$C$82)</f>
        <v>63.2684264058438</v>
      </c>
    </row>
    <row r="88" customFormat="false" ht="15" hidden="false" customHeight="false" outlineLevel="0" collapsed="false">
      <c r="A88" s="4" t="s">
        <v>146</v>
      </c>
      <c r="D88" s="25" t="n">
        <f aca="false">SUMPRODUCT(($B$66:$B$82=$A88)*D$66:D$82*$C$66:$C$82)</f>
        <v>64.8529362253985</v>
      </c>
      <c r="E88" s="25" t="n">
        <f aca="false">SUMPRODUCT(($B$66:$B$82=$A88)*E$66:E$82*$C$66:$C$82)</f>
        <v>68.2796912266699</v>
      </c>
      <c r="F88" s="25" t="n">
        <f aca="false">SUMPRODUCT(($B$66:$B$82=$A88)*F$66:F$82*$C$66:$C$82)</f>
        <v>71.8875120442666</v>
      </c>
      <c r="G88" s="25" t="n">
        <f aca="false">SUMPRODUCT(($B$66:$B$82=$A88)*G$66:G$82*$C$66:$C$82)</f>
        <v>75.6859659889035</v>
      </c>
      <c r="H88" s="25" t="n">
        <f aca="false">SUMPRODUCT(($B$66:$B$82=$A88)*H$66:H$82*$C$66:$C$82)</f>
        <v>79.6851258970552</v>
      </c>
      <c r="I88" s="25" t="n">
        <f aca="false">SUMPRODUCT(($B$66:$B$82=$A88)*I$66:I$82*$C$66:$C$82)</f>
        <v>83.8955968423589</v>
      </c>
      <c r="J88" s="25" t="n">
        <f aca="false">SUMPRODUCT(($B$66:$B$82=$A88)*J$66:J$82*$C$66:$C$82)</f>
        <v>88.3285442584177</v>
      </c>
      <c r="K88" s="25" t="n">
        <f aca="false">SUMPRODUCT(($B$66:$B$82=$A88)*K$66:K$82*$C$66:$C$82)</f>
        <v>92.9957235475802</v>
      </c>
      <c r="L88" s="25" t="n">
        <f aca="false">SUMPRODUCT(($B$66:$B$82=$A88)*L$66:L$82*$C$66:$C$82)</f>
        <v>97.9095112542149</v>
      </c>
      <c r="M88" s="25" t="n">
        <f aca="false">SUMPRODUCT(($B$66:$B$82=$A88)*M$66:M$82*$C$66:$C$82)</f>
        <v>103.082937885144</v>
      </c>
      <c r="N88" s="25" t="n">
        <f aca="false">SUMPRODUCT(($B$66:$B$82=$A88)*N$66:N$82*$C$66:$C$82)</f>
        <v>108.529722464272</v>
      </c>
      <c r="O88" s="25" t="n">
        <f aca="false">SUMPRODUCT(($B$66:$B$82=$A88)*O$66:O$82*$C$66:$C$82)</f>
        <v>114.264308913041</v>
      </c>
      <c r="P88" s="25" t="n">
        <f aca="false">SUMPRODUCT(($B$66:$B$82=$A88)*P$66:P$82*$C$66:$C$82)</f>
        <v>1049.39757654732</v>
      </c>
    </row>
    <row r="89" customFormat="false" ht="15" hidden="false" customHeight="false" outlineLevel="0" collapsed="false">
      <c r="A89" s="4" t="s">
        <v>147</v>
      </c>
      <c r="D89" s="25" t="n">
        <f aca="false">SUMPRODUCT(($B$66:$B$82=$A89)*D$66:D$82*$C$66:$C$82)</f>
        <v>35.6294944462956</v>
      </c>
      <c r="E89" s="25" t="n">
        <f aca="false">SUMPRODUCT(($B$66:$B$82=$A89)*E$66:E$82*$C$66:$C$82)</f>
        <v>37.5121161962543</v>
      </c>
      <c r="F89" s="25" t="n">
        <f aca="false">SUMPRODUCT(($B$66:$B$82=$A89)*F$66:F$82*$C$66:$C$82)</f>
        <v>39.4942135270062</v>
      </c>
      <c r="G89" s="25" t="n">
        <f aca="false">SUMPRODUCT(($B$66:$B$82=$A89)*G$66:G$82*$C$66:$C$82)</f>
        <v>41.5810426145063</v>
      </c>
      <c r="H89" s="25" t="n">
        <f aca="false">SUMPRODUCT(($B$66:$B$82=$A89)*H$66:H$82*$C$66:$C$82)</f>
        <v>43.7781373650373</v>
      </c>
      <c r="I89" s="25" t="n">
        <f aca="false">SUMPRODUCT(($B$66:$B$82=$A89)*I$66:I$82*$C$66:$C$82)</f>
        <v>46.0913240901626</v>
      </c>
      <c r="J89" s="25" t="n">
        <f aca="false">SUMPRODUCT(($B$66:$B$82=$A89)*J$66:J$82*$C$66:$C$82)</f>
        <v>48.5267369570873</v>
      </c>
      <c r="K89" s="25" t="n">
        <f aca="false">SUMPRODUCT(($B$66:$B$82=$A89)*K$66:K$82*$C$66:$C$82)</f>
        <v>51.0908342553983</v>
      </c>
      <c r="L89" s="25" t="n">
        <f aca="false">SUMPRODUCT(($B$66:$B$82=$A89)*L$66:L$82*$C$66:$C$82)</f>
        <v>53.7904155233202</v>
      </c>
      <c r="M89" s="25" t="n">
        <f aca="false">SUMPRODUCT(($B$66:$B$82=$A89)*M$66:M$82*$C$66:$C$82)</f>
        <v>56.632639578903</v>
      </c>
      <c r="N89" s="25" t="n">
        <f aca="false">SUMPRODUCT(($B$66:$B$82=$A89)*N$66:N$82*$C$66:$C$82)</f>
        <v>59.6250435039577</v>
      </c>
      <c r="O89" s="25" t="n">
        <f aca="false">SUMPRODUCT(($B$66:$B$82=$A89)*O$66:O$82*$C$66:$C$82)</f>
        <v>62.7755626310809</v>
      </c>
      <c r="P89" s="25" t="n">
        <f aca="false">SUMPRODUCT(($B$66:$B$82=$A89)*P$66:P$82*$C$66:$C$82)</f>
        <v>576.52756068901</v>
      </c>
    </row>
    <row r="90" customFormat="false" ht="15" hidden="false" customHeight="false" outlineLevel="0" collapsed="false">
      <c r="A90" s="4" t="s">
        <v>150</v>
      </c>
      <c r="D90" s="25" t="n">
        <f aca="false">SUMPRODUCT(($B$66:$B$82=$A90)*D$66:D$82*$C$66:$C$82)</f>
        <v>32.8406937870683</v>
      </c>
      <c r="E90" s="25" t="n">
        <f aca="false">SUMPRODUCT(($B$66:$B$82=$A90)*E$66:E$82*$C$66:$C$82)</f>
        <v>34.5759584987373</v>
      </c>
      <c r="F90" s="25" t="n">
        <f aca="false">SUMPRODUCT(($B$66:$B$82=$A90)*F$66:F$82*$C$66:$C$82)</f>
        <v>36.4029126137755</v>
      </c>
      <c r="G90" s="25" t="n">
        <f aca="false">SUMPRODUCT(($B$66:$B$82=$A90)*G$66:G$82*$C$66:$C$82)</f>
        <v>38.3264008954248</v>
      </c>
      <c r="H90" s="25" t="n">
        <f aca="false">SUMPRODUCT(($B$66:$B$82=$A90)*H$66:H$82*$C$66:$C$82)</f>
        <v>40.3515240986776</v>
      </c>
      <c r="I90" s="25" t="n">
        <f aca="false">SUMPRODUCT(($B$66:$B$82=$A90)*I$66:I$82*$C$66:$C$82)</f>
        <v>42.4836524965884</v>
      </c>
      <c r="J90" s="25" t="n">
        <f aca="false">SUMPRODUCT(($B$66:$B$82=$A90)*J$66:J$82*$C$66:$C$82)</f>
        <v>44.7284401212996</v>
      </c>
      <c r="K90" s="25" t="n">
        <f aca="false">SUMPRODUCT(($B$66:$B$82=$A90)*K$66:K$82*$C$66:$C$82)</f>
        <v>47.0918397575478</v>
      </c>
      <c r="L90" s="25" t="n">
        <f aca="false">SUMPRODUCT(($B$66:$B$82=$A90)*L$66:L$82*$C$66:$C$82)</f>
        <v>49.5801187284088</v>
      </c>
      <c r="M90" s="25" t="n">
        <f aca="false">SUMPRODUCT(($B$66:$B$82=$A90)*M$66:M$82*$C$66:$C$82)</f>
        <v>52.1998755151442</v>
      </c>
      <c r="N90" s="25" t="n">
        <f aca="false">SUMPRODUCT(($B$66:$B$82=$A90)*N$66:N$82*$C$66:$C$82)</f>
        <v>54.9580572552211</v>
      </c>
      <c r="O90" s="25" t="n">
        <f aca="false">SUMPRODUCT(($B$66:$B$82=$A90)*O$66:O$82*$C$66:$C$82)</f>
        <v>57.8619781649075</v>
      </c>
      <c r="P90" s="25" t="n">
        <f aca="false">SUMPRODUCT(($B$66:$B$82=$A90)*P$66:P$82*$C$66:$C$82)</f>
        <v>531.401451932801</v>
      </c>
    </row>
    <row r="91" customFormat="false" ht="15" hidden="false" customHeight="false" outlineLevel="0" collapsed="false">
      <c r="A91" s="4" t="s">
        <v>151</v>
      </c>
      <c r="D91" s="25" t="n">
        <f aca="false">SUMPRODUCT(($B$66:$B$82=$A91)*D$66:D$82*$C$66:$C$82)</f>
        <v>234.487451326628</v>
      </c>
      <c r="E91" s="25" t="n">
        <f aca="false">SUMPRODUCT(($B$66:$B$82=$A91)*E$66:E$82*$C$66:$C$82)</f>
        <v>246.877500156125</v>
      </c>
      <c r="F91" s="25" t="n">
        <f aca="false">SUMPRODUCT(($B$66:$B$82=$A91)*F$66:F$82*$C$66:$C$82)</f>
        <v>259.922224999748</v>
      </c>
      <c r="G91" s="25" t="n">
        <f aca="false">SUMPRODUCT(($B$66:$B$82=$A91)*G$66:G$82*$C$66:$C$82)</f>
        <v>273.656218189569</v>
      </c>
      <c r="H91" s="25" t="n">
        <f aca="false">SUMPRODUCT(($B$66:$B$82=$A91)*H$66:H$82*$C$66:$C$82)</f>
        <v>288.115899876932</v>
      </c>
      <c r="I91" s="25" t="n">
        <f aca="false">SUMPRODUCT(($B$66:$B$82=$A91)*I$66:I$82*$C$66:$C$82)</f>
        <v>303.33961461234</v>
      </c>
      <c r="J91" s="25" t="n">
        <f aca="false">SUMPRODUCT(($B$66:$B$82=$A91)*J$66:J$82*$C$66:$C$82)</f>
        <v>319.367733028504</v>
      </c>
      <c r="K91" s="25" t="n">
        <f aca="false">SUMPRODUCT(($B$66:$B$82=$A91)*K$66:K$82*$C$66:$C$82)</f>
        <v>336.242758896208</v>
      </c>
      <c r="L91" s="25" t="n">
        <f aca="false">SUMPRODUCT(($B$66:$B$82=$A91)*L$66:L$82*$C$66:$C$82)</f>
        <v>354.009441836889</v>
      </c>
      <c r="M91" s="25" t="n">
        <f aca="false">SUMPRODUCT(($B$66:$B$82=$A91)*M$66:M$82*$C$66:$C$82)</f>
        <v>372.714895990818</v>
      </c>
      <c r="N91" s="25" t="n">
        <f aca="false">SUMPRODUCT(($B$66:$B$82=$A91)*N$66:N$82*$C$66:$C$82)</f>
        <v>392.408724955569</v>
      </c>
      <c r="O91" s="25" t="n">
        <f aca="false">SUMPRODUCT(($B$66:$B$82=$A91)*O$66:O$82*$C$66:$C$82)</f>
        <v>413.143153326098</v>
      </c>
      <c r="P91" s="25" t="n">
        <f aca="false">SUMPRODUCT(($B$66:$B$82=$A91)*P$66:P$82*$C$66:$C$82)</f>
        <v>3794.28561719543</v>
      </c>
    </row>
    <row r="92" customFormat="false" ht="15" hidden="false" customHeight="false" outlineLevel="0" collapsed="false">
      <c r="A92" s="4" t="s">
        <v>154</v>
      </c>
      <c r="D92" s="25" t="n">
        <f aca="false">SUMPRODUCT(($B$66:$B$82=$A92)*D$66:D$82*$C$66:$C$82)</f>
        <v>10.1545989884375</v>
      </c>
      <c r="E92" s="25" t="n">
        <f aca="false">SUMPRODUCT(($B$66:$B$82=$A92)*E$66:E$82*$C$66:$C$82)</f>
        <v>10.6911563888395</v>
      </c>
      <c r="F92" s="25" t="n">
        <f aca="false">SUMPRODUCT(($B$66:$B$82=$A92)*F$66:F$82*$C$66:$C$82)</f>
        <v>11.2560648688118</v>
      </c>
      <c r="G92" s="25" t="n">
        <f aca="false">SUMPRODUCT(($B$66:$B$82=$A92)*G$66:G$82*$C$66:$C$82)</f>
        <v>11.850822466984</v>
      </c>
      <c r="H92" s="25" t="n">
        <f aca="false">SUMPRODUCT(($B$66:$B$82=$A92)*H$66:H$82*$C$66:$C$82)</f>
        <v>12.4770063766342</v>
      </c>
      <c r="I92" s="25" t="n">
        <f aca="false">SUMPRODUCT(($B$66:$B$82=$A92)*I$66:I$82*$C$66:$C$82)</f>
        <v>13.13627712813</v>
      </c>
      <c r="J92" s="25" t="n">
        <f aca="false">SUMPRODUCT(($B$66:$B$82=$A92)*J$66:J$82*$C$66:$C$82)</f>
        <v>13.830382992365</v>
      </c>
      <c r="K92" s="25" t="n">
        <f aca="false">SUMPRODUCT(($B$66:$B$82=$A92)*K$66:K$82*$C$66:$C$82)</f>
        <v>14.561164616868</v>
      </c>
      <c r="L92" s="25" t="n">
        <f aca="false">SUMPRODUCT(($B$66:$B$82=$A92)*L$66:L$82*$C$66:$C$82)</f>
        <v>15.3305599068788</v>
      </c>
      <c r="M92" s="25" t="n">
        <f aca="false">SUMPRODUCT(($B$66:$B$82=$A92)*M$66:M$82*$C$66:$C$82)</f>
        <v>16.1406091643342</v>
      </c>
      <c r="N92" s="25" t="n">
        <f aca="false">SUMPRODUCT(($B$66:$B$82=$A92)*N$66:N$82*$C$66:$C$82)</f>
        <v>16.9934604983928</v>
      </c>
      <c r="O92" s="25" t="n">
        <f aca="false">SUMPRODUCT(($B$66:$B$82=$A92)*O$66:O$82*$C$66:$C$82)</f>
        <v>17.8913755218451</v>
      </c>
      <c r="P92" s="25" t="n">
        <f aca="false">SUMPRODUCT(($B$66:$B$82=$A92)*P$66:P$82*$C$66:$C$82)</f>
        <v>164.313478918521</v>
      </c>
    </row>
    <row r="93" customFormat="false" ht="15" hidden="false" customHeight="false" outlineLevel="0" collapsed="false">
      <c r="A93" s="6" t="s">
        <v>274</v>
      </c>
      <c r="D93" s="26" t="n">
        <f aca="false">SUMPRODUCT(D$66:D$82*parametros_recargas!$D$51:$D$67)</f>
        <v>100.623510618393</v>
      </c>
      <c r="E93" s="26" t="n">
        <f aca="false">SUMPRODUCT(E$66:E$82*parametros_recargas!$D$51:$D$67)</f>
        <v>105.940341872704</v>
      </c>
      <c r="F93" s="26" t="n">
        <f aca="false">SUMPRODUCT(F$66:F$82*parametros_recargas!$D$51:$D$67)</f>
        <v>111.538108411554</v>
      </c>
      <c r="G93" s="26" t="n">
        <f aca="false">SUMPRODUCT(G$66:G$82*parametros_recargas!$D$51:$D$67)</f>
        <v>117.431654534173</v>
      </c>
      <c r="H93" s="26" t="n">
        <f aca="false">SUMPRODUCT(H$66:H$82*parametros_recargas!$D$51:$D$67)</f>
        <v>123.636608895591</v>
      </c>
      <c r="I93" s="26" t="n">
        <f aca="false">SUMPRODUCT(I$66:I$82*parametros_recargas!$D$51:$D$67)</f>
        <v>130.169425951101</v>
      </c>
      <c r="J93" s="26" t="n">
        <f aca="false">SUMPRODUCT(J$66:J$82*parametros_recargas!$D$51:$D$67)</f>
        <v>137.047429590601</v>
      </c>
      <c r="K93" s="26" t="n">
        <f aca="false">SUMPRODUCT(K$66:K$82*parametros_recargas!$D$51:$D$67)</f>
        <v>144.288859078524</v>
      </c>
      <c r="L93" s="26" t="n">
        <f aca="false">SUMPRODUCT(L$66:L$82*parametros_recargas!$D$51:$D$67)</f>
        <v>151.912917421182</v>
      </c>
      <c r="M93" s="26" t="n">
        <f aca="false">SUMPRODUCT(M$66:M$82*parametros_recargas!$D$51:$D$67)</f>
        <v>159.939822289783</v>
      </c>
      <c r="N93" s="26" t="n">
        <f aca="false">SUMPRODUCT(N$66:N$82*parametros_recargas!$D$51:$D$67)</f>
        <v>168.39085963417</v>
      </c>
      <c r="O93" s="26" t="n">
        <f aca="false">SUMPRODUCT(O$66:O$82*parametros_recargas!$D$51:$D$67)</f>
        <v>177.288440129435</v>
      </c>
      <c r="P93" s="26" t="n">
        <f aca="false">SUMPRODUCT(P$66:P$82*parametros_recargas!$D$51:$D$67)</f>
        <v>1628.20797842721</v>
      </c>
    </row>
    <row r="97" customFormat="false" ht="15" hidden="false" customHeight="false" outlineLevel="0" collapsed="false">
      <c r="A97" s="23" t="n">
        <v>2029</v>
      </c>
      <c r="B97" s="3" t="s">
        <v>270</v>
      </c>
      <c r="C97" s="3" t="s">
        <v>271</v>
      </c>
      <c r="D97" s="3" t="s">
        <v>124</v>
      </c>
      <c r="E97" s="3" t="s">
        <v>125</v>
      </c>
      <c r="F97" s="3" t="s">
        <v>126</v>
      </c>
      <c r="G97" s="3" t="s">
        <v>127</v>
      </c>
      <c r="H97" s="3" t="s">
        <v>128</v>
      </c>
      <c r="I97" s="3" t="s">
        <v>129</v>
      </c>
      <c r="J97" s="3" t="s">
        <v>130</v>
      </c>
      <c r="K97" s="3" t="s">
        <v>131</v>
      </c>
      <c r="L97" s="3" t="s">
        <v>132</v>
      </c>
      <c r="M97" s="3" t="s">
        <v>133</v>
      </c>
      <c r="N97" s="3" t="s">
        <v>134</v>
      </c>
      <c r="O97" s="3" t="s">
        <v>135</v>
      </c>
      <c r="P97" s="3" t="s">
        <v>136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4" t="n">
        <f aca="false">parametros_recargas!C51</f>
        <v>1</v>
      </c>
      <c r="D98" s="25" t="n">
        <f aca="false">datos_base!$E$2*parametros_recargas!$F$40</f>
        <v>2767.52924222996</v>
      </c>
      <c r="E98" s="25" t="n">
        <f aca="false">datos_base!$E$2*parametros_recargas!$G$40</f>
        <v>2858.12927335523</v>
      </c>
      <c r="F98" s="25" t="n">
        <f aca="false">datos_base!$E$2*parametros_recargas!$H$40</f>
        <v>2951.69525891908</v>
      </c>
      <c r="G98" s="25" t="n">
        <f aca="false">datos_base!$E$2*parametros_recargas!$I$40</f>
        <v>3048.32429475715</v>
      </c>
      <c r="H98" s="25" t="n">
        <f aca="false">datos_base!$E$2*parametros_recargas!$J$40</f>
        <v>3148.11665531135</v>
      </c>
      <c r="I98" s="25" t="n">
        <f aca="false">datos_base!$E$2*parametros_recargas!$K$40</f>
        <v>3251.17589768718</v>
      </c>
      <c r="J98" s="25" t="n">
        <f aca="false">datos_base!$E$2*parametros_recargas!$L$40</f>
        <v>3357.60896911764</v>
      </c>
      <c r="K98" s="25" t="n">
        <f aca="false">datos_base!$E$2*parametros_recargas!$M$40</f>
        <v>3467.52631794515</v>
      </c>
      <c r="L98" s="25" t="n">
        <f aca="false">datos_base!$E$2*parametros_recargas!$N$40</f>
        <v>3581.0420082366</v>
      </c>
      <c r="M98" s="25" t="n">
        <f aca="false">datos_base!$E$2*parametros_recargas!$O$40</f>
        <v>3698.2738381506</v>
      </c>
      <c r="N98" s="25" t="n">
        <f aca="false">datos_base!$E$2*parametros_recargas!$P$40</f>
        <v>3819.34346217965</v>
      </c>
      <c r="O98" s="25" t="n">
        <f aca="false">datos_base!$E$2*parametros_recargas!$Q$40</f>
        <v>3944.37651739418</v>
      </c>
      <c r="P98" s="7" t="n">
        <f aca="false">SUM(D98:O98)</f>
        <v>39893.1417352838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4" t="n">
        <f aca="false">parametros_recargas!C52</f>
        <v>1</v>
      </c>
      <c r="D99" s="25" t="n">
        <f aca="false">datos_base!$E$3*parametros_recargas!$F$40</f>
        <v>267.924815798411</v>
      </c>
      <c r="E99" s="25" t="n">
        <f aca="false">datos_base!$E$3*parametros_recargas!$G$40</f>
        <v>276.69581495541</v>
      </c>
      <c r="F99" s="25" t="n">
        <f aca="false">datos_base!$E$3*parametros_recargas!$H$40</f>
        <v>285.753948493681</v>
      </c>
      <c r="G99" s="25" t="n">
        <f aca="false">datos_base!$E$3*parametros_recargas!$I$40</f>
        <v>295.108616271946</v>
      </c>
      <c r="H99" s="25" t="n">
        <f aca="false">datos_base!$E$3*parametros_recargas!$J$40</f>
        <v>304.769525870151</v>
      </c>
      <c r="I99" s="25" t="n">
        <f aca="false">datos_base!$E$3*parametros_recargas!$K$40</f>
        <v>314.746702663275</v>
      </c>
      <c r="J99" s="25" t="n">
        <f aca="false">datos_base!$E$3*parametros_recargas!$L$40</f>
        <v>325.050500224918</v>
      </c>
      <c r="K99" s="25" t="n">
        <f aca="false">datos_base!$E$3*parametros_recargas!$M$40</f>
        <v>335.691611071477</v>
      </c>
      <c r="L99" s="25" t="n">
        <f aca="false">datos_base!$E$3*parametros_recargas!$N$40</f>
        <v>346.681077758036</v>
      </c>
      <c r="M99" s="25" t="n">
        <f aca="false">datos_base!$E$3*parametros_recargas!$O$40</f>
        <v>358.030304337521</v>
      </c>
      <c r="N99" s="25" t="n">
        <f aca="false">datos_base!$E$3*parametros_recargas!$P$40</f>
        <v>369.751068194972</v>
      </c>
      <c r="O99" s="25" t="n">
        <f aca="false">datos_base!$E$3*parametros_recargas!$Q$40</f>
        <v>381.855532269242</v>
      </c>
      <c r="P99" s="7" t="n">
        <f aca="false">SUM(D99:O99)</f>
        <v>3862.05951790904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4" t="n">
        <f aca="false">parametros_recargas!C53</f>
        <v>1</v>
      </c>
      <c r="D100" s="25" t="n">
        <f aca="false">datos_base!$E$4*parametros_recargas!$F$40</f>
        <v>1659.3612073488</v>
      </c>
      <c r="E100" s="25" t="n">
        <f aca="false">datos_base!$E$4*parametros_recargas!$G$40</f>
        <v>1713.6833712269</v>
      </c>
      <c r="F100" s="25" t="n">
        <f aca="false">datos_base!$E$4*parametros_recargas!$H$40</f>
        <v>1769.78386852351</v>
      </c>
      <c r="G100" s="25" t="n">
        <f aca="false">datos_base!$E$4*parametros_recargas!$I$40</f>
        <v>1827.72091617112</v>
      </c>
      <c r="H100" s="25" t="n">
        <f aca="false">datos_base!$E$4*parametros_recargas!$J$40</f>
        <v>1887.55463693787</v>
      </c>
      <c r="I100" s="25" t="n">
        <f aca="false">datos_base!$E$4*parametros_recargas!$K$40</f>
        <v>1949.3471218185</v>
      </c>
      <c r="J100" s="25" t="n">
        <f aca="false">datos_base!$E$4*parametros_recargas!$L$40</f>
        <v>2013.16249446779</v>
      </c>
      <c r="K100" s="25" t="n">
        <f aca="false">datos_base!$E$4*parametros_recargas!$M$40</f>
        <v>2079.06697774328</v>
      </c>
      <c r="L100" s="25" t="n">
        <f aca="false">datos_base!$E$4*parametros_recargas!$N$40</f>
        <v>2147.12896242652</v>
      </c>
      <c r="M100" s="25" t="n">
        <f aca="false">datos_base!$E$4*parametros_recargas!$O$40</f>
        <v>2217.41907819384</v>
      </c>
      <c r="N100" s="25" t="n">
        <f aca="false">datos_base!$E$4*parametros_recargas!$P$40</f>
        <v>2290.01026691069</v>
      </c>
      <c r="O100" s="25" t="n">
        <f aca="false">datos_base!$E$4*parametros_recargas!$Q$40</f>
        <v>2364.97785832523</v>
      </c>
      <c r="P100" s="7" t="n">
        <f aca="false">SUM(D100:O100)</f>
        <v>23919.216760094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4" t="n">
        <f aca="false">parametros_recargas!C54</f>
        <v>1</v>
      </c>
      <c r="D101" s="25" t="n">
        <f aca="false">datos_base!$E$5*parametros_recargas!$F$40</f>
        <v>96.8002695751705</v>
      </c>
      <c r="E101" s="25" t="n">
        <f aca="false">datos_base!$E$5*parametros_recargas!$G$40</f>
        <v>99.969199934648</v>
      </c>
      <c r="F101" s="25" t="n">
        <f aca="false">datos_base!$E$5*parametros_recargas!$H$40</f>
        <v>103.24187091042</v>
      </c>
      <c r="G101" s="25" t="n">
        <f aca="false">datos_base!$E$5*parametros_recargas!$I$40</f>
        <v>106.621678637538</v>
      </c>
      <c r="H101" s="25" t="n">
        <f aca="false">datos_base!$E$5*parametros_recargas!$J$40</f>
        <v>110.112130429623</v>
      </c>
      <c r="I101" s="25" t="n">
        <f aca="false">datos_base!$E$5*parametros_recargas!$K$40</f>
        <v>113.716848418494</v>
      </c>
      <c r="J101" s="25" t="n">
        <f aca="false">datos_base!$E$5*parametros_recargas!$L$40</f>
        <v>117.43957331295</v>
      </c>
      <c r="K101" s="25" t="n">
        <f aca="false">datos_base!$E$5*parametros_recargas!$M$40</f>
        <v>121.284168280596</v>
      </c>
      <c r="L101" s="25" t="n">
        <f aca="false">datos_base!$E$5*parametros_recargas!$N$40</f>
        <v>125.254622956757</v>
      </c>
      <c r="M101" s="25" t="n">
        <f aca="false">datos_base!$E$5*parametros_recargas!$O$40</f>
        <v>129.355057584621</v>
      </c>
      <c r="N101" s="25" t="n">
        <f aca="false">datos_base!$E$5*parametros_recargas!$P$40</f>
        <v>133.589727290923</v>
      </c>
      <c r="O101" s="25" t="n">
        <f aca="false">datos_base!$E$5*parametros_recargas!$Q$40</f>
        <v>137.963026501601</v>
      </c>
      <c r="P101" s="7" t="n">
        <f aca="false">SUM(D101:O101)</f>
        <v>1395.34817383334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4" t="n">
        <f aca="false">parametros_recargas!C55</f>
        <v>1</v>
      </c>
      <c r="D102" s="25" t="n">
        <f aca="false">datos_base!$E$6*parametros_recargas!$F$40</f>
        <v>136.600630103622</v>
      </c>
      <c r="E102" s="25" t="n">
        <f aca="false">datos_base!$E$6*parametros_recargas!$G$40</f>
        <v>141.072496615554</v>
      </c>
      <c r="F102" s="25" t="n">
        <f aca="false">datos_base!$E$6*parametros_recargas!$H$40</f>
        <v>145.690757694519</v>
      </c>
      <c r="G102" s="25" t="n">
        <f aca="false">datos_base!$E$6*parametros_recargas!$I$40</f>
        <v>150.460205829112</v>
      </c>
      <c r="H102" s="25" t="n">
        <f aca="false">datos_base!$E$6*parametros_recargas!$J$40</f>
        <v>155.385790398635</v>
      </c>
      <c r="I102" s="25" t="n">
        <f aca="false">datos_base!$E$6*parametros_recargas!$K$40</f>
        <v>160.472622809192</v>
      </c>
      <c r="J102" s="25" t="n">
        <f aca="false">datos_base!$E$6*parametros_recargas!$L$40</f>
        <v>165.725981797931</v>
      </c>
      <c r="K102" s="25" t="n">
        <f aca="false">datos_base!$E$6*parametros_recargas!$M$40</f>
        <v>171.151318910921</v>
      </c>
      <c r="L102" s="25" t="n">
        <f aca="false">datos_base!$E$6*parametros_recargas!$N$40</f>
        <v>176.754264160369</v>
      </c>
      <c r="M102" s="25" t="n">
        <f aca="false">datos_base!$E$6*parametros_recargas!$O$40</f>
        <v>182.54063186702</v>
      </c>
      <c r="N102" s="25" t="n">
        <f aca="false">datos_base!$E$6*parametros_recargas!$P$40</f>
        <v>188.516426693835</v>
      </c>
      <c r="O102" s="25" t="n">
        <f aca="false">datos_base!$E$6*parametros_recargas!$Q$40</f>
        <v>194.687849877181</v>
      </c>
      <c r="P102" s="7" t="n">
        <f aca="false">SUM(D102:O102)</f>
        <v>1969.05897675789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4" t="n">
        <f aca="false">parametros_recargas!C56</f>
        <v>1</v>
      </c>
      <c r="D103" s="25" t="n">
        <f aca="false">datos_base!$E$7*parametros_recargas!$F$40</f>
        <v>26.041463256266</v>
      </c>
      <c r="E103" s="25" t="n">
        <f aca="false">datos_base!$E$7*parametros_recargas!$G$40</f>
        <v>26.8939772407846</v>
      </c>
      <c r="F103" s="25" t="n">
        <f aca="false">datos_base!$E$7*parametros_recargas!$H$40</f>
        <v>27.7743997988978</v>
      </c>
      <c r="G103" s="25" t="n">
        <f aca="false">datos_base!$E$7*parametros_recargas!$I$40</f>
        <v>28.6836445677943</v>
      </c>
      <c r="H103" s="25" t="n">
        <f aca="false">datos_base!$E$7*parametros_recargas!$J$40</f>
        <v>29.622655094214</v>
      </c>
      <c r="I103" s="25" t="n">
        <f aca="false">datos_base!$E$7*parametros_recargas!$K$40</f>
        <v>30.5924058135908</v>
      </c>
      <c r="J103" s="25" t="n">
        <f aca="false">datos_base!$E$7*parametros_recargas!$L$40</f>
        <v>31.5939030612494</v>
      </c>
      <c r="K103" s="25" t="n">
        <f aca="false">datos_base!$E$7*parametros_recargas!$M$40</f>
        <v>32.6281861167055</v>
      </c>
      <c r="L103" s="25" t="n">
        <f aca="false">datos_base!$E$7*parametros_recargas!$N$40</f>
        <v>33.6963282821529</v>
      </c>
      <c r="M103" s="25" t="n">
        <f aca="false">datos_base!$E$7*parametros_recargas!$O$40</f>
        <v>34.7994379962567</v>
      </c>
      <c r="N103" s="25" t="n">
        <f aca="false">datos_base!$E$7*parametros_recargas!$P$40</f>
        <v>35.9386599844089</v>
      </c>
      <c r="O103" s="25" t="n">
        <f aca="false">datos_base!$E$7*parametros_recargas!$Q$40</f>
        <v>37.1151764466393</v>
      </c>
      <c r="P103" s="7" t="n">
        <f aca="false">SUM(D103:O103)</f>
        <v>375.38023765896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4" t="n">
        <f aca="false">parametros_recargas!C57</f>
        <v>3</v>
      </c>
      <c r="D104" s="25" t="n">
        <f aca="false">datos_base!$E$8*parametros_recargas!$F$40</f>
        <v>13.8919412753837</v>
      </c>
      <c r="E104" s="25" t="n">
        <f aca="false">datos_base!$E$8*parametros_recargas!$G$40</f>
        <v>14.3467188772731</v>
      </c>
      <c r="F104" s="25" t="n">
        <f aca="false">datos_base!$E$8*parametros_recargas!$H$40</f>
        <v>14.8163844392453</v>
      </c>
      <c r="G104" s="25" t="n">
        <f aca="false">datos_base!$E$8*parametros_recargas!$I$40</f>
        <v>15.3014253453634</v>
      </c>
      <c r="H104" s="25" t="n">
        <f aca="false">datos_base!$E$8*parametros_recargas!$J$40</f>
        <v>15.8023449350815</v>
      </c>
      <c r="I104" s="25" t="n">
        <f aca="false">datos_base!$E$8*parametros_recargas!$K$40</f>
        <v>16.3196630255733</v>
      </c>
      <c r="J104" s="25" t="n">
        <f aca="false">datos_base!$E$8*parametros_recargas!$L$40</f>
        <v>16.8539164511593</v>
      </c>
      <c r="K104" s="25" t="n">
        <f aca="false">datos_base!$E$8*parametros_recargas!$M$40</f>
        <v>17.405659620394</v>
      </c>
      <c r="L104" s="25" t="n">
        <f aca="false">datos_base!$E$8*parametros_recargas!$N$40</f>
        <v>17.9754650913898</v>
      </c>
      <c r="M104" s="25" t="n">
        <f aca="false">datos_base!$E$8*parametros_recargas!$O$40</f>
        <v>18.5639241659753</v>
      </c>
      <c r="N104" s="25" t="n">
        <f aca="false">datos_base!$E$8*parametros_recargas!$P$40</f>
        <v>19.1716475033046</v>
      </c>
      <c r="O104" s="25" t="n">
        <f aca="false">datos_base!$E$8*parametros_recargas!$Q$40</f>
        <v>19.7992657535538</v>
      </c>
      <c r="P104" s="7" t="n">
        <f aca="false">SUM(D104:O104)</f>
        <v>200.248356483697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4" t="n">
        <f aca="false">parametros_recargas!C58</f>
        <v>1</v>
      </c>
      <c r="D105" s="25" t="n">
        <f aca="false">datos_base!$E$9*parametros_recargas!$F$40</f>
        <v>7.87584495772711</v>
      </c>
      <c r="E105" s="25" t="n">
        <f aca="false">datos_base!$E$9*parametros_recargas!$G$40</f>
        <v>8.13367486153433</v>
      </c>
      <c r="F105" s="25" t="n">
        <f aca="false">datos_base!$E$9*parametros_recargas!$H$40</f>
        <v>8.39994528945726</v>
      </c>
      <c r="G105" s="25" t="n">
        <f aca="false">datos_base!$E$9*parametros_recargas!$I$40</f>
        <v>8.67493255718424</v>
      </c>
      <c r="H105" s="25" t="n">
        <f aca="false">datos_base!$E$9*parametros_recargas!$J$40</f>
        <v>8.95892202609305</v>
      </c>
      <c r="I105" s="25" t="n">
        <f aca="false">datos_base!$E$9*parametros_recargas!$K$40</f>
        <v>9.2522083993777</v>
      </c>
      <c r="J105" s="25" t="n">
        <f aca="false">datos_base!$E$9*parametros_recargas!$L$40</f>
        <v>9.55509602786961</v>
      </c>
      <c r="K105" s="25" t="n">
        <f aca="false">datos_base!$E$9*parametros_recargas!$M$40</f>
        <v>9.86789922587027</v>
      </c>
      <c r="L105" s="25" t="n">
        <f aca="false">datos_base!$E$9*parametros_recargas!$N$40</f>
        <v>10.1909425973233</v>
      </c>
      <c r="M105" s="25" t="n">
        <f aca="false">datos_base!$E$9*parametros_recargas!$O$40</f>
        <v>10.5245613726643</v>
      </c>
      <c r="N105" s="25" t="n">
        <f aca="false">datos_base!$E$9*parametros_recargas!$P$40</f>
        <v>10.8691017566983</v>
      </c>
      <c r="O105" s="25" t="n">
        <f aca="false">datos_base!$E$9*parametros_recargas!$Q$40</f>
        <v>11.2249212878651</v>
      </c>
      <c r="P105" s="7" t="n">
        <f aca="false">SUM(D105:O105)</f>
        <v>113.528050359665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4" t="n">
        <f aca="false">parametros_recargas!C59</f>
        <v>1</v>
      </c>
      <c r="D106" s="25" t="n">
        <f aca="false">datos_base!$E$10*parametros_recargas!$F$40</f>
        <v>67.0991679326979</v>
      </c>
      <c r="E106" s="25" t="n">
        <f aca="false">datos_base!$E$10*parametros_recargas!$G$40</f>
        <v>69.2957794844095</v>
      </c>
      <c r="F106" s="25" t="n">
        <f aca="false">datos_base!$E$10*parametros_recargas!$H$40</f>
        <v>71.5643010531566</v>
      </c>
      <c r="G106" s="25" t="n">
        <f aca="false">datos_base!$E$10*parametros_recargas!$I$40</f>
        <v>73.9070867422607</v>
      </c>
      <c r="H106" s="25" t="n">
        <f aca="false">datos_base!$E$10*parametros_recargas!$J$40</f>
        <v>76.3265677208361</v>
      </c>
      <c r="I106" s="25" t="n">
        <f aca="false">datos_base!$E$10*parametros_recargas!$K$40</f>
        <v>78.8252547466759</v>
      </c>
      <c r="J106" s="25" t="n">
        <f aca="false">datos_base!$E$10*parametros_recargas!$L$40</f>
        <v>81.405740771731</v>
      </c>
      <c r="K106" s="25" t="n">
        <f aca="false">datos_base!$E$10*parametros_recargas!$M$40</f>
        <v>84.0707036328827</v>
      </c>
      <c r="L106" s="25" t="n">
        <f aca="false">datos_base!$E$10*parametros_recargas!$N$40</f>
        <v>86.8229088308031</v>
      </c>
      <c r="M106" s="25" t="n">
        <f aca="false">datos_base!$E$10*parametros_recargas!$O$40</f>
        <v>89.6652123997867</v>
      </c>
      <c r="N106" s="25" t="n">
        <f aca="false">datos_base!$E$10*parametros_recargas!$P$40</f>
        <v>92.6005638715306</v>
      </c>
      <c r="O106" s="25" t="n">
        <f aca="false">datos_base!$E$10*parametros_recargas!$Q$40</f>
        <v>95.6320093359398</v>
      </c>
      <c r="P106" s="7" t="n">
        <f aca="false">SUM(D106:O106)</f>
        <v>967.215296522711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4" t="n">
        <f aca="false">parametros_recargas!C60</f>
        <v>1</v>
      </c>
      <c r="D107" s="25" t="n">
        <f aca="false">datos_base!$E$11*parametros_recargas!$F$40</f>
        <v>373.356639578077</v>
      </c>
      <c r="E107" s="25" t="n">
        <f aca="false">datos_base!$E$11*parametros_recargas!$G$40</f>
        <v>385.579138495322</v>
      </c>
      <c r="F107" s="25" t="n">
        <f aca="false">datos_base!$E$11*parametros_recargas!$H$40</f>
        <v>398.201762826034</v>
      </c>
      <c r="G107" s="25" t="n">
        <f aca="false">datos_base!$E$11*parametros_recargas!$I$40</f>
        <v>411.237611392932</v>
      </c>
      <c r="H107" s="25" t="n">
        <f aca="false">datos_base!$E$11*parametros_recargas!$J$40</f>
        <v>424.700211832181</v>
      </c>
      <c r="I107" s="25" t="n">
        <f aca="false">datos_base!$E$11*parametros_recargas!$K$40</f>
        <v>438.603534631364</v>
      </c>
      <c r="J107" s="25" t="n">
        <f aca="false">datos_base!$E$11*parametros_recargas!$L$40</f>
        <v>452.962007627022</v>
      </c>
      <c r="K107" s="25" t="n">
        <f aca="false">datos_base!$E$11*parametros_recargas!$M$40</f>
        <v>467.790530976789</v>
      </c>
      <c r="L107" s="25" t="n">
        <f aca="false">datos_base!$E$11*parametros_recargas!$N$40</f>
        <v>483.104492621672</v>
      </c>
      <c r="M107" s="25" t="n">
        <f aca="false">datos_base!$E$11*parametros_recargas!$O$40</f>
        <v>498.919784254512</v>
      </c>
      <c r="N107" s="25" t="n">
        <f aca="false">datos_base!$E$11*parametros_recargas!$P$40</f>
        <v>515.252817811204</v>
      </c>
      <c r="O107" s="25" t="n">
        <f aca="false">datos_base!$E$11*parametros_recargas!$Q$40</f>
        <v>532.120542501788</v>
      </c>
      <c r="P107" s="7" t="n">
        <f aca="false">SUM(D107:O107)</f>
        <v>5381.8290745489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4" t="n">
        <f aca="false">parametros_recargas!C61</f>
        <v>1</v>
      </c>
      <c r="D108" s="25" t="n">
        <f aca="false">datos_base!$E$12*parametros_recargas!$F$40</f>
        <v>121.482851468919</v>
      </c>
      <c r="E108" s="25" t="n">
        <f aca="false">datos_base!$E$12*parametros_recargas!$G$40</f>
        <v>125.459810395431</v>
      </c>
      <c r="F108" s="25" t="n">
        <f aca="false">datos_base!$E$12*parametros_recargas!$H$40</f>
        <v>129.566962201942</v>
      </c>
      <c r="G108" s="25" t="n">
        <f aca="false">datos_base!$E$12*parametros_recargas!$I$40</f>
        <v>133.808568985776</v>
      </c>
      <c r="H108" s="25" t="n">
        <f aca="false">datos_base!$E$12*parametros_recargas!$J$40</f>
        <v>138.189032371655</v>
      </c>
      <c r="I108" s="25" t="n">
        <f aca="false">datos_base!$E$12*parametros_recargas!$K$40</f>
        <v>142.712898079377</v>
      </c>
      <c r="J108" s="25" t="n">
        <f aca="false">datos_base!$E$12*parametros_recargas!$L$40</f>
        <v>147.384860641027</v>
      </c>
      <c r="K108" s="25" t="n">
        <f aca="false">datos_base!$E$12*parametros_recargas!$M$40</f>
        <v>152.209768272612</v>
      </c>
      <c r="L108" s="25" t="n">
        <f aca="false">datos_base!$E$12*parametros_recargas!$N$40</f>
        <v>157.192627905183</v>
      </c>
      <c r="M108" s="25" t="n">
        <f aca="false">datos_base!$E$12*parametros_recargas!$O$40</f>
        <v>162.338610380655</v>
      </c>
      <c r="N108" s="25" t="n">
        <f aca="false">datos_base!$E$12*parametros_recargas!$P$40</f>
        <v>167.653055817722</v>
      </c>
      <c r="O108" s="25" t="n">
        <f aca="false">datos_base!$E$12*parametros_recargas!$Q$40</f>
        <v>173.141479153438</v>
      </c>
      <c r="P108" s="7" t="n">
        <f aca="false">SUM(D108:O108)</f>
        <v>1751.14052567374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4" t="n">
        <f aca="false">parametros_recargas!C62</f>
        <v>1</v>
      </c>
      <c r="D109" s="25" t="n">
        <f aca="false">datos_base!$E$13*parametros_recargas!$F$40</f>
        <v>19.7863483070483</v>
      </c>
      <c r="E109" s="25" t="n">
        <f aca="false">datos_base!$E$13*parametros_recargas!$G$40</f>
        <v>20.4340898900891</v>
      </c>
      <c r="F109" s="25" t="n">
        <f aca="false">datos_base!$E$13*parametros_recargas!$H$40</f>
        <v>21.1030364550645</v>
      </c>
      <c r="G109" s="25" t="n">
        <f aca="false">datos_base!$E$13*parametros_recargas!$I$40</f>
        <v>21.7938821850723</v>
      </c>
      <c r="H109" s="25" t="n">
        <f aca="false">datos_base!$E$13*parametros_recargas!$J$40</f>
        <v>22.5073439885389</v>
      </c>
      <c r="I109" s="25" t="n">
        <f aca="false">datos_base!$E$13*parametros_recargas!$K$40</f>
        <v>23.244162243173</v>
      </c>
      <c r="J109" s="25" t="n">
        <f aca="false">datos_base!$E$13*parametros_recargas!$L$40</f>
        <v>24.0051015642749</v>
      </c>
      <c r="K109" s="25" t="n">
        <f aca="false">datos_base!$E$13*parametros_recargas!$M$40</f>
        <v>24.7909515981976</v>
      </c>
      <c r="L109" s="25" t="n">
        <f aca="false">datos_base!$E$13*parametros_recargas!$N$40</f>
        <v>25.6025278417829</v>
      </c>
      <c r="M109" s="25" t="n">
        <f aca="false">datos_base!$E$13*parametros_recargas!$O$40</f>
        <v>26.4406724886239</v>
      </c>
      <c r="N109" s="25" t="n">
        <f aca="false">datos_base!$E$13*parametros_recargas!$P$40</f>
        <v>27.3062553030306</v>
      </c>
      <c r="O109" s="25" t="n">
        <f aca="false">datos_base!$E$13*parametros_recargas!$Q$40</f>
        <v>28.200174522607</v>
      </c>
      <c r="P109" s="7" t="n">
        <f aca="false">SUM(D109:O109)</f>
        <v>285.214546387503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4" t="n">
        <f aca="false">parametros_recargas!C63</f>
        <v>1</v>
      </c>
      <c r="D110" s="25" t="n">
        <f aca="false">datos_base!$E$14*parametros_recargas!$F$40</f>
        <v>7.32166526409046</v>
      </c>
      <c r="E110" s="25" t="n">
        <f aca="false">datos_base!$E$14*parametros_recargas!$G$40</f>
        <v>7.5613531021423</v>
      </c>
      <c r="F110" s="25" t="n">
        <f aca="false">datos_base!$E$14*parametros_recargas!$H$40</f>
        <v>7.80888755126386</v>
      </c>
      <c r="G110" s="25" t="n">
        <f aca="false">datos_base!$E$14*parametros_recargas!$I$40</f>
        <v>8.06452548433521</v>
      </c>
      <c r="H110" s="25" t="n">
        <f aca="false">datos_base!$E$14*parametros_recargas!$J$40</f>
        <v>8.32853218343066</v>
      </c>
      <c r="I110" s="25" t="n">
        <f aca="false">datos_base!$E$14*parametros_recargas!$K$40</f>
        <v>8.60118161510878</v>
      </c>
      <c r="J110" s="25" t="n">
        <f aca="false">datos_base!$E$14*parametros_recargas!$L$40</f>
        <v>8.8827567147146</v>
      </c>
      <c r="K110" s="25" t="n">
        <f aca="false">datos_base!$E$14*parametros_recargas!$M$40</f>
        <v>9.17354967998887</v>
      </c>
      <c r="L110" s="25" t="n">
        <f aca="false">datos_base!$E$14*parametros_recargas!$N$40</f>
        <v>9.47386227428921</v>
      </c>
      <c r="M110" s="25" t="n">
        <f aca="false">datos_base!$E$14*parametros_recargas!$O$40</f>
        <v>9.78400613973775</v>
      </c>
      <c r="N110" s="25" t="n">
        <f aca="false">datos_base!$E$14*parametros_recargas!$P$40</f>
        <v>10.1043031206202</v>
      </c>
      <c r="O110" s="25" t="n">
        <f aca="false">datos_base!$E$14*parametros_recargas!$Q$40</f>
        <v>10.4350855973717</v>
      </c>
      <c r="P110" s="7" t="n">
        <f aca="false">SUM(D110:O110)</f>
        <v>105.539708727094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4" t="n">
        <f aca="false">parametros_recargas!C64</f>
        <v>3</v>
      </c>
      <c r="D111" s="25" t="n">
        <f aca="false">datos_base!$E$15*parametros_recargas!$F$40</f>
        <v>16.6196803428379</v>
      </c>
      <c r="E111" s="25" t="n">
        <f aca="false">datos_base!$E$15*parametros_recargas!$G$40</f>
        <v>17.163755373149</v>
      </c>
      <c r="F111" s="25" t="n">
        <f aca="false">datos_base!$E$15*parametros_recargas!$H$40</f>
        <v>17.7256416749468</v>
      </c>
      <c r="G111" s="25" t="n">
        <f aca="false">datos_base!$E$15*parametros_recargas!$I$40</f>
        <v>18.3059223321337</v>
      </c>
      <c r="H111" s="25" t="n">
        <f aca="false">datos_base!$E$15*parametros_recargas!$J$40</f>
        <v>18.9051995169094</v>
      </c>
      <c r="I111" s="25" t="n">
        <f aca="false">datos_base!$E$15*parametros_recargas!$K$40</f>
        <v>19.5240951146597</v>
      </c>
      <c r="J111" s="25" t="n">
        <f aca="false">datos_base!$E$15*parametros_recargas!$L$40</f>
        <v>20.1632513693035</v>
      </c>
      <c r="K111" s="25" t="n">
        <f aca="false">datos_base!$E$15*parametros_recargas!$M$40</f>
        <v>20.8233315497657</v>
      </c>
      <c r="L111" s="25" t="n">
        <f aca="false">datos_base!$E$15*parametros_recargas!$N$40</f>
        <v>21.5050206382684</v>
      </c>
      <c r="M111" s="25" t="n">
        <f aca="false">datos_base!$E$15*parametros_recargas!$O$40</f>
        <v>22.209026041155</v>
      </c>
      <c r="N111" s="25" t="n">
        <f aca="false">datos_base!$E$15*parametros_recargas!$P$40</f>
        <v>22.9360783229835</v>
      </c>
      <c r="O111" s="25" t="n">
        <f aca="false">datos_base!$E$15*parametros_recargas!$Q$40</f>
        <v>23.6869319646525</v>
      </c>
      <c r="P111" s="7" t="n">
        <f aca="false">SUM(D111:O111)</f>
        <v>239.567934240765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4" t="n">
        <f aca="false">parametros_recargas!C65</f>
        <v>3</v>
      </c>
      <c r="D112" s="25" t="n">
        <f aca="false">datos_base!$E$16*parametros_recargas!$F$40</f>
        <v>36.5632967443679</v>
      </c>
      <c r="E112" s="25" t="n">
        <f aca="false">datos_base!$E$16*parametros_recargas!$G$40</f>
        <v>37.760261810729</v>
      </c>
      <c r="F112" s="25" t="n">
        <f aca="false">datos_base!$E$16*parametros_recargas!$H$40</f>
        <v>38.9964116743502</v>
      </c>
      <c r="G112" s="25" t="n">
        <f aca="false">datos_base!$E$16*parametros_recargas!$I$40</f>
        <v>40.2730291198168</v>
      </c>
      <c r="H112" s="25" t="n">
        <f aca="false">datos_base!$E$16*parametros_recargas!$J$40</f>
        <v>41.5914389259672</v>
      </c>
      <c r="I112" s="25" t="n">
        <f aca="false">datos_base!$E$16*parametros_recargas!$K$40</f>
        <v>42.9530092406501</v>
      </c>
      <c r="J112" s="25" t="n">
        <f aca="false">datos_base!$E$16*parametros_recargas!$L$40</f>
        <v>44.3591530004866</v>
      </c>
      <c r="K112" s="25" t="n">
        <f aca="false">datos_base!$E$16*parametros_recargas!$M$40</f>
        <v>45.8113293971111</v>
      </c>
      <c r="L112" s="25" t="n">
        <f aca="false">datos_base!$E$16*parametros_recargas!$N$40</f>
        <v>47.3110453914121</v>
      </c>
      <c r="M112" s="25" t="n">
        <f aca="false">datos_base!$E$16*parametros_recargas!$O$40</f>
        <v>48.8598572773443</v>
      </c>
      <c r="N112" s="25" t="n">
        <f aca="false">datos_base!$E$16*parametros_recargas!$P$40</f>
        <v>50.459372296935</v>
      </c>
      <c r="O112" s="25" t="n">
        <f aca="false">datos_base!$E$16*parametros_recargas!$Q$40</f>
        <v>52.1112503081606</v>
      </c>
      <c r="P112" s="7" t="n">
        <f aca="false">SUM(D112:O112)</f>
        <v>527.049455187331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4" t="n">
        <f aca="false">parametros_recargas!C66</f>
        <v>3</v>
      </c>
      <c r="D113" s="25" t="n">
        <f aca="false">datos_base!$E$17*parametros_recargas!$F$40</f>
        <v>7.977446560612</v>
      </c>
      <c r="E113" s="25" t="n">
        <f aca="false">datos_base!$E$17*parametros_recargas!$G$40</f>
        <v>8.238602575032</v>
      </c>
      <c r="F113" s="25" t="n">
        <f aca="false">datos_base!$E$17*parametros_recargas!$H$40</f>
        <v>8.50830799976137</v>
      </c>
      <c r="G113" s="25" t="n">
        <f aca="false">datos_base!$E$17*parametros_recargas!$I$40</f>
        <v>8.7868427150732</v>
      </c>
      <c r="H113" s="25" t="n">
        <f aca="false">datos_base!$E$17*parametros_recargas!$J$40</f>
        <v>9.0744957636231</v>
      </c>
      <c r="I113" s="25" t="n">
        <f aca="false">datos_base!$E$17*parametros_recargas!$K$40</f>
        <v>9.37156565039614</v>
      </c>
      <c r="J113" s="25" t="n">
        <f aca="false">datos_base!$E$17*parametros_recargas!$L$40</f>
        <v>9.67836065247323</v>
      </c>
      <c r="K113" s="25" t="n">
        <f aca="false">datos_base!$E$17*parametros_recargas!$M$40</f>
        <v>9.99519913893817</v>
      </c>
      <c r="L113" s="25" t="n">
        <f aca="false">datos_base!$E$17*parametros_recargas!$N$40</f>
        <v>10.3224099012575</v>
      </c>
      <c r="M113" s="25" t="n">
        <f aca="false">datos_base!$E$17*parametros_recargas!$O$40</f>
        <v>10.6603324944757</v>
      </c>
      <c r="N113" s="25" t="n">
        <f aca="false">datos_base!$E$17*parametros_recargas!$P$40</f>
        <v>11.0093175895806</v>
      </c>
      <c r="O113" s="25" t="n">
        <f aca="false">datos_base!$E$17*parametros_recargas!$Q$40</f>
        <v>11.3697273374032</v>
      </c>
      <c r="P113" s="7" t="n">
        <f aca="false">SUM(D113:O113)</f>
        <v>114.992608378626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4" t="n">
        <f aca="false">parametros_recargas!C67</f>
        <v>3</v>
      </c>
      <c r="D114" s="25" t="n">
        <f aca="false">datos_base!$E$18*parametros_recargas!$F$40</f>
        <v>5.31829772353385</v>
      </c>
      <c r="E114" s="25" t="n">
        <f aca="false">datos_base!$E$18*parametros_recargas!$G$40</f>
        <v>5.49240173368601</v>
      </c>
      <c r="F114" s="25" t="n">
        <f aca="false">datos_base!$E$18*parametros_recargas!$H$40</f>
        <v>5.67220535072872</v>
      </c>
      <c r="G114" s="25" t="n">
        <f aca="false">datos_base!$E$18*parametros_recargas!$I$40</f>
        <v>5.85789516151128</v>
      </c>
      <c r="H114" s="25" t="n">
        <f aca="false">datos_base!$E$18*parametros_recargas!$J$40</f>
        <v>6.04966386113804</v>
      </c>
      <c r="I114" s="25" t="n">
        <f aca="false">datos_base!$E$18*parametros_recargas!$K$40</f>
        <v>6.24771045293299</v>
      </c>
      <c r="J114" s="25" t="n">
        <f aca="false">datos_base!$E$18*parametros_recargas!$L$40</f>
        <v>6.4522404549507</v>
      </c>
      <c r="K114" s="25" t="n">
        <f aca="false">datos_base!$E$18*parametros_recargas!$M$40</f>
        <v>6.6634661132477</v>
      </c>
      <c r="L114" s="25" t="n">
        <f aca="false">datos_base!$E$18*parametros_recargas!$N$40</f>
        <v>6.88160662213567</v>
      </c>
      <c r="M114" s="25" t="n">
        <f aca="false">datos_base!$E$18*parametros_recargas!$O$40</f>
        <v>7.10688835164504</v>
      </c>
      <c r="N114" s="25" t="n">
        <f aca="false">datos_base!$E$18*parametros_recargas!$P$40</f>
        <v>7.33954508243499</v>
      </c>
      <c r="O114" s="25" t="n">
        <f aca="false">datos_base!$E$18*parametros_recargas!$Q$40</f>
        <v>7.57981824839369</v>
      </c>
      <c r="P114" s="7" t="n">
        <f aca="false">SUM(D114:O114)</f>
        <v>76.6617391563387</v>
      </c>
    </row>
    <row r="115" customFormat="false" ht="15" hidden="false" customHeight="false" outlineLevel="0" collapsed="false">
      <c r="A115" s="6" t="s">
        <v>272</v>
      </c>
      <c r="D115" s="7" t="n">
        <f aca="false">SUM(D98:D114)</f>
        <v>5631.55080846753</v>
      </c>
      <c r="E115" s="7" t="n">
        <f aca="false">SUM(E98:E114)</f>
        <v>5815.90971992732</v>
      </c>
      <c r="F115" s="7" t="n">
        <f aca="false">SUM(F98:F114)</f>
        <v>6006.30395085605</v>
      </c>
      <c r="G115" s="7" t="n">
        <f aca="false">SUM(G98:G114)</f>
        <v>6202.93107825612</v>
      </c>
      <c r="H115" s="7" t="n">
        <f aca="false">SUM(H98:H114)</f>
        <v>6405.99514716729</v>
      </c>
      <c r="I115" s="7" t="n">
        <f aca="false">SUM(I98:I114)</f>
        <v>6615.70688240952</v>
      </c>
      <c r="J115" s="7" t="n">
        <f aca="false">SUM(J98:J114)</f>
        <v>6832.28390725749</v>
      </c>
      <c r="K115" s="7" t="n">
        <f aca="false">SUM(K98:K114)</f>
        <v>7055.95096927394</v>
      </c>
      <c r="L115" s="7" t="n">
        <f aca="false">SUM(L98:L114)</f>
        <v>7286.94017353595</v>
      </c>
      <c r="M115" s="7" t="n">
        <f aca="false">SUM(M98:M114)</f>
        <v>7525.49122349643</v>
      </c>
      <c r="N115" s="7" t="n">
        <f aca="false">SUM(N98:N114)</f>
        <v>7771.85166973053</v>
      </c>
      <c r="O115" s="7" t="n">
        <f aca="false">SUM(O98:O114)</f>
        <v>8026.27716682524</v>
      </c>
      <c r="P115" s="7" t="n">
        <f aca="false">SUM(P98:P114)</f>
        <v>81177.1926972034</v>
      </c>
    </row>
    <row r="116" customFormat="false" ht="15" hidden="false" customHeight="false" outlineLevel="0" collapsed="false">
      <c r="A116" s="6" t="s">
        <v>273</v>
      </c>
    </row>
    <row r="117" customFormat="false" ht="15" hidden="false" customHeight="false" outlineLevel="0" collapsed="false">
      <c r="A117" s="4" t="s">
        <v>143</v>
      </c>
      <c r="D117" s="25" t="n">
        <f aca="false">SUMPRODUCT(($B$98:$B$114=$A117)*D$98:D$114*$C$98:$C$114)</f>
        <v>4991.0516990664</v>
      </c>
      <c r="E117" s="25" t="n">
        <f aca="false">SUMPRODUCT(($B$98:$B$114=$A117)*E$98:E$114*$C$98:$C$114)</f>
        <v>5154.44272394998</v>
      </c>
      <c r="F117" s="25" t="n">
        <f aca="false">SUMPRODUCT(($B$98:$B$114=$A117)*F$98:F$114*$C$98:$C$114)</f>
        <v>5323.18264694605</v>
      </c>
      <c r="G117" s="25" t="n">
        <f aca="false">SUMPRODUCT(($B$98:$B$114=$A117)*G$98:G$114*$C$98:$C$114)</f>
        <v>5497.44657382336</v>
      </c>
      <c r="H117" s="25" t="n">
        <f aca="false">SUMPRODUCT(($B$98:$B$114=$A117)*H$98:H$114*$C$98:$C$114)</f>
        <v>5677.4153427519</v>
      </c>
      <c r="I117" s="25" t="n">
        <f aca="false">SUMPRODUCT(($B$98:$B$114=$A117)*I$98:I$114*$C$98:$C$114)</f>
        <v>5863.27571196336</v>
      </c>
      <c r="J117" s="25" t="n">
        <f aca="false">SUMPRODUCT(($B$98:$B$114=$A117)*J$98:J$114*$C$98:$C$114)</f>
        <v>6055.22055355494</v>
      </c>
      <c r="K117" s="25" t="n">
        <f aca="false">SUMPRODUCT(($B$98:$B$114=$A117)*K$98:K$114*$C$98:$C$114)</f>
        <v>6253.4490536377</v>
      </c>
      <c r="L117" s="25" t="n">
        <f aca="false">SUMPRODUCT(($B$98:$B$114=$A117)*L$98:L$114*$C$98:$C$114)</f>
        <v>6458.16691903713</v>
      </c>
      <c r="M117" s="25" t="n">
        <f aca="false">SUMPRODUCT(($B$98:$B$114=$A117)*M$98:M$114*$C$98:$C$114)</f>
        <v>6669.58659076044</v>
      </c>
      <c r="N117" s="25" t="n">
        <f aca="false">SUMPRODUCT(($B$98:$B$114=$A117)*N$98:N$114*$C$98:$C$114)</f>
        <v>6887.92746445204</v>
      </c>
      <c r="O117" s="25" t="n">
        <f aca="false">SUMPRODUCT(($B$98:$B$114=$A117)*O$98:O$114*$C$98:$C$114)</f>
        <v>7113.41611806608</v>
      </c>
      <c r="P117" s="25" t="n">
        <f aca="false">SUMPRODUCT(($B$98:$B$114=$A117)*P$98:P$114*$C$98:$C$114)</f>
        <v>71944.5813980094</v>
      </c>
    </row>
    <row r="118" customFormat="false" ht="15" hidden="false" customHeight="false" outlineLevel="0" collapsed="false">
      <c r="A118" s="4" t="s">
        <v>149</v>
      </c>
      <c r="D118" s="25" t="n">
        <f aca="false">SUMPRODUCT(($B$98:$B$114=$A118)*D$98:D$114*$C$98:$C$114)</f>
        <v>7.87584495772711</v>
      </c>
      <c r="E118" s="25" t="n">
        <f aca="false">SUMPRODUCT(($B$98:$B$114=$A118)*E$98:E$114*$C$98:$C$114)</f>
        <v>8.13367486153433</v>
      </c>
      <c r="F118" s="25" t="n">
        <f aca="false">SUMPRODUCT(($B$98:$B$114=$A118)*F$98:F$114*$C$98:$C$114)</f>
        <v>8.39994528945726</v>
      </c>
      <c r="G118" s="25" t="n">
        <f aca="false">SUMPRODUCT(($B$98:$B$114=$A118)*G$98:G$114*$C$98:$C$114)</f>
        <v>8.67493255718424</v>
      </c>
      <c r="H118" s="25" t="n">
        <f aca="false">SUMPRODUCT(($B$98:$B$114=$A118)*H$98:H$114*$C$98:$C$114)</f>
        <v>8.95892202609305</v>
      </c>
      <c r="I118" s="25" t="n">
        <f aca="false">SUMPRODUCT(($B$98:$B$114=$A118)*I$98:I$114*$C$98:$C$114)</f>
        <v>9.2522083993777</v>
      </c>
      <c r="J118" s="25" t="n">
        <f aca="false">SUMPRODUCT(($B$98:$B$114=$A118)*J$98:J$114*$C$98:$C$114)</f>
        <v>9.55509602786961</v>
      </c>
      <c r="K118" s="25" t="n">
        <f aca="false">SUMPRODUCT(($B$98:$B$114=$A118)*K$98:K$114*$C$98:$C$114)</f>
        <v>9.86789922587027</v>
      </c>
      <c r="L118" s="25" t="n">
        <f aca="false">SUMPRODUCT(($B$98:$B$114=$A118)*L$98:L$114*$C$98:$C$114)</f>
        <v>10.1909425973233</v>
      </c>
      <c r="M118" s="25" t="n">
        <f aca="false">SUMPRODUCT(($B$98:$B$114=$A118)*M$98:M$114*$C$98:$C$114)</f>
        <v>10.5245613726643</v>
      </c>
      <c r="N118" s="25" t="n">
        <f aca="false">SUMPRODUCT(($B$98:$B$114=$A118)*N$98:N$114*$C$98:$C$114)</f>
        <v>10.8691017566983</v>
      </c>
      <c r="O118" s="25" t="n">
        <f aca="false">SUMPRODUCT(($B$98:$B$114=$A118)*O$98:O$114*$C$98:$C$114)</f>
        <v>11.2249212878651</v>
      </c>
      <c r="P118" s="25" t="n">
        <f aca="false">SUMPRODUCT(($B$98:$B$114=$A118)*P$98:P$114*$C$98:$C$114)</f>
        <v>113.528050359665</v>
      </c>
    </row>
    <row r="119" customFormat="false" ht="15" hidden="false" customHeight="false" outlineLevel="0" collapsed="false">
      <c r="A119" s="4" t="s">
        <v>155</v>
      </c>
      <c r="D119" s="25" t="n">
        <f aca="false">SUMPRODUCT(($B$98:$B$114=$A119)*D$98:D$114*$C$98:$C$114)</f>
        <v>7.32166526409046</v>
      </c>
      <c r="E119" s="25" t="n">
        <f aca="false">SUMPRODUCT(($B$98:$B$114=$A119)*E$98:E$114*$C$98:$C$114)</f>
        <v>7.5613531021423</v>
      </c>
      <c r="F119" s="25" t="n">
        <f aca="false">SUMPRODUCT(($B$98:$B$114=$A119)*F$98:F$114*$C$98:$C$114)</f>
        <v>7.80888755126386</v>
      </c>
      <c r="G119" s="25" t="n">
        <f aca="false">SUMPRODUCT(($B$98:$B$114=$A119)*G$98:G$114*$C$98:$C$114)</f>
        <v>8.06452548433521</v>
      </c>
      <c r="H119" s="25" t="n">
        <f aca="false">SUMPRODUCT(($B$98:$B$114=$A119)*H$98:H$114*$C$98:$C$114)</f>
        <v>8.32853218343066</v>
      </c>
      <c r="I119" s="25" t="n">
        <f aca="false">SUMPRODUCT(($B$98:$B$114=$A119)*I$98:I$114*$C$98:$C$114)</f>
        <v>8.60118161510878</v>
      </c>
      <c r="J119" s="25" t="n">
        <f aca="false">SUMPRODUCT(($B$98:$B$114=$A119)*J$98:J$114*$C$98:$C$114)</f>
        <v>8.8827567147146</v>
      </c>
      <c r="K119" s="25" t="n">
        <f aca="false">SUMPRODUCT(($B$98:$B$114=$A119)*K$98:K$114*$C$98:$C$114)</f>
        <v>9.17354967998887</v>
      </c>
      <c r="L119" s="25" t="n">
        <f aca="false">SUMPRODUCT(($B$98:$B$114=$A119)*L$98:L$114*$C$98:$C$114)</f>
        <v>9.47386227428921</v>
      </c>
      <c r="M119" s="25" t="n">
        <f aca="false">SUMPRODUCT(($B$98:$B$114=$A119)*M$98:M$114*$C$98:$C$114)</f>
        <v>9.78400613973775</v>
      </c>
      <c r="N119" s="25" t="n">
        <f aca="false">SUMPRODUCT(($B$98:$B$114=$A119)*N$98:N$114*$C$98:$C$114)</f>
        <v>10.1043031206202</v>
      </c>
      <c r="O119" s="25" t="n">
        <f aca="false">SUMPRODUCT(($B$98:$B$114=$A119)*O$98:O$114*$C$98:$C$114)</f>
        <v>10.4350855973717</v>
      </c>
      <c r="P119" s="25" t="n">
        <f aca="false">SUMPRODUCT(($B$98:$B$114=$A119)*P$98:P$114*$C$98:$C$114)</f>
        <v>105.539708727094</v>
      </c>
    </row>
    <row r="120" customFormat="false" ht="15" hidden="false" customHeight="false" outlineLevel="0" collapsed="false">
      <c r="A120" s="4" t="s">
        <v>146</v>
      </c>
      <c r="D120" s="25" t="n">
        <f aca="false">SUMPRODUCT(($B$98:$B$114=$A120)*D$98:D$114*$C$98:$C$114)</f>
        <v>136.600630103622</v>
      </c>
      <c r="E120" s="25" t="n">
        <f aca="false">SUMPRODUCT(($B$98:$B$114=$A120)*E$98:E$114*$C$98:$C$114)</f>
        <v>141.072496615554</v>
      </c>
      <c r="F120" s="25" t="n">
        <f aca="false">SUMPRODUCT(($B$98:$B$114=$A120)*F$98:F$114*$C$98:$C$114)</f>
        <v>145.690757694519</v>
      </c>
      <c r="G120" s="25" t="n">
        <f aca="false">SUMPRODUCT(($B$98:$B$114=$A120)*G$98:G$114*$C$98:$C$114)</f>
        <v>150.460205829112</v>
      </c>
      <c r="H120" s="25" t="n">
        <f aca="false">SUMPRODUCT(($B$98:$B$114=$A120)*H$98:H$114*$C$98:$C$114)</f>
        <v>155.385790398635</v>
      </c>
      <c r="I120" s="25" t="n">
        <f aca="false">SUMPRODUCT(($B$98:$B$114=$A120)*I$98:I$114*$C$98:$C$114)</f>
        <v>160.472622809192</v>
      </c>
      <c r="J120" s="25" t="n">
        <f aca="false">SUMPRODUCT(($B$98:$B$114=$A120)*J$98:J$114*$C$98:$C$114)</f>
        <v>165.725981797931</v>
      </c>
      <c r="K120" s="25" t="n">
        <f aca="false">SUMPRODUCT(($B$98:$B$114=$A120)*K$98:K$114*$C$98:$C$114)</f>
        <v>171.151318910921</v>
      </c>
      <c r="L120" s="25" t="n">
        <f aca="false">SUMPRODUCT(($B$98:$B$114=$A120)*L$98:L$114*$C$98:$C$114)</f>
        <v>176.754264160369</v>
      </c>
      <c r="M120" s="25" t="n">
        <f aca="false">SUMPRODUCT(($B$98:$B$114=$A120)*M$98:M$114*$C$98:$C$114)</f>
        <v>182.54063186702</v>
      </c>
      <c r="N120" s="25" t="n">
        <f aca="false">SUMPRODUCT(($B$98:$B$114=$A120)*N$98:N$114*$C$98:$C$114)</f>
        <v>188.516426693835</v>
      </c>
      <c r="O120" s="25" t="n">
        <f aca="false">SUMPRODUCT(($B$98:$B$114=$A120)*O$98:O$114*$C$98:$C$114)</f>
        <v>194.687849877181</v>
      </c>
      <c r="P120" s="25" t="n">
        <f aca="false">SUMPRODUCT(($B$98:$B$114=$A120)*P$98:P$114*$C$98:$C$114)</f>
        <v>1969.05897675789</v>
      </c>
    </row>
    <row r="121" customFormat="false" ht="15" hidden="false" customHeight="false" outlineLevel="0" collapsed="false">
      <c r="A121" s="4" t="s">
        <v>147</v>
      </c>
      <c r="D121" s="25" t="n">
        <f aca="false">SUMPRODUCT(($B$98:$B$114=$A121)*D$98:D$114*$C$98:$C$114)</f>
        <v>67.7172870824172</v>
      </c>
      <c r="E121" s="25" t="n">
        <f aca="false">SUMPRODUCT(($B$98:$B$114=$A121)*E$98:E$114*$C$98:$C$114)</f>
        <v>69.934133872604</v>
      </c>
      <c r="F121" s="25" t="n">
        <f aca="false">SUMPRODUCT(($B$98:$B$114=$A121)*F$98:F$114*$C$98:$C$114)</f>
        <v>72.2235531166337</v>
      </c>
      <c r="G121" s="25" t="n">
        <f aca="false">SUMPRODUCT(($B$98:$B$114=$A121)*G$98:G$114*$C$98:$C$114)</f>
        <v>74.5879206038844</v>
      </c>
      <c r="H121" s="25" t="n">
        <f aca="false">SUMPRODUCT(($B$98:$B$114=$A121)*H$98:H$114*$C$98:$C$114)</f>
        <v>77.0296898994586</v>
      </c>
      <c r="I121" s="25" t="n">
        <f aca="false">SUMPRODUCT(($B$98:$B$114=$A121)*I$98:I$114*$C$98:$C$114)</f>
        <v>79.5513948903107</v>
      </c>
      <c r="J121" s="25" t="n">
        <f aca="false">SUMPRODUCT(($B$98:$B$114=$A121)*J$98:J$114*$C$98:$C$114)</f>
        <v>82.1556524147273</v>
      </c>
      <c r="K121" s="25" t="n">
        <f aca="false">SUMPRODUCT(($B$98:$B$114=$A121)*K$98:K$114*$C$98:$C$114)</f>
        <v>84.8451649778875</v>
      </c>
      <c r="L121" s="25" t="n">
        <f aca="false">SUMPRODUCT(($B$98:$B$114=$A121)*L$98:L$114*$C$98:$C$114)</f>
        <v>87.6227235563222</v>
      </c>
      <c r="M121" s="25" t="n">
        <f aca="false">SUMPRODUCT(($B$98:$B$114=$A121)*M$98:M$114*$C$98:$C$114)</f>
        <v>90.4912104941825</v>
      </c>
      <c r="N121" s="25" t="n">
        <f aca="false">SUMPRODUCT(($B$98:$B$114=$A121)*N$98:N$114*$C$98:$C$114)</f>
        <v>93.4536024943226</v>
      </c>
      <c r="O121" s="25" t="n">
        <f aca="false">SUMPRODUCT(($B$98:$B$114=$A121)*O$98:O$114*$C$98:$C$114)</f>
        <v>96.5129737073008</v>
      </c>
      <c r="P121" s="25" t="n">
        <f aca="false">SUMPRODUCT(($B$98:$B$114=$A121)*P$98:P$114*$C$98:$C$114)</f>
        <v>976.125307110052</v>
      </c>
    </row>
    <row r="122" customFormat="false" ht="15" hidden="false" customHeight="false" outlineLevel="0" collapsed="false">
      <c r="A122" s="4" t="s">
        <v>150</v>
      </c>
      <c r="D122" s="25" t="n">
        <f aca="false">SUMPRODUCT(($B$98:$B$114=$A122)*D$98:D$114*$C$98:$C$114)</f>
        <v>67.0991679326979</v>
      </c>
      <c r="E122" s="25" t="n">
        <f aca="false">SUMPRODUCT(($B$98:$B$114=$A122)*E$98:E$114*$C$98:$C$114)</f>
        <v>69.2957794844095</v>
      </c>
      <c r="F122" s="25" t="n">
        <f aca="false">SUMPRODUCT(($B$98:$B$114=$A122)*F$98:F$114*$C$98:$C$114)</f>
        <v>71.5643010531566</v>
      </c>
      <c r="G122" s="25" t="n">
        <f aca="false">SUMPRODUCT(($B$98:$B$114=$A122)*G$98:G$114*$C$98:$C$114)</f>
        <v>73.9070867422607</v>
      </c>
      <c r="H122" s="25" t="n">
        <f aca="false">SUMPRODUCT(($B$98:$B$114=$A122)*H$98:H$114*$C$98:$C$114)</f>
        <v>76.3265677208361</v>
      </c>
      <c r="I122" s="25" t="n">
        <f aca="false">SUMPRODUCT(($B$98:$B$114=$A122)*I$98:I$114*$C$98:$C$114)</f>
        <v>78.8252547466759</v>
      </c>
      <c r="J122" s="25" t="n">
        <f aca="false">SUMPRODUCT(($B$98:$B$114=$A122)*J$98:J$114*$C$98:$C$114)</f>
        <v>81.405740771731</v>
      </c>
      <c r="K122" s="25" t="n">
        <f aca="false">SUMPRODUCT(($B$98:$B$114=$A122)*K$98:K$114*$C$98:$C$114)</f>
        <v>84.0707036328827</v>
      </c>
      <c r="L122" s="25" t="n">
        <f aca="false">SUMPRODUCT(($B$98:$B$114=$A122)*L$98:L$114*$C$98:$C$114)</f>
        <v>86.8229088308031</v>
      </c>
      <c r="M122" s="25" t="n">
        <f aca="false">SUMPRODUCT(($B$98:$B$114=$A122)*M$98:M$114*$C$98:$C$114)</f>
        <v>89.6652123997867</v>
      </c>
      <c r="N122" s="25" t="n">
        <f aca="false">SUMPRODUCT(($B$98:$B$114=$A122)*N$98:N$114*$C$98:$C$114)</f>
        <v>92.6005638715306</v>
      </c>
      <c r="O122" s="25" t="n">
        <f aca="false">SUMPRODUCT(($B$98:$B$114=$A122)*O$98:O$114*$C$98:$C$114)</f>
        <v>95.6320093359398</v>
      </c>
      <c r="P122" s="25" t="n">
        <f aca="false">SUMPRODUCT(($B$98:$B$114=$A122)*P$98:P$114*$C$98:$C$114)</f>
        <v>967.215296522711</v>
      </c>
    </row>
    <row r="123" customFormat="false" ht="15" hidden="false" customHeight="false" outlineLevel="0" collapsed="false">
      <c r="A123" s="4" t="s">
        <v>151</v>
      </c>
      <c r="D123" s="25" t="n">
        <f aca="false">SUMPRODUCT(($B$98:$B$114=$A123)*D$98:D$114*$C$98:$C$114)</f>
        <v>494.839491046996</v>
      </c>
      <c r="E123" s="25" t="n">
        <f aca="false">SUMPRODUCT(($B$98:$B$114=$A123)*E$98:E$114*$C$98:$C$114)</f>
        <v>511.038948890753</v>
      </c>
      <c r="F123" s="25" t="n">
        <f aca="false">SUMPRODUCT(($B$98:$B$114=$A123)*F$98:F$114*$C$98:$C$114)</f>
        <v>527.768725027976</v>
      </c>
      <c r="G123" s="25" t="n">
        <f aca="false">SUMPRODUCT(($B$98:$B$114=$A123)*G$98:G$114*$C$98:$C$114)</f>
        <v>545.046180378708</v>
      </c>
      <c r="H123" s="25" t="n">
        <f aca="false">SUMPRODUCT(($B$98:$B$114=$A123)*H$98:H$114*$C$98:$C$114)</f>
        <v>562.889244203836</v>
      </c>
      <c r="I123" s="25" t="n">
        <f aca="false">SUMPRODUCT(($B$98:$B$114=$A123)*I$98:I$114*$C$98:$C$114)</f>
        <v>581.316432710742</v>
      </c>
      <c r="J123" s="25" t="n">
        <f aca="false">SUMPRODUCT(($B$98:$B$114=$A123)*J$98:J$114*$C$98:$C$114)</f>
        <v>600.346868268049</v>
      </c>
      <c r="K123" s="25" t="n">
        <f aca="false">SUMPRODUCT(($B$98:$B$114=$A123)*K$98:K$114*$C$98:$C$114)</f>
        <v>620.000299249401</v>
      </c>
      <c r="L123" s="25" t="n">
        <f aca="false">SUMPRODUCT(($B$98:$B$114=$A123)*L$98:L$114*$C$98:$C$114)</f>
        <v>640.297120526855</v>
      </c>
      <c r="M123" s="25" t="n">
        <f aca="false">SUMPRODUCT(($B$98:$B$114=$A123)*M$98:M$114*$C$98:$C$114)</f>
        <v>661.258394635166</v>
      </c>
      <c r="N123" s="25" t="n">
        <f aca="false">SUMPRODUCT(($B$98:$B$114=$A123)*N$98:N$114*$C$98:$C$114)</f>
        <v>682.905873628926</v>
      </c>
      <c r="O123" s="25" t="n">
        <f aca="false">SUMPRODUCT(($B$98:$B$114=$A123)*O$98:O$114*$C$98:$C$114)</f>
        <v>705.262021655226</v>
      </c>
      <c r="P123" s="25" t="n">
        <f aca="false">SUMPRODUCT(($B$98:$B$114=$A123)*P$98:P$114*$C$98:$C$114)</f>
        <v>7132.96960022263</v>
      </c>
    </row>
    <row r="124" customFormat="false" ht="15" hidden="false" customHeight="false" outlineLevel="0" collapsed="false">
      <c r="A124" s="4" t="s">
        <v>154</v>
      </c>
      <c r="D124" s="25" t="n">
        <f aca="false">SUMPRODUCT(($B$98:$B$114=$A124)*D$98:D$114*$C$98:$C$114)</f>
        <v>19.7863483070483</v>
      </c>
      <c r="E124" s="25" t="n">
        <f aca="false">SUMPRODUCT(($B$98:$B$114=$A124)*E$98:E$114*$C$98:$C$114)</f>
        <v>20.4340898900891</v>
      </c>
      <c r="F124" s="25" t="n">
        <f aca="false">SUMPRODUCT(($B$98:$B$114=$A124)*F$98:F$114*$C$98:$C$114)</f>
        <v>21.1030364550645</v>
      </c>
      <c r="G124" s="25" t="n">
        <f aca="false">SUMPRODUCT(($B$98:$B$114=$A124)*G$98:G$114*$C$98:$C$114)</f>
        <v>21.7938821850723</v>
      </c>
      <c r="H124" s="25" t="n">
        <f aca="false">SUMPRODUCT(($B$98:$B$114=$A124)*H$98:H$114*$C$98:$C$114)</f>
        <v>22.5073439885389</v>
      </c>
      <c r="I124" s="25" t="n">
        <f aca="false">SUMPRODUCT(($B$98:$B$114=$A124)*I$98:I$114*$C$98:$C$114)</f>
        <v>23.244162243173</v>
      </c>
      <c r="J124" s="25" t="n">
        <f aca="false">SUMPRODUCT(($B$98:$B$114=$A124)*J$98:J$114*$C$98:$C$114)</f>
        <v>24.0051015642749</v>
      </c>
      <c r="K124" s="25" t="n">
        <f aca="false">SUMPRODUCT(($B$98:$B$114=$A124)*K$98:K$114*$C$98:$C$114)</f>
        <v>24.7909515981976</v>
      </c>
      <c r="L124" s="25" t="n">
        <f aca="false">SUMPRODUCT(($B$98:$B$114=$A124)*L$98:L$114*$C$98:$C$114)</f>
        <v>25.6025278417829</v>
      </c>
      <c r="M124" s="25" t="n">
        <f aca="false">SUMPRODUCT(($B$98:$B$114=$A124)*M$98:M$114*$C$98:$C$114)</f>
        <v>26.4406724886239</v>
      </c>
      <c r="N124" s="25" t="n">
        <f aca="false">SUMPRODUCT(($B$98:$B$114=$A124)*N$98:N$114*$C$98:$C$114)</f>
        <v>27.3062553030306</v>
      </c>
      <c r="O124" s="25" t="n">
        <f aca="false">SUMPRODUCT(($B$98:$B$114=$A124)*O$98:O$114*$C$98:$C$114)</f>
        <v>28.200174522607</v>
      </c>
      <c r="P124" s="25" t="n">
        <f aca="false">SUMPRODUCT(($B$98:$B$114=$A124)*P$98:P$114*$C$98:$C$114)</f>
        <v>285.214546387503</v>
      </c>
    </row>
    <row r="125" customFormat="false" ht="15" hidden="false" customHeight="false" outlineLevel="0" collapsed="false">
      <c r="A125" s="6" t="s">
        <v>274</v>
      </c>
      <c r="D125" s="26" t="n">
        <f aca="false">SUMPRODUCT(D$98:D$114*parametros_recargas!$D$51:$D$67)</f>
        <v>201.853514115654</v>
      </c>
      <c r="E125" s="26" t="n">
        <f aca="false">SUMPRODUCT(E$98:E$114*parametros_recargas!$D$51:$D$67)</f>
        <v>208.4615507653</v>
      </c>
      <c r="F125" s="26" t="n">
        <f aca="false">SUMPRODUCT(F$98:F$114*parametros_recargas!$D$51:$D$67)</f>
        <v>215.285913340974</v>
      </c>
      <c r="G125" s="26" t="n">
        <f aca="false">SUMPRODUCT(G$98:G$114*parametros_recargas!$D$51:$D$67)</f>
        <v>222.333683659674</v>
      </c>
      <c r="H125" s="26" t="n">
        <f aca="false">SUMPRODUCT(H$98:H$114*parametros_recargas!$D$51:$D$67)</f>
        <v>229.612175374374</v>
      </c>
      <c r="I125" s="26" t="n">
        <f aca="false">SUMPRODUCT(I$98:I$114*parametros_recargas!$D$51:$D$67)</f>
        <v>237.12894156359</v>
      </c>
      <c r="J125" s="26" t="n">
        <f aca="false">SUMPRODUCT(J$98:J$114*parametros_recargas!$D$51:$D$67)</f>
        <v>244.8917825694</v>
      </c>
      <c r="K125" s="26" t="n">
        <f aca="false">SUMPRODUCT(K$98:K$114*parametros_recargas!$D$51:$D$67)</f>
        <v>252.908754092068</v>
      </c>
      <c r="L125" s="26" t="n">
        <f aca="false">SUMPRODUCT(L$98:L$114*parametros_recargas!$D$51:$D$67)</f>
        <v>261.188175549646</v>
      </c>
      <c r="M125" s="26" t="n">
        <f aca="false">SUMPRODUCT(M$98:M$114*parametros_recargas!$D$51:$D$67)</f>
        <v>269.73863871125</v>
      </c>
      <c r="N125" s="26" t="n">
        <f aca="false">SUMPRODUCT(N$98:N$114*parametros_recargas!$D$51:$D$67)</f>
        <v>278.569016612961</v>
      </c>
      <c r="O125" s="26" t="n">
        <f aca="false">SUMPRODUCT(O$98:O$114*parametros_recargas!$D$51:$D$67)</f>
        <v>287.688472765602</v>
      </c>
      <c r="P125" s="26" t="n">
        <f aca="false">SUMPRODUCT(P$98:P$114*parametros_recargas!$D$51:$D$67)</f>
        <v>2909.66061912049</v>
      </c>
    </row>
    <row r="129" customFormat="false" ht="15" hidden="false" customHeight="false" outlineLevel="0" collapsed="false">
      <c r="A129" s="23" t="n">
        <v>2030</v>
      </c>
      <c r="B129" s="3" t="s">
        <v>270</v>
      </c>
      <c r="C129" s="3" t="s">
        <v>271</v>
      </c>
      <c r="D129" s="3" t="s">
        <v>124</v>
      </c>
      <c r="E129" s="3" t="s">
        <v>125</v>
      </c>
      <c r="F129" s="3" t="s">
        <v>126</v>
      </c>
      <c r="G129" s="3" t="s">
        <v>127</v>
      </c>
      <c r="H129" s="3" t="s">
        <v>128</v>
      </c>
      <c r="I129" s="3" t="s">
        <v>129</v>
      </c>
      <c r="J129" s="3" t="s">
        <v>130</v>
      </c>
      <c r="K129" s="3" t="s">
        <v>131</v>
      </c>
      <c r="L129" s="3" t="s">
        <v>132</v>
      </c>
      <c r="M129" s="3" t="s">
        <v>133</v>
      </c>
      <c r="N129" s="3" t="s">
        <v>134</v>
      </c>
      <c r="O129" s="3" t="s">
        <v>135</v>
      </c>
      <c r="P129" s="3" t="s">
        <v>136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4" t="n">
        <f aca="false">parametros_recargas!C51</f>
        <v>1</v>
      </c>
      <c r="D130" s="25" t="n">
        <f aca="false">datos_base!$F$2*parametros_recargas!$F$41</f>
        <v>4322.69103542264</v>
      </c>
      <c r="E130" s="25" t="n">
        <f aca="false">datos_base!$F$2*parametros_recargas!$G$41</f>
        <v>4435.18734568693</v>
      </c>
      <c r="F130" s="25" t="n">
        <f aca="false">datos_base!$F$2*parametros_recargas!$H$41</f>
        <v>4550.61132756119</v>
      </c>
      <c r="G130" s="25" t="n">
        <f aca="false">datos_base!$F$2*parametros_recargas!$I$41</f>
        <v>4669.03917253149</v>
      </c>
      <c r="H130" s="25" t="n">
        <f aca="false">datos_base!$F$2*parametros_recargas!$J$41</f>
        <v>4790.54905493692</v>
      </c>
      <c r="I130" s="25" t="n">
        <f aca="false">datos_base!$F$2*parametros_recargas!$K$41</f>
        <v>4915.22118357259</v>
      </c>
      <c r="J130" s="25" t="n">
        <f aca="false">datos_base!$F$2*parametros_recargas!$L$41</f>
        <v>5043.13785463551</v>
      </c>
      <c r="K130" s="25" t="n">
        <f aca="false">datos_base!$F$2*parametros_recargas!$M$41</f>
        <v>5174.38350604839</v>
      </c>
      <c r="L130" s="25" t="n">
        <f aca="false">datos_base!$F$2*parametros_recargas!$N$41</f>
        <v>5309.0447731972</v>
      </c>
      <c r="M130" s="25" t="n">
        <f aca="false">datos_base!$F$2*parametros_recargas!$O$41</f>
        <v>5447.2105461193</v>
      </c>
      <c r="N130" s="25" t="n">
        <f aca="false">datos_base!$F$2*parametros_recargas!$P$41</f>
        <v>5588.9720281798</v>
      </c>
      <c r="O130" s="25" t="n">
        <f aca="false">datos_base!$F$2*parametros_recargas!$Q$41</f>
        <v>5734.42279627502</v>
      </c>
      <c r="P130" s="7" t="n">
        <f aca="false">SUM(D130:O130)</f>
        <v>59980.470624167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4" t="n">
        <f aca="false">parametros_recargas!C52</f>
        <v>1</v>
      </c>
      <c r="D131" s="25" t="n">
        <f aca="false">datos_base!$F$3*parametros_recargas!$F$41</f>
        <v>402.715312694898</v>
      </c>
      <c r="E131" s="25" t="n">
        <f aca="false">datos_base!$F$3*parametros_recargas!$G$41</f>
        <v>413.195818100873</v>
      </c>
      <c r="F131" s="25" t="n">
        <f aca="false">datos_base!$F$3*parametros_recargas!$H$41</f>
        <v>423.949074480307</v>
      </c>
      <c r="G131" s="25" t="n">
        <f aca="false">datos_base!$F$3*parametros_recargas!$I$41</f>
        <v>434.98218006851</v>
      </c>
      <c r="H131" s="25" t="n">
        <f aca="false">datos_base!$F$3*parametros_recargas!$J$41</f>
        <v>446.302417829532</v>
      </c>
      <c r="I131" s="25" t="n">
        <f aca="false">datos_base!$F$3*parametros_recargas!$K$41</f>
        <v>457.917260263661</v>
      </c>
      <c r="J131" s="25" t="n">
        <f aca="false">datos_base!$F$3*parametros_recargas!$L$41</f>
        <v>469.834374340021</v>
      </c>
      <c r="K131" s="25" t="n">
        <f aca="false">datos_base!$F$3*parametros_recargas!$M$41</f>
        <v>482.061626557555</v>
      </c>
      <c r="L131" s="25" t="n">
        <f aca="false">datos_base!$F$3*parametros_recargas!$N$41</f>
        <v>494.607088137698</v>
      </c>
      <c r="M131" s="25" t="n">
        <f aca="false">datos_base!$F$3*parametros_recargas!$O$41</f>
        <v>507.479040352209</v>
      </c>
      <c r="N131" s="25" t="n">
        <f aca="false">datos_base!$F$3*parametros_recargas!$P$41</f>
        <v>520.685979989639</v>
      </c>
      <c r="O131" s="25" t="n">
        <f aca="false">datos_base!$F$3*parametros_recargas!$Q$41</f>
        <v>534.236624964073</v>
      </c>
      <c r="P131" s="7" t="n">
        <f aca="false">SUM(D131:O131)</f>
        <v>5587.96679777898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4" t="n">
        <f aca="false">parametros_recargas!C53</f>
        <v>1</v>
      </c>
      <c r="D132" s="25" t="n">
        <f aca="false">datos_base!$F$4*parametros_recargas!$F$41</f>
        <v>2483.09499885141</v>
      </c>
      <c r="E132" s="25" t="n">
        <f aca="false">datos_base!$F$4*parametros_recargas!$G$41</f>
        <v>2547.7165559133</v>
      </c>
      <c r="F132" s="25" t="n">
        <f aca="false">datos_base!$F$4*parametros_recargas!$H$41</f>
        <v>2614.019863226</v>
      </c>
      <c r="G132" s="25" t="n">
        <f aca="false">datos_base!$F$4*parametros_recargas!$I$41</f>
        <v>2682.04868766909</v>
      </c>
      <c r="H132" s="25" t="n">
        <f aca="false">datos_base!$F$4*parametros_recargas!$J$41</f>
        <v>2751.84793513773</v>
      </c>
      <c r="I132" s="25" t="n">
        <f aca="false">datos_base!$F$4*parametros_recargas!$K$41</f>
        <v>2823.46368018511</v>
      </c>
      <c r="J132" s="25" t="n">
        <f aca="false">datos_base!$F$4*parametros_recargas!$L$41</f>
        <v>2896.94319643626</v>
      </c>
      <c r="K132" s="25" t="n">
        <f aca="false">datos_base!$F$4*parametros_recargas!$M$41</f>
        <v>2972.33498779348</v>
      </c>
      <c r="L132" s="25" t="n">
        <f aca="false">datos_base!$F$4*parametros_recargas!$N$41</f>
        <v>3049.68882045377</v>
      </c>
      <c r="M132" s="25" t="n">
        <f aca="false">datos_base!$F$4*parametros_recargas!$O$41</f>
        <v>3129.05575575956</v>
      </c>
      <c r="N132" s="25" t="n">
        <f aca="false">datos_base!$F$4*parametros_recargas!$P$41</f>
        <v>3210.48818390435</v>
      </c>
      <c r="O132" s="25" t="n">
        <f aca="false">datos_base!$F$4*parametros_recargas!$Q$41</f>
        <v>3294.03985851554</v>
      </c>
      <c r="P132" s="7" t="n">
        <f aca="false">SUM(D132:O132)</f>
        <v>34454.7425238456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4" t="n">
        <f aca="false">parametros_recargas!C54</f>
        <v>1</v>
      </c>
      <c r="D133" s="25" t="n">
        <f aca="false">datos_base!$F$5*parametros_recargas!$F$41</f>
        <v>145.934768102054</v>
      </c>
      <c r="E133" s="25" t="n">
        <f aca="false">datos_base!$F$5*parametros_recargas!$G$41</f>
        <v>149.732662241659</v>
      </c>
      <c r="F133" s="25" t="n">
        <f aca="false">datos_base!$F$5*parametros_recargas!$H$41</f>
        <v>153.629395061609</v>
      </c>
      <c r="G133" s="25" t="n">
        <f aca="false">datos_base!$F$5*parametros_recargas!$I$41</f>
        <v>157.627538799142</v>
      </c>
      <c r="H133" s="25" t="n">
        <f aca="false">datos_base!$F$5*parametros_recargas!$J$41</f>
        <v>161.729732632945</v>
      </c>
      <c r="I133" s="25" t="n">
        <f aca="false">datos_base!$F$5*parametros_recargas!$K$41</f>
        <v>165.938684425276</v>
      </c>
      <c r="J133" s="25" t="n">
        <f aca="false">datos_base!$F$5*parametros_recargas!$L$41</f>
        <v>170.257172509431</v>
      </c>
      <c r="K133" s="25" t="n">
        <f aca="false">datos_base!$F$5*parametros_recargas!$M$41</f>
        <v>174.688047523719</v>
      </c>
      <c r="L133" s="25" t="n">
        <f aca="false">datos_base!$F$5*parametros_recargas!$N$41</f>
        <v>179.234234293176</v>
      </c>
      <c r="M133" s="25" t="n">
        <f aca="false">datos_base!$F$5*parametros_recargas!$O$41</f>
        <v>183.898733760244</v>
      </c>
      <c r="N133" s="25" t="n">
        <f aca="false">datos_base!$F$5*parametros_recargas!$P$41</f>
        <v>188.684624965693</v>
      </c>
      <c r="O133" s="25" t="n">
        <f aca="false">datos_base!$F$5*parametros_recargas!$Q$41</f>
        <v>193.595067081102</v>
      </c>
      <c r="P133" s="7" t="n">
        <f aca="false">SUM(D133:O133)</f>
        <v>2024.95066139605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4" t="n">
        <f aca="false">parametros_recargas!C55</f>
        <v>1</v>
      </c>
      <c r="D134" s="25" t="n">
        <f aca="false">datos_base!$F$6*parametros_recargas!$F$41</f>
        <v>204.744566632599</v>
      </c>
      <c r="E134" s="25" t="n">
        <f aca="false">datos_base!$F$6*parametros_recargas!$G$41</f>
        <v>210.072962325023</v>
      </c>
      <c r="F134" s="25" t="n">
        <f aca="false">datos_base!$F$6*parametros_recargas!$H$41</f>
        <v>215.540027390326</v>
      </c>
      <c r="G134" s="25" t="n">
        <f aca="false">datos_base!$F$6*parametros_recargas!$I$41</f>
        <v>221.149370643632</v>
      </c>
      <c r="H134" s="25" t="n">
        <f aca="false">datos_base!$F$6*parametros_recargas!$J$41</f>
        <v>226.904694818043</v>
      </c>
      <c r="I134" s="25" t="n">
        <f aca="false">datos_base!$F$6*parametros_recargas!$K$41</f>
        <v>232.809799008812</v>
      </c>
      <c r="J134" s="25" t="n">
        <f aca="false">datos_base!$F$6*parametros_recargas!$L$41</f>
        <v>238.868581181131</v>
      </c>
      <c r="K134" s="25" t="n">
        <f aca="false">datos_base!$F$6*parametros_recargas!$M$41</f>
        <v>245.085040743182</v>
      </c>
      <c r="L134" s="25" t="n">
        <f aca="false">datos_base!$F$6*parametros_recargas!$N$41</f>
        <v>251.463281186148</v>
      </c>
      <c r="M134" s="25" t="n">
        <f aca="false">datos_base!$F$6*parametros_recargas!$O$41</f>
        <v>258.007512792936</v>
      </c>
      <c r="N134" s="25" t="n">
        <f aca="false">datos_base!$F$6*parametros_recargas!$P$41</f>
        <v>264.722055417386</v>
      </c>
      <c r="O134" s="25" t="n">
        <f aca="false">datos_base!$F$6*parametros_recargas!$Q$41</f>
        <v>271.61134133581</v>
      </c>
      <c r="P134" s="7" t="n">
        <f aca="false">SUM(D134:O134)</f>
        <v>2840.97923347503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4" t="n">
        <f aca="false">parametros_recargas!C56</f>
        <v>1</v>
      </c>
      <c r="D135" s="25" t="n">
        <f aca="false">datos_base!$F$7*parametros_recargas!$F$41</f>
        <v>38.1530934088245</v>
      </c>
      <c r="E135" s="25" t="n">
        <f aca="false">datos_base!$F$7*parametros_recargas!$G$41</f>
        <v>39.1460124489525</v>
      </c>
      <c r="F135" s="25" t="n">
        <f aca="false">datos_base!$F$7*parametros_recargas!$H$41</f>
        <v>40.1647718111137</v>
      </c>
      <c r="G135" s="25" t="n">
        <f aca="false">datos_base!$F$7*parametros_recargas!$I$41</f>
        <v>41.2100439793837</v>
      </c>
      <c r="H135" s="25" t="n">
        <f aca="false">datos_base!$F$7*parametros_recargas!$J$41</f>
        <v>42.2825189389678</v>
      </c>
      <c r="I135" s="25" t="n">
        <f aca="false">datos_base!$F$7*parametros_recargas!$K$41</f>
        <v>43.3829046316614</v>
      </c>
      <c r="J135" s="25" t="n">
        <f aca="false">datos_base!$F$7*parametros_recargas!$L$41</f>
        <v>44.5119274231624</v>
      </c>
      <c r="K135" s="25" t="n">
        <f aca="false">datos_base!$F$7*parametros_recargas!$M$41</f>
        <v>45.6703325825467</v>
      </c>
      <c r="L135" s="25" t="n">
        <f aca="false">datos_base!$F$7*parametros_recargas!$N$41</f>
        <v>46.8588847742203</v>
      </c>
      <c r="M135" s="25" t="n">
        <f aca="false">datos_base!$F$7*parametros_recargas!$O$41</f>
        <v>48.0783685626757</v>
      </c>
      <c r="N135" s="25" t="n">
        <f aca="false">datos_base!$F$7*parametros_recargas!$P$41</f>
        <v>49.3295889303832</v>
      </c>
      <c r="O135" s="25" t="n">
        <f aca="false">datos_base!$F$7*parametros_recargas!$Q$41</f>
        <v>50.6133718091611</v>
      </c>
      <c r="P135" s="7" t="n">
        <f aca="false">SUM(D135:O135)</f>
        <v>529.401819301053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4" t="n">
        <f aca="false">parametros_recargas!C57</f>
        <v>3</v>
      </c>
      <c r="D136" s="25" t="n">
        <f aca="false">datos_base!$F$8*parametros_recargas!$F$41</f>
        <v>20.4619398671347</v>
      </c>
      <c r="E136" s="25" t="n">
        <f aca="false">datos_base!$F$8*parametros_recargas!$G$41</f>
        <v>20.9944536917498</v>
      </c>
      <c r="F136" s="25" t="n">
        <f aca="false">datos_base!$F$8*parametros_recargas!$H$41</f>
        <v>21.5408259762787</v>
      </c>
      <c r="G136" s="25" t="n">
        <f aca="false">datos_base!$F$8*parametros_recargas!$I$41</f>
        <v>22.1014173816136</v>
      </c>
      <c r="H136" s="25" t="n">
        <f aca="false">datos_base!$F$8*parametros_recargas!$J$41</f>
        <v>22.676597954703</v>
      </c>
      <c r="I136" s="25" t="n">
        <f aca="false">datos_base!$F$8*parametros_recargas!$K$41</f>
        <v>23.2667473728192</v>
      </c>
      <c r="J136" s="25" t="n">
        <f aca="false">datos_base!$F$8*parametros_recargas!$L$41</f>
        <v>23.8722551941843</v>
      </c>
      <c r="K136" s="25" t="n">
        <f aca="false">datos_base!$F$8*parametros_recargas!$M$41</f>
        <v>24.4935211151179</v>
      </c>
      <c r="L136" s="25" t="n">
        <f aca="false">datos_base!$F$8*parametros_recargas!$N$41</f>
        <v>25.1309552338767</v>
      </c>
      <c r="M136" s="25" t="n">
        <f aca="false">datos_base!$F$8*parametros_recargas!$O$41</f>
        <v>25.7849783213611</v>
      </c>
      <c r="N136" s="25" t="n">
        <f aca="false">datos_base!$F$8*parametros_recargas!$P$41</f>
        <v>26.4560220988663</v>
      </c>
      <c r="O136" s="25" t="n">
        <f aca="false">datos_base!$F$8*parametros_recargas!$Q$41</f>
        <v>27.1445295230621</v>
      </c>
      <c r="P136" s="7" t="n">
        <f aca="false">SUM(D136:O136)</f>
        <v>283.924243730767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4" t="n">
        <f aca="false">parametros_recargas!C58</f>
        <v>1</v>
      </c>
      <c r="D137" s="25" t="n">
        <f aca="false">datos_base!$F$9*parametros_recargas!$F$41</f>
        <v>11.2745760351901</v>
      </c>
      <c r="E137" s="25" t="n">
        <f aca="false">datos_base!$F$9*parametros_recargas!$G$41</f>
        <v>11.5679923800918</v>
      </c>
      <c r="F137" s="25" t="n">
        <f aca="false">datos_base!$F$9*parametros_recargas!$H$41</f>
        <v>11.8690447683521</v>
      </c>
      <c r="G137" s="25" t="n">
        <f aca="false">datos_base!$F$9*parametros_recargas!$I$41</f>
        <v>12.1779319249543</v>
      </c>
      <c r="H137" s="25" t="n">
        <f aca="false">datos_base!$F$9*parametros_recargas!$J$41</f>
        <v>12.4948577466197</v>
      </c>
      <c r="I137" s="25" t="n">
        <f aca="false">datos_base!$F$9*parametros_recargas!$K$41</f>
        <v>12.8200314364008</v>
      </c>
      <c r="J137" s="25" t="n">
        <f aca="false">datos_base!$F$9*parametros_recargas!$L$41</f>
        <v>13.1536676417758</v>
      </c>
      <c r="K137" s="25" t="n">
        <f aca="false">datos_base!$F$9*parametros_recargas!$M$41</f>
        <v>13.4959865963383</v>
      </c>
      <c r="L137" s="25" t="n">
        <f aca="false">datos_base!$F$9*parametros_recargas!$N$41</f>
        <v>13.8472142651731</v>
      </c>
      <c r="M137" s="25" t="n">
        <f aca="false">datos_base!$F$9*parametros_recargas!$O$41</f>
        <v>14.2075824940161</v>
      </c>
      <c r="N137" s="25" t="n">
        <f aca="false">datos_base!$F$9*parametros_recargas!$P$41</f>
        <v>14.5773291622964</v>
      </c>
      <c r="O137" s="25" t="n">
        <f aca="false">datos_base!$F$9*parametros_recargas!$Q$41</f>
        <v>14.9566983401599</v>
      </c>
      <c r="P137" s="7" t="n">
        <f aca="false">SUM(D137:O137)</f>
        <v>156.442912791368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4" t="n">
        <f aca="false">parametros_recargas!C59</f>
        <v>1</v>
      </c>
      <c r="D138" s="25" t="n">
        <f aca="false">datos_base!$F$10*parametros_recargas!$F$41</f>
        <v>100.597092266138</v>
      </c>
      <c r="E138" s="25" t="n">
        <f aca="false">datos_base!$F$10*parametros_recargas!$G$41</f>
        <v>103.215091473234</v>
      </c>
      <c r="F138" s="25" t="n">
        <f aca="false">datos_base!$F$10*parametros_recargas!$H$41</f>
        <v>105.90122306561</v>
      </c>
      <c r="G138" s="25" t="n">
        <f aca="false">datos_base!$F$10*parametros_recargas!$I$41</f>
        <v>108.657260161422</v>
      </c>
      <c r="H138" s="25" t="n">
        <f aca="false">datos_base!$F$10*parametros_recargas!$J$41</f>
        <v>111.485022023517</v>
      </c>
      <c r="I138" s="25" t="n">
        <f aca="false">datos_base!$F$10*parametros_recargas!$K$41</f>
        <v>114.386375260332</v>
      </c>
      <c r="J138" s="25" t="n">
        <f aca="false">datos_base!$F$10*parametros_recargas!$L$41</f>
        <v>117.363235058048</v>
      </c>
      <c r="K138" s="25" t="n">
        <f aca="false">datos_base!$F$10*parametros_recargas!$M$41</f>
        <v>120.417566444797</v>
      </c>
      <c r="L138" s="25" t="n">
        <f aca="false">datos_base!$F$10*parametros_recargas!$N$41</f>
        <v>123.551385587788</v>
      </c>
      <c r="M138" s="25" t="n">
        <f aca="false">datos_base!$F$10*parametros_recargas!$O$41</f>
        <v>126.766761124177</v>
      </c>
      <c r="N138" s="25" t="n">
        <f aca="false">datos_base!$F$10*parametros_recargas!$P$41</f>
        <v>130.065815526577</v>
      </c>
      <c r="O138" s="25" t="n">
        <f aca="false">datos_base!$F$10*parametros_recargas!$Q$41</f>
        <v>133.450726504103</v>
      </c>
      <c r="P138" s="7" t="n">
        <f aca="false">SUM(D138:O138)</f>
        <v>1395.85755449574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4" t="n">
        <f aca="false">parametros_recargas!C60</f>
        <v>1</v>
      </c>
      <c r="D139" s="25" t="n">
        <f aca="false">datos_base!$F$11*parametros_recargas!$F$41</f>
        <v>560.155279551332</v>
      </c>
      <c r="E139" s="25" t="n">
        <f aca="false">datos_base!$F$11*parametros_recargas!$G$41</f>
        <v>574.733097306106</v>
      </c>
      <c r="F139" s="25" t="n">
        <f aca="false">datos_base!$F$11*parametros_recargas!$H$41</f>
        <v>589.690296954168</v>
      </c>
      <c r="G139" s="25" t="n">
        <f aca="false">datos_base!$F$11*parametros_recargas!$I$41</f>
        <v>605.036751757989</v>
      </c>
      <c r="H139" s="25" t="n">
        <f aca="false">datos_base!$F$11*parametros_recargas!$J$41</f>
        <v>620.782591927759</v>
      </c>
      <c r="I139" s="25" t="n">
        <f aca="false">datos_base!$F$11*parametros_recargas!$K$41</f>
        <v>636.938211308349</v>
      </c>
      <c r="J139" s="25" t="n">
        <f aca="false">datos_base!$F$11*parametros_recargas!$L$41</f>
        <v>653.514274240295</v>
      </c>
      <c r="K139" s="25" t="n">
        <f aca="false">datos_base!$F$11*parametros_recargas!$M$41</f>
        <v>670.521722599345</v>
      </c>
      <c r="L139" s="25" t="n">
        <f aca="false">datos_base!$F$11*parametros_recargas!$N$41</f>
        <v>687.971783019198</v>
      </c>
      <c r="M139" s="25" t="n">
        <f aca="false">datos_base!$F$11*parametros_recargas!$O$41</f>
        <v>705.875974302218</v>
      </c>
      <c r="N139" s="25" t="n">
        <f aca="false">datos_base!$F$11*parametros_recargas!$P$41</f>
        <v>724.246115023007</v>
      </c>
      <c r="O139" s="25" t="n">
        <f aca="false">datos_base!$F$11*parametros_recargas!$Q$41</f>
        <v>743.094331329859</v>
      </c>
      <c r="P139" s="7" t="n">
        <f aca="false">SUM(D139:O139)</f>
        <v>7772.56042931962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4" t="n">
        <f aca="false">parametros_recargas!C61</f>
        <v>1</v>
      </c>
      <c r="D140" s="25" t="n">
        <f aca="false">datos_base!$F$12*parametros_recargas!$F$41</f>
        <v>181.856087355528</v>
      </c>
      <c r="E140" s="25" t="n">
        <f aca="false">datos_base!$F$12*parametros_recargas!$G$41</f>
        <v>186.588819502922</v>
      </c>
      <c r="F140" s="25" t="n">
        <f aca="false">datos_base!$F$12*parametros_recargas!$H$41</f>
        <v>191.444719116991</v>
      </c>
      <c r="G140" s="25" t="n">
        <f aca="false">datos_base!$F$12*parametros_recargas!$I$41</f>
        <v>196.426991581934</v>
      </c>
      <c r="H140" s="25" t="n">
        <f aca="false">datos_base!$F$12*parametros_recargas!$J$41</f>
        <v>201.538925700798</v>
      </c>
      <c r="I140" s="25" t="n">
        <f aca="false">datos_base!$F$12*parametros_recargas!$K$41</f>
        <v>206.783895866414</v>
      </c>
      <c r="J140" s="25" t="n">
        <f aca="false">datos_base!$F$12*parametros_recargas!$L$41</f>
        <v>212.165364288844</v>
      </c>
      <c r="K140" s="25" t="n">
        <f aca="false">datos_base!$F$12*parametros_recargas!$M$41</f>
        <v>217.686883280783</v>
      </c>
      <c r="L140" s="25" t="n">
        <f aca="false">datos_base!$F$12*parametros_recargas!$N$41</f>
        <v>223.352097602451</v>
      </c>
      <c r="M140" s="25" t="n">
        <f aca="false">datos_base!$F$12*parametros_recargas!$O$41</f>
        <v>229.164746867496</v>
      </c>
      <c r="N140" s="25" t="n">
        <f aca="false">datos_base!$F$12*parametros_recargas!$P$41</f>
        <v>235.12866801152</v>
      </c>
      <c r="O140" s="25" t="n">
        <f aca="false">datos_base!$F$12*parametros_recargas!$Q$41</f>
        <v>241.247797824847</v>
      </c>
      <c r="P140" s="7" t="n">
        <f aca="false">SUM(D140:O140)</f>
        <v>2523.38499700053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4" t="n">
        <f aca="false">parametros_recargas!C62</f>
        <v>1</v>
      </c>
      <c r="D141" s="25" t="n">
        <f aca="false">datos_base!$F$13*parametros_recargas!$F$41</f>
        <v>29.4697164507393</v>
      </c>
      <c r="E141" s="25" t="n">
        <f aca="false">datos_base!$F$13*parametros_recargas!$G$41</f>
        <v>30.236654068551</v>
      </c>
      <c r="F141" s="25" t="n">
        <f aca="false">datos_base!$F$13*parametros_recargas!$H$41</f>
        <v>31.0235509320038</v>
      </c>
      <c r="G141" s="25" t="n">
        <f aca="false">datos_base!$F$13*parametros_recargas!$I$41</f>
        <v>31.8309264725056</v>
      </c>
      <c r="H141" s="25" t="n">
        <f aca="false">datos_base!$F$13*parametros_recargas!$J$41</f>
        <v>32.6593136394595</v>
      </c>
      <c r="I141" s="25" t="n">
        <f aca="false">datos_base!$F$13*parametros_recargas!$K$41</f>
        <v>33.5092592520643</v>
      </c>
      <c r="J141" s="25" t="n">
        <f aca="false">datos_base!$F$13*parametros_recargas!$L$41</f>
        <v>34.3813243602702</v>
      </c>
      <c r="K141" s="25" t="n">
        <f aca="false">datos_base!$F$13*parametros_recargas!$M$41</f>
        <v>35.2760846151289</v>
      </c>
      <c r="L141" s="25" t="n">
        <f aca="false">datos_base!$F$13*parametros_recargas!$N$41</f>
        <v>36.1941306487809</v>
      </c>
      <c r="M141" s="25" t="n">
        <f aca="false">datos_base!$F$13*parametros_recargas!$O$41</f>
        <v>37.1360684643328</v>
      </c>
      <c r="N141" s="25" t="n">
        <f aca="false">datos_base!$F$13*parametros_recargas!$P$41</f>
        <v>38.1025198358801</v>
      </c>
      <c r="O141" s="25" t="n">
        <f aca="false">datos_base!$F$13*parametros_recargas!$Q$41</f>
        <v>39.0941227189414</v>
      </c>
      <c r="P141" s="7" t="n">
        <f aca="false">SUM(D141:O141)</f>
        <v>408.913671458658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4" t="n">
        <f aca="false">parametros_recargas!C63</f>
        <v>1</v>
      </c>
      <c r="D142" s="25" t="n">
        <f aca="false">datos_base!$F$14*parametros_recargas!$F$41</f>
        <v>10.5271916343233</v>
      </c>
      <c r="E142" s="25" t="n">
        <f aca="false">datos_base!$F$14*parametros_recargas!$G$41</f>
        <v>10.8011575982569</v>
      </c>
      <c r="F142" s="25" t="n">
        <f aca="false">datos_base!$F$14*parametros_recargas!$H$41</f>
        <v>11.0822534171414</v>
      </c>
      <c r="G142" s="25" t="n">
        <f aca="false">datos_base!$F$14*parametros_recargas!$I$41</f>
        <v>11.3706646426086</v>
      </c>
      <c r="H142" s="25" t="n">
        <f aca="false">datos_base!$F$14*parametros_recargas!$J$41</f>
        <v>11.6665816551973</v>
      </c>
      <c r="I142" s="25" t="n">
        <f aca="false">datos_base!$F$14*parametros_recargas!$K$41</f>
        <v>11.9701997900239</v>
      </c>
      <c r="J142" s="25" t="n">
        <f aca="false">datos_base!$F$14*parametros_recargas!$L$41</f>
        <v>12.2817194657234</v>
      </c>
      <c r="K142" s="25" t="n">
        <f aca="false">datos_base!$F$14*parametros_recargas!$M$41</f>
        <v>12.6013463167458</v>
      </c>
      <c r="L142" s="25" t="n">
        <f aca="false">datos_base!$F$14*parametros_recargas!$N$41</f>
        <v>12.9292913290957</v>
      </c>
      <c r="M142" s="25" t="n">
        <f aca="false">datos_base!$F$14*parametros_recargas!$O$41</f>
        <v>13.2657709796042</v>
      </c>
      <c r="N142" s="25" t="n">
        <f aca="false">datos_base!$F$14*parametros_recargas!$P$41</f>
        <v>13.6110073788258</v>
      </c>
      <c r="O142" s="25" t="n">
        <f aca="false">datos_base!$F$14*parametros_recargas!$Q$41</f>
        <v>13.9652284176533</v>
      </c>
      <c r="P142" s="7" t="n">
        <f aca="false">SUM(D142:O142)</f>
        <v>146.0724126252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4" t="n">
        <f aca="false">parametros_recargas!C64</f>
        <v>3</v>
      </c>
      <c r="D143" s="25" t="n">
        <f aca="false">datos_base!$F$15*parametros_recargas!$F$41</f>
        <v>24.8338676355522</v>
      </c>
      <c r="E143" s="25" t="n">
        <f aca="false">datos_base!$F$15*parametros_recargas!$G$41</f>
        <v>25.4801591367717</v>
      </c>
      <c r="F143" s="25" t="n">
        <f aca="false">datos_base!$F$15*parametros_recargas!$H$41</f>
        <v>26.1432701165629</v>
      </c>
      <c r="G143" s="25" t="n">
        <f aca="false">datos_base!$F$15*parametros_recargas!$I$41</f>
        <v>26.8236382951479</v>
      </c>
      <c r="H143" s="25" t="n">
        <f aca="false">datos_base!$F$15*parametros_recargas!$J$41</f>
        <v>27.5217127842428</v>
      </c>
      <c r="I143" s="25" t="n">
        <f aca="false">datos_base!$F$15*parametros_recargas!$K$41</f>
        <v>28.2379543835174</v>
      </c>
      <c r="J143" s="25" t="n">
        <f aca="false">datos_base!$F$15*parametros_recargas!$L$41</f>
        <v>28.9728358847687</v>
      </c>
      <c r="K143" s="25" t="n">
        <f aca="false">datos_base!$F$15*parametros_recargas!$M$41</f>
        <v>29.7268423840119</v>
      </c>
      <c r="L143" s="25" t="n">
        <f aca="false">datos_base!$F$15*parametros_recargas!$N$41</f>
        <v>30.5004716016927</v>
      </c>
      <c r="M143" s="25" t="n">
        <f aca="false">datos_base!$F$15*parametros_recargas!$O$41</f>
        <v>31.2942342112324</v>
      </c>
      <c r="N143" s="25" t="n">
        <f aca="false">datos_base!$F$15*parametros_recargas!$P$41</f>
        <v>32.1086541761249</v>
      </c>
      <c r="O143" s="25" t="n">
        <f aca="false">datos_base!$F$15*parametros_recargas!$Q$41</f>
        <v>32.9442690958049</v>
      </c>
      <c r="P143" s="7" t="n">
        <f aca="false">SUM(D143:O143)</f>
        <v>344.58790970543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4" t="n">
        <f aca="false">parametros_recargas!C65</f>
        <v>3</v>
      </c>
      <c r="D144" s="25" t="n">
        <f aca="false">datos_base!$F$16*parametros_recargas!$F$41</f>
        <v>54.6345087674375</v>
      </c>
      <c r="E144" s="25" t="n">
        <f aca="false">datos_base!$F$16*parametros_recargas!$G$41</f>
        <v>56.0563500693195</v>
      </c>
      <c r="F144" s="25" t="n">
        <f aca="false">datos_base!$F$16*parametros_recargas!$H$41</f>
        <v>57.5151942240383</v>
      </c>
      <c r="G144" s="25" t="n">
        <f aca="false">datos_base!$F$16*parametros_recargas!$I$41</f>
        <v>59.012004216082</v>
      </c>
      <c r="H144" s="25" t="n">
        <f aca="false">datos_base!$F$16*parametros_recargas!$J$41</f>
        <v>60.5477680912257</v>
      </c>
      <c r="I144" s="25" t="n">
        <f aca="false">datos_base!$F$16*parametros_recargas!$K$41</f>
        <v>62.1234996087421</v>
      </c>
      <c r="J144" s="25" t="n">
        <f aca="false">datos_base!$F$16*parametros_recargas!$L$41</f>
        <v>63.7402389105842</v>
      </c>
      <c r="K144" s="25" t="n">
        <f aca="false">datos_base!$F$16*parametros_recargas!$M$41</f>
        <v>65.3990532079849</v>
      </c>
      <c r="L144" s="25" t="n">
        <f aca="false">datos_base!$F$16*parametros_recargas!$N$41</f>
        <v>67.1010374859237</v>
      </c>
      <c r="M144" s="25" t="n">
        <f aca="false">datos_base!$F$16*parametros_recargas!$O$41</f>
        <v>68.8473152259274</v>
      </c>
      <c r="N144" s="25" t="n">
        <f aca="false">datos_base!$F$16*parametros_recargas!$P$41</f>
        <v>70.6390391476816</v>
      </c>
      <c r="O144" s="25" t="n">
        <f aca="false">datos_base!$F$16*parametros_recargas!$Q$41</f>
        <v>72.477391969942</v>
      </c>
      <c r="P144" s="7" t="n">
        <f aca="false">SUM(D144:O144)</f>
        <v>758.093400924889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4" t="n">
        <f aca="false">parametros_recargas!C66</f>
        <v>3</v>
      </c>
      <c r="D145" s="25" t="n">
        <f aca="false">datos_base!$F$17*parametros_recargas!$F$41</f>
        <v>11.9202564630132</v>
      </c>
      <c r="E145" s="25" t="n">
        <f aca="false">datos_base!$F$17*parametros_recargas!$G$41</f>
        <v>12.2304763835452</v>
      </c>
      <c r="F145" s="25" t="n">
        <f aca="false">datos_base!$F$17*parametros_recargas!$H$41</f>
        <v>12.5487696537902</v>
      </c>
      <c r="G145" s="25" t="n">
        <f aca="false">datos_base!$F$17*parametros_recargas!$I$41</f>
        <v>12.8753463794548</v>
      </c>
      <c r="H145" s="25" t="n">
        <f aca="false">datos_base!$F$17*parametros_recargas!$J$41</f>
        <v>13.2104221341627</v>
      </c>
      <c r="I145" s="25" t="n">
        <f aca="false">datos_base!$F$17*parametros_recargas!$K$41</f>
        <v>13.5542181017553</v>
      </c>
      <c r="J145" s="25" t="n">
        <f aca="false">datos_base!$F$17*parametros_recargas!$L$41</f>
        <v>13.9069612222952</v>
      </c>
      <c r="K145" s="25" t="n">
        <f aca="false">datos_base!$F$17*parametros_recargas!$M$41</f>
        <v>14.2688843418696</v>
      </c>
      <c r="L145" s="25" t="n">
        <f aca="false">datos_base!$F$17*parametros_recargas!$N$41</f>
        <v>14.6402263662925</v>
      </c>
      <c r="M145" s="25" t="n">
        <f aca="false">datos_base!$F$17*parametros_recargas!$O$41</f>
        <v>15.021232418806</v>
      </c>
      <c r="N145" s="25" t="n">
        <f aca="false">datos_base!$F$17*parametros_recargas!$P$41</f>
        <v>15.4121540018871</v>
      </c>
      <c r="O145" s="25" t="n">
        <f aca="false">datos_base!$F$17*parametros_recargas!$Q$41</f>
        <v>15.8132491632644</v>
      </c>
      <c r="P145" s="7" t="n">
        <f aca="false">SUM(D145:O145)</f>
        <v>165.402196630136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4" t="n">
        <f aca="false">parametros_recargas!C67</f>
        <v>3</v>
      </c>
      <c r="D146" s="25" t="n">
        <f aca="false">datos_base!$F$18*parametros_recargas!$F$41</f>
        <v>7.9468376249103</v>
      </c>
      <c r="E146" s="25" t="n">
        <f aca="false">datos_base!$F$18*parametros_recargas!$G$41</f>
        <v>8.15365090481996</v>
      </c>
      <c r="F146" s="25" t="n">
        <f aca="false">datos_base!$F$18*parametros_recargas!$H$41</f>
        <v>8.36584641786005</v>
      </c>
      <c r="G146" s="25" t="n">
        <f aca="false">datos_base!$F$18*parametros_recargas!$I$41</f>
        <v>8.58356423450132</v>
      </c>
      <c r="H146" s="25" t="n">
        <f aca="false">datos_base!$F$18*parametros_recargas!$J$41</f>
        <v>8.80694807049262</v>
      </c>
      <c r="I146" s="25" t="n">
        <f aca="false">datos_base!$F$18*parametros_recargas!$K$41</f>
        <v>9.03614538172787</v>
      </c>
      <c r="J146" s="25" t="n">
        <f aca="false">datos_base!$F$18*parametros_recargas!$L$41</f>
        <v>9.27130746158184</v>
      </c>
      <c r="K146" s="25" t="n">
        <f aca="false">datos_base!$F$18*parametros_recargas!$M$41</f>
        <v>9.512589540779</v>
      </c>
      <c r="L146" s="25" t="n">
        <f aca="false">datos_base!$F$18*parametros_recargas!$N$41</f>
        <v>9.76015088986156</v>
      </c>
      <c r="M146" s="25" t="n">
        <f aca="false">datos_base!$F$18*parametros_recargas!$O$41</f>
        <v>10.014154924324</v>
      </c>
      <c r="N146" s="25" t="n">
        <f aca="false">datos_base!$F$18*parametros_recargas!$P$41</f>
        <v>10.274769312484</v>
      </c>
      <c r="O146" s="25" t="n">
        <f aca="false">datos_base!$F$18*parametros_recargas!$Q$41</f>
        <v>10.5421660861603</v>
      </c>
      <c r="P146" s="7" t="n">
        <f aca="false">SUM(D146:O146)</f>
        <v>110.268130849503</v>
      </c>
    </row>
    <row r="147" customFormat="false" ht="15" hidden="false" customHeight="false" outlineLevel="0" collapsed="false">
      <c r="A147" s="6" t="s">
        <v>272</v>
      </c>
      <c r="D147" s="7" t="n">
        <f aca="false">SUM(D130:D146)</f>
        <v>8611.01112876373</v>
      </c>
      <c r="E147" s="7" t="n">
        <f aca="false">SUM(E130:E146)</f>
        <v>8835.10925923211</v>
      </c>
      <c r="F147" s="7" t="n">
        <f aca="false">SUM(F130:F146)</f>
        <v>9065.03945417335</v>
      </c>
      <c r="G147" s="7" t="n">
        <f aca="false">SUM(G130:G146)</f>
        <v>9300.95349073946</v>
      </c>
      <c r="H147" s="7" t="n">
        <f aca="false">SUM(H130:H146)</f>
        <v>9543.00709602232</v>
      </c>
      <c r="I147" s="7" t="n">
        <f aca="false">SUM(I130:I146)</f>
        <v>9791.36004984926</v>
      </c>
      <c r="J147" s="7" t="n">
        <f aca="false">SUM(J130:J146)</f>
        <v>10046.1762902539</v>
      </c>
      <c r="K147" s="7" t="n">
        <f aca="false">SUM(K130:K146)</f>
        <v>10307.6240216918</v>
      </c>
      <c r="L147" s="7" t="n">
        <f aca="false">SUM(L130:L146)</f>
        <v>10575.8758260724</v>
      </c>
      <c r="M147" s="7" t="n">
        <f aca="false">SUM(M130:M146)</f>
        <v>10851.1087766804</v>
      </c>
      <c r="N147" s="7" t="n">
        <f aca="false">SUM(N130:N146)</f>
        <v>11133.5045550624</v>
      </c>
      <c r="O147" s="7" t="n">
        <f aca="false">SUM(O130:O146)</f>
        <v>11423.2495709545</v>
      </c>
      <c r="P147" s="7" t="n">
        <f aca="false">SUM(P130:P146)</f>
        <v>119484.019519496</v>
      </c>
    </row>
    <row r="148" customFormat="false" ht="15" hidden="false" customHeight="false" outlineLevel="0" collapsed="false">
      <c r="A148" s="6" t="s">
        <v>273</v>
      </c>
    </row>
    <row r="149" customFormat="false" ht="15" hidden="false" customHeight="false" outlineLevel="0" collapsed="false">
      <c r="A149" s="4" t="s">
        <v>143</v>
      </c>
      <c r="D149" s="25" t="n">
        <f aca="false">SUMPRODUCT(($B$130:$B$146=$A149)*D$130:D$146*$C$130:$C$146)</f>
        <v>7652.44252654374</v>
      </c>
      <c r="E149" s="25" t="n">
        <f aca="false">SUMPRODUCT(($B$130:$B$146=$A149)*E$130:E$146*$C$130:$C$146)</f>
        <v>7851.59429142613</v>
      </c>
      <c r="F149" s="25" t="n">
        <f aca="false">SUMPRODUCT(($B$130:$B$146=$A149)*F$130:F$146*$C$130:$C$146)</f>
        <v>8055.92890156586</v>
      </c>
      <c r="G149" s="25" t="n">
        <f aca="false">SUMPRODUCT(($B$130:$B$146=$A149)*G$130:G$146*$C$130:$C$146)</f>
        <v>8265.58123844379</v>
      </c>
      <c r="H149" s="25" t="n">
        <f aca="false">SUMPRODUCT(($B$130:$B$146=$A149)*H$130:H$146*$C$130:$C$146)</f>
        <v>8480.6896937775</v>
      </c>
      <c r="I149" s="25" t="n">
        <f aca="false">SUMPRODUCT(($B$130:$B$146=$A149)*I$130:I$146*$C$130:$C$146)</f>
        <v>8701.39626087386</v>
      </c>
      <c r="J149" s="25" t="n">
        <f aca="false">SUMPRODUCT(($B$130:$B$146=$A149)*J$130:J$146*$C$130:$C$146)</f>
        <v>8927.84662835891</v>
      </c>
      <c r="K149" s="25" t="n">
        <f aca="false">SUMPRODUCT(($B$130:$B$146=$A149)*K$130:K$146*$C$130:$C$146)</f>
        <v>9160.19027634708</v>
      </c>
      <c r="L149" s="25" t="n">
        <f aca="false">SUMPRODUCT(($B$130:$B$146=$A149)*L$130:L$146*$C$130:$C$146)</f>
        <v>9398.58057511316</v>
      </c>
      <c r="M149" s="25" t="n">
        <f aca="false">SUMPRODUCT(($B$130:$B$146=$A149)*M$130:M$146*$C$130:$C$146)</f>
        <v>9643.17488633219</v>
      </c>
      <c r="N149" s="25" t="n">
        <f aca="false">SUMPRODUCT(($B$130:$B$146=$A149)*N$130:N$146*$C$130:$C$146)</f>
        <v>9894.13466695402</v>
      </c>
      <c r="O149" s="25" t="n">
        <f aca="false">SUMPRODUCT(($B$130:$B$146=$A149)*O$130:O$146*$C$130:$C$146)</f>
        <v>10151.6255757813</v>
      </c>
      <c r="P149" s="25" t="n">
        <f aca="false">SUMPRODUCT(($B$130:$B$146=$A149)*P$130:P$146*$C$130:$C$146)</f>
        <v>106183.185521518</v>
      </c>
    </row>
    <row r="150" customFormat="false" ht="15" hidden="false" customHeight="false" outlineLevel="0" collapsed="false">
      <c r="A150" s="4" t="s">
        <v>149</v>
      </c>
      <c r="D150" s="25" t="n">
        <f aca="false">SUMPRODUCT(($B$130:$B$146=$A150)*D$130:D$146*$C$130:$C$146)</f>
        <v>11.2745760351901</v>
      </c>
      <c r="E150" s="25" t="n">
        <f aca="false">SUMPRODUCT(($B$130:$B$146=$A150)*E$130:E$146*$C$130:$C$146)</f>
        <v>11.5679923800918</v>
      </c>
      <c r="F150" s="25" t="n">
        <f aca="false">SUMPRODUCT(($B$130:$B$146=$A150)*F$130:F$146*$C$130:$C$146)</f>
        <v>11.8690447683521</v>
      </c>
      <c r="G150" s="25" t="n">
        <f aca="false">SUMPRODUCT(($B$130:$B$146=$A150)*G$130:G$146*$C$130:$C$146)</f>
        <v>12.1779319249543</v>
      </c>
      <c r="H150" s="25" t="n">
        <f aca="false">SUMPRODUCT(($B$130:$B$146=$A150)*H$130:H$146*$C$130:$C$146)</f>
        <v>12.4948577466197</v>
      </c>
      <c r="I150" s="25" t="n">
        <f aca="false">SUMPRODUCT(($B$130:$B$146=$A150)*I$130:I$146*$C$130:$C$146)</f>
        <v>12.8200314364008</v>
      </c>
      <c r="J150" s="25" t="n">
        <f aca="false">SUMPRODUCT(($B$130:$B$146=$A150)*J$130:J$146*$C$130:$C$146)</f>
        <v>13.1536676417758</v>
      </c>
      <c r="K150" s="25" t="n">
        <f aca="false">SUMPRODUCT(($B$130:$B$146=$A150)*K$130:K$146*$C$130:$C$146)</f>
        <v>13.4959865963383</v>
      </c>
      <c r="L150" s="25" t="n">
        <f aca="false">SUMPRODUCT(($B$130:$B$146=$A150)*L$130:L$146*$C$130:$C$146)</f>
        <v>13.8472142651731</v>
      </c>
      <c r="M150" s="25" t="n">
        <f aca="false">SUMPRODUCT(($B$130:$B$146=$A150)*M$130:M$146*$C$130:$C$146)</f>
        <v>14.2075824940161</v>
      </c>
      <c r="N150" s="25" t="n">
        <f aca="false">SUMPRODUCT(($B$130:$B$146=$A150)*N$130:N$146*$C$130:$C$146)</f>
        <v>14.5773291622964</v>
      </c>
      <c r="O150" s="25" t="n">
        <f aca="false">SUMPRODUCT(($B$130:$B$146=$A150)*O$130:O$146*$C$130:$C$146)</f>
        <v>14.9566983401599</v>
      </c>
      <c r="P150" s="25" t="n">
        <f aca="false">SUMPRODUCT(($B$130:$B$146=$A150)*P$130:P$146*$C$130:$C$146)</f>
        <v>156.442912791368</v>
      </c>
    </row>
    <row r="151" customFormat="false" ht="15" hidden="false" customHeight="false" outlineLevel="0" collapsed="false">
      <c r="A151" s="4" t="s">
        <v>155</v>
      </c>
      <c r="D151" s="25" t="n">
        <f aca="false">SUMPRODUCT(($B$130:$B$146=$A151)*D$130:D$146*$C$130:$C$146)</f>
        <v>10.5271916343233</v>
      </c>
      <c r="E151" s="25" t="n">
        <f aca="false">SUMPRODUCT(($B$130:$B$146=$A151)*E$130:E$146*$C$130:$C$146)</f>
        <v>10.8011575982569</v>
      </c>
      <c r="F151" s="25" t="n">
        <f aca="false">SUMPRODUCT(($B$130:$B$146=$A151)*F$130:F$146*$C$130:$C$146)</f>
        <v>11.0822534171414</v>
      </c>
      <c r="G151" s="25" t="n">
        <f aca="false">SUMPRODUCT(($B$130:$B$146=$A151)*G$130:G$146*$C$130:$C$146)</f>
        <v>11.3706646426086</v>
      </c>
      <c r="H151" s="25" t="n">
        <f aca="false">SUMPRODUCT(($B$130:$B$146=$A151)*H$130:H$146*$C$130:$C$146)</f>
        <v>11.6665816551973</v>
      </c>
      <c r="I151" s="25" t="n">
        <f aca="false">SUMPRODUCT(($B$130:$B$146=$A151)*I$130:I$146*$C$130:$C$146)</f>
        <v>11.9701997900239</v>
      </c>
      <c r="J151" s="25" t="n">
        <f aca="false">SUMPRODUCT(($B$130:$B$146=$A151)*J$130:J$146*$C$130:$C$146)</f>
        <v>12.2817194657234</v>
      </c>
      <c r="K151" s="25" t="n">
        <f aca="false">SUMPRODUCT(($B$130:$B$146=$A151)*K$130:K$146*$C$130:$C$146)</f>
        <v>12.6013463167458</v>
      </c>
      <c r="L151" s="25" t="n">
        <f aca="false">SUMPRODUCT(($B$130:$B$146=$A151)*L$130:L$146*$C$130:$C$146)</f>
        <v>12.9292913290957</v>
      </c>
      <c r="M151" s="25" t="n">
        <f aca="false">SUMPRODUCT(($B$130:$B$146=$A151)*M$130:M$146*$C$130:$C$146)</f>
        <v>13.2657709796042</v>
      </c>
      <c r="N151" s="25" t="n">
        <f aca="false">SUMPRODUCT(($B$130:$B$146=$A151)*N$130:N$146*$C$130:$C$146)</f>
        <v>13.6110073788258</v>
      </c>
      <c r="O151" s="25" t="n">
        <f aca="false">SUMPRODUCT(($B$130:$B$146=$A151)*O$130:O$146*$C$130:$C$146)</f>
        <v>13.9652284176533</v>
      </c>
      <c r="P151" s="25" t="n">
        <f aca="false">SUMPRODUCT(($B$130:$B$146=$A151)*P$130:P$146*$C$130:$C$146)</f>
        <v>146.0724126252</v>
      </c>
    </row>
    <row r="152" customFormat="false" ht="15" hidden="false" customHeight="false" outlineLevel="0" collapsed="false">
      <c r="A152" s="4" t="s">
        <v>146</v>
      </c>
      <c r="D152" s="25" t="n">
        <f aca="false">SUMPRODUCT(($B$130:$B$146=$A152)*D$130:D$146*$C$130:$C$146)</f>
        <v>204.744566632599</v>
      </c>
      <c r="E152" s="25" t="n">
        <f aca="false">SUMPRODUCT(($B$130:$B$146=$A152)*E$130:E$146*$C$130:$C$146)</f>
        <v>210.072962325023</v>
      </c>
      <c r="F152" s="25" t="n">
        <f aca="false">SUMPRODUCT(($B$130:$B$146=$A152)*F$130:F$146*$C$130:$C$146)</f>
        <v>215.540027390326</v>
      </c>
      <c r="G152" s="25" t="n">
        <f aca="false">SUMPRODUCT(($B$130:$B$146=$A152)*G$130:G$146*$C$130:$C$146)</f>
        <v>221.149370643632</v>
      </c>
      <c r="H152" s="25" t="n">
        <f aca="false">SUMPRODUCT(($B$130:$B$146=$A152)*H$130:H$146*$C$130:$C$146)</f>
        <v>226.904694818043</v>
      </c>
      <c r="I152" s="25" t="n">
        <f aca="false">SUMPRODUCT(($B$130:$B$146=$A152)*I$130:I$146*$C$130:$C$146)</f>
        <v>232.809799008812</v>
      </c>
      <c r="J152" s="25" t="n">
        <f aca="false">SUMPRODUCT(($B$130:$B$146=$A152)*J$130:J$146*$C$130:$C$146)</f>
        <v>238.868581181131</v>
      </c>
      <c r="K152" s="25" t="n">
        <f aca="false">SUMPRODUCT(($B$130:$B$146=$A152)*K$130:K$146*$C$130:$C$146)</f>
        <v>245.085040743182</v>
      </c>
      <c r="L152" s="25" t="n">
        <f aca="false">SUMPRODUCT(($B$130:$B$146=$A152)*L$130:L$146*$C$130:$C$146)</f>
        <v>251.463281186148</v>
      </c>
      <c r="M152" s="25" t="n">
        <f aca="false">SUMPRODUCT(($B$130:$B$146=$A152)*M$130:M$146*$C$130:$C$146)</f>
        <v>258.007512792936</v>
      </c>
      <c r="N152" s="25" t="n">
        <f aca="false">SUMPRODUCT(($B$130:$B$146=$A152)*N$130:N$146*$C$130:$C$146)</f>
        <v>264.722055417386</v>
      </c>
      <c r="O152" s="25" t="n">
        <f aca="false">SUMPRODUCT(($B$130:$B$146=$A152)*O$130:O$146*$C$130:$C$146)</f>
        <v>271.61134133581</v>
      </c>
      <c r="P152" s="25" t="n">
        <f aca="false">SUMPRODUCT(($B$130:$B$146=$A152)*P$130:P$146*$C$130:$C$146)</f>
        <v>2840.97923347503</v>
      </c>
    </row>
    <row r="153" customFormat="false" ht="15" hidden="false" customHeight="false" outlineLevel="0" collapsed="false">
      <c r="A153" s="4" t="s">
        <v>147</v>
      </c>
      <c r="D153" s="25" t="n">
        <f aca="false">SUMPRODUCT(($B$130:$B$146=$A153)*D$130:D$146*$C$130:$C$146)</f>
        <v>99.5389130102286</v>
      </c>
      <c r="E153" s="25" t="n">
        <f aca="false">SUMPRODUCT(($B$130:$B$146=$A153)*E$130:E$146*$C$130:$C$146)</f>
        <v>102.129373524202</v>
      </c>
      <c r="F153" s="25" t="n">
        <f aca="false">SUMPRODUCT(($B$130:$B$146=$A153)*F$130:F$146*$C$130:$C$146)</f>
        <v>104.78724973995</v>
      </c>
      <c r="G153" s="25" t="n">
        <f aca="false">SUMPRODUCT(($B$130:$B$146=$A153)*G$130:G$146*$C$130:$C$146)</f>
        <v>107.514296124225</v>
      </c>
      <c r="H153" s="25" t="n">
        <f aca="false">SUMPRODUCT(($B$130:$B$146=$A153)*H$130:H$146*$C$130:$C$146)</f>
        <v>110.312312803077</v>
      </c>
      <c r="I153" s="25" t="n">
        <f aca="false">SUMPRODUCT(($B$130:$B$146=$A153)*I$130:I$146*$C$130:$C$146)</f>
        <v>113.183146750119</v>
      </c>
      <c r="J153" s="25" t="n">
        <f aca="false">SUMPRODUCT(($B$130:$B$146=$A153)*J$130:J$146*$C$130:$C$146)</f>
        <v>116.128693005715</v>
      </c>
      <c r="K153" s="25" t="n">
        <f aca="false">SUMPRODUCT(($B$130:$B$146=$A153)*K$130:K$146*$C$130:$C$146)</f>
        <v>119.1508959279</v>
      </c>
      <c r="L153" s="25" t="n">
        <f aca="false">SUMPRODUCT(($B$130:$B$146=$A153)*L$130:L$146*$C$130:$C$146)</f>
        <v>122.251750475851</v>
      </c>
      <c r="M153" s="25" t="n">
        <f aca="false">SUMPRODUCT(($B$130:$B$146=$A153)*M$130:M$146*$C$130:$C$146)</f>
        <v>125.433303526759</v>
      </c>
      <c r="N153" s="25" t="n">
        <f aca="false">SUMPRODUCT(($B$130:$B$146=$A153)*N$130:N$146*$C$130:$C$146)</f>
        <v>128.697655226982</v>
      </c>
      <c r="O153" s="25" t="n">
        <f aca="false">SUMPRODUCT(($B$130:$B$146=$A153)*O$130:O$146*$C$130:$C$146)</f>
        <v>132.046960378347</v>
      </c>
      <c r="P153" s="25" t="n">
        <f aca="false">SUMPRODUCT(($B$130:$B$146=$A153)*P$130:P$146*$C$130:$C$146)</f>
        <v>1381.17455049336</v>
      </c>
    </row>
    <row r="154" customFormat="false" ht="15" hidden="false" customHeight="false" outlineLevel="0" collapsed="false">
      <c r="A154" s="4" t="s">
        <v>150</v>
      </c>
      <c r="D154" s="25" t="n">
        <f aca="false">SUMPRODUCT(($B$130:$B$146=$A154)*D$130:D$146*$C$130:$C$146)</f>
        <v>100.597092266138</v>
      </c>
      <c r="E154" s="25" t="n">
        <f aca="false">SUMPRODUCT(($B$130:$B$146=$A154)*E$130:E$146*$C$130:$C$146)</f>
        <v>103.215091473234</v>
      </c>
      <c r="F154" s="25" t="n">
        <f aca="false">SUMPRODUCT(($B$130:$B$146=$A154)*F$130:F$146*$C$130:$C$146)</f>
        <v>105.90122306561</v>
      </c>
      <c r="G154" s="25" t="n">
        <f aca="false">SUMPRODUCT(($B$130:$B$146=$A154)*G$130:G$146*$C$130:$C$146)</f>
        <v>108.657260161422</v>
      </c>
      <c r="H154" s="25" t="n">
        <f aca="false">SUMPRODUCT(($B$130:$B$146=$A154)*H$130:H$146*$C$130:$C$146)</f>
        <v>111.485022023517</v>
      </c>
      <c r="I154" s="25" t="n">
        <f aca="false">SUMPRODUCT(($B$130:$B$146=$A154)*I$130:I$146*$C$130:$C$146)</f>
        <v>114.386375260332</v>
      </c>
      <c r="J154" s="25" t="n">
        <f aca="false">SUMPRODUCT(($B$130:$B$146=$A154)*J$130:J$146*$C$130:$C$146)</f>
        <v>117.363235058048</v>
      </c>
      <c r="K154" s="25" t="n">
        <f aca="false">SUMPRODUCT(($B$130:$B$146=$A154)*K$130:K$146*$C$130:$C$146)</f>
        <v>120.417566444797</v>
      </c>
      <c r="L154" s="25" t="n">
        <f aca="false">SUMPRODUCT(($B$130:$B$146=$A154)*L$130:L$146*$C$130:$C$146)</f>
        <v>123.551385587788</v>
      </c>
      <c r="M154" s="25" t="n">
        <f aca="false">SUMPRODUCT(($B$130:$B$146=$A154)*M$130:M$146*$C$130:$C$146)</f>
        <v>126.766761124177</v>
      </c>
      <c r="N154" s="25" t="n">
        <f aca="false">SUMPRODUCT(($B$130:$B$146=$A154)*N$130:N$146*$C$130:$C$146)</f>
        <v>130.065815526577</v>
      </c>
      <c r="O154" s="25" t="n">
        <f aca="false">SUMPRODUCT(($B$130:$B$146=$A154)*O$130:O$146*$C$130:$C$146)</f>
        <v>133.450726504103</v>
      </c>
      <c r="P154" s="25" t="n">
        <f aca="false">SUMPRODUCT(($B$130:$B$146=$A154)*P$130:P$146*$C$130:$C$146)</f>
        <v>1395.85755449574</v>
      </c>
    </row>
    <row r="155" customFormat="false" ht="15" hidden="false" customHeight="false" outlineLevel="0" collapsed="false">
      <c r="A155" s="4" t="s">
        <v>151</v>
      </c>
      <c r="D155" s="25" t="n">
        <f aca="false">SUMPRODUCT(($B$130:$B$146=$A155)*D$130:D$146*$C$130:$C$146)</f>
        <v>742.01136690686</v>
      </c>
      <c r="E155" s="25" t="n">
        <f aca="false">SUMPRODUCT(($B$130:$B$146=$A155)*E$130:E$146*$C$130:$C$146)</f>
        <v>761.321916809028</v>
      </c>
      <c r="F155" s="25" t="n">
        <f aca="false">SUMPRODUCT(($B$130:$B$146=$A155)*F$130:F$146*$C$130:$C$146)</f>
        <v>781.135016071159</v>
      </c>
      <c r="G155" s="25" t="n">
        <f aca="false">SUMPRODUCT(($B$130:$B$146=$A155)*G$130:G$146*$C$130:$C$146)</f>
        <v>801.463743339923</v>
      </c>
      <c r="H155" s="25" t="n">
        <f aca="false">SUMPRODUCT(($B$130:$B$146=$A155)*H$130:H$146*$C$130:$C$146)</f>
        <v>822.321517628557</v>
      </c>
      <c r="I155" s="25" t="n">
        <f aca="false">SUMPRODUCT(($B$130:$B$146=$A155)*I$130:I$146*$C$130:$C$146)</f>
        <v>843.722107174763</v>
      </c>
      <c r="J155" s="25" t="n">
        <f aca="false">SUMPRODUCT(($B$130:$B$146=$A155)*J$130:J$146*$C$130:$C$146)</f>
        <v>865.679638529139</v>
      </c>
      <c r="K155" s="25" t="n">
        <f aca="false">SUMPRODUCT(($B$130:$B$146=$A155)*K$130:K$146*$C$130:$C$146)</f>
        <v>888.208605880128</v>
      </c>
      <c r="L155" s="25" t="n">
        <f aca="false">SUMPRODUCT(($B$130:$B$146=$A155)*L$130:L$146*$C$130:$C$146)</f>
        <v>911.323880621649</v>
      </c>
      <c r="M155" s="25" t="n">
        <f aca="false">SUMPRODUCT(($B$130:$B$146=$A155)*M$130:M$146*$C$130:$C$146)</f>
        <v>935.040721169714</v>
      </c>
      <c r="N155" s="25" t="n">
        <f aca="false">SUMPRODUCT(($B$130:$B$146=$A155)*N$130:N$146*$C$130:$C$146)</f>
        <v>959.374783034528</v>
      </c>
      <c r="O155" s="25" t="n">
        <f aca="false">SUMPRODUCT(($B$130:$B$146=$A155)*O$130:O$146*$C$130:$C$146)</f>
        <v>984.342129154706</v>
      </c>
      <c r="P155" s="25" t="n">
        <f aca="false">SUMPRODUCT(($B$130:$B$146=$A155)*P$130:P$146*$C$130:$C$146)</f>
        <v>10295.9454263202</v>
      </c>
    </row>
    <row r="156" customFormat="false" ht="15" hidden="false" customHeight="false" outlineLevel="0" collapsed="false">
      <c r="A156" s="4" t="s">
        <v>154</v>
      </c>
      <c r="D156" s="25" t="n">
        <f aca="false">SUMPRODUCT(($B$130:$B$146=$A156)*D$130:D$146*$C$130:$C$146)</f>
        <v>29.4697164507393</v>
      </c>
      <c r="E156" s="25" t="n">
        <f aca="false">SUMPRODUCT(($B$130:$B$146=$A156)*E$130:E$146*$C$130:$C$146)</f>
        <v>30.236654068551</v>
      </c>
      <c r="F156" s="25" t="n">
        <f aca="false">SUMPRODUCT(($B$130:$B$146=$A156)*F$130:F$146*$C$130:$C$146)</f>
        <v>31.0235509320038</v>
      </c>
      <c r="G156" s="25" t="n">
        <f aca="false">SUMPRODUCT(($B$130:$B$146=$A156)*G$130:G$146*$C$130:$C$146)</f>
        <v>31.8309264725056</v>
      </c>
      <c r="H156" s="25" t="n">
        <f aca="false">SUMPRODUCT(($B$130:$B$146=$A156)*H$130:H$146*$C$130:$C$146)</f>
        <v>32.6593136394595</v>
      </c>
      <c r="I156" s="25" t="n">
        <f aca="false">SUMPRODUCT(($B$130:$B$146=$A156)*I$130:I$146*$C$130:$C$146)</f>
        <v>33.5092592520643</v>
      </c>
      <c r="J156" s="25" t="n">
        <f aca="false">SUMPRODUCT(($B$130:$B$146=$A156)*J$130:J$146*$C$130:$C$146)</f>
        <v>34.3813243602702</v>
      </c>
      <c r="K156" s="25" t="n">
        <f aca="false">SUMPRODUCT(($B$130:$B$146=$A156)*K$130:K$146*$C$130:$C$146)</f>
        <v>35.2760846151289</v>
      </c>
      <c r="L156" s="25" t="n">
        <f aca="false">SUMPRODUCT(($B$130:$B$146=$A156)*L$130:L$146*$C$130:$C$146)</f>
        <v>36.1941306487809</v>
      </c>
      <c r="M156" s="25" t="n">
        <f aca="false">SUMPRODUCT(($B$130:$B$146=$A156)*M$130:M$146*$C$130:$C$146)</f>
        <v>37.1360684643328</v>
      </c>
      <c r="N156" s="25" t="n">
        <f aca="false">SUMPRODUCT(($B$130:$B$146=$A156)*N$130:N$146*$C$130:$C$146)</f>
        <v>38.1025198358801</v>
      </c>
      <c r="O156" s="25" t="n">
        <f aca="false">SUMPRODUCT(($B$130:$B$146=$A156)*O$130:O$146*$C$130:$C$146)</f>
        <v>39.0941227189414</v>
      </c>
      <c r="P156" s="25" t="n">
        <f aca="false">SUMPRODUCT(($B$130:$B$146=$A156)*P$130:P$146*$C$130:$C$146)</f>
        <v>408.913671458658</v>
      </c>
    </row>
    <row r="157" customFormat="false" ht="15" hidden="false" customHeight="false" outlineLevel="0" collapsed="false">
      <c r="A157" s="6" t="s">
        <v>274</v>
      </c>
      <c r="D157" s="26" t="n">
        <f aca="false">SUMPRODUCT(D$130:D$146*parametros_recargas!$D$51:$D$67)</f>
        <v>301.653497713576</v>
      </c>
      <c r="E157" s="26" t="n">
        <f aca="false">SUMPRODUCT(E$130:E$146*parametros_recargas!$D$51:$D$67)</f>
        <v>309.503909689128</v>
      </c>
      <c r="F157" s="26" t="n">
        <f aca="false">SUMPRODUCT(F$130:F$146*parametros_recargas!$D$51:$D$67)</f>
        <v>317.558625505521</v>
      </c>
      <c r="G157" s="26" t="n">
        <f aca="false">SUMPRODUCT(G$130:G$146*parametros_recargas!$D$51:$D$67)</f>
        <v>325.822962088734</v>
      </c>
      <c r="H157" s="26" t="n">
        <f aca="false">SUMPRODUCT(H$130:H$146*parametros_recargas!$D$51:$D$67)</f>
        <v>334.302374735625</v>
      </c>
      <c r="I157" s="26" t="n">
        <f aca="false">SUMPRODUCT(I$130:I$146*parametros_recargas!$D$51:$D$67)</f>
        <v>343.002460714976</v>
      </c>
      <c r="J157" s="26" t="n">
        <f aca="false">SUMPRODUCT(J$130:J$146*parametros_recargas!$D$51:$D$67)</f>
        <v>351.928962962258</v>
      </c>
      <c r="K157" s="26" t="n">
        <f aca="false">SUMPRODUCT(K$130:K$146*parametros_recargas!$D$51:$D$67)</f>
        <v>361.087773870547</v>
      </c>
      <c r="L157" s="26" t="n">
        <f aca="false">SUMPRODUCT(L$130:L$146*parametros_recargas!$D$51:$D$67)</f>
        <v>370.484939180098</v>
      </c>
      <c r="M157" s="26" t="n">
        <f aca="false">SUMPRODUCT(M$130:M$146*parametros_recargas!$D$51:$D$67)</f>
        <v>380.126661969147</v>
      </c>
      <c r="N157" s="26" t="n">
        <f aca="false">SUMPRODUCT(N$130:N$146*parametros_recargas!$D$51:$D$67)</f>
        <v>390.019306748564</v>
      </c>
      <c r="O157" s="26" t="n">
        <f aca="false">SUMPRODUCT(O$130:O$146*parametros_recargas!$D$51:$D$67)</f>
        <v>400.16940366308</v>
      </c>
      <c r="P157" s="26" t="n">
        <f aca="false">SUMPRODUCT(P$130:P$146*parametros_recargas!$D$51:$D$67)</f>
        <v>4185.66087884125</v>
      </c>
    </row>
    <row r="161" customFormat="false" ht="15" hidden="false" customHeight="false" outlineLevel="0" collapsed="false">
      <c r="A161" s="23" t="n">
        <v>2031</v>
      </c>
      <c r="B161" s="3" t="s">
        <v>270</v>
      </c>
      <c r="C161" s="3" t="s">
        <v>271</v>
      </c>
      <c r="D161" s="3" t="s">
        <v>124</v>
      </c>
      <c r="E161" s="3" t="s">
        <v>125</v>
      </c>
      <c r="F161" s="3" t="s">
        <v>126</v>
      </c>
      <c r="G161" s="3" t="s">
        <v>127</v>
      </c>
      <c r="H161" s="3" t="s">
        <v>128</v>
      </c>
      <c r="I161" s="3" t="s">
        <v>129</v>
      </c>
      <c r="J161" s="3" t="s">
        <v>130</v>
      </c>
      <c r="K161" s="3" t="s">
        <v>131</v>
      </c>
      <c r="L161" s="3" t="s">
        <v>132</v>
      </c>
      <c r="M161" s="3" t="s">
        <v>133</v>
      </c>
      <c r="N161" s="3" t="s">
        <v>134</v>
      </c>
      <c r="O161" s="3" t="s">
        <v>135</v>
      </c>
      <c r="P161" s="3" t="s">
        <v>136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4" t="n">
        <f aca="false">parametros_recargas!C51</f>
        <v>1</v>
      </c>
      <c r="D162" s="25" t="n">
        <f aca="false">datos_base!$G$2*parametros_recargas!$F$42</f>
        <v>6293.23272134085</v>
      </c>
      <c r="E162" s="25" t="n">
        <f aca="false">datos_base!$G$2*parametros_recargas!$G$42</f>
        <v>6407.90957140454</v>
      </c>
      <c r="F162" s="25" t="n">
        <f aca="false">datos_base!$G$2*parametros_recargas!$H$42</f>
        <v>6524.67609151903</v>
      </c>
      <c r="G162" s="25" t="n">
        <f aca="false">datos_base!$G$2*parametros_recargas!$I$42</f>
        <v>6643.57036017112</v>
      </c>
      <c r="H162" s="25" t="n">
        <f aca="false">datos_base!$G$2*parametros_recargas!$J$42</f>
        <v>6764.63114972326</v>
      </c>
      <c r="I162" s="25" t="n">
        <f aca="false">datos_base!$G$2*parametros_recargas!$K$42</f>
        <v>6887.89793905751</v>
      </c>
      <c r="J162" s="25" t="n">
        <f aca="false">datos_base!$G$2*parametros_recargas!$L$42</f>
        <v>7013.41092644994</v>
      </c>
      <c r="K162" s="25" t="n">
        <f aca="false">datos_base!$G$2*parametros_recargas!$M$42</f>
        <v>7141.21104267957</v>
      </c>
      <c r="L162" s="25" t="n">
        <f aca="false">datos_base!$G$2*parametros_recargas!$N$42</f>
        <v>7271.33996437628</v>
      </c>
      <c r="M162" s="25" t="n">
        <f aca="false">datos_base!$G$2*parametros_recargas!$O$42</f>
        <v>7403.84012761181</v>
      </c>
      <c r="N162" s="25" t="n">
        <f aca="false">datos_base!$G$2*parametros_recargas!$P$42</f>
        <v>7538.75474173858</v>
      </c>
      <c r="O162" s="25" t="n">
        <f aca="false">datos_base!$G$2*parametros_recargas!$Q$42</f>
        <v>7676.12780348053</v>
      </c>
      <c r="P162" s="7" t="n">
        <f aca="false">SUM(D162:O162)</f>
        <v>83566.602439553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4" t="n">
        <f aca="false">parametros_recargas!C52</f>
        <v>1</v>
      </c>
      <c r="D163" s="25" t="n">
        <f aca="false">datos_base!$G$3*parametros_recargas!$F$42</f>
        <v>558.738775079062</v>
      </c>
      <c r="E163" s="25" t="n">
        <f aca="false">datos_base!$G$3*parametros_recargas!$G$42</f>
        <v>568.920251844926</v>
      </c>
      <c r="F163" s="25" t="n">
        <f aca="false">datos_base!$G$3*parametros_recargas!$H$42</f>
        <v>579.287258009782</v>
      </c>
      <c r="G163" s="25" t="n">
        <f aca="false">datos_base!$G$3*parametros_recargas!$I$42</f>
        <v>589.843174336429</v>
      </c>
      <c r="H163" s="25" t="n">
        <f aca="false">datos_base!$G$3*parametros_recargas!$J$42</f>
        <v>600.591443192766</v>
      </c>
      <c r="I163" s="25" t="n">
        <f aca="false">datos_base!$G$3*parametros_recargas!$K$42</f>
        <v>611.535569674374</v>
      </c>
      <c r="J163" s="25" t="n">
        <f aca="false">datos_base!$G$3*parametros_recargas!$L$42</f>
        <v>622.679122747558</v>
      </c>
      <c r="K163" s="25" t="n">
        <f aca="false">datos_base!$G$3*parametros_recargas!$M$42</f>
        <v>634.025736413212</v>
      </c>
      <c r="L163" s="25" t="n">
        <f aca="false">datos_base!$G$3*parametros_recargas!$N$42</f>
        <v>645.579110891899</v>
      </c>
      <c r="M163" s="25" t="n">
        <f aca="false">datos_base!$G$3*parametros_recargas!$O$42</f>
        <v>657.343013830518</v>
      </c>
      <c r="N163" s="25" t="n">
        <f aca="false">datos_base!$G$3*parametros_recargas!$P$42</f>
        <v>669.321281530968</v>
      </c>
      <c r="O163" s="25" t="n">
        <f aca="false">datos_base!$G$3*parametros_recargas!$Q$42</f>
        <v>681.517820201193</v>
      </c>
      <c r="P163" s="7" t="n">
        <f aca="false">SUM(D163:O163)</f>
        <v>7419.38255775269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4" t="n">
        <f aca="false">parametros_recargas!C53</f>
        <v>1</v>
      </c>
      <c r="D164" s="25" t="n">
        <f aca="false">datos_base!$G$4*parametros_recargas!$F$42</f>
        <v>3447.81009259202</v>
      </c>
      <c r="E164" s="25" t="n">
        <f aca="false">datos_base!$G$4*parametros_recargas!$G$42</f>
        <v>3510.63694463191</v>
      </c>
      <c r="F164" s="25" t="n">
        <f aca="false">datos_base!$G$4*parametros_recargas!$H$42</f>
        <v>3574.60864317761</v>
      </c>
      <c r="G164" s="25" t="n">
        <f aca="false">datos_base!$G$4*parametros_recargas!$I$42</f>
        <v>3639.74604990658</v>
      </c>
      <c r="H164" s="25" t="n">
        <f aca="false">datos_base!$G$4*parametros_recargas!$J$42</f>
        <v>3706.07040664292</v>
      </c>
      <c r="I164" s="25" t="n">
        <f aca="false">datos_base!$G$4*parametros_recargas!$K$42</f>
        <v>3773.60334228454</v>
      </c>
      <c r="J164" s="25" t="n">
        <f aca="false">datos_base!$G$4*parametros_recargas!$L$42</f>
        <v>3842.3668798565</v>
      </c>
      <c r="K164" s="25" t="n">
        <f aca="false">datos_base!$G$4*parametros_recargas!$M$42</f>
        <v>3912.38344369288</v>
      </c>
      <c r="L164" s="25" t="n">
        <f aca="false">datos_base!$G$4*parametros_recargas!$N$42</f>
        <v>3983.67586674956</v>
      </c>
      <c r="M164" s="25" t="n">
        <f aca="false">datos_base!$G$4*parametros_recargas!$O$42</f>
        <v>4056.26739805023</v>
      </c>
      <c r="N164" s="25" t="n">
        <f aca="false">datos_base!$G$4*parametros_recargas!$P$42</f>
        <v>4130.18171026802</v>
      </c>
      <c r="O164" s="25" t="n">
        <f aca="false">datos_base!$G$4*parametros_recargas!$Q$42</f>
        <v>4205.44290744543</v>
      </c>
      <c r="P164" s="7" t="n">
        <f aca="false">SUM(D164:O164)</f>
        <v>45782.7936852982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4" t="n">
        <f aca="false">parametros_recargas!C54</f>
        <v>1</v>
      </c>
      <c r="D165" s="25" t="n">
        <f aca="false">datos_base!$G$5*parametros_recargas!$F$42</f>
        <v>204.242565020871</v>
      </c>
      <c r="E165" s="25" t="n">
        <f aca="false">datos_base!$G$5*parametros_recargas!$G$42</f>
        <v>207.96432378026</v>
      </c>
      <c r="F165" s="25" t="n">
        <f aca="false">datos_base!$G$5*parametros_recargas!$H$42</f>
        <v>211.753901352351</v>
      </c>
      <c r="G165" s="25" t="n">
        <f aca="false">datos_base!$G$5*parametros_recargas!$I$42</f>
        <v>215.612533548399</v>
      </c>
      <c r="H165" s="25" t="n">
        <f aca="false">datos_base!$G$5*parametros_recargas!$J$42</f>
        <v>219.541478698915</v>
      </c>
      <c r="I165" s="25" t="n">
        <f aca="false">datos_base!$G$5*parametros_recargas!$K$42</f>
        <v>223.542018064023</v>
      </c>
      <c r="J165" s="25" t="n">
        <f aca="false">datos_base!$G$5*parametros_recargas!$L$42</f>
        <v>227.615456251289</v>
      </c>
      <c r="K165" s="25" t="n">
        <f aca="false">datos_base!$G$5*parametros_recargas!$M$42</f>
        <v>231.76312164116</v>
      </c>
      <c r="L165" s="25" t="n">
        <f aca="false">datos_base!$G$5*parametros_recargas!$N$42</f>
        <v>235.986366820161</v>
      </c>
      <c r="M165" s="25" t="n">
        <f aca="false">datos_base!$G$5*parametros_recargas!$O$42</f>
        <v>240.286569021986</v>
      </c>
      <c r="N165" s="25" t="n">
        <f aca="false">datos_base!$G$5*parametros_recargas!$P$42</f>
        <v>244.665130576624</v>
      </c>
      <c r="O165" s="25" t="n">
        <f aca="false">datos_base!$G$5*parametros_recargas!$Q$42</f>
        <v>249.123479367668</v>
      </c>
      <c r="P165" s="7" t="n">
        <f aca="false">SUM(D165:O165)</f>
        <v>2712.09694414371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4" t="n">
        <f aca="false">parametros_recargas!C55</f>
        <v>1</v>
      </c>
      <c r="D166" s="25" t="n">
        <f aca="false">datos_base!$G$6*parametros_recargas!$F$42</f>
        <v>286.004390347815</v>
      </c>
      <c r="E166" s="25" t="n">
        <f aca="false">datos_base!$G$6*parametros_recargas!$G$42</f>
        <v>291.21603340024</v>
      </c>
      <c r="F166" s="25" t="n">
        <f aca="false">datos_base!$G$6*parametros_recargas!$H$42</f>
        <v>296.522644307085</v>
      </c>
      <c r="G166" s="25" t="n">
        <f aca="false">datos_base!$G$6*parametros_recargas!$I$42</f>
        <v>301.925953596185</v>
      </c>
      <c r="H166" s="25" t="n">
        <f aca="false">datos_base!$G$6*parametros_recargas!$J$42</f>
        <v>307.427723329485</v>
      </c>
      <c r="I166" s="25" t="n">
        <f aca="false">datos_base!$G$6*parametros_recargas!$K$42</f>
        <v>313.029747677659</v>
      </c>
      <c r="J166" s="25" t="n">
        <f aca="false">datos_base!$G$6*parametros_recargas!$L$42</f>
        <v>318.733853505205</v>
      </c>
      <c r="K166" s="25" t="n">
        <f aca="false">datos_base!$G$6*parametros_recargas!$M$42</f>
        <v>324.5419009662</v>
      </c>
      <c r="L166" s="25" t="n">
        <f aca="false">datos_base!$G$6*parametros_recargas!$N$42</f>
        <v>330.455784110912</v>
      </c>
      <c r="M166" s="25" t="n">
        <f aca="false">datos_base!$G$6*parametros_recargas!$O$42</f>
        <v>336.477431503461</v>
      </c>
      <c r="N166" s="25" t="n">
        <f aca="false">datos_base!$G$6*parametros_recargas!$P$42</f>
        <v>342.608806850742</v>
      </c>
      <c r="O166" s="25" t="n">
        <f aca="false">datos_base!$G$6*parametros_recargas!$Q$42</f>
        <v>348.851909642808</v>
      </c>
      <c r="P166" s="7" t="n">
        <f aca="false">SUM(D166:O166)</f>
        <v>3797.7961792378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4" t="n">
        <f aca="false">parametros_recargas!C56</f>
        <v>1</v>
      </c>
      <c r="D167" s="25" t="n">
        <f aca="false">datos_base!$G$7*parametros_recargas!$F$42</f>
        <v>51.611486454358</v>
      </c>
      <c r="E167" s="25" t="n">
        <f aca="false">datos_base!$G$7*parametros_recargas!$G$42</f>
        <v>52.5519637822693</v>
      </c>
      <c r="F167" s="25" t="n">
        <f aca="false">datos_base!$G$7*parametros_recargas!$H$42</f>
        <v>53.5095787216907</v>
      </c>
      <c r="G167" s="25" t="n">
        <f aca="false">datos_base!$G$7*parametros_recargas!$I$42</f>
        <v>54.4846435584366</v>
      </c>
      <c r="H167" s="25" t="n">
        <f aca="false">datos_base!$G$7*parametros_recargas!$J$42</f>
        <v>55.4774762688711</v>
      </c>
      <c r="I167" s="25" t="n">
        <f aca="false">datos_base!$G$7*parametros_recargas!$K$42</f>
        <v>56.4884006236027</v>
      </c>
      <c r="J167" s="25" t="n">
        <f aca="false">datos_base!$G$7*parametros_recargas!$L$42</f>
        <v>57.5177462930681</v>
      </c>
      <c r="K167" s="25" t="n">
        <f aca="false">datos_base!$G$7*parametros_recargas!$M$42</f>
        <v>58.5658489550408</v>
      </c>
      <c r="L167" s="25" t="n">
        <f aca="false">datos_base!$G$7*parametros_recargas!$N$42</f>
        <v>59.6330504040981</v>
      </c>
      <c r="M167" s="25" t="n">
        <f aca="false">datos_base!$G$7*parametros_recargas!$O$42</f>
        <v>60.7196986630828</v>
      </c>
      <c r="N167" s="25" t="n">
        <f aca="false">datos_base!$G$7*parametros_recargas!$P$42</f>
        <v>61.8261480965967</v>
      </c>
      <c r="O167" s="25" t="n">
        <f aca="false">datos_base!$G$7*parametros_recargas!$Q$42</f>
        <v>62.9527595265611</v>
      </c>
      <c r="P167" s="7" t="n">
        <f aca="false">SUM(D167:O167)</f>
        <v>685.338801347676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4" t="n">
        <f aca="false">parametros_recargas!C57</f>
        <v>3</v>
      </c>
      <c r="D168" s="25" t="n">
        <f aca="false">datos_base!$G$8*parametros_recargas!$F$42</f>
        <v>27.5794223433774</v>
      </c>
      <c r="E168" s="25" t="n">
        <f aca="false">datos_base!$G$8*parametros_recargas!$G$42</f>
        <v>28.08198142882</v>
      </c>
      <c r="F168" s="25" t="n">
        <f aca="false">datos_base!$G$8*parametros_recargas!$H$42</f>
        <v>28.5936982707673</v>
      </c>
      <c r="G168" s="25" t="n">
        <f aca="false">datos_base!$G$8*parametros_recargas!$I$42</f>
        <v>29.1147397441333</v>
      </c>
      <c r="H168" s="25" t="n">
        <f aca="false">datos_base!$G$8*parametros_recargas!$J$42</f>
        <v>29.6452757646684</v>
      </c>
      <c r="I168" s="25" t="n">
        <f aca="false">datos_base!$G$8*parametros_recargas!$K$42</f>
        <v>30.1854793443697</v>
      </c>
      <c r="J168" s="25" t="n">
        <f aca="false">datos_base!$G$8*parametros_recargas!$L$42</f>
        <v>30.735526647902</v>
      </c>
      <c r="K168" s="25" t="n">
        <f aca="false">datos_base!$G$8*parametros_recargas!$M$42</f>
        <v>31.2955970500464</v>
      </c>
      <c r="L168" s="25" t="n">
        <f aca="false">datos_base!$G$8*parametros_recargas!$N$42</f>
        <v>31.8658731941959</v>
      </c>
      <c r="M168" s="25" t="n">
        <f aca="false">datos_base!$G$8*parametros_recargas!$O$42</f>
        <v>32.4465410519167</v>
      </c>
      <c r="N168" s="25" t="n">
        <f aca="false">datos_base!$G$8*parametros_recargas!$P$42</f>
        <v>33.037789983595</v>
      </c>
      <c r="O168" s="25" t="n">
        <f aca="false">datos_base!$G$8*parametros_recargas!$Q$42</f>
        <v>33.6398128001892</v>
      </c>
      <c r="P168" s="7" t="n">
        <f aca="false">SUM(D168:O168)</f>
        <v>366.221737623981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4" t="n">
        <f aca="false">parametros_recargas!C58</f>
        <v>1</v>
      </c>
      <c r="D169" s="25" t="n">
        <f aca="false">datos_base!$G$9*parametros_recargas!$F$42</f>
        <v>15.6446551922531</v>
      </c>
      <c r="E169" s="25" t="n">
        <f aca="false">datos_base!$G$9*parametros_recargas!$G$42</f>
        <v>15.9297359857372</v>
      </c>
      <c r="F169" s="25" t="n">
        <f aca="false">datos_base!$G$9*parametros_recargas!$H$42</f>
        <v>16.2200115922622</v>
      </c>
      <c r="G169" s="25" t="n">
        <f aca="false">datos_base!$G$9*parametros_recargas!$I$42</f>
        <v>16.515576673002</v>
      </c>
      <c r="H169" s="25" t="n">
        <f aca="false">datos_base!$G$9*parametros_recargas!$J$42</f>
        <v>16.8165276140696</v>
      </c>
      <c r="I169" s="25" t="n">
        <f aca="false">datos_base!$G$9*parametros_recargas!$K$42</f>
        <v>17.12296255795</v>
      </c>
      <c r="J169" s="25" t="n">
        <f aca="false">datos_base!$G$9*parametros_recargas!$L$42</f>
        <v>17.4349814355048</v>
      </c>
      <c r="K169" s="25" t="n">
        <f aca="false">datos_base!$G$9*parametros_recargas!$M$42</f>
        <v>17.7526859985607</v>
      </c>
      <c r="L169" s="25" t="n">
        <f aca="false">datos_base!$G$9*parametros_recargas!$N$42</f>
        <v>18.0761798530913</v>
      </c>
      <c r="M169" s="25" t="n">
        <f aca="false">datos_base!$G$9*parametros_recargas!$O$42</f>
        <v>18.4055684930041</v>
      </c>
      <c r="N169" s="25" t="n">
        <f aca="false">datos_base!$G$9*parametros_recargas!$P$42</f>
        <v>18.7409593345428</v>
      </c>
      <c r="O169" s="25" t="n">
        <f aca="false">datos_base!$G$9*parametros_recargas!$Q$42</f>
        <v>19.0824617513164</v>
      </c>
      <c r="P169" s="7" t="n">
        <f aca="false">SUM(D169:O169)</f>
        <v>207.742306481294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4" t="n">
        <f aca="false">parametros_recargas!C59</f>
        <v>1</v>
      </c>
      <c r="D170" s="25" t="n">
        <f aca="false">datos_base!$G$10*parametros_recargas!$F$42</f>
        <v>139.285657547957</v>
      </c>
      <c r="E170" s="25" t="n">
        <f aca="false">datos_base!$G$10*parametros_recargas!$G$42</f>
        <v>141.823755402257</v>
      </c>
      <c r="F170" s="25" t="n">
        <f aca="false">datos_base!$G$10*parametros_recargas!$H$42</f>
        <v>144.408103106193</v>
      </c>
      <c r="G170" s="25" t="n">
        <f aca="false">datos_base!$G$10*parametros_recargas!$I$42</f>
        <v>147.039543436015</v>
      </c>
      <c r="H170" s="25" t="n">
        <f aca="false">datos_base!$G$10*parametros_recargas!$J$42</f>
        <v>149.71893452525</v>
      </c>
      <c r="I170" s="25" t="n">
        <f aca="false">datos_base!$G$10*parametros_recargas!$K$42</f>
        <v>152.447150144549</v>
      </c>
      <c r="J170" s="25" t="n">
        <f aca="false">datos_base!$G$10*parametros_recargas!$L$42</f>
        <v>155.225079986629</v>
      </c>
      <c r="K170" s="25" t="n">
        <f aca="false">datos_base!$G$10*parametros_recargas!$M$42</f>
        <v>158.053629956406</v>
      </c>
      <c r="L170" s="25" t="n">
        <f aca="false">datos_base!$G$10*parametros_recargas!$N$42</f>
        <v>160.933722466424</v>
      </c>
      <c r="M170" s="25" t="n">
        <f aca="false">datos_base!$G$10*parametros_recargas!$O$42</f>
        <v>163.866296737655</v>
      </c>
      <c r="N170" s="25" t="n">
        <f aca="false">datos_base!$G$10*parametros_recargas!$P$42</f>
        <v>166.85230910579</v>
      </c>
      <c r="O170" s="25" t="n">
        <f aca="false">datos_base!$G$10*parametros_recargas!$Q$42</f>
        <v>169.892733333106</v>
      </c>
      <c r="P170" s="7" t="n">
        <f aca="false">SUM(D170:O170)</f>
        <v>1849.54691574823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4" t="n">
        <f aca="false">parametros_recargas!C60</f>
        <v>1</v>
      </c>
      <c r="D171" s="25" t="n">
        <f aca="false">datos_base!$G$11*parametros_recargas!$F$42</f>
        <v>778.019285266952</v>
      </c>
      <c r="E171" s="25" t="n">
        <f aca="false">datos_base!$G$11*parametros_recargas!$G$42</f>
        <v>792.196545964885</v>
      </c>
      <c r="F171" s="25" t="n">
        <f aca="false">datos_base!$G$11*parametros_recargas!$H$42</f>
        <v>806.632148229285</v>
      </c>
      <c r="G171" s="25" t="n">
        <f aca="false">datos_base!$G$11*parametros_recargas!$I$42</f>
        <v>821.330799624355</v>
      </c>
      <c r="H171" s="25" t="n">
        <f aca="false">datos_base!$G$11*parametros_recargas!$J$42</f>
        <v>836.297293496703</v>
      </c>
      <c r="I171" s="25" t="n">
        <f aca="false">datos_base!$G$11*parametros_recargas!$K$42</f>
        <v>851.53651053849</v>
      </c>
      <c r="J171" s="25" t="n">
        <f aca="false">datos_base!$G$11*parametros_recargas!$L$42</f>
        <v>867.053420379061</v>
      </c>
      <c r="K171" s="25" t="n">
        <f aca="false">datos_base!$G$11*parametros_recargas!$M$42</f>
        <v>882.853083205582</v>
      </c>
      <c r="L171" s="25" t="n">
        <f aca="false">datos_base!$G$11*parametros_recargas!$N$42</f>
        <v>898.940651413207</v>
      </c>
      <c r="M171" s="25" t="n">
        <f aca="false">datos_base!$G$11*parametros_recargas!$O$42</f>
        <v>915.321371285314</v>
      </c>
      <c r="N171" s="25" t="n">
        <f aca="false">datos_base!$G$11*parametros_recargas!$P$42</f>
        <v>932.000584704361</v>
      </c>
      <c r="O171" s="25" t="n">
        <f aca="false">datos_base!$G$11*parametros_recargas!$Q$42</f>
        <v>948.983730893914</v>
      </c>
      <c r="P171" s="7" t="n">
        <f aca="false">SUM(D171:O171)</f>
        <v>10331.1654250021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4" t="n">
        <f aca="false">parametros_recargas!C61</f>
        <v>1</v>
      </c>
      <c r="D172" s="25" t="n">
        <f aca="false">datos_base!$G$12*parametros_recargas!$F$42</f>
        <v>253.18452784661</v>
      </c>
      <c r="E172" s="25" t="n">
        <f aca="false">datos_base!$G$12*parametros_recargas!$G$42</f>
        <v>257.798119211165</v>
      </c>
      <c r="F172" s="25" t="n">
        <f aca="false">datos_base!$G$12*parametros_recargas!$H$42</f>
        <v>262.49578058371</v>
      </c>
      <c r="G172" s="25" t="n">
        <f aca="false">datos_base!$G$12*parametros_recargas!$I$42</f>
        <v>267.279043908816</v>
      </c>
      <c r="H172" s="25" t="n">
        <f aca="false">datos_base!$G$12*parametros_recargas!$J$42</f>
        <v>272.149469046529</v>
      </c>
      <c r="I172" s="25" t="n">
        <f aca="false">datos_base!$G$12*parametros_recargas!$K$42</f>
        <v>277.108644281051</v>
      </c>
      <c r="J172" s="25" t="n">
        <f aca="false">datos_base!$G$12*parametros_recargas!$L$42</f>
        <v>282.158186838696</v>
      </c>
      <c r="K172" s="25" t="n">
        <f aca="false">datos_base!$G$12*parametros_recargas!$M$42</f>
        <v>287.299743415273</v>
      </c>
      <c r="L172" s="25" t="n">
        <f aca="false">datos_base!$G$12*parametros_recargas!$N$42</f>
        <v>292.534990713096</v>
      </c>
      <c r="M172" s="25" t="n">
        <f aca="false">datos_base!$G$12*parametros_recargas!$O$42</f>
        <v>297.865635987761</v>
      </c>
      <c r="N172" s="25" t="n">
        <f aca="false">datos_base!$G$12*parametros_recargas!$P$42</f>
        <v>303.293417604904</v>
      </c>
      <c r="O172" s="25" t="n">
        <f aca="false">datos_base!$G$12*parametros_recargas!$Q$42</f>
        <v>308.820105607087</v>
      </c>
      <c r="P172" s="7" t="n">
        <f aca="false">SUM(D172:O172)</f>
        <v>3361.9876650447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4" t="n">
        <f aca="false">parametros_recargas!C62</f>
        <v>1</v>
      </c>
      <c r="D173" s="25" t="n">
        <f aca="false">datos_base!$G$13*parametros_recargas!$F$42</f>
        <v>40.434039508768</v>
      </c>
      <c r="E173" s="25" t="n">
        <f aca="false">datos_base!$G$13*parametros_recargas!$G$42</f>
        <v>41.1708386216456</v>
      </c>
      <c r="F173" s="25" t="n">
        <f aca="false">datos_base!$G$13*parametros_recargas!$H$42</f>
        <v>41.9210638709996</v>
      </c>
      <c r="G173" s="25" t="n">
        <f aca="false">datos_base!$G$13*parametros_recargas!$I$42</f>
        <v>42.6849599112243</v>
      </c>
      <c r="H173" s="25" t="n">
        <f aca="false">datos_base!$G$13*parametros_recargas!$J$42</f>
        <v>43.4627758548672</v>
      </c>
      <c r="I173" s="25" t="n">
        <f aca="false">datos_base!$G$13*parametros_recargas!$K$42</f>
        <v>44.2547653538664</v>
      </c>
      <c r="J173" s="25" t="n">
        <f aca="false">datos_base!$G$13*parametros_recargas!$L$42</f>
        <v>45.0611866822687</v>
      </c>
      <c r="K173" s="25" t="n">
        <f aca="false">datos_base!$G$13*parametros_recargas!$M$42</f>
        <v>45.8823028204549</v>
      </c>
      <c r="L173" s="25" t="n">
        <f aca="false">datos_base!$G$13*parametros_recargas!$N$42</f>
        <v>46.7183815408994</v>
      </c>
      <c r="M173" s="25" t="n">
        <f aca="false">datos_base!$G$13*parametros_recargas!$O$42</f>
        <v>47.5696954954932</v>
      </c>
      <c r="N173" s="25" t="n">
        <f aca="false">datos_base!$G$13*parametros_recargas!$P$42</f>
        <v>48.4365223044578</v>
      </c>
      <c r="O173" s="25" t="n">
        <f aca="false">datos_base!$G$13*parametros_recargas!$Q$42</f>
        <v>49.3191446468795</v>
      </c>
      <c r="P173" s="7" t="n">
        <f aca="false">SUM(D173:O173)</f>
        <v>536.915676611825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4" t="n">
        <f aca="false">parametros_recargas!C63</f>
        <v>1</v>
      </c>
      <c r="D174" s="25" t="n">
        <f aca="false">datos_base!$G$14*parametros_recargas!$F$42</f>
        <v>13.7093895193129</v>
      </c>
      <c r="E174" s="25" t="n">
        <f aca="false">datos_base!$G$14*parametros_recargas!$G$42</f>
        <v>13.9592054209305</v>
      </c>
      <c r="F174" s="25" t="n">
        <f aca="false">datos_base!$G$14*parametros_recargas!$H$42</f>
        <v>14.2135735299686</v>
      </c>
      <c r="G174" s="25" t="n">
        <f aca="false">datos_base!$G$14*parametros_recargas!$I$42</f>
        <v>14.4725767978818</v>
      </c>
      <c r="H174" s="25" t="n">
        <f aca="false">datos_base!$G$14*parametros_recargas!$J$42</f>
        <v>14.7362996876865</v>
      </c>
      <c r="I174" s="25" t="n">
        <f aca="false">datos_base!$G$14*parametros_recargas!$K$42</f>
        <v>15.0048282015055</v>
      </c>
      <c r="J174" s="25" t="n">
        <f aca="false">datos_base!$G$14*parametros_recargas!$L$42</f>
        <v>15.2782499086132</v>
      </c>
      <c r="K174" s="25" t="n">
        <f aca="false">datos_base!$G$14*parametros_recargas!$M$42</f>
        <v>15.5566539739935</v>
      </c>
      <c r="L174" s="25" t="n">
        <f aca="false">datos_base!$G$14*parametros_recargas!$N$42</f>
        <v>15.8401311874165</v>
      </c>
      <c r="M174" s="25" t="n">
        <f aca="false">datos_base!$G$14*parametros_recargas!$O$42</f>
        <v>16.1287739930462</v>
      </c>
      <c r="N174" s="25" t="n">
        <f aca="false">datos_base!$G$14*parametros_recargas!$P$42</f>
        <v>16.4226765195871</v>
      </c>
      <c r="O174" s="25" t="n">
        <f aca="false">datos_base!$G$14*parametros_recargas!$Q$42</f>
        <v>16.7219346109802</v>
      </c>
      <c r="P174" s="7" t="n">
        <f aca="false">SUM(D174:O174)</f>
        <v>182.044293350923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4" t="n">
        <f aca="false">parametros_recargas!C64</f>
        <v>3</v>
      </c>
      <c r="D175" s="25" t="n">
        <f aca="false">datos_base!$G$15*parametros_recargas!$F$42</f>
        <v>34.477562627728</v>
      </c>
      <c r="E175" s="25" t="n">
        <f aca="false">datos_base!$G$15*parametros_recargas!$G$42</f>
        <v>35.1058213391234</v>
      </c>
      <c r="F175" s="25" t="n">
        <f aca="false">datos_base!$G$15*parametros_recargas!$H$42</f>
        <v>35.745528336835</v>
      </c>
      <c r="G175" s="25" t="n">
        <f aca="false">datos_base!$G$15*parametros_recargas!$I$42</f>
        <v>36.39689223438</v>
      </c>
      <c r="H175" s="25" t="n">
        <f aca="false">datos_base!$G$15*parametros_recargas!$J$42</f>
        <v>37.0601254466832</v>
      </c>
      <c r="I175" s="25" t="n">
        <f aca="false">datos_base!$G$15*parametros_recargas!$K$42</f>
        <v>37.7354442593466</v>
      </c>
      <c r="J175" s="25" t="n">
        <f aca="false">datos_base!$G$15*parametros_recargas!$L$42</f>
        <v>38.4230688991825</v>
      </c>
      <c r="K175" s="25" t="n">
        <f aca="false">datos_base!$G$15*parametros_recargas!$M$42</f>
        <v>39.1232236060308</v>
      </c>
      <c r="L175" s="25" t="n">
        <f aca="false">datos_base!$G$15*parametros_recargas!$N$42</f>
        <v>39.8361367058853</v>
      </c>
      <c r="M175" s="25" t="n">
        <f aca="false">datos_base!$G$15*parametros_recargas!$O$42</f>
        <v>40.5620406853529</v>
      </c>
      <c r="N175" s="25" t="n">
        <f aca="false">datos_base!$G$15*parametros_recargas!$P$42</f>
        <v>41.3011722674693</v>
      </c>
      <c r="O175" s="25" t="n">
        <f aca="false">datos_base!$G$15*parametros_recargas!$Q$42</f>
        <v>42.053772488896</v>
      </c>
      <c r="P175" s="7" t="n">
        <f aca="false">SUM(D175:O175)</f>
        <v>457.820788896913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4" t="n">
        <f aca="false">parametros_recargas!C65</f>
        <v>3</v>
      </c>
      <c r="D176" s="25" t="n">
        <f aca="false">datos_base!$G$16*parametros_recargas!$F$42</f>
        <v>75.8506378346031</v>
      </c>
      <c r="E176" s="25" t="n">
        <f aca="false">datos_base!$G$16*parametros_recargas!$G$42</f>
        <v>77.2328070006498</v>
      </c>
      <c r="F176" s="25" t="n">
        <f aca="false">datos_base!$G$16*parametros_recargas!$H$42</f>
        <v>78.6401623966098</v>
      </c>
      <c r="G176" s="25" t="n">
        <f aca="false">datos_base!$G$16*parametros_recargas!$I$42</f>
        <v>80.0731629722215</v>
      </c>
      <c r="H176" s="25" t="n">
        <f aca="false">datos_base!$G$16*parametros_recargas!$J$42</f>
        <v>81.5322760403195</v>
      </c>
      <c r="I176" s="25" t="n">
        <f aca="false">datos_base!$G$16*parametros_recargas!$K$42</f>
        <v>83.017977429229</v>
      </c>
      <c r="J176" s="25" t="n">
        <f aca="false">datos_base!$G$16*parametros_recargas!$L$42</f>
        <v>84.530751637937</v>
      </c>
      <c r="K176" s="25" t="n">
        <f aca="false">datos_base!$G$16*parametros_recargas!$M$42</f>
        <v>86.0710919940917</v>
      </c>
      <c r="L176" s="25" t="n">
        <f aca="false">datos_base!$G$16*parametros_recargas!$N$42</f>
        <v>87.6395008148799</v>
      </c>
      <c r="M176" s="25" t="n">
        <f aca="false">datos_base!$G$16*parametros_recargas!$O$42</f>
        <v>89.2364895708373</v>
      </c>
      <c r="N176" s="25" t="n">
        <f aca="false">datos_base!$G$16*parametros_recargas!$P$42</f>
        <v>90.8625790526425</v>
      </c>
      <c r="O176" s="25" t="n">
        <f aca="false">datos_base!$G$16*parametros_recargas!$Q$42</f>
        <v>92.5182995409513</v>
      </c>
      <c r="P176" s="7" t="n">
        <f aca="false">SUM(D176:O176)</f>
        <v>1007.20573628497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4" t="n">
        <f aca="false">parametros_recargas!C66</f>
        <v>3</v>
      </c>
      <c r="D177" s="25" t="n">
        <f aca="false">datos_base!$G$17*parametros_recargas!$F$42</f>
        <v>16.5492300720297</v>
      </c>
      <c r="E177" s="25" t="n">
        <f aca="false">datos_base!$G$17*parametros_recargas!$G$42</f>
        <v>16.8507942536949</v>
      </c>
      <c r="F177" s="25" t="n">
        <f aca="false">datos_base!$G$17*parametros_recargas!$H$42</f>
        <v>17.1578536127954</v>
      </c>
      <c r="G177" s="25" t="n">
        <f aca="false">datos_base!$G$17*parametros_recargas!$I$42</f>
        <v>17.4705082838195</v>
      </c>
      <c r="H177" s="25" t="n">
        <f aca="false">datos_base!$G$17*parametros_recargas!$J$42</f>
        <v>17.7888602259312</v>
      </c>
      <c r="I177" s="25" t="n">
        <f aca="false">datos_base!$G$17*parametros_recargas!$K$42</f>
        <v>18.1130132562197</v>
      </c>
      <c r="J177" s="25" t="n">
        <f aca="false">datos_base!$G$17*parametros_recargas!$L$42</f>
        <v>18.4430730835547</v>
      </c>
      <c r="K177" s="25" t="n">
        <f aca="false">datos_base!$G$17*parametros_recargas!$M$42</f>
        <v>18.7791473430596</v>
      </c>
      <c r="L177" s="25" t="n">
        <f aca="false">datos_base!$G$17*parametros_recargas!$N$42</f>
        <v>19.1213456312114</v>
      </c>
      <c r="M177" s="25" t="n">
        <f aca="false">datos_base!$G$17*parametros_recargas!$O$42</f>
        <v>19.4697795415816</v>
      </c>
      <c r="N177" s="25" t="n">
        <f aca="false">datos_base!$G$17*parametros_recargas!$P$42</f>
        <v>19.8245627012273</v>
      </c>
      <c r="O177" s="25" t="n">
        <f aca="false">datos_base!$G$17*parametros_recargas!$Q$42</f>
        <v>20.1858108077461</v>
      </c>
      <c r="P177" s="7" t="n">
        <f aca="false">SUM(D177:O177)</f>
        <v>219.753978812871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4" t="n">
        <f aca="false">parametros_recargas!C67</f>
        <v>3</v>
      </c>
      <c r="D178" s="25" t="n">
        <f aca="false">datos_base!$G$18*parametros_recargas!$F$42</f>
        <v>11.0328200301527</v>
      </c>
      <c r="E178" s="25" t="n">
        <f aca="false">datos_base!$G$18*parametros_recargas!$G$42</f>
        <v>11.2338628176039</v>
      </c>
      <c r="F178" s="25" t="n">
        <f aca="false">datos_base!$G$18*parametros_recargas!$H$42</f>
        <v>11.4385690566727</v>
      </c>
      <c r="G178" s="25" t="n">
        <f aca="false">datos_base!$G$18*parametros_recargas!$I$42</f>
        <v>11.6470055036845</v>
      </c>
      <c r="H178" s="25" t="n">
        <f aca="false">datos_base!$G$18*parametros_recargas!$J$42</f>
        <v>11.8592401314153</v>
      </c>
      <c r="I178" s="25" t="n">
        <f aca="false">datos_base!$G$18*parametros_recargas!$K$42</f>
        <v>12.0753421512576</v>
      </c>
      <c r="J178" s="25" t="n">
        <f aca="false">datos_base!$G$18*parametros_recargas!$L$42</f>
        <v>12.2953820357913</v>
      </c>
      <c r="K178" s="25" t="n">
        <f aca="false">datos_base!$G$18*parametros_recargas!$M$42</f>
        <v>12.5194315417651</v>
      </c>
      <c r="L178" s="25" t="n">
        <f aca="false">datos_base!$G$18*parametros_recargas!$N$42</f>
        <v>12.7475637334968</v>
      </c>
      <c r="M178" s="25" t="n">
        <f aca="false">datos_base!$G$18*parametros_recargas!$O$42</f>
        <v>12.9798530067008</v>
      </c>
      <c r="N178" s="25" t="n">
        <f aca="false">datos_base!$G$18*parametros_recargas!$P$42</f>
        <v>13.2163751127482</v>
      </c>
      <c r="O178" s="25" t="n">
        <f aca="false">datos_base!$G$18*parametros_recargas!$Q$42</f>
        <v>13.4572071833707</v>
      </c>
      <c r="P178" s="7" t="n">
        <f aca="false">SUM(D178:O178)</f>
        <v>146.502652304659</v>
      </c>
    </row>
    <row r="179" customFormat="false" ht="15" hidden="false" customHeight="false" outlineLevel="0" collapsed="false">
      <c r="A179" s="6" t="s">
        <v>272</v>
      </c>
      <c r="D179" s="7" t="n">
        <f aca="false">SUM(D162:D178)</f>
        <v>12247.4072586247</v>
      </c>
      <c r="E179" s="7" t="n">
        <f aca="false">SUM(E162:E178)</f>
        <v>12470.5825562906</v>
      </c>
      <c r="F179" s="7" t="n">
        <f aca="false">SUM(F162:F178)</f>
        <v>12697.8246096736</v>
      </c>
      <c r="G179" s="7" t="n">
        <f aca="false">SUM(G162:G178)</f>
        <v>12929.2075242067</v>
      </c>
      <c r="H179" s="7" t="n">
        <f aca="false">SUM(H162:H178)</f>
        <v>13164.8067556903</v>
      </c>
      <c r="I179" s="7" t="n">
        <f aca="false">SUM(I162:I178)</f>
        <v>13404.6991348995</v>
      </c>
      <c r="J179" s="7" t="n">
        <f aca="false">SUM(J162:J178)</f>
        <v>13648.9628926387</v>
      </c>
      <c r="K179" s="7" t="n">
        <f aca="false">SUM(K162:K178)</f>
        <v>13897.6776852533</v>
      </c>
      <c r="L179" s="7" t="n">
        <f aca="false">SUM(L162:L178)</f>
        <v>14150.9246206067</v>
      </c>
      <c r="M179" s="7" t="n">
        <f aca="false">SUM(M162:M178)</f>
        <v>14408.7862845297</v>
      </c>
      <c r="N179" s="7" t="n">
        <f aca="false">SUM(N162:N178)</f>
        <v>14671.3467677529</v>
      </c>
      <c r="O179" s="7" t="n">
        <f aca="false">SUM(O162:O178)</f>
        <v>14938.6916933286</v>
      </c>
      <c r="P179" s="7" t="n">
        <f aca="false">SUM(P162:P178)</f>
        <v>162630.917783496</v>
      </c>
    </row>
    <row r="180" customFormat="false" ht="15" hidden="false" customHeight="false" outlineLevel="0" collapsed="false">
      <c r="A180" s="6" t="s">
        <v>273</v>
      </c>
    </row>
    <row r="181" customFormat="false" ht="15" hidden="false" customHeight="false" outlineLevel="0" collapsed="false">
      <c r="A181" s="4" t="s">
        <v>143</v>
      </c>
      <c r="D181" s="25" t="n">
        <f aca="false">SUMPRODUCT(($B$162:$B$178=$A181)*D$162:D$178*$C$162:$C$178)</f>
        <v>10917.7549057263</v>
      </c>
      <c r="E181" s="25" t="n">
        <f aca="false">SUMPRODUCT(($B$162:$B$178=$A181)*E$162:E$178*$C$162:$C$178)</f>
        <v>11116.7009478948</v>
      </c>
      <c r="F181" s="25" t="n">
        <f aca="false">SUMPRODUCT(($B$162:$B$178=$A181)*F$162:F$178*$C$162:$C$178)</f>
        <v>11319.2722342675</v>
      </c>
      <c r="G181" s="25" t="n">
        <f aca="false">SUMPRODUCT(($B$162:$B$178=$A181)*G$162:G$178*$C$162:$C$178)</f>
        <v>11525.5348249448</v>
      </c>
      <c r="H181" s="25" t="n">
        <f aca="false">SUMPRODUCT(($B$162:$B$178=$A181)*H$162:H$178*$C$162:$C$178)</f>
        <v>11735.5559837909</v>
      </c>
      <c r="I181" s="25" t="n">
        <f aca="false">SUMPRODUCT(($B$162:$B$178=$A181)*I$162:I$178*$C$162:$C$178)</f>
        <v>11949.4042003686</v>
      </c>
      <c r="J181" s="25" t="n">
        <f aca="false">SUMPRODUCT(($B$162:$B$178=$A181)*J$162:J$178*$C$162:$C$178)</f>
        <v>12167.1492122747</v>
      </c>
      <c r="K181" s="25" t="n">
        <f aca="false">SUMPRODUCT(($B$162:$B$178=$A181)*K$162:K$178*$C$162:$C$178)</f>
        <v>12388.8620278817</v>
      </c>
      <c r="L181" s="25" t="n">
        <f aca="false">SUMPRODUCT(($B$162:$B$178=$A181)*L$162:L$178*$C$162:$C$178)</f>
        <v>12614.6149494943</v>
      </c>
      <c r="M181" s="25" t="n">
        <f aca="false">SUMPRODUCT(($B$162:$B$178=$A181)*M$162:M$178*$C$162:$C$178)</f>
        <v>12844.481596928</v>
      </c>
      <c r="N181" s="25" t="n">
        <f aca="false">SUMPRODUCT(($B$162:$B$178=$A181)*N$162:N$178*$C$162:$C$178)</f>
        <v>13078.5369315165</v>
      </c>
      <c r="O181" s="25" t="n">
        <f aca="false">SUMPRODUCT(($B$162:$B$178=$A181)*O$162:O$178*$C$162:$C$178)</f>
        <v>13316.8572805577</v>
      </c>
      <c r="P181" s="25" t="n">
        <f aca="false">SUMPRODUCT(($B$162:$B$178=$A181)*P$162:P$178*$C$162:$C$178)</f>
        <v>144974.725095646</v>
      </c>
    </row>
    <row r="182" customFormat="false" ht="15" hidden="false" customHeight="false" outlineLevel="0" collapsed="false">
      <c r="A182" s="4" t="s">
        <v>149</v>
      </c>
      <c r="D182" s="25" t="n">
        <f aca="false">SUMPRODUCT(($B$162:$B$178=$A182)*D$162:D$178*$C$162:$C$178)</f>
        <v>15.6446551922531</v>
      </c>
      <c r="E182" s="25" t="n">
        <f aca="false">SUMPRODUCT(($B$162:$B$178=$A182)*E$162:E$178*$C$162:$C$178)</f>
        <v>15.9297359857372</v>
      </c>
      <c r="F182" s="25" t="n">
        <f aca="false">SUMPRODUCT(($B$162:$B$178=$A182)*F$162:F$178*$C$162:$C$178)</f>
        <v>16.2200115922622</v>
      </c>
      <c r="G182" s="25" t="n">
        <f aca="false">SUMPRODUCT(($B$162:$B$178=$A182)*G$162:G$178*$C$162:$C$178)</f>
        <v>16.515576673002</v>
      </c>
      <c r="H182" s="25" t="n">
        <f aca="false">SUMPRODUCT(($B$162:$B$178=$A182)*H$162:H$178*$C$162:$C$178)</f>
        <v>16.8165276140696</v>
      </c>
      <c r="I182" s="25" t="n">
        <f aca="false">SUMPRODUCT(($B$162:$B$178=$A182)*I$162:I$178*$C$162:$C$178)</f>
        <v>17.12296255795</v>
      </c>
      <c r="J182" s="25" t="n">
        <f aca="false">SUMPRODUCT(($B$162:$B$178=$A182)*J$162:J$178*$C$162:$C$178)</f>
        <v>17.4349814355048</v>
      </c>
      <c r="K182" s="25" t="n">
        <f aca="false">SUMPRODUCT(($B$162:$B$178=$A182)*K$162:K$178*$C$162:$C$178)</f>
        <v>17.7526859985607</v>
      </c>
      <c r="L182" s="25" t="n">
        <f aca="false">SUMPRODUCT(($B$162:$B$178=$A182)*L$162:L$178*$C$162:$C$178)</f>
        <v>18.0761798530913</v>
      </c>
      <c r="M182" s="25" t="n">
        <f aca="false">SUMPRODUCT(($B$162:$B$178=$A182)*M$162:M$178*$C$162:$C$178)</f>
        <v>18.4055684930041</v>
      </c>
      <c r="N182" s="25" t="n">
        <f aca="false">SUMPRODUCT(($B$162:$B$178=$A182)*N$162:N$178*$C$162:$C$178)</f>
        <v>18.7409593345428</v>
      </c>
      <c r="O182" s="25" t="n">
        <f aca="false">SUMPRODUCT(($B$162:$B$178=$A182)*O$162:O$178*$C$162:$C$178)</f>
        <v>19.0824617513164</v>
      </c>
      <c r="P182" s="25" t="n">
        <f aca="false">SUMPRODUCT(($B$162:$B$178=$A182)*P$162:P$178*$C$162:$C$178)</f>
        <v>207.742306481294</v>
      </c>
    </row>
    <row r="183" customFormat="false" ht="15" hidden="false" customHeight="false" outlineLevel="0" collapsed="false">
      <c r="A183" s="4" t="s">
        <v>155</v>
      </c>
      <c r="D183" s="25" t="n">
        <f aca="false">SUMPRODUCT(($B$162:$B$178=$A183)*D$162:D$178*$C$162:$C$178)</f>
        <v>13.7093895193129</v>
      </c>
      <c r="E183" s="25" t="n">
        <f aca="false">SUMPRODUCT(($B$162:$B$178=$A183)*E$162:E$178*$C$162:$C$178)</f>
        <v>13.9592054209305</v>
      </c>
      <c r="F183" s="25" t="n">
        <f aca="false">SUMPRODUCT(($B$162:$B$178=$A183)*F$162:F$178*$C$162:$C$178)</f>
        <v>14.2135735299686</v>
      </c>
      <c r="G183" s="25" t="n">
        <f aca="false">SUMPRODUCT(($B$162:$B$178=$A183)*G$162:G$178*$C$162:$C$178)</f>
        <v>14.4725767978818</v>
      </c>
      <c r="H183" s="25" t="n">
        <f aca="false">SUMPRODUCT(($B$162:$B$178=$A183)*H$162:H$178*$C$162:$C$178)</f>
        <v>14.7362996876865</v>
      </c>
      <c r="I183" s="25" t="n">
        <f aca="false">SUMPRODUCT(($B$162:$B$178=$A183)*I$162:I$178*$C$162:$C$178)</f>
        <v>15.0048282015055</v>
      </c>
      <c r="J183" s="25" t="n">
        <f aca="false">SUMPRODUCT(($B$162:$B$178=$A183)*J$162:J$178*$C$162:$C$178)</f>
        <v>15.2782499086132</v>
      </c>
      <c r="K183" s="25" t="n">
        <f aca="false">SUMPRODUCT(($B$162:$B$178=$A183)*K$162:K$178*$C$162:$C$178)</f>
        <v>15.5566539739935</v>
      </c>
      <c r="L183" s="25" t="n">
        <f aca="false">SUMPRODUCT(($B$162:$B$178=$A183)*L$162:L$178*$C$162:$C$178)</f>
        <v>15.8401311874165</v>
      </c>
      <c r="M183" s="25" t="n">
        <f aca="false">SUMPRODUCT(($B$162:$B$178=$A183)*M$162:M$178*$C$162:$C$178)</f>
        <v>16.1287739930462</v>
      </c>
      <c r="N183" s="25" t="n">
        <f aca="false">SUMPRODUCT(($B$162:$B$178=$A183)*N$162:N$178*$C$162:$C$178)</f>
        <v>16.4226765195871</v>
      </c>
      <c r="O183" s="25" t="n">
        <f aca="false">SUMPRODUCT(($B$162:$B$178=$A183)*O$162:O$178*$C$162:$C$178)</f>
        <v>16.7219346109802</v>
      </c>
      <c r="P183" s="25" t="n">
        <f aca="false">SUMPRODUCT(($B$162:$B$178=$A183)*P$162:P$178*$C$162:$C$178)</f>
        <v>182.044293350923</v>
      </c>
    </row>
    <row r="184" customFormat="false" ht="15" hidden="false" customHeight="false" outlineLevel="0" collapsed="false">
      <c r="A184" s="4" t="s">
        <v>146</v>
      </c>
      <c r="D184" s="25" t="n">
        <f aca="false">SUMPRODUCT(($B$162:$B$178=$A184)*D$162:D$178*$C$162:$C$178)</f>
        <v>286.004390347815</v>
      </c>
      <c r="E184" s="25" t="n">
        <f aca="false">SUMPRODUCT(($B$162:$B$178=$A184)*E$162:E$178*$C$162:$C$178)</f>
        <v>291.21603340024</v>
      </c>
      <c r="F184" s="25" t="n">
        <f aca="false">SUMPRODUCT(($B$162:$B$178=$A184)*F$162:F$178*$C$162:$C$178)</f>
        <v>296.522644307085</v>
      </c>
      <c r="G184" s="25" t="n">
        <f aca="false">SUMPRODUCT(($B$162:$B$178=$A184)*G$162:G$178*$C$162:$C$178)</f>
        <v>301.925953596185</v>
      </c>
      <c r="H184" s="25" t="n">
        <f aca="false">SUMPRODUCT(($B$162:$B$178=$A184)*H$162:H$178*$C$162:$C$178)</f>
        <v>307.427723329485</v>
      </c>
      <c r="I184" s="25" t="n">
        <f aca="false">SUMPRODUCT(($B$162:$B$178=$A184)*I$162:I$178*$C$162:$C$178)</f>
        <v>313.029747677659</v>
      </c>
      <c r="J184" s="25" t="n">
        <f aca="false">SUMPRODUCT(($B$162:$B$178=$A184)*J$162:J$178*$C$162:$C$178)</f>
        <v>318.733853505205</v>
      </c>
      <c r="K184" s="25" t="n">
        <f aca="false">SUMPRODUCT(($B$162:$B$178=$A184)*K$162:K$178*$C$162:$C$178)</f>
        <v>324.5419009662</v>
      </c>
      <c r="L184" s="25" t="n">
        <f aca="false">SUMPRODUCT(($B$162:$B$178=$A184)*L$162:L$178*$C$162:$C$178)</f>
        <v>330.455784110912</v>
      </c>
      <c r="M184" s="25" t="n">
        <f aca="false">SUMPRODUCT(($B$162:$B$178=$A184)*M$162:M$178*$C$162:$C$178)</f>
        <v>336.477431503461</v>
      </c>
      <c r="N184" s="25" t="n">
        <f aca="false">SUMPRODUCT(($B$162:$B$178=$A184)*N$162:N$178*$C$162:$C$178)</f>
        <v>342.608806850742</v>
      </c>
      <c r="O184" s="25" t="n">
        <f aca="false">SUMPRODUCT(($B$162:$B$178=$A184)*O$162:O$178*$C$162:$C$178)</f>
        <v>348.851909642808</v>
      </c>
      <c r="P184" s="25" t="n">
        <f aca="false">SUMPRODUCT(($B$162:$B$178=$A184)*P$162:P$178*$C$162:$C$178)</f>
        <v>3797.7961792378</v>
      </c>
    </row>
    <row r="185" customFormat="false" ht="15" hidden="false" customHeight="false" outlineLevel="0" collapsed="false">
      <c r="A185" s="4" t="s">
        <v>147</v>
      </c>
      <c r="D185" s="25" t="n">
        <f aca="false">SUMPRODUCT(($B$162:$B$178=$A185)*D$162:D$178*$C$162:$C$178)</f>
        <v>134.34975348449</v>
      </c>
      <c r="E185" s="25" t="n">
        <f aca="false">SUMPRODUCT(($B$162:$B$178=$A185)*E$162:E$178*$C$162:$C$178)</f>
        <v>136.797908068729</v>
      </c>
      <c r="F185" s="25" t="n">
        <f aca="false">SUMPRODUCT(($B$162:$B$178=$A185)*F$162:F$178*$C$162:$C$178)</f>
        <v>139.290673533992</v>
      </c>
      <c r="G185" s="25" t="n">
        <f aca="false">SUMPRODUCT(($B$162:$B$178=$A185)*G$162:G$178*$C$162:$C$178)</f>
        <v>141.828862790837</v>
      </c>
      <c r="H185" s="25" t="n">
        <f aca="false">SUMPRODUCT(($B$162:$B$178=$A185)*H$162:H$178*$C$162:$C$178)</f>
        <v>144.413303562876</v>
      </c>
      <c r="I185" s="25" t="n">
        <f aca="false">SUMPRODUCT(($B$162:$B$178=$A185)*I$162:I$178*$C$162:$C$178)</f>
        <v>147.044838656712</v>
      </c>
      <c r="J185" s="25" t="n">
        <f aca="false">SUMPRODUCT(($B$162:$B$178=$A185)*J$162:J$178*$C$162:$C$178)</f>
        <v>149.724326236774</v>
      </c>
      <c r="K185" s="25" t="n">
        <f aca="false">SUMPRODUCT(($B$162:$B$178=$A185)*K$162:K$178*$C$162:$C$178)</f>
        <v>152.45264010518</v>
      </c>
      <c r="L185" s="25" t="n">
        <f aca="false">SUMPRODUCT(($B$162:$B$178=$A185)*L$162:L$178*$C$162:$C$178)</f>
        <v>155.230669986686</v>
      </c>
      <c r="M185" s="25" t="n">
        <f aca="false">SUMPRODUCT(($B$162:$B$178=$A185)*M$162:M$178*$C$162:$C$178)</f>
        <v>158.059321818833</v>
      </c>
      <c r="N185" s="25" t="n">
        <f aca="false">SUMPRODUCT(($B$162:$B$178=$A185)*N$162:N$178*$C$162:$C$178)</f>
        <v>160.939518047382</v>
      </c>
      <c r="O185" s="25" t="n">
        <f aca="false">SUMPRODUCT(($B$162:$B$178=$A185)*O$162:O$178*$C$162:$C$178)</f>
        <v>163.872197927129</v>
      </c>
      <c r="P185" s="25" t="n">
        <f aca="false">SUMPRODUCT(($B$162:$B$178=$A185)*P$162:P$178*$C$162:$C$178)</f>
        <v>1784.00401421962</v>
      </c>
    </row>
    <row r="186" customFormat="false" ht="15" hidden="false" customHeight="false" outlineLevel="0" collapsed="false">
      <c r="A186" s="4" t="s">
        <v>150</v>
      </c>
      <c r="D186" s="25" t="n">
        <f aca="false">SUMPRODUCT(($B$162:$B$178=$A186)*D$162:D$178*$C$162:$C$178)</f>
        <v>139.285657547957</v>
      </c>
      <c r="E186" s="25" t="n">
        <f aca="false">SUMPRODUCT(($B$162:$B$178=$A186)*E$162:E$178*$C$162:$C$178)</f>
        <v>141.823755402257</v>
      </c>
      <c r="F186" s="25" t="n">
        <f aca="false">SUMPRODUCT(($B$162:$B$178=$A186)*F$162:F$178*$C$162:$C$178)</f>
        <v>144.408103106193</v>
      </c>
      <c r="G186" s="25" t="n">
        <f aca="false">SUMPRODUCT(($B$162:$B$178=$A186)*G$162:G$178*$C$162:$C$178)</f>
        <v>147.039543436015</v>
      </c>
      <c r="H186" s="25" t="n">
        <f aca="false">SUMPRODUCT(($B$162:$B$178=$A186)*H$162:H$178*$C$162:$C$178)</f>
        <v>149.71893452525</v>
      </c>
      <c r="I186" s="25" t="n">
        <f aca="false">SUMPRODUCT(($B$162:$B$178=$A186)*I$162:I$178*$C$162:$C$178)</f>
        <v>152.447150144549</v>
      </c>
      <c r="J186" s="25" t="n">
        <f aca="false">SUMPRODUCT(($B$162:$B$178=$A186)*J$162:J$178*$C$162:$C$178)</f>
        <v>155.225079986629</v>
      </c>
      <c r="K186" s="25" t="n">
        <f aca="false">SUMPRODUCT(($B$162:$B$178=$A186)*K$162:K$178*$C$162:$C$178)</f>
        <v>158.053629956406</v>
      </c>
      <c r="L186" s="25" t="n">
        <f aca="false">SUMPRODUCT(($B$162:$B$178=$A186)*L$162:L$178*$C$162:$C$178)</f>
        <v>160.933722466424</v>
      </c>
      <c r="M186" s="25" t="n">
        <f aca="false">SUMPRODUCT(($B$162:$B$178=$A186)*M$162:M$178*$C$162:$C$178)</f>
        <v>163.866296737655</v>
      </c>
      <c r="N186" s="25" t="n">
        <f aca="false">SUMPRODUCT(($B$162:$B$178=$A186)*N$162:N$178*$C$162:$C$178)</f>
        <v>166.85230910579</v>
      </c>
      <c r="O186" s="25" t="n">
        <f aca="false">SUMPRODUCT(($B$162:$B$178=$A186)*O$162:O$178*$C$162:$C$178)</f>
        <v>169.892733333106</v>
      </c>
      <c r="P186" s="25" t="n">
        <f aca="false">SUMPRODUCT(($B$162:$B$178=$A186)*P$162:P$178*$C$162:$C$178)</f>
        <v>1849.54691574823</v>
      </c>
    </row>
    <row r="187" customFormat="false" ht="15" hidden="false" customHeight="false" outlineLevel="0" collapsed="false">
      <c r="A187" s="4" t="s">
        <v>151</v>
      </c>
      <c r="D187" s="25" t="n">
        <f aca="false">SUMPRODUCT(($B$162:$B$178=$A187)*D$162:D$178*$C$162:$C$178)</f>
        <v>1031.20381311356</v>
      </c>
      <c r="E187" s="25" t="n">
        <f aca="false">SUMPRODUCT(($B$162:$B$178=$A187)*E$162:E$178*$C$162:$C$178)</f>
        <v>1049.99466517605</v>
      </c>
      <c r="F187" s="25" t="n">
        <f aca="false">SUMPRODUCT(($B$162:$B$178=$A187)*F$162:F$178*$C$162:$C$178)</f>
        <v>1069.12792881299</v>
      </c>
      <c r="G187" s="25" t="n">
        <f aca="false">SUMPRODUCT(($B$162:$B$178=$A187)*G$162:G$178*$C$162:$C$178)</f>
        <v>1088.60984353317</v>
      </c>
      <c r="H187" s="25" t="n">
        <f aca="false">SUMPRODUCT(($B$162:$B$178=$A187)*H$162:H$178*$C$162:$C$178)</f>
        <v>1108.44676254323</v>
      </c>
      <c r="I187" s="25" t="n">
        <f aca="false">SUMPRODUCT(($B$162:$B$178=$A187)*I$162:I$178*$C$162:$C$178)</f>
        <v>1128.64515481954</v>
      </c>
      <c r="J187" s="25" t="n">
        <f aca="false">SUMPRODUCT(($B$162:$B$178=$A187)*J$162:J$178*$C$162:$C$178)</f>
        <v>1149.21160721776</v>
      </c>
      <c r="K187" s="25" t="n">
        <f aca="false">SUMPRODUCT(($B$162:$B$178=$A187)*K$162:K$178*$C$162:$C$178)</f>
        <v>1170.15282662085</v>
      </c>
      <c r="L187" s="25" t="n">
        <f aca="false">SUMPRODUCT(($B$162:$B$178=$A187)*L$162:L$178*$C$162:$C$178)</f>
        <v>1191.4756421263</v>
      </c>
      <c r="M187" s="25" t="n">
        <f aca="false">SUMPRODUCT(($B$162:$B$178=$A187)*M$162:M$178*$C$162:$C$178)</f>
        <v>1213.18700727308</v>
      </c>
      <c r="N187" s="25" t="n">
        <f aca="false">SUMPRODUCT(($B$162:$B$178=$A187)*N$162:N$178*$C$162:$C$178)</f>
        <v>1235.29400230926</v>
      </c>
      <c r="O187" s="25" t="n">
        <f aca="false">SUMPRODUCT(($B$162:$B$178=$A187)*O$162:O$178*$C$162:$C$178)</f>
        <v>1257.803836501</v>
      </c>
      <c r="P187" s="25" t="n">
        <f aca="false">SUMPRODUCT(($B$162:$B$178=$A187)*P$162:P$178*$C$162:$C$178)</f>
        <v>13693.1530900468</v>
      </c>
    </row>
    <row r="188" customFormat="false" ht="15" hidden="false" customHeight="false" outlineLevel="0" collapsed="false">
      <c r="A188" s="4" t="s">
        <v>154</v>
      </c>
      <c r="D188" s="25" t="n">
        <f aca="false">SUMPRODUCT(($B$162:$B$178=$A188)*D$162:D$178*$C$162:$C$178)</f>
        <v>40.434039508768</v>
      </c>
      <c r="E188" s="25" t="n">
        <f aca="false">SUMPRODUCT(($B$162:$B$178=$A188)*E$162:E$178*$C$162:$C$178)</f>
        <v>41.1708386216456</v>
      </c>
      <c r="F188" s="25" t="n">
        <f aca="false">SUMPRODUCT(($B$162:$B$178=$A188)*F$162:F$178*$C$162:$C$178)</f>
        <v>41.9210638709996</v>
      </c>
      <c r="G188" s="25" t="n">
        <f aca="false">SUMPRODUCT(($B$162:$B$178=$A188)*G$162:G$178*$C$162:$C$178)</f>
        <v>42.6849599112243</v>
      </c>
      <c r="H188" s="25" t="n">
        <f aca="false">SUMPRODUCT(($B$162:$B$178=$A188)*H$162:H$178*$C$162:$C$178)</f>
        <v>43.4627758548672</v>
      </c>
      <c r="I188" s="25" t="n">
        <f aca="false">SUMPRODUCT(($B$162:$B$178=$A188)*I$162:I$178*$C$162:$C$178)</f>
        <v>44.2547653538664</v>
      </c>
      <c r="J188" s="25" t="n">
        <f aca="false">SUMPRODUCT(($B$162:$B$178=$A188)*J$162:J$178*$C$162:$C$178)</f>
        <v>45.0611866822687</v>
      </c>
      <c r="K188" s="25" t="n">
        <f aca="false">SUMPRODUCT(($B$162:$B$178=$A188)*K$162:K$178*$C$162:$C$178)</f>
        <v>45.8823028204549</v>
      </c>
      <c r="L188" s="25" t="n">
        <f aca="false">SUMPRODUCT(($B$162:$B$178=$A188)*L$162:L$178*$C$162:$C$178)</f>
        <v>46.7183815408994</v>
      </c>
      <c r="M188" s="25" t="n">
        <f aca="false">SUMPRODUCT(($B$162:$B$178=$A188)*M$162:M$178*$C$162:$C$178)</f>
        <v>47.5696954954932</v>
      </c>
      <c r="N188" s="25" t="n">
        <f aca="false">SUMPRODUCT(($B$162:$B$178=$A188)*N$162:N$178*$C$162:$C$178)</f>
        <v>48.4365223044578</v>
      </c>
      <c r="O188" s="25" t="n">
        <f aca="false">SUMPRODUCT(($B$162:$B$178=$A188)*O$162:O$178*$C$162:$C$178)</f>
        <v>49.3191446468795</v>
      </c>
      <c r="P188" s="25" t="n">
        <f aca="false">SUMPRODUCT(($B$162:$B$178=$A188)*P$162:P$178*$C$162:$C$178)</f>
        <v>536.915676611825</v>
      </c>
    </row>
    <row r="189" customFormat="false" ht="15" hidden="false" customHeight="false" outlineLevel="0" collapsed="false">
      <c r="A189" s="6" t="s">
        <v>274</v>
      </c>
      <c r="D189" s="26" t="n">
        <f aca="false">SUMPRODUCT(D$162:D$178*parametros_recargas!$D$51:$D$67)</f>
        <v>418.674200754501</v>
      </c>
      <c r="E189" s="26" t="n">
        <f aca="false">SUMPRODUCT(E$162:E$178*parametros_recargas!$D$51:$D$67)</f>
        <v>426.303386051057</v>
      </c>
      <c r="F189" s="26" t="n">
        <f aca="false">SUMPRODUCT(F$162:F$178*parametros_recargas!$D$51:$D$67)</f>
        <v>434.07159225739</v>
      </c>
      <c r="G189" s="26" t="n">
        <f aca="false">SUMPRODUCT(G$162:G$178*parametros_recargas!$D$51:$D$67)</f>
        <v>441.981352647055</v>
      </c>
      <c r="H189" s="26" t="n">
        <f aca="false">SUMPRODUCT(H$162:H$178*parametros_recargas!$D$51:$D$67)</f>
        <v>450.035246655547</v>
      </c>
      <c r="I189" s="26" t="n">
        <f aca="false">SUMPRODUCT(I$162:I$178*parametros_recargas!$D$51:$D$67)</f>
        <v>458.235900721474</v>
      </c>
      <c r="J189" s="26" t="n">
        <f aca="false">SUMPRODUCT(J$162:J$178*parametros_recargas!$D$51:$D$67)</f>
        <v>466.585989143063</v>
      </c>
      <c r="K189" s="26" t="n">
        <f aca="false">SUMPRODUCT(K$162:K$178*parametros_recargas!$D$51:$D$67)</f>
        <v>475.088234950266</v>
      </c>
      <c r="L189" s="26" t="n">
        <f aca="false">SUMPRODUCT(L$162:L$178*parametros_recargas!$D$51:$D$67)</f>
        <v>483.745410792765</v>
      </c>
      <c r="M189" s="26" t="n">
        <f aca="false">SUMPRODUCT(M$162:M$178*parametros_recargas!$D$51:$D$67)</f>
        <v>492.560339844151</v>
      </c>
      <c r="N189" s="26" t="n">
        <f aca="false">SUMPRODUCT(N$162:N$178*parametros_recargas!$D$51:$D$67)</f>
        <v>501.535896722586</v>
      </c>
      <c r="O189" s="26" t="n">
        <f aca="false">SUMPRODUCT(O$162:O$178*parametros_recargas!$D$51:$D$67)</f>
        <v>510.67500842824</v>
      </c>
      <c r="P189" s="26" t="n">
        <f aca="false">SUMPRODUCT(P$162:P$178*parametros_recargas!$D$51:$D$67)</f>
        <v>5559.49255896809</v>
      </c>
    </row>
    <row r="193" customFormat="false" ht="15" hidden="false" customHeight="false" outlineLevel="0" collapsed="false">
      <c r="A193" s="23" t="n">
        <v>2032</v>
      </c>
      <c r="B193" s="3" t="s">
        <v>270</v>
      </c>
      <c r="C193" s="3" t="s">
        <v>271</v>
      </c>
      <c r="D193" s="3" t="s">
        <v>124</v>
      </c>
      <c r="E193" s="3" t="s">
        <v>125</v>
      </c>
      <c r="F193" s="3" t="s">
        <v>126</v>
      </c>
      <c r="G193" s="3" t="s">
        <v>127</v>
      </c>
      <c r="H193" s="3" t="s">
        <v>128</v>
      </c>
      <c r="I193" s="3" t="s">
        <v>129</v>
      </c>
      <c r="J193" s="3" t="s">
        <v>130</v>
      </c>
      <c r="K193" s="3" t="s">
        <v>131</v>
      </c>
      <c r="L193" s="3" t="s">
        <v>132</v>
      </c>
      <c r="M193" s="3" t="s">
        <v>133</v>
      </c>
      <c r="N193" s="3" t="s">
        <v>134</v>
      </c>
      <c r="O193" s="3" t="s">
        <v>135</v>
      </c>
      <c r="P193" s="3" t="s">
        <v>136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4" t="n">
        <f aca="false">parametros_recargas!C51</f>
        <v>1</v>
      </c>
      <c r="D194" s="25" t="n">
        <f aca="false">datos_base!$H$2*parametros_recargas!$F$43</f>
        <v>8249.85377658211</v>
      </c>
      <c r="E194" s="25" t="n">
        <f aca="false">datos_base!$H$2*parametros_recargas!$G$43</f>
        <v>8338.50362110367</v>
      </c>
      <c r="F194" s="25" t="n">
        <f aca="false">datos_base!$H$2*parametros_recargas!$H$43</f>
        <v>8428.10606371321</v>
      </c>
      <c r="G194" s="25" t="n">
        <f aca="false">datos_base!$H$2*parametros_recargas!$I$43</f>
        <v>8518.67134067366</v>
      </c>
      <c r="H194" s="25" t="n">
        <f aca="false">datos_base!$H$2*parametros_recargas!$J$43</f>
        <v>8610.209798243</v>
      </c>
      <c r="I194" s="25" t="n">
        <f aca="false">datos_base!$H$2*parametros_recargas!$K$43</f>
        <v>8702.73189385625</v>
      </c>
      <c r="J194" s="25" t="n">
        <f aca="false">datos_base!$H$2*parametros_recargas!$L$43</f>
        <v>8796.24819732009</v>
      </c>
      <c r="K194" s="25" t="n">
        <f aca="false">datos_base!$H$2*parametros_recargas!$M$43</f>
        <v>8890.7693920204</v>
      </c>
      <c r="L194" s="25" t="n">
        <f aca="false">datos_base!$H$2*parametros_recargas!$N$43</f>
        <v>8986.30627614275</v>
      </c>
      <c r="M194" s="25" t="n">
        <f aca="false">datos_base!$H$2*parametros_recargas!$O$43</f>
        <v>9082.86976390595</v>
      </c>
      <c r="N194" s="25" t="n">
        <f aca="false">datos_base!$H$2*parametros_recargas!$P$43</f>
        <v>9180.47088680893</v>
      </c>
      <c r="O194" s="25" t="n">
        <f aca="false">datos_base!$H$2*parametros_recargas!$Q$43</f>
        <v>9279.12079489099</v>
      </c>
      <c r="P194" s="7" t="n">
        <f aca="false">SUM(D194:O194)</f>
        <v>105063.861805261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4" t="n">
        <f aca="false">parametros_recargas!C52</f>
        <v>1</v>
      </c>
      <c r="D195" s="25" t="n">
        <f aca="false">datos_base!$H$3*parametros_recargas!$F$43</f>
        <v>715.935989782883</v>
      </c>
      <c r="E195" s="25" t="n">
        <f aca="false">datos_base!$H$3*parametros_recargas!$G$43</f>
        <v>723.629170280433</v>
      </c>
      <c r="F195" s="25" t="n">
        <f aca="false">datos_base!$H$3*parametros_recargas!$H$43</f>
        <v>731.405018819557</v>
      </c>
      <c r="G195" s="25" t="n">
        <f aca="false">datos_base!$H$3*parametros_recargas!$I$43</f>
        <v>739.264423720126</v>
      </c>
      <c r="H195" s="25" t="n">
        <f aca="false">datos_base!$H$3*parametros_recargas!$J$43</f>
        <v>747.208282847561</v>
      </c>
      <c r="I195" s="25" t="n">
        <f aca="false">datos_base!$H$3*parametros_recargas!$K$43</f>
        <v>755.237503715412</v>
      </c>
      <c r="J195" s="25" t="n">
        <f aca="false">datos_base!$H$3*parametros_recargas!$L$43</f>
        <v>763.35300358903</v>
      </c>
      <c r="K195" s="25" t="n">
        <f aca="false">datos_base!$H$3*parametros_recargas!$M$43</f>
        <v>771.555709590356</v>
      </c>
      <c r="L195" s="25" t="n">
        <f aca="false">datos_base!$H$3*parametros_recargas!$N$43</f>
        <v>779.846558803837</v>
      </c>
      <c r="M195" s="25" t="n">
        <f aca="false">datos_base!$H$3*parametros_recargas!$O$43</f>
        <v>788.226498383477</v>
      </c>
      <c r="N195" s="25" t="n">
        <f aca="false">datos_base!$H$3*parametros_recargas!$P$43</f>
        <v>796.696485661048</v>
      </c>
      <c r="O195" s="25" t="n">
        <f aca="false">datos_base!$H$3*parametros_recargas!$Q$43</f>
        <v>805.257488255446</v>
      </c>
      <c r="P195" s="7" t="n">
        <f aca="false">SUM(D195:O195)</f>
        <v>9117.61613344917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4" t="n">
        <f aca="false">parametros_recargas!C53</f>
        <v>1</v>
      </c>
      <c r="D196" s="25" t="n">
        <f aca="false">datos_base!$H$4*parametros_recargas!$F$43</f>
        <v>4399.66649225065</v>
      </c>
      <c r="E196" s="25" t="n">
        <f aca="false">datos_base!$H$4*parametros_recargas!$G$43</f>
        <v>4446.94366358572</v>
      </c>
      <c r="F196" s="25" t="n">
        <f aca="false">datos_base!$H$4*parametros_recargas!$H$43</f>
        <v>4494.72885772965</v>
      </c>
      <c r="G196" s="25" t="n">
        <f aca="false">datos_base!$H$4*parametros_recargas!$I$43</f>
        <v>4543.02753370562</v>
      </c>
      <c r="H196" s="25" t="n">
        <f aca="false">datos_base!$H$4*parametros_recargas!$J$43</f>
        <v>4591.84520919744</v>
      </c>
      <c r="I196" s="25" t="n">
        <f aca="false">datos_base!$H$4*parametros_recargas!$K$43</f>
        <v>4641.18746117988</v>
      </c>
      <c r="J196" s="25" t="n">
        <f aca="false">datos_base!$H$4*parametros_recargas!$L$43</f>
        <v>4691.0599265558</v>
      </c>
      <c r="K196" s="25" t="n">
        <f aca="false">datos_base!$H$4*parametros_recargas!$M$43</f>
        <v>4741.46830280011</v>
      </c>
      <c r="L196" s="25" t="n">
        <f aca="false">datos_base!$H$4*parametros_recargas!$N$43</f>
        <v>4792.41834861065</v>
      </c>
      <c r="M196" s="25" t="n">
        <f aca="false">datos_base!$H$4*parametros_recargas!$O$43</f>
        <v>4843.91588456608</v>
      </c>
      <c r="N196" s="25" t="n">
        <f aca="false">datos_base!$H$4*parametros_recargas!$P$43</f>
        <v>4895.96679379083</v>
      </c>
      <c r="O196" s="25" t="n">
        <f aca="false">datos_base!$H$4*parametros_recargas!$Q$43</f>
        <v>4948.57702262716</v>
      </c>
      <c r="P196" s="7" t="n">
        <f aca="false">SUM(D196:O196)</f>
        <v>56030.8054965996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4" t="n">
        <f aca="false">parametros_recargas!C54</f>
        <v>1</v>
      </c>
      <c r="D197" s="25" t="n">
        <f aca="false">datos_base!$H$5*parametros_recargas!$F$43</f>
        <v>260.649661063804</v>
      </c>
      <c r="E197" s="25" t="n">
        <f aca="false">datos_base!$H$5*parametros_recargas!$G$43</f>
        <v>263.450504879181</v>
      </c>
      <c r="F197" s="25" t="n">
        <f aca="false">datos_base!$H$5*parametros_recargas!$H$43</f>
        <v>266.281445515118</v>
      </c>
      <c r="G197" s="25" t="n">
        <f aca="false">datos_base!$H$5*parametros_recargas!$I$43</f>
        <v>269.142806380797</v>
      </c>
      <c r="H197" s="25" t="n">
        <f aca="false">datos_base!$H$5*parametros_recargas!$J$43</f>
        <v>272.034914360636</v>
      </c>
      <c r="I197" s="25" t="n">
        <f aca="false">datos_base!$H$5*parametros_recargas!$K$43</f>
        <v>274.958099851627</v>
      </c>
      <c r="J197" s="25" t="n">
        <f aca="false">datos_base!$H$5*parametros_recargas!$L$43</f>
        <v>277.912696801088</v>
      </c>
      <c r="K197" s="25" t="n">
        <f aca="false">datos_base!$H$5*parametros_recargas!$M$43</f>
        <v>280.899042744809</v>
      </c>
      <c r="L197" s="25" t="n">
        <f aca="false">datos_base!$H$5*parametros_recargas!$N$43</f>
        <v>283.917478845612</v>
      </c>
      <c r="M197" s="25" t="n">
        <f aca="false">datos_base!$H$5*parametros_recargas!$O$43</f>
        <v>286.968349932329</v>
      </c>
      <c r="N197" s="25" t="n">
        <f aca="false">datos_base!$H$5*parametros_recargas!$P$43</f>
        <v>290.052004539192</v>
      </c>
      <c r="O197" s="25" t="n">
        <f aca="false">datos_base!$H$5*parametros_recargas!$Q$43</f>
        <v>293.168794945654</v>
      </c>
      <c r="P197" s="7" t="n">
        <f aca="false">SUM(D197:O197)</f>
        <v>3319.43579985985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4" t="n">
        <f aca="false">parametros_recargas!C55</f>
        <v>1</v>
      </c>
      <c r="D198" s="25" t="n">
        <f aca="false">datos_base!$H$6*parametros_recargas!$F$43</f>
        <v>365.457776464124</v>
      </c>
      <c r="E198" s="25" t="n">
        <f aca="false">datos_base!$H$6*parametros_recargas!$G$43</f>
        <v>369.384849105667</v>
      </c>
      <c r="F198" s="25" t="n">
        <f aca="false">datos_base!$H$6*parametros_recargas!$H$43</f>
        <v>373.354120601701</v>
      </c>
      <c r="G198" s="25" t="n">
        <f aca="false">datos_base!$H$6*parametros_recargas!$I$43</f>
        <v>377.366044405341</v>
      </c>
      <c r="H198" s="25" t="n">
        <f aca="false">datos_base!$H$6*parametros_recargas!$J$43</f>
        <v>381.42107884234</v>
      </c>
      <c r="I198" s="25" t="n">
        <f aca="false">datos_base!$H$6*parametros_recargas!$K$43</f>
        <v>385.519687163448</v>
      </c>
      <c r="J198" s="25" t="n">
        <f aca="false">datos_base!$H$6*parametros_recargas!$L$43</f>
        <v>389.662337597332</v>
      </c>
      <c r="K198" s="25" t="n">
        <f aca="false">datos_base!$H$6*parametros_recargas!$M$43</f>
        <v>393.849503404072</v>
      </c>
      <c r="L198" s="25" t="n">
        <f aca="false">datos_base!$H$6*parametros_recargas!$N$43</f>
        <v>398.081662929223</v>
      </c>
      <c r="M198" s="25" t="n">
        <f aca="false">datos_base!$H$6*parametros_recargas!$O$43</f>
        <v>402.359299658462</v>
      </c>
      <c r="N198" s="25" t="n">
        <f aca="false">datos_base!$H$6*parametros_recargas!$P$43</f>
        <v>406.682902272822</v>
      </c>
      <c r="O198" s="25" t="n">
        <f aca="false">datos_base!$H$6*parametros_recargas!$Q$43</f>
        <v>411.052964704523</v>
      </c>
      <c r="P198" s="7" t="n">
        <f aca="false">SUM(D198:O198)</f>
        <v>4654.19222714905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4" t="n">
        <f aca="false">parametros_recargas!C56</f>
        <v>1</v>
      </c>
      <c r="D199" s="25" t="n">
        <f aca="false">datos_base!$H$7*parametros_recargas!$F$43</f>
        <v>66.784472806757</v>
      </c>
      <c r="E199" s="25" t="n">
        <f aca="false">datos_base!$H$7*parametros_recargas!$G$43</f>
        <v>67.5021137845376</v>
      </c>
      <c r="F199" s="25" t="n">
        <f aca="false">datos_base!$H$7*parametros_recargas!$H$43</f>
        <v>68.2274662639793</v>
      </c>
      <c r="G199" s="25" t="n">
        <f aca="false">datos_base!$H$7*parametros_recargas!$I$43</f>
        <v>68.9606131099962</v>
      </c>
      <c r="H199" s="25" t="n">
        <f aca="false">datos_base!$H$7*parametros_recargas!$J$43</f>
        <v>69.7016380779375</v>
      </c>
      <c r="I199" s="25" t="n">
        <f aca="false">datos_base!$H$7*parametros_recargas!$K$43</f>
        <v>70.4506258231563</v>
      </c>
      <c r="J199" s="25" t="n">
        <f aca="false">datos_base!$H$7*parametros_recargas!$L$43</f>
        <v>71.2076619106803</v>
      </c>
      <c r="K199" s="25" t="n">
        <f aca="false">datos_base!$H$7*parametros_recargas!$M$43</f>
        <v>71.9728328249872</v>
      </c>
      <c r="L199" s="25" t="n">
        <f aca="false">datos_base!$H$7*parametros_recargas!$N$43</f>
        <v>72.7462259798844</v>
      </c>
      <c r="M199" s="25" t="n">
        <f aca="false">datos_base!$H$7*parametros_recargas!$O$43</f>
        <v>73.5279297284954</v>
      </c>
      <c r="N199" s="25" t="n">
        <f aca="false">datos_base!$H$7*parametros_recargas!$P$43</f>
        <v>74.3180333733534</v>
      </c>
      <c r="O199" s="25" t="n">
        <f aca="false">datos_base!$H$7*parametros_recargas!$Q$43</f>
        <v>75.1166271766032</v>
      </c>
      <c r="P199" s="7" t="n">
        <f aca="false">SUM(D199:O199)</f>
        <v>850.516240860368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4" t="n">
        <f aca="false">parametros_recargas!C57</f>
        <v>3</v>
      </c>
      <c r="D200" s="25" t="n">
        <f aca="false">datos_base!$H$8*parametros_recargas!$F$43</f>
        <v>35.1580251046747</v>
      </c>
      <c r="E200" s="25" t="n">
        <f aca="false">datos_base!$H$8*parametros_recargas!$G$43</f>
        <v>35.5358200988189</v>
      </c>
      <c r="F200" s="25" t="n">
        <f aca="false">datos_base!$H$8*parametros_recargas!$H$43</f>
        <v>35.9176747367336</v>
      </c>
      <c r="G200" s="25" t="n">
        <f aca="false">datos_base!$H$8*parametros_recargas!$I$43</f>
        <v>36.3036326418332</v>
      </c>
      <c r="H200" s="25" t="n">
        <f aca="false">datos_base!$H$8*parametros_recargas!$J$43</f>
        <v>36.6937379062927</v>
      </c>
      <c r="I200" s="25" t="n">
        <f aca="false">datos_base!$H$8*parametros_recargas!$K$43</f>
        <v>37.0880350960855</v>
      </c>
      <c r="J200" s="25" t="n">
        <f aca="false">datos_base!$H$8*parametros_recargas!$L$43</f>
        <v>37.486569256074</v>
      </c>
      <c r="K200" s="25" t="n">
        <f aca="false">datos_base!$H$8*parametros_recargas!$M$43</f>
        <v>37.889385915156</v>
      </c>
      <c r="L200" s="25" t="n">
        <f aca="false">datos_base!$H$8*parametros_recargas!$N$43</f>
        <v>38.2965310914657</v>
      </c>
      <c r="M200" s="25" t="n">
        <f aca="false">datos_base!$H$8*parametros_recargas!$O$43</f>
        <v>38.708051297631</v>
      </c>
      <c r="N200" s="25" t="n">
        <f aca="false">datos_base!$H$8*parametros_recargas!$P$43</f>
        <v>39.1239935460874</v>
      </c>
      <c r="O200" s="25" t="n">
        <f aca="false">datos_base!$H$8*parametros_recargas!$Q$43</f>
        <v>39.5444053544479</v>
      </c>
      <c r="P200" s="7" t="n">
        <f aca="false">SUM(D200:O200)</f>
        <v>447.7458620453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4" t="n">
        <f aca="false">parametros_recargas!C58</f>
        <v>1</v>
      </c>
      <c r="D201" s="25" t="n">
        <f aca="false">datos_base!$H$9*parametros_recargas!$F$43</f>
        <v>20.6144391169801</v>
      </c>
      <c r="E201" s="25" t="n">
        <f aca="false">datos_base!$H$9*parametros_recargas!$G$43</f>
        <v>20.8359541731387</v>
      </c>
      <c r="F201" s="25" t="n">
        <f aca="false">datos_base!$H$9*parametros_recargas!$H$43</f>
        <v>21.0598495472786</v>
      </c>
      <c r="G201" s="25" t="n">
        <f aca="false">datos_base!$H$9*parametros_recargas!$I$43</f>
        <v>21.2861508174069</v>
      </c>
      <c r="H201" s="25" t="n">
        <f aca="false">datos_base!$H$9*parametros_recargas!$J$43</f>
        <v>21.5148838363826</v>
      </c>
      <c r="I201" s="25" t="n">
        <f aca="false">datos_base!$H$9*parametros_recargas!$K$43</f>
        <v>21.7460747348696</v>
      </c>
      <c r="J201" s="25" t="n">
        <f aca="false">datos_base!$H$9*parametros_recargas!$L$43</f>
        <v>21.9797499243224</v>
      </c>
      <c r="K201" s="25" t="n">
        <f aca="false">datos_base!$H$9*parametros_recargas!$M$43</f>
        <v>22.2159361000028</v>
      </c>
      <c r="L201" s="25" t="n">
        <f aca="false">datos_base!$H$9*parametros_recargas!$N$43</f>
        <v>22.4546602440303</v>
      </c>
      <c r="M201" s="25" t="n">
        <f aca="false">datos_base!$H$9*parametros_recargas!$O$43</f>
        <v>22.6959496284637</v>
      </c>
      <c r="N201" s="25" t="n">
        <f aca="false">datos_base!$H$9*parametros_recargas!$P$43</f>
        <v>22.9398318184176</v>
      </c>
      <c r="O201" s="25" t="n">
        <f aca="false">datos_base!$H$9*parametros_recargas!$Q$43</f>
        <v>23.1863346752108</v>
      </c>
      <c r="P201" s="7" t="n">
        <f aca="false">SUM(D201:O201)</f>
        <v>262.529814616504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4" t="n">
        <f aca="false">parametros_recargas!C59</f>
        <v>1</v>
      </c>
      <c r="D202" s="25" t="n">
        <f aca="false">datos_base!$H$10*parametros_recargas!$F$43</f>
        <v>178.692789061173</v>
      </c>
      <c r="E202" s="25" t="n">
        <f aca="false">datos_base!$H$10*parametros_recargas!$G$43</f>
        <v>180.612954969127</v>
      </c>
      <c r="F202" s="25" t="n">
        <f aca="false">datos_base!$H$10*parametros_recargas!$H$43</f>
        <v>182.553754262084</v>
      </c>
      <c r="G202" s="25" t="n">
        <f aca="false">datos_base!$H$10*parametros_recargas!$I$43</f>
        <v>184.515408658687</v>
      </c>
      <c r="H202" s="25" t="n">
        <f aca="false">datos_base!$H$10*parametros_recargas!$J$43</f>
        <v>186.498142260082</v>
      </c>
      <c r="I202" s="25" t="n">
        <f aca="false">datos_base!$H$10*parametros_recargas!$K$43</f>
        <v>188.502181575523</v>
      </c>
      <c r="J202" s="25" t="n">
        <f aca="false">datos_base!$H$10*parametros_recargas!$L$43</f>
        <v>190.52775554825</v>
      </c>
      <c r="K202" s="25" t="n">
        <f aca="false">datos_base!$H$10*parametros_recargas!$M$43</f>
        <v>192.575095581638</v>
      </c>
      <c r="L202" s="25" t="n">
        <f aca="false">datos_base!$H$10*parametros_recargas!$N$43</f>
        <v>194.644435565638</v>
      </c>
      <c r="M202" s="25" t="n">
        <f aca="false">datos_base!$H$10*parametros_recargas!$O$43</f>
        <v>196.736011903495</v>
      </c>
      <c r="N202" s="25" t="n">
        <f aca="false">datos_base!$H$10*parametros_recargas!$P$43</f>
        <v>198.850063538755</v>
      </c>
      <c r="O202" s="25" t="n">
        <f aca="false">datos_base!$H$10*parametros_recargas!$Q$43</f>
        <v>200.986831982561</v>
      </c>
      <c r="P202" s="7" t="n">
        <f aca="false">SUM(D202:O202)</f>
        <v>2275.69542490701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4" t="n">
        <f aca="false">parametros_recargas!C60</f>
        <v>1</v>
      </c>
      <c r="D203" s="25" t="n">
        <f aca="false">datos_base!$H$11*parametros_recargas!$F$43</f>
        <v>991.839262994957</v>
      </c>
      <c r="E203" s="25" t="n">
        <f aca="false">datos_base!$H$11*parametros_recargas!$G$43</f>
        <v>1002.49719692155</v>
      </c>
      <c r="F203" s="25" t="n">
        <f aca="false">datos_base!$H$11*parametros_recargas!$H$43</f>
        <v>1013.26965702171</v>
      </c>
      <c r="G203" s="25" t="n">
        <f aca="false">datos_base!$H$11*parametros_recargas!$I$43</f>
        <v>1024.15787395089</v>
      </c>
      <c r="H203" s="25" t="n">
        <f aca="false">datos_base!$H$11*parametros_recargas!$J$43</f>
        <v>1035.16309158868</v>
      </c>
      <c r="I203" s="25" t="n">
        <f aca="false">datos_base!$H$11*parametros_recargas!$K$43</f>
        <v>1046.28656718097</v>
      </c>
      <c r="J203" s="25" t="n">
        <f aca="false">datos_base!$H$11*parametros_recargas!$L$43</f>
        <v>1057.52957148353</v>
      </c>
      <c r="K203" s="25" t="n">
        <f aca="false">datos_base!$H$11*parametros_recargas!$M$43</f>
        <v>1068.89338890719</v>
      </c>
      <c r="L203" s="25" t="n">
        <f aca="false">datos_base!$H$11*parametros_recargas!$N$43</f>
        <v>1080.37931766459</v>
      </c>
      <c r="M203" s="25" t="n">
        <f aca="false">datos_base!$H$11*parametros_recargas!$O$43</f>
        <v>1091.98866991846</v>
      </c>
      <c r="N203" s="25" t="n">
        <f aca="false">datos_base!$H$11*parametros_recargas!$P$43</f>
        <v>1103.72277193156</v>
      </c>
      <c r="O203" s="25" t="n">
        <f aca="false">datos_base!$H$11*parametros_recargas!$Q$43</f>
        <v>1115.58296421816</v>
      </c>
      <c r="P203" s="7" t="n">
        <f aca="false">SUM(D203:O203)</f>
        <v>12631.3103337822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4" t="n">
        <f aca="false">parametros_recargas!C61</f>
        <v>1</v>
      </c>
      <c r="D204" s="25" t="n">
        <f aca="false">datos_base!$H$12*parametros_recargas!$F$43</f>
        <v>327.170610330174</v>
      </c>
      <c r="E204" s="25" t="n">
        <f aca="false">datos_base!$H$12*parametros_recargas!$G$43</f>
        <v>330.686263397883</v>
      </c>
      <c r="F204" s="25" t="n">
        <f aca="false">datos_base!$H$12*parametros_recargas!$H$43</f>
        <v>334.239694359151</v>
      </c>
      <c r="G204" s="25" t="n">
        <f aca="false">datos_base!$H$12*parametros_recargas!$I$43</f>
        <v>337.831309161098</v>
      </c>
      <c r="H204" s="25" t="n">
        <f aca="false">datos_base!$H$12*parametros_recargas!$J$43</f>
        <v>341.461518113001</v>
      </c>
      <c r="I204" s="25" t="n">
        <f aca="false">datos_base!$H$12*parametros_recargas!$K$43</f>
        <v>345.130735933169</v>
      </c>
      <c r="J204" s="25" t="n">
        <f aca="false">datos_base!$H$12*parametros_recargas!$L$43</f>
        <v>348.839381796316</v>
      </c>
      <c r="K204" s="25" t="n">
        <f aca="false">datos_base!$H$12*parametros_recargas!$M$43</f>
        <v>352.587879381451</v>
      </c>
      <c r="L204" s="25" t="n">
        <f aca="false">datos_base!$H$12*parametros_recargas!$N$43</f>
        <v>356.376656920282</v>
      </c>
      <c r="M204" s="25" t="n">
        <f aca="false">datos_base!$H$12*parametros_recargas!$O$43</f>
        <v>360.206147246131</v>
      </c>
      <c r="N204" s="25" t="n">
        <f aca="false">datos_base!$H$12*parametros_recargas!$P$43</f>
        <v>364.076787843389</v>
      </c>
      <c r="O204" s="25" t="n">
        <f aca="false">datos_base!$H$12*parametros_recargas!$Q$43</f>
        <v>367.989020897488</v>
      </c>
      <c r="P204" s="7" t="n">
        <f aca="false">SUM(D204:O204)</f>
        <v>4166.59600537953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4" t="n">
        <f aca="false">parametros_recargas!C62</f>
        <v>1</v>
      </c>
      <c r="D205" s="25" t="n">
        <f aca="false">datos_base!$H$13*parametros_recargas!$F$43</f>
        <v>52.8069318263489</v>
      </c>
      <c r="E205" s="25" t="n">
        <f aca="false">datos_base!$H$13*parametros_recargas!$G$43</f>
        <v>53.3743753741794</v>
      </c>
      <c r="F205" s="25" t="n">
        <f aca="false">datos_base!$H$13*parametros_recargas!$H$43</f>
        <v>53.9479164582392</v>
      </c>
      <c r="G205" s="25" t="n">
        <f aca="false">datos_base!$H$13*parametros_recargas!$I$43</f>
        <v>54.5276206003733</v>
      </c>
      <c r="H205" s="25" t="n">
        <f aca="false">datos_base!$H$13*parametros_recargas!$J$43</f>
        <v>55.1135540264995</v>
      </c>
      <c r="I205" s="25" t="n">
        <f aca="false">datos_base!$H$13*parametros_recargas!$K$43</f>
        <v>55.705783674175</v>
      </c>
      <c r="J205" s="25" t="n">
        <f aca="false">datos_base!$H$13*parametros_recargas!$L$43</f>
        <v>56.3043772002427</v>
      </c>
      <c r="K205" s="25" t="n">
        <f aca="false">datos_base!$H$13*parametros_recargas!$M$43</f>
        <v>56.9094029885607</v>
      </c>
      <c r="L205" s="25" t="n">
        <f aca="false">datos_base!$H$13*parametros_recargas!$N$43</f>
        <v>57.5209301578144</v>
      </c>
      <c r="M205" s="25" t="n">
        <f aca="false">datos_base!$H$13*parametros_recargas!$O$43</f>
        <v>58.139028569413</v>
      </c>
      <c r="N205" s="25" t="n">
        <f aca="false">datos_base!$H$13*parametros_recargas!$P$43</f>
        <v>58.7637688354699</v>
      </c>
      <c r="O205" s="25" t="n">
        <f aca="false">datos_base!$H$13*parametros_recargas!$Q$43</f>
        <v>59.3952223268703</v>
      </c>
      <c r="P205" s="7" t="n">
        <f aca="false">SUM(D205:O205)</f>
        <v>672.508912038186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4" t="n">
        <f aca="false">parametros_recargas!C63</f>
        <v>1</v>
      </c>
      <c r="D206" s="25" t="n">
        <f aca="false">datos_base!$H$14*parametros_recargas!$F$43</f>
        <v>18.3550437141528</v>
      </c>
      <c r="E206" s="25" t="n">
        <f aca="false">datos_base!$H$14*parametros_recargas!$G$43</f>
        <v>18.5522801519748</v>
      </c>
      <c r="F206" s="25" t="n">
        <f aca="false">datos_base!$H$14*parametros_recargas!$H$43</f>
        <v>18.751636018822</v>
      </c>
      <c r="G206" s="25" t="n">
        <f aca="false">datos_base!$H$14*parametros_recargas!$I$43</f>
        <v>18.9531340892862</v>
      </c>
      <c r="H206" s="25" t="n">
        <f aca="false">datos_base!$H$14*parametros_recargas!$J$43</f>
        <v>19.1567973826868</v>
      </c>
      <c r="I206" s="25" t="n">
        <f aca="false">datos_base!$H$14*parametros_recargas!$K$43</f>
        <v>19.3626491656998</v>
      </c>
      <c r="J206" s="25" t="n">
        <f aca="false">datos_base!$H$14*parametros_recargas!$L$43</f>
        <v>19.5707129550165</v>
      </c>
      <c r="K206" s="25" t="n">
        <f aca="false">datos_base!$H$14*parametros_recargas!$M$43</f>
        <v>19.7810125200298</v>
      </c>
      <c r="L206" s="25" t="n">
        <f aca="false">datos_base!$H$14*parametros_recargas!$N$43</f>
        <v>19.9935718855494</v>
      </c>
      <c r="M206" s="25" t="n">
        <f aca="false">datos_base!$H$14*parametros_recargas!$O$43</f>
        <v>20.2084153345467</v>
      </c>
      <c r="N206" s="25" t="n">
        <f aca="false">datos_base!$H$14*parametros_recargas!$P$43</f>
        <v>20.4255674109289</v>
      </c>
      <c r="O206" s="25" t="n">
        <f aca="false">datos_base!$H$14*parametros_recargas!$Q$43</f>
        <v>20.6450529223429</v>
      </c>
      <c r="P206" s="7" t="n">
        <f aca="false">SUM(D206:O206)</f>
        <v>233.755873551037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4" t="n">
        <f aca="false">parametros_recargas!C64</f>
        <v>3</v>
      </c>
      <c r="D207" s="25" t="n">
        <f aca="false">datos_base!$H$15*parametros_recargas!$F$43</f>
        <v>44.2884482737248</v>
      </c>
      <c r="E207" s="25" t="n">
        <f aca="false">datos_base!$H$15*parametros_recargas!$G$43</f>
        <v>44.7643553818861</v>
      </c>
      <c r="F207" s="25" t="n">
        <f aca="false">datos_base!$H$15*parametros_recargas!$H$43</f>
        <v>45.2453764099165</v>
      </c>
      <c r="G207" s="25" t="n">
        <f aca="false">datos_base!$H$15*parametros_recargas!$I$43</f>
        <v>45.7315663100871</v>
      </c>
      <c r="H207" s="25" t="n">
        <f aca="false">datos_base!$H$15*parametros_recargas!$J$43</f>
        <v>46.2229806251655</v>
      </c>
      <c r="I207" s="25" t="n">
        <f aca="false">datos_base!$H$15*parametros_recargas!$K$43</f>
        <v>46.7196754947613</v>
      </c>
      <c r="J207" s="25" t="n">
        <f aca="false">datos_base!$H$15*parametros_recargas!$L$43</f>
        <v>47.2217076617392</v>
      </c>
      <c r="K207" s="25" t="n">
        <f aca="false">datos_base!$H$15*parametros_recargas!$M$43</f>
        <v>47.7291344787015</v>
      </c>
      <c r="L207" s="25" t="n">
        <f aca="false">datos_base!$H$15*parametros_recargas!$N$43</f>
        <v>48.2420139145403</v>
      </c>
      <c r="M207" s="25" t="n">
        <f aca="false">datos_base!$H$15*parametros_recargas!$O$43</f>
        <v>48.7604045610594</v>
      </c>
      <c r="N207" s="25" t="n">
        <f aca="false">datos_base!$H$15*parametros_recargas!$P$43</f>
        <v>49.2843656396686</v>
      </c>
      <c r="O207" s="25" t="n">
        <f aca="false">datos_base!$H$15*parametros_recargas!$Q$43</f>
        <v>49.8139570081486</v>
      </c>
      <c r="P207" s="7" t="n">
        <f aca="false">SUM(D207:O207)</f>
        <v>564.023985759399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4" t="n">
        <f aca="false">parametros_recargas!C65</f>
        <v>3</v>
      </c>
      <c r="D208" s="25" t="n">
        <f aca="false">datos_base!$H$16*parametros_recargas!$F$43</f>
        <v>97.4345862357282</v>
      </c>
      <c r="E208" s="25" t="n">
        <f aca="false">datos_base!$H$16*parametros_recargas!$G$43</f>
        <v>98.4815818740434</v>
      </c>
      <c r="F208" s="25" t="n">
        <f aca="false">datos_base!$H$16*parametros_recargas!$H$43</f>
        <v>99.5398281360744</v>
      </c>
      <c r="G208" s="25" t="n">
        <f aca="false">datos_base!$H$16*parametros_recargas!$I$43</f>
        <v>100.609445916818</v>
      </c>
      <c r="H208" s="25" t="n">
        <f aca="false">datos_base!$H$16*parametros_recargas!$J$43</f>
        <v>101.690557410363</v>
      </c>
      <c r="I208" s="25" t="n">
        <f aca="false">datos_base!$H$16*parametros_recargas!$K$43</f>
        <v>102.783286123849</v>
      </c>
      <c r="J208" s="25" t="n">
        <f aca="false">datos_base!$H$16*parametros_recargas!$L$43</f>
        <v>103.887756891581</v>
      </c>
      <c r="K208" s="25" t="n">
        <f aca="false">datos_base!$H$16*parametros_recargas!$M$43</f>
        <v>105.004095889282</v>
      </c>
      <c r="L208" s="25" t="n">
        <f aca="false">datos_base!$H$16*parametros_recargas!$N$43</f>
        <v>106.132430648516</v>
      </c>
      <c r="M208" s="25" t="n">
        <f aca="false">datos_base!$H$16*parametros_recargas!$O$43</f>
        <v>107.27289007125</v>
      </c>
      <c r="N208" s="25" t="n">
        <f aca="false">datos_base!$H$16*parametros_recargas!$P$43</f>
        <v>108.425604444587</v>
      </c>
      <c r="O208" s="25" t="n">
        <f aca="false">datos_base!$H$16*parametros_recargas!$Q$43</f>
        <v>109.590705455644</v>
      </c>
      <c r="P208" s="7" t="n">
        <f aca="false">SUM(D208:O208)</f>
        <v>1240.85276909774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4" t="n">
        <f aca="false">parametros_recargas!C66</f>
        <v>3</v>
      </c>
      <c r="D209" s="25" t="n">
        <f aca="false">datos_base!$H$17*parametros_recargas!$F$43</f>
        <v>21.2584551624456</v>
      </c>
      <c r="E209" s="25" t="n">
        <f aca="false">datos_base!$H$17*parametros_recargas!$G$43</f>
        <v>21.486890574267</v>
      </c>
      <c r="F209" s="25" t="n">
        <f aca="false">datos_base!$H$17*parametros_recargas!$H$43</f>
        <v>21.7177806676244</v>
      </c>
      <c r="G209" s="25" t="n">
        <f aca="false">datos_base!$H$17*parametros_recargas!$I$43</f>
        <v>21.9511518196081</v>
      </c>
      <c r="H209" s="25" t="n">
        <f aca="false">datos_base!$H$17*parametros_recargas!$J$43</f>
        <v>22.1870306907466</v>
      </c>
      <c r="I209" s="25" t="n">
        <f aca="false">datos_base!$H$17*parametros_recargas!$K$43</f>
        <v>22.4254442280523</v>
      </c>
      <c r="J209" s="25" t="n">
        <f aca="false">datos_base!$H$17*parametros_recargas!$L$43</f>
        <v>22.6664196681003</v>
      </c>
      <c r="K209" s="25" t="n">
        <f aca="false">datos_base!$H$17*parametros_recargas!$M$43</f>
        <v>22.9099845401397</v>
      </c>
      <c r="L209" s="25" t="n">
        <f aca="false">datos_base!$H$17*parametros_recargas!$N$43</f>
        <v>23.1561666692388</v>
      </c>
      <c r="M209" s="25" t="n">
        <f aca="false">datos_base!$H$17*parametros_recargas!$O$43</f>
        <v>23.4049941794633</v>
      </c>
      <c r="N209" s="25" t="n">
        <f aca="false">datos_base!$H$17*parametros_recargas!$P$43</f>
        <v>23.6564954970899</v>
      </c>
      <c r="O209" s="25" t="n">
        <f aca="false">datos_base!$H$17*parametros_recargas!$Q$43</f>
        <v>23.9106993538534</v>
      </c>
      <c r="P209" s="7" t="n">
        <f aca="false">SUM(D209:O209)</f>
        <v>270.731513050629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4" t="n">
        <f aca="false">parametros_recargas!C67</f>
        <v>3</v>
      </c>
      <c r="D210" s="25" t="n">
        <f aca="false">datos_base!$H$18*parametros_recargas!$F$43</f>
        <v>14.1723034788899</v>
      </c>
      <c r="E210" s="25" t="n">
        <f aca="false">datos_base!$H$18*parametros_recargas!$G$43</f>
        <v>14.3245937538379</v>
      </c>
      <c r="F210" s="25" t="n">
        <f aca="false">datos_base!$H$18*parametros_recargas!$H$43</f>
        <v>14.4785204831475</v>
      </c>
      <c r="G210" s="25" t="n">
        <f aca="false">datos_base!$H$18*parametros_recargas!$I$43</f>
        <v>14.6341012515457</v>
      </c>
      <c r="H210" s="25" t="n">
        <f aca="false">datos_base!$H$18*parametros_recargas!$J$43</f>
        <v>14.7913538327181</v>
      </c>
      <c r="I210" s="25" t="n">
        <f aca="false">datos_base!$H$18*parametros_recargas!$K$43</f>
        <v>14.9502961913397</v>
      </c>
      <c r="J210" s="25" t="n">
        <f aca="false">datos_base!$H$18*parametros_recargas!$L$43</f>
        <v>15.1109464851274</v>
      </c>
      <c r="K210" s="25" t="n">
        <f aca="false">datos_base!$H$18*parametros_recargas!$M$43</f>
        <v>15.273323066914</v>
      </c>
      <c r="L210" s="25" t="n">
        <f aca="false">datos_base!$H$18*parametros_recargas!$N$43</f>
        <v>15.4374444867448</v>
      </c>
      <c r="M210" s="25" t="n">
        <f aca="false">datos_base!$H$18*parametros_recargas!$O$43</f>
        <v>15.6033294939973</v>
      </c>
      <c r="N210" s="25" t="n">
        <f aca="false">datos_base!$H$18*parametros_recargas!$P$43</f>
        <v>15.7709970395225</v>
      </c>
      <c r="O210" s="25" t="n">
        <f aca="false">datos_base!$H$18*parametros_recargas!$Q$43</f>
        <v>15.9404662778104</v>
      </c>
      <c r="P210" s="7" t="n">
        <f aca="false">SUM(D210:O210)</f>
        <v>180.487675841595</v>
      </c>
    </row>
    <row r="211" customFormat="false" ht="15" hidden="false" customHeight="false" outlineLevel="0" collapsed="false">
      <c r="A211" s="6" t="s">
        <v>272</v>
      </c>
      <c r="D211" s="7" t="n">
        <f aca="false">SUM(D194:D210)</f>
        <v>15860.1390642496</v>
      </c>
      <c r="E211" s="7" t="n">
        <f aca="false">SUM(E194:E210)</f>
        <v>16030.5661894099</v>
      </c>
      <c r="F211" s="7" t="n">
        <f aca="false">SUM(F194:F210)</f>
        <v>16202.824660744</v>
      </c>
      <c r="G211" s="7" t="n">
        <f aca="false">SUM(G194:G210)</f>
        <v>16376.9341572132</v>
      </c>
      <c r="H211" s="7" t="n">
        <f aca="false">SUM(H194:H210)</f>
        <v>16552.9145692415</v>
      </c>
      <c r="I211" s="7" t="n">
        <f aca="false">SUM(I194:I210)</f>
        <v>16730.7860009883</v>
      </c>
      <c r="J211" s="7" t="n">
        <f aca="false">SUM(J194:J210)</f>
        <v>16910.5687726443</v>
      </c>
      <c r="K211" s="7" t="n">
        <f aca="false">SUM(K194:K210)</f>
        <v>17092.2834227538</v>
      </c>
      <c r="L211" s="7" t="n">
        <f aca="false">SUM(L194:L210)</f>
        <v>17275.9507105604</v>
      </c>
      <c r="M211" s="7" t="n">
        <f aca="false">SUM(M194:M210)</f>
        <v>17461.5916183787</v>
      </c>
      <c r="N211" s="7" t="n">
        <f aca="false">SUM(N194:N210)</f>
        <v>17649.2273539916</v>
      </c>
      <c r="O211" s="7" t="n">
        <f aca="false">SUM(O194:O210)</f>
        <v>17838.8793530729</v>
      </c>
      <c r="P211" s="7" t="n">
        <f aca="false">SUM(P194:P210)</f>
        <v>201982.665873248</v>
      </c>
    </row>
    <row r="212" customFormat="false" ht="15" hidden="false" customHeight="false" outlineLevel="0" collapsed="false">
      <c r="A212" s="6" t="s">
        <v>273</v>
      </c>
    </row>
    <row r="213" customFormat="false" ht="15" hidden="false" customHeight="false" outlineLevel="0" collapsed="false">
      <c r="A213" s="4" t="s">
        <v>143</v>
      </c>
      <c r="D213" s="25" t="n">
        <f aca="false">SUMPRODUCT(($B$194:$B$210=$A213)*D$194:D$210*$C$194:$C$210)</f>
        <v>14157.5672991318</v>
      </c>
      <c r="E213" s="25" t="n">
        <f aca="false">SUMPRODUCT(($B$194:$B$210=$A213)*E$194:E$210*$C$194:$C$210)</f>
        <v>14309.6992246011</v>
      </c>
      <c r="F213" s="25" t="n">
        <f aca="false">SUMPRODUCT(($B$194:$B$210=$A213)*F$194:F$210*$C$194:$C$210)</f>
        <v>14463.4659028678</v>
      </c>
      <c r="G213" s="25" t="n">
        <f aca="false">SUMPRODUCT(($B$194:$B$210=$A213)*G$194:G$210*$C$194:$C$210)</f>
        <v>14618.8849003744</v>
      </c>
      <c r="H213" s="25" t="n">
        <f aca="false">SUMPRODUCT(($B$194:$B$210=$A213)*H$194:H$210*$C$194:$C$210)</f>
        <v>14775.9739723256</v>
      </c>
      <c r="I213" s="25" t="n">
        <f aca="false">SUMPRODUCT(($B$194:$B$210=$A213)*I$194:I$210*$C$194:$C$210)</f>
        <v>14934.7510647172</v>
      </c>
      <c r="J213" s="25" t="n">
        <f aca="false">SUMPRODUCT(($B$194:$B$210=$A213)*J$194:J$210*$C$194:$C$210)</f>
        <v>15095.2343163857</v>
      </c>
      <c r="K213" s="25" t="n">
        <f aca="false">SUMPRODUCT(($B$194:$B$210=$A213)*K$194:K$210*$C$194:$C$210)</f>
        <v>15257.4420610808</v>
      </c>
      <c r="L213" s="25" t="n">
        <f aca="false">SUMPRODUCT(($B$194:$B$210=$A213)*L$194:L$210*$C$194:$C$210)</f>
        <v>15421.39282956</v>
      </c>
      <c r="M213" s="25" t="n">
        <f aca="false">SUMPRODUCT(($B$194:$B$210=$A213)*M$194:M$210*$C$194:$C$210)</f>
        <v>15587.1053517051</v>
      </c>
      <c r="N213" s="25" t="n">
        <f aca="false">SUMPRODUCT(($B$194:$B$210=$A213)*N$194:N$210*$C$194:$C$210)</f>
        <v>15754.5985586626</v>
      </c>
      <c r="O213" s="25" t="n">
        <f aca="false">SUMPRODUCT(($B$194:$B$210=$A213)*O$194:O$210*$C$194:$C$210)</f>
        <v>15923.8915850056</v>
      </c>
      <c r="P213" s="25" t="n">
        <f aca="false">SUMPRODUCT(($B$194:$B$210=$A213)*P$194:P$210*$C$194:$C$210)</f>
        <v>180300.007066418</v>
      </c>
    </row>
    <row r="214" customFormat="false" ht="15" hidden="false" customHeight="false" outlineLevel="0" collapsed="false">
      <c r="A214" s="4" t="s">
        <v>149</v>
      </c>
      <c r="D214" s="25" t="n">
        <f aca="false">SUMPRODUCT(($B$194:$B$210=$A214)*D$194:D$210*$C$194:$C$210)</f>
        <v>20.6144391169801</v>
      </c>
      <c r="E214" s="25" t="n">
        <f aca="false">SUMPRODUCT(($B$194:$B$210=$A214)*E$194:E$210*$C$194:$C$210)</f>
        <v>20.8359541731387</v>
      </c>
      <c r="F214" s="25" t="n">
        <f aca="false">SUMPRODUCT(($B$194:$B$210=$A214)*F$194:F$210*$C$194:$C$210)</f>
        <v>21.0598495472786</v>
      </c>
      <c r="G214" s="25" t="n">
        <f aca="false">SUMPRODUCT(($B$194:$B$210=$A214)*G$194:G$210*$C$194:$C$210)</f>
        <v>21.2861508174069</v>
      </c>
      <c r="H214" s="25" t="n">
        <f aca="false">SUMPRODUCT(($B$194:$B$210=$A214)*H$194:H$210*$C$194:$C$210)</f>
        <v>21.5148838363826</v>
      </c>
      <c r="I214" s="25" t="n">
        <f aca="false">SUMPRODUCT(($B$194:$B$210=$A214)*I$194:I$210*$C$194:$C$210)</f>
        <v>21.7460747348696</v>
      </c>
      <c r="J214" s="25" t="n">
        <f aca="false">SUMPRODUCT(($B$194:$B$210=$A214)*J$194:J$210*$C$194:$C$210)</f>
        <v>21.9797499243224</v>
      </c>
      <c r="K214" s="25" t="n">
        <f aca="false">SUMPRODUCT(($B$194:$B$210=$A214)*K$194:K$210*$C$194:$C$210)</f>
        <v>22.2159361000028</v>
      </c>
      <c r="L214" s="25" t="n">
        <f aca="false">SUMPRODUCT(($B$194:$B$210=$A214)*L$194:L$210*$C$194:$C$210)</f>
        <v>22.4546602440303</v>
      </c>
      <c r="M214" s="25" t="n">
        <f aca="false">SUMPRODUCT(($B$194:$B$210=$A214)*M$194:M$210*$C$194:$C$210)</f>
        <v>22.6959496284637</v>
      </c>
      <c r="N214" s="25" t="n">
        <f aca="false">SUMPRODUCT(($B$194:$B$210=$A214)*N$194:N$210*$C$194:$C$210)</f>
        <v>22.9398318184176</v>
      </c>
      <c r="O214" s="25" t="n">
        <f aca="false">SUMPRODUCT(($B$194:$B$210=$A214)*O$194:O$210*$C$194:$C$210)</f>
        <v>23.1863346752108</v>
      </c>
      <c r="P214" s="25" t="n">
        <f aca="false">SUMPRODUCT(($B$194:$B$210=$A214)*P$194:P$210*$C$194:$C$210)</f>
        <v>262.529814616504</v>
      </c>
    </row>
    <row r="215" customFormat="false" ht="15" hidden="false" customHeight="false" outlineLevel="0" collapsed="false">
      <c r="A215" s="4" t="s">
        <v>155</v>
      </c>
      <c r="D215" s="25" t="n">
        <f aca="false">SUMPRODUCT(($B$194:$B$210=$A215)*D$194:D$210*$C$194:$C$210)</f>
        <v>18.3550437141528</v>
      </c>
      <c r="E215" s="25" t="n">
        <f aca="false">SUMPRODUCT(($B$194:$B$210=$A215)*E$194:E$210*$C$194:$C$210)</f>
        <v>18.5522801519748</v>
      </c>
      <c r="F215" s="25" t="n">
        <f aca="false">SUMPRODUCT(($B$194:$B$210=$A215)*F$194:F$210*$C$194:$C$210)</f>
        <v>18.751636018822</v>
      </c>
      <c r="G215" s="25" t="n">
        <f aca="false">SUMPRODUCT(($B$194:$B$210=$A215)*G$194:G$210*$C$194:$C$210)</f>
        <v>18.9531340892862</v>
      </c>
      <c r="H215" s="25" t="n">
        <f aca="false">SUMPRODUCT(($B$194:$B$210=$A215)*H$194:H$210*$C$194:$C$210)</f>
        <v>19.1567973826868</v>
      </c>
      <c r="I215" s="25" t="n">
        <f aca="false">SUMPRODUCT(($B$194:$B$210=$A215)*I$194:I$210*$C$194:$C$210)</f>
        <v>19.3626491656998</v>
      </c>
      <c r="J215" s="25" t="n">
        <f aca="false">SUMPRODUCT(($B$194:$B$210=$A215)*J$194:J$210*$C$194:$C$210)</f>
        <v>19.5707129550165</v>
      </c>
      <c r="K215" s="25" t="n">
        <f aca="false">SUMPRODUCT(($B$194:$B$210=$A215)*K$194:K$210*$C$194:$C$210)</f>
        <v>19.7810125200298</v>
      </c>
      <c r="L215" s="25" t="n">
        <f aca="false">SUMPRODUCT(($B$194:$B$210=$A215)*L$194:L$210*$C$194:$C$210)</f>
        <v>19.9935718855494</v>
      </c>
      <c r="M215" s="25" t="n">
        <f aca="false">SUMPRODUCT(($B$194:$B$210=$A215)*M$194:M$210*$C$194:$C$210)</f>
        <v>20.2084153345467</v>
      </c>
      <c r="N215" s="25" t="n">
        <f aca="false">SUMPRODUCT(($B$194:$B$210=$A215)*N$194:N$210*$C$194:$C$210)</f>
        <v>20.4255674109289</v>
      </c>
      <c r="O215" s="25" t="n">
        <f aca="false">SUMPRODUCT(($B$194:$B$210=$A215)*O$194:O$210*$C$194:$C$210)</f>
        <v>20.6450529223429</v>
      </c>
      <c r="P215" s="25" t="n">
        <f aca="false">SUMPRODUCT(($B$194:$B$210=$A215)*P$194:P$210*$C$194:$C$210)</f>
        <v>233.755873551037</v>
      </c>
    </row>
    <row r="216" customFormat="false" ht="15" hidden="false" customHeight="false" outlineLevel="0" collapsed="false">
      <c r="A216" s="4" t="s">
        <v>146</v>
      </c>
      <c r="D216" s="25" t="n">
        <f aca="false">SUMPRODUCT(($B$194:$B$210=$A216)*D$194:D$210*$C$194:$C$210)</f>
        <v>365.457776464124</v>
      </c>
      <c r="E216" s="25" t="n">
        <f aca="false">SUMPRODUCT(($B$194:$B$210=$A216)*E$194:E$210*$C$194:$C$210)</f>
        <v>369.384849105667</v>
      </c>
      <c r="F216" s="25" t="n">
        <f aca="false">SUMPRODUCT(($B$194:$B$210=$A216)*F$194:F$210*$C$194:$C$210)</f>
        <v>373.354120601701</v>
      </c>
      <c r="G216" s="25" t="n">
        <f aca="false">SUMPRODUCT(($B$194:$B$210=$A216)*G$194:G$210*$C$194:$C$210)</f>
        <v>377.366044405341</v>
      </c>
      <c r="H216" s="25" t="n">
        <f aca="false">SUMPRODUCT(($B$194:$B$210=$A216)*H$194:H$210*$C$194:$C$210)</f>
        <v>381.42107884234</v>
      </c>
      <c r="I216" s="25" t="n">
        <f aca="false">SUMPRODUCT(($B$194:$B$210=$A216)*I$194:I$210*$C$194:$C$210)</f>
        <v>385.519687163448</v>
      </c>
      <c r="J216" s="25" t="n">
        <f aca="false">SUMPRODUCT(($B$194:$B$210=$A216)*J$194:J$210*$C$194:$C$210)</f>
        <v>389.662337597332</v>
      </c>
      <c r="K216" s="25" t="n">
        <f aca="false">SUMPRODUCT(($B$194:$B$210=$A216)*K$194:K$210*$C$194:$C$210)</f>
        <v>393.849503404072</v>
      </c>
      <c r="L216" s="25" t="n">
        <f aca="false">SUMPRODUCT(($B$194:$B$210=$A216)*L$194:L$210*$C$194:$C$210)</f>
        <v>398.081662929223</v>
      </c>
      <c r="M216" s="25" t="n">
        <f aca="false">SUMPRODUCT(($B$194:$B$210=$A216)*M$194:M$210*$C$194:$C$210)</f>
        <v>402.359299658462</v>
      </c>
      <c r="N216" s="25" t="n">
        <f aca="false">SUMPRODUCT(($B$194:$B$210=$A216)*N$194:N$210*$C$194:$C$210)</f>
        <v>406.682902272822</v>
      </c>
      <c r="O216" s="25" t="n">
        <f aca="false">SUMPRODUCT(($B$194:$B$210=$A216)*O$194:O$210*$C$194:$C$210)</f>
        <v>411.052964704523</v>
      </c>
      <c r="P216" s="25" t="n">
        <f aca="false">SUMPRODUCT(($B$194:$B$210=$A216)*P$194:P$210*$C$194:$C$210)</f>
        <v>4654.19222714905</v>
      </c>
    </row>
    <row r="217" customFormat="false" ht="15" hidden="false" customHeight="false" outlineLevel="0" collapsed="false">
      <c r="A217" s="4" t="s">
        <v>147</v>
      </c>
      <c r="D217" s="25" t="n">
        <f aca="false">SUMPRODUCT(($B$194:$B$210=$A217)*D$194:D$210*$C$194:$C$210)</f>
        <v>172.258548120781</v>
      </c>
      <c r="E217" s="25" t="n">
        <f aca="false">SUMPRODUCT(($B$194:$B$210=$A217)*E$194:E$210*$C$194:$C$210)</f>
        <v>174.109574080994</v>
      </c>
      <c r="F217" s="25" t="n">
        <f aca="false">SUMPRODUCT(($B$194:$B$210=$A217)*F$194:F$210*$C$194:$C$210)</f>
        <v>175.98049047418</v>
      </c>
      <c r="G217" s="25" t="n">
        <f aca="false">SUMPRODUCT(($B$194:$B$210=$A217)*G$194:G$210*$C$194:$C$210)</f>
        <v>177.871511035496</v>
      </c>
      <c r="H217" s="25" t="n">
        <f aca="false">SUMPRODUCT(($B$194:$B$210=$A217)*H$194:H$210*$C$194:$C$210)</f>
        <v>179.782851796816</v>
      </c>
      <c r="I217" s="25" t="n">
        <f aca="false">SUMPRODUCT(($B$194:$B$210=$A217)*I$194:I$210*$C$194:$C$210)</f>
        <v>181.714731111413</v>
      </c>
      <c r="J217" s="25" t="n">
        <f aca="false">SUMPRODUCT(($B$194:$B$210=$A217)*J$194:J$210*$C$194:$C$210)</f>
        <v>183.667369678902</v>
      </c>
      <c r="K217" s="25" t="n">
        <f aca="false">SUMPRODUCT(($B$194:$B$210=$A217)*K$194:K$210*$C$194:$C$210)</f>
        <v>185.640990570455</v>
      </c>
      <c r="L217" s="25" t="n">
        <f aca="false">SUMPRODUCT(($B$194:$B$210=$A217)*L$194:L$210*$C$194:$C$210)</f>
        <v>187.635819254281</v>
      </c>
      <c r="M217" s="25" t="n">
        <f aca="false">SUMPRODUCT(($B$194:$B$210=$A217)*M$194:M$210*$C$194:$C$210)</f>
        <v>189.652083621389</v>
      </c>
      <c r="N217" s="25" t="n">
        <f aca="false">SUMPRODUCT(($B$194:$B$210=$A217)*N$194:N$210*$C$194:$C$210)</f>
        <v>191.690014011616</v>
      </c>
      <c r="O217" s="25" t="n">
        <f aca="false">SUMPRODUCT(($B$194:$B$210=$A217)*O$194:O$210*$C$194:$C$210)</f>
        <v>193.749843239947</v>
      </c>
      <c r="P217" s="25" t="n">
        <f aca="false">SUMPRODUCT(($B$194:$B$210=$A217)*P$194:P$210*$C$194:$C$210)</f>
        <v>2193.75382699627</v>
      </c>
    </row>
    <row r="218" customFormat="false" ht="15" hidden="false" customHeight="false" outlineLevel="0" collapsed="false">
      <c r="A218" s="4" t="s">
        <v>150</v>
      </c>
      <c r="D218" s="25" t="n">
        <f aca="false">SUMPRODUCT(($B$194:$B$210=$A218)*D$194:D$210*$C$194:$C$210)</f>
        <v>178.692789061173</v>
      </c>
      <c r="E218" s="25" t="n">
        <f aca="false">SUMPRODUCT(($B$194:$B$210=$A218)*E$194:E$210*$C$194:$C$210)</f>
        <v>180.612954969127</v>
      </c>
      <c r="F218" s="25" t="n">
        <f aca="false">SUMPRODUCT(($B$194:$B$210=$A218)*F$194:F$210*$C$194:$C$210)</f>
        <v>182.553754262084</v>
      </c>
      <c r="G218" s="25" t="n">
        <f aca="false">SUMPRODUCT(($B$194:$B$210=$A218)*G$194:G$210*$C$194:$C$210)</f>
        <v>184.515408658687</v>
      </c>
      <c r="H218" s="25" t="n">
        <f aca="false">SUMPRODUCT(($B$194:$B$210=$A218)*H$194:H$210*$C$194:$C$210)</f>
        <v>186.498142260082</v>
      </c>
      <c r="I218" s="25" t="n">
        <f aca="false">SUMPRODUCT(($B$194:$B$210=$A218)*I$194:I$210*$C$194:$C$210)</f>
        <v>188.502181575523</v>
      </c>
      <c r="J218" s="25" t="n">
        <f aca="false">SUMPRODUCT(($B$194:$B$210=$A218)*J$194:J$210*$C$194:$C$210)</f>
        <v>190.52775554825</v>
      </c>
      <c r="K218" s="25" t="n">
        <f aca="false">SUMPRODUCT(($B$194:$B$210=$A218)*K$194:K$210*$C$194:$C$210)</f>
        <v>192.575095581638</v>
      </c>
      <c r="L218" s="25" t="n">
        <f aca="false">SUMPRODUCT(($B$194:$B$210=$A218)*L$194:L$210*$C$194:$C$210)</f>
        <v>194.644435565638</v>
      </c>
      <c r="M218" s="25" t="n">
        <f aca="false">SUMPRODUCT(($B$194:$B$210=$A218)*M$194:M$210*$C$194:$C$210)</f>
        <v>196.736011903495</v>
      </c>
      <c r="N218" s="25" t="n">
        <f aca="false">SUMPRODUCT(($B$194:$B$210=$A218)*N$194:N$210*$C$194:$C$210)</f>
        <v>198.850063538755</v>
      </c>
      <c r="O218" s="25" t="n">
        <f aca="false">SUMPRODUCT(($B$194:$B$210=$A218)*O$194:O$210*$C$194:$C$210)</f>
        <v>200.986831982561</v>
      </c>
      <c r="P218" s="25" t="n">
        <f aca="false">SUMPRODUCT(($B$194:$B$210=$A218)*P$194:P$210*$C$194:$C$210)</f>
        <v>2275.69542490701</v>
      </c>
    </row>
    <row r="219" customFormat="false" ht="15" hidden="false" customHeight="false" outlineLevel="0" collapsed="false">
      <c r="A219" s="4" t="s">
        <v>151</v>
      </c>
      <c r="D219" s="25" t="n">
        <f aca="false">SUMPRODUCT(($B$194:$B$210=$A219)*D$194:D$210*$C$194:$C$210)</f>
        <v>1319.00987332513</v>
      </c>
      <c r="E219" s="25" t="n">
        <f aca="false">SUMPRODUCT(($B$194:$B$210=$A219)*E$194:E$210*$C$194:$C$210)</f>
        <v>1333.18346031944</v>
      </c>
      <c r="F219" s="25" t="n">
        <f aca="false">SUMPRODUCT(($B$194:$B$210=$A219)*F$194:F$210*$C$194:$C$210)</f>
        <v>1347.50935138086</v>
      </c>
      <c r="G219" s="25" t="n">
        <f aca="false">SUMPRODUCT(($B$194:$B$210=$A219)*G$194:G$210*$C$194:$C$210)</f>
        <v>1361.98918311198</v>
      </c>
      <c r="H219" s="25" t="n">
        <f aca="false">SUMPRODUCT(($B$194:$B$210=$A219)*H$194:H$210*$C$194:$C$210)</f>
        <v>1376.62460970168</v>
      </c>
      <c r="I219" s="25" t="n">
        <f aca="false">SUMPRODUCT(($B$194:$B$210=$A219)*I$194:I$210*$C$194:$C$210)</f>
        <v>1391.41730311414</v>
      </c>
      <c r="J219" s="25" t="n">
        <f aca="false">SUMPRODUCT(($B$194:$B$210=$A219)*J$194:J$210*$C$194:$C$210)</f>
        <v>1406.36895327985</v>
      </c>
      <c r="K219" s="25" t="n">
        <f aca="false">SUMPRODUCT(($B$194:$B$210=$A219)*K$194:K$210*$C$194:$C$210)</f>
        <v>1421.48126828864</v>
      </c>
      <c r="L219" s="25" t="n">
        <f aca="false">SUMPRODUCT(($B$194:$B$210=$A219)*L$194:L$210*$C$194:$C$210)</f>
        <v>1436.75597458487</v>
      </c>
      <c r="M219" s="25" t="n">
        <f aca="false">SUMPRODUCT(($B$194:$B$210=$A219)*M$194:M$210*$C$194:$C$210)</f>
        <v>1452.19481716459</v>
      </c>
      <c r="N219" s="25" t="n">
        <f aca="false">SUMPRODUCT(($B$194:$B$210=$A219)*N$194:N$210*$C$194:$C$210)</f>
        <v>1467.79955977495</v>
      </c>
      <c r="O219" s="25" t="n">
        <f aca="false">SUMPRODUCT(($B$194:$B$210=$A219)*O$194:O$210*$C$194:$C$210)</f>
        <v>1483.57198511565</v>
      </c>
      <c r="P219" s="25" t="n">
        <f aca="false">SUMPRODUCT(($B$194:$B$210=$A219)*P$194:P$210*$C$194:$C$210)</f>
        <v>16797.9063391618</v>
      </c>
    </row>
    <row r="220" customFormat="false" ht="15" hidden="false" customHeight="false" outlineLevel="0" collapsed="false">
      <c r="A220" s="4" t="s">
        <v>154</v>
      </c>
      <c r="D220" s="25" t="n">
        <f aca="false">SUMPRODUCT(($B$194:$B$210=$A220)*D$194:D$210*$C$194:$C$210)</f>
        <v>52.8069318263489</v>
      </c>
      <c r="E220" s="25" t="n">
        <f aca="false">SUMPRODUCT(($B$194:$B$210=$A220)*E$194:E$210*$C$194:$C$210)</f>
        <v>53.3743753741794</v>
      </c>
      <c r="F220" s="25" t="n">
        <f aca="false">SUMPRODUCT(($B$194:$B$210=$A220)*F$194:F$210*$C$194:$C$210)</f>
        <v>53.9479164582392</v>
      </c>
      <c r="G220" s="25" t="n">
        <f aca="false">SUMPRODUCT(($B$194:$B$210=$A220)*G$194:G$210*$C$194:$C$210)</f>
        <v>54.5276206003733</v>
      </c>
      <c r="H220" s="25" t="n">
        <f aca="false">SUMPRODUCT(($B$194:$B$210=$A220)*H$194:H$210*$C$194:$C$210)</f>
        <v>55.1135540264995</v>
      </c>
      <c r="I220" s="25" t="n">
        <f aca="false">SUMPRODUCT(($B$194:$B$210=$A220)*I$194:I$210*$C$194:$C$210)</f>
        <v>55.705783674175</v>
      </c>
      <c r="J220" s="25" t="n">
        <f aca="false">SUMPRODUCT(($B$194:$B$210=$A220)*J$194:J$210*$C$194:$C$210)</f>
        <v>56.3043772002427</v>
      </c>
      <c r="K220" s="25" t="n">
        <f aca="false">SUMPRODUCT(($B$194:$B$210=$A220)*K$194:K$210*$C$194:$C$210)</f>
        <v>56.9094029885607</v>
      </c>
      <c r="L220" s="25" t="n">
        <f aca="false">SUMPRODUCT(($B$194:$B$210=$A220)*L$194:L$210*$C$194:$C$210)</f>
        <v>57.5209301578144</v>
      </c>
      <c r="M220" s="25" t="n">
        <f aca="false">SUMPRODUCT(($B$194:$B$210=$A220)*M$194:M$210*$C$194:$C$210)</f>
        <v>58.139028569413</v>
      </c>
      <c r="N220" s="25" t="n">
        <f aca="false">SUMPRODUCT(($B$194:$B$210=$A220)*N$194:N$210*$C$194:$C$210)</f>
        <v>58.7637688354699</v>
      </c>
      <c r="O220" s="25" t="n">
        <f aca="false">SUMPRODUCT(($B$194:$B$210=$A220)*O$194:O$210*$C$194:$C$210)</f>
        <v>59.3952223268703</v>
      </c>
      <c r="P220" s="25" t="n">
        <f aca="false">SUMPRODUCT(($B$194:$B$210=$A220)*P$194:P$210*$C$194:$C$210)</f>
        <v>672.508912038186</v>
      </c>
    </row>
    <row r="221" customFormat="false" ht="15" hidden="false" customHeight="false" outlineLevel="0" collapsed="false">
      <c r="A221" s="6" t="s">
        <v>274</v>
      </c>
      <c r="D221" s="26" t="n">
        <f aca="false">SUMPRODUCT(D$194:D$210*parametros_recargas!$D$51:$D$67)</f>
        <v>539.482428585637</v>
      </c>
      <c r="E221" s="26" t="n">
        <f aca="false">SUMPRODUCT(E$194:E$210*parametros_recargas!$D$51:$D$67)</f>
        <v>545.279505080736</v>
      </c>
      <c r="F221" s="26" t="n">
        <f aca="false">SUMPRODUCT(F$194:F$210*parametros_recargas!$D$51:$D$67)</f>
        <v>551.138874792647</v>
      </c>
      <c r="G221" s="26" t="n">
        <f aca="false">SUMPRODUCT(G$194:G$210*parametros_recargas!$D$51:$D$67)</f>
        <v>557.06120710099</v>
      </c>
      <c r="H221" s="26" t="n">
        <f aca="false">SUMPRODUCT(H$194:H$210*parametros_recargas!$D$51:$D$67)</f>
        <v>563.047178578287</v>
      </c>
      <c r="I221" s="26" t="n">
        <f aca="false">SUMPRODUCT(I$194:I$210*parametros_recargas!$D$51:$D$67)</f>
        <v>569.097473067257</v>
      </c>
      <c r="J221" s="26" t="n">
        <f aca="false">SUMPRODUCT(J$194:J$210*parametros_recargas!$D$51:$D$67)</f>
        <v>575.212781758938</v>
      </c>
      <c r="K221" s="26" t="n">
        <f aca="false">SUMPRODUCT(K$194:K$210*parametros_recargas!$D$51:$D$67)</f>
        <v>581.393803271645</v>
      </c>
      <c r="L221" s="26" t="n">
        <f aca="false">SUMPRODUCT(L$194:L$210*parametros_recargas!$D$51:$D$67)</f>
        <v>587.641243730787</v>
      </c>
      <c r="M221" s="26" t="n">
        <f aca="false">SUMPRODUCT(M$194:M$210*parametros_recargas!$D$51:$D$67)</f>
        <v>593.955816849533</v>
      </c>
      <c r="N221" s="26" t="n">
        <f aca="false">SUMPRODUCT(N$194:N$210*parametros_recargas!$D$51:$D$67)</f>
        <v>600.338244010345</v>
      </c>
      <c r="O221" s="26" t="n">
        <f aca="false">SUMPRODUCT(O$194:O$210*parametros_recargas!$D$51:$D$67)</f>
        <v>606.789254347392</v>
      </c>
      <c r="P221" s="26" t="n">
        <f aca="false">SUMPRODUCT(P$194:P$210*parametros_recargas!$D$51:$D$67)</f>
        <v>6870.43781117419</v>
      </c>
    </row>
    <row r="225" customFormat="false" ht="15" hidden="false" customHeight="false" outlineLevel="0" collapsed="false">
      <c r="A225" s="23" t="n">
        <v>2033</v>
      </c>
      <c r="B225" s="3" t="s">
        <v>270</v>
      </c>
      <c r="C225" s="3" t="s">
        <v>271</v>
      </c>
      <c r="D225" s="3" t="s">
        <v>124</v>
      </c>
      <c r="E225" s="3" t="s">
        <v>125</v>
      </c>
      <c r="F225" s="3" t="s">
        <v>126</v>
      </c>
      <c r="G225" s="3" t="s">
        <v>127</v>
      </c>
      <c r="H225" s="3" t="s">
        <v>128</v>
      </c>
      <c r="I225" s="3" t="s">
        <v>129</v>
      </c>
      <c r="J225" s="3" t="s">
        <v>130</v>
      </c>
      <c r="K225" s="3" t="s">
        <v>131</v>
      </c>
      <c r="L225" s="3" t="s">
        <v>132</v>
      </c>
      <c r="M225" s="3" t="s">
        <v>133</v>
      </c>
      <c r="N225" s="3" t="s">
        <v>134</v>
      </c>
      <c r="O225" s="3" t="s">
        <v>135</v>
      </c>
      <c r="P225" s="3" t="s">
        <v>136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4" t="n">
        <f aca="false">parametros_recargas!C51</f>
        <v>1</v>
      </c>
      <c r="D226" s="25" t="n">
        <f aca="false">datos_base!$I$2*parametros_recargas!$F$44</f>
        <v>9830.44368046236</v>
      </c>
      <c r="E226" s="25" t="n">
        <f aca="false">datos_base!$I$2*parametros_recargas!$G$44</f>
        <v>9890.33252418856</v>
      </c>
      <c r="F226" s="25" t="n">
        <f aca="false">datos_base!$I$2*parametros_recargas!$H$44</f>
        <v>9950.58622159985</v>
      </c>
      <c r="G226" s="25" t="n">
        <f aca="false">datos_base!$I$2*parametros_recargas!$I$44</f>
        <v>10011.206995451</v>
      </c>
      <c r="H226" s="25" t="n">
        <f aca="false">datos_base!$I$2*parametros_recargas!$J$44</f>
        <v>10072.1970820381</v>
      </c>
      <c r="I226" s="25" t="n">
        <f aca="false">datos_base!$I$2*parametros_recargas!$K$44</f>
        <v>10133.5587312813</v>
      </c>
      <c r="J226" s="25" t="n">
        <f aca="false">datos_base!$I$2*parametros_recargas!$L$44</f>
        <v>10195.2942068076</v>
      </c>
      <c r="K226" s="25" t="n">
        <f aca="false">datos_base!$I$2*parametros_recargas!$M$44</f>
        <v>10257.4057860345</v>
      </c>
      <c r="L226" s="25" t="n">
        <f aca="false">datos_base!$I$2*parametros_recargas!$N$44</f>
        <v>10319.8957602537</v>
      </c>
      <c r="M226" s="25" t="n">
        <f aca="false">datos_base!$I$2*parametros_recargas!$O$44</f>
        <v>10382.7664347163</v>
      </c>
      <c r="N226" s="25" t="n">
        <f aca="false">datos_base!$I$2*parametros_recargas!$P$44</f>
        <v>10446.0201287169</v>
      </c>
      <c r="O226" s="25" t="n">
        <f aca="false">datos_base!$I$2*parametros_recargas!$Q$44</f>
        <v>10509.65917568</v>
      </c>
      <c r="P226" s="7" t="n">
        <f aca="false">SUM(D226:O226)</f>
        <v>121999.36672723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4" t="n">
        <f aca="false">parametros_recargas!C52</f>
        <v>1</v>
      </c>
      <c r="D227" s="25" t="n">
        <f aca="false">datos_base!$I$3*parametros_recargas!$F$44</f>
        <v>818.020551865939</v>
      </c>
      <c r="E227" s="25" t="n">
        <f aca="false">datos_base!$I$3*parametros_recargas!$G$44</f>
        <v>823.004081255654</v>
      </c>
      <c r="F227" s="25" t="n">
        <f aca="false">datos_base!$I$3*parametros_recargas!$H$44</f>
        <v>828.017971209197</v>
      </c>
      <c r="G227" s="25" t="n">
        <f aca="false">datos_base!$I$3*parametros_recargas!$I$44</f>
        <v>833.062406688624</v>
      </c>
      <c r="H227" s="25" t="n">
        <f aca="false">datos_base!$I$3*parametros_recargas!$J$44</f>
        <v>838.137573782812</v>
      </c>
      <c r="I227" s="25" t="n">
        <f aca="false">datos_base!$I$3*parametros_recargas!$K$44</f>
        <v>843.243659714325</v>
      </c>
      <c r="J227" s="25" t="n">
        <f aca="false">datos_base!$I$3*parametros_recargas!$L$44</f>
        <v>848.38085284632</v>
      </c>
      <c r="K227" s="25" t="n">
        <f aca="false">datos_base!$I$3*parametros_recargas!$M$44</f>
        <v>853.549342689499</v>
      </c>
      <c r="L227" s="25" t="n">
        <f aca="false">datos_base!$I$3*parametros_recargas!$N$44</f>
        <v>858.749319909096</v>
      </c>
      <c r="M227" s="25" t="n">
        <f aca="false">datos_base!$I$3*parametros_recargas!$O$44</f>
        <v>863.980976331911</v>
      </c>
      <c r="N227" s="25" t="n">
        <f aca="false">datos_base!$I$3*parametros_recargas!$P$44</f>
        <v>869.24450495339</v>
      </c>
      <c r="O227" s="25" t="n">
        <f aca="false">datos_base!$I$3*parametros_recargas!$Q$44</f>
        <v>874.540099944741</v>
      </c>
      <c r="P227" s="7" t="n">
        <f aca="false">SUM(D227:O227)</f>
        <v>10151.9313411915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4" t="n">
        <f aca="false">parametros_recargas!C53</f>
        <v>1</v>
      </c>
      <c r="D228" s="25" t="n">
        <f aca="false">datos_base!$I$4*parametros_recargas!$F$44</f>
        <v>5003.25954273538</v>
      </c>
      <c r="E228" s="25" t="n">
        <f aca="false">datos_base!$I$4*parametros_recargas!$G$44</f>
        <v>5033.74030623053</v>
      </c>
      <c r="F228" s="25" t="n">
        <f aca="false">datos_base!$I$4*parametros_recargas!$H$44</f>
        <v>5064.4067640586</v>
      </c>
      <c r="G228" s="25" t="n">
        <f aca="false">datos_base!$I$4*parametros_recargas!$I$44</f>
        <v>5095.26004750311</v>
      </c>
      <c r="H228" s="25" t="n">
        <f aca="false">datos_base!$I$4*parametros_recargas!$J$44</f>
        <v>5126.30129473956</v>
      </c>
      <c r="I228" s="25" t="n">
        <f aca="false">datos_base!$I$4*parametros_recargas!$K$44</f>
        <v>5157.53165087743</v>
      </c>
      <c r="J228" s="25" t="n">
        <f aca="false">datos_base!$I$4*parametros_recargas!$L$44</f>
        <v>5188.95226800239</v>
      </c>
      <c r="K228" s="25" t="n">
        <f aca="false">datos_base!$I$4*parametros_recargas!$M$44</f>
        <v>5220.56430521886</v>
      </c>
      <c r="L228" s="25" t="n">
        <f aca="false">datos_base!$I$4*parametros_recargas!$N$44</f>
        <v>5252.36892869269</v>
      </c>
      <c r="M228" s="25" t="n">
        <f aca="false">datos_base!$I$4*parametros_recargas!$O$44</f>
        <v>5284.36731169426</v>
      </c>
      <c r="N228" s="25" t="n">
        <f aca="false">datos_base!$I$4*parametros_recargas!$P$44</f>
        <v>5316.56063464172</v>
      </c>
      <c r="O228" s="25" t="n">
        <f aca="false">datos_base!$I$4*parametros_recargas!$Q$44</f>
        <v>5348.95008514452</v>
      </c>
      <c r="P228" s="7" t="n">
        <f aca="false">SUM(D228:O228)</f>
        <v>62092.263139539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4" t="n">
        <f aca="false">parametros_recargas!C54</f>
        <v>1</v>
      </c>
      <c r="D229" s="25" t="n">
        <f aca="false">datos_base!$I$5*parametros_recargas!$F$44</f>
        <v>296.197071927462</v>
      </c>
      <c r="E229" s="25" t="n">
        <f aca="false">datos_base!$I$5*parametros_recargas!$G$44</f>
        <v>298.001558146947</v>
      </c>
      <c r="F229" s="25" t="n">
        <f aca="false">datos_base!$I$5*parametros_recargas!$H$44</f>
        <v>299.817037623372</v>
      </c>
      <c r="G229" s="25" t="n">
        <f aca="false">datos_base!$I$5*parametros_recargas!$I$44</f>
        <v>301.643577329648</v>
      </c>
      <c r="H229" s="25" t="n">
        <f aca="false">datos_base!$I$5*parametros_recargas!$J$44</f>
        <v>303.4812446467</v>
      </c>
      <c r="I229" s="25" t="n">
        <f aca="false">datos_base!$I$5*parametros_recargas!$K$44</f>
        <v>305.330107365949</v>
      </c>
      <c r="J229" s="25" t="n">
        <f aca="false">datos_base!$I$5*parametros_recargas!$L$44</f>
        <v>307.190233691812</v>
      </c>
      <c r="K229" s="25" t="n">
        <f aca="false">datos_base!$I$5*parametros_recargas!$M$44</f>
        <v>309.061692244222</v>
      </c>
      <c r="L229" s="25" t="n">
        <f aca="false">datos_base!$I$5*parametros_recargas!$N$44</f>
        <v>310.944552061155</v>
      </c>
      <c r="M229" s="25" t="n">
        <f aca="false">datos_base!$I$5*parametros_recargas!$O$44</f>
        <v>312.838882601181</v>
      </c>
      <c r="N229" s="25" t="n">
        <f aca="false">datos_base!$I$5*parametros_recargas!$P$44</f>
        <v>314.744753746022</v>
      </c>
      <c r="O229" s="25" t="n">
        <f aca="false">datos_base!$I$5*parametros_recargas!$Q$44</f>
        <v>316.662235803134</v>
      </c>
      <c r="P229" s="7" t="n">
        <f aca="false">SUM(D229:O229)</f>
        <v>3675.9129471876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4" t="n">
        <f aca="false">parametros_recargas!C55</f>
        <v>1</v>
      </c>
      <c r="D230" s="25" t="n">
        <f aca="false">datos_base!$I$6*parametros_recargas!$F$44</f>
        <v>416.941276460695</v>
      </c>
      <c r="E230" s="25" t="n">
        <f aca="false">datos_base!$I$6*parametros_recargas!$G$44</f>
        <v>419.4813582475</v>
      </c>
      <c r="F230" s="25" t="n">
        <f aca="false">datos_base!$I$6*parametros_recargas!$H$44</f>
        <v>422.036914672697</v>
      </c>
      <c r="G230" s="25" t="n">
        <f aca="false">datos_base!$I$6*parametros_recargas!$I$44</f>
        <v>424.608040010585</v>
      </c>
      <c r="H230" s="25" t="n">
        <f aca="false">datos_base!$I$6*parametros_recargas!$J$44</f>
        <v>427.194829109801</v>
      </c>
      <c r="I230" s="25" t="n">
        <f aca="false">datos_base!$I$6*parametros_recargas!$K$44</f>
        <v>429.797377396818</v>
      </c>
      <c r="J230" s="25" t="n">
        <f aca="false">datos_base!$I$6*parametros_recargas!$L$44</f>
        <v>432.415780879461</v>
      </c>
      <c r="K230" s="25" t="n">
        <f aca="false">datos_base!$I$6*parametros_recargas!$M$44</f>
        <v>435.050136150455</v>
      </c>
      <c r="L230" s="25" t="n">
        <f aca="false">datos_base!$I$6*parametros_recargas!$N$44</f>
        <v>437.700540390983</v>
      </c>
      <c r="M230" s="25" t="n">
        <f aca="false">datos_base!$I$6*parametros_recargas!$O$44</f>
        <v>440.367091374277</v>
      </c>
      <c r="N230" s="25" t="n">
        <f aca="false">datos_base!$I$6*parametros_recargas!$P$44</f>
        <v>443.049887469217</v>
      </c>
      <c r="O230" s="25" t="n">
        <f aca="false">datos_base!$I$6*parametros_recargas!$Q$44</f>
        <v>445.749027643967</v>
      </c>
      <c r="P230" s="7" t="n">
        <f aca="false">SUM(D230:O230)</f>
        <v>5174.39225980646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4" t="n">
        <f aca="false">parametros_recargas!C56</f>
        <v>1</v>
      </c>
      <c r="D231" s="25" t="n">
        <f aca="false">datos_base!$I$7*parametros_recargas!$F$44</f>
        <v>77.5184280071043</v>
      </c>
      <c r="E231" s="25" t="n">
        <f aca="false">datos_base!$I$7*parametros_recargas!$G$44</f>
        <v>77.9906843133019</v>
      </c>
      <c r="F231" s="25" t="n">
        <f aca="false">datos_base!$I$7*parametros_recargas!$H$44</f>
        <v>78.4658176904679</v>
      </c>
      <c r="G231" s="25" t="n">
        <f aca="false">datos_base!$I$7*parametros_recargas!$I$44</f>
        <v>78.94384566624</v>
      </c>
      <c r="H231" s="25" t="n">
        <f aca="false">datos_base!$I$7*parametros_recargas!$J$44</f>
        <v>79.4247858750372</v>
      </c>
      <c r="I231" s="25" t="n">
        <f aca="false">datos_base!$I$7*parametros_recargas!$K$44</f>
        <v>79.9086560587107</v>
      </c>
      <c r="J231" s="25" t="n">
        <f aca="false">datos_base!$I$7*parametros_recargas!$L$44</f>
        <v>80.3954740671981</v>
      </c>
      <c r="K231" s="25" t="n">
        <f aca="false">datos_base!$I$7*parametros_recargas!$M$44</f>
        <v>80.8852578591824</v>
      </c>
      <c r="L231" s="25" t="n">
        <f aca="false">datos_base!$I$7*parametros_recargas!$N$44</f>
        <v>81.3780255027537</v>
      </c>
      <c r="M231" s="25" t="n">
        <f aca="false">datos_base!$I$7*parametros_recargas!$O$44</f>
        <v>81.8737951760765</v>
      </c>
      <c r="N231" s="25" t="n">
        <f aca="false">datos_base!$I$7*parametros_recargas!$P$44</f>
        <v>82.3725851680599</v>
      </c>
      <c r="O231" s="25" t="n">
        <f aca="false">datos_base!$I$7*parametros_recargas!$Q$44</f>
        <v>82.8744138790323</v>
      </c>
      <c r="P231" s="7" t="n">
        <f aca="false">SUM(D231:O231)</f>
        <v>962.031769263165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4" t="n">
        <f aca="false">parametros_recargas!C57</f>
        <v>3</v>
      </c>
      <c r="D232" s="25" t="n">
        <f aca="false">datos_base!$I$8*parametros_recargas!$F$44</f>
        <v>40.7877342394505</v>
      </c>
      <c r="E232" s="25" t="n">
        <f aca="false">datos_base!$I$8*parametros_recargas!$G$44</f>
        <v>41.036220505301</v>
      </c>
      <c r="F232" s="25" t="n">
        <f aca="false">datos_base!$I$8*parametros_recargas!$H$44</f>
        <v>41.2862205944974</v>
      </c>
      <c r="G232" s="25" t="n">
        <f aca="false">datos_base!$I$8*parametros_recargas!$I$44</f>
        <v>41.5377437295258</v>
      </c>
      <c r="H232" s="25" t="n">
        <f aca="false">datos_base!$I$8*parametros_recargas!$J$44</f>
        <v>41.7907991890571</v>
      </c>
      <c r="I232" s="25" t="n">
        <f aca="false">datos_base!$I$8*parametros_recargas!$K$44</f>
        <v>42.04539630829</v>
      </c>
      <c r="J232" s="25" t="n">
        <f aca="false">datos_base!$I$8*parametros_recargas!$L$44</f>
        <v>42.3015444792945</v>
      </c>
      <c r="K232" s="25" t="n">
        <f aca="false">datos_base!$I$8*parametros_recargas!$M$44</f>
        <v>42.559253151359</v>
      </c>
      <c r="L232" s="25" t="n">
        <f aca="false">datos_base!$I$8*parametros_recargas!$N$44</f>
        <v>42.8185318313388</v>
      </c>
      <c r="M232" s="25" t="n">
        <f aca="false">datos_base!$I$8*parametros_recargas!$O$44</f>
        <v>43.0793900840064</v>
      </c>
      <c r="N232" s="25" t="n">
        <f aca="false">datos_base!$I$8*parametros_recargas!$P$44</f>
        <v>43.3418375324047</v>
      </c>
      <c r="O232" s="25" t="n">
        <f aca="false">datos_base!$I$8*parametros_recargas!$Q$44</f>
        <v>43.6058838582021</v>
      </c>
      <c r="P232" s="7" t="n">
        <f aca="false">SUM(D232:O232)</f>
        <v>506.190555502727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4" t="n">
        <f aca="false">parametros_recargas!C58</f>
        <v>1</v>
      </c>
      <c r="D233" s="25" t="n">
        <f aca="false">datos_base!$I$9*parametros_recargas!$F$44</f>
        <v>23.423215107637</v>
      </c>
      <c r="E233" s="25" t="n">
        <f aca="false">datos_base!$I$9*parametros_recargas!$G$44</f>
        <v>23.5659135772833</v>
      </c>
      <c r="F233" s="25" t="n">
        <f aca="false">datos_base!$I$9*parametros_recargas!$H$44</f>
        <v>23.7094813918572</v>
      </c>
      <c r="G233" s="25" t="n">
        <f aca="false">datos_base!$I$9*parametros_recargas!$I$44</f>
        <v>23.8539238475653</v>
      </c>
      <c r="H233" s="25" t="n">
        <f aca="false">datos_base!$I$9*parametros_recargas!$J$44</f>
        <v>23.9992462728799</v>
      </c>
      <c r="I233" s="25" t="n">
        <f aca="false">datos_base!$I$9*parametros_recargas!$K$44</f>
        <v>24.1454540287352</v>
      </c>
      <c r="J233" s="25" t="n">
        <f aca="false">datos_base!$I$9*parametros_recargas!$L$44</f>
        <v>24.2925525087254</v>
      </c>
      <c r="K233" s="25" t="n">
        <f aca="false">datos_base!$I$9*parametros_recargas!$M$44</f>
        <v>24.4405471393032</v>
      </c>
      <c r="L233" s="25" t="n">
        <f aca="false">datos_base!$I$9*parametros_recargas!$N$44</f>
        <v>24.5894433799803</v>
      </c>
      <c r="M233" s="25" t="n">
        <f aca="false">datos_base!$I$9*parametros_recargas!$O$44</f>
        <v>24.7392467235287</v>
      </c>
      <c r="N233" s="25" t="n">
        <f aca="false">datos_base!$I$9*parametros_recargas!$P$44</f>
        <v>24.8899626961835</v>
      </c>
      <c r="O233" s="25" t="n">
        <f aca="false">datos_base!$I$9*parametros_recargas!$Q$44</f>
        <v>25.0415968578466</v>
      </c>
      <c r="P233" s="7" t="n">
        <f aca="false">SUM(D233:O233)</f>
        <v>290.690583531526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4" t="n">
        <f aca="false">parametros_recargas!C59</f>
        <v>1</v>
      </c>
      <c r="D234" s="25" t="n">
        <f aca="false">datos_base!$I$10*parametros_recargas!$F$44</f>
        <v>205.237663718311</v>
      </c>
      <c r="E234" s="25" t="n">
        <f aca="false">datos_base!$I$10*parametros_recargas!$G$44</f>
        <v>206.48800874532</v>
      </c>
      <c r="F234" s="25" t="n">
        <f aca="false">datos_base!$I$10*parametros_recargas!$H$44</f>
        <v>207.745971100738</v>
      </c>
      <c r="G234" s="25" t="n">
        <f aca="false">datos_base!$I$10*parametros_recargas!$I$44</f>
        <v>209.011597190711</v>
      </c>
      <c r="H234" s="25" t="n">
        <f aca="false">datos_base!$I$10*parametros_recargas!$J$44</f>
        <v>210.284933704097</v>
      </c>
      <c r="I234" s="25" t="n">
        <f aca="false">datos_base!$I$10*parametros_recargas!$K$44</f>
        <v>211.566027614192</v>
      </c>
      <c r="J234" s="25" t="n">
        <f aca="false">datos_base!$I$10*parametros_recargas!$L$44</f>
        <v>212.854926180464</v>
      </c>
      <c r="K234" s="25" t="n">
        <f aca="false">datos_base!$I$10*parametros_recargas!$M$44</f>
        <v>214.15167695029</v>
      </c>
      <c r="L234" s="25" t="n">
        <f aca="false">datos_base!$I$10*parametros_recargas!$N$44</f>
        <v>215.456327760718</v>
      </c>
      <c r="M234" s="25" t="n">
        <f aca="false">datos_base!$I$10*parametros_recargas!$O$44</f>
        <v>216.768926740225</v>
      </c>
      <c r="N234" s="25" t="n">
        <f aca="false">datos_base!$I$10*parametros_recargas!$P$44</f>
        <v>218.089522310499</v>
      </c>
      <c r="O234" s="25" t="n">
        <f aca="false">datos_base!$I$10*parametros_recargas!$Q$44</f>
        <v>219.418163188218</v>
      </c>
      <c r="P234" s="7" t="n">
        <f aca="false">SUM(D234:O234)</f>
        <v>2547.07374520378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4" t="n">
        <f aca="false">parametros_recargas!C60</f>
        <v>1</v>
      </c>
      <c r="D235" s="25" t="n">
        <f aca="false">datos_base!$I$11*parametros_recargas!$F$44</f>
        <v>1125.092924445</v>
      </c>
      <c r="E235" s="25" t="n">
        <f aca="false">datos_base!$I$11*parametros_recargas!$G$44</f>
        <v>1131.94719435588</v>
      </c>
      <c r="F235" s="25" t="n">
        <f aca="false">datos_base!$I$11*parametros_recargas!$H$44</f>
        <v>1138.84322172073</v>
      </c>
      <c r="G235" s="25" t="n">
        <f aca="false">datos_base!$I$11*parametros_recargas!$I$44</f>
        <v>1145.78126093353</v>
      </c>
      <c r="H235" s="25" t="n">
        <f aca="false">datos_base!$I$11*parametros_recargas!$J$44</f>
        <v>1152.76156793807</v>
      </c>
      <c r="I235" s="25" t="n">
        <f aca="false">datos_base!$I$11*parametros_recargas!$K$44</f>
        <v>1159.78440023739</v>
      </c>
      <c r="J235" s="25" t="n">
        <f aca="false">datos_base!$I$11*parametros_recargas!$L$44</f>
        <v>1166.85001690329</v>
      </c>
      <c r="K235" s="25" t="n">
        <f aca="false">datos_base!$I$11*parametros_recargas!$M$44</f>
        <v>1173.95867858589</v>
      </c>
      <c r="L235" s="25" t="n">
        <f aca="false">datos_base!$I$11*parametros_recargas!$N$44</f>
        <v>1181.11064752322</v>
      </c>
      <c r="M235" s="25" t="n">
        <f aca="false">datos_base!$I$11*parametros_recargas!$O$44</f>
        <v>1188.30618755092</v>
      </c>
      <c r="N235" s="25" t="n">
        <f aca="false">datos_base!$I$11*parametros_recargas!$P$44</f>
        <v>1195.54556411198</v>
      </c>
      <c r="O235" s="25" t="n">
        <f aca="false">datos_base!$I$11*parametros_recargas!$Q$44</f>
        <v>1202.82904426649</v>
      </c>
      <c r="P235" s="7" t="n">
        <f aca="false">SUM(D235:O235)</f>
        <v>13962.8107085724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4" t="n">
        <f aca="false">parametros_recargas!C61</f>
        <v>1</v>
      </c>
      <c r="D236" s="25" t="n">
        <f aca="false">datos_base!$I$12*parametros_recargas!$F$44</f>
        <v>379.010736277131</v>
      </c>
      <c r="E236" s="25" t="n">
        <f aca="false">datos_base!$I$12*parametros_recargas!$G$44</f>
        <v>381.319738341866</v>
      </c>
      <c r="F236" s="25" t="n">
        <f aca="false">datos_base!$I$12*parametros_recargas!$H$44</f>
        <v>383.642807265465</v>
      </c>
      <c r="G236" s="25" t="n">
        <f aca="false">datos_base!$I$12*parametros_recargas!$I$44</f>
        <v>385.98002874578</v>
      </c>
      <c r="H236" s="25" t="n">
        <f aca="false">datos_base!$I$12*parametros_recargas!$J$44</f>
        <v>388.33148900275</v>
      </c>
      <c r="I236" s="25" t="n">
        <f aca="false">datos_base!$I$12*parametros_recargas!$K$44</f>
        <v>390.697274781583</v>
      </c>
      <c r="J236" s="25" t="n">
        <f aca="false">datos_base!$I$12*parametros_recargas!$L$44</f>
        <v>393.077473355951</v>
      </c>
      <c r="K236" s="25" t="n">
        <f aca="false">datos_base!$I$12*parametros_recargas!$M$44</f>
        <v>395.472172531217</v>
      </c>
      <c r="L236" s="25" t="n">
        <f aca="false">datos_base!$I$12*parametros_recargas!$N$44</f>
        <v>397.881460647669</v>
      </c>
      <c r="M236" s="25" t="n">
        <f aca="false">datos_base!$I$12*parametros_recargas!$O$44</f>
        <v>400.305426583778</v>
      </c>
      <c r="N236" s="25" t="n">
        <f aca="false">datos_base!$I$12*parametros_recargas!$P$44</f>
        <v>402.744159759481</v>
      </c>
      <c r="O236" s="25" t="n">
        <f aca="false">datos_base!$I$12*parametros_recargas!$Q$44</f>
        <v>405.197750139477</v>
      </c>
      <c r="P236" s="7" t="n">
        <f aca="false">SUM(D236:O236)</f>
        <v>4703.66051743215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4" t="n">
        <f aca="false">parametros_recargas!C62</f>
        <v>1</v>
      </c>
      <c r="D237" s="25" t="n">
        <f aca="false">datos_base!$I$13*parametros_recargas!$F$44</f>
        <v>61.495183100698</v>
      </c>
      <c r="E237" s="25" t="n">
        <f aca="false">datos_base!$I$13*parametros_recargas!$G$44</f>
        <v>61.8698228962498</v>
      </c>
      <c r="F237" s="25" t="n">
        <f aca="false">datos_base!$I$13*parametros_recargas!$H$44</f>
        <v>62.2467450653036</v>
      </c>
      <c r="G237" s="25" t="n">
        <f aca="false">datos_base!$I$13*parametros_recargas!$I$44</f>
        <v>62.6259635124923</v>
      </c>
      <c r="H237" s="25" t="n">
        <f aca="false">datos_base!$I$13*parametros_recargas!$J$44</f>
        <v>63.0074922271582</v>
      </c>
      <c r="I237" s="25" t="n">
        <f aca="false">datos_base!$I$13*parametros_recargas!$K$44</f>
        <v>63.3913452838693</v>
      </c>
      <c r="J237" s="25" t="n">
        <f aca="false">datos_base!$I$13*parametros_recargas!$L$44</f>
        <v>63.7775368429385</v>
      </c>
      <c r="K237" s="25" t="n">
        <f aca="false">datos_base!$I$13*parametros_recargas!$M$44</f>
        <v>64.1660811509456</v>
      </c>
      <c r="L237" s="25" t="n">
        <f aca="false">datos_base!$I$13*parametros_recargas!$N$44</f>
        <v>64.5569925412636</v>
      </c>
      <c r="M237" s="25" t="n">
        <f aca="false">datos_base!$I$13*parametros_recargas!$O$44</f>
        <v>64.9502854345865</v>
      </c>
      <c r="N237" s="25" t="n">
        <f aca="false">datos_base!$I$13*parametros_recargas!$P$44</f>
        <v>65.3459743394622</v>
      </c>
      <c r="O237" s="25" t="n">
        <f aca="false">datos_base!$I$13*parametros_recargas!$Q$44</f>
        <v>65.744073852827</v>
      </c>
      <c r="P237" s="7" t="n">
        <f aca="false">SUM(D237:O237)</f>
        <v>763.177496247795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4" t="n">
        <f aca="false">parametros_recargas!C63</f>
        <v>1</v>
      </c>
      <c r="D238" s="25" t="n">
        <f aca="false">datos_base!$I$14*parametros_recargas!$F$44</f>
        <v>21.043041805602</v>
      </c>
      <c r="E238" s="25" t="n">
        <f aca="false">datos_base!$I$14*parametros_recargas!$G$44</f>
        <v>21.1712398283143</v>
      </c>
      <c r="F238" s="25" t="n">
        <f aca="false">datos_base!$I$14*parametros_recargas!$H$44</f>
        <v>21.3002188566045</v>
      </c>
      <c r="G238" s="25" t="n">
        <f aca="false">datos_base!$I$14*parametros_recargas!$I$44</f>
        <v>21.4299836485001</v>
      </c>
      <c r="H238" s="25" t="n">
        <f aca="false">datos_base!$I$14*parametros_recargas!$J$44</f>
        <v>21.5605389910154</v>
      </c>
      <c r="I238" s="25" t="n">
        <f aca="false">datos_base!$I$14*parametros_recargas!$K$44</f>
        <v>21.691889700328</v>
      </c>
      <c r="J238" s="25" t="n">
        <f aca="false">datos_base!$I$14*parametros_recargas!$L$44</f>
        <v>21.8240406219563</v>
      </c>
      <c r="K238" s="25" t="n">
        <f aca="false">datos_base!$I$14*parametros_recargas!$M$44</f>
        <v>21.9569966309389</v>
      </c>
      <c r="L238" s="25" t="n">
        <f aca="false">datos_base!$I$14*parametros_recargas!$N$44</f>
        <v>22.0907626320138</v>
      </c>
      <c r="M238" s="25" t="n">
        <f aca="false">datos_base!$I$14*parametros_recargas!$O$44</f>
        <v>22.2253435597994</v>
      </c>
      <c r="N238" s="25" t="n">
        <f aca="false">datos_base!$I$14*parametros_recargas!$P$44</f>
        <v>22.3607443789771</v>
      </c>
      <c r="O238" s="25" t="n">
        <f aca="false">datos_base!$I$14*parametros_recargas!$Q$44</f>
        <v>22.4969700844735</v>
      </c>
      <c r="P238" s="7" t="n">
        <f aca="false">SUM(D238:O238)</f>
        <v>261.151770738523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4" t="n">
        <f aca="false">parametros_recargas!C64</f>
        <v>3</v>
      </c>
      <c r="D239" s="25" t="n">
        <f aca="false">datos_base!$I$15*parametros_recargas!$F$44</f>
        <v>51.0251113606959</v>
      </c>
      <c r="E239" s="25" t="n">
        <f aca="false">datos_base!$I$15*parametros_recargas!$G$44</f>
        <v>51.3359655825116</v>
      </c>
      <c r="F239" s="25" t="n">
        <f aca="false">datos_base!$I$15*parametros_recargas!$H$44</f>
        <v>51.6487135845591</v>
      </c>
      <c r="G239" s="25" t="n">
        <f aca="false">datos_base!$I$15*parametros_recargas!$I$44</f>
        <v>51.9633669040905</v>
      </c>
      <c r="H239" s="25" t="n">
        <f aca="false">datos_base!$I$15*parametros_recargas!$J$44</f>
        <v>52.2799371486454</v>
      </c>
      <c r="I239" s="25" t="n">
        <f aca="false">datos_base!$I$15*parametros_recargas!$K$44</f>
        <v>52.598435996478</v>
      </c>
      <c r="J239" s="25" t="n">
        <f aca="false">datos_base!$I$15*parametros_recargas!$L$44</f>
        <v>52.918875196989</v>
      </c>
      <c r="K239" s="25" t="n">
        <f aca="false">datos_base!$I$15*parametros_recargas!$M$44</f>
        <v>53.2412665711583</v>
      </c>
      <c r="L239" s="25" t="n">
        <f aca="false">datos_base!$I$15*parametros_recargas!$N$44</f>
        <v>53.5656220119816</v>
      </c>
      <c r="M239" s="25" t="n">
        <f aca="false">datos_base!$I$15*parametros_recargas!$O$44</f>
        <v>53.8919534849087</v>
      </c>
      <c r="N239" s="25" t="n">
        <f aca="false">datos_base!$I$15*parametros_recargas!$P$44</f>
        <v>54.2202730282852</v>
      </c>
      <c r="O239" s="25" t="n">
        <f aca="false">datos_base!$I$15*parametros_recargas!$Q$44</f>
        <v>54.5505927537963</v>
      </c>
      <c r="P239" s="7" t="n">
        <f aca="false">SUM(D239:O239)</f>
        <v>633.2401136241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4" t="n">
        <f aca="false">parametros_recargas!C65</f>
        <v>3</v>
      </c>
      <c r="D240" s="25" t="n">
        <f aca="false">datos_base!$I$16*parametros_recargas!$F$44</f>
        <v>112.25524497059</v>
      </c>
      <c r="E240" s="25" t="n">
        <f aca="false">datos_base!$I$16*parametros_recargas!$G$44</f>
        <v>112.939124258445</v>
      </c>
      <c r="F240" s="25" t="n">
        <f aca="false">datos_base!$I$16*parametros_recargas!$H$44</f>
        <v>113.627169862809</v>
      </c>
      <c r="G240" s="25" t="n">
        <f aca="false">datos_base!$I$16*parametros_recargas!$I$44</f>
        <v>114.319407165636</v>
      </c>
      <c r="H240" s="25" t="n">
        <f aca="false">datos_base!$I$16*parametros_recargas!$J$44</f>
        <v>115.015861703515</v>
      </c>
      <c r="I240" s="25" t="n">
        <f aca="false">datos_base!$I$16*parametros_recargas!$K$44</f>
        <v>115.716559168603</v>
      </c>
      <c r="J240" s="25" t="n">
        <f aca="false">datos_base!$I$16*parametros_recargas!$L$44</f>
        <v>116.421525409583</v>
      </c>
      <c r="K240" s="25" t="n">
        <f aca="false">datos_base!$I$16*parametros_recargas!$M$44</f>
        <v>117.130786432611</v>
      </c>
      <c r="L240" s="25" t="n">
        <f aca="false">datos_base!$I$16*parametros_recargas!$N$44</f>
        <v>117.844368402276</v>
      </c>
      <c r="M240" s="25" t="n">
        <f aca="false">datos_base!$I$16*parametros_recargas!$O$44</f>
        <v>118.562297642569</v>
      </c>
      <c r="N240" s="25" t="n">
        <f aca="false">datos_base!$I$16*parametros_recargas!$P$44</f>
        <v>119.28460063785</v>
      </c>
      <c r="O240" s="25" t="n">
        <f aca="false">datos_base!$I$16*parametros_recargas!$Q$44</f>
        <v>120.011304033826</v>
      </c>
      <c r="P240" s="7" t="n">
        <f aca="false">SUM(D240:O240)</f>
        <v>1393.12824968831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4" t="n">
        <f aca="false">parametros_recargas!C66</f>
        <v>3</v>
      </c>
      <c r="D241" s="25" t="n">
        <f aca="false">datos_base!$I$17*parametros_recargas!$F$44</f>
        <v>24.4920534324872</v>
      </c>
      <c r="E241" s="25" t="n">
        <f aca="false">datos_base!$I$17*parametros_recargas!$G$44</f>
        <v>24.6412634588329</v>
      </c>
      <c r="F241" s="25" t="n">
        <f aca="false">datos_base!$I$17*parametros_recargas!$H$44</f>
        <v>24.7913824996892</v>
      </c>
      <c r="G241" s="25" t="n">
        <f aca="false">datos_base!$I$17*parametros_recargas!$I$44</f>
        <v>24.942416092937</v>
      </c>
      <c r="H241" s="25" t="n">
        <f aca="false">datos_base!$I$17*parametros_recargas!$J$44</f>
        <v>25.0943698101952</v>
      </c>
      <c r="I241" s="25" t="n">
        <f aca="false">datos_base!$I$17*parametros_recargas!$K$44</f>
        <v>25.247249257026</v>
      </c>
      <c r="J241" s="25" t="n">
        <f aca="false">datos_base!$I$17*parametros_recargas!$L$44</f>
        <v>25.4010600731416</v>
      </c>
      <c r="K241" s="25" t="n">
        <f aca="false">datos_base!$I$17*parametros_recargas!$M$44</f>
        <v>25.5558079326124</v>
      </c>
      <c r="L241" s="25" t="n">
        <f aca="false">datos_base!$I$17*parametros_recargas!$N$44</f>
        <v>25.7114985440763</v>
      </c>
      <c r="M241" s="25" t="n">
        <f aca="false">datos_base!$I$17*parametros_recargas!$O$44</f>
        <v>25.8681376509493</v>
      </c>
      <c r="N241" s="25" t="n">
        <f aca="false">datos_base!$I$17*parametros_recargas!$P$44</f>
        <v>26.0257310316371</v>
      </c>
      <c r="O241" s="25" t="n">
        <f aca="false">datos_base!$I$17*parametros_recargas!$Q$44</f>
        <v>26.1842844997488</v>
      </c>
      <c r="P241" s="7" t="n">
        <f aca="false">SUM(D241:O241)</f>
        <v>303.955254283333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4" t="n">
        <f aca="false">parametros_recargas!C67</f>
        <v>3</v>
      </c>
      <c r="D242" s="25" t="n">
        <f aca="false">datos_base!$I$18*parametros_recargas!$F$44</f>
        <v>16.3280356216581</v>
      </c>
      <c r="E242" s="25" t="n">
        <f aca="false">datos_base!$I$18*parametros_recargas!$G$44</f>
        <v>16.4275089725553</v>
      </c>
      <c r="F242" s="25" t="n">
        <f aca="false">datos_base!$I$18*parametros_recargas!$H$44</f>
        <v>16.5275883331261</v>
      </c>
      <c r="G242" s="25" t="n">
        <f aca="false">datos_base!$I$18*parametros_recargas!$I$44</f>
        <v>16.6282773952913</v>
      </c>
      <c r="H242" s="25" t="n">
        <f aca="false">datos_base!$I$18*parametros_recargas!$J$44</f>
        <v>16.7295798734634</v>
      </c>
      <c r="I242" s="25" t="n">
        <f aca="false">datos_base!$I$18*parametros_recargas!$K$44</f>
        <v>16.831499504684</v>
      </c>
      <c r="J242" s="25" t="n">
        <f aca="false">datos_base!$I$18*parametros_recargas!$L$44</f>
        <v>16.934040048761</v>
      </c>
      <c r="K242" s="25" t="n">
        <f aca="false">datos_base!$I$18*parametros_recargas!$M$44</f>
        <v>17.0372052884083</v>
      </c>
      <c r="L242" s="25" t="n">
        <f aca="false">datos_base!$I$18*parametros_recargas!$N$44</f>
        <v>17.1409990293842</v>
      </c>
      <c r="M242" s="25" t="n">
        <f aca="false">datos_base!$I$18*parametros_recargas!$O$44</f>
        <v>17.2454251006329</v>
      </c>
      <c r="N242" s="25" t="n">
        <f aca="false">datos_base!$I$18*parametros_recargas!$P$44</f>
        <v>17.3504873544248</v>
      </c>
      <c r="O242" s="25" t="n">
        <f aca="false">datos_base!$I$18*parametros_recargas!$Q$44</f>
        <v>17.4561896664992</v>
      </c>
      <c r="P242" s="7" t="n">
        <f aca="false">SUM(D242:O242)</f>
        <v>202.636836188889</v>
      </c>
    </row>
    <row r="243" customFormat="false" ht="15" hidden="false" customHeight="false" outlineLevel="0" collapsed="false">
      <c r="A243" s="6" t="s">
        <v>272</v>
      </c>
      <c r="D243" s="7" t="n">
        <f aca="false">SUM(D226:D242)</f>
        <v>18502.5714955382</v>
      </c>
      <c r="E243" s="7" t="n">
        <f aca="false">SUM(E226:E242)</f>
        <v>18615.2925129051</v>
      </c>
      <c r="F243" s="7" t="n">
        <f aca="false">SUM(F226:F242)</f>
        <v>18728.7002471296</v>
      </c>
      <c r="G243" s="7" t="n">
        <f aca="false">SUM(G226:G242)</f>
        <v>18842.7988818152</v>
      </c>
      <c r="H243" s="7" t="n">
        <f aca="false">SUM(H226:H242)</f>
        <v>18957.5926260528</v>
      </c>
      <c r="I243" s="7" t="n">
        <f aca="false">SUM(I226:I242)</f>
        <v>19073.0857145757</v>
      </c>
      <c r="J243" s="7" t="n">
        <f aca="false">SUM(J226:J242)</f>
        <v>19189.2824079159</v>
      </c>
      <c r="K243" s="7" t="n">
        <f aca="false">SUM(K226:K242)</f>
        <v>19306.1869925614</v>
      </c>
      <c r="L243" s="7" t="n">
        <f aca="false">SUM(L226:L242)</f>
        <v>19423.8037811143</v>
      </c>
      <c r="M243" s="7" t="n">
        <f aca="false">SUM(M226:M242)</f>
        <v>19542.1371124499</v>
      </c>
      <c r="N243" s="7" t="n">
        <f aca="false">SUM(N226:N242)</f>
        <v>19661.1913518765</v>
      </c>
      <c r="O243" s="7" t="n">
        <f aca="false">SUM(O226:O242)</f>
        <v>19780.9708912968</v>
      </c>
      <c r="P243" s="7" t="n">
        <f aca="false">SUM(P226:P242)</f>
        <v>229623.614015231</v>
      </c>
    </row>
    <row r="244" customFormat="false" ht="15" hidden="false" customHeight="false" outlineLevel="0" collapsed="false">
      <c r="A244" s="6" t="s">
        <v>273</v>
      </c>
    </row>
    <row r="245" customFormat="false" ht="15" hidden="false" customHeight="false" outlineLevel="0" collapsed="false">
      <c r="A245" s="4" t="s">
        <v>143</v>
      </c>
      <c r="D245" s="25" t="n">
        <f aca="false">SUMPRODUCT(($B$226:$B$242=$A245)*D$226:D$242*$C$226:$C$242)</f>
        <v>16560.2221831474</v>
      </c>
      <c r="E245" s="25" t="n">
        <f aca="false">SUMPRODUCT(($B$226:$B$242=$A245)*E$226:E$242*$C$226:$C$242)</f>
        <v>16661.1100566387</v>
      </c>
      <c r="F245" s="25" t="n">
        <f aca="false">SUMPRODUCT(($B$226:$B$242=$A245)*F$226:F$242*$C$226:$C$242)</f>
        <v>16762.6125573316</v>
      </c>
      <c r="G245" s="25" t="n">
        <f aca="false">SUMPRODUCT(($B$226:$B$242=$A245)*G$226:G$242*$C$226:$C$242)</f>
        <v>16864.7334296462</v>
      </c>
      <c r="H245" s="25" t="n">
        <f aca="false">SUMPRODUCT(($B$226:$B$242=$A245)*H$226:H$242*$C$226:$C$242)</f>
        <v>16967.4764408146</v>
      </c>
      <c r="I245" s="25" t="n">
        <f aca="false">SUMPRODUCT(($B$226:$B$242=$A245)*I$226:I$242*$C$226:$C$242)</f>
        <v>17070.8453810194</v>
      </c>
      <c r="J245" s="25" t="n">
        <f aca="false">SUMPRODUCT(($B$226:$B$242=$A245)*J$226:J$242*$C$226:$C$242)</f>
        <v>17174.8440635336</v>
      </c>
      <c r="K245" s="25" t="n">
        <f aca="false">SUMPRODUCT(($B$226:$B$242=$A245)*K$226:K$242*$C$226:$C$242)</f>
        <v>17279.4763248614</v>
      </c>
      <c r="L245" s="25" t="n">
        <f aca="false">SUMPRODUCT(($B$226:$B$242=$A245)*L$226:L$242*$C$226:$C$242)</f>
        <v>17384.7460248798</v>
      </c>
      <c r="M245" s="25" t="n">
        <f aca="false">SUMPRODUCT(($B$226:$B$242=$A245)*M$226:M$242*$C$226:$C$242)</f>
        <v>17490.6570469808</v>
      </c>
      <c r="N245" s="25" t="n">
        <f aca="false">SUMPRODUCT(($B$226:$B$242=$A245)*N$226:N$242*$C$226:$C$242)</f>
        <v>17597.2132982146</v>
      </c>
      <c r="O245" s="25" t="n">
        <f aca="false">SUMPRODUCT(($B$226:$B$242=$A245)*O$226:O$242*$C$226:$C$242)</f>
        <v>17704.418709434</v>
      </c>
      <c r="P245" s="25" t="n">
        <f aca="false">SUMPRODUCT(($B$226:$B$242=$A245)*P$226:P$242*$C$226:$C$242)</f>
        <v>205518.355516502</v>
      </c>
    </row>
    <row r="246" customFormat="false" ht="15" hidden="false" customHeight="false" outlineLevel="0" collapsed="false">
      <c r="A246" s="4" t="s">
        <v>149</v>
      </c>
      <c r="D246" s="25" t="n">
        <f aca="false">SUMPRODUCT(($B$226:$B$242=$A246)*D$226:D$242*$C$226:$C$242)</f>
        <v>23.423215107637</v>
      </c>
      <c r="E246" s="25" t="n">
        <f aca="false">SUMPRODUCT(($B$226:$B$242=$A246)*E$226:E$242*$C$226:$C$242)</f>
        <v>23.5659135772833</v>
      </c>
      <c r="F246" s="25" t="n">
        <f aca="false">SUMPRODUCT(($B$226:$B$242=$A246)*F$226:F$242*$C$226:$C$242)</f>
        <v>23.7094813918572</v>
      </c>
      <c r="G246" s="25" t="n">
        <f aca="false">SUMPRODUCT(($B$226:$B$242=$A246)*G$226:G$242*$C$226:$C$242)</f>
        <v>23.8539238475653</v>
      </c>
      <c r="H246" s="25" t="n">
        <f aca="false">SUMPRODUCT(($B$226:$B$242=$A246)*H$226:H$242*$C$226:$C$242)</f>
        <v>23.9992462728799</v>
      </c>
      <c r="I246" s="25" t="n">
        <f aca="false">SUMPRODUCT(($B$226:$B$242=$A246)*I$226:I$242*$C$226:$C$242)</f>
        <v>24.1454540287352</v>
      </c>
      <c r="J246" s="25" t="n">
        <f aca="false">SUMPRODUCT(($B$226:$B$242=$A246)*J$226:J$242*$C$226:$C$242)</f>
        <v>24.2925525087254</v>
      </c>
      <c r="K246" s="25" t="n">
        <f aca="false">SUMPRODUCT(($B$226:$B$242=$A246)*K$226:K$242*$C$226:$C$242)</f>
        <v>24.4405471393032</v>
      </c>
      <c r="L246" s="25" t="n">
        <f aca="false">SUMPRODUCT(($B$226:$B$242=$A246)*L$226:L$242*$C$226:$C$242)</f>
        <v>24.5894433799803</v>
      </c>
      <c r="M246" s="25" t="n">
        <f aca="false">SUMPRODUCT(($B$226:$B$242=$A246)*M$226:M$242*$C$226:$C$242)</f>
        <v>24.7392467235287</v>
      </c>
      <c r="N246" s="25" t="n">
        <f aca="false">SUMPRODUCT(($B$226:$B$242=$A246)*N$226:N$242*$C$226:$C$242)</f>
        <v>24.8899626961835</v>
      </c>
      <c r="O246" s="25" t="n">
        <f aca="false">SUMPRODUCT(($B$226:$B$242=$A246)*O$226:O$242*$C$226:$C$242)</f>
        <v>25.0415968578466</v>
      </c>
      <c r="P246" s="25" t="n">
        <f aca="false">SUMPRODUCT(($B$226:$B$242=$A246)*P$226:P$242*$C$226:$C$242)</f>
        <v>290.690583531526</v>
      </c>
    </row>
    <row r="247" customFormat="false" ht="15" hidden="false" customHeight="false" outlineLevel="0" collapsed="false">
      <c r="A247" s="4" t="s">
        <v>155</v>
      </c>
      <c r="D247" s="25" t="n">
        <f aca="false">SUMPRODUCT(($B$226:$B$242=$A247)*D$226:D$242*$C$226:$C$242)</f>
        <v>21.043041805602</v>
      </c>
      <c r="E247" s="25" t="n">
        <f aca="false">SUMPRODUCT(($B$226:$B$242=$A247)*E$226:E$242*$C$226:$C$242)</f>
        <v>21.1712398283143</v>
      </c>
      <c r="F247" s="25" t="n">
        <f aca="false">SUMPRODUCT(($B$226:$B$242=$A247)*F$226:F$242*$C$226:$C$242)</f>
        <v>21.3002188566045</v>
      </c>
      <c r="G247" s="25" t="n">
        <f aca="false">SUMPRODUCT(($B$226:$B$242=$A247)*G$226:G$242*$C$226:$C$242)</f>
        <v>21.4299836485001</v>
      </c>
      <c r="H247" s="25" t="n">
        <f aca="false">SUMPRODUCT(($B$226:$B$242=$A247)*H$226:H$242*$C$226:$C$242)</f>
        <v>21.5605389910154</v>
      </c>
      <c r="I247" s="25" t="n">
        <f aca="false">SUMPRODUCT(($B$226:$B$242=$A247)*I$226:I$242*$C$226:$C$242)</f>
        <v>21.691889700328</v>
      </c>
      <c r="J247" s="25" t="n">
        <f aca="false">SUMPRODUCT(($B$226:$B$242=$A247)*J$226:J$242*$C$226:$C$242)</f>
        <v>21.8240406219563</v>
      </c>
      <c r="K247" s="25" t="n">
        <f aca="false">SUMPRODUCT(($B$226:$B$242=$A247)*K$226:K$242*$C$226:$C$242)</f>
        <v>21.9569966309389</v>
      </c>
      <c r="L247" s="25" t="n">
        <f aca="false">SUMPRODUCT(($B$226:$B$242=$A247)*L$226:L$242*$C$226:$C$242)</f>
        <v>22.0907626320138</v>
      </c>
      <c r="M247" s="25" t="n">
        <f aca="false">SUMPRODUCT(($B$226:$B$242=$A247)*M$226:M$242*$C$226:$C$242)</f>
        <v>22.2253435597994</v>
      </c>
      <c r="N247" s="25" t="n">
        <f aca="false">SUMPRODUCT(($B$226:$B$242=$A247)*N$226:N$242*$C$226:$C$242)</f>
        <v>22.3607443789771</v>
      </c>
      <c r="O247" s="25" t="n">
        <f aca="false">SUMPRODUCT(($B$226:$B$242=$A247)*O$226:O$242*$C$226:$C$242)</f>
        <v>22.4969700844735</v>
      </c>
      <c r="P247" s="25" t="n">
        <f aca="false">SUMPRODUCT(($B$226:$B$242=$A247)*P$226:P$242*$C$226:$C$242)</f>
        <v>261.151770738523</v>
      </c>
    </row>
    <row r="248" customFormat="false" ht="15" hidden="false" customHeight="false" outlineLevel="0" collapsed="false">
      <c r="A248" s="4" t="s">
        <v>146</v>
      </c>
      <c r="D248" s="25" t="n">
        <f aca="false">SUMPRODUCT(($B$226:$B$242=$A248)*D$226:D$242*$C$226:$C$242)</f>
        <v>416.941276460695</v>
      </c>
      <c r="E248" s="25" t="n">
        <f aca="false">SUMPRODUCT(($B$226:$B$242=$A248)*E$226:E$242*$C$226:$C$242)</f>
        <v>419.4813582475</v>
      </c>
      <c r="F248" s="25" t="n">
        <f aca="false">SUMPRODUCT(($B$226:$B$242=$A248)*F$226:F$242*$C$226:$C$242)</f>
        <v>422.036914672697</v>
      </c>
      <c r="G248" s="25" t="n">
        <f aca="false">SUMPRODUCT(($B$226:$B$242=$A248)*G$226:G$242*$C$226:$C$242)</f>
        <v>424.608040010585</v>
      </c>
      <c r="H248" s="25" t="n">
        <f aca="false">SUMPRODUCT(($B$226:$B$242=$A248)*H$226:H$242*$C$226:$C$242)</f>
        <v>427.194829109801</v>
      </c>
      <c r="I248" s="25" t="n">
        <f aca="false">SUMPRODUCT(($B$226:$B$242=$A248)*I$226:I$242*$C$226:$C$242)</f>
        <v>429.797377396818</v>
      </c>
      <c r="J248" s="25" t="n">
        <f aca="false">SUMPRODUCT(($B$226:$B$242=$A248)*J$226:J$242*$C$226:$C$242)</f>
        <v>432.415780879461</v>
      </c>
      <c r="K248" s="25" t="n">
        <f aca="false">SUMPRODUCT(($B$226:$B$242=$A248)*K$226:K$242*$C$226:$C$242)</f>
        <v>435.050136150455</v>
      </c>
      <c r="L248" s="25" t="n">
        <f aca="false">SUMPRODUCT(($B$226:$B$242=$A248)*L$226:L$242*$C$226:$C$242)</f>
        <v>437.700540390983</v>
      </c>
      <c r="M248" s="25" t="n">
        <f aca="false">SUMPRODUCT(($B$226:$B$242=$A248)*M$226:M$242*$C$226:$C$242)</f>
        <v>440.367091374277</v>
      </c>
      <c r="N248" s="25" t="n">
        <f aca="false">SUMPRODUCT(($B$226:$B$242=$A248)*N$226:N$242*$C$226:$C$242)</f>
        <v>443.049887469217</v>
      </c>
      <c r="O248" s="25" t="n">
        <f aca="false">SUMPRODUCT(($B$226:$B$242=$A248)*O$226:O$242*$C$226:$C$242)</f>
        <v>445.749027643967</v>
      </c>
      <c r="P248" s="25" t="n">
        <f aca="false">SUMPRODUCT(($B$226:$B$242=$A248)*P$226:P$242*$C$226:$C$242)</f>
        <v>5174.39225980646</v>
      </c>
    </row>
    <row r="249" customFormat="false" ht="15" hidden="false" customHeight="false" outlineLevel="0" collapsed="false">
      <c r="A249" s="4" t="s">
        <v>147</v>
      </c>
      <c r="D249" s="25" t="n">
        <f aca="false">SUMPRODUCT(($B$226:$B$242=$A249)*D$226:D$242*$C$226:$C$242)</f>
        <v>199.881630725456</v>
      </c>
      <c r="E249" s="25" t="n">
        <f aca="false">SUMPRODUCT(($B$226:$B$242=$A249)*E$226:E$242*$C$226:$C$242)</f>
        <v>201.099345829205</v>
      </c>
      <c r="F249" s="25" t="n">
        <f aca="false">SUMPRODUCT(($B$226:$B$242=$A249)*F$226:F$242*$C$226:$C$242)</f>
        <v>202.32447947396</v>
      </c>
      <c r="G249" s="25" t="n">
        <f aca="false">SUMPRODUCT(($B$226:$B$242=$A249)*G$226:G$242*$C$226:$C$242)</f>
        <v>203.557076854817</v>
      </c>
      <c r="H249" s="25" t="n">
        <f aca="false">SUMPRODUCT(($B$226:$B$242=$A249)*H$226:H$242*$C$226:$C$242)</f>
        <v>204.797183442209</v>
      </c>
      <c r="I249" s="25" t="n">
        <f aca="false">SUMPRODUCT(($B$226:$B$242=$A249)*I$226:I$242*$C$226:$C$242)</f>
        <v>206.044844983581</v>
      </c>
      <c r="J249" s="25" t="n">
        <f aca="false">SUMPRODUCT(($B$226:$B$242=$A249)*J$226:J$242*$C$226:$C$242)</f>
        <v>207.300107505082</v>
      </c>
      <c r="K249" s="25" t="n">
        <f aca="false">SUMPRODUCT(($B$226:$B$242=$A249)*K$226:K$242*$C$226:$C$242)</f>
        <v>208.563017313259</v>
      </c>
      <c r="L249" s="25" t="n">
        <f aca="false">SUMPRODUCT(($B$226:$B$242=$A249)*L$226:L$242*$C$226:$C$242)</f>
        <v>209.83362099677</v>
      </c>
      <c r="M249" s="25" t="n">
        <f aca="false">SUMPRODUCT(($B$226:$B$242=$A249)*M$226:M$242*$C$226:$C$242)</f>
        <v>211.111965428096</v>
      </c>
      <c r="N249" s="25" t="n">
        <f aca="false">SUMPRODUCT(($B$226:$B$242=$A249)*N$226:N$242*$C$226:$C$242)</f>
        <v>212.398097765274</v>
      </c>
      <c r="O249" s="25" t="n">
        <f aca="false">SUMPRODUCT(($B$226:$B$242=$A249)*O$226:O$242*$C$226:$C$242)</f>
        <v>213.692065453639</v>
      </c>
      <c r="P249" s="25" t="n">
        <f aca="false">SUMPRODUCT(($B$226:$B$242=$A249)*P$226:P$242*$C$226:$C$242)</f>
        <v>2480.60343577135</v>
      </c>
    </row>
    <row r="250" customFormat="false" ht="15" hidden="false" customHeight="false" outlineLevel="0" collapsed="false">
      <c r="A250" s="4" t="s">
        <v>150</v>
      </c>
      <c r="D250" s="25" t="n">
        <f aca="false">SUMPRODUCT(($B$226:$B$242=$A250)*D$226:D$242*$C$226:$C$242)</f>
        <v>205.237663718311</v>
      </c>
      <c r="E250" s="25" t="n">
        <f aca="false">SUMPRODUCT(($B$226:$B$242=$A250)*E$226:E$242*$C$226:$C$242)</f>
        <v>206.48800874532</v>
      </c>
      <c r="F250" s="25" t="n">
        <f aca="false">SUMPRODUCT(($B$226:$B$242=$A250)*F$226:F$242*$C$226:$C$242)</f>
        <v>207.745971100738</v>
      </c>
      <c r="G250" s="25" t="n">
        <f aca="false">SUMPRODUCT(($B$226:$B$242=$A250)*G$226:G$242*$C$226:$C$242)</f>
        <v>209.011597190711</v>
      </c>
      <c r="H250" s="25" t="n">
        <f aca="false">SUMPRODUCT(($B$226:$B$242=$A250)*H$226:H$242*$C$226:$C$242)</f>
        <v>210.284933704097</v>
      </c>
      <c r="I250" s="25" t="n">
        <f aca="false">SUMPRODUCT(($B$226:$B$242=$A250)*I$226:I$242*$C$226:$C$242)</f>
        <v>211.566027614192</v>
      </c>
      <c r="J250" s="25" t="n">
        <f aca="false">SUMPRODUCT(($B$226:$B$242=$A250)*J$226:J$242*$C$226:$C$242)</f>
        <v>212.854926180464</v>
      </c>
      <c r="K250" s="25" t="n">
        <f aca="false">SUMPRODUCT(($B$226:$B$242=$A250)*K$226:K$242*$C$226:$C$242)</f>
        <v>214.15167695029</v>
      </c>
      <c r="L250" s="25" t="n">
        <f aca="false">SUMPRODUCT(($B$226:$B$242=$A250)*L$226:L$242*$C$226:$C$242)</f>
        <v>215.456327760718</v>
      </c>
      <c r="M250" s="25" t="n">
        <f aca="false">SUMPRODUCT(($B$226:$B$242=$A250)*M$226:M$242*$C$226:$C$242)</f>
        <v>216.768926740225</v>
      </c>
      <c r="N250" s="25" t="n">
        <f aca="false">SUMPRODUCT(($B$226:$B$242=$A250)*N$226:N$242*$C$226:$C$242)</f>
        <v>218.089522310499</v>
      </c>
      <c r="O250" s="25" t="n">
        <f aca="false">SUMPRODUCT(($B$226:$B$242=$A250)*O$226:O$242*$C$226:$C$242)</f>
        <v>219.418163188218</v>
      </c>
      <c r="P250" s="25" t="n">
        <f aca="false">SUMPRODUCT(($B$226:$B$242=$A250)*P$226:P$242*$C$226:$C$242)</f>
        <v>2547.07374520378</v>
      </c>
    </row>
    <row r="251" customFormat="false" ht="15" hidden="false" customHeight="false" outlineLevel="0" collapsed="false">
      <c r="A251" s="4" t="s">
        <v>151</v>
      </c>
      <c r="D251" s="25" t="n">
        <f aca="false">SUMPRODUCT(($B$226:$B$242=$A251)*D$226:D$242*$C$226:$C$242)</f>
        <v>1504.10366072213</v>
      </c>
      <c r="E251" s="25" t="n">
        <f aca="false">SUMPRODUCT(($B$226:$B$242=$A251)*E$226:E$242*$C$226:$C$242)</f>
        <v>1513.26693269774</v>
      </c>
      <c r="F251" s="25" t="n">
        <f aca="false">SUMPRODUCT(($B$226:$B$242=$A251)*F$226:F$242*$C$226:$C$242)</f>
        <v>1522.48602898619</v>
      </c>
      <c r="G251" s="25" t="n">
        <f aca="false">SUMPRODUCT(($B$226:$B$242=$A251)*G$226:G$242*$C$226:$C$242)</f>
        <v>1531.76128967931</v>
      </c>
      <c r="H251" s="25" t="n">
        <f aca="false">SUMPRODUCT(($B$226:$B$242=$A251)*H$226:H$242*$C$226:$C$242)</f>
        <v>1541.09305694082</v>
      </c>
      <c r="I251" s="25" t="n">
        <f aca="false">SUMPRODUCT(($B$226:$B$242=$A251)*I$226:I$242*$C$226:$C$242)</f>
        <v>1550.48167501897</v>
      </c>
      <c r="J251" s="25" t="n">
        <f aca="false">SUMPRODUCT(($B$226:$B$242=$A251)*J$226:J$242*$C$226:$C$242)</f>
        <v>1559.92749025924</v>
      </c>
      <c r="K251" s="25" t="n">
        <f aca="false">SUMPRODUCT(($B$226:$B$242=$A251)*K$226:K$242*$C$226:$C$242)</f>
        <v>1569.43085111711</v>
      </c>
      <c r="L251" s="25" t="n">
        <f aca="false">SUMPRODUCT(($B$226:$B$242=$A251)*L$226:L$242*$C$226:$C$242)</f>
        <v>1578.99210817089</v>
      </c>
      <c r="M251" s="25" t="n">
        <f aca="false">SUMPRODUCT(($B$226:$B$242=$A251)*M$226:M$242*$C$226:$C$242)</f>
        <v>1588.6116141347</v>
      </c>
      <c r="N251" s="25" t="n">
        <f aca="false">SUMPRODUCT(($B$226:$B$242=$A251)*N$226:N$242*$C$226:$C$242)</f>
        <v>1598.28972387146</v>
      </c>
      <c r="O251" s="25" t="n">
        <f aca="false">SUMPRODUCT(($B$226:$B$242=$A251)*O$226:O$242*$C$226:$C$242)</f>
        <v>1608.02679440596</v>
      </c>
      <c r="P251" s="25" t="n">
        <f aca="false">SUMPRODUCT(($B$226:$B$242=$A251)*P$226:P$242*$C$226:$C$242)</f>
        <v>18666.4712260045</v>
      </c>
    </row>
    <row r="252" customFormat="false" ht="15" hidden="false" customHeight="false" outlineLevel="0" collapsed="false">
      <c r="A252" s="4" t="s">
        <v>154</v>
      </c>
      <c r="D252" s="25" t="n">
        <f aca="false">SUMPRODUCT(($B$226:$B$242=$A252)*D$226:D$242*$C$226:$C$242)</f>
        <v>61.495183100698</v>
      </c>
      <c r="E252" s="25" t="n">
        <f aca="false">SUMPRODUCT(($B$226:$B$242=$A252)*E$226:E$242*$C$226:$C$242)</f>
        <v>61.8698228962498</v>
      </c>
      <c r="F252" s="25" t="n">
        <f aca="false">SUMPRODUCT(($B$226:$B$242=$A252)*F$226:F$242*$C$226:$C$242)</f>
        <v>62.2467450653036</v>
      </c>
      <c r="G252" s="25" t="n">
        <f aca="false">SUMPRODUCT(($B$226:$B$242=$A252)*G$226:G$242*$C$226:$C$242)</f>
        <v>62.6259635124923</v>
      </c>
      <c r="H252" s="25" t="n">
        <f aca="false">SUMPRODUCT(($B$226:$B$242=$A252)*H$226:H$242*$C$226:$C$242)</f>
        <v>63.0074922271582</v>
      </c>
      <c r="I252" s="25" t="n">
        <f aca="false">SUMPRODUCT(($B$226:$B$242=$A252)*I$226:I$242*$C$226:$C$242)</f>
        <v>63.3913452838693</v>
      </c>
      <c r="J252" s="25" t="n">
        <f aca="false">SUMPRODUCT(($B$226:$B$242=$A252)*J$226:J$242*$C$226:$C$242)</f>
        <v>63.7775368429385</v>
      </c>
      <c r="K252" s="25" t="n">
        <f aca="false">SUMPRODUCT(($B$226:$B$242=$A252)*K$226:K$242*$C$226:$C$242)</f>
        <v>64.1660811509456</v>
      </c>
      <c r="L252" s="25" t="n">
        <f aca="false">SUMPRODUCT(($B$226:$B$242=$A252)*L$226:L$242*$C$226:$C$242)</f>
        <v>64.5569925412636</v>
      </c>
      <c r="M252" s="25" t="n">
        <f aca="false">SUMPRODUCT(($B$226:$B$242=$A252)*M$226:M$242*$C$226:$C$242)</f>
        <v>64.9502854345865</v>
      </c>
      <c r="N252" s="25" t="n">
        <f aca="false">SUMPRODUCT(($B$226:$B$242=$A252)*N$226:N$242*$C$226:$C$242)</f>
        <v>65.3459743394622</v>
      </c>
      <c r="O252" s="25" t="n">
        <f aca="false">SUMPRODUCT(($B$226:$B$242=$A252)*O$226:O$242*$C$226:$C$242)</f>
        <v>65.744073852827</v>
      </c>
      <c r="P252" s="25" t="n">
        <f aca="false">SUMPRODUCT(($B$226:$B$242=$A252)*P$226:P$242*$C$226:$C$242)</f>
        <v>763.177496247795</v>
      </c>
    </row>
    <row r="253" customFormat="false" ht="15" hidden="false" customHeight="false" outlineLevel="0" collapsed="false">
      <c r="A253" s="6" t="s">
        <v>274</v>
      </c>
      <c r="D253" s="26" t="n">
        <f aca="false">SUMPRODUCT(D$226:D$242*parametros_recargas!$D$51:$D$67)</f>
        <v>623.898915902013</v>
      </c>
      <c r="E253" s="26" t="n">
        <f aca="false">SUMPRODUCT(E$226:E$242*parametros_recargas!$D$51:$D$67)</f>
        <v>627.699821119512</v>
      </c>
      <c r="F253" s="26" t="n">
        <f aca="false">SUMPRODUCT(F$226:F$242*parametros_recargas!$D$51:$D$67)</f>
        <v>631.523882140146</v>
      </c>
      <c r="G253" s="26" t="n">
        <f aca="false">SUMPRODUCT(G$226:G$242*parametros_recargas!$D$51:$D$67)</f>
        <v>635.371240033261</v>
      </c>
      <c r="H253" s="26" t="n">
        <f aca="false">SUMPRODUCT(H$226:H$242*parametros_recargas!$D$51:$D$67)</f>
        <v>639.242036727626</v>
      </c>
      <c r="I253" s="26" t="n">
        <f aca="false">SUMPRODUCT(I$226:I$242*parametros_recargas!$D$51:$D$67)</f>
        <v>643.136415016664</v>
      </c>
      <c r="J253" s="26" t="n">
        <f aca="false">SUMPRODUCT(J$226:J$242*parametros_recargas!$D$51:$D$67)</f>
        <v>647.05451856372</v>
      </c>
      <c r="K253" s="26" t="n">
        <f aca="false">SUMPRODUCT(K$226:K$242*parametros_recargas!$D$51:$D$67)</f>
        <v>650.996491907366</v>
      </c>
      <c r="L253" s="26" t="n">
        <f aca="false">SUMPRODUCT(L$226:L$242*parametros_recargas!$D$51:$D$67)</f>
        <v>654.962480466726</v>
      </c>
      <c r="M253" s="26" t="n">
        <f aca="false">SUMPRODUCT(M$226:M$242*parametros_recargas!$D$51:$D$67)</f>
        <v>658.952630546844</v>
      </c>
      <c r="N253" s="26" t="n">
        <f aca="false">SUMPRODUCT(N$226:N$242*parametros_recargas!$D$51:$D$67)</f>
        <v>662.967089344083</v>
      </c>
      <c r="O253" s="26" t="n">
        <f aca="false">SUMPRODUCT(O$226:O$242*parametros_recargas!$D$51:$D$67)</f>
        <v>667.006004951549</v>
      </c>
      <c r="P253" s="26" t="n">
        <f aca="false">SUMPRODUCT(P$226:P$242*parametros_recargas!$D$51:$D$67)</f>
        <v>7742.81152671951</v>
      </c>
    </row>
    <row r="257" customFormat="false" ht="15" hidden="false" customHeight="false" outlineLevel="0" collapsed="false">
      <c r="A257" s="23" t="n">
        <v>2034</v>
      </c>
      <c r="B257" s="3" t="s">
        <v>270</v>
      </c>
      <c r="C257" s="3" t="s">
        <v>271</v>
      </c>
      <c r="D257" s="3" t="s">
        <v>124</v>
      </c>
      <c r="E257" s="3" t="s">
        <v>125</v>
      </c>
      <c r="F257" s="3" t="s">
        <v>126</v>
      </c>
      <c r="G257" s="3" t="s">
        <v>127</v>
      </c>
      <c r="H257" s="3" t="s">
        <v>128</v>
      </c>
      <c r="I257" s="3" t="s">
        <v>129</v>
      </c>
      <c r="J257" s="3" t="s">
        <v>130</v>
      </c>
      <c r="K257" s="3" t="s">
        <v>131</v>
      </c>
      <c r="L257" s="3" t="s">
        <v>132</v>
      </c>
      <c r="M257" s="3" t="s">
        <v>133</v>
      </c>
      <c r="N257" s="3" t="s">
        <v>134</v>
      </c>
      <c r="O257" s="3" t="s">
        <v>135</v>
      </c>
      <c r="P257" s="3" t="s">
        <v>136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4" t="n">
        <f aca="false">parametros_recargas!C51</f>
        <v>1</v>
      </c>
      <c r="D258" s="25" t="n">
        <f aca="false">datos_base!$J$2*parametros_recargas!$F$45</f>
        <v>10552.5808167377</v>
      </c>
      <c r="E258" s="25" t="n">
        <f aca="false">datos_base!$J$2*parametros_recargas!$G$45</f>
        <v>10613.7072904393</v>
      </c>
      <c r="F258" s="25" t="n">
        <f aca="false">datos_base!$J$2*parametros_recargas!$H$45</f>
        <v>10675.1878430011</v>
      </c>
      <c r="G258" s="25" t="n">
        <f aca="false">datos_base!$J$2*parametros_recargas!$I$45</f>
        <v>10737.0245254467</v>
      </c>
      <c r="H258" s="25" t="n">
        <f aca="false">datos_base!$J$2*parametros_recargas!$J$45</f>
        <v>10799.2194006802</v>
      </c>
      <c r="I258" s="25" t="n">
        <f aca="false">datos_base!$J$2*parametros_recargas!$K$45</f>
        <v>10861.7745435555</v>
      </c>
      <c r="J258" s="25" t="n">
        <f aca="false">datos_base!$J$2*parametros_recargas!$L$45</f>
        <v>10924.6920409451</v>
      </c>
      <c r="K258" s="25" t="n">
        <f aca="false">datos_base!$J$2*parametros_recargas!$M$45</f>
        <v>10987.9739918097</v>
      </c>
      <c r="L258" s="25" t="n">
        <f aca="false">datos_base!$J$2*parametros_recargas!$N$45</f>
        <v>11051.6225072686</v>
      </c>
      <c r="M258" s="25" t="n">
        <f aca="false">datos_base!$J$2*parametros_recargas!$O$45</f>
        <v>11115.6397106697</v>
      </c>
      <c r="N258" s="25" t="n">
        <f aca="false">datos_base!$J$2*parametros_recargas!$P$45</f>
        <v>11180.0277376605</v>
      </c>
      <c r="O258" s="25" t="n">
        <f aca="false">datos_base!$J$2*parametros_recargas!$Q$45</f>
        <v>11244.7887362597</v>
      </c>
      <c r="P258" s="7" t="n">
        <f aca="false">SUM(D258:O258)</f>
        <v>130744.239144474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4" t="n">
        <f aca="false">parametros_recargas!C52</f>
        <v>1</v>
      </c>
      <c r="D259" s="25" t="n">
        <f aca="false">datos_base!$J$3*parametros_recargas!$F$45</f>
        <v>886.581220046256</v>
      </c>
      <c r="E259" s="25" t="n">
        <f aca="false">datos_base!$J$3*parametros_recargas!$G$45</f>
        <v>891.716796316432</v>
      </c>
      <c r="F259" s="25" t="n">
        <f aca="false">datos_base!$J$3*parametros_recargas!$H$45</f>
        <v>896.882120728155</v>
      </c>
      <c r="G259" s="25" t="n">
        <f aca="false">datos_base!$J$3*parametros_recargas!$I$45</f>
        <v>902.077365599365</v>
      </c>
      <c r="H259" s="25" t="n">
        <f aca="false">datos_base!$J$3*parametros_recargas!$J$45</f>
        <v>907.302704246165</v>
      </c>
      <c r="I259" s="25" t="n">
        <f aca="false">datos_base!$J$3*parametros_recargas!$K$45</f>
        <v>912.558310988603</v>
      </c>
      <c r="J259" s="25" t="n">
        <f aca="false">datos_base!$J$3*parametros_recargas!$L$45</f>
        <v>917.844361156483</v>
      </c>
      <c r="K259" s="25" t="n">
        <f aca="false">datos_base!$J$3*parametros_recargas!$M$45</f>
        <v>923.161031095222</v>
      </c>
      <c r="L259" s="25" t="n">
        <f aca="false">datos_base!$J$3*parametros_recargas!$N$45</f>
        <v>928.508498171725</v>
      </c>
      <c r="M259" s="25" t="n">
        <f aca="false">datos_base!$J$3*parametros_recargas!$O$45</f>
        <v>933.88694078031</v>
      </c>
      <c r="N259" s="25" t="n">
        <f aca="false">datos_base!$J$3*parametros_recargas!$P$45</f>
        <v>939.296538348651</v>
      </c>
      <c r="O259" s="25" t="n">
        <f aca="false">datos_base!$J$3*parametros_recargas!$Q$45</f>
        <v>944.737471343769</v>
      </c>
      <c r="P259" s="7" t="n">
        <f aca="false">SUM(D259:O259)</f>
        <v>10984.5533588211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4" t="n">
        <f aca="false">parametros_recargas!C53</f>
        <v>1</v>
      </c>
      <c r="D260" s="25" t="n">
        <f aca="false">datos_base!$J$4*parametros_recargas!$F$45</f>
        <v>5406.02916758361</v>
      </c>
      <c r="E260" s="25" t="n">
        <f aca="false">datos_base!$J$4*parametros_recargas!$G$45</f>
        <v>5437.34392418027</v>
      </c>
      <c r="F260" s="25" t="n">
        <f aca="false">datos_base!$J$4*parametros_recargas!$H$45</f>
        <v>5468.84007343138</v>
      </c>
      <c r="G260" s="25" t="n">
        <f aca="false">datos_base!$J$4*parametros_recargas!$I$45</f>
        <v>5500.51866606505</v>
      </c>
      <c r="H260" s="25" t="n">
        <f aca="false">datos_base!$J$4*parametros_recargas!$J$45</f>
        <v>5532.38075889579</v>
      </c>
      <c r="I260" s="25" t="n">
        <f aca="false">datos_base!$J$4*parametros_recargas!$K$45</f>
        <v>5564.42741485979</v>
      </c>
      <c r="J260" s="25" t="n">
        <f aca="false">datos_base!$J$4*parametros_recargas!$L$45</f>
        <v>5596.65970305035</v>
      </c>
      <c r="K260" s="25" t="n">
        <f aca="false">datos_base!$J$4*parametros_recargas!$M$45</f>
        <v>5629.07869875357</v>
      </c>
      <c r="L260" s="25" t="n">
        <f aca="false">datos_base!$J$4*parametros_recargas!$N$45</f>
        <v>5661.6854834842</v>
      </c>
      <c r="M260" s="25" t="n">
        <f aca="false">datos_base!$J$4*parametros_recargas!$O$45</f>
        <v>5694.48114502175</v>
      </c>
      <c r="N260" s="25" t="n">
        <f aca="false">datos_base!$J$4*parametros_recargas!$P$45</f>
        <v>5727.46677744674</v>
      </c>
      <c r="O260" s="25" t="n">
        <f aca="false">datos_base!$J$4*parametros_recargas!$Q$45</f>
        <v>5760.64348117721</v>
      </c>
      <c r="P260" s="7" t="n">
        <f aca="false">SUM(D260:O260)</f>
        <v>66979.5552939497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4" t="n">
        <f aca="false">parametros_recargas!C54</f>
        <v>1</v>
      </c>
      <c r="D261" s="25" t="n">
        <f aca="false">datos_base!$J$5*parametros_recargas!$F$45</f>
        <v>320.071809214504</v>
      </c>
      <c r="E261" s="25" t="n">
        <f aca="false">datos_base!$J$5*parametros_recargas!$G$45</f>
        <v>321.925844864017</v>
      </c>
      <c r="F261" s="25" t="n">
        <f aca="false">datos_base!$J$5*parametros_recargas!$H$45</f>
        <v>323.790620129112</v>
      </c>
      <c r="G261" s="25" t="n">
        <f aca="false">datos_base!$J$5*parametros_recargas!$I$45</f>
        <v>325.666197219673</v>
      </c>
      <c r="H261" s="25" t="n">
        <f aca="false">datos_base!$J$5*parametros_recargas!$J$45</f>
        <v>327.552638705939</v>
      </c>
      <c r="I261" s="25" t="n">
        <f aca="false">datos_base!$J$5*parametros_recargas!$K$45</f>
        <v>329.450007520591</v>
      </c>
      <c r="J261" s="25" t="n">
        <f aca="false">datos_base!$J$5*parametros_recargas!$L$45</f>
        <v>331.358366960851</v>
      </c>
      <c r="K261" s="25" t="n">
        <f aca="false">datos_base!$J$5*parametros_recargas!$M$45</f>
        <v>333.277780690593</v>
      </c>
      <c r="L261" s="25" t="n">
        <f aca="false">datos_base!$J$5*parametros_recargas!$N$45</f>
        <v>335.20831274247</v>
      </c>
      <c r="M261" s="25" t="n">
        <f aca="false">datos_base!$J$5*parametros_recargas!$O$45</f>
        <v>337.150027520047</v>
      </c>
      <c r="N261" s="25" t="n">
        <f aca="false">datos_base!$J$5*parametros_recargas!$P$45</f>
        <v>339.102989799951</v>
      </c>
      <c r="O261" s="25" t="n">
        <f aca="false">datos_base!$J$5*parametros_recargas!$Q$45</f>
        <v>341.06726473403</v>
      </c>
      <c r="P261" s="7" t="n">
        <f aca="false">SUM(D261:O261)</f>
        <v>3965.62186010178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4" t="n">
        <f aca="false">parametros_recargas!C55</f>
        <v>1</v>
      </c>
      <c r="D262" s="25" t="n">
        <f aca="false">datos_base!$J$6*parametros_recargas!$F$45</f>
        <v>451.276197380332</v>
      </c>
      <c r="E262" s="25" t="n">
        <f aca="false">datos_base!$J$6*parametros_recargas!$G$45</f>
        <v>453.890242521556</v>
      </c>
      <c r="F262" s="25" t="n">
        <f aca="false">datos_base!$J$6*parametros_recargas!$H$45</f>
        <v>456.519429680107</v>
      </c>
      <c r="G262" s="25" t="n">
        <f aca="false">datos_base!$J$6*parametros_recargas!$I$45</f>
        <v>459.163846567053</v>
      </c>
      <c r="H262" s="25" t="n">
        <f aca="false">datos_base!$J$6*parametros_recargas!$J$45</f>
        <v>461.823581401532</v>
      </c>
      <c r="I262" s="25" t="n">
        <f aca="false">datos_base!$J$6*parametros_recargas!$K$45</f>
        <v>464.498722913699</v>
      </c>
      <c r="J262" s="25" t="n">
        <f aca="false">datos_base!$J$6*parametros_recargas!$L$45</f>
        <v>467.189360347682</v>
      </c>
      <c r="K262" s="25" t="n">
        <f aca="false">datos_base!$J$6*parametros_recargas!$M$45</f>
        <v>469.895583464562</v>
      </c>
      <c r="L262" s="25" t="n">
        <f aca="false">datos_base!$J$6*parametros_recargas!$N$45</f>
        <v>472.617482545365</v>
      </c>
      <c r="M262" s="25" t="n">
        <f aca="false">datos_base!$J$6*parametros_recargas!$O$45</f>
        <v>475.355148394077</v>
      </c>
      <c r="N262" s="25" t="n">
        <f aca="false">datos_base!$J$6*parametros_recargas!$P$45</f>
        <v>478.108672340672</v>
      </c>
      <c r="O262" s="25" t="n">
        <f aca="false">datos_base!$J$6*parametros_recargas!$Q$45</f>
        <v>480.878146244157</v>
      </c>
      <c r="P262" s="7" t="n">
        <f aca="false">SUM(D262:O262)</f>
        <v>5591.21641380079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4" t="n">
        <f aca="false">parametros_recargas!C56</f>
        <v>1</v>
      </c>
      <c r="D263" s="25" t="n">
        <f aca="false">datos_base!$J$7*parametros_recargas!$F$45</f>
        <v>84.8816250902542</v>
      </c>
      <c r="E263" s="25" t="n">
        <f aca="false">datos_base!$J$7*parametros_recargas!$G$45</f>
        <v>85.3733071265201</v>
      </c>
      <c r="F263" s="25" t="n">
        <f aca="false">datos_base!$J$7*parametros_recargas!$H$45</f>
        <v>85.8678372612353</v>
      </c>
      <c r="G263" s="25" t="n">
        <f aca="false">datos_base!$J$7*parametros_recargas!$I$45</f>
        <v>86.3652319921852</v>
      </c>
      <c r="H263" s="25" t="n">
        <f aca="false">datos_base!$J$7*parametros_recargas!$J$45</f>
        <v>86.8655079127197</v>
      </c>
      <c r="I263" s="25" t="n">
        <f aca="false">datos_base!$J$7*parametros_recargas!$K$45</f>
        <v>87.368681712307</v>
      </c>
      <c r="J263" s="25" t="n">
        <f aca="false">datos_base!$J$7*parametros_recargas!$L$45</f>
        <v>87.8747701770896</v>
      </c>
      <c r="K263" s="25" t="n">
        <f aca="false">datos_base!$J$7*parametros_recargas!$M$45</f>
        <v>88.383790190445</v>
      </c>
      <c r="L263" s="25" t="n">
        <f aca="false">datos_base!$J$7*parametros_recargas!$N$45</f>
        <v>88.8957587335488</v>
      </c>
      <c r="M263" s="25" t="n">
        <f aca="false">datos_base!$J$7*parametros_recargas!$O$45</f>
        <v>89.410692885941</v>
      </c>
      <c r="N263" s="25" t="n">
        <f aca="false">datos_base!$J$7*parametros_recargas!$P$45</f>
        <v>89.9286098260958</v>
      </c>
      <c r="O263" s="25" t="n">
        <f aca="false">datos_base!$J$7*parametros_recargas!$Q$45</f>
        <v>90.4495268319948</v>
      </c>
      <c r="P263" s="7" t="n">
        <f aca="false">SUM(D263:O263)</f>
        <v>1051.66533974034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4" t="n">
        <f aca="false">parametros_recargas!C57</f>
        <v>3</v>
      </c>
      <c r="D264" s="25" t="n">
        <f aca="false">datos_base!$J$8*parametros_recargas!$F$45</f>
        <v>44.4305989617467</v>
      </c>
      <c r="E264" s="25" t="n">
        <f aca="false">datos_base!$J$8*parametros_recargas!$G$45</f>
        <v>44.6879659401334</v>
      </c>
      <c r="F264" s="25" t="n">
        <f aca="false">datos_base!$J$8*parametros_recargas!$H$45</f>
        <v>44.9468237325786</v>
      </c>
      <c r="G264" s="25" t="n">
        <f aca="false">datos_base!$J$8*parametros_recargas!$I$45</f>
        <v>45.2071809747146</v>
      </c>
      <c r="H264" s="25" t="n">
        <f aca="false">datos_base!$J$8*parametros_recargas!$J$45</f>
        <v>45.469046352196</v>
      </c>
      <c r="I264" s="25" t="n">
        <f aca="false">datos_base!$J$8*parametros_recargas!$K$45</f>
        <v>45.7324286009895</v>
      </c>
      <c r="J264" s="25" t="n">
        <f aca="false">datos_base!$J$8*parametros_recargas!$L$45</f>
        <v>45.9973365076656</v>
      </c>
      <c r="K264" s="25" t="n">
        <f aca="false">datos_base!$J$8*parametros_recargas!$M$45</f>
        <v>46.2637789096913</v>
      </c>
      <c r="L264" s="25" t="n">
        <f aca="false">datos_base!$J$8*parametros_recargas!$N$45</f>
        <v>46.5317646957256</v>
      </c>
      <c r="M264" s="25" t="n">
        <f aca="false">datos_base!$J$8*parametros_recargas!$O$45</f>
        <v>46.8013028059151</v>
      </c>
      <c r="N264" s="25" t="n">
        <f aca="false">datos_base!$J$8*parametros_recargas!$P$45</f>
        <v>47.0724022321931</v>
      </c>
      <c r="O264" s="25" t="n">
        <f aca="false">datos_base!$J$8*parametros_recargas!$Q$45</f>
        <v>47.3450720185791</v>
      </c>
      <c r="P264" s="7" t="n">
        <f aca="false">SUM(D264:O264)</f>
        <v>550.485701732129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4" t="n">
        <f aca="false">parametros_recargas!C58</f>
        <v>1</v>
      </c>
      <c r="D265" s="25" t="n">
        <f aca="false">datos_base!$J$9*parametros_recargas!$F$45</f>
        <v>25.6090995478909</v>
      </c>
      <c r="E265" s="25" t="n">
        <f aca="false">datos_base!$J$9*parametros_recargas!$G$45</f>
        <v>25.7574418327995</v>
      </c>
      <c r="F265" s="25" t="n">
        <f aca="false">datos_base!$J$9*parametros_recargas!$H$45</f>
        <v>25.9066433995212</v>
      </c>
      <c r="G265" s="25" t="n">
        <f aca="false">datos_base!$J$9*parametros_recargas!$I$45</f>
        <v>26.0567092254988</v>
      </c>
      <c r="H265" s="25" t="n">
        <f aca="false">datos_base!$J$9*parametros_recargas!$J$45</f>
        <v>26.2076443170073</v>
      </c>
      <c r="I265" s="25" t="n">
        <f aca="false">datos_base!$J$9*parametros_recargas!$K$45</f>
        <v>26.3594537093206</v>
      </c>
      <c r="J265" s="25" t="n">
        <f aca="false">datos_base!$J$9*parametros_recargas!$L$45</f>
        <v>26.5121424668801</v>
      </c>
      <c r="K265" s="25" t="n">
        <f aca="false">datos_base!$J$9*parametros_recargas!$M$45</f>
        <v>26.6657156834629</v>
      </c>
      <c r="L265" s="25" t="n">
        <f aca="false">datos_base!$J$9*parametros_recargas!$N$45</f>
        <v>26.8201784823524</v>
      </c>
      <c r="M265" s="25" t="n">
        <f aca="false">datos_base!$J$9*parametros_recargas!$O$45</f>
        <v>26.975536016509</v>
      </c>
      <c r="N265" s="25" t="n">
        <f aca="false">datos_base!$J$9*parametros_recargas!$P$45</f>
        <v>27.1317934687415</v>
      </c>
      <c r="O265" s="25" t="n">
        <f aca="false">datos_base!$J$9*parametros_recargas!$Q$45</f>
        <v>27.288956051881</v>
      </c>
      <c r="P265" s="7" t="n">
        <f aca="false">SUM(D265:O265)</f>
        <v>317.291314201865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4" t="n">
        <f aca="false">parametros_recargas!C59</f>
        <v>1</v>
      </c>
      <c r="D266" s="25" t="n">
        <f aca="false">datos_base!$J$10*parametros_recargas!$F$45</f>
        <v>222.365154340958</v>
      </c>
      <c r="E266" s="25" t="n">
        <f aca="false">datos_base!$J$10*parametros_recargas!$G$45</f>
        <v>223.653218180036</v>
      </c>
      <c r="F266" s="25" t="n">
        <f aca="false">datos_base!$J$10*parametros_recargas!$H$45</f>
        <v>224.948743208159</v>
      </c>
      <c r="G266" s="25" t="n">
        <f aca="false">datos_base!$J$10*parametros_recargas!$I$45</f>
        <v>226.251772644724</v>
      </c>
      <c r="H266" s="25" t="n">
        <f aca="false">datos_base!$J$10*parametros_recargas!$J$45</f>
        <v>227.562349959478</v>
      </c>
      <c r="I266" s="25" t="n">
        <f aca="false">datos_base!$J$10*parametros_recargas!$K$45</f>
        <v>228.88051887397</v>
      </c>
      <c r="J266" s="25" t="n">
        <f aca="false">datos_base!$J$10*parametros_recargas!$L$45</f>
        <v>230.206323363009</v>
      </c>
      <c r="K266" s="25" t="n">
        <f aca="false">datos_base!$J$10*parametros_recargas!$M$45</f>
        <v>231.539807656129</v>
      </c>
      <c r="L266" s="25" t="n">
        <f aca="false">datos_base!$J$10*parametros_recargas!$N$45</f>
        <v>232.88101623907</v>
      </c>
      <c r="M266" s="25" t="n">
        <f aca="false">datos_base!$J$10*parametros_recargas!$O$45</f>
        <v>234.229993855254</v>
      </c>
      <c r="N266" s="25" t="n">
        <f aca="false">datos_base!$J$10*parametros_recargas!$P$45</f>
        <v>235.586785507286</v>
      </c>
      <c r="O266" s="25" t="n">
        <f aca="false">datos_base!$J$10*parametros_recargas!$Q$45</f>
        <v>236.951436458448</v>
      </c>
      <c r="P266" s="7" t="n">
        <f aca="false">SUM(D266:O266)</f>
        <v>2755.05712028652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4" t="n">
        <f aca="false">parametros_recargas!C60</f>
        <v>1</v>
      </c>
      <c r="D267" s="25" t="n">
        <f aca="false">datos_base!$J$11*parametros_recargas!$F$45</f>
        <v>1215.69482605475</v>
      </c>
      <c r="E267" s="25" t="n">
        <f aca="false">datos_base!$J$11*parametros_recargas!$G$45</f>
        <v>1222.73681313873</v>
      </c>
      <c r="F267" s="25" t="n">
        <f aca="false">datos_base!$J$11*parametros_recargas!$H$45</f>
        <v>1229.8195913662</v>
      </c>
      <c r="G267" s="25" t="n">
        <f aca="false">datos_base!$J$11*parametros_recargas!$I$45</f>
        <v>1236.94339702237</v>
      </c>
      <c r="H267" s="25" t="n">
        <f aca="false">datos_base!$J$11*parametros_recargas!$J$45</f>
        <v>1244.10846776114</v>
      </c>
      <c r="I267" s="25" t="n">
        <f aca="false">datos_base!$J$11*parametros_recargas!$K$45</f>
        <v>1251.31504261305</v>
      </c>
      <c r="J267" s="25" t="n">
        <f aca="false">datos_base!$J$11*parametros_recargas!$L$45</f>
        <v>1258.56336199322</v>
      </c>
      <c r="K267" s="25" t="n">
        <f aca="false">datos_base!$J$11*parametros_recargas!$M$45</f>
        <v>1265.8536677094</v>
      </c>
      <c r="L267" s="25" t="n">
        <f aca="false">datos_base!$J$11*parametros_recargas!$N$45</f>
        <v>1273.18620297004</v>
      </c>
      <c r="M267" s="25" t="n">
        <f aca="false">datos_base!$J$11*parametros_recargas!$O$45</f>
        <v>1280.56121239235</v>
      </c>
      <c r="N267" s="25" t="n">
        <f aca="false">datos_base!$J$11*parametros_recargas!$P$45</f>
        <v>1287.97894201054</v>
      </c>
      <c r="O267" s="25" t="n">
        <f aca="false">datos_base!$J$11*parametros_recargas!$Q$45</f>
        <v>1295.43963928398</v>
      </c>
      <c r="P267" s="7" t="n">
        <f aca="false">SUM(D267:O267)</f>
        <v>15062.2011643158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4" t="n">
        <f aca="false">parametros_recargas!C61</f>
        <v>1</v>
      </c>
      <c r="D268" s="25" t="n">
        <f aca="false">datos_base!$J$12*parametros_recargas!$F$45</f>
        <v>412.801649186779</v>
      </c>
      <c r="E268" s="25" t="n">
        <f aca="false">datos_base!$J$12*parametros_recargas!$G$45</f>
        <v>415.192828140178</v>
      </c>
      <c r="F268" s="25" t="n">
        <f aca="false">datos_base!$J$12*parametros_recargas!$H$45</f>
        <v>417.597858144798</v>
      </c>
      <c r="G268" s="25" t="n">
        <f aca="false">datos_base!$J$12*parametros_recargas!$I$45</f>
        <v>420.016819433706</v>
      </c>
      <c r="H268" s="25" t="n">
        <f aca="false">datos_base!$J$12*parametros_recargas!$J$45</f>
        <v>422.449792704723</v>
      </c>
      <c r="I268" s="25" t="n">
        <f aca="false">datos_base!$J$12*parametros_recargas!$K$45</f>
        <v>424.896859123119</v>
      </c>
      <c r="J268" s="25" t="n">
        <f aca="false">datos_base!$J$12*parametros_recargas!$L$45</f>
        <v>427.358100324315</v>
      </c>
      <c r="K268" s="25" t="n">
        <f aca="false">datos_base!$J$12*parametros_recargas!$M$45</f>
        <v>429.833598416615</v>
      </c>
      <c r="L268" s="25" t="n">
        <f aca="false">datos_base!$J$12*parametros_recargas!$N$45</f>
        <v>432.323435983936</v>
      </c>
      <c r="M268" s="25" t="n">
        <f aca="false">datos_base!$J$12*parametros_recargas!$O$45</f>
        <v>434.827696088571</v>
      </c>
      <c r="N268" s="25" t="n">
        <f aca="false">datos_base!$J$12*parametros_recargas!$P$45</f>
        <v>437.346462273954</v>
      </c>
      <c r="O268" s="25" t="n">
        <f aca="false">datos_base!$J$12*parametros_recargas!$Q$45</f>
        <v>439.87981856745</v>
      </c>
      <c r="P268" s="7" t="n">
        <f aca="false">SUM(D268:O268)</f>
        <v>5114.52491838814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4" t="n">
        <f aca="false">parametros_recargas!C62</f>
        <v>1</v>
      </c>
      <c r="D269" s="25" t="n">
        <f aca="false">datos_base!$J$13*parametros_recargas!$F$45</f>
        <v>67.3111003760573</v>
      </c>
      <c r="E269" s="25" t="n">
        <f aca="false">datos_base!$J$13*parametros_recargas!$G$45</f>
        <v>67.7010040667679</v>
      </c>
      <c r="F269" s="25" t="n">
        <f aca="false">datos_base!$J$13*parametros_recargas!$H$45</f>
        <v>68.0931662985984</v>
      </c>
      <c r="G269" s="25" t="n">
        <f aca="false">datos_base!$J$13*parametros_recargas!$I$45</f>
        <v>68.4876001542873</v>
      </c>
      <c r="H269" s="25" t="n">
        <f aca="false">datos_base!$J$13*parametros_recargas!$J$45</f>
        <v>68.8843187923556</v>
      </c>
      <c r="I269" s="25" t="n">
        <f aca="false">datos_base!$J$13*parametros_recargas!$K$45</f>
        <v>69.2833354475458</v>
      </c>
      <c r="J269" s="25" t="n">
        <f aca="false">datos_base!$J$13*parametros_recargas!$L$45</f>
        <v>69.6846634312634</v>
      </c>
      <c r="K269" s="25" t="n">
        <f aca="false">datos_base!$J$13*parametros_recargas!$M$45</f>
        <v>70.0883161320212</v>
      </c>
      <c r="L269" s="25" t="n">
        <f aca="false">datos_base!$J$13*parametros_recargas!$N$45</f>
        <v>70.4943070158856</v>
      </c>
      <c r="M269" s="25" t="n">
        <f aca="false">datos_base!$J$13*parametros_recargas!$O$45</f>
        <v>70.9026496269263</v>
      </c>
      <c r="N269" s="25" t="n">
        <f aca="false">datos_base!$J$13*parametros_recargas!$P$45</f>
        <v>71.3133575876675</v>
      </c>
      <c r="O269" s="25" t="n">
        <f aca="false">datos_base!$J$13*parametros_recargas!$Q$45</f>
        <v>71.726444599543</v>
      </c>
      <c r="P269" s="7" t="n">
        <f aca="false">SUM(D269:O269)</f>
        <v>833.970263528919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4" t="n">
        <f aca="false">parametros_recargas!C63</f>
        <v>1</v>
      </c>
      <c r="D270" s="25" t="n">
        <f aca="false">datos_base!$J$14*parametros_recargas!$F$45</f>
        <v>23.0756470951406</v>
      </c>
      <c r="E270" s="25" t="n">
        <f aca="false">datos_base!$J$14*parametros_recargas!$G$45</f>
        <v>23.2093142008284</v>
      </c>
      <c r="F270" s="25" t="n">
        <f aca="false">datos_base!$J$14*parametros_recargas!$H$45</f>
        <v>23.3437555814507</v>
      </c>
      <c r="G270" s="25" t="n">
        <f aca="false">datos_base!$J$14*parametros_recargas!$I$45</f>
        <v>23.4789757220428</v>
      </c>
      <c r="H270" s="25" t="n">
        <f aca="false">datos_base!$J$14*parametros_recargas!$J$45</f>
        <v>23.6149791336195</v>
      </c>
      <c r="I270" s="25" t="n">
        <f aca="false">datos_base!$J$14*parametros_recargas!$K$45</f>
        <v>23.7517703533264</v>
      </c>
      <c r="J270" s="25" t="n">
        <f aca="false">datos_base!$J$14*parametros_recargas!$L$45</f>
        <v>23.8893539445904</v>
      </c>
      <c r="K270" s="25" t="n">
        <f aca="false">datos_base!$J$14*parametros_recargas!$M$45</f>
        <v>24.0277344972726</v>
      </c>
      <c r="L270" s="25" t="n">
        <f aca="false">datos_base!$J$14*parametros_recargas!$N$45</f>
        <v>24.1669166278211</v>
      </c>
      <c r="M270" s="25" t="n">
        <f aca="false">datos_base!$J$14*parametros_recargas!$O$45</f>
        <v>24.3069049794249</v>
      </c>
      <c r="N270" s="25" t="n">
        <f aca="false">datos_base!$J$14*parametros_recargas!$P$45</f>
        <v>24.4477042221691</v>
      </c>
      <c r="O270" s="25" t="n">
        <f aca="false">datos_base!$J$14*parametros_recargas!$Q$45</f>
        <v>24.5893190531906</v>
      </c>
      <c r="P270" s="7" t="n">
        <f aca="false">SUM(D270:O270)</f>
        <v>285.902375410877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4" t="n">
        <f aca="false">parametros_recargas!C64</f>
        <v>3</v>
      </c>
      <c r="D271" s="25" t="n">
        <f aca="false">datos_base!$J$15*parametros_recargas!$F$45</f>
        <v>55.4547994673266</v>
      </c>
      <c r="E271" s="25" t="n">
        <f aca="false">datos_base!$J$15*parametros_recargas!$G$45</f>
        <v>55.7760248054822</v>
      </c>
      <c r="F271" s="25" t="n">
        <f aca="false">datos_base!$J$15*parametros_recargas!$H$45</f>
        <v>56.0991108611748</v>
      </c>
      <c r="G271" s="25" t="n">
        <f aca="false">datos_base!$J$15*parametros_recargas!$I$45</f>
        <v>56.424068412725</v>
      </c>
      <c r="H271" s="25" t="n">
        <f aca="false">datos_base!$J$15*parametros_recargas!$J$45</f>
        <v>56.7509083008878</v>
      </c>
      <c r="I271" s="25" t="n">
        <f aca="false">datos_base!$J$15*parametros_recargas!$K$45</f>
        <v>57.0796414292139</v>
      </c>
      <c r="J271" s="25" t="n">
        <f aca="false">datos_base!$J$15*parametros_recargas!$L$45</f>
        <v>57.4102787644134</v>
      </c>
      <c r="K271" s="25" t="n">
        <f aca="false">datos_base!$J$15*parametros_recargas!$M$45</f>
        <v>57.7428313367218</v>
      </c>
      <c r="L271" s="25" t="n">
        <f aca="false">datos_base!$J$15*parametros_recargas!$N$45</f>
        <v>58.0773102402679</v>
      </c>
      <c r="M271" s="25" t="n">
        <f aca="false">datos_base!$J$15*parametros_recargas!$O$45</f>
        <v>58.413726633444</v>
      </c>
      <c r="N271" s="25" t="n">
        <f aca="false">datos_base!$J$15*parametros_recargas!$P$45</f>
        <v>58.7520917392779</v>
      </c>
      <c r="O271" s="25" t="n">
        <f aca="false">datos_base!$J$15*parametros_recargas!$Q$45</f>
        <v>59.0924168458075</v>
      </c>
      <c r="P271" s="7" t="n">
        <f aca="false">SUM(D271:O271)</f>
        <v>687.073208836743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4" t="n">
        <f aca="false">parametros_recargas!C65</f>
        <v>3</v>
      </c>
      <c r="D272" s="25" t="n">
        <f aca="false">datos_base!$J$16*parametros_recargas!$F$45</f>
        <v>122.000558770671</v>
      </c>
      <c r="E272" s="25" t="n">
        <f aca="false">datos_base!$J$16*parametros_recargas!$G$45</f>
        <v>122.707254514281</v>
      </c>
      <c r="F272" s="25" t="n">
        <f aca="false">datos_base!$J$16*parametros_recargas!$H$45</f>
        <v>123.418043836469</v>
      </c>
      <c r="G272" s="25" t="n">
        <f aca="false">datos_base!$J$16*parametros_recargas!$I$45</f>
        <v>124.132950449543</v>
      </c>
      <c r="H272" s="25" t="n">
        <f aca="false">datos_base!$J$16*parametros_recargas!$J$45</f>
        <v>124.851998203163</v>
      </c>
      <c r="I272" s="25" t="n">
        <f aca="false">datos_base!$J$16*parametros_recargas!$K$45</f>
        <v>125.57521108514</v>
      </c>
      <c r="J272" s="25" t="n">
        <f aca="false">datos_base!$J$16*parametros_recargas!$L$45</f>
        <v>126.302613222236</v>
      </c>
      <c r="K272" s="25" t="n">
        <f aca="false">datos_base!$J$16*parametros_recargas!$M$45</f>
        <v>127.03422888097</v>
      </c>
      <c r="L272" s="25" t="n">
        <f aca="false">datos_base!$J$16*parametros_recargas!$N$45</f>
        <v>127.770082468425</v>
      </c>
      <c r="M272" s="25" t="n">
        <f aca="false">datos_base!$J$16*parametros_recargas!$O$45</f>
        <v>128.510198533064</v>
      </c>
      <c r="N272" s="25" t="n">
        <f aca="false">datos_base!$J$16*parametros_recargas!$P$45</f>
        <v>129.254601765548</v>
      </c>
      <c r="O272" s="25" t="n">
        <f aca="false">datos_base!$J$16*parametros_recargas!$Q$45</f>
        <v>130.003316999561</v>
      </c>
      <c r="P272" s="7" t="n">
        <f aca="false">SUM(D272:O272)</f>
        <v>1511.56105872907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4" t="n">
        <f aca="false">parametros_recargas!C66</f>
        <v>3</v>
      </c>
      <c r="D273" s="25" t="n">
        <f aca="false">datos_base!$J$17*parametros_recargas!$F$45</f>
        <v>26.6183037558063</v>
      </c>
      <c r="E273" s="25" t="n">
        <f aca="false">datos_base!$J$17*parametros_recargas!$G$45</f>
        <v>26.7724919181876</v>
      </c>
      <c r="F273" s="25" t="n">
        <f aca="false">datos_base!$J$17*parametros_recargas!$H$45</f>
        <v>26.9275732249869</v>
      </c>
      <c r="G273" s="25" t="n">
        <f aca="false">datos_base!$J$17*parametros_recargas!$I$45</f>
        <v>27.0835528497983</v>
      </c>
      <c r="H273" s="25" t="n">
        <f aca="false">datos_base!$J$17*parametros_recargas!$J$45</f>
        <v>27.2404359961842</v>
      </c>
      <c r="I273" s="25" t="n">
        <f aca="false">datos_base!$J$17*parametros_recargas!$K$45</f>
        <v>27.3982278978488</v>
      </c>
      <c r="J273" s="25" t="n">
        <f aca="false">datos_base!$J$17*parametros_recargas!$L$45</f>
        <v>27.5569338188131</v>
      </c>
      <c r="K273" s="25" t="n">
        <f aca="false">datos_base!$J$17*parametros_recargas!$M$45</f>
        <v>27.71655905359</v>
      </c>
      <c r="L273" s="25" t="n">
        <f aca="false">datos_base!$J$17*parametros_recargas!$N$45</f>
        <v>27.8771089273615</v>
      </c>
      <c r="M273" s="25" t="n">
        <f aca="false">datos_base!$J$17*parametros_recargas!$O$45</f>
        <v>28.0385887961557</v>
      </c>
      <c r="N273" s="25" t="n">
        <f aca="false">datos_base!$J$17*parametros_recargas!$P$45</f>
        <v>28.2010040470261</v>
      </c>
      <c r="O273" s="25" t="n">
        <f aca="false">datos_base!$J$17*parametros_recargas!$Q$45</f>
        <v>28.3643600982308</v>
      </c>
      <c r="P273" s="7" t="n">
        <f aca="false">SUM(D273:O273)</f>
        <v>329.795140383989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4" t="n">
        <f aca="false">parametros_recargas!C67</f>
        <v>3</v>
      </c>
      <c r="D274" s="25" t="n">
        <f aca="false">datos_base!$J$18*parametros_recargas!$F$45</f>
        <v>17.745535818055</v>
      </c>
      <c r="E274" s="25" t="n">
        <f aca="false">datos_base!$J$18*parametros_recargas!$G$45</f>
        <v>17.8483279261982</v>
      </c>
      <c r="F274" s="25" t="n">
        <f aca="false">datos_base!$J$18*parametros_recargas!$H$45</f>
        <v>17.9517154639529</v>
      </c>
      <c r="G274" s="25" t="n">
        <f aca="false">datos_base!$J$18*parametros_recargas!$I$45</f>
        <v>18.0557018803816</v>
      </c>
      <c r="H274" s="25" t="n">
        <f aca="false">datos_base!$J$18*parametros_recargas!$J$45</f>
        <v>18.160290644526</v>
      </c>
      <c r="I274" s="25" t="n">
        <f aca="false">datos_base!$J$18*parametros_recargas!$K$45</f>
        <v>18.2654852455223</v>
      </c>
      <c r="J274" s="25" t="n">
        <f aca="false">datos_base!$J$18*parametros_recargas!$L$45</f>
        <v>18.3712891927176</v>
      </c>
      <c r="K274" s="25" t="n">
        <f aca="false">datos_base!$J$18*parametros_recargas!$M$45</f>
        <v>18.4777060157874</v>
      </c>
      <c r="L274" s="25" t="n">
        <f aca="false">datos_base!$J$18*parametros_recargas!$N$45</f>
        <v>18.5847392648529</v>
      </c>
      <c r="M274" s="25" t="n">
        <f aca="false">datos_base!$J$18*parametros_recargas!$O$45</f>
        <v>18.6923925105995</v>
      </c>
      <c r="N274" s="25" t="n">
        <f aca="false">datos_base!$J$18*parametros_recargas!$P$45</f>
        <v>18.8006693443962</v>
      </c>
      <c r="O274" s="25" t="n">
        <f aca="false">datos_base!$J$18*parametros_recargas!$Q$45</f>
        <v>18.9095733784152</v>
      </c>
      <c r="P274" s="7" t="n">
        <f aca="false">SUM(D274:O274)</f>
        <v>219.863426685405</v>
      </c>
    </row>
    <row r="275" customFormat="false" ht="15" hidden="false" customHeight="false" outlineLevel="0" collapsed="false">
      <c r="A275" s="6" t="s">
        <v>272</v>
      </c>
      <c r="D275" s="7" t="n">
        <f aca="false">SUM(D258:D274)</f>
        <v>19934.5281094278</v>
      </c>
      <c r="E275" s="7" t="n">
        <f aca="false">SUM(E258:E274)</f>
        <v>20050.0000901117</v>
      </c>
      <c r="F275" s="7" t="n">
        <f aca="false">SUM(F258:F274)</f>
        <v>20166.140949349</v>
      </c>
      <c r="G275" s="7" t="n">
        <f aca="false">SUM(G258:G274)</f>
        <v>20282.9545616598</v>
      </c>
      <c r="H275" s="7" t="n">
        <f aca="false">SUM(H258:H274)</f>
        <v>20400.4448240077</v>
      </c>
      <c r="I275" s="7" t="n">
        <f aca="false">SUM(I258:I274)</f>
        <v>20518.6156559296</v>
      </c>
      <c r="J275" s="7" t="n">
        <f aca="false">SUM(J258:J274)</f>
        <v>20637.4709996667</v>
      </c>
      <c r="K275" s="7" t="n">
        <f aca="false">SUM(K258:K274)</f>
        <v>20757.0148202958</v>
      </c>
      <c r="L275" s="7" t="n">
        <f aca="false">SUM(L258:L274)</f>
        <v>20877.2511058616</v>
      </c>
      <c r="M275" s="7" t="n">
        <f aca="false">SUM(M258:M274)</f>
        <v>20998.18386751</v>
      </c>
      <c r="N275" s="7" t="n">
        <f aca="false">SUM(N258:N274)</f>
        <v>21119.8171396214</v>
      </c>
      <c r="O275" s="7" t="n">
        <f aca="false">SUM(O258:O274)</f>
        <v>21242.1549799459</v>
      </c>
      <c r="P275" s="7" t="n">
        <f aca="false">SUM(P258:P274)</f>
        <v>246984.577103387</v>
      </c>
    </row>
    <row r="276" customFormat="false" ht="15" hidden="false" customHeight="false" outlineLevel="0" collapsed="false">
      <c r="A276" s="6" t="s">
        <v>273</v>
      </c>
    </row>
    <row r="277" customFormat="false" ht="15" hidden="false" customHeight="false" outlineLevel="0" collapsed="false">
      <c r="A277" s="4" t="s">
        <v>143</v>
      </c>
      <c r="D277" s="25" t="n">
        <f aca="false">SUMPRODUCT(($B$258:$B$274=$A277)*D$258:D$274*$C$258:$C$274)</f>
        <v>17830.7206070176</v>
      </c>
      <c r="E277" s="25" t="n">
        <f aca="false">SUMPRODUCT(($B$258:$B$274=$A277)*E$258:E$274*$C$258:$C$274)</f>
        <v>17934.0061532925</v>
      </c>
      <c r="F277" s="25" t="n">
        <f aca="false">SUMPRODUCT(($B$258:$B$274=$A277)*F$258:F$274*$C$258:$C$274)</f>
        <v>18037.8899874495</v>
      </c>
      <c r="G277" s="25" t="n">
        <f aca="false">SUMPRODUCT(($B$258:$B$274=$A277)*G$258:G$274*$C$258:$C$274)</f>
        <v>18142.3755751081</v>
      </c>
      <c r="H277" s="25" t="n">
        <f aca="false">SUMPRODUCT(($B$258:$B$274=$A277)*H$258:H$274*$C$258:$C$274)</f>
        <v>18247.4664019624</v>
      </c>
      <c r="I277" s="25" t="n">
        <f aca="false">SUMPRODUCT(($B$258:$B$274=$A277)*I$258:I$274*$C$258:$C$274)</f>
        <v>18353.1659738977</v>
      </c>
      <c r="J277" s="25" t="n">
        <f aca="false">SUMPRODUCT(($B$258:$B$274=$A277)*J$258:J$274*$C$258:$C$274)</f>
        <v>18459.4778171073</v>
      </c>
      <c r="K277" s="25" t="n">
        <f aca="false">SUMPRODUCT(($B$258:$B$274=$A277)*K$258:K$274*$C$258:$C$274)</f>
        <v>18566.4054782103</v>
      </c>
      <c r="L277" s="25" t="n">
        <f aca="false">SUMPRODUCT(($B$258:$B$274=$A277)*L$258:L$274*$C$258:$C$274)</f>
        <v>18673.9525243697</v>
      </c>
      <c r="M277" s="25" t="n">
        <f aca="false">SUMPRODUCT(($B$258:$B$274=$A277)*M$258:M$274*$C$258:$C$274)</f>
        <v>18782.1225434115</v>
      </c>
      <c r="N277" s="25" t="n">
        <f aca="false">SUMPRODUCT(($B$258:$B$274=$A277)*N$258:N$274*$C$258:$C$274)</f>
        <v>18890.9191439446</v>
      </c>
      <c r="O277" s="25" t="n">
        <f aca="false">SUMPRODUCT(($B$258:$B$274=$A277)*O$258:O$274*$C$258:$C$274)</f>
        <v>19000.3459554807</v>
      </c>
      <c r="P277" s="25" t="n">
        <f aca="false">SUMPRODUCT(($B$258:$B$274=$A277)*P$258:P$274*$C$258:$C$274)</f>
        <v>220918.848161252</v>
      </c>
    </row>
    <row r="278" customFormat="false" ht="15" hidden="false" customHeight="false" outlineLevel="0" collapsed="false">
      <c r="A278" s="4" t="s">
        <v>149</v>
      </c>
      <c r="D278" s="25" t="n">
        <f aca="false">SUMPRODUCT(($B$258:$B$274=$A278)*D$258:D$274*$C$258:$C$274)</f>
        <v>25.6090995478909</v>
      </c>
      <c r="E278" s="25" t="n">
        <f aca="false">SUMPRODUCT(($B$258:$B$274=$A278)*E$258:E$274*$C$258:$C$274)</f>
        <v>25.7574418327995</v>
      </c>
      <c r="F278" s="25" t="n">
        <f aca="false">SUMPRODUCT(($B$258:$B$274=$A278)*F$258:F$274*$C$258:$C$274)</f>
        <v>25.9066433995212</v>
      </c>
      <c r="G278" s="25" t="n">
        <f aca="false">SUMPRODUCT(($B$258:$B$274=$A278)*G$258:G$274*$C$258:$C$274)</f>
        <v>26.0567092254988</v>
      </c>
      <c r="H278" s="25" t="n">
        <f aca="false">SUMPRODUCT(($B$258:$B$274=$A278)*H$258:H$274*$C$258:$C$274)</f>
        <v>26.2076443170073</v>
      </c>
      <c r="I278" s="25" t="n">
        <f aca="false">SUMPRODUCT(($B$258:$B$274=$A278)*I$258:I$274*$C$258:$C$274)</f>
        <v>26.3594537093206</v>
      </c>
      <c r="J278" s="25" t="n">
        <f aca="false">SUMPRODUCT(($B$258:$B$274=$A278)*J$258:J$274*$C$258:$C$274)</f>
        <v>26.5121424668801</v>
      </c>
      <c r="K278" s="25" t="n">
        <f aca="false">SUMPRODUCT(($B$258:$B$274=$A278)*K$258:K$274*$C$258:$C$274)</f>
        <v>26.6657156834629</v>
      </c>
      <c r="L278" s="25" t="n">
        <f aca="false">SUMPRODUCT(($B$258:$B$274=$A278)*L$258:L$274*$C$258:$C$274)</f>
        <v>26.8201784823524</v>
      </c>
      <c r="M278" s="25" t="n">
        <f aca="false">SUMPRODUCT(($B$258:$B$274=$A278)*M$258:M$274*$C$258:$C$274)</f>
        <v>26.975536016509</v>
      </c>
      <c r="N278" s="25" t="n">
        <f aca="false">SUMPRODUCT(($B$258:$B$274=$A278)*N$258:N$274*$C$258:$C$274)</f>
        <v>27.1317934687415</v>
      </c>
      <c r="O278" s="25" t="n">
        <f aca="false">SUMPRODUCT(($B$258:$B$274=$A278)*O$258:O$274*$C$258:$C$274)</f>
        <v>27.288956051881</v>
      </c>
      <c r="P278" s="25" t="n">
        <f aca="false">SUMPRODUCT(($B$258:$B$274=$A278)*P$258:P$274*$C$258:$C$274)</f>
        <v>317.291314201865</v>
      </c>
    </row>
    <row r="279" customFormat="false" ht="15" hidden="false" customHeight="false" outlineLevel="0" collapsed="false">
      <c r="A279" s="4" t="s">
        <v>155</v>
      </c>
      <c r="D279" s="25" t="n">
        <f aca="false">SUMPRODUCT(($B$258:$B$274=$A279)*D$258:D$274*$C$258:$C$274)</f>
        <v>23.0756470951406</v>
      </c>
      <c r="E279" s="25" t="n">
        <f aca="false">SUMPRODUCT(($B$258:$B$274=$A279)*E$258:E$274*$C$258:$C$274)</f>
        <v>23.2093142008284</v>
      </c>
      <c r="F279" s="25" t="n">
        <f aca="false">SUMPRODUCT(($B$258:$B$274=$A279)*F$258:F$274*$C$258:$C$274)</f>
        <v>23.3437555814507</v>
      </c>
      <c r="G279" s="25" t="n">
        <f aca="false">SUMPRODUCT(($B$258:$B$274=$A279)*G$258:G$274*$C$258:$C$274)</f>
        <v>23.4789757220428</v>
      </c>
      <c r="H279" s="25" t="n">
        <f aca="false">SUMPRODUCT(($B$258:$B$274=$A279)*H$258:H$274*$C$258:$C$274)</f>
        <v>23.6149791336195</v>
      </c>
      <c r="I279" s="25" t="n">
        <f aca="false">SUMPRODUCT(($B$258:$B$274=$A279)*I$258:I$274*$C$258:$C$274)</f>
        <v>23.7517703533264</v>
      </c>
      <c r="J279" s="25" t="n">
        <f aca="false">SUMPRODUCT(($B$258:$B$274=$A279)*J$258:J$274*$C$258:$C$274)</f>
        <v>23.8893539445904</v>
      </c>
      <c r="K279" s="25" t="n">
        <f aca="false">SUMPRODUCT(($B$258:$B$274=$A279)*K$258:K$274*$C$258:$C$274)</f>
        <v>24.0277344972726</v>
      </c>
      <c r="L279" s="25" t="n">
        <f aca="false">SUMPRODUCT(($B$258:$B$274=$A279)*L$258:L$274*$C$258:$C$274)</f>
        <v>24.1669166278211</v>
      </c>
      <c r="M279" s="25" t="n">
        <f aca="false">SUMPRODUCT(($B$258:$B$274=$A279)*M$258:M$274*$C$258:$C$274)</f>
        <v>24.3069049794249</v>
      </c>
      <c r="N279" s="25" t="n">
        <f aca="false">SUMPRODUCT(($B$258:$B$274=$A279)*N$258:N$274*$C$258:$C$274)</f>
        <v>24.4477042221691</v>
      </c>
      <c r="O279" s="25" t="n">
        <f aca="false">SUMPRODUCT(($B$258:$B$274=$A279)*O$258:O$274*$C$258:$C$274)</f>
        <v>24.5893190531906</v>
      </c>
      <c r="P279" s="25" t="n">
        <f aca="false">SUMPRODUCT(($B$258:$B$274=$A279)*P$258:P$274*$C$258:$C$274)</f>
        <v>285.902375410877</v>
      </c>
    </row>
    <row r="280" customFormat="false" ht="15" hidden="false" customHeight="false" outlineLevel="0" collapsed="false">
      <c r="A280" s="4" t="s">
        <v>146</v>
      </c>
      <c r="D280" s="25" t="n">
        <f aca="false">SUMPRODUCT(($B$258:$B$274=$A280)*D$258:D$274*$C$258:$C$274)</f>
        <v>451.276197380332</v>
      </c>
      <c r="E280" s="25" t="n">
        <f aca="false">SUMPRODUCT(($B$258:$B$274=$A280)*E$258:E$274*$C$258:$C$274)</f>
        <v>453.890242521556</v>
      </c>
      <c r="F280" s="25" t="n">
        <f aca="false">SUMPRODUCT(($B$258:$B$274=$A280)*F$258:F$274*$C$258:$C$274)</f>
        <v>456.519429680107</v>
      </c>
      <c r="G280" s="25" t="n">
        <f aca="false">SUMPRODUCT(($B$258:$B$274=$A280)*G$258:G$274*$C$258:$C$274)</f>
        <v>459.163846567053</v>
      </c>
      <c r="H280" s="25" t="n">
        <f aca="false">SUMPRODUCT(($B$258:$B$274=$A280)*H$258:H$274*$C$258:$C$274)</f>
        <v>461.823581401532</v>
      </c>
      <c r="I280" s="25" t="n">
        <f aca="false">SUMPRODUCT(($B$258:$B$274=$A280)*I$258:I$274*$C$258:$C$274)</f>
        <v>464.498722913699</v>
      </c>
      <c r="J280" s="25" t="n">
        <f aca="false">SUMPRODUCT(($B$258:$B$274=$A280)*J$258:J$274*$C$258:$C$274)</f>
        <v>467.189360347682</v>
      </c>
      <c r="K280" s="25" t="n">
        <f aca="false">SUMPRODUCT(($B$258:$B$274=$A280)*K$258:K$274*$C$258:$C$274)</f>
        <v>469.895583464562</v>
      </c>
      <c r="L280" s="25" t="n">
        <f aca="false">SUMPRODUCT(($B$258:$B$274=$A280)*L$258:L$274*$C$258:$C$274)</f>
        <v>472.617482545365</v>
      </c>
      <c r="M280" s="25" t="n">
        <f aca="false">SUMPRODUCT(($B$258:$B$274=$A280)*M$258:M$274*$C$258:$C$274)</f>
        <v>475.355148394077</v>
      </c>
      <c r="N280" s="25" t="n">
        <f aca="false">SUMPRODUCT(($B$258:$B$274=$A280)*N$258:N$274*$C$258:$C$274)</f>
        <v>478.108672340672</v>
      </c>
      <c r="O280" s="25" t="n">
        <f aca="false">SUMPRODUCT(($B$258:$B$274=$A280)*O$258:O$274*$C$258:$C$274)</f>
        <v>480.878146244157</v>
      </c>
      <c r="P280" s="25" t="n">
        <f aca="false">SUMPRODUCT(($B$258:$B$274=$A280)*P$258:P$274*$C$258:$C$274)</f>
        <v>5591.21641380079</v>
      </c>
    </row>
    <row r="281" customFormat="false" ht="15" hidden="false" customHeight="false" outlineLevel="0" collapsed="false">
      <c r="A281" s="4" t="s">
        <v>147</v>
      </c>
      <c r="D281" s="25" t="n">
        <f aca="false">SUMPRODUCT(($B$258:$B$274=$A281)*D$258:D$274*$C$258:$C$274)</f>
        <v>218.173421975494</v>
      </c>
      <c r="E281" s="25" t="n">
        <f aca="false">SUMPRODUCT(($B$258:$B$274=$A281)*E$258:E$274*$C$258:$C$274)</f>
        <v>219.43720494692</v>
      </c>
      <c r="F281" s="25" t="n">
        <f aca="false">SUMPRODUCT(($B$258:$B$274=$A281)*F$258:F$274*$C$258:$C$274)</f>
        <v>220.708308458971</v>
      </c>
      <c r="G281" s="25" t="n">
        <f aca="false">SUMPRODUCT(($B$258:$B$274=$A281)*G$258:G$274*$C$258:$C$274)</f>
        <v>221.986774916329</v>
      </c>
      <c r="H281" s="25" t="n">
        <f aca="false">SUMPRODUCT(($B$258:$B$274=$A281)*H$258:H$274*$C$258:$C$274)</f>
        <v>223.272646969308</v>
      </c>
      <c r="I281" s="25" t="n">
        <f aca="false">SUMPRODUCT(($B$258:$B$274=$A281)*I$258:I$274*$C$258:$C$274)</f>
        <v>224.565967515276</v>
      </c>
      <c r="J281" s="25" t="n">
        <f aca="false">SUMPRODUCT(($B$258:$B$274=$A281)*J$258:J$274*$C$258:$C$274)</f>
        <v>225.866779700086</v>
      </c>
      <c r="K281" s="25" t="n">
        <f aca="false">SUMPRODUCT(($B$258:$B$274=$A281)*K$258:K$274*$C$258:$C$274)</f>
        <v>227.175126919519</v>
      </c>
      <c r="L281" s="25" t="n">
        <f aca="false">SUMPRODUCT(($B$258:$B$274=$A281)*L$258:L$274*$C$258:$C$274)</f>
        <v>228.491052820726</v>
      </c>
      <c r="M281" s="25" t="n">
        <f aca="false">SUMPRODUCT(($B$258:$B$274=$A281)*M$258:M$274*$C$258:$C$274)</f>
        <v>229.814601303686</v>
      </c>
      <c r="N281" s="25" t="n">
        <f aca="false">SUMPRODUCT(($B$258:$B$274=$A281)*N$258:N$274*$C$258:$C$274)</f>
        <v>231.145816522675</v>
      </c>
      <c r="O281" s="25" t="n">
        <f aca="false">SUMPRODUCT(($B$258:$B$274=$A281)*O$258:O$274*$C$258:$C$274)</f>
        <v>232.484742887732</v>
      </c>
      <c r="P281" s="25" t="n">
        <f aca="false">SUMPRODUCT(($B$258:$B$274=$A281)*P$258:P$274*$C$258:$C$274)</f>
        <v>2703.12244493672</v>
      </c>
    </row>
    <row r="282" customFormat="false" ht="15" hidden="false" customHeight="false" outlineLevel="0" collapsed="false">
      <c r="A282" s="4" t="s">
        <v>150</v>
      </c>
      <c r="D282" s="25" t="n">
        <f aca="false">SUMPRODUCT(($B$258:$B$274=$A282)*D$258:D$274*$C$258:$C$274)</f>
        <v>222.365154340958</v>
      </c>
      <c r="E282" s="25" t="n">
        <f aca="false">SUMPRODUCT(($B$258:$B$274=$A282)*E$258:E$274*$C$258:$C$274)</f>
        <v>223.653218180036</v>
      </c>
      <c r="F282" s="25" t="n">
        <f aca="false">SUMPRODUCT(($B$258:$B$274=$A282)*F$258:F$274*$C$258:$C$274)</f>
        <v>224.948743208159</v>
      </c>
      <c r="G282" s="25" t="n">
        <f aca="false">SUMPRODUCT(($B$258:$B$274=$A282)*G$258:G$274*$C$258:$C$274)</f>
        <v>226.251772644724</v>
      </c>
      <c r="H282" s="25" t="n">
        <f aca="false">SUMPRODUCT(($B$258:$B$274=$A282)*H$258:H$274*$C$258:$C$274)</f>
        <v>227.562349959478</v>
      </c>
      <c r="I282" s="25" t="n">
        <f aca="false">SUMPRODUCT(($B$258:$B$274=$A282)*I$258:I$274*$C$258:$C$274)</f>
        <v>228.88051887397</v>
      </c>
      <c r="J282" s="25" t="n">
        <f aca="false">SUMPRODUCT(($B$258:$B$274=$A282)*J$258:J$274*$C$258:$C$274)</f>
        <v>230.206323363009</v>
      </c>
      <c r="K282" s="25" t="n">
        <f aca="false">SUMPRODUCT(($B$258:$B$274=$A282)*K$258:K$274*$C$258:$C$274)</f>
        <v>231.539807656129</v>
      </c>
      <c r="L282" s="25" t="n">
        <f aca="false">SUMPRODUCT(($B$258:$B$274=$A282)*L$258:L$274*$C$258:$C$274)</f>
        <v>232.88101623907</v>
      </c>
      <c r="M282" s="25" t="n">
        <f aca="false">SUMPRODUCT(($B$258:$B$274=$A282)*M$258:M$274*$C$258:$C$274)</f>
        <v>234.229993855254</v>
      </c>
      <c r="N282" s="25" t="n">
        <f aca="false">SUMPRODUCT(($B$258:$B$274=$A282)*N$258:N$274*$C$258:$C$274)</f>
        <v>235.586785507286</v>
      </c>
      <c r="O282" s="25" t="n">
        <f aca="false">SUMPRODUCT(($B$258:$B$274=$A282)*O$258:O$274*$C$258:$C$274)</f>
        <v>236.951436458448</v>
      </c>
      <c r="P282" s="25" t="n">
        <f aca="false">SUMPRODUCT(($B$258:$B$274=$A282)*P$258:P$274*$C$258:$C$274)</f>
        <v>2755.05712028652</v>
      </c>
    </row>
    <row r="283" customFormat="false" ht="15" hidden="false" customHeight="false" outlineLevel="0" collapsed="false">
      <c r="A283" s="4" t="s">
        <v>151</v>
      </c>
      <c r="D283" s="25" t="n">
        <f aca="false">SUMPRODUCT(($B$258:$B$274=$A283)*D$258:D$274*$C$258:$C$274)</f>
        <v>1628.49647524153</v>
      </c>
      <c r="E283" s="25" t="n">
        <f aca="false">SUMPRODUCT(($B$258:$B$274=$A283)*E$258:E$274*$C$258:$C$274)</f>
        <v>1637.92964127891</v>
      </c>
      <c r="F283" s="25" t="n">
        <f aca="false">SUMPRODUCT(($B$258:$B$274=$A283)*F$258:F$274*$C$258:$C$274)</f>
        <v>1647.417449511</v>
      </c>
      <c r="G283" s="25" t="n">
        <f aca="false">SUMPRODUCT(($B$258:$B$274=$A283)*G$258:G$274*$C$258:$C$274)</f>
        <v>1656.96021645607</v>
      </c>
      <c r="H283" s="25" t="n">
        <f aca="false">SUMPRODUCT(($B$258:$B$274=$A283)*H$258:H$274*$C$258:$C$274)</f>
        <v>1666.55826046586</v>
      </c>
      <c r="I283" s="25" t="n">
        <f aca="false">SUMPRODUCT(($B$258:$B$274=$A283)*I$258:I$274*$C$258:$C$274)</f>
        <v>1676.21190173617</v>
      </c>
      <c r="J283" s="25" t="n">
        <f aca="false">SUMPRODUCT(($B$258:$B$274=$A283)*J$258:J$274*$C$258:$C$274)</f>
        <v>1685.92146231753</v>
      </c>
      <c r="K283" s="25" t="n">
        <f aca="false">SUMPRODUCT(($B$258:$B$274=$A283)*K$258:K$274*$C$258:$C$274)</f>
        <v>1695.68726612602</v>
      </c>
      <c r="L283" s="25" t="n">
        <f aca="false">SUMPRODUCT(($B$258:$B$274=$A283)*L$258:L$274*$C$258:$C$274)</f>
        <v>1705.50963895397</v>
      </c>
      <c r="M283" s="25" t="n">
        <f aca="false">SUMPRODUCT(($B$258:$B$274=$A283)*M$258:M$274*$C$258:$C$274)</f>
        <v>1715.38890848092</v>
      </c>
      <c r="N283" s="25" t="n">
        <f aca="false">SUMPRODUCT(($B$258:$B$274=$A283)*N$258:N$274*$C$258:$C$274)</f>
        <v>1725.3254042845</v>
      </c>
      <c r="O283" s="25" t="n">
        <f aca="false">SUMPRODUCT(($B$258:$B$274=$A283)*O$258:O$274*$C$258:$C$274)</f>
        <v>1735.31945785143</v>
      </c>
      <c r="P283" s="25" t="n">
        <f aca="false">SUMPRODUCT(($B$258:$B$274=$A283)*P$258:P$274*$C$258:$C$274)</f>
        <v>20176.7260827039</v>
      </c>
    </row>
    <row r="284" customFormat="false" ht="15" hidden="false" customHeight="false" outlineLevel="0" collapsed="false">
      <c r="A284" s="4" t="s">
        <v>154</v>
      </c>
      <c r="D284" s="25" t="n">
        <f aca="false">SUMPRODUCT(($B$258:$B$274=$A284)*D$258:D$274*$C$258:$C$274)</f>
        <v>67.3111003760573</v>
      </c>
      <c r="E284" s="25" t="n">
        <f aca="false">SUMPRODUCT(($B$258:$B$274=$A284)*E$258:E$274*$C$258:$C$274)</f>
        <v>67.7010040667679</v>
      </c>
      <c r="F284" s="25" t="n">
        <f aca="false">SUMPRODUCT(($B$258:$B$274=$A284)*F$258:F$274*$C$258:$C$274)</f>
        <v>68.0931662985984</v>
      </c>
      <c r="G284" s="25" t="n">
        <f aca="false">SUMPRODUCT(($B$258:$B$274=$A284)*G$258:G$274*$C$258:$C$274)</f>
        <v>68.4876001542873</v>
      </c>
      <c r="H284" s="25" t="n">
        <f aca="false">SUMPRODUCT(($B$258:$B$274=$A284)*H$258:H$274*$C$258:$C$274)</f>
        <v>68.8843187923556</v>
      </c>
      <c r="I284" s="25" t="n">
        <f aca="false">SUMPRODUCT(($B$258:$B$274=$A284)*I$258:I$274*$C$258:$C$274)</f>
        <v>69.2833354475458</v>
      </c>
      <c r="J284" s="25" t="n">
        <f aca="false">SUMPRODUCT(($B$258:$B$274=$A284)*J$258:J$274*$C$258:$C$274)</f>
        <v>69.6846634312634</v>
      </c>
      <c r="K284" s="25" t="n">
        <f aca="false">SUMPRODUCT(($B$258:$B$274=$A284)*K$258:K$274*$C$258:$C$274)</f>
        <v>70.0883161320212</v>
      </c>
      <c r="L284" s="25" t="n">
        <f aca="false">SUMPRODUCT(($B$258:$B$274=$A284)*L$258:L$274*$C$258:$C$274)</f>
        <v>70.4943070158856</v>
      </c>
      <c r="M284" s="25" t="n">
        <f aca="false">SUMPRODUCT(($B$258:$B$274=$A284)*M$258:M$274*$C$258:$C$274)</f>
        <v>70.9026496269263</v>
      </c>
      <c r="N284" s="25" t="n">
        <f aca="false">SUMPRODUCT(($B$258:$B$274=$A284)*N$258:N$274*$C$258:$C$274)</f>
        <v>71.3133575876675</v>
      </c>
      <c r="O284" s="25" t="n">
        <f aca="false">SUMPRODUCT(($B$258:$B$274=$A284)*O$258:O$274*$C$258:$C$274)</f>
        <v>71.726444599543</v>
      </c>
      <c r="P284" s="25" t="n">
        <f aca="false">SUMPRODUCT(($B$258:$B$274=$A284)*P$258:P$274*$C$258:$C$274)</f>
        <v>833.970263528919</v>
      </c>
    </row>
    <row r="285" customFormat="false" ht="15" hidden="false" customHeight="false" outlineLevel="0" collapsed="false">
      <c r="A285" s="6" t="s">
        <v>274</v>
      </c>
      <c r="D285" s="26" t="n">
        <f aca="false">SUMPRODUCT(D$258:D$274*parametros_recargas!$D$51:$D$67)</f>
        <v>679.051445960385</v>
      </c>
      <c r="E285" s="26" t="n">
        <f aca="false">SUMPRODUCT(E$258:E$274*parametros_recargas!$D$51:$D$67)</f>
        <v>682.98489324446</v>
      </c>
      <c r="F285" s="26" t="n">
        <f aca="false">SUMPRODUCT(F$258:F$274*parametros_recargas!$D$51:$D$67)</f>
        <v>686.94112526396</v>
      </c>
      <c r="G285" s="26" t="n">
        <f aca="false">SUMPRODUCT(G$258:G$274*parametros_recargas!$D$51:$D$67)</f>
        <v>690.920274000869</v>
      </c>
      <c r="H285" s="26" t="n">
        <f aca="false">SUMPRODUCT(H$258:H$274*parametros_recargas!$D$51:$D$67)</f>
        <v>694.92247220168</v>
      </c>
      <c r="I285" s="26" t="n">
        <f aca="false">SUMPRODUCT(I$258:I$274*parametros_recargas!$D$51:$D$67)</f>
        <v>698.947853381833</v>
      </c>
      <c r="J285" s="26" t="n">
        <f aca="false">SUMPRODUCT(J$258:J$274*parametros_recargas!$D$51:$D$67)</f>
        <v>702.996551830161</v>
      </c>
      <c r="K285" s="26" t="n">
        <f aca="false">SUMPRODUCT(K$258:K$274*parametros_recargas!$D$51:$D$67)</f>
        <v>707.068702613376</v>
      </c>
      <c r="L285" s="26" t="n">
        <f aca="false">SUMPRODUCT(L$258:L$274*parametros_recargas!$D$51:$D$67)</f>
        <v>711.164441580569</v>
      </c>
      <c r="M285" s="26" t="n">
        <f aca="false">SUMPRODUCT(M$258:M$274*parametros_recargas!$D$51:$D$67)</f>
        <v>715.283905367749</v>
      </c>
      <c r="N285" s="26" t="n">
        <f aca="false">SUMPRODUCT(N$258:N$274*parametros_recargas!$D$51:$D$67)</f>
        <v>719.427231402395</v>
      </c>
      <c r="O285" s="26" t="n">
        <f aca="false">SUMPRODUCT(O$258:O$274*parametros_recargas!$D$51:$D$67)</f>
        <v>723.594557908043</v>
      </c>
      <c r="P285" s="26" t="n">
        <f aca="false">SUMPRODUCT(P$258:P$274*parametros_recargas!$D$51:$D$67)</f>
        <v>8413.30345475548</v>
      </c>
    </row>
    <row r="289" customFormat="false" ht="15" hidden="false" customHeight="false" outlineLevel="0" collapsed="false">
      <c r="A289" s="23" t="n">
        <v>2035</v>
      </c>
      <c r="B289" s="3" t="s">
        <v>270</v>
      </c>
      <c r="C289" s="3" t="s">
        <v>271</v>
      </c>
      <c r="D289" s="3" t="s">
        <v>124</v>
      </c>
      <c r="E289" s="3" t="s">
        <v>125</v>
      </c>
      <c r="F289" s="3" t="s">
        <v>126</v>
      </c>
      <c r="G289" s="3" t="s">
        <v>127</v>
      </c>
      <c r="H289" s="3" t="s">
        <v>128</v>
      </c>
      <c r="I289" s="3" t="s">
        <v>129</v>
      </c>
      <c r="J289" s="3" t="s">
        <v>130</v>
      </c>
      <c r="K289" s="3" t="s">
        <v>131</v>
      </c>
      <c r="L289" s="3" t="s">
        <v>132</v>
      </c>
      <c r="M289" s="3" t="s">
        <v>133</v>
      </c>
      <c r="N289" s="3" t="s">
        <v>134</v>
      </c>
      <c r="O289" s="3" t="s">
        <v>135</v>
      </c>
      <c r="P289" s="3" t="s">
        <v>136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4" t="n">
        <f aca="false">parametros_recargas!C51</f>
        <v>1</v>
      </c>
      <c r="D290" s="25" t="n">
        <f aca="false">datos_base!$K$2*parametros_recargas!$F$46</f>
        <v>11275.9680676169</v>
      </c>
      <c r="E290" s="25" t="n">
        <f aca="false">datos_base!$K$2*parametros_recargas!$G$46</f>
        <v>11341.2848064807</v>
      </c>
      <c r="F290" s="25" t="n">
        <f aca="false">datos_base!$K$2*parametros_recargas!$H$46</f>
        <v>11406.9798965734</v>
      </c>
      <c r="G290" s="25" t="n">
        <f aca="false">datos_base!$K$2*parametros_recargas!$I$46</f>
        <v>11473.0555295179</v>
      </c>
      <c r="H290" s="25" t="n">
        <f aca="false">datos_base!$K$2*parametros_recargas!$J$46</f>
        <v>11539.5139096319</v>
      </c>
      <c r="I290" s="25" t="n">
        <f aca="false">datos_base!$K$2*parametros_recargas!$K$46</f>
        <v>11606.3572540021</v>
      </c>
      <c r="J290" s="25" t="n">
        <f aca="false">datos_base!$K$2*parametros_recargas!$L$46</f>
        <v>11673.5877925575</v>
      </c>
      <c r="K290" s="25" t="n">
        <f aca="false">datos_base!$K$2*parametros_recargas!$M$46</f>
        <v>11741.2077681443</v>
      </c>
      <c r="L290" s="25" t="n">
        <f aca="false">datos_base!$K$2*parametros_recargas!$N$46</f>
        <v>11809.2194366006</v>
      </c>
      <c r="M290" s="25" t="n">
        <f aca="false">datos_base!$K$2*parametros_recargas!$O$46</f>
        <v>11877.6250668312</v>
      </c>
      <c r="N290" s="25" t="n">
        <f aca="false">datos_base!$K$2*parametros_recargas!$P$46</f>
        <v>11946.4269408841</v>
      </c>
      <c r="O290" s="25" t="n">
        <f aca="false">datos_base!$K$2*parametros_recargas!$Q$46</f>
        <v>12015.6273540259</v>
      </c>
      <c r="P290" s="7" t="n">
        <f aca="false">SUM(D290:O290)</f>
        <v>139706.853822866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4" t="n">
        <f aca="false">parametros_recargas!C52</f>
        <v>1</v>
      </c>
      <c r="D291" s="25" t="n">
        <f aca="false">datos_base!$K$3*parametros_recargas!$F$46</f>
        <v>954.82271790768</v>
      </c>
      <c r="E291" s="25" t="n">
        <f aca="false">datos_base!$K$3*parametros_recargas!$G$46</f>
        <v>960.35358725325</v>
      </c>
      <c r="F291" s="25" t="n">
        <f aca="false">datos_base!$K$3*parametros_recargas!$H$46</f>
        <v>965.916494499829</v>
      </c>
      <c r="G291" s="25" t="n">
        <f aca="false">datos_base!$K$3*parametros_recargas!$I$46</f>
        <v>971.51162522893</v>
      </c>
      <c r="H291" s="25" t="n">
        <f aca="false">datos_base!$K$3*parametros_recargas!$J$46</f>
        <v>977.139166097059</v>
      </c>
      <c r="I291" s="25" t="n">
        <f aca="false">datos_base!$K$3*parametros_recargas!$K$46</f>
        <v>982.79930484194</v>
      </c>
      <c r="J291" s="25" t="n">
        <f aca="false">datos_base!$K$3*parametros_recargas!$L$46</f>
        <v>988.49223028878</v>
      </c>
      <c r="K291" s="25" t="n">
        <f aca="false">datos_base!$K$3*parametros_recargas!$M$46</f>
        <v>994.218132356568</v>
      </c>
      <c r="L291" s="25" t="n">
        <f aca="false">datos_base!$K$3*parametros_recargas!$N$46</f>
        <v>999.977202064409</v>
      </c>
      <c r="M291" s="25" t="n">
        <f aca="false">datos_base!$K$3*parametros_recargas!$O$46</f>
        <v>1005.7696315379</v>
      </c>
      <c r="N291" s="25" t="n">
        <f aca="false">datos_base!$K$3*parametros_recargas!$P$46</f>
        <v>1011.59561401553</v>
      </c>
      <c r="O291" s="25" t="n">
        <f aca="false">datos_base!$K$3*parametros_recargas!$Q$46</f>
        <v>1017.45534385516</v>
      </c>
      <c r="P291" s="7" t="n">
        <f aca="false">SUM(D291:O291)</f>
        <v>11830.051049947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4" t="n">
        <f aca="false">parametros_recargas!C53</f>
        <v>1</v>
      </c>
      <c r="D292" s="25" t="n">
        <f aca="false">datos_base!$K$4*parametros_recargas!$F$46</f>
        <v>5807.67450535719</v>
      </c>
      <c r="E292" s="25" t="n">
        <f aca="false">datos_base!$K$4*parametros_recargas!$G$46</f>
        <v>5841.31581728693</v>
      </c>
      <c r="F292" s="25" t="n">
        <f aca="false">datos_base!$K$4*parametros_recargas!$H$46</f>
        <v>5875.15199858603</v>
      </c>
      <c r="G292" s="25" t="n">
        <f aca="false">datos_base!$K$4*parametros_recargas!$I$46</f>
        <v>5909.18417804731</v>
      </c>
      <c r="H292" s="25" t="n">
        <f aca="false">datos_base!$K$4*parametros_recargas!$J$46</f>
        <v>5943.41349100218</v>
      </c>
      <c r="I292" s="25" t="n">
        <f aca="false">datos_base!$K$4*parametros_recargas!$K$46</f>
        <v>5977.84107935855</v>
      </c>
      <c r="J292" s="25" t="n">
        <f aca="false">datos_base!$K$4*parametros_recargas!$L$46</f>
        <v>6012.46809163886</v>
      </c>
      <c r="K292" s="25" t="n">
        <f aca="false">datos_base!$K$4*parametros_recargas!$M$46</f>
        <v>6047.29568301848</v>
      </c>
      <c r="L292" s="25" t="n">
        <f aca="false">datos_base!$K$4*parametros_recargas!$N$46</f>
        <v>6082.32501536417</v>
      </c>
      <c r="M292" s="25" t="n">
        <f aca="false">datos_base!$K$4*parametros_recargas!$O$46</f>
        <v>6117.55725727289</v>
      </c>
      <c r="N292" s="25" t="n">
        <f aca="false">datos_base!$K$4*parametros_recargas!$P$46</f>
        <v>6152.99358411079</v>
      </c>
      <c r="O292" s="25" t="n">
        <f aca="false">datos_base!$K$4*parametros_recargas!$Q$46</f>
        <v>6188.63517805235</v>
      </c>
      <c r="P292" s="7" t="n">
        <f aca="false">SUM(D292:O292)</f>
        <v>71955.8558790957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4" t="n">
        <f aca="false">parametros_recargas!C54</f>
        <v>1</v>
      </c>
      <c r="D293" s="25" t="n">
        <f aca="false">datos_base!$K$5*parametros_recargas!$F$46</f>
        <v>343.87846658607</v>
      </c>
      <c r="E293" s="25" t="n">
        <f aca="false">datos_base!$K$5*parametros_recargas!$G$46</f>
        <v>345.870403763278</v>
      </c>
      <c r="F293" s="25" t="n">
        <f aca="false">datos_base!$K$5*parametros_recargas!$H$46</f>
        <v>347.873879359152</v>
      </c>
      <c r="G293" s="25" t="n">
        <f aca="false">datos_base!$K$5*parametros_recargas!$I$46</f>
        <v>349.888960210693</v>
      </c>
      <c r="H293" s="25" t="n">
        <f aca="false">datos_base!$K$5*parametros_recargas!$J$46</f>
        <v>351.915713542058</v>
      </c>
      <c r="I293" s="25" t="n">
        <f aca="false">datos_base!$K$5*parametros_recargas!$K$46</f>
        <v>353.954206966805</v>
      </c>
      <c r="J293" s="25" t="n">
        <f aca="false">datos_base!$K$5*parametros_recargas!$L$46</f>
        <v>356.004508490148</v>
      </c>
      <c r="K293" s="25" t="n">
        <f aca="false">datos_base!$K$5*parametros_recargas!$M$46</f>
        <v>358.066686511223</v>
      </c>
      <c r="L293" s="25" t="n">
        <f aca="false">datos_base!$K$5*parametros_recargas!$N$46</f>
        <v>360.140809825376</v>
      </c>
      <c r="M293" s="25" t="n">
        <f aca="false">datos_base!$K$5*parametros_recargas!$O$46</f>
        <v>362.22694762645</v>
      </c>
      <c r="N293" s="25" t="n">
        <f aca="false">datos_base!$K$5*parametros_recargas!$P$46</f>
        <v>364.325169509101</v>
      </c>
      <c r="O293" s="25" t="n">
        <f aca="false">datos_base!$K$5*parametros_recargas!$Q$46</f>
        <v>366.435545471115</v>
      </c>
      <c r="P293" s="7" t="n">
        <f aca="false">SUM(D293:O293)</f>
        <v>4260.58129786147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4" t="n">
        <f aca="false">parametros_recargas!C55</f>
        <v>1</v>
      </c>
      <c r="D294" s="25" t="n">
        <f aca="false">datos_base!$K$6*parametros_recargas!$F$46</f>
        <v>485.478925232214</v>
      </c>
      <c r="E294" s="25" t="n">
        <f aca="false">datos_base!$K$6*parametros_recargas!$G$46</f>
        <v>488.291091779079</v>
      </c>
      <c r="F294" s="25" t="n">
        <f aca="false">datos_base!$K$6*parametros_recargas!$H$46</f>
        <v>491.119547973705</v>
      </c>
      <c r="G294" s="25" t="n">
        <f aca="false">datos_base!$K$6*parametros_recargas!$I$46</f>
        <v>493.964388174879</v>
      </c>
      <c r="H294" s="25" t="n">
        <f aca="false">datos_base!$K$6*parametros_recargas!$J$46</f>
        <v>496.825707287967</v>
      </c>
      <c r="I294" s="25" t="n">
        <f aca="false">datos_base!$K$6*parametros_recargas!$K$46</f>
        <v>499.70360076808</v>
      </c>
      <c r="J294" s="25" t="n">
        <f aca="false">datos_base!$K$6*parametros_recargas!$L$46</f>
        <v>502.598164623258</v>
      </c>
      <c r="K294" s="25" t="n">
        <f aca="false">datos_base!$K$6*parametros_recargas!$M$46</f>
        <v>505.509495417676</v>
      </c>
      <c r="L294" s="25" t="n">
        <f aca="false">datos_base!$K$6*parametros_recargas!$N$46</f>
        <v>508.437690274861</v>
      </c>
      <c r="M294" s="25" t="n">
        <f aca="false">datos_base!$K$6*parametros_recargas!$O$46</f>
        <v>511.382846880933</v>
      </c>
      <c r="N294" s="25" t="n">
        <f aca="false">datos_base!$K$6*parametros_recargas!$P$46</f>
        <v>514.345063487867</v>
      </c>
      <c r="O294" s="25" t="n">
        <f aca="false">datos_base!$K$6*parametros_recargas!$Q$46</f>
        <v>517.324438916767</v>
      </c>
      <c r="P294" s="7" t="n">
        <f aca="false">SUM(D294:O294)</f>
        <v>6014.98096081729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4" t="n">
        <f aca="false">parametros_recargas!C56</f>
        <v>1</v>
      </c>
      <c r="D295" s="25" t="n">
        <f aca="false">datos_base!$K$7*parametros_recargas!$F$46</f>
        <v>92.171297307541</v>
      </c>
      <c r="E295" s="25" t="n">
        <f aca="false">datos_base!$K$7*parametros_recargas!$G$46</f>
        <v>92.7052052186732</v>
      </c>
      <c r="F295" s="25" t="n">
        <f aca="false">datos_base!$K$7*parametros_recargas!$H$46</f>
        <v>93.242205824233</v>
      </c>
      <c r="G295" s="25" t="n">
        <f aca="false">datos_base!$K$7*parametros_recargas!$I$46</f>
        <v>93.7823170388433</v>
      </c>
      <c r="H295" s="25" t="n">
        <f aca="false">datos_base!$K$7*parametros_recargas!$J$46</f>
        <v>94.3255568808982</v>
      </c>
      <c r="I295" s="25" t="n">
        <f aca="false">datos_base!$K$7*parametros_recargas!$K$46</f>
        <v>94.8719434731649</v>
      </c>
      <c r="J295" s="25" t="n">
        <f aca="false">datos_base!$K$7*parametros_recargas!$L$46</f>
        <v>95.4214950433875</v>
      </c>
      <c r="K295" s="25" t="n">
        <f aca="false">datos_base!$K$7*parametros_recargas!$M$46</f>
        <v>95.9742299248955</v>
      </c>
      <c r="L295" s="25" t="n">
        <f aca="false">datos_base!$K$7*parametros_recargas!$N$46</f>
        <v>96.5301665572156</v>
      </c>
      <c r="M295" s="25" t="n">
        <f aca="false">datos_base!$K$7*parametros_recargas!$O$46</f>
        <v>97.0893234866862</v>
      </c>
      <c r="N295" s="25" t="n">
        <f aca="false">datos_base!$K$7*parametros_recargas!$P$46</f>
        <v>97.6517193670768</v>
      </c>
      <c r="O295" s="25" t="n">
        <f aca="false">datos_base!$K$7*parametros_recargas!$Q$46</f>
        <v>98.2173729602099</v>
      </c>
      <c r="P295" s="7" t="n">
        <f aca="false">SUM(D295:O295)</f>
        <v>1141.98283308283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4" t="n">
        <f aca="false">parametros_recargas!C57</f>
        <v>3</v>
      </c>
      <c r="D296" s="25" t="n">
        <f aca="false">datos_base!$K$8*parametros_recargas!$F$46</f>
        <v>48.0463403923863</v>
      </c>
      <c r="E296" s="25" t="n">
        <f aca="false">datos_base!$K$8*parametros_recargas!$G$46</f>
        <v>48.3246517754934</v>
      </c>
      <c r="F296" s="25" t="n">
        <f aca="false">datos_base!$K$8*parametros_recargas!$H$46</f>
        <v>48.6045752944123</v>
      </c>
      <c r="G296" s="25" t="n">
        <f aca="false">datos_base!$K$8*parametros_recargas!$I$46</f>
        <v>48.8861202875388</v>
      </c>
      <c r="H296" s="25" t="n">
        <f aca="false">datos_base!$K$8*parametros_recargas!$J$46</f>
        <v>49.1692961473619</v>
      </c>
      <c r="I296" s="25" t="n">
        <f aca="false">datos_base!$K$8*parametros_recargas!$K$46</f>
        <v>49.4541123207775</v>
      </c>
      <c r="J296" s="25" t="n">
        <f aca="false">datos_base!$K$8*parametros_recargas!$L$46</f>
        <v>49.7405783094028</v>
      </c>
      <c r="K296" s="25" t="n">
        <f aca="false">datos_base!$K$8*parametros_recargas!$M$46</f>
        <v>50.0287036698941</v>
      </c>
      <c r="L296" s="25" t="n">
        <f aca="false">datos_base!$K$8*parametros_recargas!$N$46</f>
        <v>50.3184980142649</v>
      </c>
      <c r="M296" s="25" t="n">
        <f aca="false">datos_base!$K$8*parametros_recargas!$O$46</f>
        <v>50.6099710102071</v>
      </c>
      <c r="N296" s="25" t="n">
        <f aca="false">datos_base!$K$8*parametros_recargas!$P$46</f>
        <v>50.9031323814132</v>
      </c>
      <c r="O296" s="25" t="n">
        <f aca="false">datos_base!$K$8*parametros_recargas!$Q$46</f>
        <v>51.1979919079007</v>
      </c>
      <c r="P296" s="7" t="n">
        <f aca="false">SUM(D296:O296)</f>
        <v>595.283971511053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4" t="n">
        <f aca="false">parametros_recargas!C58</f>
        <v>1</v>
      </c>
      <c r="D297" s="25" t="n">
        <f aca="false">datos_base!$K$9*parametros_recargas!$F$46</f>
        <v>27.774716328488</v>
      </c>
      <c r="E297" s="25" t="n">
        <f aca="false">datos_base!$K$9*parametros_recargas!$G$46</f>
        <v>27.9356030818528</v>
      </c>
      <c r="F297" s="25" t="n">
        <f aca="false">datos_base!$K$9*parametros_recargas!$H$46</f>
        <v>28.0974217816362</v>
      </c>
      <c r="G297" s="25" t="n">
        <f aca="false">datos_base!$K$9*parametros_recargas!$I$46</f>
        <v>28.2601778261951</v>
      </c>
      <c r="H297" s="25" t="n">
        <f aca="false">datos_base!$K$9*parametros_recargas!$J$46</f>
        <v>28.4238766451567</v>
      </c>
      <c r="I297" s="25" t="n">
        <f aca="false">datos_base!$K$9*parametros_recargas!$K$46</f>
        <v>28.5885236995999</v>
      </c>
      <c r="J297" s="25" t="n">
        <f aca="false">datos_base!$K$9*parametros_recargas!$L$46</f>
        <v>28.7541244822371</v>
      </c>
      <c r="K297" s="25" t="n">
        <f aca="false">datos_base!$K$9*parametros_recargas!$M$46</f>
        <v>28.9206845175973</v>
      </c>
      <c r="L297" s="25" t="n">
        <f aca="false">datos_base!$K$9*parametros_recargas!$N$46</f>
        <v>29.0882093622112</v>
      </c>
      <c r="M297" s="25" t="n">
        <f aca="false">datos_base!$K$9*parametros_recargas!$O$46</f>
        <v>29.2567046047956</v>
      </c>
      <c r="N297" s="25" t="n">
        <f aca="false">datos_base!$K$9*parametros_recargas!$P$46</f>
        <v>29.4261758664406</v>
      </c>
      <c r="O297" s="25" t="n">
        <f aca="false">datos_base!$K$9*parametros_recargas!$Q$46</f>
        <v>29.5966288007965</v>
      </c>
      <c r="P297" s="7" t="n">
        <f aca="false">SUM(D297:O297)</f>
        <v>344.122846997007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4" t="n">
        <f aca="false">parametros_recargas!C59</f>
        <v>1</v>
      </c>
      <c r="D298" s="25" t="n">
        <f aca="false">datos_base!$K$10*parametros_recargas!$F$46</f>
        <v>239.416267679896</v>
      </c>
      <c r="E298" s="25" t="n">
        <f aca="false">datos_base!$K$10*parametros_recargas!$G$46</f>
        <v>240.803101142178</v>
      </c>
      <c r="F298" s="25" t="n">
        <f aca="false">datos_base!$K$10*parametros_recargas!$H$46</f>
        <v>242.197967922625</v>
      </c>
      <c r="G298" s="25" t="n">
        <f aca="false">datos_base!$K$10*parametros_recargas!$I$46</f>
        <v>243.600914554726</v>
      </c>
      <c r="H298" s="25" t="n">
        <f aca="false">datos_base!$K$10*parametros_recargas!$J$46</f>
        <v>245.01198784152</v>
      </c>
      <c r="I298" s="25" t="n">
        <f aca="false">datos_base!$K$10*parametros_recargas!$K$46</f>
        <v>246.431234857154</v>
      </c>
      <c r="J298" s="25" t="n">
        <f aca="false">datos_base!$K$10*parametros_recargas!$L$46</f>
        <v>247.858702948455</v>
      </c>
      <c r="K298" s="25" t="n">
        <f aca="false">datos_base!$K$10*parametros_recargas!$M$46</f>
        <v>249.29443973651</v>
      </c>
      <c r="L298" s="25" t="n">
        <f aca="false">datos_base!$K$10*parametros_recargas!$N$46</f>
        <v>250.738493118253</v>
      </c>
      <c r="M298" s="25" t="n">
        <f aca="false">datos_base!$K$10*parametros_recargas!$O$46</f>
        <v>252.190911268065</v>
      </c>
      <c r="N298" s="25" t="n">
        <f aca="false">datos_base!$K$10*parametros_recargas!$P$46</f>
        <v>253.65174263938</v>
      </c>
      <c r="O298" s="25" t="n">
        <f aca="false">datos_base!$K$10*parametros_recargas!$Q$46</f>
        <v>255.121035966301</v>
      </c>
      <c r="P298" s="7" t="n">
        <f aca="false">SUM(D298:O298)</f>
        <v>2966.31679967506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4" t="n">
        <f aca="false">parametros_recargas!C60</f>
        <v>1</v>
      </c>
      <c r="D299" s="25" t="n">
        <f aca="false">datos_base!$K$11*parametros_recargas!$F$46</f>
        <v>1306.04239426773</v>
      </c>
      <c r="E299" s="25" t="n">
        <f aca="false">datos_base!$K$11*parametros_recargas!$G$46</f>
        <v>1313.60772519985</v>
      </c>
      <c r="F299" s="25" t="n">
        <f aca="false">datos_base!$K$11*parametros_recargas!$H$46</f>
        <v>1321.21687877689</v>
      </c>
      <c r="G299" s="25" t="n">
        <f aca="false">datos_base!$K$11*parametros_recargas!$I$46</f>
        <v>1328.87010884424</v>
      </c>
      <c r="H299" s="25" t="n">
        <f aca="false">datos_base!$K$11*parametros_recargas!$J$46</f>
        <v>1336.56767071767</v>
      </c>
      <c r="I299" s="25" t="n">
        <f aca="false">datos_base!$K$11*parametros_recargas!$K$46</f>
        <v>1344.3098211919</v>
      </c>
      <c r="J299" s="25" t="n">
        <f aca="false">datos_base!$K$11*parametros_recargas!$L$46</f>
        <v>1352.09681854913</v>
      </c>
      <c r="K299" s="25" t="n">
        <f aca="false">datos_base!$K$11*parametros_recargas!$M$46</f>
        <v>1359.92892256771</v>
      </c>
      <c r="L299" s="25" t="n">
        <f aca="false">datos_base!$K$11*parametros_recargas!$N$46</f>
        <v>1367.80639453075</v>
      </c>
      <c r="M299" s="25" t="n">
        <f aca="false">datos_base!$K$11*parametros_recargas!$O$46</f>
        <v>1375.72949723484</v>
      </c>
      <c r="N299" s="25" t="n">
        <f aca="false">datos_base!$K$11*parametros_recargas!$P$46</f>
        <v>1383.69849499887</v>
      </c>
      <c r="O299" s="25" t="n">
        <f aca="false">datos_base!$K$11*parametros_recargas!$Q$46</f>
        <v>1391.7136536728</v>
      </c>
      <c r="P299" s="7" t="n">
        <f aca="false">SUM(D299:O299)</f>
        <v>16181.5883805524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4" t="n">
        <f aca="false">parametros_recargas!C61</f>
        <v>1</v>
      </c>
      <c r="D300" s="25" t="n">
        <f aca="false">datos_base!$K$12*parametros_recargas!$F$46</f>
        <v>446.3435021728</v>
      </c>
      <c r="E300" s="25" t="n">
        <f aca="false">datos_base!$K$12*parametros_recargas!$G$46</f>
        <v>448.928974373515</v>
      </c>
      <c r="F300" s="25" t="n">
        <f aca="false">datos_base!$K$12*parametros_recargas!$H$46</f>
        <v>451.529423081042</v>
      </c>
      <c r="G300" s="25" t="n">
        <f aca="false">datos_base!$K$12*parametros_recargas!$I$46</f>
        <v>454.144935047719</v>
      </c>
      <c r="H300" s="25" t="n">
        <f aca="false">datos_base!$K$12*parametros_recargas!$J$46</f>
        <v>456.775597528399</v>
      </c>
      <c r="I300" s="25" t="n">
        <f aca="false">datos_base!$K$12*parametros_recargas!$K$46</f>
        <v>459.421498283369</v>
      </c>
      <c r="J300" s="25" t="n">
        <f aca="false">datos_base!$K$12*parametros_recargas!$L$46</f>
        <v>462.082725581269</v>
      </c>
      <c r="K300" s="25" t="n">
        <f aca="false">datos_base!$K$12*parametros_recargas!$M$46</f>
        <v>464.759368202043</v>
      </c>
      <c r="L300" s="25" t="n">
        <f aca="false">datos_base!$K$12*parametros_recargas!$N$46</f>
        <v>467.451515439897</v>
      </c>
      <c r="M300" s="25" t="n">
        <f aca="false">datos_base!$K$12*parametros_recargas!$O$46</f>
        <v>470.159257106279</v>
      </c>
      <c r="N300" s="25" t="n">
        <f aca="false">datos_base!$K$12*parametros_recargas!$P$46</f>
        <v>472.882683532876</v>
      </c>
      <c r="O300" s="25" t="n">
        <f aca="false">datos_base!$K$12*parametros_recargas!$Q$46</f>
        <v>475.621885574626</v>
      </c>
      <c r="P300" s="7" t="n">
        <f aca="false">SUM(D300:O300)</f>
        <v>5530.10136592383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4" t="n">
        <f aca="false">parametros_recargas!C62</f>
        <v>1</v>
      </c>
      <c r="D301" s="25" t="n">
        <f aca="false">datos_base!$K$13*parametros_recargas!$F$46</f>
        <v>73.0699541822284</v>
      </c>
      <c r="E301" s="25" t="n">
        <f aca="false">datos_base!$K$13*parametros_recargas!$G$46</f>
        <v>73.4932163879647</v>
      </c>
      <c r="F301" s="25" t="n">
        <f aca="false">datos_base!$K$13*parametros_recargas!$H$46</f>
        <v>73.9189303660718</v>
      </c>
      <c r="G301" s="25" t="n">
        <f aca="false">datos_base!$K$13*parametros_recargas!$I$46</f>
        <v>74.3471103185921</v>
      </c>
      <c r="H301" s="25" t="n">
        <f aca="false">datos_base!$K$13*parametros_recargas!$J$46</f>
        <v>74.7777705298341</v>
      </c>
      <c r="I301" s="25" t="n">
        <f aca="false">datos_base!$K$13*parametros_recargas!$K$46</f>
        <v>75.2109253668491</v>
      </c>
      <c r="J301" s="25" t="n">
        <f aca="false">datos_base!$K$13*parametros_recargas!$L$46</f>
        <v>75.6465892799103</v>
      </c>
      <c r="K301" s="25" t="n">
        <f aca="false">datos_base!$K$13*parametros_recargas!$M$46</f>
        <v>76.0847768029953</v>
      </c>
      <c r="L301" s="25" t="n">
        <f aca="false">datos_base!$K$13*parametros_recargas!$N$46</f>
        <v>76.5255025542702</v>
      </c>
      <c r="M301" s="25" t="n">
        <f aca="false">datos_base!$K$13*parametros_recargas!$O$46</f>
        <v>76.968781236578</v>
      </c>
      <c r="N301" s="25" t="n">
        <f aca="false">datos_base!$K$13*parametros_recargas!$P$46</f>
        <v>77.414627637929</v>
      </c>
      <c r="O301" s="25" t="n">
        <f aca="false">datos_base!$K$13*parametros_recargas!$Q$46</f>
        <v>77.8630566319935</v>
      </c>
      <c r="P301" s="7" t="n">
        <f aca="false">SUM(D301:O301)</f>
        <v>905.321241295216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4" t="n">
        <f aca="false">parametros_recargas!C63</f>
        <v>1</v>
      </c>
      <c r="D302" s="25" t="n">
        <f aca="false">datos_base!$K$14*parametros_recargas!$F$46</f>
        <v>25.0866043858567</v>
      </c>
      <c r="E302" s="25" t="n">
        <f aca="false">datos_base!$K$14*parametros_recargas!$G$46</f>
        <v>25.2319200853891</v>
      </c>
      <c r="F302" s="25" t="n">
        <f aca="false">datos_base!$K$14*parametros_recargas!$H$46</f>
        <v>25.3780775350526</v>
      </c>
      <c r="G302" s="25" t="n">
        <f aca="false">datos_base!$K$14*parametros_recargas!$I$46</f>
        <v>25.5250816107366</v>
      </c>
      <c r="H302" s="25" t="n">
        <f aca="false">datos_base!$K$14*parametros_recargas!$J$46</f>
        <v>25.6729372165744</v>
      </c>
      <c r="I302" s="25" t="n">
        <f aca="false">datos_base!$K$14*parametros_recargas!$K$46</f>
        <v>25.8216492851069</v>
      </c>
      <c r="J302" s="25" t="n">
        <f aca="false">datos_base!$K$14*parametros_recargas!$L$46</f>
        <v>25.971222777447</v>
      </c>
      <c r="K302" s="25" t="n">
        <f aca="false">datos_base!$K$14*parametros_recargas!$M$46</f>
        <v>26.1216626834449</v>
      </c>
      <c r="L302" s="25" t="n">
        <f aca="false">datos_base!$K$14*parametros_recargas!$N$46</f>
        <v>26.2729740218552</v>
      </c>
      <c r="M302" s="25" t="n">
        <f aca="false">datos_base!$K$14*parametros_recargas!$O$46</f>
        <v>26.4251618405038</v>
      </c>
      <c r="N302" s="25" t="n">
        <f aca="false">datos_base!$K$14*parametros_recargas!$P$46</f>
        <v>26.5782312164562</v>
      </c>
      <c r="O302" s="25" t="n">
        <f aca="false">datos_base!$K$14*parametros_recargas!$Q$46</f>
        <v>26.7321872561876</v>
      </c>
      <c r="P302" s="7" t="n">
        <f aca="false">SUM(D302:O302)</f>
        <v>310.817709914611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4" t="n">
        <f aca="false">parametros_recargas!C64</f>
        <v>3</v>
      </c>
      <c r="D303" s="25" t="n">
        <f aca="false">datos_base!$K$15*parametros_recargas!$F$46</f>
        <v>59.8569276090235</v>
      </c>
      <c r="E303" s="25" t="n">
        <f aca="false">datos_base!$K$15*parametros_recargas!$G$46</f>
        <v>60.2036525453113</v>
      </c>
      <c r="F303" s="25" t="n">
        <f aca="false">datos_base!$K$15*parametros_recargas!$H$46</f>
        <v>60.5523859071273</v>
      </c>
      <c r="G303" s="25" t="n">
        <f aca="false">datos_base!$K$15*parametros_recargas!$I$46</f>
        <v>60.9031393283998</v>
      </c>
      <c r="H303" s="25" t="n">
        <f aca="false">datos_base!$K$15*parametros_recargas!$J$46</f>
        <v>61.2559245104476</v>
      </c>
      <c r="I303" s="25" t="n">
        <f aca="false">datos_base!$K$15*parametros_recargas!$K$46</f>
        <v>61.6107532223699</v>
      </c>
      <c r="J303" s="25" t="n">
        <f aca="false">datos_base!$K$15*parametros_recargas!$L$46</f>
        <v>61.9676373014394</v>
      </c>
      <c r="K303" s="25" t="n">
        <f aca="false">datos_base!$K$15*parametros_recargas!$M$46</f>
        <v>62.3265886534966</v>
      </c>
      <c r="L303" s="25" t="n">
        <f aca="false">datos_base!$K$15*parametros_recargas!$N$46</f>
        <v>62.6876192533476</v>
      </c>
      <c r="M303" s="25" t="n">
        <f aca="false">datos_base!$K$15*parametros_recargas!$O$46</f>
        <v>63.0507411451631</v>
      </c>
      <c r="N303" s="25" t="n">
        <f aca="false">datos_base!$K$15*parametros_recargas!$P$46</f>
        <v>63.4159664428806</v>
      </c>
      <c r="O303" s="25" t="n">
        <f aca="false">datos_base!$K$15*parametros_recargas!$Q$46</f>
        <v>63.7833073306081</v>
      </c>
      <c r="P303" s="7" t="n">
        <f aca="false">SUM(D303:O303)</f>
        <v>741.614643249615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4" t="n">
        <f aca="false">parametros_recargas!C65</f>
        <v>3</v>
      </c>
      <c r="D304" s="25" t="n">
        <f aca="false">datos_base!$K$16*parametros_recargas!$F$46</f>
        <v>131.685240659425</v>
      </c>
      <c r="E304" s="25" t="n">
        <f aca="false">datos_base!$K$16*parametros_recargas!$G$46</f>
        <v>132.448035518792</v>
      </c>
      <c r="F304" s="25" t="n">
        <f aca="false">datos_base!$K$16*parametros_recargas!$H$46</f>
        <v>133.215248914319</v>
      </c>
      <c r="G304" s="25" t="n">
        <f aca="false">datos_base!$K$16*parametros_recargas!$I$46</f>
        <v>133.986906440647</v>
      </c>
      <c r="H304" s="25" t="n">
        <f aca="false">datos_base!$K$16*parametros_recargas!$J$46</f>
        <v>134.763033840678</v>
      </c>
      <c r="I304" s="25" t="n">
        <f aca="false">datos_base!$K$16*parametros_recargas!$K$46</f>
        <v>135.543657006431</v>
      </c>
      <c r="J304" s="25" t="n">
        <f aca="false">datos_base!$K$16*parametros_recargas!$L$46</f>
        <v>136.328801979904</v>
      </c>
      <c r="K304" s="25" t="n">
        <f aca="false">datos_base!$K$16*parametros_recargas!$M$46</f>
        <v>137.118494953948</v>
      </c>
      <c r="L304" s="25" t="n">
        <f aca="false">datos_base!$K$16*parametros_recargas!$N$46</f>
        <v>137.912762273135</v>
      </c>
      <c r="M304" s="25" t="n">
        <f aca="false">datos_base!$K$16*parametros_recargas!$O$46</f>
        <v>138.711630434641</v>
      </c>
      <c r="N304" s="25" t="n">
        <f aca="false">datos_base!$K$16*parametros_recargas!$P$46</f>
        <v>139.515126089129</v>
      </c>
      <c r="O304" s="25" t="n">
        <f aca="false">datos_base!$K$16*parametros_recargas!$Q$46</f>
        <v>140.323276041636</v>
      </c>
      <c r="P304" s="7" t="n">
        <f aca="false">SUM(D304:O304)</f>
        <v>1631.55221415268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4" t="n">
        <f aca="false">parametros_recargas!C66</f>
        <v>3</v>
      </c>
      <c r="D305" s="25" t="n">
        <f aca="false">datos_base!$K$17*parametros_recargas!$F$46</f>
        <v>28.7313252546292</v>
      </c>
      <c r="E305" s="25" t="n">
        <f aca="false">datos_base!$K$17*parametros_recargas!$G$46</f>
        <v>28.8977532240606</v>
      </c>
      <c r="F305" s="25" t="n">
        <f aca="false">datos_base!$K$17*parametros_recargas!$H$46</f>
        <v>29.0651452377457</v>
      </c>
      <c r="G305" s="25" t="n">
        <f aca="false">datos_base!$K$17*parametros_recargas!$I$46</f>
        <v>29.23350687997</v>
      </c>
      <c r="H305" s="25" t="n">
        <f aca="false">datos_base!$K$17*parametros_recargas!$J$46</f>
        <v>29.4028437673664</v>
      </c>
      <c r="I305" s="25" t="n">
        <f aca="false">datos_base!$K$17*parametros_recargas!$K$46</f>
        <v>29.5731615491028</v>
      </c>
      <c r="J305" s="25" t="n">
        <f aca="false">datos_base!$K$17*parametros_recargas!$L$46</f>
        <v>29.7444659070698</v>
      </c>
      <c r="K305" s="25" t="n">
        <f aca="false">datos_base!$K$17*parametros_recargas!$M$46</f>
        <v>29.9167625560711</v>
      </c>
      <c r="L305" s="25" t="n">
        <f aca="false">datos_base!$K$17*parametros_recargas!$N$46</f>
        <v>30.0900572440134</v>
      </c>
      <c r="M305" s="25" t="n">
        <f aca="false">datos_base!$K$17*parametros_recargas!$O$46</f>
        <v>30.2643557520988</v>
      </c>
      <c r="N305" s="25" t="n">
        <f aca="false">datos_base!$K$17*parametros_recargas!$P$46</f>
        <v>30.4396638950172</v>
      </c>
      <c r="O305" s="25" t="n">
        <f aca="false">datos_base!$K$17*parametros_recargas!$Q$46</f>
        <v>30.6159875211405</v>
      </c>
      <c r="P305" s="7" t="n">
        <f aca="false">SUM(D305:O305)</f>
        <v>355.975028788286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4" t="n">
        <f aca="false">parametros_recargas!C67</f>
        <v>3</v>
      </c>
      <c r="D306" s="25" t="n">
        <f aca="false">datos_base!$K$18*parametros_recargas!$F$46</f>
        <v>19.1542167981211</v>
      </c>
      <c r="E306" s="25" t="n">
        <f aca="false">datos_base!$K$18*parametros_recargas!$G$46</f>
        <v>19.2651687775202</v>
      </c>
      <c r="F306" s="25" t="n">
        <f aca="false">datos_base!$K$18*parametros_recargas!$H$46</f>
        <v>19.3767634530871</v>
      </c>
      <c r="G306" s="25" t="n">
        <f aca="false">datos_base!$K$18*parametros_recargas!$I$46</f>
        <v>19.4890045476789</v>
      </c>
      <c r="H306" s="25" t="n">
        <f aca="false">datos_base!$K$18*parametros_recargas!$J$46</f>
        <v>19.6018958057174</v>
      </c>
      <c r="I306" s="25" t="n">
        <f aca="false">datos_base!$K$18*parametros_recargas!$K$46</f>
        <v>19.7154409933146</v>
      </c>
      <c r="J306" s="25" t="n">
        <f aca="false">datos_base!$K$18*parametros_recargas!$L$46</f>
        <v>19.8296438983977</v>
      </c>
      <c r="K306" s="25" t="n">
        <f aca="false">datos_base!$K$18*parametros_recargas!$M$46</f>
        <v>19.9445083308355</v>
      </c>
      <c r="L306" s="25" t="n">
        <f aca="false">datos_base!$K$18*parametros_recargas!$N$46</f>
        <v>20.060038122566</v>
      </c>
      <c r="M306" s="25" t="n">
        <f aca="false">datos_base!$K$18*parametros_recargas!$O$46</f>
        <v>20.176237127724</v>
      </c>
      <c r="N306" s="25" t="n">
        <f aca="false">datos_base!$K$18*parametros_recargas!$P$46</f>
        <v>20.2931092227692</v>
      </c>
      <c r="O306" s="25" t="n">
        <f aca="false">datos_base!$K$18*parametros_recargas!$Q$46</f>
        <v>20.4106583066164</v>
      </c>
      <c r="P306" s="7" t="n">
        <f aca="false">SUM(D306:O306)</f>
        <v>237.316685384348</v>
      </c>
    </row>
    <row r="307" customFormat="false" ht="15" hidden="false" customHeight="false" outlineLevel="0" collapsed="false">
      <c r="A307" s="6" t="s">
        <v>272</v>
      </c>
      <c r="D307" s="7" t="n">
        <f aca="false">SUM(D290:D306)</f>
        <v>21365.2014697382</v>
      </c>
      <c r="E307" s="7" t="n">
        <f aca="false">SUM(E290:E306)</f>
        <v>21488.9607138938</v>
      </c>
      <c r="F307" s="7" t="n">
        <f aca="false">SUM(F290:F306)</f>
        <v>21613.4368410864</v>
      </c>
      <c r="G307" s="7" t="n">
        <f aca="false">SUM(G290:G306)</f>
        <v>21738.634003905</v>
      </c>
      <c r="H307" s="7" t="n">
        <f aca="false">SUM(H290:H306)</f>
        <v>21864.5563789928</v>
      </c>
      <c r="I307" s="7" t="n">
        <f aca="false">SUM(I290:I306)</f>
        <v>21991.2081671866</v>
      </c>
      <c r="J307" s="7" t="n">
        <f aca="false">SUM(J290:J306)</f>
        <v>22118.5935936566</v>
      </c>
      <c r="K307" s="7" t="n">
        <f aca="false">SUM(K290:K306)</f>
        <v>22246.7169080477</v>
      </c>
      <c r="L307" s="7" t="n">
        <f aca="false">SUM(L290:L306)</f>
        <v>22375.5823846211</v>
      </c>
      <c r="M307" s="7" t="n">
        <f aca="false">SUM(M290:M306)</f>
        <v>22505.1943223969</v>
      </c>
      <c r="N307" s="7" t="n">
        <f aca="false">SUM(N290:N306)</f>
        <v>22635.5570452976</v>
      </c>
      <c r="O307" s="7" t="n">
        <f aca="false">SUM(O290:O306)</f>
        <v>22766.6749022921</v>
      </c>
      <c r="P307" s="7" t="n">
        <f aca="false">SUM(P290:P306)</f>
        <v>264710.316731115</v>
      </c>
    </row>
    <row r="308" customFormat="false" ht="15" hidden="false" customHeight="false" outlineLevel="0" collapsed="false">
      <c r="A308" s="6" t="s">
        <v>273</v>
      </c>
    </row>
    <row r="309" customFormat="false" ht="15" hidden="false" customHeight="false" outlineLevel="0" collapsed="false">
      <c r="A309" s="4" t="s">
        <v>143</v>
      </c>
      <c r="D309" s="25" t="n">
        <f aca="false">SUMPRODUCT(($B$290:$B$306=$A309)*D$290:D$306*$C$290:$C$306)</f>
        <v>19100.6268884314</v>
      </c>
      <c r="E309" s="25" t="n">
        <f aca="false">SUMPRODUCT(($B$290:$B$306=$A309)*E$290:E$306*$C$290:$C$306)</f>
        <v>19211.2684449812</v>
      </c>
      <c r="F309" s="25" t="n">
        <f aca="false">SUMPRODUCT(($B$290:$B$306=$A309)*F$290:F$306*$C$290:$C$306)</f>
        <v>19322.5508995553</v>
      </c>
      <c r="G309" s="25" t="n">
        <f aca="false">SUMPRODUCT(($B$290:$B$306=$A309)*G$290:G$306*$C$290:$C$306)</f>
        <v>19434.4779645949</v>
      </c>
      <c r="H309" s="25" t="n">
        <f aca="false">SUMPRODUCT(($B$290:$B$306=$A309)*H$290:H$306*$C$290:$C$306)</f>
        <v>19547.0533740458</v>
      </c>
      <c r="I309" s="25" t="n">
        <f aca="false">SUMPRODUCT(($B$290:$B$306=$A309)*I$290:I$306*$C$290:$C$306)</f>
        <v>19660.280883483</v>
      </c>
      <c r="J309" s="25" t="n">
        <f aca="false">SUMPRODUCT(($B$290:$B$306=$A309)*J$290:J$306*$C$290:$C$306)</f>
        <v>19774.1642702357</v>
      </c>
      <c r="K309" s="25" t="n">
        <f aca="false">SUMPRODUCT(($B$290:$B$306=$A309)*K$290:K$306*$C$290:$C$306)</f>
        <v>19888.7073335137</v>
      </c>
      <c r="L309" s="25" t="n">
        <f aca="false">SUMPRODUCT(($B$290:$B$306=$A309)*L$290:L$306*$C$290:$C$306)</f>
        <v>20003.9138945337</v>
      </c>
      <c r="M309" s="25" t="n">
        <f aca="false">SUMPRODUCT(($B$290:$B$306=$A309)*M$290:M$306*$C$290:$C$306)</f>
        <v>20119.7877966473</v>
      </c>
      <c r="N309" s="25" t="n">
        <f aca="false">SUMPRODUCT(($B$290:$B$306=$A309)*N$290:N$306*$C$290:$C$306)</f>
        <v>20236.3329054689</v>
      </c>
      <c r="O309" s="25" t="n">
        <f aca="false">SUMPRODUCT(($B$290:$B$306=$A309)*O$290:O$306*$C$290:$C$306)</f>
        <v>20353.5531090045</v>
      </c>
      <c r="P309" s="25" t="n">
        <f aca="false">SUMPRODUCT(($B$290:$B$306=$A309)*P$290:P$306*$C$290:$C$306)</f>
        <v>236652.717764495</v>
      </c>
    </row>
    <row r="310" customFormat="false" ht="15" hidden="false" customHeight="false" outlineLevel="0" collapsed="false">
      <c r="A310" s="4" t="s">
        <v>149</v>
      </c>
      <c r="D310" s="25" t="n">
        <f aca="false">SUMPRODUCT(($B$290:$B$306=$A310)*D$290:D$306*$C$290:$C$306)</f>
        <v>27.774716328488</v>
      </c>
      <c r="E310" s="25" t="n">
        <f aca="false">SUMPRODUCT(($B$290:$B$306=$A310)*E$290:E$306*$C$290:$C$306)</f>
        <v>27.9356030818528</v>
      </c>
      <c r="F310" s="25" t="n">
        <f aca="false">SUMPRODUCT(($B$290:$B$306=$A310)*F$290:F$306*$C$290:$C$306)</f>
        <v>28.0974217816362</v>
      </c>
      <c r="G310" s="25" t="n">
        <f aca="false">SUMPRODUCT(($B$290:$B$306=$A310)*G$290:G$306*$C$290:$C$306)</f>
        <v>28.2601778261951</v>
      </c>
      <c r="H310" s="25" t="n">
        <f aca="false">SUMPRODUCT(($B$290:$B$306=$A310)*H$290:H$306*$C$290:$C$306)</f>
        <v>28.4238766451567</v>
      </c>
      <c r="I310" s="25" t="n">
        <f aca="false">SUMPRODUCT(($B$290:$B$306=$A310)*I$290:I$306*$C$290:$C$306)</f>
        <v>28.5885236995999</v>
      </c>
      <c r="J310" s="25" t="n">
        <f aca="false">SUMPRODUCT(($B$290:$B$306=$A310)*J$290:J$306*$C$290:$C$306)</f>
        <v>28.7541244822371</v>
      </c>
      <c r="K310" s="25" t="n">
        <f aca="false">SUMPRODUCT(($B$290:$B$306=$A310)*K$290:K$306*$C$290:$C$306)</f>
        <v>28.9206845175973</v>
      </c>
      <c r="L310" s="25" t="n">
        <f aca="false">SUMPRODUCT(($B$290:$B$306=$A310)*L$290:L$306*$C$290:$C$306)</f>
        <v>29.0882093622112</v>
      </c>
      <c r="M310" s="25" t="n">
        <f aca="false">SUMPRODUCT(($B$290:$B$306=$A310)*M$290:M$306*$C$290:$C$306)</f>
        <v>29.2567046047956</v>
      </c>
      <c r="N310" s="25" t="n">
        <f aca="false">SUMPRODUCT(($B$290:$B$306=$A310)*N$290:N$306*$C$290:$C$306)</f>
        <v>29.4261758664406</v>
      </c>
      <c r="O310" s="25" t="n">
        <f aca="false">SUMPRODUCT(($B$290:$B$306=$A310)*O$290:O$306*$C$290:$C$306)</f>
        <v>29.5966288007965</v>
      </c>
      <c r="P310" s="25" t="n">
        <f aca="false">SUMPRODUCT(($B$290:$B$306=$A310)*P$290:P$306*$C$290:$C$306)</f>
        <v>344.122846997007</v>
      </c>
    </row>
    <row r="311" customFormat="false" ht="15" hidden="false" customHeight="false" outlineLevel="0" collapsed="false">
      <c r="A311" s="4" t="s">
        <v>155</v>
      </c>
      <c r="D311" s="25" t="n">
        <f aca="false">SUMPRODUCT(($B$290:$B$306=$A311)*D$290:D$306*$C$290:$C$306)</f>
        <v>25.0866043858567</v>
      </c>
      <c r="E311" s="25" t="n">
        <f aca="false">SUMPRODUCT(($B$290:$B$306=$A311)*E$290:E$306*$C$290:$C$306)</f>
        <v>25.2319200853891</v>
      </c>
      <c r="F311" s="25" t="n">
        <f aca="false">SUMPRODUCT(($B$290:$B$306=$A311)*F$290:F$306*$C$290:$C$306)</f>
        <v>25.3780775350526</v>
      </c>
      <c r="G311" s="25" t="n">
        <f aca="false">SUMPRODUCT(($B$290:$B$306=$A311)*G$290:G$306*$C$290:$C$306)</f>
        <v>25.5250816107366</v>
      </c>
      <c r="H311" s="25" t="n">
        <f aca="false">SUMPRODUCT(($B$290:$B$306=$A311)*H$290:H$306*$C$290:$C$306)</f>
        <v>25.6729372165744</v>
      </c>
      <c r="I311" s="25" t="n">
        <f aca="false">SUMPRODUCT(($B$290:$B$306=$A311)*I$290:I$306*$C$290:$C$306)</f>
        <v>25.8216492851069</v>
      </c>
      <c r="J311" s="25" t="n">
        <f aca="false">SUMPRODUCT(($B$290:$B$306=$A311)*J$290:J$306*$C$290:$C$306)</f>
        <v>25.971222777447</v>
      </c>
      <c r="K311" s="25" t="n">
        <f aca="false">SUMPRODUCT(($B$290:$B$306=$A311)*K$290:K$306*$C$290:$C$306)</f>
        <v>26.1216626834449</v>
      </c>
      <c r="L311" s="25" t="n">
        <f aca="false">SUMPRODUCT(($B$290:$B$306=$A311)*L$290:L$306*$C$290:$C$306)</f>
        <v>26.2729740218552</v>
      </c>
      <c r="M311" s="25" t="n">
        <f aca="false">SUMPRODUCT(($B$290:$B$306=$A311)*M$290:M$306*$C$290:$C$306)</f>
        <v>26.4251618405038</v>
      </c>
      <c r="N311" s="25" t="n">
        <f aca="false">SUMPRODUCT(($B$290:$B$306=$A311)*N$290:N$306*$C$290:$C$306)</f>
        <v>26.5782312164562</v>
      </c>
      <c r="O311" s="25" t="n">
        <f aca="false">SUMPRODUCT(($B$290:$B$306=$A311)*O$290:O$306*$C$290:$C$306)</f>
        <v>26.7321872561876</v>
      </c>
      <c r="P311" s="25" t="n">
        <f aca="false">SUMPRODUCT(($B$290:$B$306=$A311)*P$290:P$306*$C$290:$C$306)</f>
        <v>310.817709914611</v>
      </c>
    </row>
    <row r="312" customFormat="false" ht="15" hidden="false" customHeight="false" outlineLevel="0" collapsed="false">
      <c r="A312" s="4" t="s">
        <v>146</v>
      </c>
      <c r="D312" s="25" t="n">
        <f aca="false">SUMPRODUCT(($B$290:$B$306=$A312)*D$290:D$306*$C$290:$C$306)</f>
        <v>485.478925232214</v>
      </c>
      <c r="E312" s="25" t="n">
        <f aca="false">SUMPRODUCT(($B$290:$B$306=$A312)*E$290:E$306*$C$290:$C$306)</f>
        <v>488.291091779079</v>
      </c>
      <c r="F312" s="25" t="n">
        <f aca="false">SUMPRODUCT(($B$290:$B$306=$A312)*F$290:F$306*$C$290:$C$306)</f>
        <v>491.119547973705</v>
      </c>
      <c r="G312" s="25" t="n">
        <f aca="false">SUMPRODUCT(($B$290:$B$306=$A312)*G$290:G$306*$C$290:$C$306)</f>
        <v>493.964388174879</v>
      </c>
      <c r="H312" s="25" t="n">
        <f aca="false">SUMPRODUCT(($B$290:$B$306=$A312)*H$290:H$306*$C$290:$C$306)</f>
        <v>496.825707287967</v>
      </c>
      <c r="I312" s="25" t="n">
        <f aca="false">SUMPRODUCT(($B$290:$B$306=$A312)*I$290:I$306*$C$290:$C$306)</f>
        <v>499.70360076808</v>
      </c>
      <c r="J312" s="25" t="n">
        <f aca="false">SUMPRODUCT(($B$290:$B$306=$A312)*J$290:J$306*$C$290:$C$306)</f>
        <v>502.598164623258</v>
      </c>
      <c r="K312" s="25" t="n">
        <f aca="false">SUMPRODUCT(($B$290:$B$306=$A312)*K$290:K$306*$C$290:$C$306)</f>
        <v>505.509495417676</v>
      </c>
      <c r="L312" s="25" t="n">
        <f aca="false">SUMPRODUCT(($B$290:$B$306=$A312)*L$290:L$306*$C$290:$C$306)</f>
        <v>508.437690274861</v>
      </c>
      <c r="M312" s="25" t="n">
        <f aca="false">SUMPRODUCT(($B$290:$B$306=$A312)*M$290:M$306*$C$290:$C$306)</f>
        <v>511.382846880933</v>
      </c>
      <c r="N312" s="25" t="n">
        <f aca="false">SUMPRODUCT(($B$290:$B$306=$A312)*N$290:N$306*$C$290:$C$306)</f>
        <v>514.345063487867</v>
      </c>
      <c r="O312" s="25" t="n">
        <f aca="false">SUMPRODUCT(($B$290:$B$306=$A312)*O$290:O$306*$C$290:$C$306)</f>
        <v>517.324438916767</v>
      </c>
      <c r="P312" s="25" t="n">
        <f aca="false">SUMPRODUCT(($B$290:$B$306=$A312)*P$290:P$306*$C$290:$C$306)</f>
        <v>6014.98096081729</v>
      </c>
    </row>
    <row r="313" customFormat="false" ht="15" hidden="false" customHeight="false" outlineLevel="0" collapsed="false">
      <c r="A313" s="4" t="s">
        <v>147</v>
      </c>
      <c r="D313" s="25" t="n">
        <f aca="false">SUMPRODUCT(($B$290:$B$306=$A313)*D$290:D$306*$C$290:$C$306)</f>
        <v>236.3103184847</v>
      </c>
      <c r="E313" s="25" t="n">
        <f aca="false">SUMPRODUCT(($B$290:$B$306=$A313)*E$290:E$306*$C$290:$C$306)</f>
        <v>237.679160545154</v>
      </c>
      <c r="F313" s="25" t="n">
        <f aca="false">SUMPRODUCT(($B$290:$B$306=$A313)*F$290:F$306*$C$290:$C$306)</f>
        <v>239.05593170747</v>
      </c>
      <c r="G313" s="25" t="n">
        <f aca="false">SUMPRODUCT(($B$290:$B$306=$A313)*G$290:G$306*$C$290:$C$306)</f>
        <v>240.44067790146</v>
      </c>
      <c r="H313" s="25" t="n">
        <f aca="false">SUMPRODUCT(($B$290:$B$306=$A313)*H$290:H$306*$C$290:$C$306)</f>
        <v>241.833445322984</v>
      </c>
      <c r="I313" s="25" t="n">
        <f aca="false">SUMPRODUCT(($B$290:$B$306=$A313)*I$290:I$306*$C$290:$C$306)</f>
        <v>243.234280435497</v>
      </c>
      <c r="J313" s="25" t="n">
        <f aca="false">SUMPRODUCT(($B$290:$B$306=$A313)*J$290:J$306*$C$290:$C$306)</f>
        <v>244.643229971596</v>
      </c>
      <c r="K313" s="25" t="n">
        <f aca="false">SUMPRODUCT(($B$290:$B$306=$A313)*K$290:K$306*$C$290:$C$306)</f>
        <v>246.060340934578</v>
      </c>
      <c r="L313" s="25" t="n">
        <f aca="false">SUMPRODUCT(($B$290:$B$306=$A313)*L$290:L$306*$C$290:$C$306)</f>
        <v>247.48566060001</v>
      </c>
      <c r="M313" s="25" t="n">
        <f aca="false">SUMPRODUCT(($B$290:$B$306=$A313)*M$290:M$306*$C$290:$C$306)</f>
        <v>248.919236517307</v>
      </c>
      <c r="N313" s="25" t="n">
        <f aca="false">SUMPRODUCT(($B$290:$B$306=$A313)*N$290:N$306*$C$290:$C$306)</f>
        <v>250.361116511316</v>
      </c>
      <c r="O313" s="25" t="n">
        <f aca="false">SUMPRODUCT(($B$290:$B$306=$A313)*O$290:O$306*$C$290:$C$306)</f>
        <v>251.811348683912</v>
      </c>
      <c r="P313" s="25" t="n">
        <f aca="false">SUMPRODUCT(($B$290:$B$306=$A313)*P$290:P$306*$C$290:$C$306)</f>
        <v>2927.83474761598</v>
      </c>
    </row>
    <row r="314" customFormat="false" ht="15" hidden="false" customHeight="false" outlineLevel="0" collapsed="false">
      <c r="A314" s="4" t="s">
        <v>150</v>
      </c>
      <c r="D314" s="25" t="n">
        <f aca="false">SUMPRODUCT(($B$290:$B$306=$A314)*D$290:D$306*$C$290:$C$306)</f>
        <v>239.416267679896</v>
      </c>
      <c r="E314" s="25" t="n">
        <f aca="false">SUMPRODUCT(($B$290:$B$306=$A314)*E$290:E$306*$C$290:$C$306)</f>
        <v>240.803101142178</v>
      </c>
      <c r="F314" s="25" t="n">
        <f aca="false">SUMPRODUCT(($B$290:$B$306=$A314)*F$290:F$306*$C$290:$C$306)</f>
        <v>242.197967922625</v>
      </c>
      <c r="G314" s="25" t="n">
        <f aca="false">SUMPRODUCT(($B$290:$B$306=$A314)*G$290:G$306*$C$290:$C$306)</f>
        <v>243.600914554726</v>
      </c>
      <c r="H314" s="25" t="n">
        <f aca="false">SUMPRODUCT(($B$290:$B$306=$A314)*H$290:H$306*$C$290:$C$306)</f>
        <v>245.01198784152</v>
      </c>
      <c r="I314" s="25" t="n">
        <f aca="false">SUMPRODUCT(($B$290:$B$306=$A314)*I$290:I$306*$C$290:$C$306)</f>
        <v>246.431234857154</v>
      </c>
      <c r="J314" s="25" t="n">
        <f aca="false">SUMPRODUCT(($B$290:$B$306=$A314)*J$290:J$306*$C$290:$C$306)</f>
        <v>247.858702948455</v>
      </c>
      <c r="K314" s="25" t="n">
        <f aca="false">SUMPRODUCT(($B$290:$B$306=$A314)*K$290:K$306*$C$290:$C$306)</f>
        <v>249.29443973651</v>
      </c>
      <c r="L314" s="25" t="n">
        <f aca="false">SUMPRODUCT(($B$290:$B$306=$A314)*L$290:L$306*$C$290:$C$306)</f>
        <v>250.738493118253</v>
      </c>
      <c r="M314" s="25" t="n">
        <f aca="false">SUMPRODUCT(($B$290:$B$306=$A314)*M$290:M$306*$C$290:$C$306)</f>
        <v>252.190911268065</v>
      </c>
      <c r="N314" s="25" t="n">
        <f aca="false">SUMPRODUCT(($B$290:$B$306=$A314)*N$290:N$306*$C$290:$C$306)</f>
        <v>253.65174263938</v>
      </c>
      <c r="O314" s="25" t="n">
        <f aca="false">SUMPRODUCT(($B$290:$B$306=$A314)*O$290:O$306*$C$290:$C$306)</f>
        <v>255.121035966301</v>
      </c>
      <c r="P314" s="25" t="n">
        <f aca="false">SUMPRODUCT(($B$290:$B$306=$A314)*P$290:P$306*$C$290:$C$306)</f>
        <v>2966.31679967506</v>
      </c>
    </row>
    <row r="315" customFormat="false" ht="15" hidden="false" customHeight="false" outlineLevel="0" collapsed="false">
      <c r="A315" s="4" t="s">
        <v>151</v>
      </c>
      <c r="D315" s="25" t="n">
        <f aca="false">SUMPRODUCT(($B$290:$B$306=$A315)*D$290:D$306*$C$290:$C$306)</f>
        <v>1752.38589644053</v>
      </c>
      <c r="E315" s="25" t="n">
        <f aca="false">SUMPRODUCT(($B$290:$B$306=$A315)*E$290:E$306*$C$290:$C$306)</f>
        <v>1762.53669957336</v>
      </c>
      <c r="F315" s="25" t="n">
        <f aca="false">SUMPRODUCT(($B$290:$B$306=$A315)*F$290:F$306*$C$290:$C$306)</f>
        <v>1772.74630185793</v>
      </c>
      <c r="G315" s="25" t="n">
        <f aca="false">SUMPRODUCT(($B$290:$B$306=$A315)*G$290:G$306*$C$290:$C$306)</f>
        <v>1783.01504389196</v>
      </c>
      <c r="H315" s="25" t="n">
        <f aca="false">SUMPRODUCT(($B$290:$B$306=$A315)*H$290:H$306*$C$290:$C$306)</f>
        <v>1793.34326824607</v>
      </c>
      <c r="I315" s="25" t="n">
        <f aca="false">SUMPRODUCT(($B$290:$B$306=$A315)*I$290:I$306*$C$290:$C$306)</f>
        <v>1803.73131947526</v>
      </c>
      <c r="J315" s="25" t="n">
        <f aca="false">SUMPRODUCT(($B$290:$B$306=$A315)*J$290:J$306*$C$290:$C$306)</f>
        <v>1814.1795441304</v>
      </c>
      <c r="K315" s="25" t="n">
        <f aca="false">SUMPRODUCT(($B$290:$B$306=$A315)*K$290:K$306*$C$290:$C$306)</f>
        <v>1824.68829076976</v>
      </c>
      <c r="L315" s="25" t="n">
        <f aca="false">SUMPRODUCT(($B$290:$B$306=$A315)*L$290:L$306*$C$290:$C$306)</f>
        <v>1835.25790997064</v>
      </c>
      <c r="M315" s="25" t="n">
        <f aca="false">SUMPRODUCT(($B$290:$B$306=$A315)*M$290:M$306*$C$290:$C$306)</f>
        <v>1845.88875434112</v>
      </c>
      <c r="N315" s="25" t="n">
        <f aca="false">SUMPRODUCT(($B$290:$B$306=$A315)*N$290:N$306*$C$290:$C$306)</f>
        <v>1856.58117853175</v>
      </c>
      <c r="O315" s="25" t="n">
        <f aca="false">SUMPRODUCT(($B$290:$B$306=$A315)*O$290:O$306*$C$290:$C$306)</f>
        <v>1867.33553924742</v>
      </c>
      <c r="P315" s="25" t="n">
        <f aca="false">SUMPRODUCT(($B$290:$B$306=$A315)*P$290:P$306*$C$290:$C$306)</f>
        <v>21711.6897464762</v>
      </c>
    </row>
    <row r="316" customFormat="false" ht="15" hidden="false" customHeight="false" outlineLevel="0" collapsed="false">
      <c r="A316" s="4" t="s">
        <v>154</v>
      </c>
      <c r="D316" s="25" t="n">
        <f aca="false">SUMPRODUCT(($B$290:$B$306=$A316)*D$290:D$306*$C$290:$C$306)</f>
        <v>73.0699541822284</v>
      </c>
      <c r="E316" s="25" t="n">
        <f aca="false">SUMPRODUCT(($B$290:$B$306=$A316)*E$290:E$306*$C$290:$C$306)</f>
        <v>73.4932163879647</v>
      </c>
      <c r="F316" s="25" t="n">
        <f aca="false">SUMPRODUCT(($B$290:$B$306=$A316)*F$290:F$306*$C$290:$C$306)</f>
        <v>73.9189303660718</v>
      </c>
      <c r="G316" s="25" t="n">
        <f aca="false">SUMPRODUCT(($B$290:$B$306=$A316)*G$290:G$306*$C$290:$C$306)</f>
        <v>74.3471103185921</v>
      </c>
      <c r="H316" s="25" t="n">
        <f aca="false">SUMPRODUCT(($B$290:$B$306=$A316)*H$290:H$306*$C$290:$C$306)</f>
        <v>74.7777705298341</v>
      </c>
      <c r="I316" s="25" t="n">
        <f aca="false">SUMPRODUCT(($B$290:$B$306=$A316)*I$290:I$306*$C$290:$C$306)</f>
        <v>75.2109253668491</v>
      </c>
      <c r="J316" s="25" t="n">
        <f aca="false">SUMPRODUCT(($B$290:$B$306=$A316)*J$290:J$306*$C$290:$C$306)</f>
        <v>75.6465892799103</v>
      </c>
      <c r="K316" s="25" t="n">
        <f aca="false">SUMPRODUCT(($B$290:$B$306=$A316)*K$290:K$306*$C$290:$C$306)</f>
        <v>76.0847768029953</v>
      </c>
      <c r="L316" s="25" t="n">
        <f aca="false">SUMPRODUCT(($B$290:$B$306=$A316)*L$290:L$306*$C$290:$C$306)</f>
        <v>76.5255025542702</v>
      </c>
      <c r="M316" s="25" t="n">
        <f aca="false">SUMPRODUCT(($B$290:$B$306=$A316)*M$290:M$306*$C$290:$C$306)</f>
        <v>76.968781236578</v>
      </c>
      <c r="N316" s="25" t="n">
        <f aca="false">SUMPRODUCT(($B$290:$B$306=$A316)*N$290:N$306*$C$290:$C$306)</f>
        <v>77.414627637929</v>
      </c>
      <c r="O316" s="25" t="n">
        <f aca="false">SUMPRODUCT(($B$290:$B$306=$A316)*O$290:O$306*$C$290:$C$306)</f>
        <v>77.8630566319935</v>
      </c>
      <c r="P316" s="25" t="n">
        <f aca="false">SUMPRODUCT(($B$290:$B$306=$A316)*P$290:P$306*$C$290:$C$306)</f>
        <v>905.321241295216</v>
      </c>
    </row>
    <row r="317" customFormat="false" ht="15" hidden="false" customHeight="false" outlineLevel="0" collapsed="false">
      <c r="A317" s="6" t="s">
        <v>274</v>
      </c>
      <c r="D317" s="26" t="n">
        <f aca="false">SUMPRODUCT(D$290:D$306*parametros_recargas!$D$51:$D$67)</f>
        <v>733.817552886385</v>
      </c>
      <c r="E317" s="26" t="n">
        <f aca="false">SUMPRODUCT(E$290:E$306*parametros_recargas!$D$51:$D$67)</f>
        <v>738.068236214693</v>
      </c>
      <c r="F317" s="26" t="n">
        <f aca="false">SUMPRODUCT(F$290:F$306*parametros_recargas!$D$51:$D$67)</f>
        <v>742.343541887734</v>
      </c>
      <c r="G317" s="26" t="n">
        <f aca="false">SUMPRODUCT(G$290:G$306*parametros_recargas!$D$51:$D$67)</f>
        <v>746.643612531953</v>
      </c>
      <c r="H317" s="26" t="n">
        <f aca="false">SUMPRODUCT(H$290:H$306*parametros_recargas!$D$51:$D$67)</f>
        <v>750.968591599971</v>
      </c>
      <c r="I317" s="26" t="n">
        <f aca="false">SUMPRODUCT(I$290:I$306*parametros_recargas!$D$51:$D$67)</f>
        <v>755.318623375364</v>
      </c>
      <c r="J317" s="26" t="n">
        <f aca="false">SUMPRODUCT(J$290:J$306*parametros_recargas!$D$51:$D$67)</f>
        <v>759.693852977483</v>
      </c>
      <c r="K317" s="26" t="n">
        <f aca="false">SUMPRODUCT(K$290:K$306*parametros_recargas!$D$51:$D$67)</f>
        <v>764.094426366288</v>
      </c>
      <c r="L317" s="26" t="n">
        <f aca="false">SUMPRODUCT(L$290:L$306*parametros_recargas!$D$51:$D$67)</f>
        <v>768.520490347223</v>
      </c>
      <c r="M317" s="26" t="n">
        <f aca="false">SUMPRODUCT(M$290:M$306*parametros_recargas!$D$51:$D$67)</f>
        <v>772.972192576112</v>
      </c>
      <c r="N317" s="26" t="n">
        <f aca="false">SUMPRODUCT(N$290:N$306*parametros_recargas!$D$51:$D$67)</f>
        <v>777.449681564085</v>
      </c>
      <c r="O317" s="26" t="n">
        <f aca="false">SUMPRODUCT(O$290:O$306*parametros_recargas!$D$51:$D$67)</f>
        <v>781.953106682528</v>
      </c>
      <c r="P317" s="26" t="n">
        <f aca="false">SUMPRODUCT(P$290:P$306*parametros_recargas!$D$51:$D$67)</f>
        <v>9091.84390900982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275</v>
      </c>
      <c r="B1" s="3" t="s">
        <v>124</v>
      </c>
      <c r="C1" s="3" t="s">
        <v>125</v>
      </c>
      <c r="D1" s="3" t="s">
        <v>126</v>
      </c>
      <c r="E1" s="3" t="s">
        <v>127</v>
      </c>
      <c r="F1" s="3" t="s">
        <v>128</v>
      </c>
      <c r="G1" s="3" t="s">
        <v>129</v>
      </c>
      <c r="H1" s="3" t="s">
        <v>130</v>
      </c>
      <c r="I1" s="3" t="s">
        <v>131</v>
      </c>
      <c r="J1" s="3" t="s">
        <v>132</v>
      </c>
      <c r="K1" s="3" t="s">
        <v>133</v>
      </c>
      <c r="L1" s="3" t="s">
        <v>134</v>
      </c>
      <c r="M1" s="3" t="s">
        <v>135</v>
      </c>
      <c r="N1" s="3" t="s">
        <v>276</v>
      </c>
      <c r="O1" s="3" t="s">
        <v>277</v>
      </c>
      <c r="P1" s="3" t="s">
        <v>278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5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190.171804724951</v>
      </c>
      <c r="C2" s="25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215.524349339857</v>
      </c>
      <c r="D2" s="25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244.256740506572</v>
      </c>
      <c r="E2" s="25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276.819558744222</v>
      </c>
      <c r="F2" s="25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313.72345321739</v>
      </c>
      <c r="G2" s="25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355.547149721401</v>
      </c>
      <c r="H2" s="25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402.94652624334</v>
      </c>
      <c r="I2" s="25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456.664898421492</v>
      </c>
      <c r="J2" s="25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517.544676199473</v>
      </c>
      <c r="K2" s="25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586.54057447436</v>
      </c>
      <c r="L2" s="25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664.734584907826</v>
      </c>
      <c r="M2" s="25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753.35294368778</v>
      </c>
      <c r="N2" s="7" t="n">
        <f aca="false">SUM(B2:M2)</f>
        <v>4977.82726018866</v>
      </c>
      <c r="O2" s="26" t="n">
        <f aca="false">MAX(B2:M2)</f>
        <v>753.35294368778</v>
      </c>
      <c r="P2" s="15" t="n">
        <f aca="false">O2/parametros_recargas!$B$6</f>
        <v>5.02235295791853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5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190.171804724951</v>
      </c>
      <c r="C3" s="25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215.524349339857</v>
      </c>
      <c r="D3" s="25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244.256740506572</v>
      </c>
      <c r="E3" s="25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276.819558744222</v>
      </c>
      <c r="F3" s="25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313.72345321739</v>
      </c>
      <c r="G3" s="25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355.547149721401</v>
      </c>
      <c r="H3" s="25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402.94652624334</v>
      </c>
      <c r="I3" s="25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456.664898421492</v>
      </c>
      <c r="J3" s="25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517.544676199473</v>
      </c>
      <c r="K3" s="25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586.54057447436</v>
      </c>
      <c r="L3" s="25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664.734584907826</v>
      </c>
      <c r="M3" s="25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753.35294368778</v>
      </c>
      <c r="N3" s="7" t="n">
        <f aca="false">SUM(B3:M3)</f>
        <v>4977.82726018866</v>
      </c>
      <c r="O3" s="26" t="n">
        <f aca="false">MAX(B3:M3)</f>
        <v>753.35294368778</v>
      </c>
      <c r="P3" s="15" t="n">
        <f aca="false">O3/parametros_recargas!$B$6</f>
        <v>5.02235295791853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5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140.710426638341</v>
      </c>
      <c r="C4" s="25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159.469082130361</v>
      </c>
      <c r="D4" s="25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180.728527110943</v>
      </c>
      <c r="E4" s="25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204.822151575377</v>
      </c>
      <c r="F4" s="25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232.127791038841</v>
      </c>
      <c r="G4" s="25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263.073651741922</v>
      </c>
      <c r="H4" s="25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298.14502576837</v>
      </c>
      <c r="I4" s="25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337.891901381384</v>
      </c>
      <c r="J4" s="25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382.937587923492</v>
      </c>
      <c r="K4" s="25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433.988490535456</v>
      </c>
      <c r="L4" s="25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491.84518798106</v>
      </c>
      <c r="M4" s="25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557.414987299901</v>
      </c>
      <c r="N4" s="7" t="n">
        <f aca="false">SUM(B4:M4)</f>
        <v>3683.15481112545</v>
      </c>
      <c r="O4" s="26" t="n">
        <f aca="false">MAX(B4:M4)</f>
        <v>557.414987299901</v>
      </c>
      <c r="P4" s="15" t="n">
        <f aca="false">O4/parametros_recargas!$B$6</f>
        <v>3.71609991533267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5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16.5541678398048</v>
      </c>
      <c r="C5" s="25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18.7610684859248</v>
      </c>
      <c r="D5" s="25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21.262179660111</v>
      </c>
      <c r="E5" s="25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24.0967237147502</v>
      </c>
      <c r="F5" s="25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27.3091518869225</v>
      </c>
      <c r="G5" s="25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30.9498413814026</v>
      </c>
      <c r="H5" s="25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35.0758853845141</v>
      </c>
      <c r="I5" s="25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39.7519883978099</v>
      </c>
      <c r="J5" s="25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45.0514809321755</v>
      </c>
      <c r="K5" s="25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51.0574694747595</v>
      </c>
      <c r="L5" s="25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57.8641397624777</v>
      </c>
      <c r="M5" s="25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65.5782337999884</v>
      </c>
      <c r="N5" s="7" t="n">
        <f aca="false">SUM(B5:M5)</f>
        <v>433.312330720641</v>
      </c>
      <c r="O5" s="26" t="n">
        <f aca="false">MAX(B5:M5)</f>
        <v>65.5782337999884</v>
      </c>
      <c r="P5" s="15" t="n">
        <f aca="false">O5/parametros_recargas!$B$6</f>
        <v>0.437188225333256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5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0.185654211780637</v>
      </c>
      <c r="C6" s="25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0.210404498469673</v>
      </c>
      <c r="D6" s="25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0.238454342358699</v>
      </c>
      <c r="E6" s="25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0.27024362028037</v>
      </c>
      <c r="F6" s="25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0.306270850762623</v>
      </c>
      <c r="G6" s="25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0.347101011781682</v>
      </c>
      <c r="H6" s="25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0.393374400730173</v>
      </c>
      <c r="I6" s="25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0.445816675542141</v>
      </c>
      <c r="J6" s="25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0.505250234439573</v>
      </c>
      <c r="K6" s="25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0.572607112757301</v>
      </c>
      <c r="L6" s="25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0.648943599093898</v>
      </c>
      <c r="M6" s="25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0.735456799998634</v>
      </c>
      <c r="N6" s="7" t="n">
        <f aca="false">SUM(B6:M6)</f>
        <v>4.8595773579954</v>
      </c>
      <c r="O6" s="26" t="n">
        <f aca="false">MAX(B6:M6)</f>
        <v>0.735456799998634</v>
      </c>
      <c r="P6" s="15" t="n">
        <f aca="false">O6/parametros_recargas!$B$6</f>
        <v>0.00490304533332423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5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8.10690085300835</v>
      </c>
      <c r="C7" s="25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9.1876634080137</v>
      </c>
      <c r="D7" s="25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10.4125066322514</v>
      </c>
      <c r="E7" s="25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11.8006384813915</v>
      </c>
      <c r="F7" s="25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13.3738275985509</v>
      </c>
      <c r="G7" s="25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15.1567446895189</v>
      </c>
      <c r="H7" s="25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17.1773494080445</v>
      </c>
      <c r="I7" s="25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19.4673288183106</v>
      </c>
      <c r="J7" s="25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22.0625943105485</v>
      </c>
      <c r="K7" s="25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25.003844762411</v>
      </c>
      <c r="L7" s="25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28.3372047775828</v>
      </c>
      <c r="M7" s="25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32.1149480104688</v>
      </c>
      <c r="N7" s="7" t="n">
        <f aca="false">SUM(B7:M7)</f>
        <v>212.201551750101</v>
      </c>
      <c r="O7" s="26" t="n">
        <f aca="false">MAX(B7:M7)</f>
        <v>32.1149480104688</v>
      </c>
      <c r="P7" s="15" t="n">
        <f aca="false">O7/parametros_recargas!$B$6</f>
        <v>0.214099653403125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5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3.91420978126472</v>
      </c>
      <c r="C8" s="25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4.43602834556316</v>
      </c>
      <c r="D8" s="25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5.02741257681941</v>
      </c>
      <c r="E8" s="25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5.69763654527625</v>
      </c>
      <c r="F8" s="25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6.45721068363266</v>
      </c>
      <c r="G8" s="25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7.31804661134244</v>
      </c>
      <c r="H8" s="25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8.29364393228263</v>
      </c>
      <c r="I8" s="25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9.39930193514721</v>
      </c>
      <c r="J8" s="25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10.6523595164456</v>
      </c>
      <c r="K8" s="25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12.0724670885713</v>
      </c>
      <c r="L8" s="25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13.6818947369951</v>
      </c>
      <c r="M8" s="25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15.5058814590952</v>
      </c>
      <c r="N8" s="7" t="n">
        <f aca="false">SUM(B8:M8)</f>
        <v>102.456093212436</v>
      </c>
      <c r="O8" s="26" t="n">
        <f aca="false">MAX(B8:M8)</f>
        <v>15.5058814590952</v>
      </c>
      <c r="P8" s="15" t="n">
        <f aca="false">O8/parametros_recargas!$B$6</f>
        <v>0.103372543060635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5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0.123769481318438</v>
      </c>
      <c r="C9" s="25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0.140269673350732</v>
      </c>
      <c r="D9" s="25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0.158969570303838</v>
      </c>
      <c r="E9" s="25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0.180162423415631</v>
      </c>
      <c r="F9" s="25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0.204180578389659</v>
      </c>
      <c r="G9" s="25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0.231400687230757</v>
      </c>
      <c r="H9" s="25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0.262249614890789</v>
      </c>
      <c r="I9" s="25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0.297211133352355</v>
      </c>
      <c r="J9" s="25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0.336833508126894</v>
      </c>
      <c r="K9" s="25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0.381738096138421</v>
      </c>
      <c r="L9" s="25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0.432629089824663</v>
      </c>
      <c r="M9" s="25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0.490304560262301</v>
      </c>
      <c r="N9" s="7" t="n">
        <f aca="false">SUM(B9:M9)</f>
        <v>3.23971841660448</v>
      </c>
      <c r="O9" s="26" t="n">
        <f aca="false">MAX(B9:M9)</f>
        <v>0.490304560262301</v>
      </c>
      <c r="P9" s="15" t="n">
        <f aca="false">O9/parametros_recargas!$B$6</f>
        <v>0.00326869706841534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5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165.91298682161</v>
      </c>
      <c r="C10" s="25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188.031493856188</v>
      </c>
      <c r="D10" s="25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213.098705285827</v>
      </c>
      <c r="E10" s="25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241.507724388063</v>
      </c>
      <c r="F10" s="25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273.70406057075</v>
      </c>
      <c r="G10" s="25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310.192615837589</v>
      </c>
      <c r="H10" s="25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351.545602646602</v>
      </c>
      <c r="I10" s="25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398.411517329183</v>
      </c>
      <c r="J10" s="25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451.525309790634</v>
      </c>
      <c r="K10" s="25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511.71990897311</v>
      </c>
      <c r="L10" s="25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579.939284822964</v>
      </c>
      <c r="M10" s="25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657.253251599881</v>
      </c>
      <c r="N10" s="7" t="n">
        <f aca="false">SUM(B10:M10)</f>
        <v>4342.8424619224</v>
      </c>
      <c r="O10" s="26" t="n">
        <f aca="false">MAX(B10:M10)</f>
        <v>657.253251599881</v>
      </c>
      <c r="P10" s="15" t="n">
        <f aca="false">O10/parametros_recargas!$B$6</f>
        <v>4.38168834399921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5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12.1448801155915</v>
      </c>
      <c r="C11" s="25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13.7639614269276</v>
      </c>
      <c r="D11" s="25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15.5988887793746</v>
      </c>
      <c r="E11" s="25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17.6784374500834</v>
      </c>
      <c r="F11" s="25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20.0352188605733</v>
      </c>
      <c r="G11" s="25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22.7061919880921</v>
      </c>
      <c r="H11" s="25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25.7332429552179</v>
      </c>
      <c r="I11" s="25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29.1638418868102</v>
      </c>
      <c r="J11" s="25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33.051787335121</v>
      </c>
      <c r="K11" s="25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37.4580499471207</v>
      </c>
      <c r="L11" s="25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42.4517286044026</v>
      </c>
      <c r="M11" s="25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48.1111340298263</v>
      </c>
      <c r="N11" s="7" t="n">
        <f aca="false">SUM(B11:M11)</f>
        <v>317.897363379141</v>
      </c>
      <c r="O11" s="26" t="n">
        <f aca="false">MAX(B11:M11)</f>
        <v>48.1111340298263</v>
      </c>
      <c r="P11" s="15" t="n">
        <f aca="false">O11/parametros_recargas!$B$6</f>
        <v>0.320740893532175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5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0.165727332609829</v>
      </c>
      <c r="C12" s="25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0.187821089357718</v>
      </c>
      <c r="D12" s="25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0.212860250943468</v>
      </c>
      <c r="E12" s="25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0.241237480767782</v>
      </c>
      <c r="F12" s="25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0.273397789719987</v>
      </c>
      <c r="G12" s="25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0.309845514825808</v>
      </c>
      <c r="H12" s="25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0.351152228245871</v>
      </c>
      <c r="I12" s="25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0.397965700653641</v>
      </c>
      <c r="J12" s="25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0.451020059556195</v>
      </c>
      <c r="K12" s="25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0.511147301860353</v>
      </c>
      <c r="L12" s="25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0.579290341223871</v>
      </c>
      <c r="M12" s="25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0.656517794799882</v>
      </c>
      <c r="N12" s="7" t="n">
        <f aca="false">SUM(B12:M12)</f>
        <v>4.3379828845644</v>
      </c>
      <c r="O12" s="26" t="n">
        <f aca="false">MAX(B12:M12)</f>
        <v>0.656517794799882</v>
      </c>
      <c r="P12" s="15" t="n">
        <f aca="false">O12/parametros_recargas!$B$6</f>
        <v>0.00437678529866588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5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40.4664312008926</v>
      </c>
      <c r="C13" s="25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45.8611688903755</v>
      </c>
      <c r="D13" s="25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51.9751000909897</v>
      </c>
      <c r="E13" s="25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58.9041032932618</v>
      </c>
      <c r="F13" s="25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66.7568389230433</v>
      </c>
      <c r="G13" s="25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75.6564533511358</v>
      </c>
      <c r="H13" s="25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85.7425100710813</v>
      </c>
      <c r="I13" s="25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97.1731783297916</v>
      </c>
      <c r="J13" s="25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110.127713533059</v>
      </c>
      <c r="K13" s="25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124.809268323595</v>
      </c>
      <c r="L13" s="25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141.44807841484</v>
      </c>
      <c r="M13" s="25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160.305073140697</v>
      </c>
      <c r="N13" s="7" t="n">
        <f aca="false">SUM(B13:M13)</f>
        <v>1059.22591756276</v>
      </c>
      <c r="O13" s="26" t="n">
        <f aca="false">MAX(B13:M13)</f>
        <v>160.305073140697</v>
      </c>
      <c r="P13" s="15" t="n">
        <f aca="false">O13/parametros_recargas!$B$6</f>
        <v>1.06870048760464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5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38.0721106426045</v>
      </c>
      <c r="C14" s="25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43.1476521249305</v>
      </c>
      <c r="D14" s="25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48.8998338277223</v>
      </c>
      <c r="E14" s="25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55.4188612964466</v>
      </c>
      <c r="F14" s="25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62.8069657294753</v>
      </c>
      <c r="G14" s="25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71.1800071647523</v>
      </c>
      <c r="H14" s="25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80.6692913935251</v>
      </c>
      <c r="I14" s="25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91.4236290939281</v>
      </c>
      <c r="J14" s="25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103.611669475691</v>
      </c>
      <c r="K14" s="25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117.424545032121</v>
      </c>
      <c r="L14" s="25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133.078868874278</v>
      </c>
      <c r="M14" s="25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150.820131651461</v>
      </c>
      <c r="N14" s="7" t="n">
        <f aca="false">SUM(B14:M14)</f>
        <v>996.553566306936</v>
      </c>
      <c r="O14" s="26" t="n">
        <f aca="false">MAX(B14:M14)</f>
        <v>150.820131651461</v>
      </c>
      <c r="P14" s="15" t="n">
        <f aca="false">O14/parametros_recargas!$B$6</f>
        <v>1.00546754434307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5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38.0721106426045</v>
      </c>
      <c r="C15" s="25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43.1476521249305</v>
      </c>
      <c r="D15" s="25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48.8998338277223</v>
      </c>
      <c r="E15" s="25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55.4188612964466</v>
      </c>
      <c r="F15" s="25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62.8069657294753</v>
      </c>
      <c r="G15" s="25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71.1800071647523</v>
      </c>
      <c r="H15" s="25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80.6692913935251</v>
      </c>
      <c r="I15" s="25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91.4236290939281</v>
      </c>
      <c r="J15" s="25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103.611669475691</v>
      </c>
      <c r="K15" s="25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117.424545032121</v>
      </c>
      <c r="L15" s="25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133.078868874278</v>
      </c>
      <c r="M15" s="25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150.820131651461</v>
      </c>
      <c r="N15" s="7" t="n">
        <f aca="false">SUM(B15:M15)</f>
        <v>996.553566306936</v>
      </c>
      <c r="O15" s="26" t="n">
        <f aca="false">MAX(B15:M15)</f>
        <v>150.820131651461</v>
      </c>
      <c r="P15" s="15" t="n">
        <f aca="false">O15/parametros_recargas!$B$6</f>
        <v>1.00546754434307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5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19.0171804724951</v>
      </c>
      <c r="C16" s="25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21.5524349339857</v>
      </c>
      <c r="D16" s="25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24.4256740506572</v>
      </c>
      <c r="E16" s="25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27.6819558744222</v>
      </c>
      <c r="F16" s="25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31.372345321739</v>
      </c>
      <c r="G16" s="25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35.5547149721401</v>
      </c>
      <c r="H16" s="25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40.294652624334</v>
      </c>
      <c r="I16" s="25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45.6664898421492</v>
      </c>
      <c r="J16" s="25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51.7544676199473</v>
      </c>
      <c r="K16" s="25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58.654057447436</v>
      </c>
      <c r="L16" s="25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66.4734584907826</v>
      </c>
      <c r="M16" s="25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75.335294368778</v>
      </c>
      <c r="N16" s="7" t="n">
        <f aca="false">SUM(B16:M16)</f>
        <v>497.782726018866</v>
      </c>
      <c r="O16" s="26" t="n">
        <f aca="false">MAX(B16:M16)</f>
        <v>75.335294368778</v>
      </c>
      <c r="P16" s="15" t="n">
        <f aca="false">O16/parametros_recargas!$B$6</f>
        <v>0.502235295791853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5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165.541678398048</v>
      </c>
      <c r="C17" s="25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187.610684859248</v>
      </c>
      <c r="D17" s="25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212.62179660111</v>
      </c>
      <c r="E17" s="25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240.967237147502</v>
      </c>
      <c r="F17" s="25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273.091518869225</v>
      </c>
      <c r="G17" s="25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309.498413814026</v>
      </c>
      <c r="H17" s="25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350.758853845141</v>
      </c>
      <c r="I17" s="25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397.519883978099</v>
      </c>
      <c r="J17" s="25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450.514809321755</v>
      </c>
      <c r="K17" s="25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510.574694747595</v>
      </c>
      <c r="L17" s="25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578.641397624777</v>
      </c>
      <c r="M17" s="25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655.782337999884</v>
      </c>
      <c r="N17" s="7" t="n">
        <f aca="false">SUM(B17:M17)</f>
        <v>4333.12330720641</v>
      </c>
      <c r="O17" s="26" t="n">
        <f aca="false">MAX(B17:M17)</f>
        <v>655.782337999884</v>
      </c>
      <c r="P17" s="15" t="n">
        <f aca="false">O17/parametros_recargas!$B$6</f>
        <v>4.37188225333256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5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0.185654211780637</v>
      </c>
      <c r="C18" s="25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0.210404498469673</v>
      </c>
      <c r="D18" s="25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0.238454342358699</v>
      </c>
      <c r="E18" s="25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0.27024362028037</v>
      </c>
      <c r="F18" s="25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0.306270850762623</v>
      </c>
      <c r="G18" s="25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0.347101011781682</v>
      </c>
      <c r="H18" s="25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0.393374400730173</v>
      </c>
      <c r="I18" s="25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0.445816675542141</v>
      </c>
      <c r="J18" s="25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0.505250234439573</v>
      </c>
      <c r="K18" s="25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0.572607112757301</v>
      </c>
      <c r="L18" s="25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0.648943599093898</v>
      </c>
      <c r="M18" s="25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0.735456799998634</v>
      </c>
      <c r="N18" s="7" t="n">
        <f aca="false">SUM(B18:M18)</f>
        <v>4.8595773579954</v>
      </c>
      <c r="O18" s="26" t="n">
        <f aca="false">MAX(B18:M18)</f>
        <v>0.735456799998634</v>
      </c>
      <c r="P18" s="15" t="n">
        <f aca="false">O18/parametros_recargas!$B$6</f>
        <v>0.00490304533332423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5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0.185654211780637</v>
      </c>
      <c r="C19" s="25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0.210404498469673</v>
      </c>
      <c r="D19" s="25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0.238454342358699</v>
      </c>
      <c r="E19" s="25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0.27024362028037</v>
      </c>
      <c r="F19" s="25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0.306270850762623</v>
      </c>
      <c r="G19" s="25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0.347101011781682</v>
      </c>
      <c r="H19" s="25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0.393374400730173</v>
      </c>
      <c r="I19" s="25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0.445816675542141</v>
      </c>
      <c r="J19" s="25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0.505250234439573</v>
      </c>
      <c r="K19" s="25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0.572607112757301</v>
      </c>
      <c r="L19" s="25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0.648943599093898</v>
      </c>
      <c r="M19" s="25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0.735456799998634</v>
      </c>
      <c r="N19" s="7" t="n">
        <f aca="false">SUM(B19:M19)</f>
        <v>4.8595773579954</v>
      </c>
      <c r="O19" s="26" t="n">
        <f aca="false">MAX(B19:M19)</f>
        <v>0.735456799998634</v>
      </c>
      <c r="P19" s="15" t="n">
        <f aca="false">O19/parametros_recargas!$B$6</f>
        <v>0.00490304533332423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5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8.10690085300835</v>
      </c>
      <c r="C20" s="25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9.1876634080137</v>
      </c>
      <c r="D20" s="25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10.4125066322514</v>
      </c>
      <c r="E20" s="25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11.8006384813915</v>
      </c>
      <c r="F20" s="25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13.3738275985509</v>
      </c>
      <c r="G20" s="25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15.1567446895189</v>
      </c>
      <c r="H20" s="25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17.1773494080445</v>
      </c>
      <c r="I20" s="25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19.4673288183106</v>
      </c>
      <c r="J20" s="25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22.0625943105485</v>
      </c>
      <c r="K20" s="25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25.003844762411</v>
      </c>
      <c r="L20" s="25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28.3372047775828</v>
      </c>
      <c r="M20" s="25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32.1149480104688</v>
      </c>
      <c r="N20" s="7" t="n">
        <f aca="false">SUM(B20:M20)</f>
        <v>212.201551750101</v>
      </c>
      <c r="O20" s="26" t="n">
        <f aca="false">MAX(B20:M20)</f>
        <v>32.1149480104688</v>
      </c>
      <c r="P20" s="15" t="n">
        <f aca="false">O20/parametros_recargas!$B$6</f>
        <v>0.214099653403125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5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4.69705173751767</v>
      </c>
      <c r="C21" s="25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5.32323401467579</v>
      </c>
      <c r="D21" s="25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6.0328950921833</v>
      </c>
      <c r="E21" s="25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6.8371638543315</v>
      </c>
      <c r="F21" s="25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7.74865282035919</v>
      </c>
      <c r="G21" s="25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8.78165593361093</v>
      </c>
      <c r="H21" s="25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9.95237271873916</v>
      </c>
      <c r="I21" s="25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11.2791623221767</v>
      </c>
      <c r="J21" s="25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12.7828314197347</v>
      </c>
      <c r="K21" s="25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14.4869605062855</v>
      </c>
      <c r="L21" s="25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16.4182736843941</v>
      </c>
      <c r="M21" s="25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18.6070577509142</v>
      </c>
      <c r="N21" s="7" t="n">
        <f aca="false">SUM(B21:M21)</f>
        <v>122.947311854923</v>
      </c>
      <c r="O21" s="26" t="n">
        <f aca="false">MAX(B21:M21)</f>
        <v>18.6070577509142</v>
      </c>
      <c r="P21" s="15" t="n">
        <f aca="false">O21/parametros_recargas!$B$6</f>
        <v>0.124047051672761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5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165.91298682161</v>
      </c>
      <c r="C22" s="25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188.031493856188</v>
      </c>
      <c r="D22" s="25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213.098705285827</v>
      </c>
      <c r="E22" s="25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241.507724388063</v>
      </c>
      <c r="F22" s="25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273.70406057075</v>
      </c>
      <c r="G22" s="25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310.192615837589</v>
      </c>
      <c r="H22" s="25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351.545602646602</v>
      </c>
      <c r="I22" s="25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398.411517329183</v>
      </c>
      <c r="J22" s="25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451.525309790634</v>
      </c>
      <c r="K22" s="25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511.71990897311</v>
      </c>
      <c r="L22" s="25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579.939284822964</v>
      </c>
      <c r="M22" s="25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657.253251599881</v>
      </c>
      <c r="N22" s="7" t="n">
        <f aca="false">SUM(B22:M22)</f>
        <v>4342.8424619224</v>
      </c>
      <c r="O22" s="26" t="n">
        <f aca="false">MAX(B22:M22)</f>
        <v>657.253251599881</v>
      </c>
      <c r="P22" s="15" t="n">
        <f aca="false">O22/parametros_recargas!$B$6</f>
        <v>4.38168834399921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5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165.91298682161</v>
      </c>
      <c r="C23" s="25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188.031493856188</v>
      </c>
      <c r="D23" s="25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213.098705285827</v>
      </c>
      <c r="E23" s="25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241.507724388063</v>
      </c>
      <c r="F23" s="25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273.70406057075</v>
      </c>
      <c r="G23" s="25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310.192615837589</v>
      </c>
      <c r="H23" s="25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351.545602646602</v>
      </c>
      <c r="I23" s="25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398.411517329183</v>
      </c>
      <c r="J23" s="25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451.525309790634</v>
      </c>
      <c r="K23" s="25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511.71990897311</v>
      </c>
      <c r="L23" s="25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579.939284822964</v>
      </c>
      <c r="M23" s="25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657.253251599881</v>
      </c>
      <c r="N23" s="7" t="n">
        <f aca="false">SUM(B23:M23)</f>
        <v>4342.8424619224</v>
      </c>
      <c r="O23" s="26" t="n">
        <f aca="false">MAX(B23:M23)</f>
        <v>657.253251599881</v>
      </c>
      <c r="P23" s="15" t="n">
        <f aca="false">O23/parametros_recargas!$B$6</f>
        <v>4.38168834399921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5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12.1448801155915</v>
      </c>
      <c r="C24" s="25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13.7639614269276</v>
      </c>
      <c r="D24" s="25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15.5988887793746</v>
      </c>
      <c r="E24" s="25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17.6784374500834</v>
      </c>
      <c r="F24" s="25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20.0352188605733</v>
      </c>
      <c r="G24" s="25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22.7061919880921</v>
      </c>
      <c r="H24" s="25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25.7332429552179</v>
      </c>
      <c r="I24" s="25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29.1638418868102</v>
      </c>
      <c r="J24" s="25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33.051787335121</v>
      </c>
      <c r="K24" s="25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37.4580499471207</v>
      </c>
      <c r="L24" s="25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42.4517286044026</v>
      </c>
      <c r="M24" s="25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48.1111340298263</v>
      </c>
      <c r="N24" s="7" t="n">
        <f aca="false">SUM(B24:M24)</f>
        <v>317.897363379141</v>
      </c>
      <c r="O24" s="26" t="n">
        <f aca="false">MAX(B24:M24)</f>
        <v>48.1111340298263</v>
      </c>
      <c r="P24" s="15" t="n">
        <f aca="false">O24/parametros_recargas!$B$6</f>
        <v>0.320740893532175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5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0.123769481318438</v>
      </c>
      <c r="C25" s="25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0.140269673350732</v>
      </c>
      <c r="D25" s="25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0.158969570303838</v>
      </c>
      <c r="E25" s="25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0.180162423415631</v>
      </c>
      <c r="F25" s="25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0.204180578389659</v>
      </c>
      <c r="G25" s="25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0.231400687230757</v>
      </c>
      <c r="H25" s="25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0.262249614890789</v>
      </c>
      <c r="I25" s="25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0.297211133352355</v>
      </c>
      <c r="J25" s="25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0.336833508126894</v>
      </c>
      <c r="K25" s="25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0.381738096138421</v>
      </c>
      <c r="L25" s="25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0.432629089824663</v>
      </c>
      <c r="M25" s="25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0.490304560262301</v>
      </c>
      <c r="N25" s="7" t="n">
        <f aca="false">SUM(B25:M25)</f>
        <v>3.23971841660448</v>
      </c>
      <c r="O25" s="26" t="n">
        <f aca="false">MAX(B25:M25)</f>
        <v>0.490304560262301</v>
      </c>
      <c r="P25" s="15" t="n">
        <f aca="false">O25/parametros_recargas!$B$6</f>
        <v>0.00326869706841534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5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11.3310958314965</v>
      </c>
      <c r="C26" s="25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12.841688387629</v>
      </c>
      <c r="D26" s="25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14.5536639260059</v>
      </c>
      <c r="E26" s="25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16.4938695970204</v>
      </c>
      <c r="F26" s="25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18.6927316493404</v>
      </c>
      <c r="G26" s="25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21.1847325734511</v>
      </c>
      <c r="H26" s="25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24.0089518550637</v>
      </c>
      <c r="I26" s="25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27.2096788184693</v>
      </c>
      <c r="J26" s="25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30.8371071704284</v>
      </c>
      <c r="K26" s="25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34.9481221364148</v>
      </c>
      <c r="L26" s="25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39.6071925330603</v>
      </c>
      <c r="M26" s="25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44.8873817662534</v>
      </c>
      <c r="N26" s="7" t="n">
        <f aca="false">SUM(B26:M26)</f>
        <v>296.596216244633</v>
      </c>
      <c r="O26" s="26" t="n">
        <f aca="false">MAX(B26:M26)</f>
        <v>44.8873817662534</v>
      </c>
      <c r="P26" s="15" t="n">
        <f aca="false">O26/parametros_recargas!$B$6</f>
        <v>0.299249211775023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5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190.171804724951</v>
      </c>
      <c r="C27" s="25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215.524349339857</v>
      </c>
      <c r="D27" s="25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244.256740506572</v>
      </c>
      <c r="E27" s="25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276.819558744222</v>
      </c>
      <c r="F27" s="25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313.72345321739</v>
      </c>
      <c r="G27" s="25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355.547149721401</v>
      </c>
      <c r="H27" s="25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402.94652624334</v>
      </c>
      <c r="I27" s="25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456.664898421492</v>
      </c>
      <c r="J27" s="25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517.544676199473</v>
      </c>
      <c r="K27" s="25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586.54057447436</v>
      </c>
      <c r="L27" s="25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664.734584907826</v>
      </c>
      <c r="M27" s="25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753.35294368778</v>
      </c>
      <c r="N27" s="7" t="n">
        <f aca="false">SUM(B27:M27)</f>
        <v>4977.82726018866</v>
      </c>
      <c r="O27" s="26" t="n">
        <f aca="false">MAX(B27:M27)</f>
        <v>753.35294368778</v>
      </c>
      <c r="P27" s="15" t="n">
        <f aca="false">O27/parametros_recargas!$B$6</f>
        <v>5.02235295791853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5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190.171804724951</v>
      </c>
      <c r="C28" s="25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215.524349339857</v>
      </c>
      <c r="D28" s="25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244.256740506572</v>
      </c>
      <c r="E28" s="25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276.819558744222</v>
      </c>
      <c r="F28" s="25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313.72345321739</v>
      </c>
      <c r="G28" s="25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355.547149721401</v>
      </c>
      <c r="H28" s="25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402.94652624334</v>
      </c>
      <c r="I28" s="25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456.664898421492</v>
      </c>
      <c r="J28" s="25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517.544676199473</v>
      </c>
      <c r="K28" s="25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586.54057447436</v>
      </c>
      <c r="L28" s="25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664.734584907826</v>
      </c>
      <c r="M28" s="25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753.35294368778</v>
      </c>
      <c r="N28" s="7" t="n">
        <f aca="false">SUM(B28:M28)</f>
        <v>4977.82726018866</v>
      </c>
      <c r="O28" s="26" t="n">
        <f aca="false">MAX(B28:M28)</f>
        <v>753.35294368778</v>
      </c>
      <c r="P28" s="15" t="n">
        <f aca="false">O28/parametros_recargas!$B$6</f>
        <v>5.02235295791853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5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14.9527970592451</v>
      </c>
      <c r="C29" s="25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16.946212724151</v>
      </c>
      <c r="D29" s="25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19.2053784020711</v>
      </c>
      <c r="E29" s="25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21.765722263186</v>
      </c>
      <c r="F29" s="25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24.667395545149</v>
      </c>
      <c r="G29" s="25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27.9559022036226</v>
      </c>
      <c r="H29" s="25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31.6828125039817</v>
      </c>
      <c r="I29" s="25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35.9065717447095</v>
      </c>
      <c r="J29" s="25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40.6934167948614</v>
      </c>
      <c r="K29" s="25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46.1184148187107</v>
      </c>
      <c r="L29" s="25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52.2666404768264</v>
      </c>
      <c r="M29" s="25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59.234510064416</v>
      </c>
      <c r="N29" s="7" t="n">
        <f aca="false">SUM(B29:M29)</f>
        <v>391.395774600931</v>
      </c>
      <c r="O29" s="26" t="n">
        <f aca="false">MAX(B29:M29)</f>
        <v>59.234510064416</v>
      </c>
      <c r="P29" s="15" t="n">
        <f aca="false">O29/parametros_recargas!$B$6</f>
        <v>0.394896733762774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5" t="n">
        <f aca="false">'Plan mensual'!D29</f>
        <v>5.6315112810237</v>
      </c>
      <c r="C30" s="25" t="n">
        <f aca="false">'Plan mensual'!E29</f>
        <v>6.38227000263333</v>
      </c>
      <c r="D30" s="25" t="n">
        <f aca="false">'Plan mensual'!F29</f>
        <v>7.23311529602561</v>
      </c>
      <c r="E30" s="25" t="n">
        <f aca="false">'Plan mensual'!G29</f>
        <v>8.19739009224198</v>
      </c>
      <c r="F30" s="25" t="n">
        <f aca="false">'Plan mensual'!H29</f>
        <v>9.29021612047438</v>
      </c>
      <c r="G30" s="25" t="n">
        <f aca="false">'Plan mensual'!I29</f>
        <v>10.5287310465808</v>
      </c>
      <c r="H30" s="25" t="n">
        <f aca="false">'Plan mensual'!J29</f>
        <v>11.9323572254608</v>
      </c>
      <c r="I30" s="25" t="n">
        <f aca="false">'Plan mensual'!K29</f>
        <v>13.5231062818576</v>
      </c>
      <c r="J30" s="25" t="n">
        <f aca="false">'Plan mensual'!L29</f>
        <v>15.3259242960147</v>
      </c>
      <c r="K30" s="25" t="n">
        <f aca="false">'Plan mensual'!M29</f>
        <v>17.3690830073776</v>
      </c>
      <c r="L30" s="25" t="n">
        <f aca="false">'Plan mensual'!N29</f>
        <v>19.684623171186</v>
      </c>
      <c r="M30" s="25" t="n">
        <f aca="false">'Plan mensual'!O29</f>
        <v>22.3088570206618</v>
      </c>
      <c r="N30" s="7" t="n">
        <f aca="false">SUM(B30:M30)</f>
        <v>147.407184841538</v>
      </c>
      <c r="O30" s="26" t="n">
        <f aca="false">MAX(B30:M30)</f>
        <v>22.3088570206618</v>
      </c>
      <c r="P30" s="15" t="n">
        <f aca="false">O30/parametros_recargas!$B$6</f>
        <v>0.148725713471079</v>
      </c>
    </row>
    <row r="33" customFormat="false" ht="23.85" hidden="false" customHeight="false" outlineLevel="0" collapsed="false">
      <c r="A33" s="3" t="s">
        <v>279</v>
      </c>
      <c r="B33" s="3" t="s">
        <v>124</v>
      </c>
      <c r="C33" s="3" t="s">
        <v>125</v>
      </c>
      <c r="D33" s="3" t="s">
        <v>126</v>
      </c>
      <c r="E33" s="3" t="s">
        <v>127</v>
      </c>
      <c r="F33" s="3" t="s">
        <v>128</v>
      </c>
      <c r="G33" s="3" t="s">
        <v>129</v>
      </c>
      <c r="H33" s="3" t="s">
        <v>130</v>
      </c>
      <c r="I33" s="3" t="s">
        <v>131</v>
      </c>
      <c r="J33" s="3" t="s">
        <v>132</v>
      </c>
      <c r="K33" s="3" t="s">
        <v>133</v>
      </c>
      <c r="L33" s="3" t="s">
        <v>134</v>
      </c>
      <c r="M33" s="3" t="s">
        <v>135</v>
      </c>
      <c r="N33" s="3" t="s">
        <v>276</v>
      </c>
      <c r="O33" s="3" t="s">
        <v>277</v>
      </c>
      <c r="P33" s="3" t="s">
        <v>278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5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1332.15183253731</v>
      </c>
      <c r="C34" s="25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1411.6677868671</v>
      </c>
      <c r="D34" s="25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1495.93003725607</v>
      </c>
      <c r="E34" s="25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1585.22188944417</v>
      </c>
      <c r="F34" s="25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1679.8435596509</v>
      </c>
      <c r="G34" s="25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1780.11318395941</v>
      </c>
      <c r="H34" s="25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1886.36788795061</v>
      </c>
      <c r="I34" s="25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1998.96492018363</v>
      </c>
      <c r="J34" s="25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2118.28285333352</v>
      </c>
      <c r="K34" s="25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2244.72285702473</v>
      </c>
      <c r="L34" s="25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2378.71004663979</v>
      </c>
      <c r="M34" s="25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2520.69491263828</v>
      </c>
      <c r="N34" s="7" t="n">
        <f aca="false">SUM(B34:M34)</f>
        <v>22432.6717674855</v>
      </c>
      <c r="O34" s="26" t="n">
        <f aca="false">MAX(B34:M34)</f>
        <v>2520.69491263828</v>
      </c>
      <c r="P34" s="15" t="n">
        <f aca="false">O34/parametros_recargas!$B$6</f>
        <v>16.8046327509218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5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1332.15183253731</v>
      </c>
      <c r="C35" s="25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1411.6677868671</v>
      </c>
      <c r="D35" s="25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1495.93003725607</v>
      </c>
      <c r="E35" s="25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1585.22188944417</v>
      </c>
      <c r="F35" s="25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1679.8435596509</v>
      </c>
      <c r="G35" s="25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1780.11318395941</v>
      </c>
      <c r="H35" s="25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1886.36788795061</v>
      </c>
      <c r="I35" s="25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1998.96492018363</v>
      </c>
      <c r="J35" s="25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2118.28285333352</v>
      </c>
      <c r="K35" s="25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2244.72285702473</v>
      </c>
      <c r="L35" s="25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2378.71004663979</v>
      </c>
      <c r="M35" s="25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2520.69491263828</v>
      </c>
      <c r="N35" s="7" t="n">
        <f aca="false">SUM(B35:M35)</f>
        <v>22432.6717674855</v>
      </c>
      <c r="O35" s="26" t="n">
        <f aca="false">MAX(B35:M35)</f>
        <v>2520.69491263828</v>
      </c>
      <c r="P35" s="15" t="n">
        <f aca="false">O35/parametros_recargas!$B$6</f>
        <v>16.8046327509218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5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990.88805182896</v>
      </c>
      <c r="C36" s="25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1050.03401939116</v>
      </c>
      <c r="D36" s="25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1112.71040138555</v>
      </c>
      <c r="E36" s="25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1179.12792774991</v>
      </c>
      <c r="F36" s="25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1249.50990686213</v>
      </c>
      <c r="G36" s="25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1324.09297634561</v>
      </c>
      <c r="H36" s="25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1403.12789868999</v>
      </c>
      <c r="I36" s="25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1486.88040436241</v>
      </c>
      <c r="J36" s="25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1575.63208524398</v>
      </c>
      <c r="K36" s="25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1669.68134139535</v>
      </c>
      <c r="L36" s="25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1769.34438433456</v>
      </c>
      <c r="M36" s="25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1874.95630020039</v>
      </c>
      <c r="N36" s="7" t="n">
        <f aca="false">SUM(B36:M36)</f>
        <v>16685.98569779</v>
      </c>
      <c r="O36" s="26" t="n">
        <f aca="false">MAX(B36:M36)</f>
        <v>1874.95630020039</v>
      </c>
      <c r="P36" s="15" t="n">
        <f aca="false">O36/parametros_recargas!$B$6</f>
        <v>12.4997086680026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5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116.575064921054</v>
      </c>
      <c r="C37" s="25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123.533414046019</v>
      </c>
      <c r="D37" s="25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130.907106045359</v>
      </c>
      <c r="E37" s="25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138.72093267646</v>
      </c>
      <c r="F37" s="25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147.001165513192</v>
      </c>
      <c r="G37" s="25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155.775644275955</v>
      </c>
      <c r="H37" s="25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165.073870434117</v>
      </c>
      <c r="I37" s="25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174.927106395577</v>
      </c>
      <c r="J37" s="25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185.368480616939</v>
      </c>
      <c r="K37" s="25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196.433098987689</v>
      </c>
      <c r="L37" s="25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208.15816286289</v>
      </c>
      <c r="M37" s="25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220.583094141222</v>
      </c>
      <c r="N37" s="7" t="n">
        <f aca="false">SUM(B37:M37)</f>
        <v>1963.05714091647</v>
      </c>
      <c r="O37" s="26" t="n">
        <f aca="false">MAX(B37:M37)</f>
        <v>220.583094141222</v>
      </c>
      <c r="P37" s="15" t="n">
        <f aca="false">O37/parametros_recargas!$B$6</f>
        <v>1.47055396094148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5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1.98967134286704</v>
      </c>
      <c r="C38" s="25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2.10843454370233</v>
      </c>
      <c r="D38" s="25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2.23428670318559</v>
      </c>
      <c r="E38" s="25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2.36765096025514</v>
      </c>
      <c r="F38" s="25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2.50897571095264</v>
      </c>
      <c r="G38" s="25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2.658736116016</v>
      </c>
      <c r="H38" s="25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2.81743569846033</v>
      </c>
      <c r="I38" s="25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2.98560803651823</v>
      </c>
      <c r="J38" s="25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3.16381855763149</v>
      </c>
      <c r="K38" s="25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3.35266643952588</v>
      </c>
      <c r="L38" s="25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3.55278662476079</v>
      </c>
      <c r="M38" s="25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3.76485195552712</v>
      </c>
      <c r="N38" s="7" t="n">
        <f aca="false">SUM(B38:M38)</f>
        <v>33.5049226894026</v>
      </c>
      <c r="O38" s="26" t="n">
        <f aca="false">MAX(B38:M38)</f>
        <v>3.76485195552712</v>
      </c>
      <c r="P38" s="15" t="n">
        <f aca="false">O38/parametros_recargas!$B$6</f>
        <v>0.0250990130368475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5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58.7439929268892</v>
      </c>
      <c r="C39" s="25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62.2504135500007</v>
      </c>
      <c r="D39" s="25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65.9661319238028</v>
      </c>
      <c r="E39" s="25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69.9036410014099</v>
      </c>
      <c r="F39" s="25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74.0761794385396</v>
      </c>
      <c r="G39" s="25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78.4977761043956</v>
      </c>
      <c r="H39" s="25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83.1832972493985</v>
      </c>
      <c r="I39" s="25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88.1484964883523</v>
      </c>
      <c r="J39" s="25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93.4100677670992</v>
      </c>
      <c r="K39" s="25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98.9857014907453</v>
      </c>
      <c r="L39" s="25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104.894144002174</v>
      </c>
      <c r="M39" s="25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111.155260610822</v>
      </c>
      <c r="N39" s="7" t="n">
        <f aca="false">SUM(B39:M39)</f>
        <v>989.215102553629</v>
      </c>
      <c r="O39" s="26" t="n">
        <f aca="false">MAX(B39:M39)</f>
        <v>111.155260610822</v>
      </c>
      <c r="P39" s="15" t="n">
        <f aca="false">O39/parametros_recargas!$B$6</f>
        <v>0.741035070738815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5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24.7351730159404</v>
      </c>
      <c r="C40" s="25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26.2116119922161</v>
      </c>
      <c r="D40" s="25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27.7761794020088</v>
      </c>
      <c r="E40" s="25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29.4341356190413</v>
      </c>
      <c r="F40" s="25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31.1910550079993</v>
      </c>
      <c r="G40" s="25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33.0528446666078</v>
      </c>
      <c r="H40" s="25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35.0257642864187</v>
      </c>
      <c r="I40" s="25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37.1164471990868</v>
      </c>
      <c r="J40" s="25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39.3319226788942</v>
      </c>
      <c r="K40" s="25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41.6796395765104</v>
      </c>
      <c r="L40" s="25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44.1674913634466</v>
      </c>
      <c r="M40" s="25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46.8038426714115</v>
      </c>
      <c r="N40" s="7" t="n">
        <f aca="false">SUM(B40:M40)</f>
        <v>416.526107479582</v>
      </c>
      <c r="O40" s="26" t="n">
        <f aca="false">MAX(B40:M40)</f>
        <v>46.8038426714115</v>
      </c>
      <c r="P40" s="15" t="n">
        <f aca="false">O40/parametros_recargas!$B$6</f>
        <v>0.31202561780941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5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1.18428891259477</v>
      </c>
      <c r="C41" s="25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1.25497895016189</v>
      </c>
      <c r="D41" s="25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1.32988846606584</v>
      </c>
      <c r="E41" s="25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1.40926932037132</v>
      </c>
      <c r="F41" s="25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1.49338840663463</v>
      </c>
      <c r="G41" s="25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1.58252854925068</v>
      </c>
      <c r="H41" s="25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1.67698945436248</v>
      </c>
      <c r="I41" s="25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1.7770887175303</v>
      </c>
      <c r="J41" s="25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1.88316289154844</v>
      </c>
      <c r="K41" s="25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1.99556861799985</v>
      </c>
      <c r="L41" s="25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2.11468382635311</v>
      </c>
      <c r="M41" s="25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2.24090900463326</v>
      </c>
      <c r="N41" s="7" t="n">
        <f aca="false">SUM(B41:M41)</f>
        <v>19.9427451175066</v>
      </c>
      <c r="O41" s="26" t="n">
        <f aca="false">MAX(B41:M41)</f>
        <v>2.24090900463326</v>
      </c>
      <c r="P41" s="15" t="n">
        <f aca="false">O41/parametros_recargas!$B$6</f>
        <v>0.0149393933642218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5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1169.72999189628</v>
      </c>
      <c r="C42" s="25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1239.55100954759</v>
      </c>
      <c r="D42" s="25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1313.53963385996</v>
      </c>
      <c r="E42" s="25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1391.94462868511</v>
      </c>
      <c r="F42" s="25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1475.02960655382</v>
      </c>
      <c r="G42" s="25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1563.07391499158</v>
      </c>
      <c r="H42" s="25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1656.37357573809</v>
      </c>
      <c r="I42" s="25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1755.24228002881</v>
      </c>
      <c r="J42" s="25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1860.01244328465</v>
      </c>
      <c r="K42" s="25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1971.03632275594</v>
      </c>
      <c r="L42" s="25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2088.68720187842</v>
      </c>
      <c r="M42" s="25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2213.36064532327</v>
      </c>
      <c r="N42" s="7" t="n">
        <f aca="false">SUM(B42:M42)</f>
        <v>19697.5812545435</v>
      </c>
      <c r="O42" s="26" t="n">
        <f aca="false">MAX(B42:M42)</f>
        <v>2213.36064532327</v>
      </c>
      <c r="P42" s="15" t="n">
        <f aca="false">O42/parametros_recargas!$B$6</f>
        <v>14.7557376354885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5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84.6634548554244</v>
      </c>
      <c r="C43" s="25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89.7170044923787</v>
      </c>
      <c r="D43" s="25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95.0721997918774</v>
      </c>
      <c r="E43" s="25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100.747045940822</v>
      </c>
      <c r="F43" s="25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106.760622853174</v>
      </c>
      <c r="G43" s="25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113.133149320254</v>
      </c>
      <c r="H43" s="25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119.88605099018</v>
      </c>
      <c r="I43" s="25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127.042032404969</v>
      </c>
      <c r="J43" s="25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134.625153337542</v>
      </c>
      <c r="K43" s="25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142.660909685256</v>
      </c>
      <c r="L43" s="25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151.176319191974</v>
      </c>
      <c r="M43" s="25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160.200012286867</v>
      </c>
      <c r="N43" s="7" t="n">
        <f aca="false">SUM(B43:M43)</f>
        <v>1425.68395515072</v>
      </c>
      <c r="O43" s="26" t="n">
        <f aca="false">MAX(B43:M43)</f>
        <v>160.200012286867</v>
      </c>
      <c r="P43" s="15" t="n">
        <f aca="false">O43/parametros_recargas!$B$6</f>
        <v>1.06800008191245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5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1.16774032055341</v>
      </c>
      <c r="C44" s="25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1.23744257500389</v>
      </c>
      <c r="D44" s="25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1.31130534715678</v>
      </c>
      <c r="E44" s="25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1.38957697772485</v>
      </c>
      <c r="F44" s="25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1.47252063084287</v>
      </c>
      <c r="G44" s="25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1.56041517887556</v>
      </c>
      <c r="H44" s="25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1.65355614003963</v>
      </c>
      <c r="I44" s="25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1.75225667199229</v>
      </c>
      <c r="J44" s="25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1.85684862472702</v>
      </c>
      <c r="K44" s="25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1.96768365631641</v>
      </c>
      <c r="L44" s="25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2.08513441525366</v>
      </c>
      <c r="M44" s="25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2.20959579336775</v>
      </c>
      <c r="N44" s="7" t="n">
        <f aca="false">SUM(B44:M44)</f>
        <v>19.6640763318541</v>
      </c>
      <c r="O44" s="26" t="n">
        <f aca="false">MAX(B44:M44)</f>
        <v>2.20959579336775</v>
      </c>
      <c r="P44" s="15" t="n">
        <f aca="false">O44/parametros_recargas!$B$6</f>
        <v>0.0147306386224516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5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284.053564385528</v>
      </c>
      <c r="C45" s="25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301.008681438421</v>
      </c>
      <c r="D45" s="25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318.975847028354</v>
      </c>
      <c r="E45" s="25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338.015470189256</v>
      </c>
      <c r="F45" s="25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358.191565761742</v>
      </c>
      <c r="G45" s="25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379.5719696232</v>
      </c>
      <c r="H45" s="25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402.228566764941</v>
      </c>
      <c r="I45" s="25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426.237532983231</v>
      </c>
      <c r="J45" s="25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451.679590996834</v>
      </c>
      <c r="K45" s="25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478.640281852169</v>
      </c>
      <c r="L45" s="25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507.210252528611</v>
      </c>
      <c r="M45" s="25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537.485560710902</v>
      </c>
      <c r="N45" s="7" t="n">
        <f aca="false">SUM(B45:M45)</f>
        <v>4783.29888426319</v>
      </c>
      <c r="O45" s="26" t="n">
        <f aca="false">MAX(B45:M45)</f>
        <v>537.485560710902</v>
      </c>
      <c r="P45" s="15" t="n">
        <f aca="false">O45/parametros_recargas!$B$6</f>
        <v>3.58323707140601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5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266.378867841046</v>
      </c>
      <c r="C46" s="25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282.278984758897</v>
      </c>
      <c r="D46" s="25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299.128177405052</v>
      </c>
      <c r="E46" s="25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316.983095975402</v>
      </c>
      <c r="F46" s="25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335.90377210801</v>
      </c>
      <c r="G46" s="25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355.953820720918</v>
      </c>
      <c r="H46" s="25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377.200653897623</v>
      </c>
      <c r="I46" s="25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399.715707539343</v>
      </c>
      <c r="J46" s="25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423.574681546131</v>
      </c>
      <c r="K46" s="25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448.857794334355</v>
      </c>
      <c r="L46" s="25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475.650052546308</v>
      </c>
      <c r="M46" s="25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504.041536858723</v>
      </c>
      <c r="N46" s="7" t="n">
        <f aca="false">SUM(B46:M46)</f>
        <v>4485.66714553181</v>
      </c>
      <c r="O46" s="26" t="n">
        <f aca="false">MAX(B46:M46)</f>
        <v>504.041536858723</v>
      </c>
      <c r="P46" s="15" t="n">
        <f aca="false">O46/parametros_recargas!$B$6</f>
        <v>3.36027691239149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5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266.378867841046</v>
      </c>
      <c r="C47" s="25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282.278984758897</v>
      </c>
      <c r="D47" s="25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299.128177405052</v>
      </c>
      <c r="E47" s="25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316.983095975402</v>
      </c>
      <c r="F47" s="25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335.90377210801</v>
      </c>
      <c r="G47" s="25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355.953820720918</v>
      </c>
      <c r="H47" s="25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377.200653897623</v>
      </c>
      <c r="I47" s="25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399.715707539343</v>
      </c>
      <c r="J47" s="25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423.574681546131</v>
      </c>
      <c r="K47" s="25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448.857794334355</v>
      </c>
      <c r="L47" s="25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475.650052546308</v>
      </c>
      <c r="M47" s="25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504.041536858723</v>
      </c>
      <c r="N47" s="7" t="n">
        <f aca="false">SUM(B47:M47)</f>
        <v>4485.66714553181</v>
      </c>
      <c r="O47" s="26" t="n">
        <f aca="false">MAX(B47:M47)</f>
        <v>504.041536858723</v>
      </c>
      <c r="P47" s="15" t="n">
        <f aca="false">O47/parametros_recargas!$B$6</f>
        <v>3.36027691239149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5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133.215183253731</v>
      </c>
      <c r="C48" s="25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141.16677868671</v>
      </c>
      <c r="D48" s="25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149.593003725607</v>
      </c>
      <c r="E48" s="25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158.522188944417</v>
      </c>
      <c r="F48" s="25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167.98435596509</v>
      </c>
      <c r="G48" s="25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178.011318395941</v>
      </c>
      <c r="H48" s="25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188.636788795061</v>
      </c>
      <c r="I48" s="25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199.896492018363</v>
      </c>
      <c r="J48" s="25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211.828285333352</v>
      </c>
      <c r="K48" s="25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224.472285702473</v>
      </c>
      <c r="L48" s="25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237.871004663979</v>
      </c>
      <c r="M48" s="25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252.069491263828</v>
      </c>
      <c r="N48" s="7" t="n">
        <f aca="false">SUM(B48:M48)</f>
        <v>2243.26717674855</v>
      </c>
      <c r="O48" s="26" t="n">
        <f aca="false">MAX(B48:M48)</f>
        <v>252.069491263828</v>
      </c>
      <c r="P48" s="15" t="n">
        <f aca="false">O48/parametros_recargas!$B$6</f>
        <v>1.68046327509218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5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1165.75064921054</v>
      </c>
      <c r="C49" s="25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1235.33414046019</v>
      </c>
      <c r="D49" s="25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1309.07106045359</v>
      </c>
      <c r="E49" s="25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1387.2093267646</v>
      </c>
      <c r="F49" s="25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1470.01165513192</v>
      </c>
      <c r="G49" s="25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1557.75644275955</v>
      </c>
      <c r="H49" s="25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1650.73870434117</v>
      </c>
      <c r="I49" s="25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1749.27106395577</v>
      </c>
      <c r="J49" s="25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1853.68480616939</v>
      </c>
      <c r="K49" s="25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1964.33098987689</v>
      </c>
      <c r="L49" s="25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2081.5816286289</v>
      </c>
      <c r="M49" s="25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2205.83094141222</v>
      </c>
      <c r="N49" s="7" t="n">
        <f aca="false">SUM(B49:M49)</f>
        <v>19630.5714091647</v>
      </c>
      <c r="O49" s="26" t="n">
        <f aca="false">MAX(B49:M49)</f>
        <v>2205.83094141222</v>
      </c>
      <c r="P49" s="15" t="n">
        <f aca="false">O49/parametros_recargas!$B$6</f>
        <v>14.7055396094148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5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1.98967134286704</v>
      </c>
      <c r="C50" s="25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2.10843454370233</v>
      </c>
      <c r="D50" s="25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2.23428670318559</v>
      </c>
      <c r="E50" s="25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2.36765096025514</v>
      </c>
      <c r="F50" s="25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2.50897571095264</v>
      </c>
      <c r="G50" s="25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2.658736116016</v>
      </c>
      <c r="H50" s="25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2.81743569846033</v>
      </c>
      <c r="I50" s="25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2.98560803651823</v>
      </c>
      <c r="J50" s="25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3.16381855763149</v>
      </c>
      <c r="K50" s="25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3.35266643952588</v>
      </c>
      <c r="L50" s="25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3.55278662476079</v>
      </c>
      <c r="M50" s="25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3.76485195552712</v>
      </c>
      <c r="N50" s="7" t="n">
        <f aca="false">SUM(B50:M50)</f>
        <v>33.5049226894026</v>
      </c>
      <c r="O50" s="26" t="n">
        <f aca="false">MAX(B50:M50)</f>
        <v>3.76485195552712</v>
      </c>
      <c r="P50" s="15" t="n">
        <f aca="false">O50/parametros_recargas!$B$6</f>
        <v>0.0250990130368475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5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1.98967134286704</v>
      </c>
      <c r="C51" s="25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2.10843454370233</v>
      </c>
      <c r="D51" s="25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2.23428670318559</v>
      </c>
      <c r="E51" s="25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2.36765096025514</v>
      </c>
      <c r="F51" s="25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2.50897571095264</v>
      </c>
      <c r="G51" s="25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2.658736116016</v>
      </c>
      <c r="H51" s="25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2.81743569846033</v>
      </c>
      <c r="I51" s="25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2.98560803651823</v>
      </c>
      <c r="J51" s="25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3.16381855763149</v>
      </c>
      <c r="K51" s="25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3.35266643952588</v>
      </c>
      <c r="L51" s="25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3.55278662476079</v>
      </c>
      <c r="M51" s="25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3.76485195552712</v>
      </c>
      <c r="N51" s="7" t="n">
        <f aca="false">SUM(B51:M51)</f>
        <v>33.5049226894026</v>
      </c>
      <c r="O51" s="26" t="n">
        <f aca="false">MAX(B51:M51)</f>
        <v>3.76485195552712</v>
      </c>
      <c r="P51" s="15" t="n">
        <f aca="false">O51/parametros_recargas!$B$6</f>
        <v>0.0250990130368475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5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58.7439929268892</v>
      </c>
      <c r="C52" s="25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62.2504135500007</v>
      </c>
      <c r="D52" s="25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65.9661319238028</v>
      </c>
      <c r="E52" s="25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69.9036410014099</v>
      </c>
      <c r="F52" s="25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74.0761794385396</v>
      </c>
      <c r="G52" s="25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78.4977761043956</v>
      </c>
      <c r="H52" s="25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83.1832972493985</v>
      </c>
      <c r="I52" s="25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88.1484964883523</v>
      </c>
      <c r="J52" s="25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93.4100677670992</v>
      </c>
      <c r="K52" s="25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98.9857014907453</v>
      </c>
      <c r="L52" s="25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104.894144002174</v>
      </c>
      <c r="M52" s="25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111.155260610822</v>
      </c>
      <c r="N52" s="7" t="n">
        <f aca="false">SUM(B52:M52)</f>
        <v>989.215102553629</v>
      </c>
      <c r="O52" s="26" t="n">
        <f aca="false">MAX(B52:M52)</f>
        <v>111.155260610822</v>
      </c>
      <c r="P52" s="15" t="n">
        <f aca="false">O52/parametros_recargas!$B$6</f>
        <v>0.741035070738815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5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29.6822076191285</v>
      </c>
      <c r="C53" s="25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31.4539343906593</v>
      </c>
      <c r="D53" s="25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33.3314152824106</v>
      </c>
      <c r="E53" s="25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35.3209627428495</v>
      </c>
      <c r="F53" s="25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37.4292660095992</v>
      </c>
      <c r="G53" s="25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39.6634135999294</v>
      </c>
      <c r="H53" s="25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42.0309171437025</v>
      </c>
      <c r="I53" s="25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44.5397366389041</v>
      </c>
      <c r="J53" s="25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47.1983072146731</v>
      </c>
      <c r="K53" s="25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50.0155674918124</v>
      </c>
      <c r="L53" s="25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53.0009896361359</v>
      </c>
      <c r="M53" s="25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56.1646112056938</v>
      </c>
      <c r="N53" s="7" t="n">
        <f aca="false">SUM(B53:M53)</f>
        <v>499.831328975498</v>
      </c>
      <c r="O53" s="26" t="n">
        <f aca="false">MAX(B53:M53)</f>
        <v>56.1646112056938</v>
      </c>
      <c r="P53" s="15" t="n">
        <f aca="false">O53/parametros_recargas!$B$6</f>
        <v>0.374430741371292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5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1169.72999189628</v>
      </c>
      <c r="C54" s="25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1239.55100954759</v>
      </c>
      <c r="D54" s="25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1313.53963385996</v>
      </c>
      <c r="E54" s="25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1391.94462868511</v>
      </c>
      <c r="F54" s="25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1475.02960655382</v>
      </c>
      <c r="G54" s="25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1563.07391499158</v>
      </c>
      <c r="H54" s="25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1656.37357573809</v>
      </c>
      <c r="I54" s="25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1755.24228002881</v>
      </c>
      <c r="J54" s="25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1860.01244328465</v>
      </c>
      <c r="K54" s="25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1971.03632275594</v>
      </c>
      <c r="L54" s="25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2088.68720187842</v>
      </c>
      <c r="M54" s="25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2213.36064532327</v>
      </c>
      <c r="N54" s="7" t="n">
        <f aca="false">SUM(B54:M54)</f>
        <v>19697.5812545435</v>
      </c>
      <c r="O54" s="26" t="n">
        <f aca="false">MAX(B54:M54)</f>
        <v>2213.36064532327</v>
      </c>
      <c r="P54" s="15" t="n">
        <f aca="false">O54/parametros_recargas!$B$6</f>
        <v>14.7557376354885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5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1169.72999189628</v>
      </c>
      <c r="C55" s="25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1239.55100954759</v>
      </c>
      <c r="D55" s="25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1313.53963385996</v>
      </c>
      <c r="E55" s="25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1391.94462868511</v>
      </c>
      <c r="F55" s="25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1475.02960655382</v>
      </c>
      <c r="G55" s="25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1563.07391499158</v>
      </c>
      <c r="H55" s="25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1656.37357573809</v>
      </c>
      <c r="I55" s="25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1755.24228002881</v>
      </c>
      <c r="J55" s="25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1860.01244328465</v>
      </c>
      <c r="K55" s="25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1971.03632275594</v>
      </c>
      <c r="L55" s="25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2088.68720187842</v>
      </c>
      <c r="M55" s="25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2213.36064532327</v>
      </c>
      <c r="N55" s="7" t="n">
        <f aca="false">SUM(B55:M55)</f>
        <v>19697.5812545435</v>
      </c>
      <c r="O55" s="26" t="n">
        <f aca="false">MAX(B55:M55)</f>
        <v>2213.36064532327</v>
      </c>
      <c r="P55" s="15" t="n">
        <f aca="false">O55/parametros_recargas!$B$6</f>
        <v>14.7557376354885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5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84.6634548554244</v>
      </c>
      <c r="C56" s="25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89.7170044923787</v>
      </c>
      <c r="D56" s="25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95.0721997918774</v>
      </c>
      <c r="E56" s="25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100.747045940822</v>
      </c>
      <c r="F56" s="25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106.760622853174</v>
      </c>
      <c r="G56" s="25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113.133149320254</v>
      </c>
      <c r="H56" s="25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119.88605099018</v>
      </c>
      <c r="I56" s="25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127.042032404969</v>
      </c>
      <c r="J56" s="25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134.625153337542</v>
      </c>
      <c r="K56" s="25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142.660909685256</v>
      </c>
      <c r="L56" s="25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151.176319191974</v>
      </c>
      <c r="M56" s="25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160.200012286867</v>
      </c>
      <c r="N56" s="7" t="n">
        <f aca="false">SUM(B56:M56)</f>
        <v>1425.68395515072</v>
      </c>
      <c r="O56" s="26" t="n">
        <f aca="false">MAX(B56:M56)</f>
        <v>160.200012286867</v>
      </c>
      <c r="P56" s="15" t="n">
        <f aca="false">O56/parametros_recargas!$B$6</f>
        <v>1.06800008191245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5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1.18428891259477</v>
      </c>
      <c r="C57" s="25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1.25497895016189</v>
      </c>
      <c r="D57" s="25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1.32988846606584</v>
      </c>
      <c r="E57" s="25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1.40926932037132</v>
      </c>
      <c r="F57" s="25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1.49338840663463</v>
      </c>
      <c r="G57" s="25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1.58252854925068</v>
      </c>
      <c r="H57" s="25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1.67698945436248</v>
      </c>
      <c r="I57" s="25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1.7770887175303</v>
      </c>
      <c r="J57" s="25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1.88316289154844</v>
      </c>
      <c r="K57" s="25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1.99556861799985</v>
      </c>
      <c r="L57" s="25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2.11468382635311</v>
      </c>
      <c r="M57" s="25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2.24090900463326</v>
      </c>
      <c r="N57" s="7" t="n">
        <f aca="false">SUM(B57:M57)</f>
        <v>19.9427451175066</v>
      </c>
      <c r="O57" s="26" t="n">
        <f aca="false">MAX(B57:M57)</f>
        <v>2.24090900463326</v>
      </c>
      <c r="P57" s="15" t="n">
        <f aca="false">O57/parametros_recargas!$B$6</f>
        <v>0.0149393933642218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5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72.8113511824175</v>
      </c>
      <c r="C58" s="25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77.1574504286908</v>
      </c>
      <c r="D58" s="25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81.7629677238222</v>
      </c>
      <c r="E58" s="25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86.6433876944295</v>
      </c>
      <c r="F58" s="25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91.815119242302</v>
      </c>
      <c r="G58" s="25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97.2955507142539</v>
      </c>
      <c r="H58" s="25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103.10310836506</v>
      </c>
      <c r="I58" s="25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109.257318310034</v>
      </c>
      <c r="J58" s="25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115.778872175549</v>
      </c>
      <c r="K58" s="25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122.689696668229</v>
      </c>
      <c r="L58" s="25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130.01302729671</v>
      </c>
      <c r="M58" s="25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137.773486493852</v>
      </c>
      <c r="N58" s="7" t="n">
        <f aca="false">SUM(B58:M58)</f>
        <v>1226.10133629535</v>
      </c>
      <c r="O58" s="26" t="n">
        <f aca="false">MAX(B58:M58)</f>
        <v>137.773486493852</v>
      </c>
      <c r="P58" s="15" t="n">
        <f aca="false">O58/parametros_recargas!$B$6</f>
        <v>0.918489909959013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5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1332.15183253731</v>
      </c>
      <c r="C59" s="25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1411.6677868671</v>
      </c>
      <c r="D59" s="25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1495.93003725607</v>
      </c>
      <c r="E59" s="25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1585.22188944417</v>
      </c>
      <c r="F59" s="25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1679.8435596509</v>
      </c>
      <c r="G59" s="25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1780.11318395941</v>
      </c>
      <c r="H59" s="25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1886.36788795061</v>
      </c>
      <c r="I59" s="25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1998.96492018363</v>
      </c>
      <c r="J59" s="25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2118.28285333352</v>
      </c>
      <c r="K59" s="25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2244.72285702473</v>
      </c>
      <c r="L59" s="25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2378.71004663979</v>
      </c>
      <c r="M59" s="25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2520.69491263828</v>
      </c>
      <c r="N59" s="7" t="n">
        <f aca="false">SUM(B59:M59)</f>
        <v>22432.6717674855</v>
      </c>
      <c r="O59" s="26" t="n">
        <f aca="false">MAX(B59:M59)</f>
        <v>2520.69491263828</v>
      </c>
      <c r="P59" s="15" t="n">
        <f aca="false">O59/parametros_recargas!$B$6</f>
        <v>16.8046327509218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5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1332.15183253731</v>
      </c>
      <c r="C60" s="25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1411.6677868671</v>
      </c>
      <c r="D60" s="25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1495.93003725607</v>
      </c>
      <c r="E60" s="25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1585.22188944417</v>
      </c>
      <c r="F60" s="25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1679.8435596509</v>
      </c>
      <c r="G60" s="25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1780.11318395941</v>
      </c>
      <c r="H60" s="25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1886.36788795061</v>
      </c>
      <c r="I60" s="25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1998.96492018363</v>
      </c>
      <c r="J60" s="25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2118.28285333352</v>
      </c>
      <c r="K60" s="25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2244.72285702473</v>
      </c>
      <c r="L60" s="25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2378.71004663979</v>
      </c>
      <c r="M60" s="25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2520.69491263828</v>
      </c>
      <c r="N60" s="7" t="n">
        <f aca="false">SUM(B60:M60)</f>
        <v>22432.6717674855</v>
      </c>
      <c r="O60" s="26" t="n">
        <f aca="false">MAX(B60:M60)</f>
        <v>2520.69491263828</v>
      </c>
      <c r="P60" s="15" t="n">
        <f aca="false">O60/parametros_recargas!$B$6</f>
        <v>16.8046327509218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5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104.923135068588</v>
      </c>
      <c r="C61" s="25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111.185982149887</v>
      </c>
      <c r="D61" s="25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117.822657687018</v>
      </c>
      <c r="E61" s="25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124.855475447597</v>
      </c>
      <c r="F61" s="25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132.308081104872</v>
      </c>
      <c r="G61" s="25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140.205531738979</v>
      </c>
      <c r="H61" s="25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148.574380083621</v>
      </c>
      <c r="I61" s="25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157.442763801418</v>
      </c>
      <c r="J61" s="25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166.840500088089</v>
      </c>
      <c r="K61" s="25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176.799185923544</v>
      </c>
      <c r="L61" s="25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187.352304306954</v>
      </c>
      <c r="M61" s="25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198.535336832968</v>
      </c>
      <c r="N61" s="7" t="n">
        <f aca="false">SUM(B61:M61)</f>
        <v>1766.84533423353</v>
      </c>
      <c r="O61" s="26" t="n">
        <f aca="false">MAX(B61:M61)</f>
        <v>198.535336832968</v>
      </c>
      <c r="P61" s="15" t="n">
        <f aca="false">O61/parametros_recargas!$B$6</f>
        <v>1.32356891221979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5" t="n">
        <f aca="false">'Plan mensual'!D61</f>
        <v>45.2604526457381</v>
      </c>
      <c r="C62" s="25" t="n">
        <f aca="false">'Plan mensual'!E61</f>
        <v>47.962042657944</v>
      </c>
      <c r="D62" s="25" t="n">
        <f aca="false">'Plan mensual'!F61</f>
        <v>50.8248901955921</v>
      </c>
      <c r="E62" s="25" t="n">
        <f aca="false">'Plan mensual'!G61</f>
        <v>53.8586206975517</v>
      </c>
      <c r="F62" s="25" t="n">
        <f aca="false">'Plan mensual'!H61</f>
        <v>57.0734341437754</v>
      </c>
      <c r="G62" s="25" t="n">
        <f aca="false">'Plan mensual'!I61</f>
        <v>60.4801393495757</v>
      </c>
      <c r="H62" s="25" t="n">
        <f aca="false">'Plan mensual'!J61</f>
        <v>64.0901903069211</v>
      </c>
      <c r="I62" s="25" t="n">
        <f aca="false">'Plan mensual'!K61</f>
        <v>67.9157246949395</v>
      </c>
      <c r="J62" s="25" t="n">
        <f aca="false">'Plan mensual'!L61</f>
        <v>71.9696046891081</v>
      </c>
      <c r="K62" s="25" t="n">
        <f aca="false">'Plan mensual'!M61</f>
        <v>76.2654602063376</v>
      </c>
      <c r="L62" s="25" t="n">
        <f aca="false">'Plan mensual'!N61</f>
        <v>80.81773473135</v>
      </c>
      <c r="M62" s="25" t="n">
        <f aca="false">'Plan mensual'!O61</f>
        <v>85.6417338784261</v>
      </c>
      <c r="N62" s="7" t="n">
        <f aca="false">SUM(B62:M62)</f>
        <v>762.160028197259</v>
      </c>
      <c r="O62" s="26" t="n">
        <f aca="false">MAX(B62:M62)</f>
        <v>85.6417338784261</v>
      </c>
      <c r="P62" s="15" t="n">
        <f aca="false">O62/parametros_recargas!$B$6</f>
        <v>0.570944892522841</v>
      </c>
    </row>
    <row r="65" customFormat="false" ht="23.85" hidden="false" customHeight="false" outlineLevel="0" collapsed="false">
      <c r="A65" s="3" t="s">
        <v>280</v>
      </c>
      <c r="B65" s="3" t="s">
        <v>124</v>
      </c>
      <c r="C65" s="3" t="s">
        <v>125</v>
      </c>
      <c r="D65" s="3" t="s">
        <v>126</v>
      </c>
      <c r="E65" s="3" t="s">
        <v>127</v>
      </c>
      <c r="F65" s="3" t="s">
        <v>128</v>
      </c>
      <c r="G65" s="3" t="s">
        <v>129</v>
      </c>
      <c r="H65" s="3" t="s">
        <v>130</v>
      </c>
      <c r="I65" s="3" t="s">
        <v>131</v>
      </c>
      <c r="J65" s="3" t="s">
        <v>132</v>
      </c>
      <c r="K65" s="3" t="s">
        <v>133</v>
      </c>
      <c r="L65" s="3" t="s">
        <v>134</v>
      </c>
      <c r="M65" s="3" t="s">
        <v>135</v>
      </c>
      <c r="N65" s="3" t="s">
        <v>276</v>
      </c>
      <c r="O65" s="3" t="s">
        <v>277</v>
      </c>
      <c r="P65" s="3" t="s">
        <v>278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5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2784.68857851167</v>
      </c>
      <c r="C66" s="25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2931.82833915771</v>
      </c>
      <c r="D66" s="25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3086.74279652569</v>
      </c>
      <c r="E66" s="25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3249.84275670129</v>
      </c>
      <c r="F66" s="25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3421.56073229405</v>
      </c>
      <c r="G66" s="25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3602.35208938531</v>
      </c>
      <c r="H66" s="25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3792.69625507949</v>
      </c>
      <c r="I66" s="25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3993.09798886109</v>
      </c>
      <c r="J66" s="25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4204.08872112862</v>
      </c>
      <c r="K66" s="25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4426.22796245528</v>
      </c>
      <c r="L66" s="25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4660.10478731323</v>
      </c>
      <c r="M66" s="25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4906.33939619622</v>
      </c>
      <c r="N66" s="7" t="n">
        <f aca="false">SUM(B66:M66)</f>
        <v>45059.5704036096</v>
      </c>
      <c r="O66" s="26" t="n">
        <f aca="false">MAX(B66:M66)</f>
        <v>4906.33939619622</v>
      </c>
      <c r="P66" s="15" t="n">
        <f aca="false">O66/parametros_recargas!$B$6</f>
        <v>32.7089293079748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5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2784.68857851167</v>
      </c>
      <c r="C67" s="25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2931.82833915771</v>
      </c>
      <c r="D67" s="25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3086.74279652569</v>
      </c>
      <c r="E67" s="25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3249.84275670129</v>
      </c>
      <c r="F67" s="25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3421.56073229405</v>
      </c>
      <c r="G67" s="25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3602.35208938531</v>
      </c>
      <c r="H67" s="25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3792.69625507949</v>
      </c>
      <c r="I67" s="25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3993.09798886109</v>
      </c>
      <c r="J67" s="25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4204.08872112862</v>
      </c>
      <c r="K67" s="25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4426.22796245528</v>
      </c>
      <c r="L67" s="25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4660.10478731323</v>
      </c>
      <c r="M67" s="25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4906.33939619622</v>
      </c>
      <c r="N67" s="7" t="n">
        <f aca="false">SUM(B67:M67)</f>
        <v>45059.5704036096</v>
      </c>
      <c r="O67" s="26" t="n">
        <f aca="false">MAX(B67:M67)</f>
        <v>4906.33939619622</v>
      </c>
      <c r="P67" s="15" t="n">
        <f aca="false">O67/parametros_recargas!$B$6</f>
        <v>32.7089293079748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5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2039.0678952856</v>
      </c>
      <c r="C68" s="25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2146.80991152703</v>
      </c>
      <c r="D68" s="25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2260.24489272104</v>
      </c>
      <c r="E68" s="25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2379.67364862673</v>
      </c>
      <c r="F68" s="25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2505.41288344694</v>
      </c>
      <c r="G68" s="25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2637.7960356725</v>
      </c>
      <c r="H68" s="25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2777.17416230287</v>
      </c>
      <c r="I68" s="25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2923.91686978796</v>
      </c>
      <c r="J68" s="25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3078.41329415994</v>
      </c>
      <c r="K68" s="25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3241.07313295397</v>
      </c>
      <c r="L68" s="25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3412.32773165457</v>
      </c>
      <c r="M68" s="25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3592.63122754849</v>
      </c>
      <c r="N68" s="7" t="n">
        <f aca="false">SUM(B68:M68)</f>
        <v>32994.5416856876</v>
      </c>
      <c r="O68" s="26" t="n">
        <f aca="false">MAX(B68:M68)</f>
        <v>3592.63122754849</v>
      </c>
      <c r="P68" s="15" t="n">
        <f aca="false">O68/parametros_recargas!$B$6</f>
        <v>23.9508748503233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5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239.890340621835</v>
      </c>
      <c r="C69" s="25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252.565871944357</v>
      </c>
      <c r="D69" s="25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265.911163849535</v>
      </c>
      <c r="E69" s="25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279.961605720792</v>
      </c>
      <c r="F69" s="25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294.75445687611</v>
      </c>
      <c r="G69" s="25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310.328945373235</v>
      </c>
      <c r="H69" s="25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326.726372035631</v>
      </c>
      <c r="I69" s="25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343.990219975054</v>
      </c>
      <c r="J69" s="25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362.166269901169</v>
      </c>
      <c r="K69" s="25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381.302721523996</v>
      </c>
      <c r="L69" s="25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401.450321371126</v>
      </c>
      <c r="M69" s="25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422.662497358646</v>
      </c>
      <c r="N69" s="7" t="n">
        <f aca="false">SUM(B69:M69)</f>
        <v>3881.71078655149</v>
      </c>
      <c r="O69" s="26" t="n">
        <f aca="false">MAX(B69:M69)</f>
        <v>422.662497358646</v>
      </c>
      <c r="P69" s="15" t="n">
        <f aca="false">O69/parametros_recargas!$B$6</f>
        <v>2.81774998239097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5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3.90999875974507</v>
      </c>
      <c r="C70" s="25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4.11659862375668</v>
      </c>
      <c r="D70" s="25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4.33411498836903</v>
      </c>
      <c r="E70" s="25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4.5631246689926</v>
      </c>
      <c r="F70" s="25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4.80423495930466</v>
      </c>
      <c r="G70" s="25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5.05808524168606</v>
      </c>
      <c r="H70" s="25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5.32534868275161</v>
      </c>
      <c r="I70" s="25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5.60673401847041</v>
      </c>
      <c r="J70" s="25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5.90298743360981</v>
      </c>
      <c r="K70" s="25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6.21489454048715</v>
      </c>
      <c r="L70" s="25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6.54328246227639</v>
      </c>
      <c r="M70" s="25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6.88902202639432</v>
      </c>
      <c r="N70" s="7" t="n">
        <f aca="false">SUM(B70:M70)</f>
        <v>63.2684264058438</v>
      </c>
      <c r="O70" s="26" t="n">
        <f aca="false">MAX(B70:M70)</f>
        <v>6.88902202639432</v>
      </c>
      <c r="P70" s="15" t="n">
        <f aca="false">O70/parametros_recargas!$B$6</f>
        <v>0.0459268135092955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5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133.323124458762</v>
      </c>
      <c r="C71" s="25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140.367765921662</v>
      </c>
      <c r="D71" s="25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147.784638185048</v>
      </c>
      <c r="E71" s="25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155.593409498835</v>
      </c>
      <c r="F71" s="25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163.81478736077</v>
      </c>
      <c r="G71" s="25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172.47057342911</v>
      </c>
      <c r="H71" s="25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181.583721336805</v>
      </c>
      <c r="I71" s="25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191.178397560526</v>
      </c>
      <c r="J71" s="25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201.280045505944</v>
      </c>
      <c r="K71" s="25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211.915452979191</v>
      </c>
      <c r="L71" s="25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223.112823223451</v>
      </c>
      <c r="M71" s="25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234.901849709029</v>
      </c>
      <c r="N71" s="7" t="n">
        <f aca="false">SUM(B71:M71)</f>
        <v>2157.32658916913</v>
      </c>
      <c r="O71" s="26" t="n">
        <f aca="false">MAX(B71:M71)</f>
        <v>234.901849709029</v>
      </c>
      <c r="P71" s="15" t="n">
        <f aca="false">O71/parametros_recargas!$B$6</f>
        <v>1.56601233139353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5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58.6218628316571</v>
      </c>
      <c r="C72" s="25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61.7193750390312</v>
      </c>
      <c r="D72" s="25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64.9805562499371</v>
      </c>
      <c r="E72" s="25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68.4140545473922</v>
      </c>
      <c r="F72" s="25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72.028974969233</v>
      </c>
      <c r="G72" s="25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75.8349036530851</v>
      </c>
      <c r="H72" s="25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79.8419332571259</v>
      </c>
      <c r="I72" s="25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84.0606897240519</v>
      </c>
      <c r="J72" s="25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88.5023604592222</v>
      </c>
      <c r="K72" s="25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93.1787239977044</v>
      </c>
      <c r="L72" s="25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98.1021812388921</v>
      </c>
      <c r="M72" s="25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103.285788331525</v>
      </c>
      <c r="N72" s="7" t="n">
        <f aca="false">SUM(B72:M72)</f>
        <v>948.571404298857</v>
      </c>
      <c r="O72" s="26" t="n">
        <f aca="false">MAX(B72:M72)</f>
        <v>103.285788331525</v>
      </c>
      <c r="P72" s="15" t="n">
        <f aca="false">O72/parametros_recargas!$B$6</f>
        <v>0.688571922210163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5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2.53864974710937</v>
      </c>
      <c r="C73" s="25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2.67278909720986</v>
      </c>
      <c r="D73" s="25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2.81401621720294</v>
      </c>
      <c r="E73" s="25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2.962705616746</v>
      </c>
      <c r="F73" s="25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3.11925159415856</v>
      </c>
      <c r="G73" s="25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3.28406928203251</v>
      </c>
      <c r="H73" s="25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3.45759574809126</v>
      </c>
      <c r="I73" s="25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3.64029115421701</v>
      </c>
      <c r="J73" s="25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3.83263997671969</v>
      </c>
      <c r="K73" s="25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4.03515229108355</v>
      </c>
      <c r="L73" s="25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4.2483651245982</v>
      </c>
      <c r="M73" s="25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4.47284388046127</v>
      </c>
      <c r="N73" s="7" t="n">
        <f aca="false">SUM(B73:M73)</f>
        <v>41.0783697296302</v>
      </c>
      <c r="O73" s="26" t="n">
        <f aca="false">MAX(B73:M73)</f>
        <v>4.47284388046127</v>
      </c>
      <c r="P73" s="15" t="n">
        <f aca="false">O73/parametros_recargas!$B$6</f>
        <v>0.0298189592030751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5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2406.72340373784</v>
      </c>
      <c r="C74" s="25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2533.89191669108</v>
      </c>
      <c r="D74" s="25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2667.77986847208</v>
      </c>
      <c r="E74" s="25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2808.7423065459</v>
      </c>
      <c r="F74" s="25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2957.15303867971</v>
      </c>
      <c r="G74" s="25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3113.40562421573</v>
      </c>
      <c r="H74" s="25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3277.91441772182</v>
      </c>
      <c r="I74" s="25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3451.11566778748</v>
      </c>
      <c r="J74" s="25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3633.46867387891</v>
      </c>
      <c r="K74" s="25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3825.45700432094</v>
      </c>
      <c r="L74" s="25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4027.58977863581</v>
      </c>
      <c r="M74" s="25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4240.40301763925</v>
      </c>
      <c r="N74" s="7" t="n">
        <f aca="false">SUM(B74:M74)</f>
        <v>38943.6447183266</v>
      </c>
      <c r="O74" s="26" t="n">
        <f aca="false">MAX(B74:M74)</f>
        <v>4240.40301763925</v>
      </c>
      <c r="P74" s="15" t="n">
        <f aca="false">O74/parametros_recargas!$B$6</f>
        <v>28.2693534509283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5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194.483637037529</v>
      </c>
      <c r="C75" s="25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204.759930057903</v>
      </c>
      <c r="D75" s="25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215.579210652188</v>
      </c>
      <c r="E75" s="25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226.970169662973</v>
      </c>
      <c r="F75" s="25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238.963013924162</v>
      </c>
      <c r="G75" s="25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251.589546364227</v>
      </c>
      <c r="H75" s="25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264.883250342022</v>
      </c>
      <c r="I75" s="25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278.879378438795</v>
      </c>
      <c r="J75" s="25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293.615045941886</v>
      </c>
      <c r="K75" s="25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309.129329267979</v>
      </c>
      <c r="L75" s="25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325.463369586941</v>
      </c>
      <c r="M75" s="25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342.660481921015</v>
      </c>
      <c r="N75" s="7" t="n">
        <f aca="false">SUM(B75:M75)</f>
        <v>3146.97636319762</v>
      </c>
      <c r="O75" s="26" t="n">
        <f aca="false">MAX(B75:M75)</f>
        <v>342.660481921015</v>
      </c>
      <c r="P75" s="15" t="n">
        <f aca="false">O75/parametros_recargas!$B$6</f>
        <v>2.28440321280677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5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2.40281340497809</v>
      </c>
      <c r="C76" s="25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2.52977531806733</v>
      </c>
      <c r="D76" s="25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2.66344575348372</v>
      </c>
      <c r="E76" s="25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2.80417918187691</v>
      </c>
      <c r="F76" s="25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2.95234880372041</v>
      </c>
      <c r="G76" s="25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3.10834753897404</v>
      </c>
      <c r="H76" s="25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3.27258906903907</v>
      </c>
      <c r="I76" s="25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3.44550893376901</v>
      </c>
      <c r="J76" s="25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3.6275656864453</v>
      </c>
      <c r="K76" s="25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3.81924210978045</v>
      </c>
      <c r="L76" s="25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4.02104649617354</v>
      </c>
      <c r="M76" s="25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4.23351399561285</v>
      </c>
      <c r="N76" s="7" t="n">
        <f aca="false">SUM(B76:M76)</f>
        <v>38.8803762919207</v>
      </c>
      <c r="O76" s="26" t="n">
        <f aca="false">MAX(B76:M76)</f>
        <v>4.23351399561285</v>
      </c>
      <c r="P76" s="15" t="n">
        <f aca="false">O76/parametros_recargas!$B$6</f>
        <v>0.028223426637419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5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596.934653039962</v>
      </c>
      <c r="C77" s="25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628.47599760804</v>
      </c>
      <c r="D77" s="25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661.683950760653</v>
      </c>
      <c r="E77" s="25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696.646574189908</v>
      </c>
      <c r="F77" s="25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733.456582667041</v>
      </c>
      <c r="G77" s="25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772.211589905794</v>
      </c>
      <c r="H77" s="25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813.01436741694</v>
      </c>
      <c r="I77" s="25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855.973117040375</v>
      </c>
      <c r="J77" s="25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901.201757877508</v>
      </c>
      <c r="K77" s="25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948.820228384814</v>
      </c>
      <c r="L77" s="25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998.954804429681</v>
      </c>
      <c r="M77" s="25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1051.73843415195</v>
      </c>
      <c r="N77" s="7" t="n">
        <f aca="false">SUM(B77:M77)</f>
        <v>9659.11205747267</v>
      </c>
      <c r="O77" s="26" t="n">
        <f aca="false">MAX(B77:M77)</f>
        <v>1051.73843415195</v>
      </c>
      <c r="P77" s="15" t="n">
        <f aca="false">O77/parametros_recargas!$B$6</f>
        <v>7.01158956101302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5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554.340324847959</v>
      </c>
      <c r="C78" s="25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583.631033814121</v>
      </c>
      <c r="D78" s="25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614.46943035285</v>
      </c>
      <c r="E78" s="25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646.93729250595</v>
      </c>
      <c r="F78" s="25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681.120719373453</v>
      </c>
      <c r="G78" s="25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717.110359433397</v>
      </c>
      <c r="H78" s="25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755.001650925756</v>
      </c>
      <c r="I78" s="25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794.895074937987</v>
      </c>
      <c r="J78" s="25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836.896421863325</v>
      </c>
      <c r="K78" s="25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881.117071938427</v>
      </c>
      <c r="L78" s="25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927.674290604314</v>
      </c>
      <c r="M78" s="25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976.69153947383</v>
      </c>
      <c r="N78" s="7" t="n">
        <f aca="false">SUM(B78:M78)</f>
        <v>8969.88521007137</v>
      </c>
      <c r="O78" s="26" t="n">
        <f aca="false">MAX(B78:M78)</f>
        <v>976.69153947383</v>
      </c>
      <c r="P78" s="15" t="n">
        <f aca="false">O78/parametros_recargas!$B$6</f>
        <v>6.51127692982554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5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554.340324847959</v>
      </c>
      <c r="C79" s="25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583.631033814121</v>
      </c>
      <c r="D79" s="25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614.46943035285</v>
      </c>
      <c r="E79" s="25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646.93729250595</v>
      </c>
      <c r="F79" s="25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681.120719373453</v>
      </c>
      <c r="G79" s="25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717.110359433397</v>
      </c>
      <c r="H79" s="25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755.001650925756</v>
      </c>
      <c r="I79" s="25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794.895074937987</v>
      </c>
      <c r="J79" s="25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836.896421863325</v>
      </c>
      <c r="K79" s="25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881.117071938427</v>
      </c>
      <c r="L79" s="25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927.674290604314</v>
      </c>
      <c r="M79" s="25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976.69153947383</v>
      </c>
      <c r="N79" s="7" t="n">
        <f aca="false">SUM(B79:M79)</f>
        <v>8969.88521007137</v>
      </c>
      <c r="O79" s="26" t="n">
        <f aca="false">MAX(B79:M79)</f>
        <v>976.69153947383</v>
      </c>
      <c r="P79" s="15" t="n">
        <f aca="false">O79/parametros_recargas!$B$6</f>
        <v>6.51127692982554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5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278.468857851167</v>
      </c>
      <c r="C80" s="25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293.182833915771</v>
      </c>
      <c r="D80" s="25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308.674279652569</v>
      </c>
      <c r="E80" s="25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324.984275670129</v>
      </c>
      <c r="F80" s="25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342.156073229405</v>
      </c>
      <c r="G80" s="25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360.235208938531</v>
      </c>
      <c r="H80" s="25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379.269625507949</v>
      </c>
      <c r="I80" s="25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399.309798886109</v>
      </c>
      <c r="J80" s="25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420.408872112862</v>
      </c>
      <c r="K80" s="25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442.622796245528</v>
      </c>
      <c r="L80" s="25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466.010478731323</v>
      </c>
      <c r="M80" s="25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490.633939619622</v>
      </c>
      <c r="N80" s="7" t="n">
        <f aca="false">SUM(B80:M80)</f>
        <v>4505.95704036096</v>
      </c>
      <c r="O80" s="26" t="n">
        <f aca="false">MAX(B80:M80)</f>
        <v>490.633939619622</v>
      </c>
      <c r="P80" s="15" t="n">
        <f aca="false">O80/parametros_recargas!$B$6</f>
        <v>3.27089293079748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5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2398.90340621835</v>
      </c>
      <c r="C81" s="25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2525.65871944357</v>
      </c>
      <c r="D81" s="25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2659.11163849535</v>
      </c>
      <c r="E81" s="25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2799.61605720792</v>
      </c>
      <c r="F81" s="25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2947.5445687611</v>
      </c>
      <c r="G81" s="25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3103.28945373235</v>
      </c>
      <c r="H81" s="25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3267.26372035631</v>
      </c>
      <c r="I81" s="25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3439.90219975054</v>
      </c>
      <c r="J81" s="25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3621.66269901169</v>
      </c>
      <c r="K81" s="25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3813.02721523996</v>
      </c>
      <c r="L81" s="25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4014.50321371126</v>
      </c>
      <c r="M81" s="25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4226.62497358646</v>
      </c>
      <c r="N81" s="7" t="n">
        <f aca="false">SUM(B81:M81)</f>
        <v>38817.1078655149</v>
      </c>
      <c r="O81" s="26" t="n">
        <f aca="false">MAX(B81:M81)</f>
        <v>4226.62497358646</v>
      </c>
      <c r="P81" s="15" t="n">
        <f aca="false">O81/parametros_recargas!$B$6</f>
        <v>28.1774998239097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5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3.90999875974507</v>
      </c>
      <c r="C82" s="25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4.11659862375668</v>
      </c>
      <c r="D82" s="25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4.33411498836903</v>
      </c>
      <c r="E82" s="25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4.5631246689926</v>
      </c>
      <c r="F82" s="25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4.80423495930466</v>
      </c>
      <c r="G82" s="25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5.05808524168606</v>
      </c>
      <c r="H82" s="25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5.32534868275161</v>
      </c>
      <c r="I82" s="25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5.60673401847041</v>
      </c>
      <c r="J82" s="25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5.90298743360981</v>
      </c>
      <c r="K82" s="25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6.21489454048715</v>
      </c>
      <c r="L82" s="25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6.54328246227639</v>
      </c>
      <c r="M82" s="25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6.88902202639432</v>
      </c>
      <c r="N82" s="7" t="n">
        <f aca="false">SUM(B82:M82)</f>
        <v>63.2684264058438</v>
      </c>
      <c r="O82" s="26" t="n">
        <f aca="false">MAX(B82:M82)</f>
        <v>6.88902202639432</v>
      </c>
      <c r="P82" s="15" t="n">
        <f aca="false">O82/parametros_recargas!$B$6</f>
        <v>0.0459268135092955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5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3.90999875974507</v>
      </c>
      <c r="C83" s="25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4.11659862375668</v>
      </c>
      <c r="D83" s="25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4.33411498836903</v>
      </c>
      <c r="E83" s="25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4.5631246689926</v>
      </c>
      <c r="F83" s="25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4.80423495930466</v>
      </c>
      <c r="G83" s="25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5.05808524168606</v>
      </c>
      <c r="H83" s="25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5.32534868275161</v>
      </c>
      <c r="I83" s="25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5.60673401847041</v>
      </c>
      <c r="J83" s="25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5.90298743360981</v>
      </c>
      <c r="K83" s="25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6.21489454048715</v>
      </c>
      <c r="L83" s="25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6.54328246227639</v>
      </c>
      <c r="M83" s="25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6.88902202639432</v>
      </c>
      <c r="N83" s="7" t="n">
        <f aca="false">SUM(B83:M83)</f>
        <v>63.2684264058438</v>
      </c>
      <c r="O83" s="26" t="n">
        <f aca="false">MAX(B83:M83)</f>
        <v>6.88902202639432</v>
      </c>
      <c r="P83" s="15" t="n">
        <f aca="false">O83/parametros_recargas!$B$6</f>
        <v>0.0459268135092955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5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133.323124458762</v>
      </c>
      <c r="C84" s="25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140.367765921662</v>
      </c>
      <c r="D84" s="25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147.784638185048</v>
      </c>
      <c r="E84" s="25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155.593409498835</v>
      </c>
      <c r="F84" s="25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163.81478736077</v>
      </c>
      <c r="G84" s="25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172.47057342911</v>
      </c>
      <c r="H84" s="25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181.583721336805</v>
      </c>
      <c r="I84" s="25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191.178397560526</v>
      </c>
      <c r="J84" s="25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201.280045505944</v>
      </c>
      <c r="K84" s="25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211.915452979191</v>
      </c>
      <c r="L84" s="25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223.112823223451</v>
      </c>
      <c r="M84" s="25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234.901849709029</v>
      </c>
      <c r="N84" s="7" t="n">
        <f aca="false">SUM(B84:M84)</f>
        <v>2157.32658916913</v>
      </c>
      <c r="O84" s="26" t="n">
        <f aca="false">MAX(B84:M84)</f>
        <v>234.901849709029</v>
      </c>
      <c r="P84" s="15" t="n">
        <f aca="false">O84/parametros_recargas!$B$6</f>
        <v>1.56601233139353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5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70.3462353979885</v>
      </c>
      <c r="C85" s="25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74.0632500468374</v>
      </c>
      <c r="D85" s="25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77.9766674999245</v>
      </c>
      <c r="E85" s="25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82.0968654568706</v>
      </c>
      <c r="F85" s="25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86.4347699630796</v>
      </c>
      <c r="G85" s="25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91.0018843837021</v>
      </c>
      <c r="H85" s="25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95.8103199085511</v>
      </c>
      <c r="I85" s="25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100.872827668862</v>
      </c>
      <c r="J85" s="25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106.202832551067</v>
      </c>
      <c r="K85" s="25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111.814468797245</v>
      </c>
      <c r="L85" s="25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117.722617486671</v>
      </c>
      <c r="M85" s="25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123.942945997829</v>
      </c>
      <c r="N85" s="7" t="n">
        <f aca="false">SUM(B85:M85)</f>
        <v>1138.28568515863</v>
      </c>
      <c r="O85" s="26" t="n">
        <f aca="false">MAX(B85:M85)</f>
        <v>123.942945997829</v>
      </c>
      <c r="P85" s="15" t="n">
        <f aca="false">O85/parametros_recargas!$B$6</f>
        <v>0.826286306652196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5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2406.72340373784</v>
      </c>
      <c r="C86" s="25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2533.89191669108</v>
      </c>
      <c r="D86" s="25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2667.77986847208</v>
      </c>
      <c r="E86" s="25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2808.7423065459</v>
      </c>
      <c r="F86" s="25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2957.15303867971</v>
      </c>
      <c r="G86" s="25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3113.40562421573</v>
      </c>
      <c r="H86" s="25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3277.91441772182</v>
      </c>
      <c r="I86" s="25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3451.11566778748</v>
      </c>
      <c r="J86" s="25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3633.46867387891</v>
      </c>
      <c r="K86" s="25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3825.45700432094</v>
      </c>
      <c r="L86" s="25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4027.58977863581</v>
      </c>
      <c r="M86" s="25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4240.40301763925</v>
      </c>
      <c r="N86" s="7" t="n">
        <f aca="false">SUM(B86:M86)</f>
        <v>38943.6447183266</v>
      </c>
      <c r="O86" s="26" t="n">
        <f aca="false">MAX(B86:M86)</f>
        <v>4240.40301763925</v>
      </c>
      <c r="P86" s="15" t="n">
        <f aca="false">O86/parametros_recargas!$B$6</f>
        <v>28.2693534509283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5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2406.72340373784</v>
      </c>
      <c r="C87" s="25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2533.89191669108</v>
      </c>
      <c r="D87" s="25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2667.77986847208</v>
      </c>
      <c r="E87" s="25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2808.7423065459</v>
      </c>
      <c r="F87" s="25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2957.15303867971</v>
      </c>
      <c r="G87" s="25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3113.40562421573</v>
      </c>
      <c r="H87" s="25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3277.91441772182</v>
      </c>
      <c r="I87" s="25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3451.11566778748</v>
      </c>
      <c r="J87" s="25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3633.46867387891</v>
      </c>
      <c r="K87" s="25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3825.45700432094</v>
      </c>
      <c r="L87" s="25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4027.58977863581</v>
      </c>
      <c r="M87" s="25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4240.40301763925</v>
      </c>
      <c r="N87" s="7" t="n">
        <f aca="false">SUM(B87:M87)</f>
        <v>38943.6447183266</v>
      </c>
      <c r="O87" s="26" t="n">
        <f aca="false">MAX(B87:M87)</f>
        <v>4240.40301763925</v>
      </c>
      <c r="P87" s="15" t="n">
        <f aca="false">O87/parametros_recargas!$B$6</f>
        <v>28.2693534509283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5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194.483637037529</v>
      </c>
      <c r="C88" s="25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204.759930057903</v>
      </c>
      <c r="D88" s="25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215.579210652188</v>
      </c>
      <c r="E88" s="25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226.970169662973</v>
      </c>
      <c r="F88" s="25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238.963013924162</v>
      </c>
      <c r="G88" s="25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251.589546364227</v>
      </c>
      <c r="H88" s="25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264.883250342022</v>
      </c>
      <c r="I88" s="25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278.879378438795</v>
      </c>
      <c r="J88" s="25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293.615045941886</v>
      </c>
      <c r="K88" s="25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309.129329267979</v>
      </c>
      <c r="L88" s="25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325.463369586941</v>
      </c>
      <c r="M88" s="25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342.660481921015</v>
      </c>
      <c r="N88" s="7" t="n">
        <f aca="false">SUM(B88:M88)</f>
        <v>3146.97636319762</v>
      </c>
      <c r="O88" s="26" t="n">
        <f aca="false">MAX(B88:M88)</f>
        <v>342.660481921015</v>
      </c>
      <c r="P88" s="15" t="n">
        <f aca="false">O88/parametros_recargas!$B$6</f>
        <v>2.28440321280677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5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2.53864974710937</v>
      </c>
      <c r="C89" s="25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2.67278909720986</v>
      </c>
      <c r="D89" s="25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2.81401621720294</v>
      </c>
      <c r="E89" s="25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2.962705616746</v>
      </c>
      <c r="F89" s="25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3.11925159415856</v>
      </c>
      <c r="G89" s="25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3.28406928203251</v>
      </c>
      <c r="H89" s="25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3.45759574809126</v>
      </c>
      <c r="I89" s="25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3.64029115421701</v>
      </c>
      <c r="J89" s="25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3.83263997671969</v>
      </c>
      <c r="K89" s="25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4.03515229108355</v>
      </c>
      <c r="L89" s="25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4.2483651245982</v>
      </c>
      <c r="M89" s="25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4.47284388046127</v>
      </c>
      <c r="N89" s="7" t="n">
        <f aca="false">SUM(B89:M89)</f>
        <v>41.0783697296302</v>
      </c>
      <c r="O89" s="26" t="n">
        <f aca="false">MAX(B89:M89)</f>
        <v>4.47284388046127</v>
      </c>
      <c r="P89" s="15" t="n">
        <f aca="false">O89/parametros_recargas!$B$6</f>
        <v>0.0298189592030751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5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171.757165169968</v>
      </c>
      <c r="C90" s="25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180.832617400917</v>
      </c>
      <c r="D90" s="25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190.387606151433</v>
      </c>
      <c r="E90" s="25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200.447469582936</v>
      </c>
      <c r="F90" s="25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211.038884696328</v>
      </c>
      <c r="G90" s="25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222.189938074736</v>
      </c>
      <c r="H90" s="25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233.930200364226</v>
      </c>
      <c r="I90" s="25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246.290804689996</v>
      </c>
      <c r="J90" s="25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259.304529215981</v>
      </c>
      <c r="K90" s="25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273.005884066823</v>
      </c>
      <c r="L90" s="25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287.431202842693</v>
      </c>
      <c r="M90" s="25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302.618738969652</v>
      </c>
      <c r="N90" s="7" t="n">
        <f aca="false">SUM(B90:M90)</f>
        <v>2779.23504122569</v>
      </c>
      <c r="O90" s="26" t="n">
        <f aca="false">MAX(B90:M90)</f>
        <v>302.618738969652</v>
      </c>
      <c r="P90" s="15" t="n">
        <f aca="false">O90/parametros_recargas!$B$6</f>
        <v>2.01745825979768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5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2784.68857851167</v>
      </c>
      <c r="C91" s="25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2931.82833915771</v>
      </c>
      <c r="D91" s="25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3086.74279652569</v>
      </c>
      <c r="E91" s="25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3249.84275670129</v>
      </c>
      <c r="F91" s="25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3421.56073229405</v>
      </c>
      <c r="G91" s="25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3602.35208938531</v>
      </c>
      <c r="H91" s="25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3792.69625507949</v>
      </c>
      <c r="I91" s="25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3993.09798886109</v>
      </c>
      <c r="J91" s="25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4204.08872112862</v>
      </c>
      <c r="K91" s="25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4426.22796245528</v>
      </c>
      <c r="L91" s="25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4660.10478731323</v>
      </c>
      <c r="M91" s="25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4906.33939619622</v>
      </c>
      <c r="N91" s="7" t="n">
        <f aca="false">SUM(B91:M91)</f>
        <v>45059.5704036096</v>
      </c>
      <c r="O91" s="26" t="n">
        <f aca="false">MAX(B91:M91)</f>
        <v>4906.33939619622</v>
      </c>
      <c r="P91" s="15" t="n">
        <f aca="false">O91/parametros_recargas!$B$6</f>
        <v>32.7089293079748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5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2784.68857851167</v>
      </c>
      <c r="C92" s="25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2931.82833915771</v>
      </c>
      <c r="D92" s="25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3086.74279652569</v>
      </c>
      <c r="E92" s="25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3249.84275670129</v>
      </c>
      <c r="F92" s="25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3421.56073229405</v>
      </c>
      <c r="G92" s="25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3602.35208938531</v>
      </c>
      <c r="H92" s="25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3792.69625507949</v>
      </c>
      <c r="I92" s="25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3993.09798886109</v>
      </c>
      <c r="J92" s="25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4204.08872112862</v>
      </c>
      <c r="K92" s="25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4426.22796245528</v>
      </c>
      <c r="L92" s="25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4660.10478731323</v>
      </c>
      <c r="M92" s="25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4906.33939619622</v>
      </c>
      <c r="N92" s="7" t="n">
        <f aca="false">SUM(B92:M92)</f>
        <v>45059.5704036096</v>
      </c>
      <c r="O92" s="26" t="n">
        <f aca="false">MAX(B92:M92)</f>
        <v>4906.33939619622</v>
      </c>
      <c r="P92" s="15" t="n">
        <f aca="false">O92/parametros_recargas!$B$6</f>
        <v>32.7089293079748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5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218.866962092156</v>
      </c>
      <c r="C93" s="25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230.431642130015</v>
      </c>
      <c r="D93" s="25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242.607386638726</v>
      </c>
      <c r="E93" s="25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255.426483566277</v>
      </c>
      <c r="F93" s="25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268.922926918908</v>
      </c>
      <c r="G93" s="25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283.132506907286</v>
      </c>
      <c r="H93" s="25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298.092904855884</v>
      </c>
      <c r="I93" s="25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313.843793127283</v>
      </c>
      <c r="J93" s="25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330.426940326342</v>
      </c>
      <c r="K93" s="25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347.886322063242</v>
      </c>
      <c r="L93" s="25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366.268237569132</v>
      </c>
      <c r="M93" s="25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385.621432473596</v>
      </c>
      <c r="N93" s="7" t="n">
        <f aca="false">SUM(B93:M93)</f>
        <v>3541.52753866885</v>
      </c>
      <c r="O93" s="26" t="n">
        <f aca="false">MAX(B93:M93)</f>
        <v>385.621432473596</v>
      </c>
      <c r="P93" s="15" t="n">
        <f aca="false">O93/parametros_recargas!$B$6</f>
        <v>2.57080954982397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5" t="n">
        <f aca="false">'Plan mensual'!D93</f>
        <v>100.623510618393</v>
      </c>
      <c r="C94" s="25" t="n">
        <f aca="false">'Plan mensual'!E93</f>
        <v>105.940341872704</v>
      </c>
      <c r="D94" s="25" t="n">
        <f aca="false">'Plan mensual'!F93</f>
        <v>111.538108411554</v>
      </c>
      <c r="E94" s="25" t="n">
        <f aca="false">'Plan mensual'!G93</f>
        <v>117.431654534173</v>
      </c>
      <c r="F94" s="25" t="n">
        <f aca="false">'Plan mensual'!H93</f>
        <v>123.636608895591</v>
      </c>
      <c r="G94" s="25" t="n">
        <f aca="false">'Plan mensual'!I93</f>
        <v>130.169425951101</v>
      </c>
      <c r="H94" s="25" t="n">
        <f aca="false">'Plan mensual'!J93</f>
        <v>137.047429590601</v>
      </c>
      <c r="I94" s="25" t="n">
        <f aca="false">'Plan mensual'!K93</f>
        <v>144.288859078524</v>
      </c>
      <c r="J94" s="25" t="n">
        <f aca="false">'Plan mensual'!L93</f>
        <v>151.912917421182</v>
      </c>
      <c r="K94" s="25" t="n">
        <f aca="false">'Plan mensual'!M93</f>
        <v>159.939822289783</v>
      </c>
      <c r="L94" s="25" t="n">
        <f aca="false">'Plan mensual'!N93</f>
        <v>168.39085963417</v>
      </c>
      <c r="M94" s="25" t="n">
        <f aca="false">'Plan mensual'!O93</f>
        <v>177.288440129435</v>
      </c>
      <c r="N94" s="7" t="n">
        <f aca="false">SUM(B94:M94)</f>
        <v>1628.20797842721</v>
      </c>
      <c r="O94" s="26" t="n">
        <f aca="false">MAX(B94:M94)</f>
        <v>177.288440129435</v>
      </c>
      <c r="P94" s="15" t="n">
        <f aca="false">O94/parametros_recargas!$B$6</f>
        <v>1.18192293419624</v>
      </c>
    </row>
    <row r="97" customFormat="false" ht="23.85" hidden="false" customHeight="false" outlineLevel="0" collapsed="false">
      <c r="A97" s="3" t="s">
        <v>281</v>
      </c>
      <c r="B97" s="3" t="s">
        <v>124</v>
      </c>
      <c r="C97" s="3" t="s">
        <v>125</v>
      </c>
      <c r="D97" s="3" t="s">
        <v>126</v>
      </c>
      <c r="E97" s="3" t="s">
        <v>127</v>
      </c>
      <c r="F97" s="3" t="s">
        <v>128</v>
      </c>
      <c r="G97" s="3" t="s">
        <v>129</v>
      </c>
      <c r="H97" s="3" t="s">
        <v>130</v>
      </c>
      <c r="I97" s="3" t="s">
        <v>131</v>
      </c>
      <c r="J97" s="3" t="s">
        <v>132</v>
      </c>
      <c r="K97" s="3" t="s">
        <v>133</v>
      </c>
      <c r="L97" s="3" t="s">
        <v>134</v>
      </c>
      <c r="M97" s="3" t="s">
        <v>135</v>
      </c>
      <c r="N97" s="3" t="s">
        <v>276</v>
      </c>
      <c r="O97" s="3" t="s">
        <v>277</v>
      </c>
      <c r="P97" s="3" t="s">
        <v>278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5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5792.292133761</v>
      </c>
      <c r="C98" s="25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5981.91320066706</v>
      </c>
      <c r="D98" s="25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6177.74185313412</v>
      </c>
      <c r="E98" s="25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6379.98130760391</v>
      </c>
      <c r="F98" s="25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6588.84143317273</v>
      </c>
      <c r="G98" s="25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6804.53896937795</v>
      </c>
      <c r="H98" s="25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7027.29775111424</v>
      </c>
      <c r="I98" s="25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7257.34894091285</v>
      </c>
      <c r="J98" s="25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7494.93126882488</v>
      </c>
      <c r="K98" s="25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7740.29128015762</v>
      </c>
      <c r="L98" s="25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7993.683591321</v>
      </c>
      <c r="M98" s="25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8255.37115404957</v>
      </c>
      <c r="N98" s="7" t="n">
        <f aca="false">SUM(B98:M98)</f>
        <v>83494.2328840969</v>
      </c>
      <c r="O98" s="26" t="n">
        <f aca="false">MAX(B98:M98)</f>
        <v>8255.37115404957</v>
      </c>
      <c r="P98" s="15" t="n">
        <f aca="false">O98/parametros_recargas!$B$6</f>
        <v>55.0358076936638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5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5792.292133761</v>
      </c>
      <c r="C99" s="25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5981.91320066706</v>
      </c>
      <c r="D99" s="25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6177.74185313412</v>
      </c>
      <c r="E99" s="25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6379.98130760391</v>
      </c>
      <c r="F99" s="25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6588.84143317273</v>
      </c>
      <c r="G99" s="25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6804.53896937795</v>
      </c>
      <c r="H99" s="25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7027.29775111424</v>
      </c>
      <c r="I99" s="25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7257.34894091285</v>
      </c>
      <c r="J99" s="25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7494.93126882488</v>
      </c>
      <c r="K99" s="25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7740.29128015762</v>
      </c>
      <c r="L99" s="25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7993.683591321</v>
      </c>
      <c r="M99" s="25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8255.37115404957</v>
      </c>
      <c r="N99" s="7" t="n">
        <f aca="false">SUM(B99:M99)</f>
        <v>83494.2328840969</v>
      </c>
      <c r="O99" s="26" t="n">
        <f aca="false">MAX(B99:M99)</f>
        <v>8255.37115404957</v>
      </c>
      <c r="P99" s="15" t="n">
        <f aca="false">O99/parametros_recargas!$B$6</f>
        <v>55.0358076936638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5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4242.39394420644</v>
      </c>
      <c r="C100" s="25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4381.27631535748</v>
      </c>
      <c r="D100" s="25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4524.70524990414</v>
      </c>
      <c r="E100" s="25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4672.82958774985</v>
      </c>
      <c r="F100" s="25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4825.80304133912</v>
      </c>
      <c r="G100" s="25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4983.78435516886</v>
      </c>
      <c r="H100" s="25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5146.9374705217</v>
      </c>
      <c r="I100" s="25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5315.43169559204</v>
      </c>
      <c r="J100" s="25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5489.44188118156</v>
      </c>
      <c r="K100" s="25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5669.14860214637</v>
      </c>
      <c r="L100" s="25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5854.73834478423</v>
      </c>
      <c r="M100" s="25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6046.40370035617</v>
      </c>
      <c r="N100" s="7" t="n">
        <f aca="false">SUM(B100:M100)</f>
        <v>61152.894188308</v>
      </c>
      <c r="O100" s="26" t="n">
        <f aca="false">MAX(B100:M100)</f>
        <v>6046.40370035617</v>
      </c>
      <c r="P100" s="15" t="n">
        <f aca="false">O100/parametros_recargas!$B$6</f>
        <v>40.3093580023744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5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499.10516990664</v>
      </c>
      <c r="C101" s="25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515.444272394998</v>
      </c>
      <c r="D101" s="25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532.318264694605</v>
      </c>
      <c r="E101" s="25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549.744657382336</v>
      </c>
      <c r="F101" s="25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567.74153427519</v>
      </c>
      <c r="G101" s="25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586.327571196336</v>
      </c>
      <c r="H101" s="25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605.522055355494</v>
      </c>
      <c r="I101" s="25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625.34490536377</v>
      </c>
      <c r="J101" s="25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645.816691903713</v>
      </c>
      <c r="K101" s="25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666.958659076044</v>
      </c>
      <c r="L101" s="25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688.792746445204</v>
      </c>
      <c r="M101" s="25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711.341611806608</v>
      </c>
      <c r="N101" s="7" t="n">
        <f aca="false">SUM(B101:M101)</f>
        <v>7194.45813980094</v>
      </c>
      <c r="O101" s="26" t="n">
        <f aca="false">MAX(B101:M101)</f>
        <v>711.341611806608</v>
      </c>
      <c r="P101" s="15" t="n">
        <f aca="false">O101/parametros_recargas!$B$6</f>
        <v>4.74227741204405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5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7.87584495772711</v>
      </c>
      <c r="C102" s="25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8.13367486153433</v>
      </c>
      <c r="D102" s="25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8.39994528945726</v>
      </c>
      <c r="E102" s="25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8.67493255718424</v>
      </c>
      <c r="F102" s="25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8.95892202609305</v>
      </c>
      <c r="G102" s="25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9.2522083993777</v>
      </c>
      <c r="H102" s="25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9.55509602786961</v>
      </c>
      <c r="I102" s="25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9.86789922587027</v>
      </c>
      <c r="J102" s="25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10.1909425973233</v>
      </c>
      <c r="K102" s="25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10.5245613726643</v>
      </c>
      <c r="L102" s="25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10.8691017566983</v>
      </c>
      <c r="M102" s="25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11.2249212878651</v>
      </c>
      <c r="N102" s="7" t="n">
        <f aca="false">SUM(B102:M102)</f>
        <v>113.528050359665</v>
      </c>
      <c r="O102" s="26" t="n">
        <f aca="false">MAX(B102:M102)</f>
        <v>11.2249212878651</v>
      </c>
      <c r="P102" s="15" t="n">
        <f aca="false">O102/parametros_recargas!$B$6</f>
        <v>0.074832808585767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5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271.417085118737</v>
      </c>
      <c r="C103" s="25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280.302409972567</v>
      </c>
      <c r="D103" s="25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289.478611864309</v>
      </c>
      <c r="E103" s="25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298.955213175257</v>
      </c>
      <c r="F103" s="25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308.74204801893</v>
      </c>
      <c r="G103" s="25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318.849272446179</v>
      </c>
      <c r="H103" s="25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329.287374984389</v>
      </c>
      <c r="I103" s="25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340.067187521692</v>
      </c>
      <c r="J103" s="25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351.199896547494</v>
      </c>
      <c r="K103" s="25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362.697054760989</v>
      </c>
      <c r="L103" s="25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374.570593059689</v>
      </c>
      <c r="M103" s="25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386.832832920422</v>
      </c>
      <c r="N103" s="7" t="n">
        <f aca="false">SUM(B103:M103)</f>
        <v>3912.39958039065</v>
      </c>
      <c r="O103" s="26" t="n">
        <f aca="false">MAX(B103:M103)</f>
        <v>386.832832920422</v>
      </c>
      <c r="P103" s="15" t="n">
        <f aca="false">O103/parametros_recargas!$B$6</f>
        <v>2.57888555280281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5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123.709872761749</v>
      </c>
      <c r="C104" s="25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127.759737222688</v>
      </c>
      <c r="D104" s="25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131.942181256994</v>
      </c>
      <c r="E104" s="25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136.261545094677</v>
      </c>
      <c r="F104" s="25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140.722311050959</v>
      </c>
      <c r="G104" s="25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145.329108177685</v>
      </c>
      <c r="H104" s="25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150.086717067012</v>
      </c>
      <c r="I104" s="25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155.00007481235</v>
      </c>
      <c r="J104" s="25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160.074280131714</v>
      </c>
      <c r="K104" s="25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165.314598658792</v>
      </c>
      <c r="L104" s="25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170.726468407231</v>
      </c>
      <c r="M104" s="25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176.315505413806</v>
      </c>
      <c r="N104" s="7" t="n">
        <f aca="false">SUM(B104:M104)</f>
        <v>1783.24240005566</v>
      </c>
      <c r="O104" s="26" t="n">
        <f aca="false">MAX(B104:M104)</f>
        <v>176.315505413806</v>
      </c>
      <c r="P104" s="15" t="n">
        <f aca="false">O104/parametros_recargas!$B$6</f>
        <v>1.17543670275871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5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4.94658707676207</v>
      </c>
      <c r="C105" s="25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5.10852247252229</v>
      </c>
      <c r="D105" s="25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5.27575911376612</v>
      </c>
      <c r="E105" s="25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5.44847054626808</v>
      </c>
      <c r="F105" s="25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5.62683599713473</v>
      </c>
      <c r="G105" s="25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5.81104056079325</v>
      </c>
      <c r="H105" s="25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6.00127539106873</v>
      </c>
      <c r="I105" s="25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6.1977378995494</v>
      </c>
      <c r="J105" s="25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6.40063196044574</v>
      </c>
      <c r="K105" s="25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6.61016812215599</v>
      </c>
      <c r="L105" s="25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6.82656382575766</v>
      </c>
      <c r="M105" s="25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7.05004363065175</v>
      </c>
      <c r="N105" s="7" t="n">
        <f aca="false">SUM(B105:M105)</f>
        <v>71.3036365968758</v>
      </c>
      <c r="O105" s="26" t="n">
        <f aca="false">MAX(B105:M105)</f>
        <v>7.05004363065175</v>
      </c>
      <c r="P105" s="15" t="n">
        <f aca="false">O105/parametros_recargas!$B$6</f>
        <v>0.0470002908710117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5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5006.24920928822</v>
      </c>
      <c r="C106" s="25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5170.13775191365</v>
      </c>
      <c r="D106" s="25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5339.39147978677</v>
      </c>
      <c r="E106" s="25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5514.18603186488</v>
      </c>
      <c r="F106" s="25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5694.70279696143</v>
      </c>
      <c r="G106" s="25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5881.12910197785</v>
      </c>
      <c r="H106" s="25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6073.65840629752</v>
      </c>
      <c r="I106" s="25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6272.49050254356</v>
      </c>
      <c r="J106" s="25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6477.83172390874</v>
      </c>
      <c r="K106" s="25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6689.89515827284</v>
      </c>
      <c r="L106" s="25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6908.90086932936</v>
      </c>
      <c r="M106" s="25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7135.07612495132</v>
      </c>
      <c r="N106" s="7" t="n">
        <f aca="false">SUM(B106:M106)</f>
        <v>72163.6491570961</v>
      </c>
      <c r="O106" s="26" t="n">
        <f aca="false">MAX(B106:M106)</f>
        <v>7135.07612495132</v>
      </c>
      <c r="P106" s="15" t="n">
        <f aca="false">O106/parametros_recargas!$B$6</f>
        <v>47.5671741663421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5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400.073544957249</v>
      </c>
      <c r="C107" s="25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413.170669667778</v>
      </c>
      <c r="D107" s="25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426.696552235069</v>
      </c>
      <c r="E107" s="25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440.665228816202</v>
      </c>
      <c r="F107" s="25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455.091195067023</v>
      </c>
      <c r="G107" s="25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469.989421184657</v>
      </c>
      <c r="H107" s="25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485.37536744247</v>
      </c>
      <c r="I107" s="25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501.265000233591</v>
      </c>
      <c r="J107" s="25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517.674808639654</v>
      </c>
      <c r="K107" s="25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534.621821541937</v>
      </c>
      <c r="L107" s="25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552.123625292678</v>
      </c>
      <c r="M107" s="25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570.19838196488</v>
      </c>
      <c r="N107" s="7" t="n">
        <f aca="false">SUM(B107:M107)</f>
        <v>5766.94561704319</v>
      </c>
      <c r="O107" s="26" t="n">
        <f aca="false">MAX(B107:M107)</f>
        <v>570.19838196488</v>
      </c>
      <c r="P107" s="15" t="n">
        <f aca="false">O107/parametros_recargas!$B$6</f>
        <v>3.80132254643253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5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4.99892754402413</v>
      </c>
      <c r="C108" s="25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5.16257639881151</v>
      </c>
      <c r="D108" s="25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5.33158259223551</v>
      </c>
      <c r="E108" s="25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5.50612150638054</v>
      </c>
      <c r="F108" s="25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5.686374264778</v>
      </c>
      <c r="G108" s="25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5.87252792036274</v>
      </c>
      <c r="H108" s="25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6.06477564958281</v>
      </c>
      <c r="I108" s="25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6.26331695286357</v>
      </c>
      <c r="J108" s="25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6.46835786163446</v>
      </c>
      <c r="K108" s="25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6.6801111521331</v>
      </c>
      <c r="L108" s="25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6.89879656620874</v>
      </c>
      <c r="M108" s="25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7.12464103935394</v>
      </c>
      <c r="N108" s="7" t="n">
        <f aca="false">SUM(B108:M108)</f>
        <v>72.0581094483691</v>
      </c>
      <c r="O108" s="26" t="n">
        <f aca="false">MAX(B108:M108)</f>
        <v>7.12464103935394</v>
      </c>
      <c r="P108" s="15" t="n">
        <f aca="false">O108/parametros_recargas!$B$6</f>
        <v>0.0474976069290263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5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1239.88355228782</v>
      </c>
      <c r="C109" s="25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1280.47336312518</v>
      </c>
      <c r="D109" s="25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1322.39195418612</v>
      </c>
      <c r="E109" s="25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1365.68282547336</v>
      </c>
      <c r="F109" s="25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1410.39090104023</v>
      </c>
      <c r="G109" s="25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1456.56257560944</v>
      </c>
      <c r="H109" s="25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1504.24576271816</v>
      </c>
      <c r="I109" s="25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1553.48994443908</v>
      </c>
      <c r="J109" s="25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1604.34622272922</v>
      </c>
      <c r="K109" s="25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1656.86737245982</v>
      </c>
      <c r="L109" s="25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1711.10789618211</v>
      </c>
      <c r="M109" s="25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1767.12408068604</v>
      </c>
      <c r="N109" s="7" t="n">
        <f aca="false">SUM(B109:M109)</f>
        <v>17872.5664509366</v>
      </c>
      <c r="O109" s="26" t="n">
        <f aca="false">MAX(B109:M109)</f>
        <v>1767.12408068604</v>
      </c>
      <c r="P109" s="15" t="n">
        <f aca="false">O109/parametros_recargas!$B$6</f>
        <v>11.7808272045736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5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1154.23750182134</v>
      </c>
      <c r="C110" s="25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1192.02353565804</v>
      </c>
      <c r="D110" s="25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1231.04656305183</v>
      </c>
      <c r="E110" s="25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1271.34707920438</v>
      </c>
      <c r="F110" s="25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1312.96690500037</v>
      </c>
      <c r="G110" s="25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1355.94923040613</v>
      </c>
      <c r="H110" s="25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1400.33865928894</v>
      </c>
      <c r="I110" s="25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1446.18125570367</v>
      </c>
      <c r="J110" s="25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1493.52459169456</v>
      </c>
      <c r="K110" s="25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1542.41779666206</v>
      </c>
      <c r="L110" s="25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1592.91160834556</v>
      </c>
      <c r="M110" s="25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1645.05842547534</v>
      </c>
      <c r="N110" s="7" t="n">
        <f aca="false">SUM(B110:M110)</f>
        <v>16638.0031523122</v>
      </c>
      <c r="O110" s="26" t="n">
        <f aca="false">MAX(B110:M110)</f>
        <v>1645.05842547534</v>
      </c>
      <c r="P110" s="15" t="n">
        <f aca="false">O110/parametros_recargas!$B$6</f>
        <v>10.9670561698356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5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1154.23750182134</v>
      </c>
      <c r="C111" s="25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1192.02353565804</v>
      </c>
      <c r="D111" s="25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1231.04656305183</v>
      </c>
      <c r="E111" s="25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1271.34707920438</v>
      </c>
      <c r="F111" s="25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1312.96690500037</v>
      </c>
      <c r="G111" s="25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1355.94923040613</v>
      </c>
      <c r="H111" s="25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1400.33865928894</v>
      </c>
      <c r="I111" s="25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1446.18125570367</v>
      </c>
      <c r="J111" s="25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1493.52459169456</v>
      </c>
      <c r="K111" s="25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1542.41779666206</v>
      </c>
      <c r="L111" s="25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1592.91160834556</v>
      </c>
      <c r="M111" s="25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1645.05842547534</v>
      </c>
      <c r="N111" s="7" t="n">
        <f aca="false">SUM(B111:M111)</f>
        <v>16638.0031523122</v>
      </c>
      <c r="O111" s="26" t="n">
        <f aca="false">MAX(B111:M111)</f>
        <v>1645.05842547534</v>
      </c>
      <c r="P111" s="15" t="n">
        <f aca="false">O111/parametros_recargas!$B$6</f>
        <v>10.9670561698356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5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579.2292133761</v>
      </c>
      <c r="C112" s="25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598.191320066706</v>
      </c>
      <c r="D112" s="25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617.774185313412</v>
      </c>
      <c r="E112" s="25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637.998130760391</v>
      </c>
      <c r="F112" s="25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658.884143317273</v>
      </c>
      <c r="G112" s="25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680.453896937794</v>
      </c>
      <c r="H112" s="25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702.729775111424</v>
      </c>
      <c r="I112" s="25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725.734894091285</v>
      </c>
      <c r="J112" s="25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749.493126882488</v>
      </c>
      <c r="K112" s="25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774.029128015762</v>
      </c>
      <c r="L112" s="25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799.3683591321</v>
      </c>
      <c r="M112" s="25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825.537115404957</v>
      </c>
      <c r="N112" s="7" t="n">
        <f aca="false">SUM(B112:M112)</f>
        <v>8349.42328840969</v>
      </c>
      <c r="O112" s="26" t="n">
        <f aca="false">MAX(B112:M112)</f>
        <v>825.537115404957</v>
      </c>
      <c r="P112" s="15" t="n">
        <f aca="false">O112/parametros_recargas!$B$6</f>
        <v>5.50358076936638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5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4991.0516990664</v>
      </c>
      <c r="C113" s="25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5154.44272394998</v>
      </c>
      <c r="D113" s="25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5323.18264694605</v>
      </c>
      <c r="E113" s="25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5497.44657382336</v>
      </c>
      <c r="F113" s="25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5677.4153427519</v>
      </c>
      <c r="G113" s="25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5863.27571196336</v>
      </c>
      <c r="H113" s="25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6055.22055355494</v>
      </c>
      <c r="I113" s="25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6253.4490536377</v>
      </c>
      <c r="J113" s="25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6458.16691903713</v>
      </c>
      <c r="K113" s="25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6669.58659076044</v>
      </c>
      <c r="L113" s="25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6887.92746445204</v>
      </c>
      <c r="M113" s="25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7113.41611806608</v>
      </c>
      <c r="N113" s="7" t="n">
        <f aca="false">SUM(B113:M113)</f>
        <v>71944.5813980094</v>
      </c>
      <c r="O113" s="26" t="n">
        <f aca="false">MAX(B113:M113)</f>
        <v>7113.41611806608</v>
      </c>
      <c r="P113" s="15" t="n">
        <f aca="false">O113/parametros_recargas!$B$6</f>
        <v>47.4227741204405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5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7.87584495772711</v>
      </c>
      <c r="C114" s="25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8.13367486153433</v>
      </c>
      <c r="D114" s="25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8.39994528945726</v>
      </c>
      <c r="E114" s="25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8.67493255718424</v>
      </c>
      <c r="F114" s="25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8.95892202609305</v>
      </c>
      <c r="G114" s="25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9.2522083993777</v>
      </c>
      <c r="H114" s="25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9.55509602786961</v>
      </c>
      <c r="I114" s="25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9.86789922587027</v>
      </c>
      <c r="J114" s="25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10.1909425973233</v>
      </c>
      <c r="K114" s="25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10.5245613726643</v>
      </c>
      <c r="L114" s="25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10.8691017566983</v>
      </c>
      <c r="M114" s="25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11.2249212878651</v>
      </c>
      <c r="N114" s="7" t="n">
        <f aca="false">SUM(B114:M114)</f>
        <v>113.528050359665</v>
      </c>
      <c r="O114" s="26" t="n">
        <f aca="false">MAX(B114:M114)</f>
        <v>11.2249212878651</v>
      </c>
      <c r="P114" s="15" t="n">
        <f aca="false">O114/parametros_recargas!$B$6</f>
        <v>0.074832808585767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5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7.32166526409046</v>
      </c>
      <c r="C115" s="25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7.5613531021423</v>
      </c>
      <c r="D115" s="25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7.80888755126386</v>
      </c>
      <c r="E115" s="25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8.06452548433521</v>
      </c>
      <c r="F115" s="25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8.32853218343066</v>
      </c>
      <c r="G115" s="25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8.60118161510878</v>
      </c>
      <c r="H115" s="25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8.8827567147146</v>
      </c>
      <c r="I115" s="25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9.17354967998887</v>
      </c>
      <c r="J115" s="25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9.47386227428921</v>
      </c>
      <c r="K115" s="25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9.78400613973775</v>
      </c>
      <c r="L115" s="25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10.1043031206202</v>
      </c>
      <c r="M115" s="25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10.4350855973717</v>
      </c>
      <c r="N115" s="7" t="n">
        <f aca="false">SUM(B115:M115)</f>
        <v>105.539708727094</v>
      </c>
      <c r="O115" s="26" t="n">
        <f aca="false">MAX(B115:M115)</f>
        <v>10.4350855973717</v>
      </c>
      <c r="P115" s="15" t="n">
        <f aca="false">O115/parametros_recargas!$B$6</f>
        <v>0.0695672373158116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5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271.417085118737</v>
      </c>
      <c r="C116" s="25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280.302409972567</v>
      </c>
      <c r="D116" s="25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289.478611864309</v>
      </c>
      <c r="E116" s="25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298.955213175257</v>
      </c>
      <c r="F116" s="25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308.74204801893</v>
      </c>
      <c r="G116" s="25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318.849272446179</v>
      </c>
      <c r="H116" s="25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329.287374984389</v>
      </c>
      <c r="I116" s="25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340.067187521692</v>
      </c>
      <c r="J116" s="25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351.199896547494</v>
      </c>
      <c r="K116" s="25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362.697054760989</v>
      </c>
      <c r="L116" s="25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374.570593059689</v>
      </c>
      <c r="M116" s="25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386.832832920422</v>
      </c>
      <c r="N116" s="7" t="n">
        <f aca="false">SUM(B116:M116)</f>
        <v>3912.39958039065</v>
      </c>
      <c r="O116" s="26" t="n">
        <f aca="false">MAX(B116:M116)</f>
        <v>386.832832920422</v>
      </c>
      <c r="P116" s="15" t="n">
        <f aca="false">O116/parametros_recargas!$B$6</f>
        <v>2.57888555280281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5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148.451847314099</v>
      </c>
      <c r="C117" s="25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153.311684667226</v>
      </c>
      <c r="D117" s="25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158.330617508393</v>
      </c>
      <c r="E117" s="25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163.513854113612</v>
      </c>
      <c r="F117" s="25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168.866773261151</v>
      </c>
      <c r="G117" s="25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174.394929813222</v>
      </c>
      <c r="H117" s="25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180.104060480415</v>
      </c>
      <c r="I117" s="25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186.00008977482</v>
      </c>
      <c r="J117" s="25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192.089136158056</v>
      </c>
      <c r="K117" s="25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198.37751839055</v>
      </c>
      <c r="L117" s="25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204.871762088678</v>
      </c>
      <c r="M117" s="25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211.578606496568</v>
      </c>
      <c r="N117" s="7" t="n">
        <f aca="false">SUM(B117:M117)</f>
        <v>2139.89088006679</v>
      </c>
      <c r="O117" s="26" t="n">
        <f aca="false">MAX(B117:M117)</f>
        <v>211.578606496568</v>
      </c>
      <c r="P117" s="15" t="n">
        <f aca="false">O117/parametros_recargas!$B$6</f>
        <v>1.41052404331045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5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5006.24920928822</v>
      </c>
      <c r="C118" s="25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5170.13775191365</v>
      </c>
      <c r="D118" s="25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5339.39147978677</v>
      </c>
      <c r="E118" s="25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5514.18603186488</v>
      </c>
      <c r="F118" s="25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5694.70279696143</v>
      </c>
      <c r="G118" s="25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5881.12910197785</v>
      </c>
      <c r="H118" s="25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6073.65840629752</v>
      </c>
      <c r="I118" s="25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6272.49050254356</v>
      </c>
      <c r="J118" s="25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6477.83172390874</v>
      </c>
      <c r="K118" s="25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6689.89515827284</v>
      </c>
      <c r="L118" s="25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6908.90086932936</v>
      </c>
      <c r="M118" s="25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7135.07612495132</v>
      </c>
      <c r="N118" s="7" t="n">
        <f aca="false">SUM(B118:M118)</f>
        <v>72163.6491570961</v>
      </c>
      <c r="O118" s="26" t="n">
        <f aca="false">MAX(B118:M118)</f>
        <v>7135.07612495132</v>
      </c>
      <c r="P118" s="15" t="n">
        <f aca="false">O118/parametros_recargas!$B$6</f>
        <v>47.5671741663421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5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5006.24920928822</v>
      </c>
      <c r="C119" s="25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5170.13775191365</v>
      </c>
      <c r="D119" s="25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5339.39147978677</v>
      </c>
      <c r="E119" s="25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5514.18603186488</v>
      </c>
      <c r="F119" s="25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5694.70279696143</v>
      </c>
      <c r="G119" s="25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5881.12910197785</v>
      </c>
      <c r="H119" s="25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6073.65840629752</v>
      </c>
      <c r="I119" s="25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6272.49050254356</v>
      </c>
      <c r="J119" s="25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6477.83172390874</v>
      </c>
      <c r="K119" s="25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6689.89515827284</v>
      </c>
      <c r="L119" s="25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6908.90086932936</v>
      </c>
      <c r="M119" s="25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7135.07612495132</v>
      </c>
      <c r="N119" s="7" t="n">
        <f aca="false">SUM(B119:M119)</f>
        <v>72163.6491570961</v>
      </c>
      <c r="O119" s="26" t="n">
        <f aca="false">MAX(B119:M119)</f>
        <v>7135.07612495132</v>
      </c>
      <c r="P119" s="15" t="n">
        <f aca="false">O119/parametros_recargas!$B$6</f>
        <v>47.5671741663421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5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400.073544957249</v>
      </c>
      <c r="C120" s="25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413.170669667778</v>
      </c>
      <c r="D120" s="25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426.696552235069</v>
      </c>
      <c r="E120" s="25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440.665228816202</v>
      </c>
      <c r="F120" s="25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455.091195067023</v>
      </c>
      <c r="G120" s="25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469.989421184657</v>
      </c>
      <c r="H120" s="25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485.37536744247</v>
      </c>
      <c r="I120" s="25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501.265000233591</v>
      </c>
      <c r="J120" s="25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517.674808639654</v>
      </c>
      <c r="K120" s="25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534.621821541937</v>
      </c>
      <c r="L120" s="25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552.123625292678</v>
      </c>
      <c r="M120" s="25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570.19838196488</v>
      </c>
      <c r="N120" s="7" t="n">
        <f aca="false">SUM(B120:M120)</f>
        <v>5766.94561704319</v>
      </c>
      <c r="O120" s="26" t="n">
        <f aca="false">MAX(B120:M120)</f>
        <v>570.19838196488</v>
      </c>
      <c r="P120" s="15" t="n">
        <f aca="false">O120/parametros_recargas!$B$6</f>
        <v>3.80132254643253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5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4.94658707676207</v>
      </c>
      <c r="C121" s="25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5.10852247252229</v>
      </c>
      <c r="D121" s="25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5.27575911376612</v>
      </c>
      <c r="E121" s="25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5.44847054626808</v>
      </c>
      <c r="F121" s="25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5.62683599713473</v>
      </c>
      <c r="G121" s="25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5.81104056079325</v>
      </c>
      <c r="H121" s="25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6.00127539106873</v>
      </c>
      <c r="I121" s="25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6.1977378995494</v>
      </c>
      <c r="J121" s="25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6.40063196044574</v>
      </c>
      <c r="K121" s="25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6.61016812215599</v>
      </c>
      <c r="L121" s="25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6.82656382575766</v>
      </c>
      <c r="M121" s="25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7.05004363065175</v>
      </c>
      <c r="N121" s="7" t="n">
        <f aca="false">SUM(B121:M121)</f>
        <v>71.3036365968758</v>
      </c>
      <c r="O121" s="26" t="n">
        <f aca="false">MAX(B121:M121)</f>
        <v>7.05004363065175</v>
      </c>
      <c r="P121" s="15" t="n">
        <f aca="false">O121/parametros_recargas!$B$6</f>
        <v>0.0470002908710117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5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361.227404963184</v>
      </c>
      <c r="C122" s="25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373.052831641094</v>
      </c>
      <c r="D122" s="25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385.265384860881</v>
      </c>
      <c r="E122" s="25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397.8777379039</v>
      </c>
      <c r="F122" s="25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410.90297893409</v>
      </c>
      <c r="G122" s="25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424.354624579899</v>
      </c>
      <c r="H122" s="25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438.24663396084</v>
      </c>
      <c r="I122" s="25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452.593423173229</v>
      </c>
      <c r="J122" s="25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467.409880250136</v>
      </c>
      <c r="K122" s="25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482.711380611084</v>
      </c>
      <c r="L122" s="25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498.513803017521</v>
      </c>
      <c r="M122" s="25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514.833546050613</v>
      </c>
      <c r="N122" s="7" t="n">
        <f aca="false">SUM(B122:M122)</f>
        <v>5206.98962994647</v>
      </c>
      <c r="O122" s="26" t="n">
        <f aca="false">MAX(B122:M122)</f>
        <v>514.833546050613</v>
      </c>
      <c r="P122" s="15" t="n">
        <f aca="false">O122/parametros_recargas!$B$6</f>
        <v>3.43222364033742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5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5792.292133761</v>
      </c>
      <c r="C123" s="25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5981.91320066706</v>
      </c>
      <c r="D123" s="25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6177.74185313412</v>
      </c>
      <c r="E123" s="25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6379.98130760391</v>
      </c>
      <c r="F123" s="25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6588.84143317273</v>
      </c>
      <c r="G123" s="25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6804.53896937795</v>
      </c>
      <c r="H123" s="25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7027.29775111424</v>
      </c>
      <c r="I123" s="25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7257.34894091285</v>
      </c>
      <c r="J123" s="25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7494.93126882488</v>
      </c>
      <c r="K123" s="25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7740.29128015762</v>
      </c>
      <c r="L123" s="25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7993.683591321</v>
      </c>
      <c r="M123" s="25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8255.37115404957</v>
      </c>
      <c r="N123" s="7" t="n">
        <f aca="false">SUM(B123:M123)</f>
        <v>83494.2328840969</v>
      </c>
      <c r="O123" s="26" t="n">
        <f aca="false">MAX(B123:M123)</f>
        <v>8255.37115404957</v>
      </c>
      <c r="P123" s="15" t="n">
        <f aca="false">O123/parametros_recargas!$B$6</f>
        <v>55.0358076936638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5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5792.292133761</v>
      </c>
      <c r="C124" s="25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5981.91320066706</v>
      </c>
      <c r="D124" s="25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6177.74185313412</v>
      </c>
      <c r="E124" s="25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6379.98130760391</v>
      </c>
      <c r="F124" s="25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6588.84143317273</v>
      </c>
      <c r="G124" s="25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6804.53896937795</v>
      </c>
      <c r="H124" s="25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7027.29775111424</v>
      </c>
      <c r="I124" s="25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7257.34894091285</v>
      </c>
      <c r="J124" s="25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7494.93126882488</v>
      </c>
      <c r="K124" s="25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7740.29128015762</v>
      </c>
      <c r="L124" s="25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7993.683591321</v>
      </c>
      <c r="M124" s="25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8255.37115404957</v>
      </c>
      <c r="N124" s="7" t="n">
        <f aca="false">SUM(B124:M124)</f>
        <v>83494.2328840969</v>
      </c>
      <c r="O124" s="26" t="n">
        <f aca="false">MAX(B124:M124)</f>
        <v>8255.37115404957</v>
      </c>
      <c r="P124" s="15" t="n">
        <f aca="false">O124/parametros_recargas!$B$6</f>
        <v>55.0358076936638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5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455.136045850097</v>
      </c>
      <c r="C125" s="25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470.035740238519</v>
      </c>
      <c r="D125" s="25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485.423202833597</v>
      </c>
      <c r="E125" s="25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501.314401602001</v>
      </c>
      <c r="F125" s="25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517.725827250421</v>
      </c>
      <c r="G125" s="25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534.67451033839</v>
      </c>
      <c r="H125" s="25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552.178038951338</v>
      </c>
      <c r="I125" s="25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570.254576952205</v>
      </c>
      <c r="J125" s="25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588.922882830542</v>
      </c>
      <c r="K125" s="25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608.20232916869</v>
      </c>
      <c r="L125" s="25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628.112922745198</v>
      </c>
      <c r="M125" s="25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648.675325296379</v>
      </c>
      <c r="N125" s="7" t="n">
        <f aca="false">SUM(B125:M125)</f>
        <v>6560.65580405738</v>
      </c>
      <c r="O125" s="26" t="n">
        <f aca="false">MAX(B125:M125)</f>
        <v>648.675325296379</v>
      </c>
      <c r="P125" s="15" t="n">
        <f aca="false">O125/parametros_recargas!$B$6</f>
        <v>4.32450216864252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5" t="n">
        <f aca="false">'Plan mensual'!D125</f>
        <v>201.853514115654</v>
      </c>
      <c r="C126" s="25" t="n">
        <f aca="false">'Plan mensual'!E125</f>
        <v>208.4615507653</v>
      </c>
      <c r="D126" s="25" t="n">
        <f aca="false">'Plan mensual'!F125</f>
        <v>215.285913340974</v>
      </c>
      <c r="E126" s="25" t="n">
        <f aca="false">'Plan mensual'!G125</f>
        <v>222.333683659674</v>
      </c>
      <c r="F126" s="25" t="n">
        <f aca="false">'Plan mensual'!H125</f>
        <v>229.612175374374</v>
      </c>
      <c r="G126" s="25" t="n">
        <f aca="false">'Plan mensual'!I125</f>
        <v>237.12894156359</v>
      </c>
      <c r="H126" s="25" t="n">
        <f aca="false">'Plan mensual'!J125</f>
        <v>244.8917825694</v>
      </c>
      <c r="I126" s="25" t="n">
        <f aca="false">'Plan mensual'!K125</f>
        <v>252.908754092068</v>
      </c>
      <c r="J126" s="25" t="n">
        <f aca="false">'Plan mensual'!L125</f>
        <v>261.188175549646</v>
      </c>
      <c r="K126" s="25" t="n">
        <f aca="false">'Plan mensual'!M125</f>
        <v>269.73863871125</v>
      </c>
      <c r="L126" s="25" t="n">
        <f aca="false">'Plan mensual'!N125</f>
        <v>278.569016612961</v>
      </c>
      <c r="M126" s="25" t="n">
        <f aca="false">'Plan mensual'!O125</f>
        <v>287.688472765602</v>
      </c>
      <c r="N126" s="7" t="n">
        <f aca="false">SUM(B126:M126)</f>
        <v>2909.66061912049</v>
      </c>
      <c r="O126" s="26" t="n">
        <f aca="false">MAX(B126:M126)</f>
        <v>287.688472765602</v>
      </c>
      <c r="P126" s="15" t="n">
        <f aca="false">O126/parametros_recargas!$B$6</f>
        <v>1.91792315177068</v>
      </c>
    </row>
    <row r="129" customFormat="false" ht="23.85" hidden="false" customHeight="false" outlineLevel="0" collapsed="false">
      <c r="A129" s="3" t="s">
        <v>282</v>
      </c>
      <c r="B129" s="3" t="s">
        <v>124</v>
      </c>
      <c r="C129" s="3" t="s">
        <v>125</v>
      </c>
      <c r="D129" s="3" t="s">
        <v>126</v>
      </c>
      <c r="E129" s="3" t="s">
        <v>127</v>
      </c>
      <c r="F129" s="3" t="s">
        <v>128</v>
      </c>
      <c r="G129" s="3" t="s">
        <v>129</v>
      </c>
      <c r="H129" s="3" t="s">
        <v>130</v>
      </c>
      <c r="I129" s="3" t="s">
        <v>131</v>
      </c>
      <c r="J129" s="3" t="s">
        <v>132</v>
      </c>
      <c r="K129" s="3" t="s">
        <v>133</v>
      </c>
      <c r="L129" s="3" t="s">
        <v>134</v>
      </c>
      <c r="M129" s="3" t="s">
        <v>135</v>
      </c>
      <c r="N129" s="3" t="s">
        <v>276</v>
      </c>
      <c r="O129" s="3" t="s">
        <v>277</v>
      </c>
      <c r="P129" s="3" t="s">
        <v>278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5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8850.60594947982</v>
      </c>
      <c r="C130" s="25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9080.93943960452</v>
      </c>
      <c r="D130" s="25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9317.26726695041</v>
      </c>
      <c r="E130" s="25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9559.74543175306</v>
      </c>
      <c r="F130" s="25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9808.53399409197</v>
      </c>
      <c r="G130" s="25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10063.7971795464</v>
      </c>
      <c r="H130" s="25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10325.7034876007</v>
      </c>
      <c r="I130" s="25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10594.4258028713</v>
      </c>
      <c r="J130" s="25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10870.1415092276</v>
      </c>
      <c r="K130" s="25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11153.0326068837</v>
      </c>
      <c r="L130" s="25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11443.2858325365</v>
      </c>
      <c r="M130" s="25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11741.092782631</v>
      </c>
      <c r="N130" s="7" t="n">
        <f aca="false">SUM(B130:M130)</f>
        <v>122808.571283177</v>
      </c>
      <c r="O130" s="26" t="n">
        <f aca="false">MAX(B130:M130)</f>
        <v>11741.092782631</v>
      </c>
      <c r="P130" s="15" t="n">
        <f aca="false">O130/parametros_recargas!$B$6</f>
        <v>78.2739518842065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5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8850.60594947982</v>
      </c>
      <c r="C131" s="25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9080.93943960452</v>
      </c>
      <c r="D131" s="25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9317.26726695041</v>
      </c>
      <c r="E131" s="25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9559.74543175306</v>
      </c>
      <c r="F131" s="25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9808.53399409197</v>
      </c>
      <c r="G131" s="25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10063.7971795464</v>
      </c>
      <c r="H131" s="25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10325.7034876007</v>
      </c>
      <c r="I131" s="25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10594.4258028713</v>
      </c>
      <c r="J131" s="25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10870.1415092276</v>
      </c>
      <c r="K131" s="25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11153.0326068837</v>
      </c>
      <c r="L131" s="25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11443.2858325365</v>
      </c>
      <c r="M131" s="25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11741.092782631</v>
      </c>
      <c r="N131" s="7" t="n">
        <f aca="false">SUM(B131:M131)</f>
        <v>122808.571283177</v>
      </c>
      <c r="O131" s="26" t="n">
        <f aca="false">MAX(B131:M131)</f>
        <v>11741.092782631</v>
      </c>
      <c r="P131" s="15" t="n">
        <f aca="false">O131/parametros_recargas!$B$6</f>
        <v>78.2739518842065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5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6504.57614756218</v>
      </c>
      <c r="C132" s="25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6673.85514771221</v>
      </c>
      <c r="D132" s="25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6847.53956633098</v>
      </c>
      <c r="E132" s="25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7025.74405267722</v>
      </c>
      <c r="F132" s="25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7208.58623971087</v>
      </c>
      <c r="G132" s="25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7396.18682174278</v>
      </c>
      <c r="H132" s="25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7588.66963410508</v>
      </c>
      <c r="I132" s="25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7786.16173489502</v>
      </c>
      <c r="J132" s="25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7988.79348884619</v>
      </c>
      <c r="K132" s="25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8196.69865338236</v>
      </c>
      <c r="L132" s="25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8410.01446691092</v>
      </c>
      <c r="M132" s="25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8628.88173941406</v>
      </c>
      <c r="N132" s="7" t="n">
        <f aca="false">SUM(B132:M132)</f>
        <v>90255.7076932899</v>
      </c>
      <c r="O132" s="26" t="n">
        <f aca="false">MAX(B132:M132)</f>
        <v>8628.88173941406</v>
      </c>
      <c r="P132" s="15" t="n">
        <f aca="false">O132/parametros_recargas!$B$6</f>
        <v>57.5258782627604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5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765.244252654374</v>
      </c>
      <c r="C133" s="25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785.159429142613</v>
      </c>
      <c r="D133" s="25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805.592890156586</v>
      </c>
      <c r="E133" s="25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826.558123844379</v>
      </c>
      <c r="F133" s="25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848.06896937775</v>
      </c>
      <c r="G133" s="25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870.139626087386</v>
      </c>
      <c r="H133" s="25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892.784662835891</v>
      </c>
      <c r="I133" s="25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916.019027634708</v>
      </c>
      <c r="J133" s="25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939.858057511316</v>
      </c>
      <c r="K133" s="25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964.317488633219</v>
      </c>
      <c r="L133" s="25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989.413466695402</v>
      </c>
      <c r="M133" s="25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1015.16255757813</v>
      </c>
      <c r="N133" s="7" t="n">
        <f aca="false">SUM(B133:M133)</f>
        <v>10618.3185521518</v>
      </c>
      <c r="O133" s="26" t="n">
        <f aca="false">MAX(B133:M133)</f>
        <v>1015.16255757813</v>
      </c>
      <c r="P133" s="15" t="n">
        <f aca="false">O133/parametros_recargas!$B$6</f>
        <v>6.76775038385417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5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11.2745760351901</v>
      </c>
      <c r="C134" s="25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11.5679923800918</v>
      </c>
      <c r="D134" s="25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11.8690447683521</v>
      </c>
      <c r="E134" s="25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12.1779319249543</v>
      </c>
      <c r="F134" s="25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12.4948577466197</v>
      </c>
      <c r="G134" s="25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12.8200314364008</v>
      </c>
      <c r="H134" s="25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13.1536676417758</v>
      </c>
      <c r="I134" s="25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13.4959865963383</v>
      </c>
      <c r="J134" s="25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13.8472142651731</v>
      </c>
      <c r="K134" s="25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14.2075824940161</v>
      </c>
      <c r="L134" s="25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14.5773291622964</v>
      </c>
      <c r="M134" s="25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14.9566983401599</v>
      </c>
      <c r="N134" s="7" t="n">
        <f aca="false">SUM(B134:M134)</f>
        <v>156.442912791368</v>
      </c>
      <c r="O134" s="26" t="n">
        <f aca="false">MAX(B134:M134)</f>
        <v>14.9566983401599</v>
      </c>
      <c r="P134" s="15" t="n">
        <f aca="false">O134/parametros_recargas!$B$6</f>
        <v>0.0997113222677326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5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404.880571908966</v>
      </c>
      <c r="C135" s="25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415.41742732246</v>
      </c>
      <c r="D135" s="25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426.228500195886</v>
      </c>
      <c r="E135" s="25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437.320926929278</v>
      </c>
      <c r="F135" s="25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448.702029644636</v>
      </c>
      <c r="G135" s="25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460.379321019264</v>
      </c>
      <c r="H135" s="25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472.360509244894</v>
      </c>
      <c r="I135" s="25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484.653503115879</v>
      </c>
      <c r="J135" s="25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497.266417249787</v>
      </c>
      <c r="K135" s="25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510.207577443873</v>
      </c>
      <c r="L135" s="25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523.485526170945</v>
      </c>
      <c r="M135" s="25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537.10902821826</v>
      </c>
      <c r="N135" s="7" t="n">
        <f aca="false">SUM(B135:M135)</f>
        <v>5618.01133846413</v>
      </c>
      <c r="O135" s="26" t="n">
        <f aca="false">MAX(B135:M135)</f>
        <v>537.10902821826</v>
      </c>
      <c r="P135" s="15" t="n">
        <f aca="false">O135/parametros_recargas!$B$6</f>
        <v>3.5807268547884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5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185.502841726715</v>
      </c>
      <c r="C136" s="25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190.330479202257</v>
      </c>
      <c r="D136" s="25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195.28375401779</v>
      </c>
      <c r="E136" s="25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200.365935834981</v>
      </c>
      <c r="F136" s="25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205.580379407139</v>
      </c>
      <c r="G136" s="25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210.930526793691</v>
      </c>
      <c r="H136" s="25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216.419909632285</v>
      </c>
      <c r="I136" s="25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222.052151470032</v>
      </c>
      <c r="J136" s="25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227.830970155412</v>
      </c>
      <c r="K136" s="25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233.760180292428</v>
      </c>
      <c r="L136" s="25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239.843695758632</v>
      </c>
      <c r="M136" s="25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246.085532288676</v>
      </c>
      <c r="N136" s="7" t="n">
        <f aca="false">SUM(B136:M136)</f>
        <v>2573.98635658004</v>
      </c>
      <c r="O136" s="26" t="n">
        <f aca="false">MAX(B136:M136)</f>
        <v>246.085532288676</v>
      </c>
      <c r="P136" s="15" t="n">
        <f aca="false">O136/parametros_recargas!$B$6</f>
        <v>1.64057021525784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5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7.36742911268483</v>
      </c>
      <c r="C137" s="25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7.55916351713775</v>
      </c>
      <c r="D137" s="25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7.75588773300096</v>
      </c>
      <c r="E137" s="25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7.95773161812641</v>
      </c>
      <c r="F137" s="25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8.16482840986488</v>
      </c>
      <c r="G137" s="25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8.37731481301607</v>
      </c>
      <c r="H137" s="25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8.59533109006756</v>
      </c>
      <c r="I137" s="25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8.81902115378223</v>
      </c>
      <c r="J137" s="25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9.04853266219523</v>
      </c>
      <c r="K137" s="25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9.28401711608319</v>
      </c>
      <c r="L137" s="25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9.52562995897001</v>
      </c>
      <c r="M137" s="25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9.77353067973534</v>
      </c>
      <c r="N137" s="7" t="n">
        <f aca="false">SUM(B137:M137)</f>
        <v>102.228417864664</v>
      </c>
      <c r="O137" s="26" t="n">
        <f aca="false">MAX(B137:M137)</f>
        <v>9.77353067973534</v>
      </c>
      <c r="P137" s="15" t="n">
        <f aca="false">O137/parametros_recargas!$B$6</f>
        <v>0.0651568711982356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5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7674.24429421326</v>
      </c>
      <c r="C138" s="25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7873.96344140448</v>
      </c>
      <c r="D138" s="25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8078.88019975136</v>
      </c>
      <c r="E138" s="25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8289.12983501135</v>
      </c>
      <c r="F138" s="25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8504.85113317932</v>
      </c>
      <c r="G138" s="25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8726.18649210029</v>
      </c>
      <c r="H138" s="25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8953.28201546641</v>
      </c>
      <c r="I138" s="25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9186.28760926017</v>
      </c>
      <c r="J138" s="25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9425.35708070743</v>
      </c>
      <c r="K138" s="25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9670.64823980581</v>
      </c>
      <c r="L138" s="25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9922.32300349514</v>
      </c>
      <c r="M138" s="25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10180.5475025391</v>
      </c>
      <c r="N138" s="7" t="n">
        <f aca="false">SUM(B138:M138)</f>
        <v>106485.700846934</v>
      </c>
      <c r="O138" s="26" t="n">
        <f aca="false">MAX(B138:M138)</f>
        <v>10180.5475025391</v>
      </c>
      <c r="P138" s="15" t="n">
        <f aca="false">O138/parametros_recargas!$B$6</f>
        <v>67.8703166835938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5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597.750842748366</v>
      </c>
      <c r="C139" s="25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613.307070041854</v>
      </c>
      <c r="D139" s="25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629.268141946676</v>
      </c>
      <c r="E139" s="25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645.644594382386</v>
      </c>
      <c r="F139" s="25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662.44723746164</v>
      </c>
      <c r="G139" s="25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679.68716262597</v>
      </c>
      <c r="H139" s="25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697.375749967247</v>
      </c>
      <c r="I139" s="25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715.524675739693</v>
      </c>
      <c r="J139" s="25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734.145920067394</v>
      </c>
      <c r="K139" s="25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753.251774852385</v>
      </c>
      <c r="L139" s="25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772.854851888547</v>
      </c>
      <c r="M139" s="25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792.968091186672</v>
      </c>
      <c r="N139" s="7" t="n">
        <f aca="false">SUM(B139:M139)</f>
        <v>8294.22611290883</v>
      </c>
      <c r="O139" s="26" t="n">
        <f aca="false">MAX(B139:M139)</f>
        <v>792.968091186672</v>
      </c>
      <c r="P139" s="15" t="n">
        <f aca="false">O139/parametros_recargas!$B$6</f>
        <v>5.28645394124448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5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7.66371710257893</v>
      </c>
      <c r="C140" s="25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7.86316228380622</v>
      </c>
      <c r="D140" s="25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8.06779794633422</v>
      </c>
      <c r="E140" s="25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8.27775917036874</v>
      </c>
      <c r="F140" s="25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8.49318455152412</v>
      </c>
      <c r="G140" s="25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8.71421629231027</v>
      </c>
      <c r="H140" s="25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8.94100029600069</v>
      </c>
      <c r="I140" s="25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9.17368626294342</v>
      </c>
      <c r="J140" s="25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9.41242778937833</v>
      </c>
      <c r="K140" s="25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9.65738246882621</v>
      </c>
      <c r="L140" s="25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9.90871199611632</v>
      </c>
      <c r="M140" s="25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10.1665822741214</v>
      </c>
      <c r="N140" s="7" t="n">
        <f aca="false">SUM(B140:M140)</f>
        <v>106.339628434309</v>
      </c>
      <c r="O140" s="26" t="n">
        <f aca="false">MAX(B140:M140)</f>
        <v>10.1665822741214</v>
      </c>
      <c r="P140" s="15" t="n">
        <f aca="false">O140/parametros_recargas!$B$6</f>
        <v>0.0677772151608094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5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1891.58536146865</v>
      </c>
      <c r="C141" s="25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1940.81311611764</v>
      </c>
      <c r="D141" s="25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1991.32200344885</v>
      </c>
      <c r="E141" s="25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2043.14536442939</v>
      </c>
      <c r="F141" s="25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2096.31740771178</v>
      </c>
      <c r="G141" s="25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2150.87323221506</v>
      </c>
      <c r="H141" s="25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2206.84885029361</v>
      </c>
      <c r="I141" s="25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2264.28121150902</v>
      </c>
      <c r="J141" s="25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2323.20822702047</v>
      </c>
      <c r="K141" s="25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2383.66879460991</v>
      </c>
      <c r="L141" s="25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2445.70282435858</v>
      </c>
      <c r="M141" s="25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2509.35126499167</v>
      </c>
      <c r="N141" s="7" t="n">
        <f aca="false">SUM(B141:M141)</f>
        <v>26247.1176581746</v>
      </c>
      <c r="O141" s="26" t="n">
        <f aca="false">MAX(B141:M141)</f>
        <v>2509.35126499167</v>
      </c>
      <c r="P141" s="15" t="n">
        <f aca="false">O141/parametros_recargas!$B$6</f>
        <v>16.7290084332778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5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1765.8875184563</v>
      </c>
      <c r="C142" s="25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1811.84403687046</v>
      </c>
      <c r="D142" s="25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1858.99655534842</v>
      </c>
      <c r="E142" s="25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1907.37619931487</v>
      </c>
      <c r="F142" s="25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1957.01490422126</v>
      </c>
      <c r="G142" s="25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2007.94543662643</v>
      </c>
      <c r="H142" s="25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2060.20141582583</v>
      </c>
      <c r="I142" s="25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2113.81733604369</v>
      </c>
      <c r="J142" s="25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2168.82858920265</v>
      </c>
      <c r="K142" s="25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2225.27148828603</v>
      </c>
      <c r="L142" s="25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2283.18329130806</v>
      </c>
      <c r="M142" s="25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2342.60222590793</v>
      </c>
      <c r="N142" s="7" t="n">
        <f aca="false">SUM(B142:M142)</f>
        <v>24502.9689974119</v>
      </c>
      <c r="O142" s="26" t="n">
        <f aca="false">MAX(B142:M142)</f>
        <v>2342.60222590793</v>
      </c>
      <c r="P142" s="15" t="n">
        <f aca="false">O142/parametros_recargas!$B$6</f>
        <v>15.6173481727196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5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1765.8875184563</v>
      </c>
      <c r="C143" s="25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1811.84403687046</v>
      </c>
      <c r="D143" s="25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1858.99655534842</v>
      </c>
      <c r="E143" s="25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1907.37619931487</v>
      </c>
      <c r="F143" s="25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1957.01490422126</v>
      </c>
      <c r="G143" s="25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2007.94543662643</v>
      </c>
      <c r="H143" s="25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2060.20141582583</v>
      </c>
      <c r="I143" s="25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2113.81733604369</v>
      </c>
      <c r="J143" s="25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2168.82858920265</v>
      </c>
      <c r="K143" s="25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2225.27148828603</v>
      </c>
      <c r="L143" s="25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2283.18329130806</v>
      </c>
      <c r="M143" s="25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2342.60222590793</v>
      </c>
      <c r="N143" s="7" t="n">
        <f aca="false">SUM(B143:M143)</f>
        <v>24502.9689974119</v>
      </c>
      <c r="O143" s="26" t="n">
        <f aca="false">MAX(B143:M143)</f>
        <v>2342.60222590793</v>
      </c>
      <c r="P143" s="15" t="n">
        <f aca="false">O143/parametros_recargas!$B$6</f>
        <v>15.6173481727196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5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885.060594947982</v>
      </c>
      <c r="C144" s="25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908.093943960452</v>
      </c>
      <c r="D144" s="25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931.726726695041</v>
      </c>
      <c r="E144" s="25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955.974543175306</v>
      </c>
      <c r="F144" s="25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980.853399409197</v>
      </c>
      <c r="G144" s="25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1006.37971795464</v>
      </c>
      <c r="H144" s="25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1032.57034876007</v>
      </c>
      <c r="I144" s="25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1059.44258028713</v>
      </c>
      <c r="J144" s="25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1087.01415092276</v>
      </c>
      <c r="K144" s="25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1115.30326068837</v>
      </c>
      <c r="L144" s="25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1144.32858325365</v>
      </c>
      <c r="M144" s="25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1174.1092782631</v>
      </c>
      <c r="N144" s="7" t="n">
        <f aca="false">SUM(B144:M144)</f>
        <v>12280.8571283177</v>
      </c>
      <c r="O144" s="26" t="n">
        <f aca="false">MAX(B144:M144)</f>
        <v>1174.1092782631</v>
      </c>
      <c r="P144" s="15" t="n">
        <f aca="false">O144/parametros_recargas!$B$6</f>
        <v>7.82739518842065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5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7652.44252654374</v>
      </c>
      <c r="C145" s="25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7851.59429142613</v>
      </c>
      <c r="D145" s="25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8055.92890156586</v>
      </c>
      <c r="E145" s="25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8265.58123844379</v>
      </c>
      <c r="F145" s="25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8480.6896937775</v>
      </c>
      <c r="G145" s="25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8701.39626087386</v>
      </c>
      <c r="H145" s="25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8927.84662835891</v>
      </c>
      <c r="I145" s="25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9160.19027634708</v>
      </c>
      <c r="J145" s="25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9398.58057511316</v>
      </c>
      <c r="K145" s="25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9643.17488633219</v>
      </c>
      <c r="L145" s="25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9894.13466695402</v>
      </c>
      <c r="M145" s="25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10151.6255757813</v>
      </c>
      <c r="N145" s="7" t="n">
        <f aca="false">SUM(B145:M145)</f>
        <v>106183.185521518</v>
      </c>
      <c r="O145" s="26" t="n">
        <f aca="false">MAX(B145:M145)</f>
        <v>10151.6255757813</v>
      </c>
      <c r="P145" s="15" t="n">
        <f aca="false">O145/parametros_recargas!$B$6</f>
        <v>67.6775038385417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5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11.2745760351901</v>
      </c>
      <c r="C146" s="25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11.5679923800918</v>
      </c>
      <c r="D146" s="25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11.8690447683521</v>
      </c>
      <c r="E146" s="25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12.1779319249543</v>
      </c>
      <c r="F146" s="25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12.4948577466197</v>
      </c>
      <c r="G146" s="25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12.8200314364008</v>
      </c>
      <c r="H146" s="25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13.1536676417758</v>
      </c>
      <c r="I146" s="25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13.4959865963383</v>
      </c>
      <c r="J146" s="25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13.8472142651731</v>
      </c>
      <c r="K146" s="25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14.2075824940161</v>
      </c>
      <c r="L146" s="25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14.5773291622964</v>
      </c>
      <c r="M146" s="25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14.9566983401599</v>
      </c>
      <c r="N146" s="7" t="n">
        <f aca="false">SUM(B146:M146)</f>
        <v>156.442912791368</v>
      </c>
      <c r="O146" s="26" t="n">
        <f aca="false">MAX(B146:M146)</f>
        <v>14.9566983401599</v>
      </c>
      <c r="P146" s="15" t="n">
        <f aca="false">O146/parametros_recargas!$B$6</f>
        <v>0.0997113222677326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5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10.5271916343233</v>
      </c>
      <c r="C147" s="25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10.8011575982569</v>
      </c>
      <c r="D147" s="25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11.0822534171414</v>
      </c>
      <c r="E147" s="25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11.3706646426086</v>
      </c>
      <c r="F147" s="25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11.6665816551973</v>
      </c>
      <c r="G147" s="25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11.9701997900239</v>
      </c>
      <c r="H147" s="25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12.2817194657234</v>
      </c>
      <c r="I147" s="25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12.6013463167458</v>
      </c>
      <c r="J147" s="25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12.9292913290957</v>
      </c>
      <c r="K147" s="25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13.2657709796042</v>
      </c>
      <c r="L147" s="25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13.6110073788258</v>
      </c>
      <c r="M147" s="25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13.9652284176533</v>
      </c>
      <c r="N147" s="7" t="n">
        <f aca="false">SUM(B147:M147)</f>
        <v>146.0724126252</v>
      </c>
      <c r="O147" s="26" t="n">
        <f aca="false">MAX(B147:M147)</f>
        <v>13.9652284176533</v>
      </c>
      <c r="P147" s="15" t="n">
        <f aca="false">O147/parametros_recargas!$B$6</f>
        <v>0.0931015227843553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5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404.880571908966</v>
      </c>
      <c r="C148" s="25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415.41742732246</v>
      </c>
      <c r="D148" s="25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426.228500195886</v>
      </c>
      <c r="E148" s="25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437.320926929278</v>
      </c>
      <c r="F148" s="25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448.702029644636</v>
      </c>
      <c r="G148" s="25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460.379321019264</v>
      </c>
      <c r="H148" s="25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472.360509244894</v>
      </c>
      <c r="I148" s="25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484.653503115879</v>
      </c>
      <c r="J148" s="25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497.266417249787</v>
      </c>
      <c r="K148" s="25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510.207577443873</v>
      </c>
      <c r="L148" s="25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523.485526170945</v>
      </c>
      <c r="M148" s="25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537.10902821826</v>
      </c>
      <c r="N148" s="7" t="n">
        <f aca="false">SUM(B148:M148)</f>
        <v>5618.01133846413</v>
      </c>
      <c r="O148" s="26" t="n">
        <f aca="false">MAX(B148:M148)</f>
        <v>537.10902821826</v>
      </c>
      <c r="P148" s="15" t="n">
        <f aca="false">O148/parametros_recargas!$B$6</f>
        <v>3.5807268547884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5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222.603410072058</v>
      </c>
      <c r="C149" s="25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228.396575042708</v>
      </c>
      <c r="D149" s="25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234.340504821348</v>
      </c>
      <c r="E149" s="25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240.439123001977</v>
      </c>
      <c r="F149" s="25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246.696455288567</v>
      </c>
      <c r="G149" s="25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253.116632152429</v>
      </c>
      <c r="H149" s="25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259.703891558742</v>
      </c>
      <c r="I149" s="25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266.462581764038</v>
      </c>
      <c r="J149" s="25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273.397164186495</v>
      </c>
      <c r="K149" s="25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280.512216350914</v>
      </c>
      <c r="L149" s="25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287.812434910358</v>
      </c>
      <c r="M149" s="25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295.302638746412</v>
      </c>
      <c r="N149" s="7" t="n">
        <f aca="false">SUM(B149:M149)</f>
        <v>3088.78362789605</v>
      </c>
      <c r="O149" s="26" t="n">
        <f aca="false">MAX(B149:M149)</f>
        <v>295.302638746412</v>
      </c>
      <c r="P149" s="15" t="n">
        <f aca="false">O149/parametros_recargas!$B$6</f>
        <v>1.96868425830941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5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7674.24429421326</v>
      </c>
      <c r="C150" s="25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7873.96344140448</v>
      </c>
      <c r="D150" s="25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8078.88019975136</v>
      </c>
      <c r="E150" s="25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8289.12983501135</v>
      </c>
      <c r="F150" s="25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8504.85113317932</v>
      </c>
      <c r="G150" s="25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8726.18649210029</v>
      </c>
      <c r="H150" s="25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8953.28201546641</v>
      </c>
      <c r="I150" s="25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9186.28760926017</v>
      </c>
      <c r="J150" s="25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9425.35708070743</v>
      </c>
      <c r="K150" s="25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9670.64823980581</v>
      </c>
      <c r="L150" s="25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9922.32300349514</v>
      </c>
      <c r="M150" s="25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10180.5475025391</v>
      </c>
      <c r="N150" s="7" t="n">
        <f aca="false">SUM(B150:M150)</f>
        <v>106485.700846934</v>
      </c>
      <c r="O150" s="26" t="n">
        <f aca="false">MAX(B150:M150)</f>
        <v>10180.5475025391</v>
      </c>
      <c r="P150" s="15" t="n">
        <f aca="false">O150/parametros_recargas!$B$6</f>
        <v>67.8703166835938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5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7674.24429421326</v>
      </c>
      <c r="C151" s="25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7873.96344140448</v>
      </c>
      <c r="D151" s="25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8078.88019975136</v>
      </c>
      <c r="E151" s="25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8289.12983501135</v>
      </c>
      <c r="F151" s="25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8504.85113317932</v>
      </c>
      <c r="G151" s="25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8726.18649210029</v>
      </c>
      <c r="H151" s="25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8953.28201546641</v>
      </c>
      <c r="I151" s="25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9186.28760926017</v>
      </c>
      <c r="J151" s="25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9425.35708070743</v>
      </c>
      <c r="K151" s="25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9670.64823980581</v>
      </c>
      <c r="L151" s="25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9922.32300349514</v>
      </c>
      <c r="M151" s="25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10180.5475025391</v>
      </c>
      <c r="N151" s="7" t="n">
        <f aca="false">SUM(B151:M151)</f>
        <v>106485.700846934</v>
      </c>
      <c r="O151" s="26" t="n">
        <f aca="false">MAX(B151:M151)</f>
        <v>10180.5475025391</v>
      </c>
      <c r="P151" s="15" t="n">
        <f aca="false">O151/parametros_recargas!$B$6</f>
        <v>67.8703166835938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5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597.750842748366</v>
      </c>
      <c r="C152" s="25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613.307070041854</v>
      </c>
      <c r="D152" s="25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629.268141946676</v>
      </c>
      <c r="E152" s="25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645.644594382386</v>
      </c>
      <c r="F152" s="25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662.44723746164</v>
      </c>
      <c r="G152" s="25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679.68716262597</v>
      </c>
      <c r="H152" s="25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697.375749967247</v>
      </c>
      <c r="I152" s="25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715.524675739693</v>
      </c>
      <c r="J152" s="25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734.145920067394</v>
      </c>
      <c r="K152" s="25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753.251774852385</v>
      </c>
      <c r="L152" s="25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772.854851888547</v>
      </c>
      <c r="M152" s="25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792.968091186672</v>
      </c>
      <c r="N152" s="7" t="n">
        <f aca="false">SUM(B152:M152)</f>
        <v>8294.22611290883</v>
      </c>
      <c r="O152" s="26" t="n">
        <f aca="false">MAX(B152:M152)</f>
        <v>792.968091186672</v>
      </c>
      <c r="P152" s="15" t="n">
        <f aca="false">O152/parametros_recargas!$B$6</f>
        <v>5.28645394124448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5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7.36742911268483</v>
      </c>
      <c r="C153" s="25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7.55916351713775</v>
      </c>
      <c r="D153" s="25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7.75588773300096</v>
      </c>
      <c r="E153" s="25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7.95773161812641</v>
      </c>
      <c r="F153" s="25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8.16482840986488</v>
      </c>
      <c r="G153" s="25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8.37731481301607</v>
      </c>
      <c r="H153" s="25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8.59533109006756</v>
      </c>
      <c r="I153" s="25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8.81902115378223</v>
      </c>
      <c r="J153" s="25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9.04853266219523</v>
      </c>
      <c r="K153" s="25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9.28401711608319</v>
      </c>
      <c r="L153" s="25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9.52562995897001</v>
      </c>
      <c r="M153" s="25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9.77353067973534</v>
      </c>
      <c r="N153" s="7" t="n">
        <f aca="false">SUM(B153:M153)</f>
        <v>102.228417864664</v>
      </c>
      <c r="O153" s="26" t="n">
        <f aca="false">MAX(B153:M153)</f>
        <v>9.77353067973534</v>
      </c>
      <c r="P153" s="15" t="n">
        <f aca="false">O153/parametros_recargas!$B$6</f>
        <v>0.0651568711982356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5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541.510244172856</v>
      </c>
      <c r="C154" s="25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555.602832317733</v>
      </c>
      <c r="D154" s="25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570.062174448814</v>
      </c>
      <c r="E154" s="25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584.897815192325</v>
      </c>
      <c r="F154" s="25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600.119547569584</v>
      </c>
      <c r="G154" s="25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615.737419461382</v>
      </c>
      <c r="H154" s="25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631.7617402406</v>
      </c>
      <c r="I154" s="25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648.203087577436</v>
      </c>
      <c r="J154" s="25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665.07231442174</v>
      </c>
      <c r="K154" s="25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682.380556167049</v>
      </c>
      <c r="L154" s="25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700.139238001079</v>
      </c>
      <c r="M154" s="25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718.3600824475</v>
      </c>
      <c r="N154" s="7" t="n">
        <f aca="false">SUM(B154:M154)</f>
        <v>7513.8470520181</v>
      </c>
      <c r="O154" s="26" t="n">
        <f aca="false">MAX(B154:M154)</f>
        <v>718.3600824475</v>
      </c>
      <c r="P154" s="15" t="n">
        <f aca="false">O154/parametros_recargas!$B$6</f>
        <v>4.78906721631667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5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8850.60594947982</v>
      </c>
      <c r="C155" s="25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9080.93943960452</v>
      </c>
      <c r="D155" s="25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9317.26726695041</v>
      </c>
      <c r="E155" s="25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9559.74543175306</v>
      </c>
      <c r="F155" s="25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9808.53399409197</v>
      </c>
      <c r="G155" s="25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10063.7971795464</v>
      </c>
      <c r="H155" s="25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10325.7034876007</v>
      </c>
      <c r="I155" s="25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10594.4258028713</v>
      </c>
      <c r="J155" s="25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10870.1415092276</v>
      </c>
      <c r="K155" s="25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11153.0326068837</v>
      </c>
      <c r="L155" s="25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11443.2858325365</v>
      </c>
      <c r="M155" s="25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11741.092782631</v>
      </c>
      <c r="N155" s="7" t="n">
        <f aca="false">SUM(B155:M155)</f>
        <v>122808.571283177</v>
      </c>
      <c r="O155" s="26" t="n">
        <f aca="false">MAX(B155:M155)</f>
        <v>11741.092782631</v>
      </c>
      <c r="P155" s="15" t="n">
        <f aca="false">O155/parametros_recargas!$B$6</f>
        <v>78.2739518842065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5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8850.60594947982</v>
      </c>
      <c r="C156" s="25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9080.93943960452</v>
      </c>
      <c r="D156" s="25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9317.26726695041</v>
      </c>
      <c r="E156" s="25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9559.74543175306</v>
      </c>
      <c r="F156" s="25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9808.53399409197</v>
      </c>
      <c r="G156" s="25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10063.7971795464</v>
      </c>
      <c r="H156" s="25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10325.7034876007</v>
      </c>
      <c r="I156" s="25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10594.4258028713</v>
      </c>
      <c r="J156" s="25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10870.1415092276</v>
      </c>
      <c r="K156" s="25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11153.0326068837</v>
      </c>
      <c r="L156" s="25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11443.2858325365</v>
      </c>
      <c r="M156" s="25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11741.092782631</v>
      </c>
      <c r="N156" s="7" t="n">
        <f aca="false">SUM(B156:M156)</f>
        <v>122808.571283177</v>
      </c>
      <c r="O156" s="26" t="n">
        <f aca="false">MAX(B156:M156)</f>
        <v>11741.092782631</v>
      </c>
      <c r="P156" s="15" t="n">
        <f aca="false">O156/parametros_recargas!$B$6</f>
        <v>78.2739518842065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5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695.681619843271</v>
      </c>
      <c r="C157" s="25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713.786456554878</v>
      </c>
      <c r="D157" s="25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732.362464421513</v>
      </c>
      <c r="E157" s="25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751.421905484579</v>
      </c>
      <c r="F157" s="25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770.977360900215</v>
      </c>
      <c r="G157" s="25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791.041739244131</v>
      </c>
      <c r="H157" s="25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811.628285032572</v>
      </c>
      <c r="I157" s="25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832.750587465035</v>
      </c>
      <c r="J157" s="25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854.422589394517</v>
      </c>
      <c r="K157" s="25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876.658596531203</v>
      </c>
      <c r="L157" s="25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899.473286885677</v>
      </c>
      <c r="M157" s="25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922.881720457899</v>
      </c>
      <c r="N157" s="7" t="n">
        <f aca="false">SUM(B157:M157)</f>
        <v>9653.08661221549</v>
      </c>
      <c r="O157" s="26" t="n">
        <f aca="false">MAX(B157:M157)</f>
        <v>922.881720457899</v>
      </c>
      <c r="P157" s="15" t="n">
        <f aca="false">O157/parametros_recargas!$B$6</f>
        <v>6.15254480305266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5" t="n">
        <f aca="false">'Plan mensual'!D157</f>
        <v>301.653497713576</v>
      </c>
      <c r="C158" s="25" t="n">
        <f aca="false">'Plan mensual'!E157</f>
        <v>309.503909689128</v>
      </c>
      <c r="D158" s="25" t="n">
        <f aca="false">'Plan mensual'!F157</f>
        <v>317.558625505521</v>
      </c>
      <c r="E158" s="25" t="n">
        <f aca="false">'Plan mensual'!G157</f>
        <v>325.822962088734</v>
      </c>
      <c r="F158" s="25" t="n">
        <f aca="false">'Plan mensual'!H157</f>
        <v>334.302374735625</v>
      </c>
      <c r="G158" s="25" t="n">
        <f aca="false">'Plan mensual'!I157</f>
        <v>343.002460714976</v>
      </c>
      <c r="H158" s="25" t="n">
        <f aca="false">'Plan mensual'!J157</f>
        <v>351.928962962258</v>
      </c>
      <c r="I158" s="25" t="n">
        <f aca="false">'Plan mensual'!K157</f>
        <v>361.087773870547</v>
      </c>
      <c r="J158" s="25" t="n">
        <f aca="false">'Plan mensual'!L157</f>
        <v>370.484939180098</v>
      </c>
      <c r="K158" s="25" t="n">
        <f aca="false">'Plan mensual'!M157</f>
        <v>380.126661969147</v>
      </c>
      <c r="L158" s="25" t="n">
        <f aca="false">'Plan mensual'!N157</f>
        <v>390.019306748564</v>
      </c>
      <c r="M158" s="25" t="n">
        <f aca="false">'Plan mensual'!O157</f>
        <v>400.16940366308</v>
      </c>
      <c r="N158" s="7" t="n">
        <f aca="false">SUM(B158:M158)</f>
        <v>4185.66087884125</v>
      </c>
      <c r="O158" s="26" t="n">
        <f aca="false">MAX(B158:M158)</f>
        <v>400.16940366308</v>
      </c>
      <c r="P158" s="15" t="n">
        <f aca="false">O158/parametros_recargas!$B$6</f>
        <v>2.66779602442054</v>
      </c>
    </row>
    <row r="161" customFormat="false" ht="23.85" hidden="false" customHeight="false" outlineLevel="0" collapsed="false">
      <c r="A161" s="3" t="s">
        <v>283</v>
      </c>
      <c r="B161" s="3" t="s">
        <v>124</v>
      </c>
      <c r="C161" s="3" t="s">
        <v>125</v>
      </c>
      <c r="D161" s="3" t="s">
        <v>126</v>
      </c>
      <c r="E161" s="3" t="s">
        <v>127</v>
      </c>
      <c r="F161" s="3" t="s">
        <v>128</v>
      </c>
      <c r="G161" s="3" t="s">
        <v>129</v>
      </c>
      <c r="H161" s="3" t="s">
        <v>130</v>
      </c>
      <c r="I161" s="3" t="s">
        <v>131</v>
      </c>
      <c r="J161" s="3" t="s">
        <v>132</v>
      </c>
      <c r="K161" s="3" t="s">
        <v>133</v>
      </c>
      <c r="L161" s="3" t="s">
        <v>134</v>
      </c>
      <c r="M161" s="3" t="s">
        <v>135</v>
      </c>
      <c r="N161" s="3" t="s">
        <v>276</v>
      </c>
      <c r="O161" s="3" t="s">
        <v>277</v>
      </c>
      <c r="P161" s="3" t="s">
        <v>278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5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12578.3866044405</v>
      </c>
      <c r="C162" s="25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12807.5930899704</v>
      </c>
      <c r="D162" s="25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13040.976233021</v>
      </c>
      <c r="E162" s="25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13278.6121416832</v>
      </c>
      <c r="F162" s="25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13520.5783109084</v>
      </c>
      <c r="G162" s="25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13766.9536477804</v>
      </c>
      <c r="H162" s="25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14017.8184972474</v>
      </c>
      <c r="I162" s="25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14273.2546683233</v>
      </c>
      <c r="J162" s="25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14533.3454607661</v>
      </c>
      <c r="K162" s="25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14798.1756922425</v>
      </c>
      <c r="L162" s="25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15067.8317259882</v>
      </c>
      <c r="M162" s="25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15342.4014989709</v>
      </c>
      <c r="N162" s="7" t="n">
        <f aca="false">SUM(B162:M162)</f>
        <v>167025.927571342</v>
      </c>
      <c r="O162" s="26" t="n">
        <f aca="false">MAX(B162:M162)</f>
        <v>15342.4014989709</v>
      </c>
      <c r="P162" s="15" t="n">
        <f aca="false">O162/parametros_recargas!$B$6</f>
        <v>102.282676659806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5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12578.3866044405</v>
      </c>
      <c r="C163" s="25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12807.5930899704</v>
      </c>
      <c r="D163" s="25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13040.976233021</v>
      </c>
      <c r="E163" s="25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13278.6121416832</v>
      </c>
      <c r="F163" s="25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13520.5783109084</v>
      </c>
      <c r="G163" s="25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13766.9536477804</v>
      </c>
      <c r="H163" s="25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14017.8184972474</v>
      </c>
      <c r="I163" s="25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14273.2546683233</v>
      </c>
      <c r="J163" s="25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14533.3454607661</v>
      </c>
      <c r="K163" s="25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14798.1756922425</v>
      </c>
      <c r="L163" s="25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15067.8317259882</v>
      </c>
      <c r="M163" s="25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15342.4014989709</v>
      </c>
      <c r="N163" s="7" t="n">
        <f aca="false">SUM(B163:M163)</f>
        <v>167025.927571342</v>
      </c>
      <c r="O163" s="26" t="n">
        <f aca="false">MAX(B163:M163)</f>
        <v>15342.4014989709</v>
      </c>
      <c r="P163" s="15" t="n">
        <f aca="false">O163/parametros_recargas!$B$6</f>
        <v>102.282676659806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5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9280.09166986739</v>
      </c>
      <c r="C164" s="25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9449.19580571062</v>
      </c>
      <c r="D164" s="25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9621.38139912738</v>
      </c>
      <c r="E164" s="25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9796.70460120312</v>
      </c>
      <c r="F164" s="25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9975.22258622227</v>
      </c>
      <c r="G164" s="25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10156.9935703133</v>
      </c>
      <c r="H164" s="25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10342.0768304335</v>
      </c>
      <c r="I164" s="25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10530.5327236994</v>
      </c>
      <c r="J164" s="25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10722.4227070702</v>
      </c>
      <c r="K164" s="25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10917.8093573888</v>
      </c>
      <c r="L164" s="25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11116.756391789</v>
      </c>
      <c r="M164" s="25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11319.3286884741</v>
      </c>
      <c r="N164" s="7" t="n">
        <f aca="false">SUM(B164:M164)</f>
        <v>123228.516331299</v>
      </c>
      <c r="O164" s="26" t="n">
        <f aca="false">MAX(B164:M164)</f>
        <v>11319.3286884741</v>
      </c>
      <c r="P164" s="15" t="n">
        <f aca="false">O164/parametros_recargas!$B$6</f>
        <v>75.4621912564938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5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1091.77549057263</v>
      </c>
      <c r="C165" s="25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1111.67009478948</v>
      </c>
      <c r="D165" s="25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1131.92722342675</v>
      </c>
      <c r="E165" s="25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1152.55348249448</v>
      </c>
      <c r="F165" s="25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1173.55559837909</v>
      </c>
      <c r="G165" s="25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1194.94042003686</v>
      </c>
      <c r="H165" s="25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1216.71492122747</v>
      </c>
      <c r="I165" s="25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1238.88620278817</v>
      </c>
      <c r="J165" s="25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1261.46149494943</v>
      </c>
      <c r="K165" s="25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1284.4481596928</v>
      </c>
      <c r="L165" s="25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1307.85369315165</v>
      </c>
      <c r="M165" s="25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1331.68572805577</v>
      </c>
      <c r="N165" s="7" t="n">
        <f aca="false">SUM(B165:M165)</f>
        <v>14497.4725095646</v>
      </c>
      <c r="O165" s="26" t="n">
        <f aca="false">MAX(B165:M165)</f>
        <v>1331.68572805577</v>
      </c>
      <c r="P165" s="15" t="n">
        <f aca="false">O165/parametros_recargas!$B$6</f>
        <v>8.87790485370515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5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15.6446551922531</v>
      </c>
      <c r="C166" s="25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15.9297359857372</v>
      </c>
      <c r="D166" s="25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16.2200115922622</v>
      </c>
      <c r="E166" s="25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16.515576673002</v>
      </c>
      <c r="F166" s="25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16.8165276140696</v>
      </c>
      <c r="G166" s="25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17.12296255795</v>
      </c>
      <c r="H166" s="25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17.4349814355048</v>
      </c>
      <c r="I166" s="25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17.7526859985607</v>
      </c>
      <c r="J166" s="25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18.0761798530913</v>
      </c>
      <c r="K166" s="25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18.4055684930041</v>
      </c>
      <c r="L166" s="25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18.7409593345428</v>
      </c>
      <c r="M166" s="25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19.0824617513164</v>
      </c>
      <c r="N166" s="7" t="n">
        <f aca="false">SUM(B166:M166)</f>
        <v>207.742306481294</v>
      </c>
      <c r="O166" s="26" t="n">
        <f aca="false">MAX(B166:M166)</f>
        <v>19.0824617513164</v>
      </c>
      <c r="P166" s="15" t="n">
        <f aca="false">O166/parametros_recargas!$B$6</f>
        <v>0.127216411675443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5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559.639801380261</v>
      </c>
      <c r="C167" s="25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569.837696871226</v>
      </c>
      <c r="D167" s="25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580.221420947271</v>
      </c>
      <c r="E167" s="25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590.794359823037</v>
      </c>
      <c r="F167" s="25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601.559961417612</v>
      </c>
      <c r="G167" s="25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612.52173647892</v>
      </c>
      <c r="H167" s="25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623.683259728607</v>
      </c>
      <c r="I167" s="25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635.048171027786</v>
      </c>
      <c r="J167" s="25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646.620176564021</v>
      </c>
      <c r="K167" s="25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658.403050059948</v>
      </c>
      <c r="L167" s="25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670.400634003913</v>
      </c>
      <c r="M167" s="25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682.616840903042</v>
      </c>
      <c r="N167" s="7" t="n">
        <f aca="false">SUM(B167:M167)</f>
        <v>7431.34710920564</v>
      </c>
      <c r="O167" s="26" t="n">
        <f aca="false">MAX(B167:M167)</f>
        <v>682.616840903042</v>
      </c>
      <c r="P167" s="15" t="n">
        <f aca="false">O167/parametros_recargas!$B$6</f>
        <v>4.55077893935362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5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257.80095327839</v>
      </c>
      <c r="C168" s="25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262.498666294012</v>
      </c>
      <c r="D168" s="25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267.281982203249</v>
      </c>
      <c r="E168" s="25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272.152460883293</v>
      </c>
      <c r="F168" s="25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277.111690635808</v>
      </c>
      <c r="G168" s="25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282.161288704885</v>
      </c>
      <c r="H168" s="25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287.302901804439</v>
      </c>
      <c r="I168" s="25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292.538206655214</v>
      </c>
      <c r="J168" s="25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297.868910531576</v>
      </c>
      <c r="K168" s="25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303.296751818269</v>
      </c>
      <c r="L168" s="25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308.823500577316</v>
      </c>
      <c r="M168" s="25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314.45095912525</v>
      </c>
      <c r="N168" s="7" t="n">
        <f aca="false">SUM(B168:M168)</f>
        <v>3423.2882725117</v>
      </c>
      <c r="O168" s="26" t="n">
        <f aca="false">MAX(B168:M168)</f>
        <v>314.45095912525</v>
      </c>
      <c r="P168" s="15" t="n">
        <f aca="false">O168/parametros_recargas!$B$6</f>
        <v>2.09633972750167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5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10.108509877192</v>
      </c>
      <c r="C169" s="25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10.2927096554114</v>
      </c>
      <c r="D169" s="25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10.4802659677499</v>
      </c>
      <c r="E169" s="25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10.6712399778061</v>
      </c>
      <c r="F169" s="25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10.8656939637168</v>
      </c>
      <c r="G169" s="25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11.0636913384666</v>
      </c>
      <c r="H169" s="25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11.2652966705672</v>
      </c>
      <c r="I169" s="25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11.4705757051137</v>
      </c>
      <c r="J169" s="25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11.6795953852248</v>
      </c>
      <c r="K169" s="25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11.8924238738733</v>
      </c>
      <c r="L169" s="25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12.1091305761145</v>
      </c>
      <c r="M169" s="25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12.3297861617199</v>
      </c>
      <c r="N169" s="7" t="n">
        <f aca="false">SUM(B169:M169)</f>
        <v>134.228919152956</v>
      </c>
      <c r="O169" s="26" t="n">
        <f aca="false">MAX(B169:M169)</f>
        <v>12.3297861617199</v>
      </c>
      <c r="P169" s="15" t="n">
        <f aca="false">O169/parametros_recargas!$B$6</f>
        <v>0.0821985744114659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5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10947.1089504379</v>
      </c>
      <c r="C170" s="25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11146.5898893015</v>
      </c>
      <c r="D170" s="25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11349.7058193897</v>
      </c>
      <c r="E170" s="25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11556.5229784157</v>
      </c>
      <c r="F170" s="25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11767.1088110927</v>
      </c>
      <c r="G170" s="25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11981.5319911281</v>
      </c>
      <c r="H170" s="25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12199.8624436188</v>
      </c>
      <c r="I170" s="25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12422.1713678542</v>
      </c>
      <c r="J170" s="25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12648.5312605348</v>
      </c>
      <c r="K170" s="25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12879.015939414</v>
      </c>
      <c r="L170" s="25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13113.7005673706</v>
      </c>
      <c r="M170" s="25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13352.66167692</v>
      </c>
      <c r="N170" s="7" t="n">
        <f aca="false">SUM(B170:M170)</f>
        <v>145364.511695478</v>
      </c>
      <c r="O170" s="26" t="n">
        <f aca="false">MAX(B170:M170)</f>
        <v>13352.66167692</v>
      </c>
      <c r="P170" s="15" t="n">
        <f aca="false">O170/parametros_recargas!$B$6</f>
        <v>89.0177445128001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5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827.549264535844</v>
      </c>
      <c r="C171" s="25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842.62907282065</v>
      </c>
      <c r="D171" s="25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857.983669118269</v>
      </c>
      <c r="E171" s="25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873.618060684136</v>
      </c>
      <c r="F171" s="25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889.537346017136</v>
      </c>
      <c r="G171" s="25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905.746716522272</v>
      </c>
      <c r="H171" s="25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922.251458203614</v>
      </c>
      <c r="I171" s="25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939.056953388114</v>
      </c>
      <c r="J171" s="25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956.168682480821</v>
      </c>
      <c r="K171" s="25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973.59222575209</v>
      </c>
      <c r="L171" s="25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991.333265157344</v>
      </c>
      <c r="M171" s="25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1009.39758619001</v>
      </c>
      <c r="N171" s="7" t="n">
        <f aca="false">SUM(B171:M171)</f>
        <v>10988.8643008703</v>
      </c>
      <c r="O171" s="26" t="n">
        <f aca="false">MAX(B171:M171)</f>
        <v>1009.39758619001</v>
      </c>
      <c r="P171" s="15" t="n">
        <f aca="false">O171/parametros_recargas!$B$6</f>
        <v>6.72931724126675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5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10.9333995609186</v>
      </c>
      <c r="C172" s="25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11.1326306838806</v>
      </c>
      <c r="D172" s="25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11.3354922458598</v>
      </c>
      <c r="E172" s="25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11.5420504016178</v>
      </c>
      <c r="F172" s="25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11.752372511405</v>
      </c>
      <c r="G172" s="25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11.9665271629266</v>
      </c>
      <c r="H172" s="25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12.1845841937102</v>
      </c>
      <c r="I172" s="25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12.4066147138802</v>
      </c>
      <c r="J172" s="25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12.6326911293474</v>
      </c>
      <c r="K172" s="25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12.862887165421</v>
      </c>
      <c r="L172" s="25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13.097277890851</v>
      </c>
      <c r="M172" s="25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13.335939742309</v>
      </c>
      <c r="N172" s="7" t="n">
        <f aca="false">SUM(B172:M172)</f>
        <v>145.182467402127</v>
      </c>
      <c r="O172" s="26" t="n">
        <f aca="false">MAX(B172:M172)</f>
        <v>13.335939742309</v>
      </c>
      <c r="P172" s="15" t="n">
        <f aca="false">O172/parametros_recargas!$B$6</f>
        <v>0.0889062649487269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5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2683.56926130218</v>
      </c>
      <c r="C173" s="25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2732.46992705545</v>
      </c>
      <c r="D173" s="25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2782.26167288838</v>
      </c>
      <c r="E173" s="25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2832.96073628354</v>
      </c>
      <c r="F173" s="25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2884.58365060696</v>
      </c>
      <c r="G173" s="25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2937.14725049975</v>
      </c>
      <c r="H173" s="25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2990.66867736807</v>
      </c>
      <c r="I173" s="25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3045.165384973</v>
      </c>
      <c r="J173" s="25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3100.65514512242</v>
      </c>
      <c r="K173" s="25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3157.15605346649</v>
      </c>
      <c r="L173" s="25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3214.68653539882</v>
      </c>
      <c r="M173" s="25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3273.2653520651</v>
      </c>
      <c r="N173" s="7" t="n">
        <f aca="false">SUM(B173:M173)</f>
        <v>35634.5896470302</v>
      </c>
      <c r="O173" s="26" t="n">
        <f aca="false">MAX(B173:M173)</f>
        <v>3273.2653520651</v>
      </c>
      <c r="P173" s="15" t="n">
        <f aca="false">O173/parametros_recargas!$B$6</f>
        <v>21.8217690137673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5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2513.22045011643</v>
      </c>
      <c r="C174" s="25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2559.01697751286</v>
      </c>
      <c r="D174" s="25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2605.64802060865</v>
      </c>
      <c r="E174" s="25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2653.12878615618</v>
      </c>
      <c r="F174" s="25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2701.47475800908</v>
      </c>
      <c r="G174" s="25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2750.70170217157</v>
      </c>
      <c r="H174" s="25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2800.82567193995</v>
      </c>
      <c r="I174" s="25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2851.86301313765</v>
      </c>
      <c r="J174" s="25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2903.83036944576</v>
      </c>
      <c r="K174" s="25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2956.74468783066</v>
      </c>
      <c r="L174" s="25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3010.62322407057</v>
      </c>
      <c r="M174" s="25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3065.48354838278</v>
      </c>
      <c r="N174" s="7" t="n">
        <f aca="false">SUM(B174:M174)</f>
        <v>33372.5612093821</v>
      </c>
      <c r="O174" s="26" t="n">
        <f aca="false">MAX(B174:M174)</f>
        <v>3065.48354838278</v>
      </c>
      <c r="P174" s="15" t="n">
        <f aca="false">O174/parametros_recargas!$B$6</f>
        <v>20.4365569892185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5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2513.22045011643</v>
      </c>
      <c r="C175" s="25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2559.01697751286</v>
      </c>
      <c r="D175" s="25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2605.64802060865</v>
      </c>
      <c r="E175" s="25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2653.12878615618</v>
      </c>
      <c r="F175" s="25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2701.47475800908</v>
      </c>
      <c r="G175" s="25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2750.70170217157</v>
      </c>
      <c r="H175" s="25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2800.82567193995</v>
      </c>
      <c r="I175" s="25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2851.86301313765</v>
      </c>
      <c r="J175" s="25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2903.83036944576</v>
      </c>
      <c r="K175" s="25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2956.74468783066</v>
      </c>
      <c r="L175" s="25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3010.62322407057</v>
      </c>
      <c r="M175" s="25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3065.48354838278</v>
      </c>
      <c r="N175" s="7" t="n">
        <f aca="false">SUM(B175:M175)</f>
        <v>33372.5612093821</v>
      </c>
      <c r="O175" s="26" t="n">
        <f aca="false">MAX(B175:M175)</f>
        <v>3065.48354838278</v>
      </c>
      <c r="P175" s="15" t="n">
        <f aca="false">O175/parametros_recargas!$B$6</f>
        <v>20.4365569892185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5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1257.83866044405</v>
      </c>
      <c r="C176" s="25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1280.75930899704</v>
      </c>
      <c r="D176" s="25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1304.0976233021</v>
      </c>
      <c r="E176" s="25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1327.86121416832</v>
      </c>
      <c r="F176" s="25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1352.05783109084</v>
      </c>
      <c r="G176" s="25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1376.69536477804</v>
      </c>
      <c r="H176" s="25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1401.78184972474</v>
      </c>
      <c r="I176" s="25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1427.32546683233</v>
      </c>
      <c r="J176" s="25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1453.33454607661</v>
      </c>
      <c r="K176" s="25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1479.81756922425</v>
      </c>
      <c r="L176" s="25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1506.78317259882</v>
      </c>
      <c r="M176" s="25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1534.24014989709</v>
      </c>
      <c r="N176" s="7" t="n">
        <f aca="false">SUM(B176:M176)</f>
        <v>16702.5927571342</v>
      </c>
      <c r="O176" s="26" t="n">
        <f aca="false">MAX(B176:M176)</f>
        <v>1534.24014989709</v>
      </c>
      <c r="P176" s="15" t="n">
        <f aca="false">O176/parametros_recargas!$B$6</f>
        <v>10.2282676659806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5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10917.7549057263</v>
      </c>
      <c r="C177" s="25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11116.7009478948</v>
      </c>
      <c r="D177" s="25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11319.2722342675</v>
      </c>
      <c r="E177" s="25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11525.5348249448</v>
      </c>
      <c r="F177" s="25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11735.5559837909</v>
      </c>
      <c r="G177" s="25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11949.4042003686</v>
      </c>
      <c r="H177" s="25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12167.1492122747</v>
      </c>
      <c r="I177" s="25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12388.8620278817</v>
      </c>
      <c r="J177" s="25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12614.6149494943</v>
      </c>
      <c r="K177" s="25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12844.481596928</v>
      </c>
      <c r="L177" s="25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13078.5369315165</v>
      </c>
      <c r="M177" s="25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13316.8572805577</v>
      </c>
      <c r="N177" s="7" t="n">
        <f aca="false">SUM(B177:M177)</f>
        <v>144974.725095646</v>
      </c>
      <c r="O177" s="26" t="n">
        <f aca="false">MAX(B177:M177)</f>
        <v>13316.8572805577</v>
      </c>
      <c r="P177" s="15" t="n">
        <f aca="false">O177/parametros_recargas!$B$6</f>
        <v>88.7790485370515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5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15.6446551922531</v>
      </c>
      <c r="C178" s="25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15.9297359857372</v>
      </c>
      <c r="D178" s="25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16.2200115922622</v>
      </c>
      <c r="E178" s="25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16.515576673002</v>
      </c>
      <c r="F178" s="25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16.8165276140696</v>
      </c>
      <c r="G178" s="25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17.12296255795</v>
      </c>
      <c r="H178" s="25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17.4349814355048</v>
      </c>
      <c r="I178" s="25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17.7526859985607</v>
      </c>
      <c r="J178" s="25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18.0761798530913</v>
      </c>
      <c r="K178" s="25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18.4055684930041</v>
      </c>
      <c r="L178" s="25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18.7409593345428</v>
      </c>
      <c r="M178" s="25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19.0824617513164</v>
      </c>
      <c r="N178" s="7" t="n">
        <f aca="false">SUM(B178:M178)</f>
        <v>207.742306481294</v>
      </c>
      <c r="O178" s="26" t="n">
        <f aca="false">MAX(B178:M178)</f>
        <v>19.0824617513164</v>
      </c>
      <c r="P178" s="15" t="n">
        <f aca="false">O178/parametros_recargas!$B$6</f>
        <v>0.127216411675443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5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13.7093895193129</v>
      </c>
      <c r="C179" s="25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13.9592054209305</v>
      </c>
      <c r="D179" s="25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14.2135735299686</v>
      </c>
      <c r="E179" s="25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14.4725767978818</v>
      </c>
      <c r="F179" s="25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14.7362996876865</v>
      </c>
      <c r="G179" s="25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15.0048282015055</v>
      </c>
      <c r="H179" s="25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15.2782499086132</v>
      </c>
      <c r="I179" s="25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15.5566539739935</v>
      </c>
      <c r="J179" s="25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15.8401311874165</v>
      </c>
      <c r="K179" s="25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16.1287739930462</v>
      </c>
      <c r="L179" s="25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16.4226765195871</v>
      </c>
      <c r="M179" s="25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16.7219346109802</v>
      </c>
      <c r="N179" s="7" t="n">
        <f aca="false">SUM(B179:M179)</f>
        <v>182.044293350923</v>
      </c>
      <c r="O179" s="26" t="n">
        <f aca="false">MAX(B179:M179)</f>
        <v>16.7219346109802</v>
      </c>
      <c r="P179" s="15" t="n">
        <f aca="false">O179/parametros_recargas!$B$6</f>
        <v>0.111479564073201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5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559.639801380261</v>
      </c>
      <c r="C180" s="25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569.837696871226</v>
      </c>
      <c r="D180" s="25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580.221420947271</v>
      </c>
      <c r="E180" s="25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590.794359823037</v>
      </c>
      <c r="F180" s="25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601.559961417612</v>
      </c>
      <c r="G180" s="25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612.52173647892</v>
      </c>
      <c r="H180" s="25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623.683259728607</v>
      </c>
      <c r="I180" s="25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635.048171027786</v>
      </c>
      <c r="J180" s="25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646.620176564021</v>
      </c>
      <c r="K180" s="25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658.403050059948</v>
      </c>
      <c r="L180" s="25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670.400634003913</v>
      </c>
      <c r="M180" s="25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682.616840903042</v>
      </c>
      <c r="N180" s="7" t="n">
        <f aca="false">SUM(B180:M180)</f>
        <v>7431.34710920564</v>
      </c>
      <c r="O180" s="26" t="n">
        <f aca="false">MAX(B180:M180)</f>
        <v>682.616840903042</v>
      </c>
      <c r="P180" s="15" t="n">
        <f aca="false">O180/parametros_recargas!$B$6</f>
        <v>4.55077893935362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5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309.361143934069</v>
      </c>
      <c r="C181" s="25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314.998399552815</v>
      </c>
      <c r="D181" s="25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320.738378643898</v>
      </c>
      <c r="E181" s="25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326.582953059951</v>
      </c>
      <c r="F181" s="25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332.53402876297</v>
      </c>
      <c r="G181" s="25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338.593546445862</v>
      </c>
      <c r="H181" s="25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344.763482165327</v>
      </c>
      <c r="I181" s="25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351.045847986256</v>
      </c>
      <c r="J181" s="25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357.442692637891</v>
      </c>
      <c r="K181" s="25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363.956102181923</v>
      </c>
      <c r="L181" s="25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370.588200692779</v>
      </c>
      <c r="M181" s="25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377.3411509503</v>
      </c>
      <c r="N181" s="7" t="n">
        <f aca="false">SUM(B181:M181)</f>
        <v>4107.94592701404</v>
      </c>
      <c r="O181" s="26" t="n">
        <f aca="false">MAX(B181:M181)</f>
        <v>377.3411509503</v>
      </c>
      <c r="P181" s="15" t="n">
        <f aca="false">O181/parametros_recargas!$B$6</f>
        <v>2.515607673002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5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10947.1089504379</v>
      </c>
      <c r="C182" s="25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11146.5898893015</v>
      </c>
      <c r="D182" s="25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11349.7058193897</v>
      </c>
      <c r="E182" s="25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11556.5229784157</v>
      </c>
      <c r="F182" s="25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11767.1088110927</v>
      </c>
      <c r="G182" s="25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11981.5319911281</v>
      </c>
      <c r="H182" s="25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12199.8624436188</v>
      </c>
      <c r="I182" s="25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12422.1713678542</v>
      </c>
      <c r="J182" s="25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12648.5312605348</v>
      </c>
      <c r="K182" s="25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12879.015939414</v>
      </c>
      <c r="L182" s="25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13113.7005673706</v>
      </c>
      <c r="M182" s="25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13352.66167692</v>
      </c>
      <c r="N182" s="7" t="n">
        <f aca="false">SUM(B182:M182)</f>
        <v>145364.511695478</v>
      </c>
      <c r="O182" s="26" t="n">
        <f aca="false">MAX(B182:M182)</f>
        <v>13352.66167692</v>
      </c>
      <c r="P182" s="15" t="n">
        <f aca="false">O182/parametros_recargas!$B$6</f>
        <v>89.0177445128001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5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10947.1089504379</v>
      </c>
      <c r="C183" s="25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11146.5898893015</v>
      </c>
      <c r="D183" s="25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11349.7058193897</v>
      </c>
      <c r="E183" s="25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11556.5229784157</v>
      </c>
      <c r="F183" s="25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11767.1088110927</v>
      </c>
      <c r="G183" s="25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11981.5319911281</v>
      </c>
      <c r="H183" s="25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12199.8624436188</v>
      </c>
      <c r="I183" s="25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12422.1713678542</v>
      </c>
      <c r="J183" s="25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12648.5312605348</v>
      </c>
      <c r="K183" s="25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12879.015939414</v>
      </c>
      <c r="L183" s="25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13113.7005673706</v>
      </c>
      <c r="M183" s="25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13352.66167692</v>
      </c>
      <c r="N183" s="7" t="n">
        <f aca="false">SUM(B183:M183)</f>
        <v>145364.511695478</v>
      </c>
      <c r="O183" s="26" t="n">
        <f aca="false">MAX(B183:M183)</f>
        <v>13352.66167692</v>
      </c>
      <c r="P183" s="15" t="n">
        <f aca="false">O183/parametros_recargas!$B$6</f>
        <v>89.0177445128001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5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827.549264535844</v>
      </c>
      <c r="C184" s="25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842.62907282065</v>
      </c>
      <c r="D184" s="25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857.983669118269</v>
      </c>
      <c r="E184" s="25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873.618060684136</v>
      </c>
      <c r="F184" s="25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889.537346017136</v>
      </c>
      <c r="G184" s="25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905.746716522272</v>
      </c>
      <c r="H184" s="25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922.251458203614</v>
      </c>
      <c r="I184" s="25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939.056953388114</v>
      </c>
      <c r="J184" s="25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956.168682480821</v>
      </c>
      <c r="K184" s="25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973.59222575209</v>
      </c>
      <c r="L184" s="25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991.333265157344</v>
      </c>
      <c r="M184" s="25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1009.39758619001</v>
      </c>
      <c r="N184" s="7" t="n">
        <f aca="false">SUM(B184:M184)</f>
        <v>10988.8643008703</v>
      </c>
      <c r="O184" s="26" t="n">
        <f aca="false">MAX(B184:M184)</f>
        <v>1009.39758619001</v>
      </c>
      <c r="P184" s="15" t="n">
        <f aca="false">O184/parametros_recargas!$B$6</f>
        <v>6.72931724126675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5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10.108509877192</v>
      </c>
      <c r="C185" s="25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10.2927096554114</v>
      </c>
      <c r="D185" s="25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10.4802659677499</v>
      </c>
      <c r="E185" s="25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10.6712399778061</v>
      </c>
      <c r="F185" s="25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10.8656939637168</v>
      </c>
      <c r="G185" s="25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11.0636913384666</v>
      </c>
      <c r="H185" s="25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11.2652966705672</v>
      </c>
      <c r="I185" s="25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11.4705757051137</v>
      </c>
      <c r="J185" s="25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11.6795953852248</v>
      </c>
      <c r="K185" s="25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11.8924238738733</v>
      </c>
      <c r="L185" s="25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12.1091305761145</v>
      </c>
      <c r="M185" s="25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12.3297861617199</v>
      </c>
      <c r="N185" s="7" t="n">
        <f aca="false">SUM(B185:M185)</f>
        <v>134.228919152956</v>
      </c>
      <c r="O185" s="26" t="n">
        <f aca="false">MAX(B185:M185)</f>
        <v>12.3297861617199</v>
      </c>
      <c r="P185" s="15" t="n">
        <f aca="false">O185/parametros_recargas!$B$6</f>
        <v>0.0821985744114659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5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752.168198811069</v>
      </c>
      <c r="C186" s="25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765.874394589469</v>
      </c>
      <c r="D186" s="25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779.830348072346</v>
      </c>
      <c r="E186" s="25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794.040610406638</v>
      </c>
      <c r="F186" s="25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808.509815671413</v>
      </c>
      <c r="G186" s="25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823.242682389079</v>
      </c>
      <c r="H186" s="25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838.244015064131</v>
      </c>
      <c r="I186" s="25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853.518705749939</v>
      </c>
      <c r="J186" s="25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869.071735644086</v>
      </c>
      <c r="K186" s="25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884.908176712773</v>
      </c>
      <c r="L186" s="25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901.033193344829</v>
      </c>
      <c r="M186" s="25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917.45204403586</v>
      </c>
      <c r="N186" s="7" t="n">
        <f aca="false">SUM(B186:M186)</f>
        <v>9987.89392049163</v>
      </c>
      <c r="O186" s="26" t="n">
        <f aca="false">MAX(B186:M186)</f>
        <v>917.45204403586</v>
      </c>
      <c r="P186" s="15" t="n">
        <f aca="false">O186/parametros_recargas!$B$6</f>
        <v>6.11634696023907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5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12578.3866044405</v>
      </c>
      <c r="C187" s="25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12807.5930899704</v>
      </c>
      <c r="D187" s="25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13040.976233021</v>
      </c>
      <c r="E187" s="25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13278.6121416832</v>
      </c>
      <c r="F187" s="25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13520.5783109084</v>
      </c>
      <c r="G187" s="25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13766.9536477804</v>
      </c>
      <c r="H187" s="25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14017.8184972474</v>
      </c>
      <c r="I187" s="25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14273.2546683233</v>
      </c>
      <c r="J187" s="25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14533.3454607661</v>
      </c>
      <c r="K187" s="25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14798.1756922425</v>
      </c>
      <c r="L187" s="25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15067.8317259882</v>
      </c>
      <c r="M187" s="25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15342.4014989709</v>
      </c>
      <c r="N187" s="7" t="n">
        <f aca="false">SUM(B187:M187)</f>
        <v>167025.927571342</v>
      </c>
      <c r="O187" s="26" t="n">
        <f aca="false">MAX(B187:M187)</f>
        <v>15342.4014989709</v>
      </c>
      <c r="P187" s="15" t="n">
        <f aca="false">O187/parametros_recargas!$B$6</f>
        <v>102.282676659806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5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12578.3866044405</v>
      </c>
      <c r="C188" s="25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12807.5930899704</v>
      </c>
      <c r="D188" s="25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13040.976233021</v>
      </c>
      <c r="E188" s="25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13278.6121416832</v>
      </c>
      <c r="F188" s="25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13520.5783109084</v>
      </c>
      <c r="G188" s="25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13766.9536477804</v>
      </c>
      <c r="H188" s="25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14017.8184972474</v>
      </c>
      <c r="I188" s="25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14273.2546683233</v>
      </c>
      <c r="J188" s="25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14533.3454607661</v>
      </c>
      <c r="K188" s="25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14798.1756922425</v>
      </c>
      <c r="L188" s="25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15067.8317259882</v>
      </c>
      <c r="M188" s="25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15342.4014989709</v>
      </c>
      <c r="N188" s="7" t="n">
        <f aca="false">SUM(B188:M188)</f>
        <v>167025.927571342</v>
      </c>
      <c r="O188" s="26" t="n">
        <f aca="false">MAX(B188:M188)</f>
        <v>15342.4014989709</v>
      </c>
      <c r="P188" s="15" t="n">
        <f aca="false">O188/parametros_recargas!$B$6</f>
        <v>102.282676659806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5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989.084198136681</v>
      </c>
      <c r="C189" s="25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1007.10753611137</v>
      </c>
      <c r="D189" s="25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1025.45929982813</v>
      </c>
      <c r="E189" s="25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1044.14547394243</v>
      </c>
      <c r="F189" s="25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1063.17215216362</v>
      </c>
      <c r="G189" s="25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1082.54553924211</v>
      </c>
      <c r="H189" s="25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1102.27195299283</v>
      </c>
      <c r="I189" s="25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1122.35782635552</v>
      </c>
      <c r="J189" s="25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1142.80970949251</v>
      </c>
      <c r="K189" s="25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1163.63427192485</v>
      </c>
      <c r="L189" s="25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1184.83830470724</v>
      </c>
      <c r="M189" s="25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1206.42872264266</v>
      </c>
      <c r="N189" s="7" t="n">
        <f aca="false">SUM(B189:M189)</f>
        <v>13133.8549875399</v>
      </c>
      <c r="O189" s="26" t="n">
        <f aca="false">MAX(B189:M189)</f>
        <v>1206.42872264266</v>
      </c>
      <c r="P189" s="15" t="n">
        <f aca="false">O189/parametros_recargas!$B$6</f>
        <v>8.04285815095106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5" t="n">
        <f aca="false">'Plan mensual'!D189</f>
        <v>418.674200754501</v>
      </c>
      <c r="C190" s="25" t="n">
        <f aca="false">'Plan mensual'!E189</f>
        <v>426.303386051057</v>
      </c>
      <c r="D190" s="25" t="n">
        <f aca="false">'Plan mensual'!F189</f>
        <v>434.07159225739</v>
      </c>
      <c r="E190" s="25" t="n">
        <f aca="false">'Plan mensual'!G189</f>
        <v>441.981352647055</v>
      </c>
      <c r="F190" s="25" t="n">
        <f aca="false">'Plan mensual'!H189</f>
        <v>450.035246655547</v>
      </c>
      <c r="G190" s="25" t="n">
        <f aca="false">'Plan mensual'!I189</f>
        <v>458.235900721474</v>
      </c>
      <c r="H190" s="25" t="n">
        <f aca="false">'Plan mensual'!J189</f>
        <v>466.585989143063</v>
      </c>
      <c r="I190" s="25" t="n">
        <f aca="false">'Plan mensual'!K189</f>
        <v>475.088234950266</v>
      </c>
      <c r="J190" s="25" t="n">
        <f aca="false">'Plan mensual'!L189</f>
        <v>483.745410792765</v>
      </c>
      <c r="K190" s="25" t="n">
        <f aca="false">'Plan mensual'!M189</f>
        <v>492.560339844151</v>
      </c>
      <c r="L190" s="25" t="n">
        <f aca="false">'Plan mensual'!N189</f>
        <v>501.535896722586</v>
      </c>
      <c r="M190" s="25" t="n">
        <f aca="false">'Plan mensual'!O189</f>
        <v>510.67500842824</v>
      </c>
      <c r="N190" s="7" t="n">
        <f aca="false">SUM(B190:M190)</f>
        <v>5559.49255896809</v>
      </c>
      <c r="O190" s="26" t="n">
        <f aca="false">MAX(B190:M190)</f>
        <v>510.67500842824</v>
      </c>
      <c r="P190" s="15" t="n">
        <f aca="false">O190/parametros_recargas!$B$6</f>
        <v>3.40450005618827</v>
      </c>
    </row>
    <row r="193" customFormat="false" ht="23.85" hidden="false" customHeight="false" outlineLevel="0" collapsed="false">
      <c r="A193" s="3" t="s">
        <v>284</v>
      </c>
      <c r="B193" s="3" t="s">
        <v>124</v>
      </c>
      <c r="C193" s="3" t="s">
        <v>125</v>
      </c>
      <c r="D193" s="3" t="s">
        <v>126</v>
      </c>
      <c r="E193" s="3" t="s">
        <v>127</v>
      </c>
      <c r="F193" s="3" t="s">
        <v>128</v>
      </c>
      <c r="G193" s="3" t="s">
        <v>129</v>
      </c>
      <c r="H193" s="3" t="s">
        <v>130</v>
      </c>
      <c r="I193" s="3" t="s">
        <v>131</v>
      </c>
      <c r="J193" s="3" t="s">
        <v>132</v>
      </c>
      <c r="K193" s="3" t="s">
        <v>133</v>
      </c>
      <c r="L193" s="3" t="s">
        <v>134</v>
      </c>
      <c r="M193" s="3" t="s">
        <v>135</v>
      </c>
      <c r="N193" s="3" t="s">
        <v>276</v>
      </c>
      <c r="O193" s="3" t="s">
        <v>277</v>
      </c>
      <c r="P193" s="3" t="s">
        <v>278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5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16284.7627007605</v>
      </c>
      <c r="C194" s="25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16459.7526727756</v>
      </c>
      <c r="D194" s="25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16636.623021611</v>
      </c>
      <c r="E194" s="25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16815.3939530929</v>
      </c>
      <c r="F194" s="25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16996.0858901721</v>
      </c>
      <c r="G194" s="25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17178.7194752564</v>
      </c>
      <c r="H194" s="25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17363.3155725696</v>
      </c>
      <c r="I194" s="25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17549.8952705342</v>
      </c>
      <c r="J194" s="25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17738.4798841814</v>
      </c>
      <c r="K194" s="25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17929.0909575855</v>
      </c>
      <c r="L194" s="25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18121.7502663255</v>
      </c>
      <c r="M194" s="25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18316.4798199727</v>
      </c>
      <c r="N194" s="7" t="n">
        <f aca="false">SUM(B194:M194)</f>
        <v>207390.349484838</v>
      </c>
      <c r="O194" s="26" t="n">
        <f aca="false">MAX(B194:M194)</f>
        <v>18316.4798199727</v>
      </c>
      <c r="P194" s="15" t="n">
        <f aca="false">O194/parametros_recargas!$B$6</f>
        <v>122.109865466485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5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16284.7627007605</v>
      </c>
      <c r="C195" s="25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16459.7526727756</v>
      </c>
      <c r="D195" s="25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16636.623021611</v>
      </c>
      <c r="E195" s="25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16815.3939530929</v>
      </c>
      <c r="F195" s="25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16996.0858901721</v>
      </c>
      <c r="G195" s="25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17178.7194752564</v>
      </c>
      <c r="H195" s="25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17363.3155725696</v>
      </c>
      <c r="I195" s="25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17549.8952705342</v>
      </c>
      <c r="J195" s="25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17738.4798841814</v>
      </c>
      <c r="K195" s="25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17929.0909575855</v>
      </c>
      <c r="L195" s="25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18121.7502663255</v>
      </c>
      <c r="M195" s="25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18316.4798199727</v>
      </c>
      <c r="N195" s="7" t="n">
        <f aca="false">SUM(B195:M195)</f>
        <v>207390.349484838</v>
      </c>
      <c r="O195" s="26" t="n">
        <f aca="false">MAX(B195:M195)</f>
        <v>18316.4798199727</v>
      </c>
      <c r="P195" s="15" t="n">
        <f aca="false">O195/parametros_recargas!$B$6</f>
        <v>122.109865466485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5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12033.932204262</v>
      </c>
      <c r="C196" s="25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12163.2443409109</v>
      </c>
      <c r="D196" s="25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12293.9460174376</v>
      </c>
      <c r="E196" s="25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12426.0521653182</v>
      </c>
      <c r="F196" s="25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12559.5778764768</v>
      </c>
      <c r="G196" s="25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12694.5384050096</v>
      </c>
      <c r="H196" s="25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12830.9491689278</v>
      </c>
      <c r="I196" s="25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12968.8257519187</v>
      </c>
      <c r="J196" s="25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13108.183905126</v>
      </c>
      <c r="K196" s="25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13249.0395489494</v>
      </c>
      <c r="L196" s="25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13391.4087748632</v>
      </c>
      <c r="M196" s="25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13535.3078472548</v>
      </c>
      <c r="N196" s="7" t="n">
        <f aca="false">SUM(B196:M196)</f>
        <v>153255.006006455</v>
      </c>
      <c r="O196" s="26" t="n">
        <f aca="false">MAX(B196:M196)</f>
        <v>13535.3078472548</v>
      </c>
      <c r="P196" s="15" t="n">
        <f aca="false">O196/parametros_recargas!$B$6</f>
        <v>90.2353856483651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5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1415.75672991318</v>
      </c>
      <c r="C197" s="25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1430.96992246011</v>
      </c>
      <c r="D197" s="25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1446.34659028678</v>
      </c>
      <c r="E197" s="25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1461.88849003744</v>
      </c>
      <c r="F197" s="25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1477.59739723256</v>
      </c>
      <c r="G197" s="25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1493.47510647172</v>
      </c>
      <c r="H197" s="25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1509.52343163857</v>
      </c>
      <c r="I197" s="25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1525.74420610808</v>
      </c>
      <c r="J197" s="25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1542.139282956</v>
      </c>
      <c r="K197" s="25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1558.71053517051</v>
      </c>
      <c r="L197" s="25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1575.45985586626</v>
      </c>
      <c r="M197" s="25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1592.38915850056</v>
      </c>
      <c r="N197" s="7" t="n">
        <f aca="false">SUM(B197:M197)</f>
        <v>18030.0007066418</v>
      </c>
      <c r="O197" s="26" t="n">
        <f aca="false">MAX(B197:M197)</f>
        <v>1592.38915850056</v>
      </c>
      <c r="P197" s="15" t="n">
        <f aca="false">O197/parametros_recargas!$B$6</f>
        <v>10.6159277233371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5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20.6144391169801</v>
      </c>
      <c r="C198" s="25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20.8359541731387</v>
      </c>
      <c r="D198" s="25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21.0598495472786</v>
      </c>
      <c r="E198" s="25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21.2861508174069</v>
      </c>
      <c r="F198" s="25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21.5148838363826</v>
      </c>
      <c r="G198" s="25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21.7460747348696</v>
      </c>
      <c r="H198" s="25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21.9797499243224</v>
      </c>
      <c r="I198" s="25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22.2159361000028</v>
      </c>
      <c r="J198" s="25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22.4546602440303</v>
      </c>
      <c r="K198" s="25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22.6959496284637</v>
      </c>
      <c r="L198" s="25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22.9398318184176</v>
      </c>
      <c r="M198" s="25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23.1863346752108</v>
      </c>
      <c r="N198" s="7" t="n">
        <f aca="false">SUM(B198:M198)</f>
        <v>262.529814616504</v>
      </c>
      <c r="O198" s="26" t="n">
        <f aca="false">MAX(B198:M198)</f>
        <v>23.1863346752108</v>
      </c>
      <c r="P198" s="15" t="n">
        <f aca="false">O198/parametros_recargas!$B$6</f>
        <v>0.154575564501405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5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716.409113646079</v>
      </c>
      <c r="C199" s="25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724.107378155788</v>
      </c>
      <c r="D199" s="25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731.888365337965</v>
      </c>
      <c r="E199" s="25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739.752964099524</v>
      </c>
      <c r="F199" s="25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747.702072899238</v>
      </c>
      <c r="G199" s="25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755.736599850384</v>
      </c>
      <c r="H199" s="25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763.857462824484</v>
      </c>
      <c r="I199" s="25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772.065589556165</v>
      </c>
      <c r="J199" s="25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780.361917749142</v>
      </c>
      <c r="K199" s="25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788.747395183345</v>
      </c>
      <c r="L199" s="25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797.222979823193</v>
      </c>
      <c r="M199" s="25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805.78963992703</v>
      </c>
      <c r="N199" s="7" t="n">
        <f aca="false">SUM(B199:M199)</f>
        <v>9123.64147905234</v>
      </c>
      <c r="O199" s="26" t="n">
        <f aca="false">MAX(B199:M199)</f>
        <v>805.78963992703</v>
      </c>
      <c r="P199" s="15" t="n">
        <f aca="false">O199/parametros_recargas!$B$6</f>
        <v>5.37193093284687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5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329.752468331283</v>
      </c>
      <c r="C200" s="25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333.295865079859</v>
      </c>
      <c r="D200" s="25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336.877337845216</v>
      </c>
      <c r="E200" s="25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340.497295777996</v>
      </c>
      <c r="F200" s="25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344.156152425421</v>
      </c>
      <c r="G200" s="25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347.854325778536</v>
      </c>
      <c r="H200" s="25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351.592238319962</v>
      </c>
      <c r="I200" s="25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355.370317072161</v>
      </c>
      <c r="J200" s="25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359.188993646217</v>
      </c>
      <c r="K200" s="25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363.048704291147</v>
      </c>
      <c r="L200" s="25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366.949889943736</v>
      </c>
      <c r="M200" s="25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370.892996278912</v>
      </c>
      <c r="N200" s="7" t="n">
        <f aca="false">SUM(B200:M200)</f>
        <v>4199.47658479044</v>
      </c>
      <c r="O200" s="26" t="n">
        <f aca="false">MAX(B200:M200)</f>
        <v>370.892996278912</v>
      </c>
      <c r="P200" s="15" t="n">
        <f aca="false">O200/parametros_recargas!$B$6</f>
        <v>2.47261997519275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5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13.2017329565872</v>
      </c>
      <c r="C201" s="25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13.3435938435448</v>
      </c>
      <c r="D201" s="25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13.4869791145598</v>
      </c>
      <c r="E201" s="25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13.6319051500933</v>
      </c>
      <c r="F201" s="25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13.7783885066249</v>
      </c>
      <c r="G201" s="25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13.9264459185438</v>
      </c>
      <c r="H201" s="25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14.0760943000607</v>
      </c>
      <c r="I201" s="25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14.2273507471402</v>
      </c>
      <c r="J201" s="25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14.3802325394536</v>
      </c>
      <c r="K201" s="25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14.5347571423532</v>
      </c>
      <c r="L201" s="25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14.6909422088675</v>
      </c>
      <c r="M201" s="25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14.8488055817176</v>
      </c>
      <c r="N201" s="7" t="n">
        <f aca="false">SUM(B201:M201)</f>
        <v>168.127228009547</v>
      </c>
      <c r="O201" s="26" t="n">
        <f aca="false">MAX(B201:M201)</f>
        <v>14.8488055817176</v>
      </c>
      <c r="P201" s="15" t="n">
        <f aca="false">O201/parametros_recargas!$B$6</f>
        <v>0.0989920372114504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5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14196.536781963</v>
      </c>
      <c r="C202" s="25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14349.0874589262</v>
      </c>
      <c r="D202" s="25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14503.2773884339</v>
      </c>
      <c r="E202" s="25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14659.1241852811</v>
      </c>
      <c r="F202" s="25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14816.6456535447</v>
      </c>
      <c r="G202" s="25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14975.8597886177</v>
      </c>
      <c r="H202" s="25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15136.784779265</v>
      </c>
      <c r="I202" s="25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15299.4390097008</v>
      </c>
      <c r="J202" s="25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15463.8410616895</v>
      </c>
      <c r="K202" s="25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15630.0097166682</v>
      </c>
      <c r="L202" s="25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15797.9639578919</v>
      </c>
      <c r="M202" s="25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15967.7229726032</v>
      </c>
      <c r="N202" s="7" t="n">
        <f aca="false">SUM(B202:M202)</f>
        <v>180796.292754585</v>
      </c>
      <c r="O202" s="26" t="n">
        <f aca="false">MAX(B202:M202)</f>
        <v>15967.7229726032</v>
      </c>
      <c r="P202" s="15" t="n">
        <f aca="false">O202/parametros_recargas!$B$6</f>
        <v>106.451486484021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5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1059.36331493395</v>
      </c>
      <c r="C203" s="25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1070.74683707919</v>
      </c>
      <c r="D203" s="25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1082.25268229774</v>
      </c>
      <c r="E203" s="25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1093.88216502761</v>
      </c>
      <c r="F203" s="25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1105.63661383128</v>
      </c>
      <c r="G203" s="25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1117.51737154746</v>
      </c>
      <c r="H203" s="25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1129.52579544451</v>
      </c>
      <c r="I203" s="25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1141.66325737547</v>
      </c>
      <c r="J203" s="25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1153.93114393481</v>
      </c>
      <c r="K203" s="25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1166.33085661685</v>
      </c>
      <c r="L203" s="25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1178.8638119758</v>
      </c>
      <c r="M203" s="25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1191.53144178766</v>
      </c>
      <c r="N203" s="7" t="n">
        <f aca="false">SUM(B203:M203)</f>
        <v>13491.2452918523</v>
      </c>
      <c r="O203" s="26" t="n">
        <f aca="false">MAX(B203:M203)</f>
        <v>1191.53144178766</v>
      </c>
      <c r="P203" s="15" t="n">
        <f aca="false">O203/parametros_recargas!$B$6</f>
        <v>7.94354294525106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5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14.1781817382488</v>
      </c>
      <c r="C204" s="25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14.3305351787742</v>
      </c>
      <c r="D204" s="25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14.4845257524151</v>
      </c>
      <c r="E204" s="25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14.6401710511918</v>
      </c>
      <c r="F204" s="25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14.797488856162</v>
      </c>
      <c r="G204" s="25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14.956497139452</v>
      </c>
      <c r="H204" s="25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15.11721406631</v>
      </c>
      <c r="I204" s="25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15.2796579971808</v>
      </c>
      <c r="J204" s="25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15.443847489804</v>
      </c>
      <c r="K204" s="25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15.6098013013336</v>
      </c>
      <c r="L204" s="25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15.777538390481</v>
      </c>
      <c r="M204" s="25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15.9470779196808</v>
      </c>
      <c r="N204" s="7" t="n">
        <f aca="false">SUM(B204:M204)</f>
        <v>180.562536881034</v>
      </c>
      <c r="O204" s="26" t="n">
        <f aca="false">MAX(B204:M204)</f>
        <v>15.9470779196808</v>
      </c>
      <c r="P204" s="15" t="n">
        <f aca="false">O204/parametros_recargas!$B$6</f>
        <v>0.106313852797872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5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3471.87527424593</v>
      </c>
      <c r="C205" s="25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3509.18274800186</v>
      </c>
      <c r="D205" s="25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3546.89111392359</v>
      </c>
      <c r="E205" s="25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3585.00467984845</v>
      </c>
      <c r="F205" s="25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3623.52779990419</v>
      </c>
      <c r="G205" s="25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3662.46487500641</v>
      </c>
      <c r="H205" s="25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3701.82035336126</v>
      </c>
      <c r="I205" s="25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3741.59873097369</v>
      </c>
      <c r="J205" s="25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3781.80455216102</v>
      </c>
      <c r="K205" s="25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3822.4424100721</v>
      </c>
      <c r="L205" s="25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3863.51694721207</v>
      </c>
      <c r="M205" s="25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3905.03285597265</v>
      </c>
      <c r="N205" s="7" t="n">
        <f aca="false">SUM(B205:M205)</f>
        <v>44215.1623406832</v>
      </c>
      <c r="O205" s="26" t="n">
        <f aca="false">MAX(B205:M205)</f>
        <v>3905.03285597265</v>
      </c>
      <c r="P205" s="15" t="n">
        <f aca="false">O205/parametros_recargas!$B$6</f>
        <v>26.033552373151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5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3255.63608524252</v>
      </c>
      <c r="C206" s="25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3290.61993351323</v>
      </c>
      <c r="D206" s="25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3325.97970513894</v>
      </c>
      <c r="E206" s="25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3361.7194396515</v>
      </c>
      <c r="F206" s="25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3397.84321999002</v>
      </c>
      <c r="G206" s="25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3434.35517296739</v>
      </c>
      <c r="H206" s="25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3471.25946974167</v>
      </c>
      <c r="I206" s="25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3508.56032629261</v>
      </c>
      <c r="J206" s="25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3546.26200390334</v>
      </c>
      <c r="K206" s="25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3584.36880964711</v>
      </c>
      <c r="L206" s="25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3622.88509687939</v>
      </c>
      <c r="M206" s="25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3661.81526573517</v>
      </c>
      <c r="N206" s="7" t="n">
        <f aca="false">SUM(B206:M206)</f>
        <v>41461.3045287029</v>
      </c>
      <c r="O206" s="26" t="n">
        <f aca="false">MAX(B206:M206)</f>
        <v>3661.81526573517</v>
      </c>
      <c r="P206" s="15" t="n">
        <f aca="false">O206/parametros_recargas!$B$6</f>
        <v>24.4121017715678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5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3255.63608524252</v>
      </c>
      <c r="C207" s="25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3290.61993351323</v>
      </c>
      <c r="D207" s="25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3325.97970513894</v>
      </c>
      <c r="E207" s="25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3361.7194396515</v>
      </c>
      <c r="F207" s="25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3397.84321999002</v>
      </c>
      <c r="G207" s="25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3434.35517296739</v>
      </c>
      <c r="H207" s="25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3471.25946974167</v>
      </c>
      <c r="I207" s="25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3508.56032629261</v>
      </c>
      <c r="J207" s="25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3546.26200390334</v>
      </c>
      <c r="K207" s="25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3584.36880964711</v>
      </c>
      <c r="L207" s="25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3622.88509687939</v>
      </c>
      <c r="M207" s="25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3661.81526573517</v>
      </c>
      <c r="N207" s="7" t="n">
        <f aca="false">SUM(B207:M207)</f>
        <v>41461.3045287029</v>
      </c>
      <c r="O207" s="26" t="n">
        <f aca="false">MAX(B207:M207)</f>
        <v>3661.81526573517</v>
      </c>
      <c r="P207" s="15" t="n">
        <f aca="false">O207/parametros_recargas!$B$6</f>
        <v>24.4121017715678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5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1628.47627007605</v>
      </c>
      <c r="C208" s="25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1645.97526727756</v>
      </c>
      <c r="D208" s="25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1663.6623021611</v>
      </c>
      <c r="E208" s="25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1681.5393953093</v>
      </c>
      <c r="F208" s="25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1699.60858901721</v>
      </c>
      <c r="G208" s="25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1717.87194752564</v>
      </c>
      <c r="H208" s="25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1736.33155725696</v>
      </c>
      <c r="I208" s="25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1754.98952705342</v>
      </c>
      <c r="J208" s="25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1773.84798841814</v>
      </c>
      <c r="K208" s="25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1792.90909575855</v>
      </c>
      <c r="L208" s="25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1812.17502663256</v>
      </c>
      <c r="M208" s="25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1831.64798199727</v>
      </c>
      <c r="N208" s="7" t="n">
        <f aca="false">SUM(B208:M208)</f>
        <v>20739.0349484838</v>
      </c>
      <c r="O208" s="26" t="n">
        <f aca="false">MAX(B208:M208)</f>
        <v>1831.64798199727</v>
      </c>
      <c r="P208" s="15" t="n">
        <f aca="false">O208/parametros_recargas!$B$6</f>
        <v>12.2109865466485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5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14157.5672991318</v>
      </c>
      <c r="C209" s="25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14309.6992246011</v>
      </c>
      <c r="D209" s="25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14463.4659028678</v>
      </c>
      <c r="E209" s="25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14618.8849003744</v>
      </c>
      <c r="F209" s="25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14775.9739723256</v>
      </c>
      <c r="G209" s="25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14934.7510647172</v>
      </c>
      <c r="H209" s="25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15095.2343163857</v>
      </c>
      <c r="I209" s="25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15257.4420610808</v>
      </c>
      <c r="J209" s="25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15421.39282956</v>
      </c>
      <c r="K209" s="25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15587.1053517051</v>
      </c>
      <c r="L209" s="25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15754.5985586626</v>
      </c>
      <c r="M209" s="25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15923.8915850056</v>
      </c>
      <c r="N209" s="7" t="n">
        <f aca="false">SUM(B209:M209)</f>
        <v>180300.007066418</v>
      </c>
      <c r="O209" s="26" t="n">
        <f aca="false">MAX(B209:M209)</f>
        <v>15923.8915850056</v>
      </c>
      <c r="P209" s="15" t="n">
        <f aca="false">O209/parametros_recargas!$B$6</f>
        <v>106.159277233371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5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20.6144391169801</v>
      </c>
      <c r="C210" s="25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20.8359541731387</v>
      </c>
      <c r="D210" s="25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21.0598495472786</v>
      </c>
      <c r="E210" s="25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21.2861508174069</v>
      </c>
      <c r="F210" s="25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21.5148838363826</v>
      </c>
      <c r="G210" s="25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21.7460747348696</v>
      </c>
      <c r="H210" s="25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21.9797499243224</v>
      </c>
      <c r="I210" s="25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22.2159361000028</v>
      </c>
      <c r="J210" s="25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22.4546602440303</v>
      </c>
      <c r="K210" s="25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22.6959496284637</v>
      </c>
      <c r="L210" s="25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22.9398318184176</v>
      </c>
      <c r="M210" s="25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23.1863346752108</v>
      </c>
      <c r="N210" s="7" t="n">
        <f aca="false">SUM(B210:M210)</f>
        <v>262.529814616504</v>
      </c>
      <c r="O210" s="26" t="n">
        <f aca="false">MAX(B210:M210)</f>
        <v>23.1863346752108</v>
      </c>
      <c r="P210" s="15" t="n">
        <f aca="false">O210/parametros_recargas!$B$6</f>
        <v>0.154575564501405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5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18.3550437141528</v>
      </c>
      <c r="C211" s="25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18.5522801519748</v>
      </c>
      <c r="D211" s="25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18.751636018822</v>
      </c>
      <c r="E211" s="25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18.9531340892862</v>
      </c>
      <c r="F211" s="25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19.1567973826868</v>
      </c>
      <c r="G211" s="25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19.3626491656998</v>
      </c>
      <c r="H211" s="25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19.5707129550165</v>
      </c>
      <c r="I211" s="25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19.7810125200298</v>
      </c>
      <c r="J211" s="25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19.9935718855494</v>
      </c>
      <c r="K211" s="25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20.2084153345467</v>
      </c>
      <c r="L211" s="25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20.4255674109289</v>
      </c>
      <c r="M211" s="25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20.6450529223429</v>
      </c>
      <c r="N211" s="7" t="n">
        <f aca="false">SUM(B211:M211)</f>
        <v>233.755873551037</v>
      </c>
      <c r="O211" s="26" t="n">
        <f aca="false">MAX(B211:M211)</f>
        <v>20.6450529223429</v>
      </c>
      <c r="P211" s="15" t="n">
        <f aca="false">O211/parametros_recargas!$B$6</f>
        <v>0.137633686148953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5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716.409113646079</v>
      </c>
      <c r="C212" s="25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724.107378155788</v>
      </c>
      <c r="D212" s="25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731.888365337965</v>
      </c>
      <c r="E212" s="25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739.752964099524</v>
      </c>
      <c r="F212" s="25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747.702072899238</v>
      </c>
      <c r="G212" s="25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755.736599850384</v>
      </c>
      <c r="H212" s="25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763.857462824484</v>
      </c>
      <c r="I212" s="25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772.065589556165</v>
      </c>
      <c r="J212" s="25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780.361917749142</v>
      </c>
      <c r="K212" s="25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788.747395183345</v>
      </c>
      <c r="L212" s="25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797.222979823193</v>
      </c>
      <c r="M212" s="25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805.78963992703</v>
      </c>
      <c r="N212" s="7" t="n">
        <f aca="false">SUM(B212:M212)</f>
        <v>9123.64147905234</v>
      </c>
      <c r="O212" s="26" t="n">
        <f aca="false">MAX(B212:M212)</f>
        <v>805.78963992703</v>
      </c>
      <c r="P212" s="15" t="n">
        <f aca="false">O212/parametros_recargas!$B$6</f>
        <v>5.37193093284687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5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395.702961997539</v>
      </c>
      <c r="C213" s="25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399.955038095831</v>
      </c>
      <c r="D213" s="25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404.252805414259</v>
      </c>
      <c r="E213" s="25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408.596754933595</v>
      </c>
      <c r="F213" s="25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412.987382910505</v>
      </c>
      <c r="G213" s="25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417.425190934243</v>
      </c>
      <c r="H213" s="25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421.910685983954</v>
      </c>
      <c r="I213" s="25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426.444380486593</v>
      </c>
      <c r="J213" s="25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431.02679237546</v>
      </c>
      <c r="K213" s="25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435.658445149376</v>
      </c>
      <c r="L213" s="25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440.339867932484</v>
      </c>
      <c r="M213" s="25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445.071595534694</v>
      </c>
      <c r="N213" s="7" t="n">
        <f aca="false">SUM(B213:M213)</f>
        <v>5039.37190174853</v>
      </c>
      <c r="O213" s="26" t="n">
        <f aca="false">MAX(B213:M213)</f>
        <v>445.071595534694</v>
      </c>
      <c r="P213" s="15" t="n">
        <f aca="false">O213/parametros_recargas!$B$6</f>
        <v>2.9671439702313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5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14196.536781963</v>
      </c>
      <c r="C214" s="25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14349.0874589262</v>
      </c>
      <c r="D214" s="25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14503.2773884339</v>
      </c>
      <c r="E214" s="25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14659.1241852811</v>
      </c>
      <c r="F214" s="25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14816.6456535447</v>
      </c>
      <c r="G214" s="25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14975.8597886177</v>
      </c>
      <c r="H214" s="25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15136.784779265</v>
      </c>
      <c r="I214" s="25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15299.4390097008</v>
      </c>
      <c r="J214" s="25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15463.8410616895</v>
      </c>
      <c r="K214" s="25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15630.0097166682</v>
      </c>
      <c r="L214" s="25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15797.9639578919</v>
      </c>
      <c r="M214" s="25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15967.7229726032</v>
      </c>
      <c r="N214" s="7" t="n">
        <f aca="false">SUM(B214:M214)</f>
        <v>180796.292754585</v>
      </c>
      <c r="O214" s="26" t="n">
        <f aca="false">MAX(B214:M214)</f>
        <v>15967.7229726032</v>
      </c>
      <c r="P214" s="15" t="n">
        <f aca="false">O214/parametros_recargas!$B$6</f>
        <v>106.451486484021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5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14196.536781963</v>
      </c>
      <c r="C215" s="25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14349.0874589262</v>
      </c>
      <c r="D215" s="25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14503.2773884339</v>
      </c>
      <c r="E215" s="25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14659.1241852811</v>
      </c>
      <c r="F215" s="25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14816.6456535447</v>
      </c>
      <c r="G215" s="25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14975.8597886177</v>
      </c>
      <c r="H215" s="25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15136.784779265</v>
      </c>
      <c r="I215" s="25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15299.4390097008</v>
      </c>
      <c r="J215" s="25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15463.8410616895</v>
      </c>
      <c r="K215" s="25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15630.0097166682</v>
      </c>
      <c r="L215" s="25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15797.9639578919</v>
      </c>
      <c r="M215" s="25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15967.7229726032</v>
      </c>
      <c r="N215" s="7" t="n">
        <f aca="false">SUM(B215:M215)</f>
        <v>180796.292754585</v>
      </c>
      <c r="O215" s="26" t="n">
        <f aca="false">MAX(B215:M215)</f>
        <v>15967.7229726032</v>
      </c>
      <c r="P215" s="15" t="n">
        <f aca="false">O215/parametros_recargas!$B$6</f>
        <v>106.451486484021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5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1059.36331493395</v>
      </c>
      <c r="C216" s="25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1070.74683707919</v>
      </c>
      <c r="D216" s="25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1082.25268229774</v>
      </c>
      <c r="E216" s="25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1093.88216502761</v>
      </c>
      <c r="F216" s="25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1105.63661383128</v>
      </c>
      <c r="G216" s="25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1117.51737154746</v>
      </c>
      <c r="H216" s="25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1129.52579544451</v>
      </c>
      <c r="I216" s="25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1141.66325737547</v>
      </c>
      <c r="J216" s="25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1153.93114393481</v>
      </c>
      <c r="K216" s="25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1166.33085661685</v>
      </c>
      <c r="L216" s="25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1178.8638119758</v>
      </c>
      <c r="M216" s="25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1191.53144178766</v>
      </c>
      <c r="N216" s="7" t="n">
        <f aca="false">SUM(B216:M216)</f>
        <v>13491.2452918523</v>
      </c>
      <c r="O216" s="26" t="n">
        <f aca="false">MAX(B216:M216)</f>
        <v>1191.53144178766</v>
      </c>
      <c r="P216" s="15" t="n">
        <f aca="false">O216/parametros_recargas!$B$6</f>
        <v>7.94354294525106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5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13.2017329565872</v>
      </c>
      <c r="C217" s="25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13.3435938435448</v>
      </c>
      <c r="D217" s="25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13.4869791145598</v>
      </c>
      <c r="E217" s="25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13.6319051500933</v>
      </c>
      <c r="F217" s="25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13.7783885066249</v>
      </c>
      <c r="G217" s="25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13.9264459185438</v>
      </c>
      <c r="H217" s="25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14.0760943000607</v>
      </c>
      <c r="I217" s="25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14.2273507471402</v>
      </c>
      <c r="J217" s="25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14.3802325394536</v>
      </c>
      <c r="K217" s="25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14.5347571423532</v>
      </c>
      <c r="L217" s="25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14.6909422088675</v>
      </c>
      <c r="M217" s="25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14.8488055817176</v>
      </c>
      <c r="N217" s="7" t="n">
        <f aca="false">SUM(B217:M217)</f>
        <v>168.127228009547</v>
      </c>
      <c r="O217" s="26" t="n">
        <f aca="false">MAX(B217:M217)</f>
        <v>14.8488055817176</v>
      </c>
      <c r="P217" s="15" t="n">
        <f aca="false">O217/parametros_recargas!$B$6</f>
        <v>0.0989920372114504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5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962.912110197353</v>
      </c>
      <c r="C218" s="25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973.259203754239</v>
      </c>
      <c r="D218" s="25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983.717483310284</v>
      </c>
      <c r="E218" s="25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994.288143628668</v>
      </c>
      <c r="F218" s="25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1004.97239231105</v>
      </c>
      <c r="G218" s="25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1015.77144993553</v>
      </c>
      <c r="H218" s="25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1026.68655019608</v>
      </c>
      <c r="I218" s="25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1037.71894004347</v>
      </c>
      <c r="J218" s="25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1048.86987982777</v>
      </c>
      <c r="K218" s="25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1060.14064344227</v>
      </c>
      <c r="L218" s="25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1071.53251846906</v>
      </c>
      <c r="M218" s="25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1083.04680632611</v>
      </c>
      <c r="N218" s="7" t="n">
        <f aca="false">SUM(B218:M218)</f>
        <v>12262.9161214419</v>
      </c>
      <c r="O218" s="26" t="n">
        <f aca="false">MAX(B218:M218)</f>
        <v>1083.04680632611</v>
      </c>
      <c r="P218" s="15" t="n">
        <f aca="false">O218/parametros_recargas!$B$6</f>
        <v>7.22031204217404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5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16284.7627007605</v>
      </c>
      <c r="C219" s="25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16459.7526727756</v>
      </c>
      <c r="D219" s="25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16636.623021611</v>
      </c>
      <c r="E219" s="25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16815.3939530929</v>
      </c>
      <c r="F219" s="25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16996.0858901721</v>
      </c>
      <c r="G219" s="25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17178.7194752564</v>
      </c>
      <c r="H219" s="25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17363.3155725696</v>
      </c>
      <c r="I219" s="25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17549.8952705342</v>
      </c>
      <c r="J219" s="25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17738.4798841814</v>
      </c>
      <c r="K219" s="25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17929.0909575855</v>
      </c>
      <c r="L219" s="25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18121.7502663255</v>
      </c>
      <c r="M219" s="25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18316.4798199727</v>
      </c>
      <c r="N219" s="7" t="n">
        <f aca="false">SUM(B219:M219)</f>
        <v>207390.349484838</v>
      </c>
      <c r="O219" s="26" t="n">
        <f aca="false">MAX(B219:M219)</f>
        <v>18316.4798199727</v>
      </c>
      <c r="P219" s="15" t="n">
        <f aca="false">O219/parametros_recargas!$B$6</f>
        <v>122.109865466485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5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16284.7627007605</v>
      </c>
      <c r="C220" s="25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16459.7526727756</v>
      </c>
      <c r="D220" s="25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16636.623021611</v>
      </c>
      <c r="E220" s="25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16815.3939530929</v>
      </c>
      <c r="F220" s="25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16996.0858901721</v>
      </c>
      <c r="G220" s="25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17178.7194752564</v>
      </c>
      <c r="H220" s="25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17363.3155725696</v>
      </c>
      <c r="I220" s="25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17549.8952705342</v>
      </c>
      <c r="J220" s="25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17738.4798841814</v>
      </c>
      <c r="K220" s="25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17929.0909575855</v>
      </c>
      <c r="L220" s="25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18121.7502663255</v>
      </c>
      <c r="M220" s="25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18316.4798199727</v>
      </c>
      <c r="N220" s="7" t="n">
        <f aca="false">SUM(B220:M220)</f>
        <v>207390.349484838</v>
      </c>
      <c r="O220" s="26" t="n">
        <f aca="false">MAX(B220:M220)</f>
        <v>18316.4798199727</v>
      </c>
      <c r="P220" s="15" t="n">
        <f aca="false">O220/parametros_recargas!$B$6</f>
        <v>122.109865466485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5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1280.79751817209</v>
      </c>
      <c r="C221" s="25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1294.56048948339</v>
      </c>
      <c r="D221" s="25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1308.4713525392</v>
      </c>
      <c r="E221" s="25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1322.5316965289</v>
      </c>
      <c r="F221" s="25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1336.74312771874</v>
      </c>
      <c r="G221" s="25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1351.10726963528</v>
      </c>
      <c r="H221" s="25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1365.6257632509</v>
      </c>
      <c r="I221" s="25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1380.30026717126</v>
      </c>
      <c r="J221" s="25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1395.13245782476</v>
      </c>
      <c r="K221" s="25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1410.1240296541</v>
      </c>
      <c r="L221" s="25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1425.27669530979</v>
      </c>
      <c r="M221" s="25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1440.59218584589</v>
      </c>
      <c r="N221" s="7" t="n">
        <f aca="false">SUM(B221:M221)</f>
        <v>16311.2628531343</v>
      </c>
      <c r="O221" s="26" t="n">
        <f aca="false">MAX(B221:M221)</f>
        <v>1440.59218584589</v>
      </c>
      <c r="P221" s="15" t="n">
        <f aca="false">O221/parametros_recargas!$B$6</f>
        <v>9.60394790563927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5" t="n">
        <f aca="false">'Plan mensual'!D221</f>
        <v>539.482428585637</v>
      </c>
      <c r="C222" s="25" t="n">
        <f aca="false">'Plan mensual'!E221</f>
        <v>545.279505080736</v>
      </c>
      <c r="D222" s="25" t="n">
        <f aca="false">'Plan mensual'!F221</f>
        <v>551.138874792647</v>
      </c>
      <c r="E222" s="25" t="n">
        <f aca="false">'Plan mensual'!G221</f>
        <v>557.06120710099</v>
      </c>
      <c r="F222" s="25" t="n">
        <f aca="false">'Plan mensual'!H221</f>
        <v>563.047178578287</v>
      </c>
      <c r="G222" s="25" t="n">
        <f aca="false">'Plan mensual'!I221</f>
        <v>569.097473067257</v>
      </c>
      <c r="H222" s="25" t="n">
        <f aca="false">'Plan mensual'!J221</f>
        <v>575.212781758938</v>
      </c>
      <c r="I222" s="25" t="n">
        <f aca="false">'Plan mensual'!K221</f>
        <v>581.393803271645</v>
      </c>
      <c r="J222" s="25" t="n">
        <f aca="false">'Plan mensual'!L221</f>
        <v>587.641243730787</v>
      </c>
      <c r="K222" s="25" t="n">
        <f aca="false">'Plan mensual'!M221</f>
        <v>593.955816849533</v>
      </c>
      <c r="L222" s="25" t="n">
        <f aca="false">'Plan mensual'!N221</f>
        <v>600.338244010345</v>
      </c>
      <c r="M222" s="25" t="n">
        <f aca="false">'Plan mensual'!O221</f>
        <v>606.789254347392</v>
      </c>
      <c r="N222" s="7" t="n">
        <f aca="false">SUM(B222:M222)</f>
        <v>6870.43781117419</v>
      </c>
      <c r="O222" s="26" t="n">
        <f aca="false">MAX(B222:M222)</f>
        <v>606.789254347392</v>
      </c>
      <c r="P222" s="15" t="n">
        <f aca="false">O222/parametros_recargas!$B$6</f>
        <v>4.04526169564928</v>
      </c>
    </row>
    <row r="225" customFormat="false" ht="23.85" hidden="false" customHeight="false" outlineLevel="0" collapsed="false">
      <c r="A225" s="3" t="s">
        <v>285</v>
      </c>
      <c r="B225" s="3" t="s">
        <v>124</v>
      </c>
      <c r="C225" s="3" t="s">
        <v>125</v>
      </c>
      <c r="D225" s="3" t="s">
        <v>126</v>
      </c>
      <c r="E225" s="3" t="s">
        <v>127</v>
      </c>
      <c r="F225" s="3" t="s">
        <v>128</v>
      </c>
      <c r="G225" s="3" t="s">
        <v>129</v>
      </c>
      <c r="H225" s="3" t="s">
        <v>130</v>
      </c>
      <c r="I225" s="3" t="s">
        <v>131</v>
      </c>
      <c r="J225" s="3" t="s">
        <v>132</v>
      </c>
      <c r="K225" s="3" t="s">
        <v>133</v>
      </c>
      <c r="L225" s="3" t="s">
        <v>134</v>
      </c>
      <c r="M225" s="3" t="s">
        <v>135</v>
      </c>
      <c r="N225" s="3" t="s">
        <v>276</v>
      </c>
      <c r="O225" s="3" t="s">
        <v>277</v>
      </c>
      <c r="P225" s="3" t="s">
        <v>278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5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18992.347854788</v>
      </c>
      <c r="C226" s="25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19108.0526784603</v>
      </c>
      <c r="D226" s="25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19224.4623968789</v>
      </c>
      <c r="E226" s="25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19341.5813043902</v>
      </c>
      <c r="F226" s="25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19459.4137215026</v>
      </c>
      <c r="G226" s="25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19577.9639950459</v>
      </c>
      <c r="H226" s="25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19697.2364983314</v>
      </c>
      <c r="I226" s="25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19817.2356313137</v>
      </c>
      <c r="J226" s="25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19937.9658207524</v>
      </c>
      <c r="K226" s="25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20059.431520376</v>
      </c>
      <c r="L226" s="25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20181.6372110457</v>
      </c>
      <c r="M226" s="25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20304.587400921</v>
      </c>
      <c r="N226" s="7" t="n">
        <f aca="false">SUM(B226:M226)</f>
        <v>235701.916033806</v>
      </c>
      <c r="O226" s="26" t="n">
        <f aca="false">MAX(B226:M226)</f>
        <v>20304.587400921</v>
      </c>
      <c r="P226" s="15" t="n">
        <f aca="false">O226/parametros_recargas!$B$6</f>
        <v>135.36391600614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5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18992.347854788</v>
      </c>
      <c r="C227" s="25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19108.0526784603</v>
      </c>
      <c r="D227" s="25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19224.4623968789</v>
      </c>
      <c r="E227" s="25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19341.5813043902</v>
      </c>
      <c r="F227" s="25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19459.4137215026</v>
      </c>
      <c r="G227" s="25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19577.9639950459</v>
      </c>
      <c r="H227" s="25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19697.2364983314</v>
      </c>
      <c r="I227" s="25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19817.2356313137</v>
      </c>
      <c r="J227" s="25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19937.9658207524</v>
      </c>
      <c r="K227" s="25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20059.431520376</v>
      </c>
      <c r="L227" s="25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20181.6372110457</v>
      </c>
      <c r="M227" s="25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20304.587400921</v>
      </c>
      <c r="N227" s="7" t="n">
        <f aca="false">SUM(B227:M227)</f>
        <v>235701.916033806</v>
      </c>
      <c r="O227" s="26" t="n">
        <f aca="false">MAX(B227:M227)</f>
        <v>20304.587400921</v>
      </c>
      <c r="P227" s="15" t="n">
        <f aca="false">O227/parametros_recargas!$B$6</f>
        <v>135.36391600614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5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14076.1888556753</v>
      </c>
      <c r="C228" s="25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14161.9435481429</v>
      </c>
      <c r="D228" s="25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14248.2206737318</v>
      </c>
      <c r="E228" s="25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14335.0234151993</v>
      </c>
      <c r="F228" s="25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14422.3549746924</v>
      </c>
      <c r="G228" s="25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14510.2185738665</v>
      </c>
      <c r="H228" s="25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14598.6174540035</v>
      </c>
      <c r="I228" s="25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14687.5548761322</v>
      </c>
      <c r="J228" s="25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14777.0341211479</v>
      </c>
      <c r="K228" s="25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14867.0584899337</v>
      </c>
      <c r="L228" s="25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14957.6313034824</v>
      </c>
      <c r="M228" s="25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15048.7559030189</v>
      </c>
      <c r="N228" s="7" t="n">
        <f aca="false">SUM(B228:M228)</f>
        <v>174690.602189027</v>
      </c>
      <c r="O228" s="26" t="n">
        <f aca="false">MAX(B228:M228)</f>
        <v>15048.7559030189</v>
      </c>
      <c r="P228" s="15" t="n">
        <f aca="false">O228/parametros_recargas!$B$6</f>
        <v>100.325039353459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5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1656.02221831474</v>
      </c>
      <c r="C229" s="25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1666.11100566387</v>
      </c>
      <c r="D229" s="25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1676.26125573316</v>
      </c>
      <c r="E229" s="25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1686.47334296462</v>
      </c>
      <c r="F229" s="25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1696.74764408146</v>
      </c>
      <c r="G229" s="25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1707.08453810194</v>
      </c>
      <c r="H229" s="25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1717.48440635336</v>
      </c>
      <c r="I229" s="25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1727.94763248614</v>
      </c>
      <c r="J229" s="25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1738.47460248798</v>
      </c>
      <c r="K229" s="25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1749.06570469808</v>
      </c>
      <c r="L229" s="25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1759.72132982146</v>
      </c>
      <c r="M229" s="25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1770.4418709434</v>
      </c>
      <c r="N229" s="7" t="n">
        <f aca="false">SUM(B229:M229)</f>
        <v>20551.8355516502</v>
      </c>
      <c r="O229" s="26" t="n">
        <f aca="false">MAX(B229:M229)</f>
        <v>1770.4418709434</v>
      </c>
      <c r="P229" s="15" t="n">
        <f aca="false">O229/parametros_recargas!$B$6</f>
        <v>11.8029458062894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5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23.423215107637</v>
      </c>
      <c r="C230" s="25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23.5659135772833</v>
      </c>
      <c r="D230" s="25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23.7094813918572</v>
      </c>
      <c r="E230" s="25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23.8539238475653</v>
      </c>
      <c r="F230" s="25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23.9992462728799</v>
      </c>
      <c r="G230" s="25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24.1454540287352</v>
      </c>
      <c r="H230" s="25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24.2925525087254</v>
      </c>
      <c r="I230" s="25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24.4405471393032</v>
      </c>
      <c r="J230" s="25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24.5894433799803</v>
      </c>
      <c r="K230" s="25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24.7392467235287</v>
      </c>
      <c r="L230" s="25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24.8899626961835</v>
      </c>
      <c r="M230" s="25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25.0415968578466</v>
      </c>
      <c r="N230" s="7" t="n">
        <f aca="false">SUM(B230:M230)</f>
        <v>290.690583531526</v>
      </c>
      <c r="O230" s="26" t="n">
        <f aca="false">MAX(B230:M230)</f>
        <v>25.0415968578466</v>
      </c>
      <c r="P230" s="15" t="n">
        <f aca="false">O230/parametros_recargas!$B$6</f>
        <v>0.16694397905231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5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822.060570904461</v>
      </c>
      <c r="C231" s="25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827.068712822025</v>
      </c>
      <c r="D231" s="25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832.107365247395</v>
      </c>
      <c r="E231" s="25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837.176714056113</v>
      </c>
      <c r="F231" s="25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842.276946256107</v>
      </c>
      <c r="G231" s="25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847.408249994591</v>
      </c>
      <c r="H231" s="25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852.570814565006</v>
      </c>
      <c r="I231" s="25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857.764830414004</v>
      </c>
      <c r="J231" s="25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862.990489148471</v>
      </c>
      <c r="K231" s="25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868.247983542598</v>
      </c>
      <c r="L231" s="25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873.53750754499</v>
      </c>
      <c r="M231" s="25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878.859256285824</v>
      </c>
      <c r="N231" s="7" t="n">
        <f aca="false">SUM(B231:M231)</f>
        <v>10202.0694407816</v>
      </c>
      <c r="O231" s="26" t="n">
        <f aca="false">MAX(B231:M231)</f>
        <v>878.859256285824</v>
      </c>
      <c r="P231" s="15" t="n">
        <f aca="false">O231/parametros_recargas!$B$6</f>
        <v>5.85906170857216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5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376.025915180533</v>
      </c>
      <c r="C232" s="25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378.316733174435</v>
      </c>
      <c r="D232" s="25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380.621507246548</v>
      </c>
      <c r="E232" s="25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382.940322419827</v>
      </c>
      <c r="F232" s="25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385.273264235204</v>
      </c>
      <c r="G232" s="25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387.620418754742</v>
      </c>
      <c r="H232" s="25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389.98187256481</v>
      </c>
      <c r="I232" s="25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392.357712779276</v>
      </c>
      <c r="J232" s="25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394.748027042722</v>
      </c>
      <c r="K232" s="25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397.152903533675</v>
      </c>
      <c r="L232" s="25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399.572430967865</v>
      </c>
      <c r="M232" s="25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402.006698601491</v>
      </c>
      <c r="N232" s="7" t="n">
        <f aca="false">SUM(B232:M232)</f>
        <v>4666.61780650113</v>
      </c>
      <c r="O232" s="26" t="n">
        <f aca="false">MAX(B232:M232)</f>
        <v>402.006698601491</v>
      </c>
      <c r="P232" s="15" t="n">
        <f aca="false">O232/parametros_recargas!$B$6</f>
        <v>2.68004465734327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5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15.3737957751745</v>
      </c>
      <c r="C233" s="25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15.4674557240625</v>
      </c>
      <c r="D233" s="25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15.5616862663259</v>
      </c>
      <c r="E233" s="25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15.6564908781231</v>
      </c>
      <c r="F233" s="25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15.7518730567895</v>
      </c>
      <c r="G233" s="25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15.8478363209673</v>
      </c>
      <c r="H233" s="25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15.9443842107346</v>
      </c>
      <c r="I233" s="25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16.0415202877364</v>
      </c>
      <c r="J233" s="25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16.1392481353159</v>
      </c>
      <c r="K233" s="25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16.2375713586466</v>
      </c>
      <c r="L233" s="25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16.3364935848655</v>
      </c>
      <c r="M233" s="25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16.4360184632067</v>
      </c>
      <c r="N233" s="7" t="n">
        <f aca="false">SUM(B233:M233)</f>
        <v>190.794374061949</v>
      </c>
      <c r="O233" s="26" t="n">
        <f aca="false">MAX(B233:M233)</f>
        <v>16.4360184632067</v>
      </c>
      <c r="P233" s="15" t="n">
        <f aca="false">O233/parametros_recargas!$B$6</f>
        <v>0.109573456421378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5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16604.6884400607</v>
      </c>
      <c r="C234" s="25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16705.8472100443</v>
      </c>
      <c r="D234" s="25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16807.62225758</v>
      </c>
      <c r="E234" s="25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16910.0173371423</v>
      </c>
      <c r="F234" s="25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17013.0362260785</v>
      </c>
      <c r="G234" s="25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17116.6827247484</v>
      </c>
      <c r="H234" s="25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17220.9606566642</v>
      </c>
      <c r="I234" s="25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17325.8738686317</v>
      </c>
      <c r="J234" s="25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17431.4262308918</v>
      </c>
      <c r="K234" s="25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17537.6216372641</v>
      </c>
      <c r="L234" s="25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17644.4640052898</v>
      </c>
      <c r="M234" s="25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17751.9572763763</v>
      </c>
      <c r="N234" s="7" t="n">
        <f aca="false">SUM(B234:M234)</f>
        <v>206070.197870772</v>
      </c>
      <c r="O234" s="26" t="n">
        <f aca="false">MAX(B234:M234)</f>
        <v>17751.9572763763</v>
      </c>
      <c r="P234" s="15" t="n">
        <f aca="false">O234/parametros_recargas!$B$6</f>
        <v>118.346381842509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5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1213.46028186017</v>
      </c>
      <c r="C235" s="25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1220.85290172052</v>
      </c>
      <c r="D235" s="25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1228.29055876027</v>
      </c>
      <c r="E235" s="25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1235.77352735406</v>
      </c>
      <c r="F235" s="25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1243.3020835481</v>
      </c>
      <c r="G235" s="25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1250.8765050703</v>
      </c>
      <c r="H235" s="25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1258.49707134055</v>
      </c>
      <c r="I235" s="25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1266.16406348102</v>
      </c>
      <c r="J235" s="25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1273.87776432651</v>
      </c>
      <c r="K235" s="25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1281.63845843492</v>
      </c>
      <c r="L235" s="25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1289.44643209772</v>
      </c>
      <c r="M235" s="25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1297.30197335052</v>
      </c>
      <c r="N235" s="7" t="n">
        <f aca="false">SUM(B235:M235)</f>
        <v>15059.4816213447</v>
      </c>
      <c r="O235" s="26" t="n">
        <f aca="false">MAX(B235:M235)</f>
        <v>1297.30197335052</v>
      </c>
      <c r="P235" s="15" t="n">
        <f aca="false">O235/parametros_recargas!$B$6</f>
        <v>8.64867982233681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5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16.5836453982551</v>
      </c>
      <c r="C236" s="25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16.684675970216</v>
      </c>
      <c r="D236" s="25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16.7863220387234</v>
      </c>
      <c r="E236" s="25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16.8885873534938</v>
      </c>
      <c r="F236" s="25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16.9914756870875</v>
      </c>
      <c r="G236" s="25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17.0949908350481</v>
      </c>
      <c r="H236" s="25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17.1991366160423</v>
      </c>
      <c r="I236" s="25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17.3039168720007</v>
      </c>
      <c r="J236" s="25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17.4093354682598</v>
      </c>
      <c r="K236" s="25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17.5153962937043</v>
      </c>
      <c r="L236" s="25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17.6221032609108</v>
      </c>
      <c r="M236" s="25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17.7294603062919</v>
      </c>
      <c r="N236" s="7" t="n">
        <f aca="false">SUM(B236:M236)</f>
        <v>205.809046100034</v>
      </c>
      <c r="O236" s="26" t="n">
        <f aca="false">MAX(B236:M236)</f>
        <v>17.7294603062919</v>
      </c>
      <c r="P236" s="15" t="n">
        <f aca="false">O236/parametros_recargas!$B$6</f>
        <v>0.118196402041946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5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4045.08774222893</v>
      </c>
      <c r="C237" s="25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4069.73114953868</v>
      </c>
      <c r="D237" s="25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4094.52468895</v>
      </c>
      <c r="E237" s="25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4119.46927509487</v>
      </c>
      <c r="F237" s="25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4144.56582817735</v>
      </c>
      <c r="G237" s="25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4169.81527400755</v>
      </c>
      <c r="H237" s="25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4195.21854403579</v>
      </c>
      <c r="I237" s="25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4220.77657538694</v>
      </c>
      <c r="J237" s="25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4246.49031089503</v>
      </c>
      <c r="K237" s="25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4272.36069913798</v>
      </c>
      <c r="L237" s="25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4298.38869447263</v>
      </c>
      <c r="M237" s="25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4324.57525706994</v>
      </c>
      <c r="N237" s="7" t="n">
        <f aca="false">SUM(B237:M237)</f>
        <v>50201.0040389957</v>
      </c>
      <c r="O237" s="26" t="n">
        <f aca="false">MAX(B237:M237)</f>
        <v>4324.57525706994</v>
      </c>
      <c r="P237" s="15" t="n">
        <f aca="false">O237/parametros_recargas!$B$6</f>
        <v>28.8305017137996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5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3800.10434117731</v>
      </c>
      <c r="C238" s="25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3823.25526522811</v>
      </c>
      <c r="D238" s="25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3846.54722890211</v>
      </c>
      <c r="E238" s="25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3869.98109143824</v>
      </c>
      <c r="F238" s="25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3893.55771731008</v>
      </c>
      <c r="G238" s="25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3917.27797625774</v>
      </c>
      <c r="H238" s="25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3941.14274331993</v>
      </c>
      <c r="I238" s="25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3965.15289886626</v>
      </c>
      <c r="J238" s="25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3989.30932862971</v>
      </c>
      <c r="K238" s="25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4013.61292373932</v>
      </c>
      <c r="L238" s="25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4038.06458075303</v>
      </c>
      <c r="M238" s="25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4062.66520169079</v>
      </c>
      <c r="N238" s="7" t="n">
        <f aca="false">SUM(B238:M238)</f>
        <v>47160.6712973126</v>
      </c>
      <c r="O238" s="26" t="n">
        <f aca="false">MAX(B238:M238)</f>
        <v>4062.66520169079</v>
      </c>
      <c r="P238" s="15" t="n">
        <f aca="false">O238/parametros_recargas!$B$6</f>
        <v>27.0844346779386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5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3800.10434117731</v>
      </c>
      <c r="C239" s="25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3823.25526522811</v>
      </c>
      <c r="D239" s="25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3846.54722890211</v>
      </c>
      <c r="E239" s="25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3869.98109143824</v>
      </c>
      <c r="F239" s="25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3893.55771731008</v>
      </c>
      <c r="G239" s="25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3917.27797625774</v>
      </c>
      <c r="H239" s="25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3941.14274331993</v>
      </c>
      <c r="I239" s="25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3965.15289886626</v>
      </c>
      <c r="J239" s="25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3989.30932862971</v>
      </c>
      <c r="K239" s="25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4013.61292373932</v>
      </c>
      <c r="L239" s="25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4038.06458075303</v>
      </c>
      <c r="M239" s="25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4062.66520169079</v>
      </c>
      <c r="N239" s="7" t="n">
        <f aca="false">SUM(B239:M239)</f>
        <v>47160.6712973126</v>
      </c>
      <c r="O239" s="26" t="n">
        <f aca="false">MAX(B239:M239)</f>
        <v>4062.66520169079</v>
      </c>
      <c r="P239" s="15" t="n">
        <f aca="false">O239/parametros_recargas!$B$6</f>
        <v>27.0844346779386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5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1899.2347854788</v>
      </c>
      <c r="C240" s="25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1910.80526784603</v>
      </c>
      <c r="D240" s="25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1922.44623968789</v>
      </c>
      <c r="E240" s="25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1934.15813043902</v>
      </c>
      <c r="F240" s="25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1945.94137215026</v>
      </c>
      <c r="G240" s="25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1957.79639950459</v>
      </c>
      <c r="H240" s="25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1969.72364983314</v>
      </c>
      <c r="I240" s="25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1981.72356313137</v>
      </c>
      <c r="J240" s="25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1993.79658207524</v>
      </c>
      <c r="K240" s="25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2005.9431520376</v>
      </c>
      <c r="L240" s="25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2018.16372110457</v>
      </c>
      <c r="M240" s="25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2030.4587400921</v>
      </c>
      <c r="N240" s="7" t="n">
        <f aca="false">SUM(B240:M240)</f>
        <v>23570.1916033806</v>
      </c>
      <c r="O240" s="26" t="n">
        <f aca="false">MAX(B240:M240)</f>
        <v>2030.4587400921</v>
      </c>
      <c r="P240" s="15" t="n">
        <f aca="false">O240/parametros_recargas!$B$6</f>
        <v>13.536391600614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5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16560.2221831474</v>
      </c>
      <c r="C241" s="25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16661.1100566387</v>
      </c>
      <c r="D241" s="25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16762.6125573316</v>
      </c>
      <c r="E241" s="25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16864.7334296462</v>
      </c>
      <c r="F241" s="25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16967.4764408146</v>
      </c>
      <c r="G241" s="25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17070.8453810194</v>
      </c>
      <c r="H241" s="25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17174.8440635336</v>
      </c>
      <c r="I241" s="25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17279.4763248614</v>
      </c>
      <c r="J241" s="25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17384.7460248798</v>
      </c>
      <c r="K241" s="25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17490.6570469808</v>
      </c>
      <c r="L241" s="25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17597.2132982146</v>
      </c>
      <c r="M241" s="25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17704.418709434</v>
      </c>
      <c r="N241" s="7" t="n">
        <f aca="false">SUM(B241:M241)</f>
        <v>205518.355516502</v>
      </c>
      <c r="O241" s="26" t="n">
        <f aca="false">MAX(B241:M241)</f>
        <v>17704.418709434</v>
      </c>
      <c r="P241" s="15" t="n">
        <f aca="false">O241/parametros_recargas!$B$6</f>
        <v>118.029458062893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5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23.423215107637</v>
      </c>
      <c r="C242" s="25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23.5659135772833</v>
      </c>
      <c r="D242" s="25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23.7094813918572</v>
      </c>
      <c r="E242" s="25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23.8539238475653</v>
      </c>
      <c r="F242" s="25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23.9992462728799</v>
      </c>
      <c r="G242" s="25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24.1454540287352</v>
      </c>
      <c r="H242" s="25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24.2925525087254</v>
      </c>
      <c r="I242" s="25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24.4405471393032</v>
      </c>
      <c r="J242" s="25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24.5894433799803</v>
      </c>
      <c r="K242" s="25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24.7392467235287</v>
      </c>
      <c r="L242" s="25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24.8899626961835</v>
      </c>
      <c r="M242" s="25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25.0415968578466</v>
      </c>
      <c r="N242" s="7" t="n">
        <f aca="false">SUM(B242:M242)</f>
        <v>290.690583531526</v>
      </c>
      <c r="O242" s="26" t="n">
        <f aca="false">MAX(B242:M242)</f>
        <v>25.0415968578466</v>
      </c>
      <c r="P242" s="15" t="n">
        <f aca="false">O242/parametros_recargas!$B$6</f>
        <v>0.16694397905231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5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21.043041805602</v>
      </c>
      <c r="C243" s="25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21.1712398283143</v>
      </c>
      <c r="D243" s="25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21.3002188566045</v>
      </c>
      <c r="E243" s="25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21.4299836485001</v>
      </c>
      <c r="F243" s="25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21.5605389910154</v>
      </c>
      <c r="G243" s="25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21.691889700328</v>
      </c>
      <c r="H243" s="25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21.8240406219563</v>
      </c>
      <c r="I243" s="25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21.9569966309389</v>
      </c>
      <c r="J243" s="25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22.0907626320138</v>
      </c>
      <c r="K243" s="25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22.2253435597994</v>
      </c>
      <c r="L243" s="25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22.3607443789771</v>
      </c>
      <c r="M243" s="25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22.4969700844735</v>
      </c>
      <c r="N243" s="7" t="n">
        <f aca="false">SUM(B243:M243)</f>
        <v>261.151770738523</v>
      </c>
      <c r="O243" s="26" t="n">
        <f aca="false">MAX(B243:M243)</f>
        <v>22.4969700844735</v>
      </c>
      <c r="P243" s="15" t="n">
        <f aca="false">O243/parametros_recargas!$B$6</f>
        <v>0.149979800563157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5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822.060570904461</v>
      </c>
      <c r="C244" s="25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827.068712822025</v>
      </c>
      <c r="D244" s="25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832.107365247395</v>
      </c>
      <c r="E244" s="25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837.176714056113</v>
      </c>
      <c r="F244" s="25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842.276946256107</v>
      </c>
      <c r="G244" s="25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847.408249994591</v>
      </c>
      <c r="H244" s="25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852.570814565006</v>
      </c>
      <c r="I244" s="25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857.764830414004</v>
      </c>
      <c r="J244" s="25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862.990489148471</v>
      </c>
      <c r="K244" s="25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868.247983542598</v>
      </c>
      <c r="L244" s="25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873.53750754499</v>
      </c>
      <c r="M244" s="25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878.859256285824</v>
      </c>
      <c r="N244" s="7" t="n">
        <f aca="false">SUM(B244:M244)</f>
        <v>10202.0694407816</v>
      </c>
      <c r="O244" s="26" t="n">
        <f aca="false">MAX(B244:M244)</f>
        <v>878.859256285824</v>
      </c>
      <c r="P244" s="15" t="n">
        <f aca="false">O244/parametros_recargas!$B$6</f>
        <v>5.85906170857216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5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451.23109821664</v>
      </c>
      <c r="C245" s="25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453.980079809323</v>
      </c>
      <c r="D245" s="25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456.745808695857</v>
      </c>
      <c r="E245" s="25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459.528386903792</v>
      </c>
      <c r="F245" s="25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462.327917082245</v>
      </c>
      <c r="G245" s="25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465.144502505691</v>
      </c>
      <c r="H245" s="25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467.978247077772</v>
      </c>
      <c r="I245" s="25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470.829255335132</v>
      </c>
      <c r="J245" s="25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473.697632451266</v>
      </c>
      <c r="K245" s="25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476.58348424041</v>
      </c>
      <c r="L245" s="25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479.486917161438</v>
      </c>
      <c r="M245" s="25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482.408038321789</v>
      </c>
      <c r="N245" s="7" t="n">
        <f aca="false">SUM(B245:M245)</f>
        <v>5599.94136780135</v>
      </c>
      <c r="O245" s="26" t="n">
        <f aca="false">MAX(B245:M245)</f>
        <v>482.408038321789</v>
      </c>
      <c r="P245" s="15" t="n">
        <f aca="false">O245/parametros_recargas!$B$6</f>
        <v>3.21605358881193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5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16604.6884400607</v>
      </c>
      <c r="C246" s="25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16705.8472100443</v>
      </c>
      <c r="D246" s="25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16807.62225758</v>
      </c>
      <c r="E246" s="25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16910.0173371423</v>
      </c>
      <c r="F246" s="25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17013.0362260785</v>
      </c>
      <c r="G246" s="25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17116.6827247484</v>
      </c>
      <c r="H246" s="25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17220.9606566642</v>
      </c>
      <c r="I246" s="25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17325.8738686317</v>
      </c>
      <c r="J246" s="25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17431.4262308918</v>
      </c>
      <c r="K246" s="25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17537.6216372641</v>
      </c>
      <c r="L246" s="25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17644.4640052898</v>
      </c>
      <c r="M246" s="25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17751.9572763763</v>
      </c>
      <c r="N246" s="7" t="n">
        <f aca="false">SUM(B246:M246)</f>
        <v>206070.197870772</v>
      </c>
      <c r="O246" s="26" t="n">
        <f aca="false">MAX(B246:M246)</f>
        <v>17751.9572763763</v>
      </c>
      <c r="P246" s="15" t="n">
        <f aca="false">O246/parametros_recargas!$B$6</f>
        <v>118.346381842509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5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16604.6884400607</v>
      </c>
      <c r="C247" s="25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16705.8472100443</v>
      </c>
      <c r="D247" s="25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16807.62225758</v>
      </c>
      <c r="E247" s="25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16910.0173371423</v>
      </c>
      <c r="F247" s="25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17013.0362260785</v>
      </c>
      <c r="G247" s="25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17116.6827247484</v>
      </c>
      <c r="H247" s="25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17220.9606566642</v>
      </c>
      <c r="I247" s="25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17325.8738686317</v>
      </c>
      <c r="J247" s="25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17431.4262308918</v>
      </c>
      <c r="K247" s="25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17537.6216372641</v>
      </c>
      <c r="L247" s="25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17644.4640052898</v>
      </c>
      <c r="M247" s="25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17751.9572763763</v>
      </c>
      <c r="N247" s="7" t="n">
        <f aca="false">SUM(B247:M247)</f>
        <v>206070.197870772</v>
      </c>
      <c r="O247" s="26" t="n">
        <f aca="false">MAX(B247:M247)</f>
        <v>17751.9572763763</v>
      </c>
      <c r="P247" s="15" t="n">
        <f aca="false">O247/parametros_recargas!$B$6</f>
        <v>118.346381842509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5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1213.46028186017</v>
      </c>
      <c r="C248" s="25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1220.85290172052</v>
      </c>
      <c r="D248" s="25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1228.29055876027</v>
      </c>
      <c r="E248" s="25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1235.77352735406</v>
      </c>
      <c r="F248" s="25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1243.3020835481</v>
      </c>
      <c r="G248" s="25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1250.8765050703</v>
      </c>
      <c r="H248" s="25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1258.49707134055</v>
      </c>
      <c r="I248" s="25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1266.16406348102</v>
      </c>
      <c r="J248" s="25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1273.87776432651</v>
      </c>
      <c r="K248" s="25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1281.63845843492</v>
      </c>
      <c r="L248" s="25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1289.44643209772</v>
      </c>
      <c r="M248" s="25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1297.30197335052</v>
      </c>
      <c r="N248" s="7" t="n">
        <f aca="false">SUM(B248:M248)</f>
        <v>15059.4816213447</v>
      </c>
      <c r="O248" s="26" t="n">
        <f aca="false">MAX(B248:M248)</f>
        <v>1297.30197335052</v>
      </c>
      <c r="P248" s="15" t="n">
        <f aca="false">O248/parametros_recargas!$B$6</f>
        <v>8.64867982233681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5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15.3737957751745</v>
      </c>
      <c r="C249" s="25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15.4674557240625</v>
      </c>
      <c r="D249" s="25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15.5616862663259</v>
      </c>
      <c r="E249" s="25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15.6564908781231</v>
      </c>
      <c r="F249" s="25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15.7518730567895</v>
      </c>
      <c r="G249" s="25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15.8478363209673</v>
      </c>
      <c r="H249" s="25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15.9443842107346</v>
      </c>
      <c r="I249" s="25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16.0415202877364</v>
      </c>
      <c r="J249" s="25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16.1392481353159</v>
      </c>
      <c r="K249" s="25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16.2375713586466</v>
      </c>
      <c r="L249" s="25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16.3364935848655</v>
      </c>
      <c r="M249" s="25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16.4360184632067</v>
      </c>
      <c r="N249" s="7" t="n">
        <f aca="false">SUM(B249:M249)</f>
        <v>190.794374061949</v>
      </c>
      <c r="O249" s="26" t="n">
        <f aca="false">MAX(B249:M249)</f>
        <v>16.4360184632067</v>
      </c>
      <c r="P249" s="15" t="n">
        <f aca="false">O249/parametros_recargas!$B$6</f>
        <v>0.109573456421378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5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1098.99394983102</v>
      </c>
      <c r="C250" s="25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1105.68922006061</v>
      </c>
      <c r="D250" s="25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1112.42527908931</v>
      </c>
      <c r="E250" s="25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1119.20237540988</v>
      </c>
      <c r="F250" s="25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1126.02075902894</v>
      </c>
      <c r="G250" s="25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1132.88068147618</v>
      </c>
      <c r="H250" s="25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1139.78239581367</v>
      </c>
      <c r="I250" s="25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1146.72615664518</v>
      </c>
      <c r="J250" s="25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1153.71222012557</v>
      </c>
      <c r="K250" s="25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1160.74084397023</v>
      </c>
      <c r="L250" s="25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1167.81228746462</v>
      </c>
      <c r="M250" s="25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1174.9268114738</v>
      </c>
      <c r="N250" s="7" t="n">
        <f aca="false">SUM(B250:M250)</f>
        <v>13638.912980389</v>
      </c>
      <c r="O250" s="26" t="n">
        <f aca="false">MAX(B250:M250)</f>
        <v>1174.9268114738</v>
      </c>
      <c r="P250" s="15" t="n">
        <f aca="false">O250/parametros_recargas!$B$6</f>
        <v>7.8328454098253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5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18992.347854788</v>
      </c>
      <c r="C251" s="25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19108.0526784603</v>
      </c>
      <c r="D251" s="25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19224.4623968789</v>
      </c>
      <c r="E251" s="25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19341.5813043902</v>
      </c>
      <c r="F251" s="25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19459.4137215026</v>
      </c>
      <c r="G251" s="25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19577.9639950459</v>
      </c>
      <c r="H251" s="25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19697.2364983314</v>
      </c>
      <c r="I251" s="25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19817.2356313137</v>
      </c>
      <c r="J251" s="25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19937.9658207524</v>
      </c>
      <c r="K251" s="25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20059.431520376</v>
      </c>
      <c r="L251" s="25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20181.6372110457</v>
      </c>
      <c r="M251" s="25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20304.587400921</v>
      </c>
      <c r="N251" s="7" t="n">
        <f aca="false">SUM(B251:M251)</f>
        <v>235701.916033806</v>
      </c>
      <c r="O251" s="26" t="n">
        <f aca="false">MAX(B251:M251)</f>
        <v>20304.587400921</v>
      </c>
      <c r="P251" s="15" t="n">
        <f aca="false">O251/parametros_recargas!$B$6</f>
        <v>135.36391600614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5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18992.347854788</v>
      </c>
      <c r="C252" s="25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19108.0526784603</v>
      </c>
      <c r="D252" s="25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19224.4623968789</v>
      </c>
      <c r="E252" s="25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19341.5813043902</v>
      </c>
      <c r="F252" s="25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19459.4137215026</v>
      </c>
      <c r="G252" s="25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19577.9639950459</v>
      </c>
      <c r="H252" s="25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19697.2364983314</v>
      </c>
      <c r="I252" s="25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19817.2356313137</v>
      </c>
      <c r="J252" s="25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19937.9658207524</v>
      </c>
      <c r="K252" s="25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20059.431520376</v>
      </c>
      <c r="L252" s="25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20181.6372110457</v>
      </c>
      <c r="M252" s="25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20304.587400921</v>
      </c>
      <c r="N252" s="7" t="n">
        <f aca="false">SUM(B252:M252)</f>
        <v>235701.916033806</v>
      </c>
      <c r="O252" s="26" t="n">
        <f aca="false">MAX(B252:M252)</f>
        <v>20304.587400921</v>
      </c>
      <c r="P252" s="15" t="n">
        <f aca="false">O252/parametros_recargas!$B$6</f>
        <v>135.36391600614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5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1494.31943403767</v>
      </c>
      <c r="C253" s="25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1503.42309873187</v>
      </c>
      <c r="D253" s="25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1512.58222460054</v>
      </c>
      <c r="E253" s="25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1521.79714952323</v>
      </c>
      <c r="F253" s="25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1531.06821343786</v>
      </c>
      <c r="G253" s="25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1540.39575835335</v>
      </c>
      <c r="H253" s="25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1549.78012836219</v>
      </c>
      <c r="I253" s="25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1559.22166965315</v>
      </c>
      <c r="J253" s="25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1568.72073052401</v>
      </c>
      <c r="K253" s="25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1578.2776613945</v>
      </c>
      <c r="L253" s="25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1587.89281481913</v>
      </c>
      <c r="M253" s="25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1597.56654550024</v>
      </c>
      <c r="N253" s="7" t="n">
        <f aca="false">SUM(B253:M253)</f>
        <v>18545.0454289377</v>
      </c>
      <c r="O253" s="26" t="n">
        <f aca="false">MAX(B253:M253)</f>
        <v>1597.56654550024</v>
      </c>
      <c r="P253" s="15" t="n">
        <f aca="false">O253/parametros_recargas!$B$6</f>
        <v>10.6504436366683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5" t="n">
        <f aca="false">'Plan mensual'!D253</f>
        <v>623.898915902013</v>
      </c>
      <c r="C254" s="25" t="n">
        <f aca="false">'Plan mensual'!E253</f>
        <v>627.699821119512</v>
      </c>
      <c r="D254" s="25" t="n">
        <f aca="false">'Plan mensual'!F253</f>
        <v>631.523882140146</v>
      </c>
      <c r="E254" s="25" t="n">
        <f aca="false">'Plan mensual'!G253</f>
        <v>635.371240033261</v>
      </c>
      <c r="F254" s="25" t="n">
        <f aca="false">'Plan mensual'!H253</f>
        <v>639.242036727626</v>
      </c>
      <c r="G254" s="25" t="n">
        <f aca="false">'Plan mensual'!I253</f>
        <v>643.136415016664</v>
      </c>
      <c r="H254" s="25" t="n">
        <f aca="false">'Plan mensual'!J253</f>
        <v>647.05451856372</v>
      </c>
      <c r="I254" s="25" t="n">
        <f aca="false">'Plan mensual'!K253</f>
        <v>650.996491907366</v>
      </c>
      <c r="J254" s="25" t="n">
        <f aca="false">'Plan mensual'!L253</f>
        <v>654.962480466726</v>
      </c>
      <c r="K254" s="25" t="n">
        <f aca="false">'Plan mensual'!M253</f>
        <v>658.952630546844</v>
      </c>
      <c r="L254" s="25" t="n">
        <f aca="false">'Plan mensual'!N253</f>
        <v>662.967089344083</v>
      </c>
      <c r="M254" s="25" t="n">
        <f aca="false">'Plan mensual'!O253</f>
        <v>667.006004951549</v>
      </c>
      <c r="N254" s="7" t="n">
        <f aca="false">SUM(B254:M254)</f>
        <v>7742.81152671951</v>
      </c>
      <c r="O254" s="26" t="n">
        <f aca="false">MAX(B254:M254)</f>
        <v>667.006004951549</v>
      </c>
      <c r="P254" s="15" t="n">
        <f aca="false">O254/parametros_recargas!$B$6</f>
        <v>4.446706699677</v>
      </c>
    </row>
    <row r="257" customFormat="false" ht="23.85" hidden="false" customHeight="false" outlineLevel="0" collapsed="false">
      <c r="A257" s="3" t="s">
        <v>286</v>
      </c>
      <c r="B257" s="3" t="s">
        <v>124</v>
      </c>
      <c r="C257" s="3" t="s">
        <v>125</v>
      </c>
      <c r="D257" s="3" t="s">
        <v>126</v>
      </c>
      <c r="E257" s="3" t="s">
        <v>127</v>
      </c>
      <c r="F257" s="3" t="s">
        <v>128</v>
      </c>
      <c r="G257" s="3" t="s">
        <v>129</v>
      </c>
      <c r="H257" s="3" t="s">
        <v>130</v>
      </c>
      <c r="I257" s="3" t="s">
        <v>131</v>
      </c>
      <c r="J257" s="3" t="s">
        <v>132</v>
      </c>
      <c r="K257" s="3" t="s">
        <v>133</v>
      </c>
      <c r="L257" s="3" t="s">
        <v>134</v>
      </c>
      <c r="M257" s="3" t="s">
        <v>135</v>
      </c>
      <c r="N257" s="3" t="s">
        <v>276</v>
      </c>
      <c r="O257" s="3" t="s">
        <v>277</v>
      </c>
      <c r="P257" s="3" t="s">
        <v>278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5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20467.027702975</v>
      </c>
      <c r="C258" s="25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20585.5842203203</v>
      </c>
      <c r="D258" s="25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20704.8274835873</v>
      </c>
      <c r="E258" s="25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20824.7614707941</v>
      </c>
      <c r="F258" s="25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20945.3901830016</v>
      </c>
      <c r="G258" s="25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21066.717644447</v>
      </c>
      <c r="H258" s="25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21188.7479026784</v>
      </c>
      <c r="I258" s="25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21311.4850286893</v>
      </c>
      <c r="J258" s="25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21434.9331170549</v>
      </c>
      <c r="K258" s="25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21559.0962860683</v>
      </c>
      <c r="L258" s="25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21683.9786778783</v>
      </c>
      <c r="M258" s="25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21809.5844586271</v>
      </c>
      <c r="N258" s="7" t="n">
        <f aca="false">SUM(B258:M258)</f>
        <v>253582.134176122</v>
      </c>
      <c r="O258" s="26" t="n">
        <f aca="false">MAX(B258:M258)</f>
        <v>21809.5844586271</v>
      </c>
      <c r="P258" s="15" t="n">
        <f aca="false">O258/parametros_recargas!$B$6</f>
        <v>145.397229724181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5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20467.027702975</v>
      </c>
      <c r="C259" s="25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20585.5842203203</v>
      </c>
      <c r="D259" s="25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20704.8274835873</v>
      </c>
      <c r="E259" s="25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20824.7614707941</v>
      </c>
      <c r="F259" s="25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20945.3901830016</v>
      </c>
      <c r="G259" s="25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21066.717644447</v>
      </c>
      <c r="H259" s="25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21188.7479026784</v>
      </c>
      <c r="I259" s="25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21311.4850286893</v>
      </c>
      <c r="J259" s="25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21434.9331170549</v>
      </c>
      <c r="K259" s="25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21559.0962860683</v>
      </c>
      <c r="L259" s="25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21683.9786778783</v>
      </c>
      <c r="M259" s="25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21809.5844586271</v>
      </c>
      <c r="N259" s="7" t="n">
        <f aca="false">SUM(B259:M259)</f>
        <v>253582.134176122</v>
      </c>
      <c r="O259" s="26" t="n">
        <f aca="false">MAX(B259:M259)</f>
        <v>21809.5844586271</v>
      </c>
      <c r="P259" s="15" t="n">
        <f aca="false">O259/parametros_recargas!$B$6</f>
        <v>145.397229724181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5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15156.112515965</v>
      </c>
      <c r="C260" s="25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15243.9052302986</v>
      </c>
      <c r="D260" s="25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15332.2064893321</v>
      </c>
      <c r="E260" s="25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15421.0192388419</v>
      </c>
      <c r="F260" s="25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15510.346441668</v>
      </c>
      <c r="G260" s="25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15600.191077813</v>
      </c>
      <c r="H260" s="25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15690.5561445412</v>
      </c>
      <c r="I260" s="25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15781.4446564788</v>
      </c>
      <c r="J260" s="25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15872.8596457142</v>
      </c>
      <c r="K260" s="25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15964.8041618998</v>
      </c>
      <c r="L260" s="25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16057.2812723529</v>
      </c>
      <c r="M260" s="25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16150.2940621586</v>
      </c>
      <c r="N260" s="7" t="n">
        <f aca="false">SUM(B260:M260)</f>
        <v>187781.020937064</v>
      </c>
      <c r="O260" s="26" t="n">
        <f aca="false">MAX(B260:M260)</f>
        <v>16150.2940621586</v>
      </c>
      <c r="P260" s="15" t="n">
        <f aca="false">O260/parametros_recargas!$B$6</f>
        <v>107.668627081057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5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1783.07206070176</v>
      </c>
      <c r="C261" s="25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1793.40061532925</v>
      </c>
      <c r="D261" s="25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1803.78899874495</v>
      </c>
      <c r="E261" s="25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1814.23755751081</v>
      </c>
      <c r="F261" s="25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1824.74664019624</v>
      </c>
      <c r="G261" s="25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1835.31659738977</v>
      </c>
      <c r="H261" s="25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1845.94778171073</v>
      </c>
      <c r="I261" s="25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1856.64054782103</v>
      </c>
      <c r="J261" s="25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1867.39525243697</v>
      </c>
      <c r="K261" s="25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1878.21225434116</v>
      </c>
      <c r="L261" s="25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1889.09191439446</v>
      </c>
      <c r="M261" s="25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1900.03459554807</v>
      </c>
      <c r="N261" s="7" t="n">
        <f aca="false">SUM(B261:M261)</f>
        <v>22091.8848161252</v>
      </c>
      <c r="O261" s="26" t="n">
        <f aca="false">MAX(B261:M261)</f>
        <v>1900.03459554807</v>
      </c>
      <c r="P261" s="15" t="n">
        <f aca="false">O261/parametros_recargas!$B$6</f>
        <v>12.6668973036538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5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25.6090995478909</v>
      </c>
      <c r="C262" s="25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25.7574418327995</v>
      </c>
      <c r="D262" s="25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25.9066433995212</v>
      </c>
      <c r="E262" s="25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26.0567092254988</v>
      </c>
      <c r="F262" s="25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26.2076443170073</v>
      </c>
      <c r="G262" s="25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26.3594537093206</v>
      </c>
      <c r="H262" s="25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26.5121424668801</v>
      </c>
      <c r="I262" s="25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26.6657156834629</v>
      </c>
      <c r="J262" s="25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26.8201784823524</v>
      </c>
      <c r="K262" s="25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26.975536016509</v>
      </c>
      <c r="L262" s="25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27.1317934687415</v>
      </c>
      <c r="M262" s="25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27.288956051881</v>
      </c>
      <c r="N262" s="7" t="n">
        <f aca="false">SUM(B262:M262)</f>
        <v>317.291314201865</v>
      </c>
      <c r="O262" s="26" t="n">
        <f aca="false">MAX(B262:M262)</f>
        <v>27.288956051881</v>
      </c>
      <c r="P262" s="15" t="n">
        <f aca="false">O262/parametros_recargas!$B$6</f>
        <v>0.181926373679206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5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891.814773696784</v>
      </c>
      <c r="C263" s="25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896.980665648512</v>
      </c>
      <c r="D263" s="25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902.176481347237</v>
      </c>
      <c r="E263" s="25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907.402394128106</v>
      </c>
      <c r="F263" s="25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912.658578330318</v>
      </c>
      <c r="G263" s="25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917.945209302945</v>
      </c>
      <c r="H263" s="25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923.262463410777</v>
      </c>
      <c r="I263" s="25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928.61051804021</v>
      </c>
      <c r="J263" s="25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933.98955160516</v>
      </c>
      <c r="K263" s="25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939.399743553018</v>
      </c>
      <c r="L263" s="25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944.841274370633</v>
      </c>
      <c r="M263" s="25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950.314325590337</v>
      </c>
      <c r="N263" s="7" t="n">
        <f aca="false">SUM(B263:M263)</f>
        <v>11049.395979024</v>
      </c>
      <c r="O263" s="26" t="n">
        <f aca="false">MAX(B263:M263)</f>
        <v>950.314325590337</v>
      </c>
      <c r="P263" s="15" t="n">
        <f aca="false">O263/parametros_recargas!$B$6</f>
        <v>6.33542883726891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5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407.124118810383</v>
      </c>
      <c r="C264" s="25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409.482410319727</v>
      </c>
      <c r="D264" s="25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411.854362377749</v>
      </c>
      <c r="E264" s="25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414.240054114018</v>
      </c>
      <c r="F264" s="25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416.639565116465</v>
      </c>
      <c r="G264" s="25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419.052975434041</v>
      </c>
      <c r="H264" s="25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421.480365579384</v>
      </c>
      <c r="I264" s="25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423.921816531505</v>
      </c>
      <c r="J264" s="25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426.377409738493</v>
      </c>
      <c r="K264" s="25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428.847227120231</v>
      </c>
      <c r="L264" s="25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431.331351071124</v>
      </c>
      <c r="M264" s="25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433.829864462857</v>
      </c>
      <c r="N264" s="7" t="n">
        <f aca="false">SUM(B264:M264)</f>
        <v>5044.18152067598</v>
      </c>
      <c r="O264" s="26" t="n">
        <f aca="false">MAX(B264:M264)</f>
        <v>433.829864462857</v>
      </c>
      <c r="P264" s="15" t="n">
        <f aca="false">O264/parametros_recargas!$B$6</f>
        <v>2.89219909641904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5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16.8277750940143</v>
      </c>
      <c r="C265" s="25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16.925251016692</v>
      </c>
      <c r="D265" s="25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17.0232915746496</v>
      </c>
      <c r="E265" s="25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17.1219000385718</v>
      </c>
      <c r="F265" s="25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17.2210796980889</v>
      </c>
      <c r="G265" s="25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17.3208338618864</v>
      </c>
      <c r="H265" s="25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17.4211658578159</v>
      </c>
      <c r="I265" s="25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17.5220790330053</v>
      </c>
      <c r="J265" s="25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17.6235767539714</v>
      </c>
      <c r="K265" s="25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17.7256624067316</v>
      </c>
      <c r="L265" s="25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17.8283393969169</v>
      </c>
      <c r="M265" s="25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17.9316111498857</v>
      </c>
      <c r="N265" s="7" t="n">
        <f aca="false">SUM(B265:M265)</f>
        <v>208.49256588223</v>
      </c>
      <c r="O265" s="26" t="n">
        <f aca="false">MAX(B265:M265)</f>
        <v>17.9316111498857</v>
      </c>
      <c r="P265" s="15" t="n">
        <f aca="false">O265/parametros_recargas!$B$6</f>
        <v>0.119544074332572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5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17879.4053536606</v>
      </c>
      <c r="C266" s="25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17982.9729093261</v>
      </c>
      <c r="D266" s="25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18087.1403864305</v>
      </c>
      <c r="E266" s="25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18191.9112600557</v>
      </c>
      <c r="F266" s="25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18297.289025413</v>
      </c>
      <c r="G266" s="25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18403.2771979604</v>
      </c>
      <c r="H266" s="25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18509.8793135188</v>
      </c>
      <c r="I266" s="25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18617.098928391</v>
      </c>
      <c r="J266" s="25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18724.9396194799</v>
      </c>
      <c r="K266" s="25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18833.4049844075</v>
      </c>
      <c r="L266" s="25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18942.4986416355</v>
      </c>
      <c r="M266" s="25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19052.2242305858</v>
      </c>
      <c r="N266" s="7" t="n">
        <f aca="false">SUM(B266:M266)</f>
        <v>221522.041850865</v>
      </c>
      <c r="O266" s="26" t="n">
        <f aca="false">MAX(B266:M266)</f>
        <v>19052.2242305858</v>
      </c>
      <c r="P266" s="15" t="n">
        <f aca="false">O266/parametros_recargas!$B$6</f>
        <v>127.014828203905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5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1315.76666760118</v>
      </c>
      <c r="C267" s="25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1323.38832698493</v>
      </c>
      <c r="D267" s="25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1331.05413529964</v>
      </c>
      <c r="E267" s="25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1338.7643482807</v>
      </c>
      <c r="F267" s="25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1346.51922314487</v>
      </c>
      <c r="G267" s="25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1354.31901859887</v>
      </c>
      <c r="H267" s="25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1362.16399484798</v>
      </c>
      <c r="I267" s="25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1370.05441360472</v>
      </c>
      <c r="J267" s="25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1377.99053809763</v>
      </c>
      <c r="K267" s="25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1385.97263307998</v>
      </c>
      <c r="L267" s="25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1394.00096483867</v>
      </c>
      <c r="M267" s="25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1402.07580120308</v>
      </c>
      <c r="N267" s="7" t="n">
        <f aca="false">SUM(B267:M267)</f>
        <v>16302.0700655822</v>
      </c>
      <c r="O267" s="26" t="n">
        <f aca="false">MAX(B267:M267)</f>
        <v>1402.07580120308</v>
      </c>
      <c r="P267" s="15" t="n">
        <f aca="false">O267/parametros_recargas!$B$6</f>
        <v>9.34717200802053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5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17.8563297065655</v>
      </c>
      <c r="C268" s="25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17.9597635951253</v>
      </c>
      <c r="D268" s="25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18.0637966308491</v>
      </c>
      <c r="E268" s="25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18.1684322843336</v>
      </c>
      <c r="F268" s="25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18.2736740462794</v>
      </c>
      <c r="G268" s="25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18.379525427607</v>
      </c>
      <c r="H268" s="25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18.4859899595742</v>
      </c>
      <c r="I268" s="25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18.5930711938938</v>
      </c>
      <c r="J268" s="25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18.7007727028521</v>
      </c>
      <c r="K268" s="25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18.8090980794281</v>
      </c>
      <c r="L268" s="25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18.9180509374133</v>
      </c>
      <c r="M268" s="25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19.0276349115326</v>
      </c>
      <c r="N268" s="7" t="n">
        <f aca="false">SUM(B268:M268)</f>
        <v>221.236139475454</v>
      </c>
      <c r="O268" s="26" t="n">
        <f aca="false">MAX(B268:M268)</f>
        <v>19.0276349115326</v>
      </c>
      <c r="P268" s="15" t="n">
        <f aca="false">O268/parametros_recargas!$B$6</f>
        <v>0.126850899410217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5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4360.94997270404</v>
      </c>
      <c r="C269" s="25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4386.21104375861</v>
      </c>
      <c r="D269" s="25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4411.61844112164</v>
      </c>
      <c r="E269" s="25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4437.17301239726</v>
      </c>
      <c r="F269" s="25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4462.87561009941</v>
      </c>
      <c r="G269" s="25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4488.72709168028</v>
      </c>
      <c r="H269" s="25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4514.72831955891</v>
      </c>
      <c r="I269" s="25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4540.88016114992</v>
      </c>
      <c r="J269" s="25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4567.18348889253</v>
      </c>
      <c r="K269" s="25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4593.63918027958</v>
      </c>
      <c r="L269" s="25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4620.24811788686</v>
      </c>
      <c r="M269" s="25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4647.01118940252</v>
      </c>
      <c r="N269" s="7" t="n">
        <f aca="false">SUM(B269:M269)</f>
        <v>54031.2456289315</v>
      </c>
      <c r="O269" s="26" t="n">
        <f aca="false">MAX(B269:M269)</f>
        <v>4647.01118940252</v>
      </c>
      <c r="P269" s="15" t="n">
        <f aca="false">O269/parametros_recargas!$B$6</f>
        <v>30.9800745960168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5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4093.83663939225</v>
      </c>
      <c r="C270" s="25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4117.55044002762</v>
      </c>
      <c r="D270" s="25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4141.40160431233</v>
      </c>
      <c r="E270" s="25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4165.39092793376</v>
      </c>
      <c r="F270" s="25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4189.51921118838</v>
      </c>
      <c r="G270" s="25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4213.78725900842</v>
      </c>
      <c r="H270" s="25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4238.19588098871</v>
      </c>
      <c r="I270" s="25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4262.74589141373</v>
      </c>
      <c r="J270" s="25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4287.43810928475</v>
      </c>
      <c r="K270" s="25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4312.27335834714</v>
      </c>
      <c r="L270" s="25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4337.25246711789</v>
      </c>
      <c r="M270" s="25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4362.37626891321</v>
      </c>
      <c r="N270" s="7" t="n">
        <f aca="false">SUM(B270:M270)</f>
        <v>50721.7680579282</v>
      </c>
      <c r="O270" s="26" t="n">
        <f aca="false">MAX(B270:M270)</f>
        <v>4362.37626891321</v>
      </c>
      <c r="P270" s="15" t="n">
        <f aca="false">O270/parametros_recargas!$B$6</f>
        <v>29.0825084594214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5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4093.83663939225</v>
      </c>
      <c r="C271" s="25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4117.55044002762</v>
      </c>
      <c r="D271" s="25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4141.40160431233</v>
      </c>
      <c r="E271" s="25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4165.39092793376</v>
      </c>
      <c r="F271" s="25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4189.51921118838</v>
      </c>
      <c r="G271" s="25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4213.78725900842</v>
      </c>
      <c r="H271" s="25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4238.19588098871</v>
      </c>
      <c r="I271" s="25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4262.74589141373</v>
      </c>
      <c r="J271" s="25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4287.43810928475</v>
      </c>
      <c r="K271" s="25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4312.27335834714</v>
      </c>
      <c r="L271" s="25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4337.25246711789</v>
      </c>
      <c r="M271" s="25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4362.37626891321</v>
      </c>
      <c r="N271" s="7" t="n">
        <f aca="false">SUM(B271:M271)</f>
        <v>50721.7680579282</v>
      </c>
      <c r="O271" s="26" t="n">
        <f aca="false">MAX(B271:M271)</f>
        <v>4362.37626891321</v>
      </c>
      <c r="P271" s="15" t="n">
        <f aca="false">O271/parametros_recargas!$B$6</f>
        <v>29.0825084594214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5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2046.7027702975</v>
      </c>
      <c r="C272" s="25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2058.55842203203</v>
      </c>
      <c r="D272" s="25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2070.48274835873</v>
      </c>
      <c r="E272" s="25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2082.47614707941</v>
      </c>
      <c r="F272" s="25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2094.53901830016</v>
      </c>
      <c r="G272" s="25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2106.6717644447</v>
      </c>
      <c r="H272" s="25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2118.87479026784</v>
      </c>
      <c r="I272" s="25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2131.14850286893</v>
      </c>
      <c r="J272" s="25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2143.49331170549</v>
      </c>
      <c r="K272" s="25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2155.90962860684</v>
      </c>
      <c r="L272" s="25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2168.39786778783</v>
      </c>
      <c r="M272" s="25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2180.95844586271</v>
      </c>
      <c r="N272" s="7" t="n">
        <f aca="false">SUM(B272:M272)</f>
        <v>25358.2134176122</v>
      </c>
      <c r="O272" s="26" t="n">
        <f aca="false">MAX(B272:M272)</f>
        <v>2180.95844586271</v>
      </c>
      <c r="P272" s="15" t="n">
        <f aca="false">O272/parametros_recargas!$B$6</f>
        <v>14.5397229724181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5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17830.7206070176</v>
      </c>
      <c r="C273" s="25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17934.0061532925</v>
      </c>
      <c r="D273" s="25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18037.8899874495</v>
      </c>
      <c r="E273" s="25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18142.3755751081</v>
      </c>
      <c r="F273" s="25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18247.4664019624</v>
      </c>
      <c r="G273" s="25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18353.1659738977</v>
      </c>
      <c r="H273" s="25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18459.4778171073</v>
      </c>
      <c r="I273" s="25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18566.4054782103</v>
      </c>
      <c r="J273" s="25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18673.9525243697</v>
      </c>
      <c r="K273" s="25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18782.1225434115</v>
      </c>
      <c r="L273" s="25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18890.9191439446</v>
      </c>
      <c r="M273" s="25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19000.3459554807</v>
      </c>
      <c r="N273" s="7" t="n">
        <f aca="false">SUM(B273:M273)</f>
        <v>220918.848161252</v>
      </c>
      <c r="O273" s="26" t="n">
        <f aca="false">MAX(B273:M273)</f>
        <v>19000.3459554807</v>
      </c>
      <c r="P273" s="15" t="n">
        <f aca="false">O273/parametros_recargas!$B$6</f>
        <v>126.668973036538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5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25.6090995478909</v>
      </c>
      <c r="C274" s="25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25.7574418327995</v>
      </c>
      <c r="D274" s="25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25.9066433995212</v>
      </c>
      <c r="E274" s="25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26.0567092254988</v>
      </c>
      <c r="F274" s="25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26.2076443170073</v>
      </c>
      <c r="G274" s="25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26.3594537093206</v>
      </c>
      <c r="H274" s="25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26.5121424668801</v>
      </c>
      <c r="I274" s="25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26.6657156834629</v>
      </c>
      <c r="J274" s="25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26.8201784823524</v>
      </c>
      <c r="K274" s="25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26.975536016509</v>
      </c>
      <c r="L274" s="25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27.1317934687415</v>
      </c>
      <c r="M274" s="25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27.288956051881</v>
      </c>
      <c r="N274" s="7" t="n">
        <f aca="false">SUM(B274:M274)</f>
        <v>317.291314201865</v>
      </c>
      <c r="O274" s="26" t="n">
        <f aca="false">MAX(B274:M274)</f>
        <v>27.288956051881</v>
      </c>
      <c r="P274" s="15" t="n">
        <f aca="false">O274/parametros_recargas!$B$6</f>
        <v>0.181926373679206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5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23.0756470951406</v>
      </c>
      <c r="C275" s="25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23.2093142008284</v>
      </c>
      <c r="D275" s="25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23.3437555814507</v>
      </c>
      <c r="E275" s="25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23.4789757220428</v>
      </c>
      <c r="F275" s="25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23.6149791336195</v>
      </c>
      <c r="G275" s="25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23.7517703533264</v>
      </c>
      <c r="H275" s="25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23.8893539445904</v>
      </c>
      <c r="I275" s="25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24.0277344972726</v>
      </c>
      <c r="J275" s="25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24.1669166278211</v>
      </c>
      <c r="K275" s="25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24.3069049794249</v>
      </c>
      <c r="L275" s="25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24.4477042221691</v>
      </c>
      <c r="M275" s="25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24.5893190531906</v>
      </c>
      <c r="N275" s="7" t="n">
        <f aca="false">SUM(B275:M275)</f>
        <v>285.902375410877</v>
      </c>
      <c r="O275" s="26" t="n">
        <f aca="false">MAX(B275:M275)</f>
        <v>24.5893190531906</v>
      </c>
      <c r="P275" s="15" t="n">
        <f aca="false">O275/parametros_recargas!$B$6</f>
        <v>0.163928793687937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5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891.814773696784</v>
      </c>
      <c r="C276" s="25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896.980665648512</v>
      </c>
      <c r="D276" s="25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902.176481347237</v>
      </c>
      <c r="E276" s="25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907.402394128106</v>
      </c>
      <c r="F276" s="25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912.658578330318</v>
      </c>
      <c r="G276" s="25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917.945209302945</v>
      </c>
      <c r="H276" s="25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923.262463410777</v>
      </c>
      <c r="I276" s="25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928.61051804021</v>
      </c>
      <c r="J276" s="25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933.98955160516</v>
      </c>
      <c r="K276" s="25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939.399743553018</v>
      </c>
      <c r="L276" s="25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944.841274370633</v>
      </c>
      <c r="M276" s="25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950.314325590337</v>
      </c>
      <c r="N276" s="7" t="n">
        <f aca="false">SUM(B276:M276)</f>
        <v>11049.395979024</v>
      </c>
      <c r="O276" s="26" t="n">
        <f aca="false">MAX(B276:M276)</f>
        <v>950.314325590337</v>
      </c>
      <c r="P276" s="15" t="n">
        <f aca="false">O276/parametros_recargas!$B$6</f>
        <v>6.33542883726891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5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488.548942572459</v>
      </c>
      <c r="C277" s="25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491.378892383672</v>
      </c>
      <c r="D277" s="25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494.225234853299</v>
      </c>
      <c r="E277" s="25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497.088064936822</v>
      </c>
      <c r="F277" s="25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499.967478139759</v>
      </c>
      <c r="G277" s="25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502.86357052085</v>
      </c>
      <c r="H277" s="25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505.77643869526</v>
      </c>
      <c r="I277" s="25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508.706179837806</v>
      </c>
      <c r="J277" s="25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511.652891686192</v>
      </c>
      <c r="K277" s="25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514.616672544277</v>
      </c>
      <c r="L277" s="25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517.597621285349</v>
      </c>
      <c r="M277" s="25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520.595837355428</v>
      </c>
      <c r="N277" s="7" t="n">
        <f aca="false">SUM(B277:M277)</f>
        <v>6053.01782481117</v>
      </c>
      <c r="O277" s="26" t="n">
        <f aca="false">MAX(B277:M277)</f>
        <v>520.595837355428</v>
      </c>
      <c r="P277" s="15" t="n">
        <f aca="false">O277/parametros_recargas!$B$6</f>
        <v>3.47063891570285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5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17879.4053536606</v>
      </c>
      <c r="C278" s="25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17982.9729093261</v>
      </c>
      <c r="D278" s="25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18087.1403864305</v>
      </c>
      <c r="E278" s="25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18191.9112600557</v>
      </c>
      <c r="F278" s="25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18297.289025413</v>
      </c>
      <c r="G278" s="25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18403.2771979604</v>
      </c>
      <c r="H278" s="25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18509.8793135188</v>
      </c>
      <c r="I278" s="25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18617.098928391</v>
      </c>
      <c r="J278" s="25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18724.9396194799</v>
      </c>
      <c r="K278" s="25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18833.4049844075</v>
      </c>
      <c r="L278" s="25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18942.4986416355</v>
      </c>
      <c r="M278" s="25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19052.2242305858</v>
      </c>
      <c r="N278" s="7" t="n">
        <f aca="false">SUM(B278:M278)</f>
        <v>221522.041850865</v>
      </c>
      <c r="O278" s="26" t="n">
        <f aca="false">MAX(B278:M278)</f>
        <v>19052.2242305858</v>
      </c>
      <c r="P278" s="15" t="n">
        <f aca="false">O278/parametros_recargas!$B$6</f>
        <v>127.014828203905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5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17879.4053536606</v>
      </c>
      <c r="C279" s="25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17982.9729093261</v>
      </c>
      <c r="D279" s="25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18087.1403864305</v>
      </c>
      <c r="E279" s="25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18191.9112600557</v>
      </c>
      <c r="F279" s="25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18297.289025413</v>
      </c>
      <c r="G279" s="25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18403.2771979604</v>
      </c>
      <c r="H279" s="25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18509.8793135188</v>
      </c>
      <c r="I279" s="25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18617.098928391</v>
      </c>
      <c r="J279" s="25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18724.9396194799</v>
      </c>
      <c r="K279" s="25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18833.4049844075</v>
      </c>
      <c r="L279" s="25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18942.4986416355</v>
      </c>
      <c r="M279" s="25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19052.2242305858</v>
      </c>
      <c r="N279" s="7" t="n">
        <f aca="false">SUM(B279:M279)</f>
        <v>221522.041850865</v>
      </c>
      <c r="O279" s="26" t="n">
        <f aca="false">MAX(B279:M279)</f>
        <v>19052.2242305858</v>
      </c>
      <c r="P279" s="15" t="n">
        <f aca="false">O279/parametros_recargas!$B$6</f>
        <v>127.014828203905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5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1315.76666760118</v>
      </c>
      <c r="C280" s="25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1323.38832698493</v>
      </c>
      <c r="D280" s="25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1331.05413529964</v>
      </c>
      <c r="E280" s="25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1338.7643482807</v>
      </c>
      <c r="F280" s="25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1346.51922314487</v>
      </c>
      <c r="G280" s="25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1354.31901859887</v>
      </c>
      <c r="H280" s="25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1362.16399484798</v>
      </c>
      <c r="I280" s="25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1370.05441360472</v>
      </c>
      <c r="J280" s="25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1377.99053809763</v>
      </c>
      <c r="K280" s="25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1385.97263307998</v>
      </c>
      <c r="L280" s="25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1394.00096483867</v>
      </c>
      <c r="M280" s="25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1402.07580120308</v>
      </c>
      <c r="N280" s="7" t="n">
        <f aca="false">SUM(B280:M280)</f>
        <v>16302.0700655822</v>
      </c>
      <c r="O280" s="26" t="n">
        <f aca="false">MAX(B280:M280)</f>
        <v>1402.07580120308</v>
      </c>
      <c r="P280" s="15" t="n">
        <f aca="false">O280/parametros_recargas!$B$6</f>
        <v>9.34717200802053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5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16.8277750940143</v>
      </c>
      <c r="C281" s="25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16.925251016692</v>
      </c>
      <c r="D281" s="25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17.0232915746496</v>
      </c>
      <c r="E281" s="25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17.1219000385718</v>
      </c>
      <c r="F281" s="25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17.2210796980889</v>
      </c>
      <c r="G281" s="25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17.3208338618864</v>
      </c>
      <c r="H281" s="25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17.4211658578159</v>
      </c>
      <c r="I281" s="25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17.5220790330053</v>
      </c>
      <c r="J281" s="25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17.6235767539714</v>
      </c>
      <c r="K281" s="25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17.7256624067316</v>
      </c>
      <c r="L281" s="25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17.8283393969169</v>
      </c>
      <c r="M281" s="25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17.9316111498857</v>
      </c>
      <c r="N281" s="7" t="n">
        <f aca="false">SUM(B281:M281)</f>
        <v>208.49256588223</v>
      </c>
      <c r="O281" s="26" t="n">
        <f aca="false">MAX(B281:M281)</f>
        <v>17.9316111498857</v>
      </c>
      <c r="P281" s="15" t="n">
        <f aca="false">O281/parametros_recargas!$B$6</f>
        <v>0.119544074332572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5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1190.43085795111</v>
      </c>
      <c r="C282" s="25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1197.32650194531</v>
      </c>
      <c r="D282" s="25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1204.26208938165</v>
      </c>
      <c r="E282" s="25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1211.23785163497</v>
      </c>
      <c r="F282" s="25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1218.25402142037</v>
      </c>
      <c r="G282" s="25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1225.31083280098</v>
      </c>
      <c r="H282" s="25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1232.40852119572</v>
      </c>
      <c r="I282" s="25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1239.54732338723</v>
      </c>
      <c r="J282" s="25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1246.7274775297</v>
      </c>
      <c r="K282" s="25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1253.94922315684</v>
      </c>
      <c r="L282" s="25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1261.2128011899</v>
      </c>
      <c r="M282" s="25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1268.51845394566</v>
      </c>
      <c r="N282" s="7" t="n">
        <f aca="false">SUM(B282:M282)</f>
        <v>14749.1859555394</v>
      </c>
      <c r="O282" s="26" t="n">
        <f aca="false">MAX(B282:M282)</f>
        <v>1268.51845394566</v>
      </c>
      <c r="P282" s="15" t="n">
        <f aca="false">O282/parametros_recargas!$B$6</f>
        <v>8.45678969297104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5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20467.027702975</v>
      </c>
      <c r="C283" s="25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20585.5842203203</v>
      </c>
      <c r="D283" s="25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20704.8274835873</v>
      </c>
      <c r="E283" s="25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20824.7614707941</v>
      </c>
      <c r="F283" s="25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20945.3901830016</v>
      </c>
      <c r="G283" s="25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21066.717644447</v>
      </c>
      <c r="H283" s="25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21188.7479026784</v>
      </c>
      <c r="I283" s="25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21311.4850286893</v>
      </c>
      <c r="J283" s="25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21434.9331170549</v>
      </c>
      <c r="K283" s="25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21559.0962860683</v>
      </c>
      <c r="L283" s="25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21683.9786778783</v>
      </c>
      <c r="M283" s="25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21809.5844586271</v>
      </c>
      <c r="N283" s="7" t="n">
        <f aca="false">SUM(B283:M283)</f>
        <v>253582.134176122</v>
      </c>
      <c r="O283" s="26" t="n">
        <f aca="false">MAX(B283:M283)</f>
        <v>21809.5844586271</v>
      </c>
      <c r="P283" s="15" t="n">
        <f aca="false">O283/parametros_recargas!$B$6</f>
        <v>145.397229724181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5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20467.027702975</v>
      </c>
      <c r="C284" s="25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20585.5842203203</v>
      </c>
      <c r="D284" s="25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20704.8274835873</v>
      </c>
      <c r="E284" s="25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20824.7614707941</v>
      </c>
      <c r="F284" s="25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20945.3901830016</v>
      </c>
      <c r="G284" s="25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21066.717644447</v>
      </c>
      <c r="H284" s="25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21188.7479026784</v>
      </c>
      <c r="I284" s="25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21311.4850286893</v>
      </c>
      <c r="J284" s="25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21434.9331170549</v>
      </c>
      <c r="K284" s="25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21559.0962860683</v>
      </c>
      <c r="L284" s="25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21683.9786778783</v>
      </c>
      <c r="M284" s="25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21809.5844586271</v>
      </c>
      <c r="N284" s="7" t="n">
        <f aca="false">SUM(B284:M284)</f>
        <v>253582.134176122</v>
      </c>
      <c r="O284" s="26" t="n">
        <f aca="false">MAX(B284:M284)</f>
        <v>21809.5844586271</v>
      </c>
      <c r="P284" s="15" t="n">
        <f aca="false">O284/parametros_recargas!$B$6</f>
        <v>145.397229724181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5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1610.22060831731</v>
      </c>
      <c r="C285" s="25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1619.54791027098</v>
      </c>
      <c r="D285" s="25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1628.92924119514</v>
      </c>
      <c r="E285" s="25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1638.36491405593</v>
      </c>
      <c r="F285" s="25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1647.85524363236</v>
      </c>
      <c r="G285" s="25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1657.40054652682</v>
      </c>
      <c r="H285" s="25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1667.00114117564</v>
      </c>
      <c r="I285" s="25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1676.65734785971</v>
      </c>
      <c r="J285" s="25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1686.36948871516</v>
      </c>
      <c r="K285" s="25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1696.13788774412</v>
      </c>
      <c r="L285" s="25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1705.96287082552</v>
      </c>
      <c r="M285" s="25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1715.84476572598</v>
      </c>
      <c r="N285" s="7" t="n">
        <f aca="false">SUM(B285:M285)</f>
        <v>19950.2919660447</v>
      </c>
      <c r="O285" s="26" t="n">
        <f aca="false">MAX(B285:M285)</f>
        <v>1715.84476572598</v>
      </c>
      <c r="P285" s="15" t="n">
        <f aca="false">O285/parametros_recargas!$B$6</f>
        <v>11.4389651048399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5" t="n">
        <f aca="false">'Plan mensual'!D285</f>
        <v>679.051445960385</v>
      </c>
      <c r="C286" s="25" t="n">
        <f aca="false">'Plan mensual'!E285</f>
        <v>682.98489324446</v>
      </c>
      <c r="D286" s="25" t="n">
        <f aca="false">'Plan mensual'!F285</f>
        <v>686.94112526396</v>
      </c>
      <c r="E286" s="25" t="n">
        <f aca="false">'Plan mensual'!G285</f>
        <v>690.920274000869</v>
      </c>
      <c r="F286" s="25" t="n">
        <f aca="false">'Plan mensual'!H285</f>
        <v>694.92247220168</v>
      </c>
      <c r="G286" s="25" t="n">
        <f aca="false">'Plan mensual'!I285</f>
        <v>698.947853381833</v>
      </c>
      <c r="H286" s="25" t="n">
        <f aca="false">'Plan mensual'!J285</f>
        <v>702.996551830161</v>
      </c>
      <c r="I286" s="25" t="n">
        <f aca="false">'Plan mensual'!K285</f>
        <v>707.068702613376</v>
      </c>
      <c r="J286" s="25" t="n">
        <f aca="false">'Plan mensual'!L285</f>
        <v>711.164441580569</v>
      </c>
      <c r="K286" s="25" t="n">
        <f aca="false">'Plan mensual'!M285</f>
        <v>715.283905367749</v>
      </c>
      <c r="L286" s="25" t="n">
        <f aca="false">'Plan mensual'!N285</f>
        <v>719.427231402395</v>
      </c>
      <c r="M286" s="25" t="n">
        <f aca="false">'Plan mensual'!O285</f>
        <v>723.594557908043</v>
      </c>
      <c r="N286" s="7" t="n">
        <f aca="false">SUM(B286:M286)</f>
        <v>8413.30345475548</v>
      </c>
      <c r="O286" s="26" t="n">
        <f aca="false">MAX(B286:M286)</f>
        <v>723.594557908043</v>
      </c>
      <c r="P286" s="15" t="n">
        <f aca="false">O286/parametros_recargas!$B$6</f>
        <v>4.82396371938695</v>
      </c>
    </row>
    <row r="289" customFormat="false" ht="23.85" hidden="false" customHeight="false" outlineLevel="0" collapsed="false">
      <c r="A289" s="3" t="s">
        <v>287</v>
      </c>
      <c r="B289" s="3" t="s">
        <v>124</v>
      </c>
      <c r="C289" s="3" t="s">
        <v>125</v>
      </c>
      <c r="D289" s="3" t="s">
        <v>126</v>
      </c>
      <c r="E289" s="3" t="s">
        <v>127</v>
      </c>
      <c r="F289" s="3" t="s">
        <v>128</v>
      </c>
      <c r="G289" s="3" t="s">
        <v>129</v>
      </c>
      <c r="H289" s="3" t="s">
        <v>130</v>
      </c>
      <c r="I289" s="3" t="s">
        <v>131</v>
      </c>
      <c r="J289" s="3" t="s">
        <v>132</v>
      </c>
      <c r="K289" s="3" t="s">
        <v>133</v>
      </c>
      <c r="L289" s="3" t="s">
        <v>134</v>
      </c>
      <c r="M289" s="3" t="s">
        <v>135</v>
      </c>
      <c r="N289" s="3" t="s">
        <v>276</v>
      </c>
      <c r="O289" s="3" t="s">
        <v>277</v>
      </c>
      <c r="P289" s="3" t="s">
        <v>278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5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21940.1495711653</v>
      </c>
      <c r="C290" s="25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22067.2392375762</v>
      </c>
      <c r="D290" s="25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22195.0650786998</v>
      </c>
      <c r="E290" s="25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22323.6313588734</v>
      </c>
      <c r="F290" s="25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22452.9423671359</v>
      </c>
      <c r="G290" s="25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22583.0024173706</v>
      </c>
      <c r="H290" s="25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22713.815848449</v>
      </c>
      <c r="I290" s="25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22845.3870243762</v>
      </c>
      <c r="J290" s="25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22977.7203344358</v>
      </c>
      <c r="K290" s="25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23110.8201933366</v>
      </c>
      <c r="L290" s="25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23244.69104136</v>
      </c>
      <c r="M290" s="25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23379.3373445079</v>
      </c>
      <c r="N290" s="7" t="n">
        <f aca="false">SUM(B290:M290)</f>
        <v>271833.801817287</v>
      </c>
      <c r="O290" s="26" t="n">
        <f aca="false">MAX(B290:M290)</f>
        <v>23379.3373445079</v>
      </c>
      <c r="P290" s="15" t="n">
        <f aca="false">O290/parametros_recargas!$B$6</f>
        <v>155.862248963386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5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21940.1495711653</v>
      </c>
      <c r="C291" s="25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22067.2392375762</v>
      </c>
      <c r="D291" s="25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22195.0650786998</v>
      </c>
      <c r="E291" s="25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22323.6313588734</v>
      </c>
      <c r="F291" s="25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22452.9423671359</v>
      </c>
      <c r="G291" s="25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22583.0024173706</v>
      </c>
      <c r="H291" s="25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22713.815848449</v>
      </c>
      <c r="I291" s="25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22845.3870243762</v>
      </c>
      <c r="J291" s="25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22977.7203344358</v>
      </c>
      <c r="K291" s="25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23110.8201933366</v>
      </c>
      <c r="L291" s="25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23244.69104136</v>
      </c>
      <c r="M291" s="25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23379.3373445079</v>
      </c>
      <c r="N291" s="7" t="n">
        <f aca="false">SUM(B291:M291)</f>
        <v>271833.801817287</v>
      </c>
      <c r="O291" s="26" t="n">
        <f aca="false">MAX(B291:M291)</f>
        <v>23379.3373445079</v>
      </c>
      <c r="P291" s="15" t="n">
        <f aca="false">O291/parametros_recargas!$B$6</f>
        <v>155.862248963386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5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16235.5328551667</v>
      </c>
      <c r="C292" s="25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16329.578178234</v>
      </c>
      <c r="D292" s="25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16424.168264622</v>
      </c>
      <c r="E292" s="25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16519.3062699057</v>
      </c>
      <c r="F292" s="25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16614.995367939</v>
      </c>
      <c r="G292" s="25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16711.2387509606</v>
      </c>
      <c r="H292" s="25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16808.0396297004</v>
      </c>
      <c r="I292" s="25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16905.4012334866</v>
      </c>
      <c r="J292" s="25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17003.3268103536</v>
      </c>
      <c r="K292" s="25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17101.8196271502</v>
      </c>
      <c r="L292" s="25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17200.8829696485</v>
      </c>
      <c r="M292" s="25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17300.5201426538</v>
      </c>
      <c r="N292" s="7" t="n">
        <f aca="false">SUM(B292:M292)</f>
        <v>201154.810099821</v>
      </c>
      <c r="O292" s="26" t="n">
        <f aca="false">MAX(B292:M292)</f>
        <v>17300.5201426538</v>
      </c>
      <c r="P292" s="15" t="n">
        <f aca="false">O292/parametros_recargas!$B$6</f>
        <v>115.336800951026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5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1910.06268884314</v>
      </c>
      <c r="C293" s="25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1921.12684449812</v>
      </c>
      <c r="D293" s="25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1932.25508995553</v>
      </c>
      <c r="E293" s="25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1943.44779645949</v>
      </c>
      <c r="F293" s="25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1954.70533740458</v>
      </c>
      <c r="G293" s="25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1966.0280883483</v>
      </c>
      <c r="H293" s="25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1977.41642702357</v>
      </c>
      <c r="I293" s="25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1988.87073335137</v>
      </c>
      <c r="J293" s="25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2000.39138945337</v>
      </c>
      <c r="K293" s="25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2011.97877966473</v>
      </c>
      <c r="L293" s="25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2023.63329054689</v>
      </c>
      <c r="M293" s="25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2035.35531090045</v>
      </c>
      <c r="N293" s="7" t="n">
        <f aca="false">SUM(B293:M293)</f>
        <v>23665.2717764495</v>
      </c>
      <c r="O293" s="26" t="n">
        <f aca="false">MAX(B293:M293)</f>
        <v>2035.35531090045</v>
      </c>
      <c r="P293" s="15" t="n">
        <f aca="false">O293/parametros_recargas!$B$6</f>
        <v>13.569035406003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5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27.774716328488</v>
      </c>
      <c r="C294" s="25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27.9356030818528</v>
      </c>
      <c r="D294" s="25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28.0974217816362</v>
      </c>
      <c r="E294" s="25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28.2601778261951</v>
      </c>
      <c r="F294" s="25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28.4238766451567</v>
      </c>
      <c r="G294" s="25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28.5885236995999</v>
      </c>
      <c r="H294" s="25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28.7541244822371</v>
      </c>
      <c r="I294" s="25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28.9206845175973</v>
      </c>
      <c r="J294" s="25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29.0882093622112</v>
      </c>
      <c r="K294" s="25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29.2567046047956</v>
      </c>
      <c r="L294" s="25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29.4261758664406</v>
      </c>
      <c r="M294" s="25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29.5966288007965</v>
      </c>
      <c r="N294" s="7" t="n">
        <f aca="false">SUM(B294:M294)</f>
        <v>344.122846997007</v>
      </c>
      <c r="O294" s="26" t="n">
        <f aca="false">MAX(B294:M294)</f>
        <v>29.5966288007965</v>
      </c>
      <c r="P294" s="15" t="n">
        <f aca="false">O294/parametros_recargas!$B$6</f>
        <v>0.197310858671976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5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961.20551139681</v>
      </c>
      <c r="C295" s="25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966.773353466411</v>
      </c>
      <c r="D295" s="25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972.3734476038</v>
      </c>
      <c r="E295" s="25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978.005980631065</v>
      </c>
      <c r="F295" s="25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983.671140452471</v>
      </c>
      <c r="G295" s="25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989.369116060731</v>
      </c>
      <c r="H295" s="25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995.100097543309</v>
      </c>
      <c r="I295" s="25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1000.86427608876</v>
      </c>
      <c r="J295" s="25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1006.66184399312</v>
      </c>
      <c r="K295" s="25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1012.49299466631</v>
      </c>
      <c r="L295" s="25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1018.35792263856</v>
      </c>
      <c r="M295" s="25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1024.25682356698</v>
      </c>
      <c r="N295" s="7" t="n">
        <f aca="false">SUM(B295:M295)</f>
        <v>11909.1325081083</v>
      </c>
      <c r="O295" s="26" t="n">
        <f aca="false">MAX(B295:M295)</f>
        <v>1024.25682356698</v>
      </c>
      <c r="P295" s="15" t="n">
        <f aca="false">O295/parametros_recargas!$B$6</f>
        <v>6.82837882377987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5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438.096474110134</v>
      </c>
      <c r="C296" s="25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440.63417489334</v>
      </c>
      <c r="D296" s="25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443.186575464484</v>
      </c>
      <c r="E296" s="25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445.753760972989</v>
      </c>
      <c r="F296" s="25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448.335817061517</v>
      </c>
      <c r="G296" s="25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450.932829868816</v>
      </c>
      <c r="H296" s="25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453.544886032601</v>
      </c>
      <c r="I296" s="25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456.172072692439</v>
      </c>
      <c r="J296" s="25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458.814477492661</v>
      </c>
      <c r="K296" s="25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461.47218858528</v>
      </c>
      <c r="L296" s="25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464.145294632937</v>
      </c>
      <c r="M296" s="25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466.833884811856</v>
      </c>
      <c r="N296" s="7" t="n">
        <f aca="false">SUM(B296:M296)</f>
        <v>5427.92243661905</v>
      </c>
      <c r="O296" s="26" t="n">
        <f aca="false">MAX(B296:M296)</f>
        <v>466.833884811856</v>
      </c>
      <c r="P296" s="15" t="n">
        <f aca="false">O296/parametros_recargas!$B$6</f>
        <v>3.11222589874571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5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18.2674885455571</v>
      </c>
      <c r="C297" s="25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18.3733040969912</v>
      </c>
      <c r="D297" s="25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18.4797325915179</v>
      </c>
      <c r="E297" s="25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18.586777579648</v>
      </c>
      <c r="F297" s="25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18.6944426324585</v>
      </c>
      <c r="G297" s="25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18.8027313417123</v>
      </c>
      <c r="H297" s="25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18.9116473199776</v>
      </c>
      <c r="I297" s="25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19.0211942007488</v>
      </c>
      <c r="J297" s="25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19.1313756385675</v>
      </c>
      <c r="K297" s="25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19.2421953091445</v>
      </c>
      <c r="L297" s="25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19.3536569094822</v>
      </c>
      <c r="M297" s="25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19.4657641579984</v>
      </c>
      <c r="N297" s="7" t="n">
        <f aca="false">SUM(B297:M297)</f>
        <v>226.330310323804</v>
      </c>
      <c r="O297" s="26" t="n">
        <f aca="false">MAX(B297:M297)</f>
        <v>19.4657641579984</v>
      </c>
      <c r="P297" s="15" t="n">
        <f aca="false">O297/parametros_recargas!$B$6</f>
        <v>0.129771761053323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5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19153.4882091458</v>
      </c>
      <c r="C298" s="25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19264.4359681484</v>
      </c>
      <c r="D298" s="25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19376.026398872</v>
      </c>
      <c r="E298" s="25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19488.2632240318</v>
      </c>
      <c r="F298" s="25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19601.1501879076</v>
      </c>
      <c r="G298" s="25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19714.6910564677</v>
      </c>
      <c r="H298" s="25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19828.8896174954</v>
      </c>
      <c r="I298" s="25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19943.7496807147</v>
      </c>
      <c r="J298" s="25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20059.2750779178</v>
      </c>
      <c r="K298" s="25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20175.4696630926</v>
      </c>
      <c r="L298" s="25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20292.3373125518</v>
      </c>
      <c r="M298" s="25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20409.8819250615</v>
      </c>
      <c r="N298" s="7" t="n">
        <f aca="false">SUM(B298:M298)</f>
        <v>237307.658321407</v>
      </c>
      <c r="O298" s="26" t="n">
        <f aca="false">MAX(B298:M298)</f>
        <v>20409.8819250615</v>
      </c>
      <c r="P298" s="15" t="n">
        <f aca="false">O298/parametros_recargas!$B$6</f>
        <v>136.06587950041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5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1417.5694740525</v>
      </c>
      <c r="C299" s="25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1425.78083245674</v>
      </c>
      <c r="D299" s="25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1434.0397556598</v>
      </c>
      <c r="E299" s="25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1442.3465191837</v>
      </c>
      <c r="F299" s="25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1450.70140014645</v>
      </c>
      <c r="G299" s="25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1459.10467727126</v>
      </c>
      <c r="H299" s="25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1467.55663089589</v>
      </c>
      <c r="I299" s="25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1476.05754298195</v>
      </c>
      <c r="J299" s="25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1484.60769712435</v>
      </c>
      <c r="K299" s="25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1493.20737856073</v>
      </c>
      <c r="L299" s="25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1501.85687418098</v>
      </c>
      <c r="M299" s="25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1510.55647253684</v>
      </c>
      <c r="N299" s="7" t="n">
        <f aca="false">SUM(B299:M299)</f>
        <v>17563.3852550512</v>
      </c>
      <c r="O299" s="26" t="n">
        <f aca="false">MAX(B299:M299)</f>
        <v>1510.55647253684</v>
      </c>
      <c r="P299" s="15" t="n">
        <f aca="false">O299/parametros_recargas!$B$6</f>
        <v>10.0703764835789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5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19.1284016047599</v>
      </c>
      <c r="C300" s="25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19.239204048063</v>
      </c>
      <c r="D300" s="25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19.3506483213369</v>
      </c>
      <c r="E300" s="25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19.4627381424211</v>
      </c>
      <c r="F300" s="25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19.575477250691</v>
      </c>
      <c r="G300" s="25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19.6888694071826</v>
      </c>
      <c r="H300" s="25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19.802918394718</v>
      </c>
      <c r="I300" s="25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19.9176280180313</v>
      </c>
      <c r="J300" s="25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20.0330021038959</v>
      </c>
      <c r="K300" s="25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20.1490445012521</v>
      </c>
      <c r="L300" s="25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20.2657590813353</v>
      </c>
      <c r="M300" s="25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20.3831497378053</v>
      </c>
      <c r="N300" s="7" t="n">
        <f aca="false">SUM(B300:M300)</f>
        <v>236.996840611492</v>
      </c>
      <c r="O300" s="26" t="n">
        <f aca="false">MAX(B300:M300)</f>
        <v>20.3831497378053</v>
      </c>
      <c r="P300" s="15" t="n">
        <f aca="false">O300/parametros_recargas!$B$6</f>
        <v>0.135887664918702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5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4676.39156765211</v>
      </c>
      <c r="C301" s="25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4703.47985355516</v>
      </c>
      <c r="D301" s="25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4730.72505002109</v>
      </c>
      <c r="E301" s="25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4758.12806596401</v>
      </c>
      <c r="F301" s="25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4785.68981556293</v>
      </c>
      <c r="G301" s="25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4813.41121829234</v>
      </c>
      <c r="H301" s="25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4841.2931989528</v>
      </c>
      <c r="I301" s="25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4869.33668770187</v>
      </c>
      <c r="J301" s="25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4897.5426200851</v>
      </c>
      <c r="K301" s="25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4925.91193706721</v>
      </c>
      <c r="L301" s="25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4954.44558506357</v>
      </c>
      <c r="M301" s="25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4983.14451597168</v>
      </c>
      <c r="N301" s="7" t="n">
        <f aca="false">SUM(B301:M301)</f>
        <v>57939.5001158899</v>
      </c>
      <c r="O301" s="26" t="n">
        <f aca="false">MAX(B301:M301)</f>
        <v>4983.14451597168</v>
      </c>
      <c r="P301" s="15" t="n">
        <f aca="false">O301/parametros_recargas!$B$6</f>
        <v>33.2209634398112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5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4387.32369404516</v>
      </c>
      <c r="C302" s="25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4412.73753650344</v>
      </c>
      <c r="D302" s="25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4438.29859020791</v>
      </c>
      <c r="E302" s="25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4464.00770788879</v>
      </c>
      <c r="F302" s="25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4489.86574721577</v>
      </c>
      <c r="G302" s="25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4515.87357082665</v>
      </c>
      <c r="H302" s="25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4542.0320463561</v>
      </c>
      <c r="I302" s="25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4568.34204646464</v>
      </c>
      <c r="J302" s="25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4594.80444886771</v>
      </c>
      <c r="K302" s="25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4621.42013636499</v>
      </c>
      <c r="L302" s="25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4648.18999686981</v>
      </c>
      <c r="M302" s="25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4675.1149234388</v>
      </c>
      <c r="N302" s="7" t="n">
        <f aca="false">SUM(B302:M302)</f>
        <v>54358.0104450498</v>
      </c>
      <c r="O302" s="26" t="n">
        <f aca="false">MAX(B302:M302)</f>
        <v>4675.1149234388</v>
      </c>
      <c r="P302" s="15" t="n">
        <f aca="false">O302/parametros_recargas!$B$6</f>
        <v>31.1674328229253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5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4387.32369404516</v>
      </c>
      <c r="C303" s="25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4412.73753650344</v>
      </c>
      <c r="D303" s="25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4438.29859020791</v>
      </c>
      <c r="E303" s="25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4464.00770788879</v>
      </c>
      <c r="F303" s="25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4489.86574721577</v>
      </c>
      <c r="G303" s="25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4515.87357082665</v>
      </c>
      <c r="H303" s="25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4542.0320463561</v>
      </c>
      <c r="I303" s="25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4568.34204646464</v>
      </c>
      <c r="J303" s="25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4594.80444886771</v>
      </c>
      <c r="K303" s="25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4621.42013636499</v>
      </c>
      <c r="L303" s="25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4648.18999686981</v>
      </c>
      <c r="M303" s="25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4675.1149234388</v>
      </c>
      <c r="N303" s="7" t="n">
        <f aca="false">SUM(B303:M303)</f>
        <v>54358.0104450498</v>
      </c>
      <c r="O303" s="26" t="n">
        <f aca="false">MAX(B303:M303)</f>
        <v>4675.1149234388</v>
      </c>
      <c r="P303" s="15" t="n">
        <f aca="false">O303/parametros_recargas!$B$6</f>
        <v>31.1674328229253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5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2194.01495711653</v>
      </c>
      <c r="C304" s="25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2206.72392375762</v>
      </c>
      <c r="D304" s="25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2219.50650786998</v>
      </c>
      <c r="E304" s="25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2232.36313588734</v>
      </c>
      <c r="F304" s="25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2245.29423671359</v>
      </c>
      <c r="G304" s="25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2258.30024173706</v>
      </c>
      <c r="H304" s="25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2271.3815848449</v>
      </c>
      <c r="I304" s="25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2284.53870243762</v>
      </c>
      <c r="J304" s="25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2297.77203344358</v>
      </c>
      <c r="K304" s="25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2311.08201933366</v>
      </c>
      <c r="L304" s="25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2324.469104136</v>
      </c>
      <c r="M304" s="25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2337.93373445079</v>
      </c>
      <c r="N304" s="7" t="n">
        <f aca="false">SUM(B304:M304)</f>
        <v>27183.3801817287</v>
      </c>
      <c r="O304" s="26" t="n">
        <f aca="false">MAX(B304:M304)</f>
        <v>2337.93373445079</v>
      </c>
      <c r="P304" s="15" t="n">
        <f aca="false">O304/parametros_recargas!$B$6</f>
        <v>15.5862248963386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5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19100.6268884314</v>
      </c>
      <c r="C305" s="25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19211.2684449812</v>
      </c>
      <c r="D305" s="25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19322.5508995553</v>
      </c>
      <c r="E305" s="25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19434.4779645949</v>
      </c>
      <c r="F305" s="25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19547.0533740458</v>
      </c>
      <c r="G305" s="25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19660.280883483</v>
      </c>
      <c r="H305" s="25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19774.1642702357</v>
      </c>
      <c r="I305" s="25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19888.7073335137</v>
      </c>
      <c r="J305" s="25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20003.9138945337</v>
      </c>
      <c r="K305" s="25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20119.7877966473</v>
      </c>
      <c r="L305" s="25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20236.3329054689</v>
      </c>
      <c r="M305" s="25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20353.5531090045</v>
      </c>
      <c r="N305" s="7" t="n">
        <f aca="false">SUM(B305:M305)</f>
        <v>236652.717764495</v>
      </c>
      <c r="O305" s="26" t="n">
        <f aca="false">MAX(B305:M305)</f>
        <v>20353.5531090045</v>
      </c>
      <c r="P305" s="15" t="n">
        <f aca="false">O305/parametros_recargas!$B$6</f>
        <v>135.69035406003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5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27.774716328488</v>
      </c>
      <c r="C306" s="25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27.9356030818528</v>
      </c>
      <c r="D306" s="25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28.0974217816362</v>
      </c>
      <c r="E306" s="25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28.2601778261951</v>
      </c>
      <c r="F306" s="25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28.4238766451567</v>
      </c>
      <c r="G306" s="25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28.5885236995999</v>
      </c>
      <c r="H306" s="25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28.7541244822371</v>
      </c>
      <c r="I306" s="25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28.9206845175973</v>
      </c>
      <c r="J306" s="25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29.0882093622112</v>
      </c>
      <c r="K306" s="25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29.2567046047956</v>
      </c>
      <c r="L306" s="25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29.4261758664406</v>
      </c>
      <c r="M306" s="25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29.5966288007965</v>
      </c>
      <c r="N306" s="7" t="n">
        <f aca="false">SUM(B306:M306)</f>
        <v>344.122846997007</v>
      </c>
      <c r="O306" s="26" t="n">
        <f aca="false">MAX(B306:M306)</f>
        <v>29.5966288007965</v>
      </c>
      <c r="P306" s="15" t="n">
        <f aca="false">O306/parametros_recargas!$B$6</f>
        <v>0.197310858671976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5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25.0866043858567</v>
      </c>
      <c r="C307" s="25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25.2319200853891</v>
      </c>
      <c r="D307" s="25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25.3780775350526</v>
      </c>
      <c r="E307" s="25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25.5250816107366</v>
      </c>
      <c r="F307" s="25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25.6729372165744</v>
      </c>
      <c r="G307" s="25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25.8216492851069</v>
      </c>
      <c r="H307" s="25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25.971222777447</v>
      </c>
      <c r="I307" s="25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26.1216626834449</v>
      </c>
      <c r="J307" s="25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26.2729740218552</v>
      </c>
      <c r="K307" s="25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26.4251618405038</v>
      </c>
      <c r="L307" s="25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26.5782312164562</v>
      </c>
      <c r="M307" s="25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26.7321872561876</v>
      </c>
      <c r="N307" s="7" t="n">
        <f aca="false">SUM(B307:M307)</f>
        <v>310.817709914611</v>
      </c>
      <c r="O307" s="26" t="n">
        <f aca="false">MAX(B307:M307)</f>
        <v>26.7321872561876</v>
      </c>
      <c r="P307" s="15" t="n">
        <f aca="false">O307/parametros_recargas!$B$6</f>
        <v>0.178214581707917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5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961.20551139681</v>
      </c>
      <c r="C308" s="25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966.773353466411</v>
      </c>
      <c r="D308" s="25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972.3734476038</v>
      </c>
      <c r="E308" s="25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978.005980631065</v>
      </c>
      <c r="F308" s="25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983.671140452471</v>
      </c>
      <c r="G308" s="25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989.369116060731</v>
      </c>
      <c r="H308" s="25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995.100097543309</v>
      </c>
      <c r="I308" s="25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1000.86427608876</v>
      </c>
      <c r="J308" s="25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1006.66184399312</v>
      </c>
      <c r="K308" s="25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1012.49299466631</v>
      </c>
      <c r="L308" s="25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1018.35792263856</v>
      </c>
      <c r="M308" s="25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1024.25682356698</v>
      </c>
      <c r="N308" s="7" t="n">
        <f aca="false">SUM(B308:M308)</f>
        <v>11909.1325081083</v>
      </c>
      <c r="O308" s="26" t="n">
        <f aca="false">MAX(B308:M308)</f>
        <v>1024.25682356698</v>
      </c>
      <c r="P308" s="15" t="n">
        <f aca="false">O308/parametros_recargas!$B$6</f>
        <v>6.82837882377987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5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525.71576893216</v>
      </c>
      <c r="C309" s="25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528.761009872009</v>
      </c>
      <c r="D309" s="25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531.82389055738</v>
      </c>
      <c r="E309" s="25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534.904513167587</v>
      </c>
      <c r="F309" s="25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538.00298047382</v>
      </c>
      <c r="G309" s="25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541.119395842579</v>
      </c>
      <c r="H309" s="25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544.253863239121</v>
      </c>
      <c r="I309" s="25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547.406487230927</v>
      </c>
      <c r="J309" s="25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550.577372991193</v>
      </c>
      <c r="K309" s="25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553.766626302336</v>
      </c>
      <c r="L309" s="25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556.974353559524</v>
      </c>
      <c r="M309" s="25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560.200661774227</v>
      </c>
      <c r="N309" s="7" t="n">
        <f aca="false">SUM(B309:M309)</f>
        <v>6513.50692394286</v>
      </c>
      <c r="O309" s="26" t="n">
        <f aca="false">MAX(B309:M309)</f>
        <v>560.200661774227</v>
      </c>
      <c r="P309" s="15" t="n">
        <f aca="false">O309/parametros_recargas!$B$6</f>
        <v>3.73467107849485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5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19153.4882091458</v>
      </c>
      <c r="C310" s="25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19264.4359681484</v>
      </c>
      <c r="D310" s="25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19376.026398872</v>
      </c>
      <c r="E310" s="25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19488.2632240318</v>
      </c>
      <c r="F310" s="25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19601.1501879076</v>
      </c>
      <c r="G310" s="25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19714.6910564677</v>
      </c>
      <c r="H310" s="25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19828.8896174954</v>
      </c>
      <c r="I310" s="25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19943.7496807147</v>
      </c>
      <c r="J310" s="25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20059.2750779178</v>
      </c>
      <c r="K310" s="25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20175.4696630926</v>
      </c>
      <c r="L310" s="25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20292.3373125518</v>
      </c>
      <c r="M310" s="25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20409.8819250615</v>
      </c>
      <c r="N310" s="7" t="n">
        <f aca="false">SUM(B310:M310)</f>
        <v>237307.658321407</v>
      </c>
      <c r="O310" s="26" t="n">
        <f aca="false">MAX(B310:M310)</f>
        <v>20409.8819250615</v>
      </c>
      <c r="P310" s="15" t="n">
        <f aca="false">O310/parametros_recargas!$B$6</f>
        <v>136.06587950041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5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19153.4882091458</v>
      </c>
      <c r="C311" s="25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19264.4359681484</v>
      </c>
      <c r="D311" s="25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19376.026398872</v>
      </c>
      <c r="E311" s="25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19488.2632240318</v>
      </c>
      <c r="F311" s="25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19601.1501879076</v>
      </c>
      <c r="G311" s="25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19714.6910564677</v>
      </c>
      <c r="H311" s="25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19828.8896174954</v>
      </c>
      <c r="I311" s="25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19943.7496807147</v>
      </c>
      <c r="J311" s="25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20059.2750779178</v>
      </c>
      <c r="K311" s="25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20175.4696630926</v>
      </c>
      <c r="L311" s="25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20292.3373125518</v>
      </c>
      <c r="M311" s="25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20409.8819250615</v>
      </c>
      <c r="N311" s="7" t="n">
        <f aca="false">SUM(B311:M311)</f>
        <v>237307.658321407</v>
      </c>
      <c r="O311" s="26" t="n">
        <f aca="false">MAX(B311:M311)</f>
        <v>20409.8819250615</v>
      </c>
      <c r="P311" s="15" t="n">
        <f aca="false">O311/parametros_recargas!$B$6</f>
        <v>136.06587950041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5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1417.5694740525</v>
      </c>
      <c r="C312" s="25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1425.78083245674</v>
      </c>
      <c r="D312" s="25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1434.0397556598</v>
      </c>
      <c r="E312" s="25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1442.3465191837</v>
      </c>
      <c r="F312" s="25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1450.70140014645</v>
      </c>
      <c r="G312" s="25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1459.10467727126</v>
      </c>
      <c r="H312" s="25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1467.55663089589</v>
      </c>
      <c r="I312" s="25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1476.05754298195</v>
      </c>
      <c r="J312" s="25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1484.60769712435</v>
      </c>
      <c r="K312" s="25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1493.20737856073</v>
      </c>
      <c r="L312" s="25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1501.85687418098</v>
      </c>
      <c r="M312" s="25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1510.55647253684</v>
      </c>
      <c r="N312" s="7" t="n">
        <f aca="false">SUM(B312:M312)</f>
        <v>17563.3852550512</v>
      </c>
      <c r="O312" s="26" t="n">
        <f aca="false">MAX(B312:M312)</f>
        <v>1510.55647253684</v>
      </c>
      <c r="P312" s="15" t="n">
        <f aca="false">O312/parametros_recargas!$B$6</f>
        <v>10.0703764835789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5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18.2674885455571</v>
      </c>
      <c r="C313" s="25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18.3733040969912</v>
      </c>
      <c r="D313" s="25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18.4797325915179</v>
      </c>
      <c r="E313" s="25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18.586777579648</v>
      </c>
      <c r="F313" s="25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18.6944426324585</v>
      </c>
      <c r="G313" s="25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18.8027313417123</v>
      </c>
      <c r="H313" s="25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18.9116473199776</v>
      </c>
      <c r="I313" s="25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19.0211942007488</v>
      </c>
      <c r="J313" s="25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19.1313756385675</v>
      </c>
      <c r="K313" s="25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19.2421953091445</v>
      </c>
      <c r="L313" s="25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19.3536569094822</v>
      </c>
      <c r="M313" s="25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19.4657641579984</v>
      </c>
      <c r="N313" s="7" t="n">
        <f aca="false">SUM(B313:M313)</f>
        <v>226.330310323804</v>
      </c>
      <c r="O313" s="26" t="n">
        <f aca="false">MAX(B313:M313)</f>
        <v>19.4657641579984</v>
      </c>
      <c r="P313" s="15" t="n">
        <f aca="false">O313/parametros_recargas!$B$6</f>
        <v>0.129771761053323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5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1281.47259314505</v>
      </c>
      <c r="C314" s="25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1288.89560199233</v>
      </c>
      <c r="D314" s="25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1296.36160907511</v>
      </c>
      <c r="E314" s="25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1303.87086346331</v>
      </c>
      <c r="F314" s="25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1311.42361566962</v>
      </c>
      <c r="G314" s="25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1319.02011765782</v>
      </c>
      <c r="H314" s="25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1326.66062285122</v>
      </c>
      <c r="I314" s="25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1334.34538614108</v>
      </c>
      <c r="J314" s="25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1342.07466389515</v>
      </c>
      <c r="K314" s="25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1349.84871396622</v>
      </c>
      <c r="L314" s="25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1357.66779570067</v>
      </c>
      <c r="M314" s="25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1365.53216994719</v>
      </c>
      <c r="N314" s="7" t="n">
        <f aca="false">SUM(B314:M314)</f>
        <v>15877.1737535048</v>
      </c>
      <c r="O314" s="26" t="n">
        <f aca="false">MAX(B314:M314)</f>
        <v>1365.53216994719</v>
      </c>
      <c r="P314" s="15" t="n">
        <f aca="false">O314/parametros_recargas!$B$6</f>
        <v>9.10354779964795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5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21940.1495711653</v>
      </c>
      <c r="C315" s="25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22067.2392375762</v>
      </c>
      <c r="D315" s="25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22195.0650786998</v>
      </c>
      <c r="E315" s="25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22323.6313588734</v>
      </c>
      <c r="F315" s="25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22452.9423671359</v>
      </c>
      <c r="G315" s="25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22583.0024173706</v>
      </c>
      <c r="H315" s="25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22713.815848449</v>
      </c>
      <c r="I315" s="25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22845.3870243762</v>
      </c>
      <c r="J315" s="25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22977.7203344358</v>
      </c>
      <c r="K315" s="25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23110.8201933366</v>
      </c>
      <c r="L315" s="25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23244.69104136</v>
      </c>
      <c r="M315" s="25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23379.3373445079</v>
      </c>
      <c r="N315" s="7" t="n">
        <f aca="false">SUM(B315:M315)</f>
        <v>271833.801817287</v>
      </c>
      <c r="O315" s="26" t="n">
        <f aca="false">MAX(B315:M315)</f>
        <v>23379.3373445079</v>
      </c>
      <c r="P315" s="15" t="n">
        <f aca="false">O315/parametros_recargas!$B$6</f>
        <v>155.862248963386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5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21940.1495711653</v>
      </c>
      <c r="C316" s="25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22067.2392375762</v>
      </c>
      <c r="D316" s="25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22195.0650786998</v>
      </c>
      <c r="E316" s="25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22323.6313588734</v>
      </c>
      <c r="F316" s="25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22452.9423671359</v>
      </c>
      <c r="G316" s="25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22583.0024173706</v>
      </c>
      <c r="H316" s="25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22713.815848449</v>
      </c>
      <c r="I316" s="25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22845.3870243762</v>
      </c>
      <c r="J316" s="25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22977.7203344358</v>
      </c>
      <c r="K316" s="25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23110.8201933366</v>
      </c>
      <c r="L316" s="25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23244.69104136</v>
      </c>
      <c r="M316" s="25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23379.3373445079</v>
      </c>
      <c r="N316" s="7" t="n">
        <f aca="false">SUM(B316:M316)</f>
        <v>271833.801817287</v>
      </c>
      <c r="O316" s="26" t="n">
        <f aca="false">MAX(B316:M316)</f>
        <v>23379.3373445079</v>
      </c>
      <c r="P316" s="15" t="n">
        <f aca="false">O316/parametros_recargas!$B$6</f>
        <v>155.862248963386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5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1726.00553408588</v>
      </c>
      <c r="C317" s="25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1736.00352734654</v>
      </c>
      <c r="D317" s="25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1746.05943459835</v>
      </c>
      <c r="E317" s="25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1756.17359131168</v>
      </c>
      <c r="F317" s="25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1766.34633490011</v>
      </c>
      <c r="G317" s="25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1776.57800473173</v>
      </c>
      <c r="H317" s="25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1786.86894214042</v>
      </c>
      <c r="I317" s="25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1797.21949043727</v>
      </c>
      <c r="J317" s="25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1807.62999492202</v>
      </c>
      <c r="K317" s="25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1818.10080289458</v>
      </c>
      <c r="L317" s="25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1828.63226366661</v>
      </c>
      <c r="M317" s="25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1839.22472857318</v>
      </c>
      <c r="N317" s="7" t="n">
        <f aca="false">SUM(B317:M317)</f>
        <v>21384.8426496083</v>
      </c>
      <c r="O317" s="26" t="n">
        <f aca="false">MAX(B317:M317)</f>
        <v>1839.22472857318</v>
      </c>
      <c r="P317" s="15" t="n">
        <f aca="false">O317/parametros_recargas!$B$6</f>
        <v>12.2614981904878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5" t="n">
        <f aca="false">'Plan mensual'!D317</f>
        <v>733.817552886385</v>
      </c>
      <c r="C318" s="25" t="n">
        <f aca="false">'Plan mensual'!E317</f>
        <v>738.068236214693</v>
      </c>
      <c r="D318" s="25" t="n">
        <f aca="false">'Plan mensual'!F317</f>
        <v>742.343541887734</v>
      </c>
      <c r="E318" s="25" t="n">
        <f aca="false">'Plan mensual'!G317</f>
        <v>746.643612531953</v>
      </c>
      <c r="F318" s="25" t="n">
        <f aca="false">'Plan mensual'!H317</f>
        <v>750.968591599971</v>
      </c>
      <c r="G318" s="25" t="n">
        <f aca="false">'Plan mensual'!I317</f>
        <v>755.318623375364</v>
      </c>
      <c r="H318" s="25" t="n">
        <f aca="false">'Plan mensual'!J317</f>
        <v>759.693852977483</v>
      </c>
      <c r="I318" s="25" t="n">
        <f aca="false">'Plan mensual'!K317</f>
        <v>764.094426366288</v>
      </c>
      <c r="J318" s="25" t="n">
        <f aca="false">'Plan mensual'!L317</f>
        <v>768.520490347223</v>
      </c>
      <c r="K318" s="25" t="n">
        <f aca="false">'Plan mensual'!M317</f>
        <v>772.972192576112</v>
      </c>
      <c r="L318" s="25" t="n">
        <f aca="false">'Plan mensual'!N317</f>
        <v>777.449681564085</v>
      </c>
      <c r="M318" s="25" t="n">
        <f aca="false">'Plan mensual'!O317</f>
        <v>781.953106682528</v>
      </c>
      <c r="N318" s="7" t="n">
        <f aca="false">SUM(B318:M318)</f>
        <v>9091.84390900982</v>
      </c>
      <c r="O318" s="26" t="n">
        <f aca="false">MAX(B318:M318)</f>
        <v>781.953106682528</v>
      </c>
      <c r="P318" s="15" t="n">
        <f aca="false">O318/parametros_recargas!$B$6</f>
        <v>5.21302071121685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15" hidden="false" customHeight="false" outlineLevel="0" collapsed="false">
      <c r="A1" s="3" t="s">
        <v>288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289</v>
      </c>
      <c r="O1" s="3" t="s">
        <v>290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7" t="n">
        <f aca="false">IF(parametros_recargas!$N$72*B34*B66=0,0,'Demanda por puesto'!$P$2/(parametros_recargas!$N$72*B34*B66))</f>
        <v>0.104632353289969</v>
      </c>
      <c r="C2" s="27" t="n">
        <f aca="false">IF(parametros_recargas!$N$72*C34*C66=0,0,'Demanda por puesto'!$P$34/(parametros_recargas!$N$72*C34*C66))</f>
        <v>0.350096515644205</v>
      </c>
      <c r="D2" s="27" t="n">
        <f aca="false">IF(parametros_recargas!$N$72*D34*D66=0,0,'Demanda por puesto'!$P$66/(parametros_recargas!$N$72*D34*D66))</f>
        <v>0.681436027249475</v>
      </c>
      <c r="E2" s="27" t="n">
        <f aca="false">IF(parametros_recargas!$N$72*E34*E66=0,0,'Demanda por puesto'!$P$98/(parametros_recargas!$N$72*E34*E66))</f>
        <v>1.14657932695133</v>
      </c>
      <c r="F2" s="27" t="n">
        <f aca="false">IF(parametros_recargas!$N$72*F34*F66=0,0,'Demanda por puesto'!$P$130/(parametros_recargas!$N$72*F34*F66))</f>
        <v>1.63070733092097</v>
      </c>
      <c r="G2" s="27" t="n">
        <f aca="false">IF(parametros_recargas!$N$72*G34*G66=0,0,'Demanda por puesto'!$P$162/(parametros_recargas!$N$72*G34*G66))</f>
        <v>2.1308890970793</v>
      </c>
      <c r="H2" s="27" t="n">
        <f aca="false">IF(parametros_recargas!$N$72*H34*H66=0,0,'Demanda por puesto'!$P$194/(parametros_recargas!$N$72*H34*H66))</f>
        <v>2.54395553055177</v>
      </c>
      <c r="I2" s="27" t="n">
        <f aca="false">IF(parametros_recargas!$N$72*I34*I66=0,0,'Demanda por puesto'!$P$226/(parametros_recargas!$N$72*I34*I66))</f>
        <v>2.82008158346124</v>
      </c>
      <c r="J2" s="27" t="n">
        <f aca="false">IF(parametros_recargas!$N$72*J34*J66=0,0,'Demanda por puesto'!$P$258/(parametros_recargas!$N$72*J34*J66))</f>
        <v>3.0291089525871</v>
      </c>
      <c r="K2" s="27" t="n">
        <f aca="false">IF(parametros_recargas!$N$72*K34*K66=0,0,'Demanda por puesto'!$P$290/(parametros_recargas!$N$72*K34*K66))</f>
        <v>3.24713018673721</v>
      </c>
      <c r="N2" s="28" t="s">
        <v>291</v>
      </c>
      <c r="O2" s="4" t="s">
        <v>292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7" t="n">
        <f aca="false">IF(parametros_recargas!$N$73*B35*B67=0,0,'Demanda por puesto'!$P$3/(parametros_recargas!$N$73*B35*B67))</f>
        <v>0.125558823947963</v>
      </c>
      <c r="C3" s="27" t="n">
        <f aca="false">IF(parametros_recargas!$N$73*C35*C67=0,0,'Demanda por puesto'!$P$35/(parametros_recargas!$N$73*C35*C67))</f>
        <v>0.420115818773046</v>
      </c>
      <c r="D3" s="27" t="n">
        <f aca="false">IF(parametros_recargas!$N$73*D35*D67=0,0,'Demanda por puesto'!$P$67/(parametros_recargas!$N$73*D35*D67))</f>
        <v>0.81772323269937</v>
      </c>
      <c r="E3" s="27" t="n">
        <f aca="false">IF(parametros_recargas!$N$73*E35*E67=0,0,'Demanda por puesto'!$P$99/(parametros_recargas!$N$73*E35*E67))</f>
        <v>1.3758951923416</v>
      </c>
      <c r="F3" s="27" t="n">
        <f aca="false">IF(parametros_recargas!$N$73*F35*F67=0,0,'Demanda por puesto'!$P$131/(parametros_recargas!$N$73*F35*F67))</f>
        <v>1.95684879710516</v>
      </c>
      <c r="G3" s="27" t="n">
        <f aca="false">IF(parametros_recargas!$N$73*G35*G67=0,0,'Demanda por puesto'!$P$163/(parametros_recargas!$N$73*G35*G67))</f>
        <v>2.55706691649516</v>
      </c>
      <c r="H3" s="27" t="n">
        <f aca="false">IF(parametros_recargas!$N$73*H35*H67=0,0,'Demanda por puesto'!$P$195/(parametros_recargas!$N$73*H35*H67))</f>
        <v>3.05274663666212</v>
      </c>
      <c r="I3" s="27" t="n">
        <f aca="false">IF(parametros_recargas!$N$73*I35*I67=0,0,'Demanda por puesto'!$P$227/(parametros_recargas!$N$73*I35*I67))</f>
        <v>3.38409790015349</v>
      </c>
      <c r="J3" s="27" t="n">
        <f aca="false">IF(parametros_recargas!$N$73*J35*J67=0,0,'Demanda por puesto'!$P$259/(parametros_recargas!$N$73*J35*J67))</f>
        <v>3.63493074310452</v>
      </c>
      <c r="K3" s="27" t="n">
        <f aca="false">IF(parametros_recargas!$N$73*K35*K67=0,0,'Demanda por puesto'!$P$291/(parametros_recargas!$N$73*K35*K67))</f>
        <v>3.89655622408465</v>
      </c>
      <c r="N3" s="28" t="s">
        <v>293</v>
      </c>
      <c r="O3" s="4" t="s">
        <v>294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7" t="n">
        <f aca="false">IF(parametros_recargas!$N$74*B36*B68=0,0,'Demanda por puesto'!$P$4/(parametros_recargas!$N$74*B36*B68))</f>
        <v>0.0877412480009104</v>
      </c>
      <c r="C4" s="27" t="n">
        <f aca="false">IF(parametros_recargas!$N$74*C36*C68=0,0,'Demanda por puesto'!$P$36/(parametros_recargas!$N$74*C36*C68))</f>
        <v>0.295132010216727</v>
      </c>
      <c r="D4" s="27" t="n">
        <f aca="false">IF(parametros_recargas!$N$74*D36*D68=0,0,'Demanda por puesto'!$P$68/(parametros_recargas!$N$74*D36*D68))</f>
        <v>0.565506767299299</v>
      </c>
      <c r="E4" s="27" t="n">
        <f aca="false">IF(parametros_recargas!$N$74*E36*E68=0,0,'Demanda por puesto'!$P$100/(parametros_recargas!$N$74*E36*E68))</f>
        <v>0.951748730611619</v>
      </c>
      <c r="F4" s="27" t="n">
        <f aca="false">IF(parametros_recargas!$N$74*F36*F68=0,0,'Demanda por puesto'!$P$132/(parametros_recargas!$N$74*F36*F68))</f>
        <v>1.35824990342629</v>
      </c>
      <c r="G4" s="27" t="n">
        <f aca="false">IF(parametros_recargas!$N$74*G36*G68=0,0,'Demanda por puesto'!$P$164/(parametros_recargas!$N$74*G36*G68))</f>
        <v>1.78174618244499</v>
      </c>
      <c r="H4" s="27" t="n">
        <f aca="false">IF(parametros_recargas!$N$74*H36*H68=0,0,'Demanda por puesto'!$P$196/(parametros_recargas!$N$74*H36*H68))</f>
        <v>2.13055771669751</v>
      </c>
      <c r="I4" s="27" t="n">
        <f aca="false">IF(parametros_recargas!$N$74*I36*I68=0,0,'Demanda por puesto'!$P$228/(parametros_recargas!$N$74*I36*I68))</f>
        <v>2.36878565140113</v>
      </c>
      <c r="J4" s="27" t="n">
        <f aca="false">IF(parametros_recargas!$N$74*J36*J68=0,0,'Demanda por puesto'!$P$260/(parametros_recargas!$N$74*J36*J68))</f>
        <v>2.54217591719163</v>
      </c>
      <c r="K4" s="27" t="n">
        <f aca="false">IF(parametros_recargas!$N$74*K36*K68=0,0,'Demanda por puesto'!$P$292/(parametros_recargas!$N$74*K36*K68))</f>
        <v>2.72323002245477</v>
      </c>
      <c r="N4" s="28" t="s">
        <v>295</v>
      </c>
      <c r="O4" s="4" t="s">
        <v>296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7" t="n">
        <f aca="false">IF(parametros_recargas!$N$75*B37*B69=0,0,'Demanda por puesto'!$P$5/(parametros_recargas!$N$75*B37*B69))</f>
        <v>0.010322499764813</v>
      </c>
      <c r="C5" s="27" t="n">
        <f aca="false">IF(parametros_recargas!$N$75*C37*C69=0,0,'Demanda por puesto'!$P$37/(parametros_recargas!$N$75*C37*C69))</f>
        <v>0.0347214129666738</v>
      </c>
      <c r="D5" s="27" t="n">
        <f aca="false">IF(parametros_recargas!$N$75*D37*D69=0,0,'Demanda por puesto'!$P$69/(parametros_recargas!$N$75*D37*D69))</f>
        <v>0.0665302079175646</v>
      </c>
      <c r="E5" s="27" t="n">
        <f aca="false">IF(parametros_recargas!$N$75*E37*E69=0,0,'Demanda por puesto'!$P$101/(parametros_recargas!$N$75*E37*E69))</f>
        <v>0.111970438895485</v>
      </c>
      <c r="F5" s="27" t="n">
        <f aca="false">IF(parametros_recargas!$N$75*F37*F69=0,0,'Demanda por puesto'!$P$133/(parametros_recargas!$N$75*F37*F69))</f>
        <v>0.159794106285446</v>
      </c>
      <c r="G5" s="27" t="n">
        <f aca="false">IF(parametros_recargas!$N$75*G37*G69=0,0,'Demanda por puesto'!$P$165/(parametros_recargas!$N$75*G37*G69))</f>
        <v>0.209617197934705</v>
      </c>
      <c r="H5" s="27" t="n">
        <f aca="false">IF(parametros_recargas!$N$75*H37*H69=0,0,'Demanda por puesto'!$P$197/(parametros_recargas!$N$75*H37*H69))</f>
        <v>0.250653849023237</v>
      </c>
      <c r="I5" s="27" t="n">
        <f aca="false">IF(parametros_recargas!$N$75*I37*I69=0,0,'Demanda por puesto'!$P$229/(parametros_recargas!$N$75*I37*I69))</f>
        <v>0.278680664870721</v>
      </c>
      <c r="J5" s="27" t="n">
        <f aca="false">IF(parametros_recargas!$N$75*J37*J69=0,0,'Demanda por puesto'!$P$261/(parametros_recargas!$N$75*J37*J69))</f>
        <v>0.299079519669604</v>
      </c>
      <c r="K5" s="27" t="n">
        <f aca="false">IF(parametros_recargas!$N$75*K37*K69=0,0,'Demanda por puesto'!$P$293/(parametros_recargas!$N$75*K37*K69))</f>
        <v>0.320380002641738</v>
      </c>
      <c r="N5" s="28" t="s">
        <v>297</v>
      </c>
      <c r="O5" s="4" t="s">
        <v>298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7" t="n">
        <f aca="false">IF(parametros_recargas!$N$76*B38*B70=0,0,'Demanda por puesto'!$P$6/(parametros_recargas!$N$76*B38*B70))</f>
        <v>0.000115766348147933</v>
      </c>
      <c r="C6" s="27" t="n">
        <f aca="false">IF(parametros_recargas!$N$76*C38*C70=0,0,'Demanda por puesto'!$P$38/(parametros_recargas!$N$76*C38*C70))</f>
        <v>0.000592615585592232</v>
      </c>
      <c r="D6" s="27" t="n">
        <f aca="false">IF(parametros_recargas!$N$76*D38*D70=0,0,'Demanda por puesto'!$P$70/(parametros_recargas!$N$76*D38*D70))</f>
        <v>0.00108438309674725</v>
      </c>
      <c r="E6" s="27" t="n">
        <f aca="false">IF(parametros_recargas!$N$76*E38*E70=0,0,'Demanda por puesto'!$P$102/(parametros_recargas!$N$76*E38*E70))</f>
        <v>0.00176688575827505</v>
      </c>
      <c r="F6" s="27" t="n">
        <f aca="false">IF(parametros_recargas!$N$76*F38*F70=0,0,'Demanda por puesto'!$P$134/(parametros_recargas!$N$76*F38*F70))</f>
        <v>0.00235429510909924</v>
      </c>
      <c r="G6" s="27" t="n">
        <f aca="false">IF(parametros_recargas!$N$76*G38*G70=0,0,'Demanda por puesto'!$P$166/(parametros_recargas!$N$76*G38*G70))</f>
        <v>0.00300372083122573</v>
      </c>
      <c r="H6" s="27" t="n">
        <f aca="false">IF(parametros_recargas!$N$76*H38*H70=0,0,'Demanda por puesto'!$P$198/(parametros_recargas!$N$76*H38*H70))</f>
        <v>0.0036497008285054</v>
      </c>
      <c r="I6" s="27" t="n">
        <f aca="false">IF(parametros_recargas!$N$76*I38*I70=0,0,'Demanda por puesto'!$P$230/(parametros_recargas!$N$76*I38*I70))</f>
        <v>0.00394173283873511</v>
      </c>
      <c r="J6" s="27" t="n">
        <f aca="false">IF(parametros_recargas!$N$76*J38*J70=0,0,'Demanda por puesto'!$P$262/(parametros_recargas!$N$76*J38*J70))</f>
        <v>0.00429548382298126</v>
      </c>
      <c r="K6" s="27" t="n">
        <f aca="false">IF(parametros_recargas!$N$76*K38*K70=0,0,'Demanda por puesto'!$P$294/(parametros_recargas!$N$76*K38*K70))</f>
        <v>0.00465872860753278</v>
      </c>
      <c r="N6" s="28" t="s">
        <v>299</v>
      </c>
      <c r="O6" s="4" t="s">
        <v>300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7" t="n">
        <f aca="false">IF(parametros_recargas!$N$77*B39*B71=0,0,'Demanda por puesto'!$P$7/(parametros_recargas!$N$77*B39*B71))</f>
        <v>0.00624457322425782</v>
      </c>
      <c r="C7" s="27" t="n">
        <f aca="false">IF(parametros_recargas!$N$77*C39*C71=0,0,'Demanda por puesto'!$P$39/(parametros_recargas!$N$77*C39*C71))</f>
        <v>0.0216135228965488</v>
      </c>
      <c r="D7" s="27" t="n">
        <f aca="false">IF(parametros_recargas!$N$77*D39*D71=0,0,'Demanda por puesto'!$P$71/(parametros_recargas!$N$77*D39*D71))</f>
        <v>0.0456753596656446</v>
      </c>
      <c r="E7" s="27" t="n">
        <f aca="false">IF(parametros_recargas!$N$77*E39*E71=0,0,'Demanda por puesto'!$P$103/(parametros_recargas!$N$77*E39*E71))</f>
        <v>0.075217495290082</v>
      </c>
      <c r="F7" s="27" t="n">
        <f aca="false">IF(parametros_recargas!$N$77*F39*F71=0,0,'Demanda por puesto'!$P$135/(parametros_recargas!$N$77*F39*F71))</f>
        <v>0.104437866597995</v>
      </c>
      <c r="G7" s="27" t="n">
        <f aca="false">IF(parametros_recargas!$N$77*G39*G71=0,0,'Demanda por puesto'!$P$167/(parametros_recargas!$N$77*G39*G71))</f>
        <v>0.132731052397814</v>
      </c>
      <c r="H7" s="27" t="n">
        <f aca="false">IF(parametros_recargas!$N$77*H39*H71=0,0,'Demanda por puesto'!$P$199/(parametros_recargas!$N$77*H39*H71))</f>
        <v>0.1566813188747</v>
      </c>
      <c r="I7" s="27" t="n">
        <f aca="false">IF(parametros_recargas!$N$77*I39*I71=0,0,'Demanda por puesto'!$P$231/(parametros_recargas!$N$77*I39*I71))</f>
        <v>0.170889299833355</v>
      </c>
      <c r="J7" s="27" t="n">
        <f aca="false">IF(parametros_recargas!$N$77*J39*J71=0,0,'Demanda por puesto'!$P$263/(parametros_recargas!$N$77*J39*J71))</f>
        <v>0.18478334108701</v>
      </c>
      <c r="K7" s="27" t="n">
        <f aca="false">IF(parametros_recargas!$N$77*K39*K71=0,0,'Demanda por puesto'!$P$295/(parametros_recargas!$N$77*K39*K71))</f>
        <v>0.199161049026913</v>
      </c>
      <c r="N7" s="28" t="s">
        <v>301</v>
      </c>
      <c r="O7" s="4" t="s">
        <v>302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7" t="n">
        <f aca="false">IF(parametros_recargas!$N$78*B40*B72=0,0,'Demanda por puesto'!$P$8/(parametros_recargas!$N$78*B40*B72))</f>
        <v>0.00588649203539725</v>
      </c>
      <c r="C8" s="27" t="n">
        <f aca="false">IF(parametros_recargas!$N$78*C40*C72=0,0,'Demanda por puesto'!$P$40/(parametros_recargas!$N$78*C40*C72))</f>
        <v>0.0177681254585914</v>
      </c>
      <c r="D8" s="27" t="n">
        <f aca="false">IF(parametros_recargas!$N$78*D40*D72=0,0,'Demanda por puesto'!$P$72/(parametros_recargas!$N$78*D40*D72))</f>
        <v>0.039210345570301</v>
      </c>
      <c r="E8" s="27" t="n">
        <f aca="false">IF(parametros_recargas!$N$78*E40*E72=0,0,'Demanda por puesto'!$P$104/(parametros_recargas!$N$78*E40*E72))</f>
        <v>0.0669345900182043</v>
      </c>
      <c r="F8" s="27" t="n">
        <f aca="false">IF(parametros_recargas!$N$78*F40*F72=0,0,'Demanda por puesto'!$P$136/(parametros_recargas!$N$78*F40*F72))</f>
        <v>0.0934213594799605</v>
      </c>
      <c r="G8" s="27" t="n">
        <f aca="false">IF(parametros_recargas!$N$78*G40*G72=0,0,'Demanda por puesto'!$P$168/(parametros_recargas!$N$78*G40*G72))</f>
        <v>0.119374901149401</v>
      </c>
      <c r="H8" s="27" t="n">
        <f aca="false">IF(parametros_recargas!$N$78*H40*H72=0,0,'Demanda por puesto'!$P$200/(parametros_recargas!$N$78*H40*H72))</f>
        <v>0.140801970809587</v>
      </c>
      <c r="I8" s="27" t="n">
        <f aca="false">IF(parametros_recargas!$N$78*I40*I72=0,0,'Demanda por puesto'!$P$232/(parametros_recargas!$N$78*I40*I72))</f>
        <v>0.152613654098714</v>
      </c>
      <c r="J8" s="27" t="n">
        <f aca="false">IF(parametros_recargas!$N$78*J40*J72=0,0,'Demanda por puesto'!$P$264/(parametros_recargas!$N$78*J40*J72))</f>
        <v>0.164694670768307</v>
      </c>
      <c r="K8" s="27" t="n">
        <f aca="false">IF(parametros_recargas!$N$78*K40*K72=0,0,'Demanda por puesto'!$P$296/(parametros_recargas!$N$78*K40*K72))</f>
        <v>0.177223974789686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7" t="n">
        <f aca="false">IF(parametros_recargas!$N$79*B41*B73=0,0,'Demanda por puesto'!$P$9/(parametros_recargas!$N$79*B41*B73))</f>
        <v>0.000422206704670315</v>
      </c>
      <c r="C9" s="27" t="n">
        <f aca="false">IF(parametros_recargas!$N$79*C41*C73=0,0,'Demanda por puesto'!$P$41/(parametros_recargas!$N$79*C41*C73))</f>
        <v>0.00192967164287864</v>
      </c>
      <c r="D9" s="27" t="n">
        <f aca="false">IF(parametros_recargas!$N$79*D41*D73=0,0,'Demanda por puesto'!$P$73/(parametros_recargas!$N$79*D41*D73))</f>
        <v>0.00385161556373053</v>
      </c>
      <c r="E9" s="27" t="n">
        <f aca="false">IF(parametros_recargas!$N$79*E41*E73=0,0,'Demanda por puesto'!$P$105/(parametros_recargas!$N$79*E41*E73))</f>
        <v>0.00607087090417234</v>
      </c>
      <c r="F9" s="27" t="n">
        <f aca="false">IF(parametros_recargas!$N$79*F41*F73=0,0,'Demanda por puesto'!$P$137/(parametros_recargas!$N$79*F41*F73))</f>
        <v>0.00841609586310543</v>
      </c>
      <c r="G9" s="27" t="n">
        <f aca="false">IF(parametros_recargas!$N$79*G41*G73=0,0,'Demanda por puesto'!$P$169/(parametros_recargas!$N$79*G41*G73))</f>
        <v>0.010617315861481</v>
      </c>
      <c r="H9" s="27" t="n">
        <f aca="false">IF(parametros_recargas!$N$79*H41*H73=0,0,'Demanda por puesto'!$P$201/(parametros_recargas!$N$79*H41*H73))</f>
        <v>0.0127864714731457</v>
      </c>
      <c r="I9" s="27" t="n">
        <f aca="false">IF(parametros_recargas!$N$79*I41*I73=0,0,'Demanda por puesto'!$P$233/(parametros_recargas!$N$79*I41*I73))</f>
        <v>0.0141532381210947</v>
      </c>
      <c r="J9" s="27" t="n">
        <f aca="false">IF(parametros_recargas!$N$79*J41*J73=0,0,'Demanda por puesto'!$P$265/(parametros_recargas!$N$79*J41*J73))</f>
        <v>0.0154411096012905</v>
      </c>
      <c r="K9" s="27" t="n">
        <f aca="false">IF(parametros_recargas!$N$79*K41*K73=0,0,'Demanda por puesto'!$P$297/(parametros_recargas!$N$79*K41*K73))</f>
        <v>0.0167621858027208</v>
      </c>
      <c r="N9" s="6" t="s">
        <v>71</v>
      </c>
      <c r="O9" s="29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7" t="n">
        <f aca="false">IF(parametros_recargas!$N$80*B42*B74=0,0,'Demanda por puesto'!$P$10/(parametros_recargas!$N$80*B42*B74))</f>
        <v>0.120496429459978</v>
      </c>
      <c r="C10" s="27" t="n">
        <f aca="false">IF(parametros_recargas!$N$80*C42*C74=0,0,'Demanda por puesto'!$P$42/(parametros_recargas!$N$80*C42*C74))</f>
        <v>0.405782784975934</v>
      </c>
      <c r="D10" s="27" t="n">
        <f aca="false">IF(parametros_recargas!$N$80*D42*D74=0,0,'Demanda por puesto'!$P$74/(parametros_recargas!$N$80*D42*D74))</f>
        <v>0.777407219900528</v>
      </c>
      <c r="E10" s="27" t="n">
        <f aca="false">IF(parametros_recargas!$N$80*E42*E74=0,0,'Demanda por puesto'!$P$106/(parametros_recargas!$N$80*E42*E74))</f>
        <v>1.30809728957441</v>
      </c>
      <c r="F10" s="27" t="n">
        <f aca="false">IF(parametros_recargas!$N$80*F42*F74=0,0,'Demanda por puesto'!$P$138/(parametros_recargas!$N$80*F42*F74))</f>
        <v>1.86643370879883</v>
      </c>
      <c r="G10" s="27" t="n">
        <f aca="false">IF(parametros_recargas!$N$80*G42*G74=0,0,'Demanda por puesto'!$P$170/(parametros_recargas!$N$80*G42*G74))</f>
        <v>2.447987974102</v>
      </c>
      <c r="H10" s="27" t="n">
        <f aca="false">IF(parametros_recargas!$N$80*H42*H74=0,0,'Demanda por puesto'!$P$202/(parametros_recargas!$N$80*H42*H74))</f>
        <v>2.92741587831058</v>
      </c>
      <c r="I10" s="27" t="n">
        <f aca="false">IF(parametros_recargas!$N$80*I42*I74=0,0,'Demanda por puesto'!$P$234/(parametros_recargas!$N$80*I42*I74))</f>
        <v>3.254525500669</v>
      </c>
      <c r="J10" s="27" t="n">
        <f aca="false">IF(parametros_recargas!$N$80*J42*J74=0,0,'Demanda por puesto'!$P$266/(parametros_recargas!$N$80*J42*J74))</f>
        <v>3.49290777560739</v>
      </c>
      <c r="K10" s="27" t="n">
        <f aca="false">IF(parametros_recargas!$N$80*K42*K74=0,0,'Demanda por puesto'!$P$298/(parametros_recargas!$N$80*K42*K74))</f>
        <v>3.74181168626128</v>
      </c>
      <c r="N10" s="6" t="s">
        <v>73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7" t="n">
        <f aca="false">IF(parametros_recargas!$N$81*B43*B75=0,0,'Demanda por puesto'!$P$11/(parametros_recargas!$N$81*B43*B75))</f>
        <v>0.0156806659060175</v>
      </c>
      <c r="C11" s="27" t="n">
        <f aca="false">IF(parametros_recargas!$N$81*C43*C75=0,0,'Demanda por puesto'!$P$43/(parametros_recargas!$N$81*C43*C75))</f>
        <v>0.0522133373379418</v>
      </c>
      <c r="D11" s="27" t="n">
        <f aca="false">IF(parametros_recargas!$N$81*D43*D75=0,0,'Demanda por puesto'!$P$75/(parametros_recargas!$N$81*D43*D75))</f>
        <v>0.111681934848331</v>
      </c>
      <c r="E11" s="27" t="n">
        <f aca="false">IF(parametros_recargas!$N$81*E43*E75=0,0,'Demanda por puesto'!$P$107/(parametros_recargas!$N$81*E43*E75))</f>
        <v>0.185842435603368</v>
      </c>
      <c r="F11" s="27" t="n">
        <f aca="false">IF(parametros_recargas!$N$81*F43*F75=0,0,'Demanda por puesto'!$P$139/(parametros_recargas!$N$81*F43*F75))</f>
        <v>0.25844885934973</v>
      </c>
      <c r="G11" s="27" t="n">
        <f aca="false">IF(parametros_recargas!$N$81*G43*G75=0,0,'Demanda por puesto'!$P$171/(parametros_recargas!$N$81*G43*G75))</f>
        <v>0.328988842906374</v>
      </c>
      <c r="H11" s="27" t="n">
        <f aca="false">IF(parametros_recargas!$N$81*H43*H75=0,0,'Demanda por puesto'!$P$203/(parametros_recargas!$N$81*H43*H75))</f>
        <v>0.388350988434497</v>
      </c>
      <c r="I11" s="27" t="n">
        <f aca="false">IF(parametros_recargas!$N$81*I43*I75=0,0,'Demanda por puesto'!$P$235/(parametros_recargas!$N$81*I43*I75))</f>
        <v>0.4228243468698</v>
      </c>
      <c r="J11" s="27" t="n">
        <f aca="false">IF(parametros_recargas!$N$81*J43*J75=0,0,'Demanda por puesto'!$P$267/(parametros_recargas!$N$81*J43*J75))</f>
        <v>0.456972853725448</v>
      </c>
      <c r="K11" s="27" t="n">
        <f aca="false">IF(parametros_recargas!$N$81*K43*K75=0,0,'Demanda por puesto'!$P$299/(parametros_recargas!$N$81*K43*K75))</f>
        <v>0.492329516974968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7" t="n">
        <f aca="false">IF(parametros_recargas!$N$82*B44*B76=0,0,'Demanda por puesto'!$P$12/(parametros_recargas!$N$82*B44*B76))</f>
        <v>0.00386616034715486</v>
      </c>
      <c r="C12" s="27" t="n">
        <f aca="false">IF(parametros_recargas!$N$82*C44*C76=0,0,'Demanda por puesto'!$P$44/(parametros_recargas!$N$82*C44*C76))</f>
        <v>0.013012064116499</v>
      </c>
      <c r="D12" s="27" t="n">
        <f aca="false">IF(parametros_recargas!$N$82*D44*D76=0,0,'Demanda por puesto'!$P$76/(parametros_recargas!$N$82*D44*D76))</f>
        <v>0.0249306935297201</v>
      </c>
      <c r="E12" s="27" t="n">
        <f aca="false">IF(parametros_recargas!$N$82*E44*E76=0,0,'Demanda por puesto'!$P$108/(parametros_recargas!$N$82*E44*E76))</f>
        <v>0.0419562194539732</v>
      </c>
      <c r="F12" s="27" t="n">
        <f aca="false">IF(parametros_recargas!$N$82*F44*F76=0,0,'Demanda por puesto'!$P$140/(parametros_recargas!$N$82*F44*F76))</f>
        <v>0.0598698733920483</v>
      </c>
      <c r="G12" s="27" t="n">
        <f aca="false">IF(parametros_recargas!$N$82*G44*G76=0,0,'Demanda por puesto'!$P$172/(parametros_recargas!$N$82*G44*G76))</f>
        <v>0.0785338673713755</v>
      </c>
      <c r="H12" s="27" t="n">
        <f aca="false">IF(parametros_recargas!$N$82*H44*H76=0,0,'Demanda por puesto'!$P$204/(parametros_recargas!$N$82*H44*H76))</f>
        <v>0.0939105699714538</v>
      </c>
      <c r="I12" s="27" t="n">
        <f aca="false">IF(parametros_recargas!$N$82*I44*I76=0,0,'Demanda por puesto'!$P$236/(parametros_recargas!$N$82*I44*I76))</f>
        <v>0.104406821803719</v>
      </c>
      <c r="J12" s="27" t="n">
        <f aca="false">IF(parametros_recargas!$N$82*J44*J76=0,0,'Demanda por puesto'!$P$268/(parametros_recargas!$N$82*J44*J76))</f>
        <v>0.112051627812359</v>
      </c>
      <c r="K12" s="27" t="n">
        <f aca="false">IF(parametros_recargas!$N$82*K44*K76=0,0,'Demanda por puesto'!$P$300/(parametros_recargas!$N$82*K44*K76))</f>
        <v>0.12003410401152</v>
      </c>
      <c r="N12" s="2" t="s">
        <v>303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7" t="n">
        <f aca="false">IF(parametros_recargas!$N$83*B45*B77=0,0,'Demanda por puesto'!$P$13/(parametros_recargas!$N$83*B45*B77))</f>
        <v>0.0896520964601674</v>
      </c>
      <c r="C13" s="27" t="n">
        <f aca="false">IF(parametros_recargas!$N$83*C45*C77=0,0,'Demanda por puesto'!$P$45/(parametros_recargas!$N$83*C45*C77))</f>
        <v>0.300593776545726</v>
      </c>
      <c r="D13" s="27" t="n">
        <f aca="false">IF(parametros_recargas!$N$83*D45*D77=0,0,'Demanda por puesto'!$P$77/(parametros_recargas!$N$83*D45*D77))</f>
        <v>0.588194457618314</v>
      </c>
      <c r="E13" s="27" t="n">
        <f aca="false">IF(parametros_recargas!$N$83*E45*E77=0,0,'Demanda por puesto'!$P$109/(parametros_recargas!$N$83*E45*E77))</f>
        <v>0.988280504383674</v>
      </c>
      <c r="F13" s="27" t="n">
        <f aca="false">IF(parametros_recargas!$N$83*F45*F77=0,0,'Demanda por puesto'!$P$141/(parametros_recargas!$N$83*F45*F77))</f>
        <v>1.40337792968053</v>
      </c>
      <c r="G13" s="27" t="n">
        <f aca="false">IF(parametros_recargas!$N$83*G45*G77=0,0,'Demanda por puesto'!$P$173/(parametros_recargas!$N$83*G45*G77))</f>
        <v>1.83060395615493</v>
      </c>
      <c r="H13" s="27" t="n">
        <f aca="false">IF(parametros_recargas!$N$83*H45*H77=0,0,'Demanda por puesto'!$P$205/(parametros_recargas!$N$83*H45*H77))</f>
        <v>2.18392578241434</v>
      </c>
      <c r="I13" s="27" t="n">
        <f aca="false">IF(parametros_recargas!$N$83*I45*I77=0,0,'Demanda por puesto'!$P$237/(parametros_recargas!$N$83*I45*I77))</f>
        <v>2.41855875487985</v>
      </c>
      <c r="J13" s="27" t="n">
        <f aca="false">IF(parametros_recargas!$N$83*J45*J77=0,0,'Demanda por puesto'!$P$269/(parametros_recargas!$N$83*J45*J77))</f>
        <v>2.59888403555474</v>
      </c>
      <c r="K13" s="27" t="n">
        <f aca="false">IF(parametros_recargas!$N$83*K45*K77=0,0,'Demanda por puesto'!$P$301/(parametros_recargas!$N$83*K45*K77))</f>
        <v>2.78686971078416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7" t="n">
        <f aca="false">IF(parametros_recargas!$N$84*B46*B78=0,0,'Demanda por puesto'!$P$14/(parametros_recargas!$N$84*B46*B78))</f>
        <v>0.0502733772171537</v>
      </c>
      <c r="C14" s="27" t="n">
        <f aca="false">IF(parametros_recargas!$N$84*C46*C78=0,0,'Demanda por puesto'!$P$46/(parametros_recargas!$N$84*C46*C78))</f>
        <v>0.168013845619574</v>
      </c>
      <c r="D14" s="27" t="n">
        <f aca="false">IF(parametros_recargas!$N$84*D46*D78=0,0,'Demanda por puesto'!$P$78/(parametros_recargas!$N$84*D46*D78))</f>
        <v>0.325563846491277</v>
      </c>
      <c r="E14" s="27" t="n">
        <f aca="false">IF(parametros_recargas!$N$84*E46*E78=0,0,'Demanda por puesto'!$P$110/(parametros_recargas!$N$84*E46*E78))</f>
        <v>0.548352808491781</v>
      </c>
      <c r="F14" s="27" t="n">
        <f aca="false">IF(parametros_recargas!$N$84*F46*F78=0,0,'Demanda por puesto'!$P$142/(parametros_recargas!$N$84*F46*F78))</f>
        <v>0.780867408635978</v>
      </c>
      <c r="G14" s="27" t="n">
        <f aca="false">IF(parametros_recargas!$N$84*G46*G78=0,0,'Demanda por puesto'!$P$174/(parametros_recargas!$N$84*G46*G78))</f>
        <v>1.02182784946093</v>
      </c>
      <c r="H14" s="27" t="n">
        <f aca="false">IF(parametros_recargas!$N$84*H46*H78=0,0,'Demanda por puesto'!$P$206/(parametros_recargas!$N$84*H46*H78))</f>
        <v>1.22060508857839</v>
      </c>
      <c r="I14" s="27" t="n">
        <f aca="false">IF(parametros_recargas!$N$84*I46*I78=0,0,'Demanda por puesto'!$P$238/(parametros_recargas!$N$84*I46*I78))</f>
        <v>1.35422173389693</v>
      </c>
      <c r="J14" s="27" t="n">
        <f aca="false">IF(parametros_recargas!$N$84*J46*J78=0,0,'Demanda por puesto'!$P$270/(parametros_recargas!$N$84*J46*J78))</f>
        <v>1.45412542297107</v>
      </c>
      <c r="K14" s="27" t="n">
        <f aca="false">IF(parametros_recargas!$N$84*K46*K78=0,0,'Demanda por puesto'!$P$302/(parametros_recargas!$N$84*K46*K78))</f>
        <v>1.55837164114627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7" t="n">
        <f aca="false">IF(parametros_recargas!$N$85*B47*B79=0,0,'Demanda por puesto'!$P$15/(parametros_recargas!$N$85*B47*B79))</f>
        <v>0.0237402059081003</v>
      </c>
      <c r="C15" s="27" t="n">
        <f aca="false">IF(parametros_recargas!$N$85*C47*C79=0,0,'Demanda por puesto'!$P$47/(parametros_recargas!$N$85*C47*C79))</f>
        <v>0.0793398715425768</v>
      </c>
      <c r="D15" s="27" t="n">
        <f aca="false">IF(parametros_recargas!$N$85*D47*D79=0,0,'Demanda por puesto'!$P$79/(parametros_recargas!$N$85*D47*D79))</f>
        <v>0.153738483065325</v>
      </c>
      <c r="E15" s="27" t="n">
        <f aca="false">IF(parametros_recargas!$N$85*E47*E79=0,0,'Demanda por puesto'!$P$111/(parametros_recargas!$N$85*E47*E79))</f>
        <v>0.258944381787786</v>
      </c>
      <c r="F15" s="27" t="n">
        <f aca="false">IF(parametros_recargas!$N$85*F47*F79=0,0,'Demanda por puesto'!$P$143/(parametros_recargas!$N$85*F47*F79))</f>
        <v>0.368742942966989</v>
      </c>
      <c r="G15" s="27" t="n">
        <f aca="false">IF(parametros_recargas!$N$85*G47*G79=0,0,'Demanda por puesto'!$P$175/(parametros_recargas!$N$85*G47*G79))</f>
        <v>0.482529817800993</v>
      </c>
      <c r="H15" s="27" t="n">
        <f aca="false">IF(parametros_recargas!$N$85*H47*H79=0,0,'Demanda por puesto'!$P$207/(parametros_recargas!$N$85*H47*H79))</f>
        <v>0.57639684738424</v>
      </c>
      <c r="I15" s="27" t="n">
        <f aca="false">IF(parametros_recargas!$N$85*I47*I79=0,0,'Demanda por puesto'!$P$239/(parametros_recargas!$N$85*I47*I79))</f>
        <v>0.639493596562439</v>
      </c>
      <c r="J15" s="27" t="n">
        <f aca="false">IF(parametros_recargas!$N$85*J47*J79=0,0,'Demanda por puesto'!$P$271/(parametros_recargas!$N$85*J47*J79))</f>
        <v>0.686670338625228</v>
      </c>
      <c r="K15" s="27" t="n">
        <f aca="false">IF(parametros_recargas!$N$85*K47*K79=0,0,'Demanda por puesto'!$P$303/(parametros_recargas!$N$85*K47*K79))</f>
        <v>0.735897719430182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7" t="n">
        <f aca="false">IF(parametros_recargas!$N$86*B48*B80=0,0,'Demanda por puesto'!$P$16/(parametros_recargas!$N$86*B48*B80))</f>
        <v>0.104632353289969</v>
      </c>
      <c r="C16" s="27" t="n">
        <f aca="false">IF(parametros_recargas!$N$86*C48*C80=0,0,'Demanda por puesto'!$P$48/(parametros_recargas!$N$86*C48*C80))</f>
        <v>0.350096515644205</v>
      </c>
      <c r="D16" s="27" t="n">
        <f aca="false">IF(parametros_recargas!$N$86*D48*D80=0,0,'Demanda por puesto'!$P$80/(parametros_recargas!$N$86*D48*D80))</f>
        <v>0.681436027249475</v>
      </c>
      <c r="E16" s="27" t="n">
        <f aca="false">IF(parametros_recargas!$N$86*E48*E80=0,0,'Demanda por puesto'!$P$112/(parametros_recargas!$N$86*E48*E80))</f>
        <v>1.14657932695133</v>
      </c>
      <c r="F16" s="27" t="n">
        <f aca="false">IF(parametros_recargas!$N$86*F48*F80=0,0,'Demanda por puesto'!$P$144/(parametros_recargas!$N$86*F48*F80))</f>
        <v>1.63070733092097</v>
      </c>
      <c r="G16" s="27" t="n">
        <f aca="false">IF(parametros_recargas!$N$86*G48*G80=0,0,'Demanda por puesto'!$P$176/(parametros_recargas!$N$86*G48*G80))</f>
        <v>2.1308890970793</v>
      </c>
      <c r="H16" s="27" t="n">
        <f aca="false">IF(parametros_recargas!$N$86*H48*H80=0,0,'Demanda por puesto'!$P$208/(parametros_recargas!$N$86*H48*H80))</f>
        <v>2.54395553055177</v>
      </c>
      <c r="I16" s="27" t="n">
        <f aca="false">IF(parametros_recargas!$N$86*I48*I80=0,0,'Demanda por puesto'!$P$240/(parametros_recargas!$N$86*I48*I80))</f>
        <v>2.82008158346124</v>
      </c>
      <c r="J16" s="27" t="n">
        <f aca="false">IF(parametros_recargas!$N$86*J48*J80=0,0,'Demanda por puesto'!$P$272/(parametros_recargas!$N$86*J48*J80))</f>
        <v>3.0291089525871</v>
      </c>
      <c r="K16" s="27" t="n">
        <f aca="false">IF(parametros_recargas!$N$86*K48*K80=0,0,'Demanda por puesto'!$P$304/(parametros_recargas!$N$86*K48*K80))</f>
        <v>3.24713018673721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7" t="n">
        <f aca="false">IF(parametros_recargas!$N$87*B49*B81=0,0,'Demanda por puesto'!$P$17/(parametros_recargas!$N$87*B49*B81))</f>
        <v>0.128727644125903</v>
      </c>
      <c r="C17" s="27" t="n">
        <f aca="false">IF(parametros_recargas!$N$87*C49*C81=0,0,'Demanda por puesto'!$P$49/(parametros_recargas!$N$87*C49*C81))</f>
        <v>0.432996444054991</v>
      </c>
      <c r="D17" s="27" t="n">
        <f aca="false">IF(parametros_recargas!$N$87*D49*D81=0,0,'Demanda por puesto'!$P$81/(parametros_recargas!$N$87*D49*D81))</f>
        <v>0.829670828148453</v>
      </c>
      <c r="E17" s="27" t="n">
        <f aca="false">IF(parametros_recargas!$N$87*E49*E81=0,0,'Demanda por puesto'!$P$113/(parametros_recargas!$N$87*E49*E81))</f>
        <v>1.39633723799075</v>
      </c>
      <c r="F17" s="27" t="n">
        <f aca="false">IF(parametros_recargas!$N$87*F49*F81=0,0,'Demanda por puesto'!$P$145/(parametros_recargas!$N$87*F49*F81))</f>
        <v>1.99272650191262</v>
      </c>
      <c r="G17" s="27" t="n">
        <f aca="false">IF(parametros_recargas!$N$87*G49*G81=0,0,'Demanda por puesto'!$P$177/(parametros_recargas!$N$87*G49*G81))</f>
        <v>2.61404976247985</v>
      </c>
      <c r="H17" s="27" t="n">
        <f aca="false">IF(parametros_recargas!$N$87*H49*H81=0,0,'Demanda por puesto'!$P$209/(parametros_recargas!$N$87*H49*H81))</f>
        <v>3.12580094076036</v>
      </c>
      <c r="I17" s="27" t="n">
        <f aca="false">IF(parametros_recargas!$N$87*I49*I81=0,0,'Demanda por puesto'!$P$241/(parametros_recargas!$N$87*I49*I81))</f>
        <v>3.47531182074075</v>
      </c>
      <c r="J17" s="27" t="n">
        <f aca="false">IF(parametros_recargas!$N$87*J49*J81=0,0,'Demanda por puesto'!$P$273/(parametros_recargas!$N$87*J49*J81))</f>
        <v>3.72969753940918</v>
      </c>
      <c r="K17" s="27" t="n">
        <f aca="false">IF(parametros_recargas!$N$87*K49*K81=0,0,'Demanda por puesto'!$P$305/(parametros_recargas!$N$87*K49*K81))</f>
        <v>3.99532709176755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7" t="n">
        <f aca="false">IF(parametros_recargas!$N$88*B50*B82=0,0,'Demanda por puesto'!$P$18/(parametros_recargas!$N$88*B50*B82))</f>
        <v>0.000190673985184831</v>
      </c>
      <c r="C18" s="27" t="n">
        <f aca="false">IF(parametros_recargas!$N$88*C50*C82=0,0,'Demanda por puesto'!$P$50/(parametros_recargas!$N$88*C50*C82))</f>
        <v>0.000976072729210735</v>
      </c>
      <c r="D18" s="27" t="n">
        <f aca="false">IF(parametros_recargas!$N$88*D50*D82=0,0,'Demanda por puesto'!$P$82/(parametros_recargas!$N$88*D50*D82))</f>
        <v>0.00178604274758371</v>
      </c>
      <c r="E18" s="27" t="n">
        <f aca="false">IF(parametros_recargas!$N$88*E50*E82=0,0,'Demanda por puesto'!$P$114/(parametros_recargas!$N$88*E50*E82))</f>
        <v>0.00291016477833538</v>
      </c>
      <c r="F18" s="27" t="n">
        <f aca="false">IF(parametros_recargas!$N$88*F50*F82=0,0,'Demanda por puesto'!$P$146/(parametros_recargas!$N$88*F50*F82))</f>
        <v>0.00387766253263404</v>
      </c>
      <c r="G18" s="27" t="n">
        <f aca="false">IF(parametros_recargas!$N$88*G50*G82=0,0,'Demanda por puesto'!$P$178/(parametros_recargas!$N$88*G50*G82))</f>
        <v>0.00494730489848945</v>
      </c>
      <c r="H18" s="27" t="n">
        <f aca="false">IF(parametros_recargas!$N$88*H50*H82=0,0,'Demanda por puesto'!$P$210/(parametros_recargas!$N$88*H50*H82))</f>
        <v>0.00601127195283243</v>
      </c>
      <c r="I18" s="27" t="n">
        <f aca="false">IF(parametros_recargas!$N$88*I50*I82=0,0,'Demanda por puesto'!$P$242/(parametros_recargas!$N$88*I50*I82))</f>
        <v>0.0064922658520343</v>
      </c>
      <c r="J18" s="27" t="n">
        <f aca="false">IF(parametros_recargas!$N$88*J50*J82=0,0,'Demanda por puesto'!$P$274/(parametros_recargas!$N$88*J50*J82))</f>
        <v>0.00707491453196914</v>
      </c>
      <c r="K18" s="27" t="n">
        <f aca="false">IF(parametros_recargas!$N$88*K50*K82=0,0,'Demanda por puesto'!$P$306/(parametros_recargas!$N$88*K50*K82))</f>
        <v>0.00767320005946575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7" t="n">
        <f aca="false">IF(parametros_recargas!$N$89*B51*B83=0,0,'Demanda por puesto'!$P$19/(parametros_recargas!$N$89*B51*B83))</f>
        <v>0.000667358948146909</v>
      </c>
      <c r="C19" s="27" t="n">
        <f aca="false">IF(parametros_recargas!$N$89*C51*C83=0,0,'Demanda por puesto'!$P$51/(parametros_recargas!$N$89*C51*C83))</f>
        <v>0.00341625455223757</v>
      </c>
      <c r="D19" s="27" t="n">
        <f aca="false">IF(parametros_recargas!$N$89*D51*D83=0,0,'Demanda por puesto'!$P$83/(parametros_recargas!$N$89*D51*D83))</f>
        <v>0.006251149616543</v>
      </c>
      <c r="E19" s="27" t="n">
        <f aca="false">IF(parametros_recargas!$N$89*E51*E83=0,0,'Demanda por puesto'!$P$115/(parametros_recargas!$N$89*E51*E83))</f>
        <v>0.00946887396798547</v>
      </c>
      <c r="F19" s="27" t="n">
        <f aca="false">IF(parametros_recargas!$N$89*F51*F83=0,0,'Demanda por puesto'!$P$147/(parametros_recargas!$N$89*F51*F83))</f>
        <v>0.012672151712315</v>
      </c>
      <c r="G19" s="27" t="n">
        <f aca="false">IF(parametros_recargas!$N$89*G51*G83=0,0,'Demanda por puesto'!$P$179/(parametros_recargas!$N$89*G51*G83))</f>
        <v>0.0151736073321857</v>
      </c>
      <c r="H19" s="27" t="n">
        <f aca="false">IF(parametros_recargas!$N$89*H51*H83=0,0,'Demanda por puesto'!$P$211/(parametros_recargas!$N$89*H51*H83))</f>
        <v>0.0187334739480519</v>
      </c>
      <c r="I19" s="27" t="n">
        <f aca="false">IF(parametros_recargas!$N$89*I51*I83=0,0,'Demanda por puesto'!$P$243/(parametros_recargas!$N$89*I51*I83))</f>
        <v>0.0204139172988741</v>
      </c>
      <c r="J19" s="27" t="n">
        <f aca="false">IF(parametros_recargas!$N$89*J51*J83=0,0,'Demanda por puesto'!$P$275/(parametros_recargas!$N$89*J51*J83))</f>
        <v>0.0223125302519692</v>
      </c>
      <c r="K19" s="27" t="n">
        <f aca="false">IF(parametros_recargas!$N$89*K51*K83=0,0,'Demanda por puesto'!$P$307/(parametros_recargas!$N$89*K51*K83))</f>
        <v>0.0242569847324665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7" t="n">
        <f aca="false">IF(parametros_recargas!$N$90*B52*B84=0,0,'Demanda por puesto'!$P$20/(parametros_recargas!$N$90*B52*B84))</f>
        <v>0.00594721259453126</v>
      </c>
      <c r="C20" s="27" t="n">
        <f aca="false">IF(parametros_recargas!$N$90*C52*C84=0,0,'Demanda por puesto'!$P$52/(parametros_recargas!$N$90*C52*C84))</f>
        <v>0.0205843075205226</v>
      </c>
      <c r="D20" s="27" t="n">
        <f aca="false">IF(parametros_recargas!$N$90*D52*D84=0,0,'Demanda por puesto'!$P$84/(parametros_recargas!$N$90*D52*D84))</f>
        <v>0.0435003425387091</v>
      </c>
      <c r="E20" s="27" t="n">
        <f aca="false">IF(parametros_recargas!$N$90*E52*E84=0,0,'Demanda por puesto'!$P$116/(parametros_recargas!$N$90*E52*E84))</f>
        <v>0.0716357098000781</v>
      </c>
      <c r="F20" s="27" t="n">
        <f aca="false">IF(parametros_recargas!$N$90*F52*F84=0,0,'Demanda por puesto'!$P$148/(parametros_recargas!$N$90*F52*F84))</f>
        <v>0.0994646348552334</v>
      </c>
      <c r="G20" s="27" t="n">
        <f aca="false">IF(parametros_recargas!$N$90*G52*G84=0,0,'Demanda por puesto'!$P$180/(parametros_recargas!$N$90*G52*G84))</f>
        <v>0.126410526093156</v>
      </c>
      <c r="H20" s="27" t="n">
        <f aca="false">IF(parametros_recargas!$N$90*H52*H84=0,0,'Demanda por puesto'!$P$212/(parametros_recargas!$N$90*H52*H84))</f>
        <v>0.149220303690191</v>
      </c>
      <c r="I20" s="27" t="n">
        <f aca="false">IF(parametros_recargas!$N$90*I52*I84=0,0,'Demanda por puesto'!$P$244/(parametros_recargas!$N$90*I52*I84))</f>
        <v>0.162751714127004</v>
      </c>
      <c r="J20" s="27" t="n">
        <f aca="false">IF(parametros_recargas!$N$90*J52*J84=0,0,'Demanda por puesto'!$P$276/(parametros_recargas!$N$90*J52*J84))</f>
        <v>0.175984134368581</v>
      </c>
      <c r="K20" s="27" t="n">
        <f aca="false">IF(parametros_recargas!$N$90*K52*K84=0,0,'Demanda por puesto'!$P$308/(parametros_recargas!$N$90*K52*K84))</f>
        <v>0.189677189549441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7" t="n">
        <f aca="false">IF(parametros_recargas!$N$91*B53*B85=0,0,'Demanda por puesto'!$P$21/(parametros_recargas!$N$91*B53*B85))</f>
        <v>0.00826980344485077</v>
      </c>
      <c r="C21" s="27" t="n">
        <f aca="false">IF(parametros_recargas!$N$91*C53*C85=0,0,'Demanda por puesto'!$P$53/(parametros_recargas!$N$91*C53*C85))</f>
        <v>0.0249620494247528</v>
      </c>
      <c r="D21" s="27" t="n">
        <f aca="false">IF(parametros_recargas!$N$91*D53*D85=0,0,'Demanda por puesto'!$P$85/(parametros_recargas!$N$91*D53*D85))</f>
        <v>0.0550857537768131</v>
      </c>
      <c r="E21" s="27" t="n">
        <f aca="false">IF(parametros_recargas!$N$91*E53*E85=0,0,'Demanda por puesto'!$P$117/(parametros_recargas!$N$91*E53*E85))</f>
        <v>0.0940349362206968</v>
      </c>
      <c r="F21" s="27" t="n">
        <f aca="false">IF(parametros_recargas!$N$91*F53*F85=0,0,'Demanda por puesto'!$P$149/(parametros_recargas!$N$91*F53*F85))</f>
        <v>0.131245617220627</v>
      </c>
      <c r="G21" s="27" t="n">
        <f aca="false">IF(parametros_recargas!$N$91*G53*G85=0,0,'Demanda por puesto'!$P$181/(parametros_recargas!$N$91*G53*G85))</f>
        <v>0.167707178200133</v>
      </c>
      <c r="H21" s="27" t="n">
        <f aca="false">IF(parametros_recargas!$N$91*H53*H85=0,0,'Demanda por puesto'!$P$213/(parametros_recargas!$N$91*H53*H85))</f>
        <v>0.19780959801542</v>
      </c>
      <c r="I21" s="27" t="n">
        <f aca="false">IF(parametros_recargas!$N$91*I53*I85=0,0,'Demanda por puesto'!$P$245/(parametros_recargas!$N$91*I53*I85))</f>
        <v>0.214403572587462</v>
      </c>
      <c r="J21" s="27" t="n">
        <f aca="false">IF(parametros_recargas!$N$91*J53*J85=0,0,'Demanda por puesto'!$P$277/(parametros_recargas!$N$91*J53*J85))</f>
        <v>0.231375927713523</v>
      </c>
      <c r="K21" s="27" t="n">
        <f aca="false">IF(parametros_recargas!$N$91*K53*K85=0,0,'Demanda por puesto'!$P$309/(parametros_recargas!$N$91*K53*K85))</f>
        <v>0.248978071899657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7" t="n">
        <f aca="false">IF(parametros_recargas!$N$92*B54*B86=0,0,'Demanda por puesto'!$P$22/(parametros_recargas!$N$92*B54*B86))</f>
        <v>0.146056278133307</v>
      </c>
      <c r="C22" s="27" t="n">
        <f aca="false">IF(parametros_recargas!$N$92*C54*C86=0,0,'Demanda por puesto'!$P$54/(parametros_recargas!$N$92*C54*C86))</f>
        <v>0.49185792118295</v>
      </c>
      <c r="D22" s="27" t="n">
        <f aca="false">IF(parametros_recargas!$N$92*D54*D86=0,0,'Demanda por puesto'!$P$86/(parametros_recargas!$N$92*D54*D86))</f>
        <v>0.94231178169761</v>
      </c>
      <c r="E22" s="27" t="n">
        <f aca="false">IF(parametros_recargas!$N$92*E54*E86=0,0,'Demanda por puesto'!$P$118/(parametros_recargas!$N$92*E54*E86))</f>
        <v>1.5855724722114</v>
      </c>
      <c r="F22" s="27" t="n">
        <f aca="false">IF(parametros_recargas!$N$92*F54*F86=0,0,'Demanda por puesto'!$P$150/(parametros_recargas!$N$92*F54*F86))</f>
        <v>2.26234388945313</v>
      </c>
      <c r="G22" s="27" t="n">
        <f aca="false">IF(parametros_recargas!$N$92*G54*G86=0,0,'Demanda por puesto'!$P$182/(parametros_recargas!$N$92*G54*G86))</f>
        <v>2.96725815042667</v>
      </c>
      <c r="H22" s="27" t="n">
        <f aca="false">IF(parametros_recargas!$N$92*H54*H86=0,0,'Demanda por puesto'!$P$214/(parametros_recargas!$N$92*H54*H86))</f>
        <v>3.5483828828007</v>
      </c>
      <c r="I22" s="27" t="n">
        <f aca="false">IF(parametros_recargas!$N$92*I54*I86=0,0,'Demanda por puesto'!$P$246/(parametros_recargas!$N$92*I54*I86))</f>
        <v>3.9448793947503</v>
      </c>
      <c r="J22" s="27" t="n">
        <f aca="false">IF(parametros_recargas!$N$92*J54*J86=0,0,'Demanda por puesto'!$P$278/(parametros_recargas!$N$92*J54*J86))</f>
        <v>4.23382760679684</v>
      </c>
      <c r="K22" s="27" t="n">
        <f aca="false">IF(parametros_recargas!$N$92*K54*K86=0,0,'Demanda por puesto'!$P$310/(parametros_recargas!$N$92*K54*K86))</f>
        <v>4.53552931668034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7" t="n">
        <f aca="false">IF(parametros_recargas!$N$93*B55*B87=0,0,'Demanda por puesto'!$P$23/(parametros_recargas!$N$93*B55*B87))</f>
        <v>0.088850902531095</v>
      </c>
      <c r="C23" s="27" t="n">
        <f aca="false">IF(parametros_recargas!$N$93*C55*C87=0,0,'Demanda por puesto'!$P$55/(parametros_recargas!$N$93*C55*C87))</f>
        <v>0.299213568719628</v>
      </c>
      <c r="D23" s="27" t="n">
        <f aca="false">IF(parametros_recargas!$N$93*D55*D87=0,0,'Demanda por puesto'!$P$87/(parametros_recargas!$N$93*D55*D87))</f>
        <v>0.57323966719938</v>
      </c>
      <c r="E23" s="27" t="n">
        <f aca="false">IF(parametros_recargas!$N$93*E55*E87=0,0,'Demanda por puesto'!$P$119/(parametros_recargas!$N$93*E55*E87))</f>
        <v>0.964556587261937</v>
      </c>
      <c r="F23" s="27" t="n">
        <f aca="false">IF(parametros_recargas!$N$93*F55*F87=0,0,'Demanda por puesto'!$P$151/(parametros_recargas!$N$93*F55*F87))</f>
        <v>1.37625919941732</v>
      </c>
      <c r="G23" s="27" t="n">
        <f aca="false">IF(parametros_recargas!$N$93*G55*G87=0,0,'Demanda por puesto'!$P$183/(parametros_recargas!$N$93*G55*G87))</f>
        <v>1.80508204150956</v>
      </c>
      <c r="H23" s="27" t="n">
        <f aca="false">IF(parametros_recargas!$N$93*H55*H87=0,0,'Demanda por puesto'!$P$215/(parametros_recargas!$N$93*H55*H87))</f>
        <v>2.1585995870371</v>
      </c>
      <c r="I23" s="27" t="n">
        <f aca="false">IF(parametros_recargas!$N$93*I55*I87=0,0,'Demanda por puesto'!$P$247/(parametros_recargas!$N$93*I55*I87))</f>
        <v>2.39980163180643</v>
      </c>
      <c r="J23" s="27" t="n">
        <f aca="false">IF(parametros_recargas!$N$93*J55*J87=0,0,'Demanda por puesto'!$P$279/(parametros_recargas!$N$93*J55*J87))</f>
        <v>2.57557846080141</v>
      </c>
      <c r="K23" s="27" t="n">
        <f aca="false">IF(parametros_recargas!$N$93*K55*K87=0,0,'Demanda por puesto'!$P$311/(parametros_recargas!$N$93*K55*K87))</f>
        <v>2.7591136676472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7" t="n">
        <f aca="false">IF(parametros_recargas!$N$94*B56*B88=0,0,'Demanda por puesto'!$P$24/(parametros_recargas!$N$94*B56*B88))</f>
        <v>0.0151460977501305</v>
      </c>
      <c r="C24" s="27" t="n">
        <f aca="false">IF(parametros_recargas!$N$94*C56*C88=0,0,'Demanda por puesto'!$P$56/(parametros_recargas!$N$94*C56*C88))</f>
        <v>0.0504333372014211</v>
      </c>
      <c r="D24" s="27" t="n">
        <f aca="false">IF(parametros_recargas!$N$94*D56*D88=0,0,'Demanda por puesto'!$P$88/(parametros_recargas!$N$94*D56*D88))</f>
        <v>0.10787459616032</v>
      </c>
      <c r="E24" s="27" t="n">
        <f aca="false">IF(parametros_recargas!$N$94*E56*E88=0,0,'Demanda por puesto'!$P$120/(parametros_recargas!$N$94*E56*E88))</f>
        <v>0.179506898025981</v>
      </c>
      <c r="F24" s="27" t="n">
        <f aca="false">IF(parametros_recargas!$N$94*F56*F88=0,0,'Demanda por puesto'!$P$152/(parametros_recargas!$N$94*F56*F88))</f>
        <v>0.249638102780989</v>
      </c>
      <c r="G24" s="27" t="n">
        <f aca="false">IF(parametros_recargas!$N$94*G56*G88=0,0,'Demanda por puesto'!$P$184/(parametros_recargas!$N$94*G56*G88))</f>
        <v>0.31777331417093</v>
      </c>
      <c r="H24" s="27" t="n">
        <f aca="false">IF(parametros_recargas!$N$94*H56*H88=0,0,'Demanda por puesto'!$P$216/(parametros_recargas!$N$94*H56*H88))</f>
        <v>0.375111750192411</v>
      </c>
      <c r="I24" s="27" t="n">
        <f aca="false">IF(parametros_recargas!$N$94*I56*I88=0,0,'Demanda por puesto'!$P$248/(parametros_recargas!$N$94*I56*I88))</f>
        <v>0.408409880499238</v>
      </c>
      <c r="J24" s="27" t="n">
        <f aca="false">IF(parametros_recargas!$N$94*J56*J88=0,0,'Demanda por puesto'!$P$280/(parametros_recargas!$N$94*J56*J88))</f>
        <v>0.441394233712081</v>
      </c>
      <c r="K24" s="27" t="n">
        <f aca="false">IF(parametros_recargas!$N$94*K56*K88=0,0,'Demanda por puesto'!$P$312/(parametros_recargas!$N$94*K56*K88))</f>
        <v>0.475545556169004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7" t="n">
        <f aca="false">IF(parametros_recargas!$N$95*B57*B89=0,0,'Demanda por puesto'!$P$25/(parametros_recargas!$N$95*B57*B89))</f>
        <v>0.000390427705394054</v>
      </c>
      <c r="C25" s="27" t="n">
        <f aca="false">IF(parametros_recargas!$N$95*C57*C89=0,0,'Demanda por puesto'!$P$57/(parametros_recargas!$N$95*C57*C89))</f>
        <v>0.00178442754072649</v>
      </c>
      <c r="D25" s="27" t="n">
        <f aca="false">IF(parametros_recargas!$N$95*D57*D89=0,0,'Demanda por puesto'!$P$89/(parametros_recargas!$N$95*D57*D89))</f>
        <v>0.00356170901592286</v>
      </c>
      <c r="E25" s="27" t="n">
        <f aca="false">IF(parametros_recargas!$N$95*E57*E89=0,0,'Demanda por puesto'!$P$121/(parametros_recargas!$N$95*E57*E89))</f>
        <v>0.00561392363181528</v>
      </c>
      <c r="F25" s="27" t="n">
        <f aca="false">IF(parametros_recargas!$N$95*F57*F89=0,0,'Demanda por puesto'!$P$153/(parametros_recargas!$N$95*F57*F89))</f>
        <v>0.00778262628201147</v>
      </c>
      <c r="G25" s="27" t="n">
        <f aca="false">IF(parametros_recargas!$N$95*G57*G89=0,0,'Demanda por puesto'!$P$185/(parametros_recargas!$N$95*G57*G89))</f>
        <v>0.00981816305470287</v>
      </c>
      <c r="H25" s="27" t="n">
        <f aca="false">IF(parametros_recargas!$N$95*H57*H89=0,0,'Demanda por puesto'!$P$217/(parametros_recargas!$N$95*H57*H89))</f>
        <v>0.0118240488891455</v>
      </c>
      <c r="I25" s="27" t="n">
        <f aca="false">IF(parametros_recargas!$N$95*I57*I89=0,0,'Demanda por puesto'!$P$249/(parametros_recargas!$N$95*I57*I89))</f>
        <v>0.0130879406281091</v>
      </c>
      <c r="J25" s="27" t="n">
        <f aca="false">IF(parametros_recargas!$N$95*J57*J89=0,0,'Demanda por puesto'!$P$281/(parametros_recargas!$N$95*J57*J89))</f>
        <v>0.0142788755452794</v>
      </c>
      <c r="K25" s="27" t="n">
        <f aca="false">IF(parametros_recargas!$N$95*K57*K89=0,0,'Demanda por puesto'!$P$313/(parametros_recargas!$N$95*K57*K89))</f>
        <v>0.0155005159035913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7" t="n">
        <f aca="false">IF(parametros_recargas!$N$96*B58*B90=0,0,'Demanda por puesto'!$P$26/(parametros_recargas!$N$96*B58*B90))</f>
        <v>0.0033249912419447</v>
      </c>
      <c r="C26" s="27" t="n">
        <f aca="false">IF(parametros_recargas!$N$96*C58*C90=0,0,'Demanda por puesto'!$P$58/(parametros_recargas!$N$96*C58*C90))</f>
        <v>0.010205443443989</v>
      </c>
      <c r="D26" s="27" t="n">
        <f aca="false">IF(parametros_recargas!$N$96*D58*D90=0,0,'Demanda por puesto'!$P$90/(parametros_recargas!$N$96*D58*D90))</f>
        <v>0.0224162028866409</v>
      </c>
      <c r="E26" s="27" t="n">
        <f aca="false">IF(parametros_recargas!$N$96*E58*E90=0,0,'Demanda por puesto'!$P$122/(parametros_recargas!$N$96*E58*E90))</f>
        <v>0.0381358182259714</v>
      </c>
      <c r="F26" s="27" t="n">
        <f aca="false">IF(parametros_recargas!$N$96*F58*F90=0,0,'Demanda por puesto'!$P$154/(parametros_recargas!$N$96*F58*F90))</f>
        <v>0.0532118579590741</v>
      </c>
      <c r="G26" s="27" t="n">
        <f aca="false">IF(parametros_recargas!$N$96*G58*G90=0,0,'Demanda por puesto'!$P$186/(parametros_recargas!$N$96*G58*G90))</f>
        <v>0.067959410669323</v>
      </c>
      <c r="H26" s="27" t="n">
        <f aca="false">IF(parametros_recargas!$N$96*H58*H90=0,0,'Demanda por puesto'!$P$218/(parametros_recargas!$N$96*H58*H90))</f>
        <v>0.0802256893574894</v>
      </c>
      <c r="I26" s="27" t="n">
        <f aca="false">IF(parametros_recargas!$N$96*I58*I90=0,0,'Demanda por puesto'!$P$250/(parametros_recargas!$N$96*I58*I90))</f>
        <v>0.0870316156647256</v>
      </c>
      <c r="J26" s="27" t="n">
        <f aca="false">IF(parametros_recargas!$N$96*J58*J90=0,0,'Demanda por puesto'!$P$282/(parametros_recargas!$N$96*J58*J90))</f>
        <v>0.0939643299219004</v>
      </c>
      <c r="K26" s="27" t="n">
        <f aca="false">IF(parametros_recargas!$N$96*K58*K90=0,0,'Demanda por puesto'!$P$314/(parametros_recargas!$N$96*K58*K90))</f>
        <v>0.101150531107199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7" t="n">
        <f aca="false">IF(parametros_recargas!$N$97*B59*B91=0,0,'Demanda por puesto'!$P$27/(parametros_recargas!$N$97*B59*B91))</f>
        <v>0.111607843509301</v>
      </c>
      <c r="C27" s="27" t="n">
        <f aca="false">IF(parametros_recargas!$N$97*C59*C91=0,0,'Demanda por puesto'!$P$59/(parametros_recargas!$N$97*C59*C91))</f>
        <v>0.373436283353819</v>
      </c>
      <c r="D27" s="27" t="n">
        <f aca="false">IF(parametros_recargas!$N$97*D59*D91=0,0,'Demanda por puesto'!$P$91/(parametros_recargas!$N$97*D59*D91))</f>
        <v>0.726865095732773</v>
      </c>
      <c r="E27" s="27" t="n">
        <f aca="false">IF(parametros_recargas!$N$97*E59*E91=0,0,'Demanda por puesto'!$P$123/(parametros_recargas!$N$97*E59*E91))</f>
        <v>1.22301794874808</v>
      </c>
      <c r="F27" s="27" t="n">
        <f aca="false">IF(parametros_recargas!$N$97*F59*F91=0,0,'Demanda por puesto'!$P$155/(parametros_recargas!$N$97*F59*F91))</f>
        <v>1.73942115298237</v>
      </c>
      <c r="G27" s="27" t="n">
        <f aca="false">IF(parametros_recargas!$N$97*G59*G91=0,0,'Demanda por puesto'!$P$187/(parametros_recargas!$N$97*G59*G91))</f>
        <v>2.27294837021792</v>
      </c>
      <c r="H27" s="27" t="n">
        <f aca="false">IF(parametros_recargas!$N$97*H59*H91=0,0,'Demanda por puesto'!$P$219/(parametros_recargas!$N$97*H59*H91))</f>
        <v>2.71355256592188</v>
      </c>
      <c r="I27" s="27" t="n">
        <f aca="false">IF(parametros_recargas!$N$97*I59*I91=0,0,'Demanda por puesto'!$P$251/(parametros_recargas!$N$97*I59*I91))</f>
        <v>3.00808702235866</v>
      </c>
      <c r="J27" s="27" t="n">
        <f aca="false">IF(parametros_recargas!$N$97*J59*J91=0,0,'Demanda por puesto'!$P$283/(parametros_recargas!$N$97*J59*J91))</f>
        <v>3.23104954942624</v>
      </c>
      <c r="K27" s="27" t="n">
        <f aca="false">IF(parametros_recargas!$N$97*K59*K91=0,0,'Demanda por puesto'!$P$315/(parametros_recargas!$N$97*K59*K91))</f>
        <v>3.46360553251969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7" t="n">
        <f aca="false">IF(parametros_recargas!$N$98*B60*B92=0,0,'Demanda por puesto'!$P$28/(parametros_recargas!$N$98*B60*B92))</f>
        <v>0.119978431772498</v>
      </c>
      <c r="C28" s="27" t="n">
        <f aca="false">IF(parametros_recargas!$N$98*C60*C92=0,0,'Demanda por puesto'!$P$60/(parametros_recargas!$N$98*C60*C92))</f>
        <v>0.401444004605355</v>
      </c>
      <c r="D28" s="27" t="n">
        <f aca="false">IF(parametros_recargas!$N$98*D60*D92=0,0,'Demanda por puesto'!$P$92/(parametros_recargas!$N$98*D60*D92))</f>
        <v>0.781379977912731</v>
      </c>
      <c r="E28" s="27" t="n">
        <f aca="false">IF(parametros_recargas!$N$98*E60*E92=0,0,'Demanda por puesto'!$P$124/(parametros_recargas!$N$98*E60*E92))</f>
        <v>1.31474429490419</v>
      </c>
      <c r="F28" s="27" t="n">
        <f aca="false">IF(parametros_recargas!$N$98*F60*F92=0,0,'Demanda por puesto'!$P$156/(parametros_recargas!$N$98*F60*F92))</f>
        <v>1.86987773945604</v>
      </c>
      <c r="G28" s="27" t="n">
        <f aca="false">IF(parametros_recargas!$N$98*G60*G92=0,0,'Demanda por puesto'!$P$188/(parametros_recargas!$N$98*G60*G92))</f>
        <v>2.44341949798426</v>
      </c>
      <c r="H28" s="27" t="n">
        <f aca="false">IF(parametros_recargas!$N$98*H60*H92=0,0,'Demanda por puesto'!$P$220/(parametros_recargas!$N$98*H60*H92))</f>
        <v>2.91706900836603</v>
      </c>
      <c r="I28" s="27" t="n">
        <f aca="false">IF(parametros_recargas!$N$98*I60*I92=0,0,'Demanda por puesto'!$P$252/(parametros_recargas!$N$98*I60*I92))</f>
        <v>3.23369354903556</v>
      </c>
      <c r="J28" s="27" t="n">
        <f aca="false">IF(parametros_recargas!$N$98*J60*J92=0,0,'Demanda por puesto'!$P$284/(parametros_recargas!$N$98*J60*J92))</f>
        <v>3.4733782656332</v>
      </c>
      <c r="K28" s="27" t="n">
        <f aca="false">IF(parametros_recargas!$N$98*K60*K92=0,0,'Demanda por puesto'!$P$316/(parametros_recargas!$N$98*K60*K92))</f>
        <v>3.72337594745867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7" t="n">
        <f aca="false">IF(parametros_recargas!$N$99*B61*B93=0,0,'Demanda por puesto'!$P$29/(parametros_recargas!$N$99*B61*B93))</f>
        <v>0.0427804794909671</v>
      </c>
      <c r="C29" s="27" t="n">
        <f aca="false">IF(parametros_recargas!$N$99*C61*C93=0,0,'Demanda por puesto'!$P$61/(parametros_recargas!$N$99*C61*C93))</f>
        <v>0.143386632157144</v>
      </c>
      <c r="D29" s="27" t="n">
        <f aca="false">IF(parametros_recargas!$N$99*D61*D93=0,0,'Demanda por puesto'!$P$93/(parametros_recargas!$N$99*D61*D93))</f>
        <v>0.278504367897597</v>
      </c>
      <c r="E29" s="27" t="n">
        <f aca="false">IF(parametros_recargas!$N$99*E61*E93=0,0,'Demanda por puesto'!$P$125/(parametros_recargas!$N$99*E61*E93))</f>
        <v>0.468487734936273</v>
      </c>
      <c r="F29" s="27" t="n">
        <f aca="false">IF(parametros_recargas!$N$99*F61*F93=0,0,'Demanda por puesto'!$P$157/(parametros_recargas!$N$99*F61*F93))</f>
        <v>0.666525686997372</v>
      </c>
      <c r="G29" s="27" t="n">
        <f aca="false">IF(parametros_recargas!$N$99*G61*G93=0,0,'Demanda por puesto'!$P$189/(parametros_recargas!$N$99*G61*G93))</f>
        <v>0.871309633019698</v>
      </c>
      <c r="H29" s="27" t="n">
        <f aca="false">IF(parametros_recargas!$N$99*H61*H93=0,0,'Demanda por puesto'!$P$221/(parametros_recargas!$N$99*H61*H93))</f>
        <v>1.04042768977759</v>
      </c>
      <c r="I29" s="27" t="n">
        <f aca="false">IF(parametros_recargas!$N$99*I61*I93=0,0,'Demanda por puesto'!$P$253/(parametros_recargas!$N$99*I61*I93))</f>
        <v>1.15379806063907</v>
      </c>
      <c r="J29" s="27" t="n">
        <f aca="false">IF(parametros_recargas!$N$99*J61*J93=0,0,'Demanda por puesto'!$P$285/(parametros_recargas!$N$99*J61*J93))</f>
        <v>1.23922121969098</v>
      </c>
      <c r="K29" s="27" t="n">
        <f aca="false">IF(parametros_recargas!$N$99*K61*K93=0,0,'Demanda por puesto'!$P$317/(parametros_recargas!$N$99*K61*K93))</f>
        <v>1.32832897063618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7" t="n">
        <f aca="false">IF(parametros_recargas!$N$100*B62*B94=0,0,'Demanda por puesto'!$P$30/(parametros_recargas!$N$100*B62*B94))</f>
        <v>0.0124764348522961</v>
      </c>
      <c r="C30" s="27" t="n">
        <f aca="false">IF(parametros_recargas!$N$100*C62*C94=0,0,'Demanda por puesto'!$P$62/(parametros_recargas!$N$100*C62*C94))</f>
        <v>0.0478959326505272</v>
      </c>
      <c r="D30" s="27" t="n">
        <f aca="false">IF(parametros_recargas!$N$100*D62*D94=0,0,'Demanda por puesto'!$P$94/(parametros_recargas!$N$100*D62*D94))</f>
        <v>0.0991502017020176</v>
      </c>
      <c r="E30" s="27" t="n">
        <f aca="false">IF(parametros_recargas!$N$100*E62*E94=0,0,'Demanda por puesto'!$P$126/(parametros_recargas!$N$100*E62*E94))</f>
        <v>0.160892442176318</v>
      </c>
      <c r="F30" s="27" t="n">
        <f aca="false">IF(parametros_recargas!$N$100*F62*F94=0,0,'Demanda por puesto'!$P$158/(parametros_recargas!$N$100*F62*F94))</f>
        <v>0.223798444270834</v>
      </c>
      <c r="G30" s="27" t="n">
        <f aca="false">IF(parametros_recargas!$N$100*G62*G94=0,0,'Demanda por puesto'!$P$190/(parametros_recargas!$N$100*G62*G94))</f>
        <v>0.285599726935794</v>
      </c>
      <c r="H30" s="27" t="n">
        <f aca="false">IF(parametros_recargas!$N$100*H62*H94=0,0,'Demanda por puesto'!$P$222/(parametros_recargas!$N$100*H62*H94))</f>
        <v>0.339352508912801</v>
      </c>
      <c r="I30" s="27" t="n">
        <f aca="false">IF(parametros_recargas!$N$100*I62*I94=0,0,'Demanda por puesto'!$P$254/(parametros_recargas!$N$100*I62*I94))</f>
        <v>0.373029284250681</v>
      </c>
      <c r="J30" s="27" t="n">
        <f aca="false">IF(parametros_recargas!$N$100*J62*J94=0,0,'Demanda por puesto'!$P$286/(parametros_recargas!$N$100*J62*J94))</f>
        <v>0.404676956459683</v>
      </c>
      <c r="K30" s="27" t="n">
        <f aca="false">IF(parametros_recargas!$N$100*K62*K94=0,0,'Demanda por puesto'!$P$318/(parametros_recargas!$N$100*K62*K94))</f>
        <v>0.437314515218747</v>
      </c>
    </row>
    <row r="31" customFormat="false" ht="15" hidden="false" customHeight="false" outlineLevel="0" collapsed="false">
      <c r="A31" s="6" t="s">
        <v>304</v>
      </c>
      <c r="B31" s="29" t="n">
        <f aca="false">MAX(B2:B30)</f>
        <v>0.146056278133307</v>
      </c>
      <c r="C31" s="29" t="n">
        <f aca="false">MAX(C2:C30)</f>
        <v>0.49185792118295</v>
      </c>
      <c r="D31" s="29" t="n">
        <f aca="false">MAX(D2:D30)</f>
        <v>0.94231178169761</v>
      </c>
      <c r="E31" s="29" t="n">
        <f aca="false">MAX(E2:E30)</f>
        <v>1.5855724722114</v>
      </c>
      <c r="F31" s="29" t="n">
        <f aca="false">MAX(F2:F30)</f>
        <v>2.26234388945313</v>
      </c>
      <c r="G31" s="29" t="n">
        <f aca="false">MAX(G2:G30)</f>
        <v>2.96725815042667</v>
      </c>
      <c r="H31" s="29" t="n">
        <f aca="false">MAX(H2:H30)</f>
        <v>3.5483828828007</v>
      </c>
      <c r="I31" s="29" t="n">
        <f aca="false">MAX(I2:I30)</f>
        <v>3.9448793947503</v>
      </c>
      <c r="J31" s="29" t="n">
        <f aca="false">MAX(J2:J30)</f>
        <v>4.23382760679684</v>
      </c>
      <c r="K31" s="29" t="n">
        <f aca="false">MAX(K2:K30)</f>
        <v>4.53552931668034</v>
      </c>
    </row>
    <row r="33" customFormat="false" ht="15" hidden="false" customHeight="false" outlineLevel="0" collapsed="false">
      <c r="A33" s="3" t="s">
        <v>305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306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307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308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309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4" t="n">
        <f aca="false">IF(parametros_recargas!$N$72=0,0,ROUNDUP('Demanda por puesto'!$P$2/(parametros_recargas!$N$72*$O$9),0))</f>
        <v>1</v>
      </c>
      <c r="C98" s="24" t="n">
        <f aca="false">IF(parametros_recargas!$N$72=0,0,ROUNDUP('Demanda por puesto'!$P$34/(parametros_recargas!$N$72*$O$9),0))</f>
        <v>1</v>
      </c>
      <c r="D98" s="24" t="n">
        <f aca="false">IF(parametros_recargas!$N$72=0,0,ROUNDUP('Demanda por puesto'!$P$66/(parametros_recargas!$N$72*$O$9),0))</f>
        <v>1</v>
      </c>
      <c r="E98" s="24" t="n">
        <f aca="false">IF(parametros_recargas!$N$72=0,0,ROUNDUP('Demanda por puesto'!$P$98/(parametros_recargas!$N$72*$O$9),0))</f>
        <v>2</v>
      </c>
      <c r="F98" s="24" t="n">
        <f aca="false">IF(parametros_recargas!$N$72=0,0,ROUNDUP('Demanda por puesto'!$P$130/(parametros_recargas!$N$72*$O$9),0))</f>
        <v>2</v>
      </c>
      <c r="G98" s="24" t="n">
        <f aca="false">IF(parametros_recargas!$N$72=0,0,ROUNDUP('Demanda por puesto'!$P$162/(parametros_recargas!$N$72*$O$9),0))</f>
        <v>3</v>
      </c>
      <c r="H98" s="24" t="n">
        <f aca="false">IF(parametros_recargas!$N$72=0,0,ROUNDUP('Demanda por puesto'!$P$194/(parametros_recargas!$N$72*$O$9),0))</f>
        <v>3</v>
      </c>
      <c r="I98" s="24" t="n">
        <f aca="false">IF(parametros_recargas!$N$72=0,0,ROUNDUP('Demanda por puesto'!$P$226/(parametros_recargas!$N$72*$O$9),0))</f>
        <v>4</v>
      </c>
      <c r="J98" s="24" t="n">
        <f aca="false">IF(parametros_recargas!$N$72=0,0,ROUNDUP('Demanda por puesto'!$P$258/(parametros_recargas!$N$72*$O$9),0))</f>
        <v>4</v>
      </c>
      <c r="K98" s="24" t="n">
        <f aca="false">IF(parametros_recargas!$N$72=0,0,ROUNDUP('Demanda por puesto'!$P$290/(parametros_recargas!$N$72*$O$9),0))</f>
        <v>4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4" t="n">
        <f aca="false">IF(parametros_recargas!$N$73=0,0,ROUNDUP('Demanda por puesto'!$P$3/(parametros_recargas!$N$73*$O$9),0))</f>
        <v>1</v>
      </c>
      <c r="C99" s="24" t="n">
        <f aca="false">IF(parametros_recargas!$N$73=0,0,ROUNDUP('Demanda por puesto'!$P$35/(parametros_recargas!$N$73*$O$9),0))</f>
        <v>1</v>
      </c>
      <c r="D99" s="24" t="n">
        <f aca="false">IF(parametros_recargas!$N$73=0,0,ROUNDUP('Demanda por puesto'!$P$67/(parametros_recargas!$N$73*$O$9),0))</f>
        <v>1</v>
      </c>
      <c r="E99" s="24" t="n">
        <f aca="false">IF(parametros_recargas!$N$73=0,0,ROUNDUP('Demanda por puesto'!$P$99/(parametros_recargas!$N$73*$O$9),0))</f>
        <v>2</v>
      </c>
      <c r="F99" s="24" t="n">
        <f aca="false">IF(parametros_recargas!$N$73=0,0,ROUNDUP('Demanda por puesto'!$P$131/(parametros_recargas!$N$73*$O$9),0))</f>
        <v>3</v>
      </c>
      <c r="G99" s="24" t="n">
        <f aca="false">IF(parametros_recargas!$N$73=0,0,ROUNDUP('Demanda por puesto'!$P$163/(parametros_recargas!$N$73*$O$9),0))</f>
        <v>3</v>
      </c>
      <c r="H99" s="24" t="n">
        <f aca="false">IF(parametros_recargas!$N$73=0,0,ROUNDUP('Demanda por puesto'!$P$195/(parametros_recargas!$N$73*$O$9),0))</f>
        <v>4</v>
      </c>
      <c r="I99" s="24" t="n">
        <f aca="false">IF(parametros_recargas!$N$73=0,0,ROUNDUP('Demanda por puesto'!$P$227/(parametros_recargas!$N$73*$O$9),0))</f>
        <v>4</v>
      </c>
      <c r="J99" s="24" t="n">
        <f aca="false">IF(parametros_recargas!$N$73=0,0,ROUNDUP('Demanda por puesto'!$P$259/(parametros_recargas!$N$73*$O$9),0))</f>
        <v>5</v>
      </c>
      <c r="K99" s="24" t="n">
        <f aca="false">IF(parametros_recargas!$N$73=0,0,ROUNDUP('Demanda por puesto'!$P$291/(parametros_recargas!$N$73*$O$9),0))</f>
        <v>5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4" t="n">
        <f aca="false">IF(parametros_recargas!$N$74=0,0,ROUNDUP('Demanda por puesto'!$P$4/(parametros_recargas!$N$74*$O$9),0))</f>
        <v>1</v>
      </c>
      <c r="C100" s="24" t="n">
        <f aca="false">IF(parametros_recargas!$N$74=0,0,ROUNDUP('Demanda por puesto'!$P$36/(parametros_recargas!$N$74*$O$9),0))</f>
        <v>1</v>
      </c>
      <c r="D100" s="24" t="n">
        <f aca="false">IF(parametros_recargas!$N$74=0,0,ROUNDUP('Demanda por puesto'!$P$68/(parametros_recargas!$N$74*$O$9),0))</f>
        <v>1</v>
      </c>
      <c r="E100" s="24" t="n">
        <f aca="false">IF(parametros_recargas!$N$74=0,0,ROUNDUP('Demanda por puesto'!$P$100/(parametros_recargas!$N$74*$O$9),0))</f>
        <v>2</v>
      </c>
      <c r="F100" s="24" t="n">
        <f aca="false">IF(parametros_recargas!$N$74=0,0,ROUNDUP('Demanda por puesto'!$P$132/(parametros_recargas!$N$74*$O$9),0))</f>
        <v>2</v>
      </c>
      <c r="G100" s="24" t="n">
        <f aca="false">IF(parametros_recargas!$N$74=0,0,ROUNDUP('Demanda por puesto'!$P$164/(parametros_recargas!$N$74*$O$9),0))</f>
        <v>2</v>
      </c>
      <c r="H100" s="24" t="n">
        <f aca="false">IF(parametros_recargas!$N$74=0,0,ROUNDUP('Demanda por puesto'!$P$196/(parametros_recargas!$N$74*$O$9),0))</f>
        <v>3</v>
      </c>
      <c r="I100" s="24" t="n">
        <f aca="false">IF(parametros_recargas!$N$74=0,0,ROUNDUP('Demanda por puesto'!$P$228/(parametros_recargas!$N$74*$O$9),0))</f>
        <v>3</v>
      </c>
      <c r="J100" s="24" t="n">
        <f aca="false">IF(parametros_recargas!$N$74=0,0,ROUNDUP('Demanda por puesto'!$P$260/(parametros_recargas!$N$74*$O$9),0))</f>
        <v>3</v>
      </c>
      <c r="K100" s="24" t="n">
        <f aca="false">IF(parametros_recargas!$N$74=0,0,ROUNDUP('Demanda por puesto'!$P$292/(parametros_recargas!$N$74*$O$9),0))</f>
        <v>4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4" t="n">
        <f aca="false">IF(parametros_recargas!$N$75=0,0,ROUNDUP('Demanda por puesto'!$P$5/(parametros_recargas!$N$75*$O$9),0))</f>
        <v>1</v>
      </c>
      <c r="C101" s="24" t="n">
        <f aca="false">IF(parametros_recargas!$N$75=0,0,ROUNDUP('Demanda por puesto'!$P$37/(parametros_recargas!$N$75*$O$9),0))</f>
        <v>1</v>
      </c>
      <c r="D101" s="24" t="n">
        <f aca="false">IF(parametros_recargas!$N$75=0,0,ROUNDUP('Demanda por puesto'!$P$69/(parametros_recargas!$N$75*$O$9),0))</f>
        <v>1</v>
      </c>
      <c r="E101" s="24" t="n">
        <f aca="false">IF(parametros_recargas!$N$75=0,0,ROUNDUP('Demanda por puesto'!$P$101/(parametros_recargas!$N$75*$O$9),0))</f>
        <v>1</v>
      </c>
      <c r="F101" s="24" t="n">
        <f aca="false">IF(parametros_recargas!$N$75=0,0,ROUNDUP('Demanda por puesto'!$P$133/(parametros_recargas!$N$75*$O$9),0))</f>
        <v>1</v>
      </c>
      <c r="G101" s="24" t="n">
        <f aca="false">IF(parametros_recargas!$N$75=0,0,ROUNDUP('Demanda por puesto'!$P$165/(parametros_recargas!$N$75*$O$9),0))</f>
        <v>1</v>
      </c>
      <c r="H101" s="24" t="n">
        <f aca="false">IF(parametros_recargas!$N$75=0,0,ROUNDUP('Demanda por puesto'!$P$197/(parametros_recargas!$N$75*$O$9),0))</f>
        <v>1</v>
      </c>
      <c r="I101" s="24" t="n">
        <f aca="false">IF(parametros_recargas!$N$75=0,0,ROUNDUP('Demanda por puesto'!$P$229/(parametros_recargas!$N$75*$O$9),0))</f>
        <v>1</v>
      </c>
      <c r="J101" s="24" t="n">
        <f aca="false">IF(parametros_recargas!$N$75=0,0,ROUNDUP('Demanda por puesto'!$P$261/(parametros_recargas!$N$75*$O$9),0))</f>
        <v>1</v>
      </c>
      <c r="K101" s="24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4" t="n">
        <f aca="false">IF(parametros_recargas!$N$76=0,0,ROUNDUP('Demanda por puesto'!$P$6/(parametros_recargas!$N$76*$O$9),0))</f>
        <v>1</v>
      </c>
      <c r="C102" s="24" t="n">
        <f aca="false">IF(parametros_recargas!$N$76=0,0,ROUNDUP('Demanda por puesto'!$P$38/(parametros_recargas!$N$76*$O$9),0))</f>
        <v>1</v>
      </c>
      <c r="D102" s="24" t="n">
        <f aca="false">IF(parametros_recargas!$N$76=0,0,ROUNDUP('Demanda por puesto'!$P$70/(parametros_recargas!$N$76*$O$9),0))</f>
        <v>1</v>
      </c>
      <c r="E102" s="24" t="n">
        <f aca="false">IF(parametros_recargas!$N$76=0,0,ROUNDUP('Demanda por puesto'!$P$102/(parametros_recargas!$N$76*$O$9),0))</f>
        <v>1</v>
      </c>
      <c r="F102" s="24" t="n">
        <f aca="false">IF(parametros_recargas!$N$76=0,0,ROUNDUP('Demanda por puesto'!$P$134/(parametros_recargas!$N$76*$O$9),0))</f>
        <v>1</v>
      </c>
      <c r="G102" s="24" t="n">
        <f aca="false">IF(parametros_recargas!$N$76=0,0,ROUNDUP('Demanda por puesto'!$P$166/(parametros_recargas!$N$76*$O$9),0))</f>
        <v>1</v>
      </c>
      <c r="H102" s="24" t="n">
        <f aca="false">IF(parametros_recargas!$N$76=0,0,ROUNDUP('Demanda por puesto'!$P$198/(parametros_recargas!$N$76*$O$9),0))</f>
        <v>1</v>
      </c>
      <c r="I102" s="24" t="n">
        <f aca="false">IF(parametros_recargas!$N$76=0,0,ROUNDUP('Demanda por puesto'!$P$230/(parametros_recargas!$N$76*$O$9),0))</f>
        <v>1</v>
      </c>
      <c r="J102" s="24" t="n">
        <f aca="false">IF(parametros_recargas!$N$76=0,0,ROUNDUP('Demanda por puesto'!$P$262/(parametros_recargas!$N$76*$O$9),0))</f>
        <v>1</v>
      </c>
      <c r="K102" s="24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4" t="n">
        <f aca="false">IF(parametros_recargas!$N$77=0,0,ROUNDUP('Demanda por puesto'!$P$7/(parametros_recargas!$N$77*$O$9),0))</f>
        <v>1</v>
      </c>
      <c r="C103" s="24" t="n">
        <f aca="false">IF(parametros_recargas!$N$77=0,0,ROUNDUP('Demanda por puesto'!$P$39/(parametros_recargas!$N$77*$O$9),0))</f>
        <v>1</v>
      </c>
      <c r="D103" s="24" t="n">
        <f aca="false">IF(parametros_recargas!$N$77=0,0,ROUNDUP('Demanda por puesto'!$P$71/(parametros_recargas!$N$77*$O$9),0))</f>
        <v>1</v>
      </c>
      <c r="E103" s="24" t="n">
        <f aca="false">IF(parametros_recargas!$N$77=0,0,ROUNDUP('Demanda por puesto'!$P$103/(parametros_recargas!$N$77*$O$9),0))</f>
        <v>1</v>
      </c>
      <c r="F103" s="24" t="n">
        <f aca="false">IF(parametros_recargas!$N$77=0,0,ROUNDUP('Demanda por puesto'!$P$135/(parametros_recargas!$N$77*$O$9),0))</f>
        <v>1</v>
      </c>
      <c r="G103" s="24" t="n">
        <f aca="false">IF(parametros_recargas!$N$77=0,0,ROUNDUP('Demanda por puesto'!$P$167/(parametros_recargas!$N$77*$O$9),0))</f>
        <v>1</v>
      </c>
      <c r="H103" s="24" t="n">
        <f aca="false">IF(parametros_recargas!$N$77=0,0,ROUNDUP('Demanda por puesto'!$P$199/(parametros_recargas!$N$77*$O$9),0))</f>
        <v>1</v>
      </c>
      <c r="I103" s="24" t="n">
        <f aca="false">IF(parametros_recargas!$N$77=0,0,ROUNDUP('Demanda por puesto'!$P$231/(parametros_recargas!$N$77*$O$9),0))</f>
        <v>1</v>
      </c>
      <c r="J103" s="24" t="n">
        <f aca="false">IF(parametros_recargas!$N$77=0,0,ROUNDUP('Demanda por puesto'!$P$263/(parametros_recargas!$N$77*$O$9),0))</f>
        <v>1</v>
      </c>
      <c r="K103" s="24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4" t="n">
        <f aca="false">IF(parametros_recargas!$N$78=0,0,ROUNDUP('Demanda por puesto'!$P$8/(parametros_recargas!$N$78*$O$9),0))</f>
        <v>1</v>
      </c>
      <c r="C104" s="24" t="n">
        <f aca="false">IF(parametros_recargas!$N$78=0,0,ROUNDUP('Demanda por puesto'!$P$40/(parametros_recargas!$N$78*$O$9),0))</f>
        <v>1</v>
      </c>
      <c r="D104" s="24" t="n">
        <f aca="false">IF(parametros_recargas!$N$78=0,0,ROUNDUP('Demanda por puesto'!$P$72/(parametros_recargas!$N$78*$O$9),0))</f>
        <v>1</v>
      </c>
      <c r="E104" s="24" t="n">
        <f aca="false">IF(parametros_recargas!$N$78=0,0,ROUNDUP('Demanda por puesto'!$P$104/(parametros_recargas!$N$78*$O$9),0))</f>
        <v>1</v>
      </c>
      <c r="F104" s="24" t="n">
        <f aca="false">IF(parametros_recargas!$N$78=0,0,ROUNDUP('Demanda por puesto'!$P$136/(parametros_recargas!$N$78*$O$9),0))</f>
        <v>1</v>
      </c>
      <c r="G104" s="24" t="n">
        <f aca="false">IF(parametros_recargas!$N$78=0,0,ROUNDUP('Demanda por puesto'!$P$168/(parametros_recargas!$N$78*$O$9),0))</f>
        <v>1</v>
      </c>
      <c r="H104" s="24" t="n">
        <f aca="false">IF(parametros_recargas!$N$78=0,0,ROUNDUP('Demanda por puesto'!$P$200/(parametros_recargas!$N$78*$O$9),0))</f>
        <v>1</v>
      </c>
      <c r="I104" s="24" t="n">
        <f aca="false">IF(parametros_recargas!$N$78=0,0,ROUNDUP('Demanda por puesto'!$P$232/(parametros_recargas!$N$78*$O$9),0))</f>
        <v>1</v>
      </c>
      <c r="J104" s="24" t="n">
        <f aca="false">IF(parametros_recargas!$N$78=0,0,ROUNDUP('Demanda por puesto'!$P$264/(parametros_recargas!$N$78*$O$9),0))</f>
        <v>1</v>
      </c>
      <c r="K104" s="24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4" t="n">
        <f aca="false">IF(parametros_recargas!$N$79=0,0,ROUNDUP('Demanda por puesto'!$P$9/(parametros_recargas!$N$79*$O$9),0))</f>
        <v>1</v>
      </c>
      <c r="C105" s="24" t="n">
        <f aca="false">IF(parametros_recargas!$N$79=0,0,ROUNDUP('Demanda por puesto'!$P$41/(parametros_recargas!$N$79*$O$9),0))</f>
        <v>1</v>
      </c>
      <c r="D105" s="24" t="n">
        <f aca="false">IF(parametros_recargas!$N$79=0,0,ROUNDUP('Demanda por puesto'!$P$73/(parametros_recargas!$N$79*$O$9),0))</f>
        <v>1</v>
      </c>
      <c r="E105" s="24" t="n">
        <f aca="false">IF(parametros_recargas!$N$79=0,0,ROUNDUP('Demanda por puesto'!$P$105/(parametros_recargas!$N$79*$O$9),0))</f>
        <v>1</v>
      </c>
      <c r="F105" s="24" t="n">
        <f aca="false">IF(parametros_recargas!$N$79=0,0,ROUNDUP('Demanda por puesto'!$P$137/(parametros_recargas!$N$79*$O$9),0))</f>
        <v>1</v>
      </c>
      <c r="G105" s="24" t="n">
        <f aca="false">IF(parametros_recargas!$N$79=0,0,ROUNDUP('Demanda por puesto'!$P$169/(parametros_recargas!$N$79*$O$9),0))</f>
        <v>1</v>
      </c>
      <c r="H105" s="24" t="n">
        <f aca="false">IF(parametros_recargas!$N$79=0,0,ROUNDUP('Demanda por puesto'!$P$201/(parametros_recargas!$N$79*$O$9),0))</f>
        <v>1</v>
      </c>
      <c r="I105" s="24" t="n">
        <f aca="false">IF(parametros_recargas!$N$79=0,0,ROUNDUP('Demanda por puesto'!$P$233/(parametros_recargas!$N$79*$O$9),0))</f>
        <v>1</v>
      </c>
      <c r="J105" s="24" t="n">
        <f aca="false">IF(parametros_recargas!$N$79=0,0,ROUNDUP('Demanda por puesto'!$P$265/(parametros_recargas!$N$79*$O$9),0))</f>
        <v>1</v>
      </c>
      <c r="K105" s="24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4" t="n">
        <f aca="false">IF(parametros_recargas!$N$80=0,0,ROUNDUP('Demanda por puesto'!$P$10/(parametros_recargas!$N$80*$O$9),0))</f>
        <v>1</v>
      </c>
      <c r="C106" s="24" t="n">
        <f aca="false">IF(parametros_recargas!$N$80=0,0,ROUNDUP('Demanda por puesto'!$P$42/(parametros_recargas!$N$80*$O$9),0))</f>
        <v>1</v>
      </c>
      <c r="D106" s="24" t="n">
        <f aca="false">IF(parametros_recargas!$N$80=0,0,ROUNDUP('Demanda por puesto'!$P$74/(parametros_recargas!$N$80*$O$9),0))</f>
        <v>1</v>
      </c>
      <c r="E106" s="24" t="n">
        <f aca="false">IF(parametros_recargas!$N$80=0,0,ROUNDUP('Demanda por puesto'!$P$106/(parametros_recargas!$N$80*$O$9),0))</f>
        <v>2</v>
      </c>
      <c r="F106" s="24" t="n">
        <f aca="false">IF(parametros_recargas!$N$80=0,0,ROUNDUP('Demanda por puesto'!$P$138/(parametros_recargas!$N$80*$O$9),0))</f>
        <v>3</v>
      </c>
      <c r="G106" s="24" t="n">
        <f aca="false">IF(parametros_recargas!$N$80=0,0,ROUNDUP('Demanda por puesto'!$P$170/(parametros_recargas!$N$80*$O$9),0))</f>
        <v>3</v>
      </c>
      <c r="H106" s="24" t="n">
        <f aca="false">IF(parametros_recargas!$N$80=0,0,ROUNDUP('Demanda por puesto'!$P$202/(parametros_recargas!$N$80*$O$9),0))</f>
        <v>4</v>
      </c>
      <c r="I106" s="24" t="n">
        <f aca="false">IF(parametros_recargas!$N$80=0,0,ROUNDUP('Demanda por puesto'!$P$234/(parametros_recargas!$N$80*$O$9),0))</f>
        <v>4</v>
      </c>
      <c r="J106" s="24" t="n">
        <f aca="false">IF(parametros_recargas!$N$80=0,0,ROUNDUP('Demanda por puesto'!$P$266/(parametros_recargas!$N$80*$O$9),0))</f>
        <v>4</v>
      </c>
      <c r="K106" s="24" t="n">
        <f aca="false">IF(parametros_recargas!$N$80=0,0,ROUNDUP('Demanda por puesto'!$P$298/(parametros_recargas!$N$80*$O$9),0))</f>
        <v>5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4" t="n">
        <f aca="false">IF(parametros_recargas!$N$81=0,0,ROUNDUP('Demanda por puesto'!$P$11/(parametros_recargas!$N$81*$O$9),0))</f>
        <v>1</v>
      </c>
      <c r="C107" s="24" t="n">
        <f aca="false">IF(parametros_recargas!$N$81=0,0,ROUNDUP('Demanda por puesto'!$P$43/(parametros_recargas!$N$81*$O$9),0))</f>
        <v>1</v>
      </c>
      <c r="D107" s="24" t="n">
        <f aca="false">IF(parametros_recargas!$N$81=0,0,ROUNDUP('Demanda por puesto'!$P$75/(parametros_recargas!$N$81*$O$9),0))</f>
        <v>1</v>
      </c>
      <c r="E107" s="24" t="n">
        <f aca="false">IF(parametros_recargas!$N$81=0,0,ROUNDUP('Demanda por puesto'!$P$107/(parametros_recargas!$N$81*$O$9),0))</f>
        <v>1</v>
      </c>
      <c r="F107" s="24" t="n">
        <f aca="false">IF(parametros_recargas!$N$81=0,0,ROUNDUP('Demanda por puesto'!$P$139/(parametros_recargas!$N$81*$O$9),0))</f>
        <v>1</v>
      </c>
      <c r="G107" s="24" t="n">
        <f aca="false">IF(parametros_recargas!$N$81=0,0,ROUNDUP('Demanda por puesto'!$P$171/(parametros_recargas!$N$81*$O$9),0))</f>
        <v>1</v>
      </c>
      <c r="H107" s="24" t="n">
        <f aca="false">IF(parametros_recargas!$N$81=0,0,ROUNDUP('Demanda por puesto'!$P$203/(parametros_recargas!$N$81*$O$9),0))</f>
        <v>1</v>
      </c>
      <c r="I107" s="24" t="n">
        <f aca="false">IF(parametros_recargas!$N$81=0,0,ROUNDUP('Demanda por puesto'!$P$235/(parametros_recargas!$N$81*$O$9),0))</f>
        <v>1</v>
      </c>
      <c r="J107" s="24" t="n">
        <f aca="false">IF(parametros_recargas!$N$81=0,0,ROUNDUP('Demanda por puesto'!$P$267/(parametros_recargas!$N$81*$O$9),0))</f>
        <v>1</v>
      </c>
      <c r="K107" s="24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4" t="n">
        <f aca="false">IF(parametros_recargas!$N$82=0,0,ROUNDUP('Demanda por puesto'!$P$12/(parametros_recargas!$N$82*$O$9),0))</f>
        <v>1</v>
      </c>
      <c r="C108" s="24" t="n">
        <f aca="false">IF(parametros_recargas!$N$82=0,0,ROUNDUP('Demanda por puesto'!$P$44/(parametros_recargas!$N$82*$O$9),0))</f>
        <v>1</v>
      </c>
      <c r="D108" s="24" t="n">
        <f aca="false">IF(parametros_recargas!$N$82=0,0,ROUNDUP('Demanda por puesto'!$P$76/(parametros_recargas!$N$82*$O$9),0))</f>
        <v>1</v>
      </c>
      <c r="E108" s="24" t="n">
        <f aca="false">IF(parametros_recargas!$N$82=0,0,ROUNDUP('Demanda por puesto'!$P$108/(parametros_recargas!$N$82*$O$9),0))</f>
        <v>1</v>
      </c>
      <c r="F108" s="24" t="n">
        <f aca="false">IF(parametros_recargas!$N$82=0,0,ROUNDUP('Demanda por puesto'!$P$140/(parametros_recargas!$N$82*$O$9),0))</f>
        <v>1</v>
      </c>
      <c r="G108" s="24" t="n">
        <f aca="false">IF(parametros_recargas!$N$82=0,0,ROUNDUP('Demanda por puesto'!$P$172/(parametros_recargas!$N$82*$O$9),0))</f>
        <v>1</v>
      </c>
      <c r="H108" s="24" t="n">
        <f aca="false">IF(parametros_recargas!$N$82=0,0,ROUNDUP('Demanda por puesto'!$P$204/(parametros_recargas!$N$82*$O$9),0))</f>
        <v>1</v>
      </c>
      <c r="I108" s="24" t="n">
        <f aca="false">IF(parametros_recargas!$N$82=0,0,ROUNDUP('Demanda por puesto'!$P$236/(parametros_recargas!$N$82*$O$9),0))</f>
        <v>1</v>
      </c>
      <c r="J108" s="24" t="n">
        <f aca="false">IF(parametros_recargas!$N$82=0,0,ROUNDUP('Demanda por puesto'!$P$268/(parametros_recargas!$N$82*$O$9),0))</f>
        <v>1</v>
      </c>
      <c r="K108" s="24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4" t="n">
        <f aca="false">IF(parametros_recargas!$N$83=0,0,ROUNDUP('Demanda por puesto'!$P$13/(parametros_recargas!$N$83*$O$9),0))</f>
        <v>1</v>
      </c>
      <c r="C109" s="24" t="n">
        <f aca="false">IF(parametros_recargas!$N$83=0,0,ROUNDUP('Demanda por puesto'!$P$45/(parametros_recargas!$N$83*$O$9),0))</f>
        <v>1</v>
      </c>
      <c r="D109" s="24" t="n">
        <f aca="false">IF(parametros_recargas!$N$83=0,0,ROUNDUP('Demanda por puesto'!$P$77/(parametros_recargas!$N$83*$O$9),0))</f>
        <v>1</v>
      </c>
      <c r="E109" s="24" t="n">
        <f aca="false">IF(parametros_recargas!$N$83=0,0,ROUNDUP('Demanda por puesto'!$P$109/(parametros_recargas!$N$83*$O$9),0))</f>
        <v>2</v>
      </c>
      <c r="F109" s="24" t="n">
        <f aca="false">IF(parametros_recargas!$N$83=0,0,ROUNDUP('Demanda por puesto'!$P$141/(parametros_recargas!$N$83*$O$9),0))</f>
        <v>2</v>
      </c>
      <c r="G109" s="24" t="n">
        <f aca="false">IF(parametros_recargas!$N$83=0,0,ROUNDUP('Demanda por puesto'!$P$173/(parametros_recargas!$N$83*$O$9),0))</f>
        <v>3</v>
      </c>
      <c r="H109" s="24" t="n">
        <f aca="false">IF(parametros_recargas!$N$83=0,0,ROUNDUP('Demanda por puesto'!$P$205/(parametros_recargas!$N$83*$O$9),0))</f>
        <v>3</v>
      </c>
      <c r="I109" s="24" t="n">
        <f aca="false">IF(parametros_recargas!$N$83=0,0,ROUNDUP('Demanda por puesto'!$P$237/(parametros_recargas!$N$83*$O$9),0))</f>
        <v>3</v>
      </c>
      <c r="J109" s="24" t="n">
        <f aca="false">IF(parametros_recargas!$N$83=0,0,ROUNDUP('Demanda por puesto'!$P$269/(parametros_recargas!$N$83*$O$9),0))</f>
        <v>3</v>
      </c>
      <c r="K109" s="24" t="n">
        <f aca="false">IF(parametros_recargas!$N$83=0,0,ROUNDUP('Demanda por puesto'!$P$301/(parametros_recargas!$N$83*$O$9),0))</f>
        <v>4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4" t="n">
        <f aca="false">IF(parametros_recargas!$N$84=0,0,ROUNDUP('Demanda por puesto'!$P$14/(parametros_recargas!$N$84*$O$9),0))</f>
        <v>1</v>
      </c>
      <c r="C110" s="24" t="n">
        <f aca="false">IF(parametros_recargas!$N$84=0,0,ROUNDUP('Demanda por puesto'!$P$46/(parametros_recargas!$N$84*$O$9),0))</f>
        <v>1</v>
      </c>
      <c r="D110" s="24" t="n">
        <f aca="false">IF(parametros_recargas!$N$84=0,0,ROUNDUP('Demanda por puesto'!$P$78/(parametros_recargas!$N$84*$O$9),0))</f>
        <v>1</v>
      </c>
      <c r="E110" s="24" t="n">
        <f aca="false">IF(parametros_recargas!$N$84=0,0,ROUNDUP('Demanda por puesto'!$P$110/(parametros_recargas!$N$84*$O$9),0))</f>
        <v>1</v>
      </c>
      <c r="F110" s="24" t="n">
        <f aca="false">IF(parametros_recargas!$N$84=0,0,ROUNDUP('Demanda por puesto'!$P$142/(parametros_recargas!$N$84*$O$9),0))</f>
        <v>1</v>
      </c>
      <c r="G110" s="24" t="n">
        <f aca="false">IF(parametros_recargas!$N$84=0,0,ROUNDUP('Demanda por puesto'!$P$174/(parametros_recargas!$N$84*$O$9),0))</f>
        <v>2</v>
      </c>
      <c r="H110" s="24" t="n">
        <f aca="false">IF(parametros_recargas!$N$84=0,0,ROUNDUP('Demanda por puesto'!$P$206/(parametros_recargas!$N$84*$O$9),0))</f>
        <v>2</v>
      </c>
      <c r="I110" s="24" t="n">
        <f aca="false">IF(parametros_recargas!$N$84=0,0,ROUNDUP('Demanda por puesto'!$P$238/(parametros_recargas!$N$84*$O$9),0))</f>
        <v>2</v>
      </c>
      <c r="J110" s="24" t="n">
        <f aca="false">IF(parametros_recargas!$N$84=0,0,ROUNDUP('Demanda por puesto'!$P$270/(parametros_recargas!$N$84*$O$9),0))</f>
        <v>2</v>
      </c>
      <c r="K110" s="24" t="n">
        <f aca="false">IF(parametros_recargas!$N$84=0,0,ROUNDUP('Demanda por puesto'!$P$302/(parametros_recargas!$N$84*$O$9),0))</f>
        <v>2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4" t="n">
        <f aca="false">IF(parametros_recargas!$N$85=0,0,ROUNDUP('Demanda por puesto'!$P$15/(parametros_recargas!$N$85*$O$9),0))</f>
        <v>1</v>
      </c>
      <c r="C111" s="24" t="n">
        <f aca="false">IF(parametros_recargas!$N$85=0,0,ROUNDUP('Demanda por puesto'!$P$47/(parametros_recargas!$N$85*$O$9),0))</f>
        <v>1</v>
      </c>
      <c r="D111" s="24" t="n">
        <f aca="false">IF(parametros_recargas!$N$85=0,0,ROUNDUP('Demanda por puesto'!$P$79/(parametros_recargas!$N$85*$O$9),0))</f>
        <v>1</v>
      </c>
      <c r="E111" s="24" t="n">
        <f aca="false">IF(parametros_recargas!$N$85=0,0,ROUNDUP('Demanda por puesto'!$P$111/(parametros_recargas!$N$85*$O$9),0))</f>
        <v>1</v>
      </c>
      <c r="F111" s="24" t="n">
        <f aca="false">IF(parametros_recargas!$N$85=0,0,ROUNDUP('Demanda por puesto'!$P$143/(parametros_recargas!$N$85*$O$9),0))</f>
        <v>1</v>
      </c>
      <c r="G111" s="24" t="n">
        <f aca="false">IF(parametros_recargas!$N$85=0,0,ROUNDUP('Demanda por puesto'!$P$175/(parametros_recargas!$N$85*$O$9),0))</f>
        <v>1</v>
      </c>
      <c r="H111" s="24" t="n">
        <f aca="false">IF(parametros_recargas!$N$85=0,0,ROUNDUP('Demanda por puesto'!$P$207/(parametros_recargas!$N$85*$O$9),0))</f>
        <v>1</v>
      </c>
      <c r="I111" s="24" t="n">
        <f aca="false">IF(parametros_recargas!$N$85=0,0,ROUNDUP('Demanda por puesto'!$P$239/(parametros_recargas!$N$85*$O$9),0))</f>
        <v>1</v>
      </c>
      <c r="J111" s="24" t="n">
        <f aca="false">IF(parametros_recargas!$N$85=0,0,ROUNDUP('Demanda por puesto'!$P$271/(parametros_recargas!$N$85*$O$9),0))</f>
        <v>1</v>
      </c>
      <c r="K111" s="24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4" t="n">
        <f aca="false">IF(parametros_recargas!$N$86=0,0,ROUNDUP('Demanda por puesto'!$P$16/(parametros_recargas!$N$86*$O$9),0))</f>
        <v>1</v>
      </c>
      <c r="C112" s="24" t="n">
        <f aca="false">IF(parametros_recargas!$N$86=0,0,ROUNDUP('Demanda por puesto'!$P$48/(parametros_recargas!$N$86*$O$9),0))</f>
        <v>1</v>
      </c>
      <c r="D112" s="24" t="n">
        <f aca="false">IF(parametros_recargas!$N$86=0,0,ROUNDUP('Demanda por puesto'!$P$80/(parametros_recargas!$N$86*$O$9),0))</f>
        <v>1</v>
      </c>
      <c r="E112" s="24" t="n">
        <f aca="false">IF(parametros_recargas!$N$86=0,0,ROUNDUP('Demanda por puesto'!$P$112/(parametros_recargas!$N$86*$O$9),0))</f>
        <v>2</v>
      </c>
      <c r="F112" s="24" t="n">
        <f aca="false">IF(parametros_recargas!$N$86=0,0,ROUNDUP('Demanda por puesto'!$P$144/(parametros_recargas!$N$86*$O$9),0))</f>
        <v>2</v>
      </c>
      <c r="G112" s="24" t="n">
        <f aca="false">IF(parametros_recargas!$N$86=0,0,ROUNDUP('Demanda por puesto'!$P$176/(parametros_recargas!$N$86*$O$9),0))</f>
        <v>3</v>
      </c>
      <c r="H112" s="24" t="n">
        <f aca="false">IF(parametros_recargas!$N$86=0,0,ROUNDUP('Demanda por puesto'!$P$208/(parametros_recargas!$N$86*$O$9),0))</f>
        <v>3</v>
      </c>
      <c r="I112" s="24" t="n">
        <f aca="false">IF(parametros_recargas!$N$86=0,0,ROUNDUP('Demanda por puesto'!$P$240/(parametros_recargas!$N$86*$O$9),0))</f>
        <v>4</v>
      </c>
      <c r="J112" s="24" t="n">
        <f aca="false">IF(parametros_recargas!$N$86=0,0,ROUNDUP('Demanda por puesto'!$P$272/(parametros_recargas!$N$86*$O$9),0))</f>
        <v>4</v>
      </c>
      <c r="K112" s="24" t="n">
        <f aca="false">IF(parametros_recargas!$N$86=0,0,ROUNDUP('Demanda por puesto'!$P$304/(parametros_recargas!$N$86*$O$9),0))</f>
        <v>4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4" t="n">
        <f aca="false">IF(parametros_recargas!$N$87=0,0,ROUNDUP('Demanda por puesto'!$P$17/(parametros_recargas!$N$87*$O$9),0))</f>
        <v>1</v>
      </c>
      <c r="C113" s="24" t="n">
        <f aca="false">IF(parametros_recargas!$N$87=0,0,ROUNDUP('Demanda por puesto'!$P$49/(parametros_recargas!$N$87*$O$9),0))</f>
        <v>1</v>
      </c>
      <c r="D113" s="24" t="n">
        <f aca="false">IF(parametros_recargas!$N$87=0,0,ROUNDUP('Demanda por puesto'!$P$81/(parametros_recargas!$N$87*$O$9),0))</f>
        <v>1</v>
      </c>
      <c r="E113" s="24" t="n">
        <f aca="false">IF(parametros_recargas!$N$87=0,0,ROUNDUP('Demanda por puesto'!$P$113/(parametros_recargas!$N$87*$O$9),0))</f>
        <v>2</v>
      </c>
      <c r="F113" s="24" t="n">
        <f aca="false">IF(parametros_recargas!$N$87=0,0,ROUNDUP('Demanda por puesto'!$P$145/(parametros_recargas!$N$87*$O$9),0))</f>
        <v>3</v>
      </c>
      <c r="G113" s="24" t="n">
        <f aca="false">IF(parametros_recargas!$N$87=0,0,ROUNDUP('Demanda por puesto'!$P$177/(parametros_recargas!$N$87*$O$9),0))</f>
        <v>3</v>
      </c>
      <c r="H113" s="24" t="n">
        <f aca="false">IF(parametros_recargas!$N$87=0,0,ROUNDUP('Demanda por puesto'!$P$209/(parametros_recargas!$N$87*$O$9),0))</f>
        <v>4</v>
      </c>
      <c r="I113" s="24" t="n">
        <f aca="false">IF(parametros_recargas!$N$87=0,0,ROUNDUP('Demanda por puesto'!$P$241/(parametros_recargas!$N$87*$O$9),0))</f>
        <v>4</v>
      </c>
      <c r="J113" s="24" t="n">
        <f aca="false">IF(parametros_recargas!$N$87=0,0,ROUNDUP('Demanda por puesto'!$P$273/(parametros_recargas!$N$87*$O$9),0))</f>
        <v>5</v>
      </c>
      <c r="K113" s="24" t="n">
        <f aca="false">IF(parametros_recargas!$N$87=0,0,ROUNDUP('Demanda por puesto'!$P$305/(parametros_recargas!$N$87*$O$9),0))</f>
        <v>5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4" t="n">
        <f aca="false">IF(parametros_recargas!$N$88=0,0,ROUNDUP('Demanda por puesto'!$P$18/(parametros_recargas!$N$88*$O$9),0))</f>
        <v>1</v>
      </c>
      <c r="C114" s="24" t="n">
        <f aca="false">IF(parametros_recargas!$N$88=0,0,ROUNDUP('Demanda por puesto'!$P$50/(parametros_recargas!$N$88*$O$9),0))</f>
        <v>1</v>
      </c>
      <c r="D114" s="24" t="n">
        <f aca="false">IF(parametros_recargas!$N$88=0,0,ROUNDUP('Demanda por puesto'!$P$82/(parametros_recargas!$N$88*$O$9),0))</f>
        <v>1</v>
      </c>
      <c r="E114" s="24" t="n">
        <f aca="false">IF(parametros_recargas!$N$88=0,0,ROUNDUP('Demanda por puesto'!$P$114/(parametros_recargas!$N$88*$O$9),0))</f>
        <v>1</v>
      </c>
      <c r="F114" s="24" t="n">
        <f aca="false">IF(parametros_recargas!$N$88=0,0,ROUNDUP('Demanda por puesto'!$P$146/(parametros_recargas!$N$88*$O$9),0))</f>
        <v>1</v>
      </c>
      <c r="G114" s="24" t="n">
        <f aca="false">IF(parametros_recargas!$N$88=0,0,ROUNDUP('Demanda por puesto'!$P$178/(parametros_recargas!$N$88*$O$9),0))</f>
        <v>1</v>
      </c>
      <c r="H114" s="24" t="n">
        <f aca="false">IF(parametros_recargas!$N$88=0,0,ROUNDUP('Demanda por puesto'!$P$210/(parametros_recargas!$N$88*$O$9),0))</f>
        <v>1</v>
      </c>
      <c r="I114" s="24" t="n">
        <f aca="false">IF(parametros_recargas!$N$88=0,0,ROUNDUP('Demanda por puesto'!$P$242/(parametros_recargas!$N$88*$O$9),0))</f>
        <v>1</v>
      </c>
      <c r="J114" s="24" t="n">
        <f aca="false">IF(parametros_recargas!$N$88=0,0,ROUNDUP('Demanda por puesto'!$P$274/(parametros_recargas!$N$88*$O$9),0))</f>
        <v>1</v>
      </c>
      <c r="K114" s="24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4" t="n">
        <f aca="false">IF(parametros_recargas!$N$89=0,0,ROUNDUP('Demanda por puesto'!$P$19/(parametros_recargas!$N$89*$O$9),0))</f>
        <v>1</v>
      </c>
      <c r="C115" s="24" t="n">
        <f aca="false">IF(parametros_recargas!$N$89=0,0,ROUNDUP('Demanda por puesto'!$P$51/(parametros_recargas!$N$89*$O$9),0))</f>
        <v>1</v>
      </c>
      <c r="D115" s="24" t="n">
        <f aca="false">IF(parametros_recargas!$N$89=0,0,ROUNDUP('Demanda por puesto'!$P$83/(parametros_recargas!$N$89*$O$9),0))</f>
        <v>1</v>
      </c>
      <c r="E115" s="24" t="n">
        <f aca="false">IF(parametros_recargas!$N$89=0,0,ROUNDUP('Demanda por puesto'!$P$115/(parametros_recargas!$N$89*$O$9),0))</f>
        <v>1</v>
      </c>
      <c r="F115" s="24" t="n">
        <f aca="false">IF(parametros_recargas!$N$89=0,0,ROUNDUP('Demanda por puesto'!$P$147/(parametros_recargas!$N$89*$O$9),0))</f>
        <v>1</v>
      </c>
      <c r="G115" s="24" t="n">
        <f aca="false">IF(parametros_recargas!$N$89=0,0,ROUNDUP('Demanda por puesto'!$P$179/(parametros_recargas!$N$89*$O$9),0))</f>
        <v>1</v>
      </c>
      <c r="H115" s="24" t="n">
        <f aca="false">IF(parametros_recargas!$N$89=0,0,ROUNDUP('Demanda por puesto'!$P$211/(parametros_recargas!$N$89*$O$9),0))</f>
        <v>1</v>
      </c>
      <c r="I115" s="24" t="n">
        <f aca="false">IF(parametros_recargas!$N$89=0,0,ROUNDUP('Demanda por puesto'!$P$243/(parametros_recargas!$N$89*$O$9),0))</f>
        <v>1</v>
      </c>
      <c r="J115" s="24" t="n">
        <f aca="false">IF(parametros_recargas!$N$89=0,0,ROUNDUP('Demanda por puesto'!$P$275/(parametros_recargas!$N$89*$O$9),0))</f>
        <v>1</v>
      </c>
      <c r="K115" s="24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4" t="n">
        <f aca="false">IF(parametros_recargas!$N$90=0,0,ROUNDUP('Demanda por puesto'!$P$20/(parametros_recargas!$N$90*$O$9),0))</f>
        <v>1</v>
      </c>
      <c r="C116" s="24" t="n">
        <f aca="false">IF(parametros_recargas!$N$90=0,0,ROUNDUP('Demanda por puesto'!$P$52/(parametros_recargas!$N$90*$O$9),0))</f>
        <v>1</v>
      </c>
      <c r="D116" s="24" t="n">
        <f aca="false">IF(parametros_recargas!$N$90=0,0,ROUNDUP('Demanda por puesto'!$P$84/(parametros_recargas!$N$90*$O$9),0))</f>
        <v>1</v>
      </c>
      <c r="E116" s="24" t="n">
        <f aca="false">IF(parametros_recargas!$N$90=0,0,ROUNDUP('Demanda por puesto'!$P$116/(parametros_recargas!$N$90*$O$9),0))</f>
        <v>1</v>
      </c>
      <c r="F116" s="24" t="n">
        <f aca="false">IF(parametros_recargas!$N$90=0,0,ROUNDUP('Demanda por puesto'!$P$148/(parametros_recargas!$N$90*$O$9),0))</f>
        <v>1</v>
      </c>
      <c r="G116" s="24" t="n">
        <f aca="false">IF(parametros_recargas!$N$90=0,0,ROUNDUP('Demanda por puesto'!$P$180/(parametros_recargas!$N$90*$O$9),0))</f>
        <v>1</v>
      </c>
      <c r="H116" s="24" t="n">
        <f aca="false">IF(parametros_recargas!$N$90=0,0,ROUNDUP('Demanda por puesto'!$P$212/(parametros_recargas!$N$90*$O$9),0))</f>
        <v>1</v>
      </c>
      <c r="I116" s="24" t="n">
        <f aca="false">IF(parametros_recargas!$N$90=0,0,ROUNDUP('Demanda por puesto'!$P$244/(parametros_recargas!$N$90*$O$9),0))</f>
        <v>1</v>
      </c>
      <c r="J116" s="24" t="n">
        <f aca="false">IF(parametros_recargas!$N$90=0,0,ROUNDUP('Demanda por puesto'!$P$276/(parametros_recargas!$N$90*$O$9),0))</f>
        <v>1</v>
      </c>
      <c r="K116" s="24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4" t="n">
        <f aca="false">IF(parametros_recargas!$N$91=0,0,ROUNDUP('Demanda por puesto'!$P$21/(parametros_recargas!$N$91*$O$9),0))</f>
        <v>1</v>
      </c>
      <c r="C117" s="24" t="n">
        <f aca="false">IF(parametros_recargas!$N$91=0,0,ROUNDUP('Demanda por puesto'!$P$53/(parametros_recargas!$N$91*$O$9),0))</f>
        <v>1</v>
      </c>
      <c r="D117" s="24" t="n">
        <f aca="false">IF(parametros_recargas!$N$91=0,0,ROUNDUP('Demanda por puesto'!$P$85/(parametros_recargas!$N$91*$O$9),0))</f>
        <v>1</v>
      </c>
      <c r="E117" s="24" t="n">
        <f aca="false">IF(parametros_recargas!$N$91=0,0,ROUNDUP('Demanda por puesto'!$P$117/(parametros_recargas!$N$91*$O$9),0))</f>
        <v>1</v>
      </c>
      <c r="F117" s="24" t="n">
        <f aca="false">IF(parametros_recargas!$N$91=0,0,ROUNDUP('Demanda por puesto'!$P$149/(parametros_recargas!$N$91*$O$9),0))</f>
        <v>1</v>
      </c>
      <c r="G117" s="24" t="n">
        <f aca="false">IF(parametros_recargas!$N$91=0,0,ROUNDUP('Demanda por puesto'!$P$181/(parametros_recargas!$N$91*$O$9),0))</f>
        <v>1</v>
      </c>
      <c r="H117" s="24" t="n">
        <f aca="false">IF(parametros_recargas!$N$91=0,0,ROUNDUP('Demanda por puesto'!$P$213/(parametros_recargas!$N$91*$O$9),0))</f>
        <v>1</v>
      </c>
      <c r="I117" s="24" t="n">
        <f aca="false">IF(parametros_recargas!$N$91=0,0,ROUNDUP('Demanda por puesto'!$P$245/(parametros_recargas!$N$91*$O$9),0))</f>
        <v>1</v>
      </c>
      <c r="J117" s="24" t="n">
        <f aca="false">IF(parametros_recargas!$N$91=0,0,ROUNDUP('Demanda por puesto'!$P$277/(parametros_recargas!$N$91*$O$9),0))</f>
        <v>1</v>
      </c>
      <c r="K117" s="24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4" t="n">
        <f aca="false">IF(parametros_recargas!$N$92=0,0,ROUNDUP('Demanda por puesto'!$P$22/(parametros_recargas!$N$92*$O$9),0))</f>
        <v>1</v>
      </c>
      <c r="C118" s="24" t="n">
        <f aca="false">IF(parametros_recargas!$N$92=0,0,ROUNDUP('Demanda por puesto'!$P$54/(parametros_recargas!$N$92*$O$9),0))</f>
        <v>1</v>
      </c>
      <c r="D118" s="24" t="n">
        <f aca="false">IF(parametros_recargas!$N$92=0,0,ROUNDUP('Demanda por puesto'!$P$86/(parametros_recargas!$N$92*$O$9),0))</f>
        <v>2</v>
      </c>
      <c r="E118" s="24" t="n">
        <f aca="false">IF(parametros_recargas!$N$92=0,0,ROUNDUP('Demanda por puesto'!$P$118/(parametros_recargas!$N$92*$O$9),0))</f>
        <v>2</v>
      </c>
      <c r="F118" s="24" t="n">
        <f aca="false">IF(parametros_recargas!$N$92=0,0,ROUNDUP('Demanda por puesto'!$P$150/(parametros_recargas!$N$92*$O$9),0))</f>
        <v>3</v>
      </c>
      <c r="G118" s="24" t="n">
        <f aca="false">IF(parametros_recargas!$N$92=0,0,ROUNDUP('Demanda por puesto'!$P$182/(parametros_recargas!$N$92*$O$9),0))</f>
        <v>4</v>
      </c>
      <c r="H118" s="24" t="n">
        <f aca="false">IF(parametros_recargas!$N$92=0,0,ROUNDUP('Demanda por puesto'!$P$214/(parametros_recargas!$N$92*$O$9),0))</f>
        <v>4</v>
      </c>
      <c r="I118" s="24" t="n">
        <f aca="false">IF(parametros_recargas!$N$92=0,0,ROUNDUP('Demanda por puesto'!$P$246/(parametros_recargas!$N$92*$O$9),0))</f>
        <v>5</v>
      </c>
      <c r="J118" s="24" t="n">
        <f aca="false">IF(parametros_recargas!$N$92=0,0,ROUNDUP('Demanda por puesto'!$P$278/(parametros_recargas!$N$92*$O$9),0))</f>
        <v>5</v>
      </c>
      <c r="K118" s="24" t="n">
        <f aca="false">IF(parametros_recargas!$N$92=0,0,ROUNDUP('Demanda por puesto'!$P$310/(parametros_recargas!$N$92*$O$9),0))</f>
        <v>6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4" t="n">
        <f aca="false">IF(parametros_recargas!$N$93=0,0,ROUNDUP('Demanda por puesto'!$P$23/(parametros_recargas!$N$93*$O$9),0))</f>
        <v>1</v>
      </c>
      <c r="C119" s="24" t="n">
        <f aca="false">IF(parametros_recargas!$N$93=0,0,ROUNDUP('Demanda por puesto'!$P$55/(parametros_recargas!$N$93*$O$9),0))</f>
        <v>1</v>
      </c>
      <c r="D119" s="24" t="n">
        <f aca="false">IF(parametros_recargas!$N$93=0,0,ROUNDUP('Demanda por puesto'!$P$87/(parametros_recargas!$N$93*$O$9),0))</f>
        <v>1</v>
      </c>
      <c r="E119" s="24" t="n">
        <f aca="false">IF(parametros_recargas!$N$93=0,0,ROUNDUP('Demanda por puesto'!$P$119/(parametros_recargas!$N$93*$O$9),0))</f>
        <v>2</v>
      </c>
      <c r="F119" s="24" t="n">
        <f aca="false">IF(parametros_recargas!$N$93=0,0,ROUNDUP('Demanda por puesto'!$P$151/(parametros_recargas!$N$93*$O$9),0))</f>
        <v>2</v>
      </c>
      <c r="G119" s="24" t="n">
        <f aca="false">IF(parametros_recargas!$N$93=0,0,ROUNDUP('Demanda por puesto'!$P$183/(parametros_recargas!$N$93*$O$9),0))</f>
        <v>3</v>
      </c>
      <c r="H119" s="24" t="n">
        <f aca="false">IF(parametros_recargas!$N$93=0,0,ROUNDUP('Demanda por puesto'!$P$215/(parametros_recargas!$N$93*$O$9),0))</f>
        <v>3</v>
      </c>
      <c r="I119" s="24" t="n">
        <f aca="false">IF(parametros_recargas!$N$93=0,0,ROUNDUP('Demanda por puesto'!$P$247/(parametros_recargas!$N$93*$O$9),0))</f>
        <v>3</v>
      </c>
      <c r="J119" s="24" t="n">
        <f aca="false">IF(parametros_recargas!$N$93=0,0,ROUNDUP('Demanda por puesto'!$P$279/(parametros_recargas!$N$93*$O$9),0))</f>
        <v>3</v>
      </c>
      <c r="K119" s="24" t="n">
        <f aca="false">IF(parametros_recargas!$N$93=0,0,ROUNDUP('Demanda por puesto'!$P$311/(parametros_recargas!$N$93*$O$9),0))</f>
        <v>4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4" t="n">
        <f aca="false">IF(parametros_recargas!$N$94=0,0,ROUNDUP('Demanda por puesto'!$P$24/(parametros_recargas!$N$94*$O$9),0))</f>
        <v>1</v>
      </c>
      <c r="C120" s="24" t="n">
        <f aca="false">IF(parametros_recargas!$N$94=0,0,ROUNDUP('Demanda por puesto'!$P$56/(parametros_recargas!$N$94*$O$9),0))</f>
        <v>1</v>
      </c>
      <c r="D120" s="24" t="n">
        <f aca="false">IF(parametros_recargas!$N$94=0,0,ROUNDUP('Demanda por puesto'!$P$88/(parametros_recargas!$N$94*$O$9),0))</f>
        <v>1</v>
      </c>
      <c r="E120" s="24" t="n">
        <f aca="false">IF(parametros_recargas!$N$94=0,0,ROUNDUP('Demanda por puesto'!$P$120/(parametros_recargas!$N$94*$O$9),0))</f>
        <v>1</v>
      </c>
      <c r="F120" s="24" t="n">
        <f aca="false">IF(parametros_recargas!$N$94=0,0,ROUNDUP('Demanda por puesto'!$P$152/(parametros_recargas!$N$94*$O$9),0))</f>
        <v>1</v>
      </c>
      <c r="G120" s="24" t="n">
        <f aca="false">IF(parametros_recargas!$N$94=0,0,ROUNDUP('Demanda por puesto'!$P$184/(parametros_recargas!$N$94*$O$9),0))</f>
        <v>1</v>
      </c>
      <c r="H120" s="24" t="n">
        <f aca="false">IF(parametros_recargas!$N$94=0,0,ROUNDUP('Demanda por puesto'!$P$216/(parametros_recargas!$N$94*$O$9),0))</f>
        <v>1</v>
      </c>
      <c r="I120" s="24" t="n">
        <f aca="false">IF(parametros_recargas!$N$94=0,0,ROUNDUP('Demanda por puesto'!$P$248/(parametros_recargas!$N$94*$O$9),0))</f>
        <v>1</v>
      </c>
      <c r="J120" s="24" t="n">
        <f aca="false">IF(parametros_recargas!$N$94=0,0,ROUNDUP('Demanda por puesto'!$P$280/(parametros_recargas!$N$94*$O$9),0))</f>
        <v>1</v>
      </c>
      <c r="K120" s="24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4" t="n">
        <f aca="false">IF(parametros_recargas!$N$95=0,0,ROUNDUP('Demanda por puesto'!$P$25/(parametros_recargas!$N$95*$O$9),0))</f>
        <v>1</v>
      </c>
      <c r="C121" s="24" t="n">
        <f aca="false">IF(parametros_recargas!$N$95=0,0,ROUNDUP('Demanda por puesto'!$P$57/(parametros_recargas!$N$95*$O$9),0))</f>
        <v>1</v>
      </c>
      <c r="D121" s="24" t="n">
        <f aca="false">IF(parametros_recargas!$N$95=0,0,ROUNDUP('Demanda por puesto'!$P$89/(parametros_recargas!$N$95*$O$9),0))</f>
        <v>1</v>
      </c>
      <c r="E121" s="24" t="n">
        <f aca="false">IF(parametros_recargas!$N$95=0,0,ROUNDUP('Demanda por puesto'!$P$121/(parametros_recargas!$N$95*$O$9),0))</f>
        <v>1</v>
      </c>
      <c r="F121" s="24" t="n">
        <f aca="false">IF(parametros_recargas!$N$95=0,0,ROUNDUP('Demanda por puesto'!$P$153/(parametros_recargas!$N$95*$O$9),0))</f>
        <v>1</v>
      </c>
      <c r="G121" s="24" t="n">
        <f aca="false">IF(parametros_recargas!$N$95=0,0,ROUNDUP('Demanda por puesto'!$P$185/(parametros_recargas!$N$95*$O$9),0))</f>
        <v>1</v>
      </c>
      <c r="H121" s="24" t="n">
        <f aca="false">IF(parametros_recargas!$N$95=0,0,ROUNDUP('Demanda por puesto'!$P$217/(parametros_recargas!$N$95*$O$9),0))</f>
        <v>1</v>
      </c>
      <c r="I121" s="24" t="n">
        <f aca="false">IF(parametros_recargas!$N$95=0,0,ROUNDUP('Demanda por puesto'!$P$249/(parametros_recargas!$N$95*$O$9),0))</f>
        <v>1</v>
      </c>
      <c r="J121" s="24" t="n">
        <f aca="false">IF(parametros_recargas!$N$95=0,0,ROUNDUP('Demanda por puesto'!$P$281/(parametros_recargas!$N$95*$O$9),0))</f>
        <v>1</v>
      </c>
      <c r="K121" s="24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4" t="n">
        <f aca="false">IF(parametros_recargas!$N$96=0,0,ROUNDUP('Demanda por puesto'!$P$26/(parametros_recargas!$N$96*$O$9),0))</f>
        <v>1</v>
      </c>
      <c r="C122" s="24" t="n">
        <f aca="false">IF(parametros_recargas!$N$96=0,0,ROUNDUP('Demanda por puesto'!$P$58/(parametros_recargas!$N$96*$O$9),0))</f>
        <v>1</v>
      </c>
      <c r="D122" s="24" t="n">
        <f aca="false">IF(parametros_recargas!$N$96=0,0,ROUNDUP('Demanda por puesto'!$P$90/(parametros_recargas!$N$96*$O$9),0))</f>
        <v>1</v>
      </c>
      <c r="E122" s="24" t="n">
        <f aca="false">IF(parametros_recargas!$N$96=0,0,ROUNDUP('Demanda por puesto'!$P$122/(parametros_recargas!$N$96*$O$9),0))</f>
        <v>1</v>
      </c>
      <c r="F122" s="24" t="n">
        <f aca="false">IF(parametros_recargas!$N$96=0,0,ROUNDUP('Demanda por puesto'!$P$154/(parametros_recargas!$N$96*$O$9),0))</f>
        <v>1</v>
      </c>
      <c r="G122" s="24" t="n">
        <f aca="false">IF(parametros_recargas!$N$96=0,0,ROUNDUP('Demanda por puesto'!$P$186/(parametros_recargas!$N$96*$O$9),0))</f>
        <v>1</v>
      </c>
      <c r="H122" s="24" t="n">
        <f aca="false">IF(parametros_recargas!$N$96=0,0,ROUNDUP('Demanda por puesto'!$P$218/(parametros_recargas!$N$96*$O$9),0))</f>
        <v>1</v>
      </c>
      <c r="I122" s="24" t="n">
        <f aca="false">IF(parametros_recargas!$N$96=0,0,ROUNDUP('Demanda por puesto'!$P$250/(parametros_recargas!$N$96*$O$9),0))</f>
        <v>1</v>
      </c>
      <c r="J122" s="24" t="n">
        <f aca="false">IF(parametros_recargas!$N$96=0,0,ROUNDUP('Demanda por puesto'!$P$282/(parametros_recargas!$N$96*$O$9),0))</f>
        <v>1</v>
      </c>
      <c r="K122" s="24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4" t="n">
        <f aca="false">IF(parametros_recargas!$N$97=0,0,ROUNDUP('Demanda por puesto'!$P$27/(parametros_recargas!$N$97*$O$9),0))</f>
        <v>1</v>
      </c>
      <c r="C123" s="24" t="n">
        <f aca="false">IF(parametros_recargas!$N$97=0,0,ROUNDUP('Demanda por puesto'!$P$59/(parametros_recargas!$N$97*$O$9),0))</f>
        <v>1</v>
      </c>
      <c r="D123" s="24" t="n">
        <f aca="false">IF(parametros_recargas!$N$97=0,0,ROUNDUP('Demanda por puesto'!$P$91/(parametros_recargas!$N$97*$O$9),0))</f>
        <v>1</v>
      </c>
      <c r="E123" s="24" t="n">
        <f aca="false">IF(parametros_recargas!$N$97=0,0,ROUNDUP('Demanda por puesto'!$P$123/(parametros_recargas!$N$97*$O$9),0))</f>
        <v>2</v>
      </c>
      <c r="F123" s="24" t="n">
        <f aca="false">IF(parametros_recargas!$N$97=0,0,ROUNDUP('Demanda por puesto'!$P$155/(parametros_recargas!$N$97*$O$9),0))</f>
        <v>2</v>
      </c>
      <c r="G123" s="24" t="n">
        <f aca="false">IF(parametros_recargas!$N$97=0,0,ROUNDUP('Demanda por puesto'!$P$187/(parametros_recargas!$N$97*$O$9),0))</f>
        <v>3</v>
      </c>
      <c r="H123" s="24" t="n">
        <f aca="false">IF(parametros_recargas!$N$97=0,0,ROUNDUP('Demanda por puesto'!$P$219/(parametros_recargas!$N$97*$O$9),0))</f>
        <v>4</v>
      </c>
      <c r="I123" s="24" t="n">
        <f aca="false">IF(parametros_recargas!$N$97=0,0,ROUNDUP('Demanda por puesto'!$P$251/(parametros_recargas!$N$97*$O$9),0))</f>
        <v>4</v>
      </c>
      <c r="J123" s="24" t="n">
        <f aca="false">IF(parametros_recargas!$N$97=0,0,ROUNDUP('Demanda por puesto'!$P$283/(parametros_recargas!$N$97*$O$9),0))</f>
        <v>4</v>
      </c>
      <c r="K123" s="24" t="n">
        <f aca="false">IF(parametros_recargas!$N$97=0,0,ROUNDUP('Demanda por puesto'!$P$315/(parametros_recargas!$N$97*$O$9),0))</f>
        <v>4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4" t="n">
        <f aca="false">IF(parametros_recargas!$N$98=0,0,ROUNDUP('Demanda por puesto'!$P$28/(parametros_recargas!$N$98*$O$9),0))</f>
        <v>1</v>
      </c>
      <c r="C124" s="24" t="n">
        <f aca="false">IF(parametros_recargas!$N$98=0,0,ROUNDUP('Demanda por puesto'!$P$60/(parametros_recargas!$N$98*$O$9),0))</f>
        <v>1</v>
      </c>
      <c r="D124" s="24" t="n">
        <f aca="false">IF(parametros_recargas!$N$98=0,0,ROUNDUP('Demanda por puesto'!$P$92/(parametros_recargas!$N$98*$O$9),0))</f>
        <v>1</v>
      </c>
      <c r="E124" s="24" t="n">
        <f aca="false">IF(parametros_recargas!$N$98=0,0,ROUNDUP('Demanda por puesto'!$P$124/(parametros_recargas!$N$98*$O$9),0))</f>
        <v>2</v>
      </c>
      <c r="F124" s="24" t="n">
        <f aca="false">IF(parametros_recargas!$N$98=0,0,ROUNDUP('Demanda por puesto'!$P$156/(parametros_recargas!$N$98*$O$9),0))</f>
        <v>3</v>
      </c>
      <c r="G124" s="24" t="n">
        <f aca="false">IF(parametros_recargas!$N$98=0,0,ROUNDUP('Demanda por puesto'!$P$188/(parametros_recargas!$N$98*$O$9),0))</f>
        <v>3</v>
      </c>
      <c r="H124" s="24" t="n">
        <f aca="false">IF(parametros_recargas!$N$98=0,0,ROUNDUP('Demanda por puesto'!$P$220/(parametros_recargas!$N$98*$O$9),0))</f>
        <v>4</v>
      </c>
      <c r="I124" s="24" t="n">
        <f aca="false">IF(parametros_recargas!$N$98=0,0,ROUNDUP('Demanda por puesto'!$P$252/(parametros_recargas!$N$98*$O$9),0))</f>
        <v>4</v>
      </c>
      <c r="J124" s="24" t="n">
        <f aca="false">IF(parametros_recargas!$N$98=0,0,ROUNDUP('Demanda por puesto'!$P$284/(parametros_recargas!$N$98*$O$9),0))</f>
        <v>4</v>
      </c>
      <c r="K124" s="24" t="n">
        <f aca="false">IF(parametros_recargas!$N$98=0,0,ROUNDUP('Demanda por puesto'!$P$316/(parametros_recargas!$N$98*$O$9),0))</f>
        <v>5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4" t="n">
        <f aca="false">IF(parametros_recargas!$N$99=0,0,ROUNDUP('Demanda por puesto'!$P$29/(parametros_recargas!$N$99*$O$9),0))</f>
        <v>1</v>
      </c>
      <c r="C125" s="24" t="n">
        <f aca="false">IF(parametros_recargas!$N$99=0,0,ROUNDUP('Demanda por puesto'!$P$61/(parametros_recargas!$N$99*$O$9),0))</f>
        <v>1</v>
      </c>
      <c r="D125" s="24" t="n">
        <f aca="false">IF(parametros_recargas!$N$99=0,0,ROUNDUP('Demanda por puesto'!$P$93/(parametros_recargas!$N$99*$O$9),0))</f>
        <v>1</v>
      </c>
      <c r="E125" s="24" t="n">
        <f aca="false">IF(parametros_recargas!$N$99=0,0,ROUNDUP('Demanda por puesto'!$P$125/(parametros_recargas!$N$99*$O$9),0))</f>
        <v>1</v>
      </c>
      <c r="F125" s="24" t="n">
        <f aca="false">IF(parametros_recargas!$N$99=0,0,ROUNDUP('Demanda por puesto'!$P$157/(parametros_recargas!$N$99*$O$9),0))</f>
        <v>1</v>
      </c>
      <c r="G125" s="24" t="n">
        <f aca="false">IF(parametros_recargas!$N$99=0,0,ROUNDUP('Demanda por puesto'!$P$189/(parametros_recargas!$N$99*$O$9),0))</f>
        <v>1</v>
      </c>
      <c r="H125" s="24" t="n">
        <f aca="false">IF(parametros_recargas!$N$99=0,0,ROUNDUP('Demanda por puesto'!$P$221/(parametros_recargas!$N$99*$O$9),0))</f>
        <v>2</v>
      </c>
      <c r="I125" s="24" t="n">
        <f aca="false">IF(parametros_recargas!$N$99=0,0,ROUNDUP('Demanda por puesto'!$P$253/(parametros_recargas!$N$99*$O$9),0))</f>
        <v>2</v>
      </c>
      <c r="J125" s="24" t="n">
        <f aca="false">IF(parametros_recargas!$N$99=0,0,ROUNDUP('Demanda por puesto'!$P$285/(parametros_recargas!$N$99*$O$9),0))</f>
        <v>2</v>
      </c>
      <c r="K125" s="24" t="n">
        <f aca="false">IF(parametros_recargas!$N$99=0,0,ROUNDUP('Demanda por puesto'!$P$317/(parametros_recargas!$N$99*$O$9),0))</f>
        <v>2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4" t="n">
        <f aca="false">IF(parametros_recargas!$N$100=0,0,ROUNDUP('Demanda por puesto'!$P$30/(parametros_recargas!$N$100*$O$9),0))</f>
        <v>1</v>
      </c>
      <c r="C126" s="24" t="n">
        <f aca="false">IF(parametros_recargas!$N$100=0,0,ROUNDUP('Demanda por puesto'!$P$62/(parametros_recargas!$N$100*$O$9),0))</f>
        <v>1</v>
      </c>
      <c r="D126" s="24" t="n">
        <f aca="false">IF(parametros_recargas!$N$100=0,0,ROUNDUP('Demanda por puesto'!$P$94/(parametros_recargas!$N$100*$O$9),0))</f>
        <v>1</v>
      </c>
      <c r="E126" s="24" t="n">
        <f aca="false">IF(parametros_recargas!$N$100=0,0,ROUNDUP('Demanda por puesto'!$P$126/(parametros_recargas!$N$100*$O$9),0))</f>
        <v>1</v>
      </c>
      <c r="F126" s="24" t="n">
        <f aca="false">IF(parametros_recargas!$N$100=0,0,ROUNDUP('Demanda por puesto'!$P$158/(parametros_recargas!$N$100*$O$9),0))</f>
        <v>1</v>
      </c>
      <c r="G126" s="24" t="n">
        <f aca="false">IF(parametros_recargas!$N$100=0,0,ROUNDUP('Demanda por puesto'!$P$190/(parametros_recargas!$N$100*$O$9),0))</f>
        <v>1</v>
      </c>
      <c r="H126" s="24" t="n">
        <f aca="false">IF(parametros_recargas!$N$100=0,0,ROUNDUP('Demanda por puesto'!$P$222/(parametros_recargas!$N$100*$O$9),0))</f>
        <v>1</v>
      </c>
      <c r="I126" s="24" t="n">
        <f aca="false">IF(parametros_recargas!$N$100=0,0,ROUNDUP('Demanda por puesto'!$P$254/(parametros_recargas!$N$100*$O$9),0))</f>
        <v>1</v>
      </c>
      <c r="J126" s="24" t="n">
        <f aca="false">IF(parametros_recargas!$N$100=0,0,ROUNDUP('Demanda por puesto'!$P$286/(parametros_recargas!$N$100*$O$9),0))</f>
        <v>1</v>
      </c>
      <c r="K126" s="24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310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30</v>
      </c>
      <c r="E127" s="16" t="n">
        <f aca="false">SUM(E98:E126)</f>
        <v>40</v>
      </c>
      <c r="F127" s="16" t="n">
        <f aca="false">SUM(F98:F126)</f>
        <v>45</v>
      </c>
      <c r="G127" s="16" t="n">
        <f aca="false">SUM(G98:G126)</f>
        <v>52</v>
      </c>
      <c r="H127" s="16" t="n">
        <f aca="false">SUM(H98:H126)</f>
        <v>59</v>
      </c>
      <c r="I127" s="16" t="n">
        <f aca="false">SUM(I98:I126)</f>
        <v>62</v>
      </c>
      <c r="J127" s="16" t="n">
        <f aca="false">SUM(J98:J126)</f>
        <v>64</v>
      </c>
      <c r="K127" s="16" t="n">
        <f aca="false">SUM(K98:K126)</f>
        <v>70</v>
      </c>
    </row>
    <row r="129" customFormat="false" ht="15" hidden="false" customHeight="false" outlineLevel="0" collapsed="false">
      <c r="A129" s="3" t="s">
        <v>311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Agrega turno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Agrega turno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Agrega turno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Agrega turno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Agrega turno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Agrega turno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Agrega turno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Agrega turno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Agrega turno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Agrega turno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Agrega turno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Agrega turno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Agrega turno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Agrega turno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Agrega turno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Agrega turno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Agrega turno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Agrega turno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Agrega turno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Agrega turno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Agrega turno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Agrega turno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Agrega turno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Agrega turno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Agrega turno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Agrega turno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Agrega turno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Agrega turno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Agrega turno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Agrega turno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Agrega turno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Agrega turno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Agrega turno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Agrega turno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Agrega turno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Agrega turno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Agrega turno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Agrega turno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Agrega turno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Agrega turno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Agrega turno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Agrega turno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2026-10-18T19:29:37Z</dcterms:created>
  <dc:creator>openpyxl</dc:creator>
  <dc:description/>
  <dc:language>en-US</dc:language>
  <cp:lastModifiedBy/>
  <dcterms:modified xsi:type="dcterms:W3CDTF">2026-10-18T19:29:37Z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