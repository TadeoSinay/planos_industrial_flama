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<sst xmlns="http://schemas.openxmlformats.org/spreadsheetml/2006/main" count="883" uniqueCount="350">
  <si>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</si>
  <si>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</si>
  <si>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</si>
  <si>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</si>
  <si>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</si>
  <si>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</si>
  <si>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</si>
  <si>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</si>
  <si>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</si>
  <si>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</si>
  <si>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</si>
  <si>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</si>
  <si>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</si>
  <si>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</si>
  <si>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</si>
  <si>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</si>
  <si>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</si>
  <si>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</si>
  <si>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</si>
  <si>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</si>
  <si>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</si>
  <si>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</si>
  <si>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</si>
  <si>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</si>
  <si>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</si>
  <si>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</si>
  <si>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</si>
  <si>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</si>
  <si>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</si>
  <si>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</si>
  <si>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</si>
  <si>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</si>
  <si>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</si>
  <si>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</si>
  <si>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</si>
  <si>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</si>
  <si>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</si>
  <si>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</si>
  <si>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</si>
  <si>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</si>
  <si>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</si>
  <si>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</si>
  <si>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</si>
  <si>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</si>
  <si>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</si>
  <si>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</si>
  <si>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</si>
  <si>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</si>
  <si>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</si>
  <si>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</si>
  <si>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</si>
  <si>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</si>
  <si>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</si>
  <si>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</si>
  <si>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</si>
  <si>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</si>
  <si>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</si>
  <si>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</si>
  <si>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Recargas de mercado 2035 por tipo y rubro, zonas de cada planta (hojas PROYECCION &lt;rubro&gt;)</t>
  </si>
  <si>
    <t xml:space="preserve">Planta comercial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</si>
  <si>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</si>
  <si>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</si>
  <si>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</si>
  <si>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</si>
  <si>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</si>
  <si>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</si>
  <si>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</si>
  <si>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</si>
  <si>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Planta industrial</t>
  </si>
  <si>
    <t xml:space="preserve">Esta planta</t>
  </si>
  <si>
    <t xml:space="preserve">Carros repartidos 25/55/12/8 % entre 25, 50, 70 y 100 kg, como PxQ (Corregido) filas 66 a 69.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</si>
  <si>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</si>
  <si>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</si>
  <si>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</si>
  <si>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</si>
  <si>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</si>
  <si>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</si>
  <si>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</si>
  <si>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</si>
  <si>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</si>
  <si>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</si>
  <si>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</si>
  <si>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</si>
  <si>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</si>
  <si>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</si>
  <si>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</si>
  <si>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</si>
  <si>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</si>
  <si>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</si>
  <si>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</si>
  <si>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COMERCIAL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</si>
  <si>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</si>
  <si>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</si>
  <si>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</si>
  <si>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</si>
  <si>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</si>
  <si>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</si>
  <si>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</si>
  <si>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</si>
  <si>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</si>
  <si>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</si>
  <si>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</si>
  <si>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</si>
  <si>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</si>
  <si>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</si>
  <si>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</si>
  <si>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</si>
  <si>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</si>
  <si>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</si>
  <si>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</si>
  <si>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</si>
  <si>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</si>
  <si>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</si>
  <si>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</si>
  <si>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</si>
  <si>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</si>
  <si>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</si>
  <si>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</si>
  <si>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</si>
  <si>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</si>
  <si>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</si>
  <si>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</si>
  <si>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</si>
  <si>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</si>
  <si>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</si>
  <si>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</si>
  <si>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</si>
  <si>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</si>
  <si>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</si>
  <si>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</si>
  <si>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</si>
  <si>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</si>
  <si>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</si>
  <si>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</si>
  <si>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</si>
  <si>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</si>
  <si>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</si>
  <si>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</si>
  <si>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</si>
  <si>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</si>
  <si>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</si>
  <si>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</si>
  <si>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</si>
  <si>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</si>
  <si>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</si>
  <si>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</si>
  <si>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</si>
  <si>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</si>
  <si>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</si>
  <si>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</si>
  <si>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</si>
  <si>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</si>
  <si>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</si>
  <si>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</si>
  <si>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</si>
  <si>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</si>
  <si>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</si>
  <si>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</si>
  <si>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</si>
  <si>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</si>
  <si>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</si>
  <si>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</si>
  <si>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</si>
  <si>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</si>
  <si>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</si>
  <si>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</si>
  <si>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</si>
  <si>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</si>
  <si>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</si>
  <si>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</si>
  <si>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</si>
  <si>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</si>
  <si>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</si>
  <si>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</si>
  <si>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</si>
  <si>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</si>
  <si>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</si>
  <si>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</si>
  <si>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</si>
  <si>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</si>
  <si>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</si>
  <si>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</si>
  <si>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</si>
  <si>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</si>
  <si>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</si>
  <si>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</si>
  <si>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</si>
  <si>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</si>
  <si>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</si>
  <si>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</si>
  <si>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</si>
  <si>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</si>
  <si>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</si>
  <si>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</si>
  <si>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</si>
  <si>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</si>
  <si>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</si>
  <si>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</si>
  <si>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</si>
  <si>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</si>
  <si>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</si>
  <si>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</si>
  <si>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</si>
  <si>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</si>
  <si>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</si>
  <si>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</si>
  <si>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</si>
  <si>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</si>
  <si>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</si>
  <si>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</si>
  <si>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</si>
  <si>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</si>
  <si>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</si>
  <si>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</si>
  <si>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</si>
  <si>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</si>
  <si>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</si>
  <si>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</si>
  <si>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</si>
  <si>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</si>
  <si>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</si>
  <si>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</si>
  <si>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</si>
  <si>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</si>
  <si>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</si>
  <si>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</si>
  <si>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</si>
  <si>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</si>
  <si>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</si>
  <si>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</si>
  <si>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</si>
  <si>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</si>
  <si>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</si>
  <si>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</si>
  <si>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</si>
  <si>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</si>
  <si>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</si>
  <si>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</si>
  <si>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</si>
  <si>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</si>
  <si>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</si>
  <si>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</si>
  <si>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</si>
  <si>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</si>
  <si>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</si>
  <si>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</si>
  <si>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</si>
  <si>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</si>
  <si>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</si>
  <si>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</si>
  <si>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</si>
  <si>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</si>
  <si>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</si>
  <si>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</si>
  <si>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</si>
  <si>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</si>
  <si>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</si>
  <si>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</si>
  <si>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</si>
  <si>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</si>
  <si>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</si>
  <si>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</si>
  <si>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</si>
  <si>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</si>
  <si>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</si>
  <si>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</si>
  <si>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</si>
  <si>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</si>
  <si>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</si>
  <si>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</si>
  <si>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</si>
  <si>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</si>
  <si>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</si>
  <si>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</si>
  <si>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</si>
  <si>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</si>
  <si>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</si>
  <si>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</si>
  <si>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</t>
  </si>
  <si>
    <t xml:space="preserve">Mismo tipo que el equipo retirado. Va con el camión al retirar y vuelve cuando se devuelve el recargado.</t>
  </si>
  <si>
    <t xml:space="preserve">parametros_recargas B2</t>
  </si>
  <si>
    <t xml:space="preserve">Día de retiro</t>
  </si>
  <si>
    <t xml:space="preserve">El sustituto sale con el camión que retira</t>
  </si>
  <si>
    <t xml:space="preserve">Día de devolución</t>
  </si>
  <si>
    <t xml:space="preserve">El sustituto vuelve con el camión que devuelve; no se deja en otro cliente en ese viaje</t>
  </si>
  <si>
    <t xml:space="preserve">Minutos productivos por turno</t>
  </si>
  <si>
    <t xml:space="preserve">parametros_recargas B5</t>
  </si>
  <si>
    <t xml:space="preserve">Comercial: compra todos. Industrial: fabrica los ABC</t>
  </si>
  <si>
    <t xml:space="preserve">PASO 1 — Tiempo por rubro (mix del rubro × tiempos de operación)</t>
  </si>
  <si>
    <t xml:space="preserve">Días de proceso = minutos por equipo ÷ minutos del turno, redondeado hacia arriba (mínimo 1). Ciclo del sustituto = retiro + proceso + devolución</t>
  </si>
  <si>
    <t xml:space="preserve">% de las recargas (mercado, zonas de la planta)</t>
  </si>
  <si>
    <t xml:space="preserve">Minutos de operación por equipo</t>
  </si>
  <si>
    <t xml:space="preserve">Días de proceso</t>
  </si>
  <si>
    <t xml:space="preserve">Ciclo del sustituto (días)</t>
  </si>
  <si>
    <t xml:space="preserve">PASO 2 — Tipos (el ciclo de cada tipo pesa los rubros según sus recargas)</t>
  </si>
  <si>
    <t xml:space="preserve">Lleva sustituto (1 = sí)</t>
  </si>
  <si>
    <t xml:space="preserve">Origen</t>
  </si>
  <si>
    <t xml:space="preserve">Automotor: sin canje</t>
  </si>
  <si>
    <t xml:space="preserve">PASO 3 — Stock (u.)</t>
  </si>
  <si>
    <t xml:space="preserve">Stock = recargas del año × % del mes pico ÷ días del mes × ciclo del sustituto, redondeado hacia arriba</t>
  </si>
  <si>
    <t xml:space="preserve">PASO 4 — Alta anual (u.)</t>
  </si>
  <si>
    <t xml:space="preserve">Alta = lo que crece el stock + stock del año anterior × % inutilizados (parametros_recargas B23 CO₂, B24 resto). Cada alta lleva faja amarilla y tarjeta</t>
  </si>
  <si>
    <t xml:space="preserve">A fabricar (planta industrial)</t>
  </si>
  <si>
    <t xml:space="preserve">A comprar</t>
  </si>
  <si>
    <t xml:space="preserve">Kits de sustituto</t>
  </si>
  <si>
    <t xml:space="preserve">PASO 5 — Mantenimiento anual en planta (u.)</t>
  </si>
  <si>
    <t xml:space="preserve">Mantenimiento = stock del año anterior (9.4.5 y 9.2.1); entra al Plan mensual, 1/12 por mes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</si>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</sst>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26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0.7117634944</v>
      </c>
    </row>
    <row r="55" customFormat="false" ht="15" hidden="false" customHeight="false" outlineLevel="0" collapsed="false">
      <c r="A55" s="1" t="s">
        <v>58</v>
      </c>
    </row>
    <row r="57" customFormat="false" ht="23.85" hidden="false" customHeight="false" outlineLevel="0" collapsed="false">
      <c r="A57" s="3" t="s">
        <v>59</v>
      </c>
      <c r="B57" s="3" t="s">
        <v>60</v>
      </c>
      <c r="C57" s="3" t="s">
        <v>61</v>
      </c>
      <c r="D57" s="3" t="s">
        <v>62</v>
      </c>
      <c r="E57" s="3" t="s">
        <v>63</v>
      </c>
      <c r="F57" s="3" t="s">
        <v>64</v>
      </c>
      <c r="G57" s="3" t="s">
        <v>65</v>
      </c>
      <c r="H57" s="3" t="s">
        <v>66</v>
      </c>
      <c r="I57" s="3" t="s">
        <v>67</v>
      </c>
    </row>
    <row r="58" customFormat="false" ht="15" hidden="false" customHeight="false" outlineLevel="0" collapsed="false">
      <c r="A58" s="12" t="str">
        <f aca="false">A5</f>
        <v>ABC 1 kg</v>
      </c>
      <c r="B58" s="5" t="n">
        <v>2787299</v>
      </c>
      <c r="C58" s="5" t="n">
        <v>0</v>
      </c>
      <c r="D58" s="5" t="n">
        <v>0</v>
      </c>
      <c r="E58" s="5" t="n">
        <v>3578.5</v>
      </c>
      <c r="F58" s="5" t="n">
        <v>0</v>
      </c>
      <c r="G58" s="5" t="n">
        <v>0</v>
      </c>
      <c r="H58" s="5" t="n">
        <v>612</v>
      </c>
      <c r="I58" s="7" t="n">
        <f aca="false">SUM(B58:H58)</f>
        <v>2791489.5</v>
      </c>
    </row>
    <row r="59" customFormat="false" ht="15" hidden="false" customHeight="false" outlineLevel="0" collapsed="false">
      <c r="A59" s="12" t="str">
        <f aca="false">A6</f>
        <v>ABC 2,5 kg</v>
      </c>
      <c r="B59" s="5" t="n">
        <v>0</v>
      </c>
      <c r="C59" s="5" t="n">
        <v>126747.3</v>
      </c>
      <c r="D59" s="5" t="n">
        <v>25545.6</v>
      </c>
      <c r="E59" s="5" t="n">
        <v>76743.6</v>
      </c>
      <c r="F59" s="5" t="n">
        <v>0</v>
      </c>
      <c r="G59" s="5" t="n">
        <v>12077.2</v>
      </c>
      <c r="H59" s="5" t="n">
        <v>7088</v>
      </c>
      <c r="I59" s="7" t="n">
        <f aca="false">SUM(B59:H59)</f>
        <v>248201.7</v>
      </c>
    </row>
    <row r="60" customFormat="false" ht="15" hidden="false" customHeight="false" outlineLevel="0" collapsed="false">
      <c r="A60" s="12" t="str">
        <f aca="false">A7</f>
        <v>ABC 5 kg</v>
      </c>
      <c r="B60" s="5" t="n">
        <v>85878</v>
      </c>
      <c r="C60" s="5" t="n">
        <v>924509.9</v>
      </c>
      <c r="D60" s="5" t="n">
        <v>95138.1</v>
      </c>
      <c r="E60" s="5" t="n">
        <v>29300.8</v>
      </c>
      <c r="F60" s="5" t="n">
        <v>137671.9</v>
      </c>
      <c r="G60" s="5" t="n">
        <v>77208.2</v>
      </c>
      <c r="H60" s="5" t="n">
        <v>6153</v>
      </c>
      <c r="I60" s="7" t="n">
        <f aca="false">SUM(B60:H60)</f>
        <v>1355859.9</v>
      </c>
    </row>
    <row r="61" customFormat="false" ht="15" hidden="false" customHeight="false" outlineLevel="0" collapsed="false">
      <c r="A61" s="12" t="str">
        <f aca="false">A8</f>
        <v>ABC 10 kg</v>
      </c>
      <c r="B61" s="5" t="n">
        <v>0</v>
      </c>
      <c r="C61" s="5" t="n">
        <v>56663.5</v>
      </c>
      <c r="D61" s="5" t="n">
        <v>10225</v>
      </c>
      <c r="E61" s="5" t="n">
        <v>7032.2</v>
      </c>
      <c r="F61" s="5" t="n">
        <v>0</v>
      </c>
      <c r="G61" s="5" t="n">
        <v>10321.9</v>
      </c>
      <c r="H61" s="5" t="n">
        <v>0</v>
      </c>
      <c r="I61" s="7" t="n">
        <f aca="false">SUM(B61:H61)</f>
        <v>84242.6</v>
      </c>
    </row>
    <row r="62" customFormat="false" ht="15" hidden="false" customHeight="false" outlineLevel="0" collapsed="false">
      <c r="A62" s="12" t="str">
        <f aca="false">A9</f>
        <v>Agua 10 l</v>
      </c>
      <c r="B62" s="5" t="n">
        <v>0</v>
      </c>
      <c r="C62" s="5" t="n">
        <v>71575</v>
      </c>
      <c r="D62" s="5" t="n">
        <v>8788.7</v>
      </c>
      <c r="E62" s="5" t="n">
        <v>4688.1</v>
      </c>
      <c r="F62" s="5" t="n">
        <v>15126.6</v>
      </c>
      <c r="G62" s="5" t="n">
        <v>14747.1</v>
      </c>
      <c r="H62" s="5" t="n">
        <v>647</v>
      </c>
      <c r="I62" s="7" t="n">
        <f aca="false">SUM(B62:H62)</f>
        <v>115572.5</v>
      </c>
    </row>
    <row r="63" customFormat="false" ht="15" hidden="false" customHeight="false" outlineLevel="0" collapsed="false">
      <c r="A63" s="12" t="str">
        <f aca="false">A10</f>
        <v>AFFF 10 l</v>
      </c>
      <c r="B63" s="5" t="n">
        <v>0</v>
      </c>
      <c r="C63" s="5" t="n">
        <v>0</v>
      </c>
      <c r="D63" s="5" t="n">
        <v>0</v>
      </c>
      <c r="E63" s="5" t="n">
        <v>0</v>
      </c>
      <c r="F63" s="5" t="n">
        <v>19056.2</v>
      </c>
      <c r="G63" s="5" t="n">
        <v>0</v>
      </c>
      <c r="H63" s="5" t="n">
        <v>0</v>
      </c>
      <c r="I63" s="7" t="n">
        <f aca="false">SUM(B63:H63)</f>
        <v>19056.2</v>
      </c>
    </row>
    <row r="64" customFormat="false" ht="15" hidden="false" customHeight="false" outlineLevel="0" collapsed="false">
      <c r="A64" s="12" t="str">
        <f aca="false">A11</f>
        <v>AFFF 50 l s/ruedas</v>
      </c>
      <c r="B64" s="5" t="n">
        <v>0</v>
      </c>
      <c r="C64" s="5" t="n">
        <v>0</v>
      </c>
      <c r="D64" s="5" t="n">
        <v>0</v>
      </c>
      <c r="E64" s="5" t="n">
        <v>0</v>
      </c>
      <c r="F64" s="5" t="n">
        <v>11022.6</v>
      </c>
      <c r="G64" s="5" t="n">
        <v>0</v>
      </c>
      <c r="H64" s="5" t="n">
        <v>0</v>
      </c>
      <c r="I64" s="7" t="n">
        <f aca="false">SUM(B64:H64)</f>
        <v>11022.6</v>
      </c>
    </row>
    <row r="65" customFormat="false" ht="15" hidden="false" customHeight="false" outlineLevel="0" collapsed="false">
      <c r="A65" s="12" t="str">
        <f aca="false">A12</f>
        <v>BC 5 kg</v>
      </c>
      <c r="B65" s="5" t="n">
        <v>0</v>
      </c>
      <c r="C65" s="5" t="n">
        <v>0</v>
      </c>
      <c r="D65" s="5" t="n">
        <v>0</v>
      </c>
      <c r="E65" s="5" t="n">
        <v>0</v>
      </c>
      <c r="F65" s="5" t="n">
        <v>5628.9</v>
      </c>
      <c r="G65" s="5" t="n">
        <v>0</v>
      </c>
      <c r="H65" s="5" t="n">
        <v>0</v>
      </c>
      <c r="I65" s="7" t="n">
        <f aca="false">SUM(B65:H65)</f>
        <v>5628.9</v>
      </c>
    </row>
    <row r="66" customFormat="false" ht="15" hidden="false" customHeight="false" outlineLevel="0" collapsed="false">
      <c r="A66" s="12" t="str">
        <f aca="false">A13</f>
        <v>Sales K 6 l</v>
      </c>
      <c r="B66" s="5" t="n">
        <v>0</v>
      </c>
      <c r="C66" s="5" t="n">
        <v>25349.5</v>
      </c>
      <c r="D66" s="5" t="n">
        <v>8036.5</v>
      </c>
      <c r="E66" s="5" t="n">
        <v>11720.3</v>
      </c>
      <c r="F66" s="5" t="n">
        <v>9968.1</v>
      </c>
      <c r="G66" s="5" t="n">
        <v>4616.3</v>
      </c>
      <c r="H66" s="5" t="n">
        <v>0</v>
      </c>
      <c r="I66" s="7" t="n">
        <f aca="false">SUM(B66:H66)</f>
        <v>59690.7</v>
      </c>
    </row>
    <row r="67" customFormat="false" ht="15" hidden="false" customHeight="false" outlineLevel="0" collapsed="false">
      <c r="A67" s="12" t="str">
        <f aca="false">A14</f>
        <v>CO₂ 2 kg</v>
      </c>
      <c r="B67" s="5" t="n">
        <v>0</v>
      </c>
      <c r="C67" s="5" t="n">
        <v>231127.5</v>
      </c>
      <c r="D67" s="5" t="n">
        <v>34334.4</v>
      </c>
      <c r="E67" s="5" t="n">
        <v>11720.3</v>
      </c>
      <c r="F67" s="5" t="n">
        <v>7798.5</v>
      </c>
      <c r="G67" s="5" t="n">
        <v>17366.2</v>
      </c>
      <c r="H67" s="5" t="n">
        <v>0</v>
      </c>
      <c r="I67" s="7" t="n">
        <f aca="false">SUM(B67:H67)</f>
        <v>302346.9</v>
      </c>
    </row>
    <row r="68" customFormat="false" ht="15" hidden="false" customHeight="false" outlineLevel="0" collapsed="false">
      <c r="A68" s="12" t="str">
        <f aca="false">A15</f>
        <v>CO₂ 5 kg</v>
      </c>
      <c r="B68" s="5" t="n">
        <v>0</v>
      </c>
      <c r="C68" s="5" t="n">
        <v>32805.2</v>
      </c>
      <c r="D68" s="5" t="n">
        <v>1607.3</v>
      </c>
      <c r="E68" s="5" t="n">
        <v>5860.1</v>
      </c>
      <c r="F68" s="5" t="n">
        <v>39872.3</v>
      </c>
      <c r="G68" s="5" t="n">
        <v>19474.2</v>
      </c>
      <c r="H68" s="5" t="n">
        <v>2914</v>
      </c>
      <c r="I68" s="7" t="n">
        <f aca="false">SUM(B68:H68)</f>
        <v>102533.1</v>
      </c>
    </row>
    <row r="69" customFormat="false" ht="15" hidden="false" customHeight="false" outlineLevel="0" collapsed="false">
      <c r="A69" s="12" t="str">
        <f aca="false">A16</f>
        <v>HCFC/HFC 5 kg</v>
      </c>
      <c r="B69" s="5" t="n">
        <v>0</v>
      </c>
      <c r="C69" s="5" t="n">
        <v>0</v>
      </c>
      <c r="D69" s="5" t="n">
        <v>0</v>
      </c>
      <c r="E69" s="5" t="n">
        <v>0</v>
      </c>
      <c r="F69" s="5" t="n">
        <v>11257.7</v>
      </c>
      <c r="G69" s="5" t="n">
        <v>3992.6</v>
      </c>
      <c r="H69" s="5" t="n">
        <v>0</v>
      </c>
      <c r="I69" s="7" t="n">
        <f aca="false">SUM(B69:H69)</f>
        <v>15250.3</v>
      </c>
    </row>
    <row r="70" customFormat="false" ht="15" hidden="false" customHeight="false" outlineLevel="0" collapsed="false">
      <c r="A70" s="12" t="str">
        <f aca="false">A17</f>
        <v>Clase D 9 l</v>
      </c>
      <c r="B70" s="5" t="n">
        <v>0</v>
      </c>
      <c r="C70" s="5" t="n">
        <v>0</v>
      </c>
      <c r="D70" s="5" t="n">
        <v>0</v>
      </c>
      <c r="E70" s="5" t="n">
        <v>0</v>
      </c>
      <c r="F70" s="5" t="n">
        <v>4339.2</v>
      </c>
      <c r="G70" s="5" t="n">
        <v>0</v>
      </c>
      <c r="H70" s="5" t="n">
        <v>0</v>
      </c>
      <c r="I70" s="7" t="n">
        <f aca="false">SUM(B70:H70)</f>
        <v>4339.2</v>
      </c>
    </row>
    <row r="71" customFormat="false" ht="15" hidden="false" customHeight="false" outlineLevel="0" collapsed="false">
      <c r="A71" s="12" t="str">
        <f aca="false">A18</f>
        <v>ABC 25 kg s/ruedas</v>
      </c>
      <c r="B71" s="5" t="n">
        <v>0</v>
      </c>
      <c r="C71" s="5" t="n">
        <v>5591.8</v>
      </c>
      <c r="D71" s="5" t="n">
        <v>359.1</v>
      </c>
      <c r="E71" s="5" t="n">
        <v>586</v>
      </c>
      <c r="F71" s="5" t="n">
        <v>4925.3</v>
      </c>
      <c r="G71" s="5" t="n">
        <v>2245.9</v>
      </c>
      <c r="H71" s="5" t="n">
        <v>0</v>
      </c>
      <c r="I71" s="7" t="n">
        <f aca="false">SUM(B71:H71)</f>
        <v>13708.1</v>
      </c>
    </row>
    <row r="72" customFormat="false" ht="15" hidden="false" customHeight="false" outlineLevel="0" collapsed="false">
      <c r="A72" s="12" t="str">
        <f aca="false">A19</f>
        <v>ABC 50 kg s/ruedas</v>
      </c>
      <c r="B72" s="5" t="n">
        <v>0</v>
      </c>
      <c r="C72" s="5" t="n">
        <v>12301.9</v>
      </c>
      <c r="D72" s="5" t="n">
        <v>790</v>
      </c>
      <c r="E72" s="5" t="n">
        <v>1289.2</v>
      </c>
      <c r="F72" s="5" t="n">
        <v>10835.6</v>
      </c>
      <c r="G72" s="5" t="n">
        <v>4940.9</v>
      </c>
      <c r="H72" s="5" t="n">
        <v>0</v>
      </c>
      <c r="I72" s="7" t="n">
        <f aca="false">SUM(B72:H72)</f>
        <v>30157.6</v>
      </c>
    </row>
    <row r="73" customFormat="false" ht="15" hidden="false" customHeight="false" outlineLevel="0" collapsed="false">
      <c r="A73" s="12" t="str">
        <f aca="false">A20</f>
        <v>ABC 70 kg s/ruedas</v>
      </c>
      <c r="B73" s="5" t="n">
        <v>0</v>
      </c>
      <c r="C73" s="5" t="n">
        <v>2684.1</v>
      </c>
      <c r="D73" s="5" t="n">
        <v>172.4</v>
      </c>
      <c r="E73" s="5" t="n">
        <v>281.3</v>
      </c>
      <c r="F73" s="5" t="n">
        <v>2364.1</v>
      </c>
      <c r="G73" s="5" t="n">
        <v>1078</v>
      </c>
      <c r="H73" s="5" t="n">
        <v>0</v>
      </c>
      <c r="I73" s="7" t="n">
        <f aca="false">SUM(B73:H73)</f>
        <v>6579.9</v>
      </c>
    </row>
    <row r="74" customFormat="false" ht="15" hidden="false" customHeight="false" outlineLevel="0" collapsed="false">
      <c r="A74" s="12" t="str">
        <f aca="false">A21</f>
        <v>ABC 100 kg s/ruedas</v>
      </c>
      <c r="B74" s="5" t="n">
        <v>0</v>
      </c>
      <c r="C74" s="5" t="n">
        <v>1789.4</v>
      </c>
      <c r="D74" s="5" t="n">
        <v>114.9</v>
      </c>
      <c r="E74" s="5" t="n">
        <v>187.5</v>
      </c>
      <c r="F74" s="5" t="n">
        <v>1576.1</v>
      </c>
      <c r="G74" s="5" t="n">
        <v>718.7</v>
      </c>
      <c r="H74" s="5" t="n">
        <v>0</v>
      </c>
      <c r="I74" s="7" t="n">
        <f aca="false">SUM(B74:H74)</f>
        <v>4386.6</v>
      </c>
    </row>
    <row r="77" customFormat="false" ht="23.85" hidden="false" customHeight="false" outlineLevel="0" collapsed="false">
      <c r="A77" s="3" t="s">
        <v>68</v>
      </c>
      <c r="B77" s="3" t="s">
        <v>60</v>
      </c>
      <c r="C77" s="3" t="s">
        <v>61</v>
      </c>
      <c r="D77" s="3" t="s">
        <v>62</v>
      </c>
      <c r="E77" s="3" t="s">
        <v>63</v>
      </c>
      <c r="F77" s="3" t="s">
        <v>64</v>
      </c>
      <c r="G77" s="3" t="s">
        <v>65</v>
      </c>
      <c r="H77" s="3" t="s">
        <v>66</v>
      </c>
      <c r="I77" s="3" t="s">
        <v>67</v>
      </c>
    </row>
    <row r="78" customFormat="false" ht="15" hidden="false" customHeight="false" outlineLevel="0" collapsed="false">
      <c r="A78" s="12" t="str">
        <f aca="false">A5</f>
        <v>ABC 1 kg</v>
      </c>
      <c r="B78" s="5" t="n">
        <v>1188664</v>
      </c>
      <c r="C78" s="5" t="n">
        <v>0</v>
      </c>
      <c r="D78" s="5" t="n">
        <v>0</v>
      </c>
      <c r="E78" s="5" t="n">
        <v>1533.8</v>
      </c>
      <c r="F78" s="5" t="n">
        <v>0</v>
      </c>
      <c r="G78" s="5" t="n">
        <v>0</v>
      </c>
      <c r="H78" s="5" t="n">
        <v>331</v>
      </c>
      <c r="I78" s="7" t="n">
        <f aca="false">SUM(B78:H78)</f>
        <v>1190528.8</v>
      </c>
    </row>
    <row r="79" customFormat="false" ht="15" hidden="false" customHeight="false" outlineLevel="0" collapsed="false">
      <c r="A79" s="12" t="str">
        <f aca="false">A6</f>
        <v>ABC 2,5 kg</v>
      </c>
      <c r="B79" s="5" t="n">
        <v>0</v>
      </c>
      <c r="C79" s="5" t="n">
        <v>51231.6</v>
      </c>
      <c r="D79" s="5" t="n">
        <v>8719.2</v>
      </c>
      <c r="E79" s="5" t="n">
        <v>23764.4</v>
      </c>
      <c r="F79" s="5" t="n">
        <v>0</v>
      </c>
      <c r="G79" s="5" t="n">
        <v>4173.4</v>
      </c>
      <c r="H79" s="5" t="n">
        <v>3794</v>
      </c>
      <c r="I79" s="7" t="n">
        <f aca="false">SUM(B79:H79)</f>
        <v>91682.6</v>
      </c>
    </row>
    <row r="80" customFormat="false" ht="15" hidden="false" customHeight="false" outlineLevel="0" collapsed="false">
      <c r="A80" s="12" t="str">
        <f aca="false">A7</f>
        <v>ABC 5 kg</v>
      </c>
      <c r="B80" s="5" t="n">
        <v>36760</v>
      </c>
      <c r="C80" s="5" t="n">
        <v>373689.5</v>
      </c>
      <c r="D80" s="5" t="n">
        <v>32472.3</v>
      </c>
      <c r="E80" s="5" t="n">
        <v>6552.8</v>
      </c>
      <c r="F80" s="5" t="n">
        <v>44086.3</v>
      </c>
      <c r="G80" s="5" t="n">
        <v>26680.3</v>
      </c>
      <c r="H80" s="5" t="n">
        <v>3289</v>
      </c>
      <c r="I80" s="7" t="n">
        <f aca="false">SUM(B80:H80)</f>
        <v>523530.2</v>
      </c>
    </row>
    <row r="81" customFormat="false" ht="15" hidden="false" customHeight="false" outlineLevel="0" collapsed="false">
      <c r="A81" s="12" t="str">
        <f aca="false">A8</f>
        <v>ABC 10 kg</v>
      </c>
      <c r="B81" s="5" t="n">
        <v>0</v>
      </c>
      <c r="C81" s="5" t="n">
        <v>22903.5</v>
      </c>
      <c r="D81" s="5" t="n">
        <v>3490</v>
      </c>
      <c r="E81" s="5" t="n">
        <v>1572.7</v>
      </c>
      <c r="F81" s="5" t="n">
        <v>0</v>
      </c>
      <c r="G81" s="5" t="n">
        <v>3566.9</v>
      </c>
      <c r="H81" s="5" t="n">
        <v>0</v>
      </c>
      <c r="I81" s="7" t="n">
        <f aca="false">SUM(B81:H81)</f>
        <v>31533.1</v>
      </c>
    </row>
    <row r="82" customFormat="false" ht="15" hidden="false" customHeight="false" outlineLevel="0" collapsed="false">
      <c r="A82" s="12" t="str">
        <f aca="false">A9</f>
        <v>Agua 10 l</v>
      </c>
      <c r="B82" s="5" t="n">
        <v>0</v>
      </c>
      <c r="C82" s="5" t="n">
        <v>28930.8</v>
      </c>
      <c r="D82" s="5" t="n">
        <v>2999.8</v>
      </c>
      <c r="E82" s="5" t="n">
        <v>1048.4</v>
      </c>
      <c r="F82" s="5" t="n">
        <v>4377.3</v>
      </c>
      <c r="G82" s="5" t="n">
        <v>5096</v>
      </c>
      <c r="H82" s="5" t="n">
        <v>346</v>
      </c>
      <c r="I82" s="7" t="n">
        <f aca="false">SUM(B82:H82)</f>
        <v>42798.3</v>
      </c>
    </row>
    <row r="83" customFormat="false" ht="15" hidden="false" customHeight="false" outlineLevel="0" collapsed="false">
      <c r="A83" s="12" t="str">
        <f aca="false">A10</f>
        <v>AFFF 10 l</v>
      </c>
      <c r="B83" s="5" t="n">
        <v>0</v>
      </c>
      <c r="C83" s="5" t="n">
        <v>0</v>
      </c>
      <c r="D83" s="5" t="n">
        <v>0</v>
      </c>
      <c r="E83" s="5" t="n">
        <v>0</v>
      </c>
      <c r="F83" s="5" t="n">
        <v>6232.7</v>
      </c>
      <c r="G83" s="5" t="n">
        <v>0</v>
      </c>
      <c r="H83" s="5" t="n">
        <v>0</v>
      </c>
      <c r="I83" s="7" t="n">
        <f aca="false">SUM(B83:H83)</f>
        <v>6232.7</v>
      </c>
    </row>
    <row r="84" customFormat="false" ht="15" hidden="false" customHeight="false" outlineLevel="0" collapsed="false">
      <c r="A84" s="12" t="str">
        <f aca="false">A11</f>
        <v>AFFF 50 l s/ruedas</v>
      </c>
      <c r="B84" s="5" t="n">
        <v>0</v>
      </c>
      <c r="C84" s="5" t="n">
        <v>0</v>
      </c>
      <c r="D84" s="5" t="n">
        <v>0</v>
      </c>
      <c r="E84" s="5" t="n">
        <v>0</v>
      </c>
      <c r="F84" s="5" t="n">
        <v>3220.9</v>
      </c>
      <c r="G84" s="5" t="n">
        <v>0</v>
      </c>
      <c r="H84" s="5" t="n">
        <v>0</v>
      </c>
      <c r="I84" s="7" t="n">
        <f aca="false">SUM(B84:H84)</f>
        <v>3220.9</v>
      </c>
    </row>
    <row r="85" customFormat="false" ht="15" hidden="false" customHeight="false" outlineLevel="0" collapsed="false">
      <c r="A85" s="12" t="str">
        <f aca="false">A12</f>
        <v>BC 5 kg</v>
      </c>
      <c r="B85" s="5" t="n">
        <v>0</v>
      </c>
      <c r="C85" s="5" t="n">
        <v>0</v>
      </c>
      <c r="D85" s="5" t="n">
        <v>0</v>
      </c>
      <c r="E85" s="5" t="n">
        <v>0</v>
      </c>
      <c r="F85" s="5" t="n">
        <v>1816.2</v>
      </c>
      <c r="G85" s="5" t="n">
        <v>0</v>
      </c>
      <c r="H85" s="5" t="n">
        <v>0</v>
      </c>
      <c r="I85" s="7" t="n">
        <f aca="false">SUM(B85:H85)</f>
        <v>1816.2</v>
      </c>
    </row>
    <row r="86" customFormat="false" ht="15" hidden="false" customHeight="false" outlineLevel="0" collapsed="false">
      <c r="A86" s="12" t="str">
        <f aca="false">A13</f>
        <v>Sales K 6 l</v>
      </c>
      <c r="B86" s="5" t="n">
        <v>0</v>
      </c>
      <c r="C86" s="5" t="n">
        <v>10246.3</v>
      </c>
      <c r="D86" s="5" t="n">
        <v>2743</v>
      </c>
      <c r="E86" s="5" t="n">
        <v>2621.1</v>
      </c>
      <c r="F86" s="5" t="n">
        <v>3384.2</v>
      </c>
      <c r="G86" s="5" t="n">
        <v>1595.2</v>
      </c>
      <c r="H86" s="5" t="n">
        <v>0</v>
      </c>
      <c r="I86" s="7" t="n">
        <f aca="false">SUM(B86:H86)</f>
        <v>20589.8</v>
      </c>
    </row>
    <row r="87" customFormat="false" ht="15" hidden="false" customHeight="false" outlineLevel="0" collapsed="false">
      <c r="A87" s="12" t="str">
        <f aca="false">A14</f>
        <v>CO₂ 2 kg</v>
      </c>
      <c r="B87" s="5" t="n">
        <v>0</v>
      </c>
      <c r="C87" s="5" t="n">
        <v>93422.4</v>
      </c>
      <c r="D87" s="5" t="n">
        <v>11718.9</v>
      </c>
      <c r="E87" s="5" t="n">
        <v>2621.1</v>
      </c>
      <c r="F87" s="5" t="n">
        <v>2600.2</v>
      </c>
      <c r="G87" s="5" t="n">
        <v>6001.1</v>
      </c>
      <c r="H87" s="5" t="n">
        <v>0</v>
      </c>
      <c r="I87" s="7" t="n">
        <f aca="false">SUM(B87:H87)</f>
        <v>116363.7</v>
      </c>
    </row>
    <row r="88" customFormat="false" ht="15" hidden="false" customHeight="false" outlineLevel="0" collapsed="false">
      <c r="A88" s="12" t="str">
        <f aca="false">A15</f>
        <v>CO₂ 5 kg</v>
      </c>
      <c r="B88" s="5" t="n">
        <v>0</v>
      </c>
      <c r="C88" s="5" t="n">
        <v>13260</v>
      </c>
      <c r="D88" s="5" t="n">
        <v>548.6</v>
      </c>
      <c r="E88" s="5" t="n">
        <v>1310.5</v>
      </c>
      <c r="F88" s="5" t="n">
        <v>13536.8</v>
      </c>
      <c r="G88" s="5" t="n">
        <v>6729.6</v>
      </c>
      <c r="H88" s="5" t="n">
        <v>1558</v>
      </c>
      <c r="I88" s="7" t="n">
        <f aca="false">SUM(B88:H88)</f>
        <v>36943.5</v>
      </c>
    </row>
    <row r="89" customFormat="false" ht="15" hidden="false" customHeight="false" outlineLevel="0" collapsed="false">
      <c r="A89" s="12" t="str">
        <f aca="false">A16</f>
        <v>HCFC/HFC 5 kg</v>
      </c>
      <c r="B89" s="5" t="n">
        <v>0</v>
      </c>
      <c r="C89" s="5" t="n">
        <v>0</v>
      </c>
      <c r="D89" s="5" t="n">
        <v>0</v>
      </c>
      <c r="E89" s="5" t="n">
        <v>0</v>
      </c>
      <c r="F89" s="5" t="n">
        <v>3632.5</v>
      </c>
      <c r="G89" s="5" t="n">
        <v>1379.7</v>
      </c>
      <c r="H89" s="5" t="n">
        <v>0</v>
      </c>
      <c r="I89" s="7" t="n">
        <f aca="false">SUM(B89:H89)</f>
        <v>5012.2</v>
      </c>
    </row>
    <row r="90" customFormat="false" ht="15" hidden="false" customHeight="false" outlineLevel="0" collapsed="false">
      <c r="A90" s="12" t="str">
        <f aca="false">A17</f>
        <v>Clase D 9 l</v>
      </c>
      <c r="B90" s="5" t="n">
        <v>0</v>
      </c>
      <c r="C90" s="5" t="n">
        <v>0</v>
      </c>
      <c r="D90" s="5" t="n">
        <v>0</v>
      </c>
      <c r="E90" s="5" t="n">
        <v>0</v>
      </c>
      <c r="F90" s="5" t="n">
        <v>1568</v>
      </c>
      <c r="G90" s="5" t="n">
        <v>0</v>
      </c>
      <c r="H90" s="5" t="n">
        <v>0</v>
      </c>
      <c r="I90" s="7" t="n">
        <f aca="false">SUM(B90:H90)</f>
        <v>1568</v>
      </c>
    </row>
    <row r="91" customFormat="false" ht="15" hidden="false" customHeight="false" outlineLevel="0" collapsed="false">
      <c r="A91" s="12" t="str">
        <f aca="false">A18</f>
        <v>ABC 25 kg s/ruedas</v>
      </c>
      <c r="B91" s="5" t="n">
        <v>0</v>
      </c>
      <c r="C91" s="5" t="n">
        <v>2260.2</v>
      </c>
      <c r="D91" s="5" t="n">
        <v>122.6</v>
      </c>
      <c r="E91" s="5" t="n">
        <v>131.1</v>
      </c>
      <c r="F91" s="5" t="n">
        <v>1589.2</v>
      </c>
      <c r="G91" s="5" t="n">
        <v>776.1</v>
      </c>
      <c r="H91" s="5" t="n">
        <v>0</v>
      </c>
      <c r="I91" s="7" t="n">
        <f aca="false">SUM(B91:H91)</f>
        <v>4879.2</v>
      </c>
    </row>
    <row r="92" customFormat="false" ht="15" hidden="false" customHeight="false" outlineLevel="0" collapsed="false">
      <c r="A92" s="12" t="str">
        <f aca="false">A19</f>
        <v>ABC 50 kg s/ruedas</v>
      </c>
      <c r="B92" s="5" t="n">
        <v>0</v>
      </c>
      <c r="C92" s="5" t="n">
        <v>4972.5</v>
      </c>
      <c r="D92" s="5" t="n">
        <v>269.6</v>
      </c>
      <c r="E92" s="5" t="n">
        <v>288.3</v>
      </c>
      <c r="F92" s="5" t="n">
        <v>3496.3</v>
      </c>
      <c r="G92" s="5" t="n">
        <v>1707.4</v>
      </c>
      <c r="H92" s="5" t="n">
        <v>0</v>
      </c>
      <c r="I92" s="7" t="n">
        <f aca="false">SUM(B92:H92)</f>
        <v>10734.1</v>
      </c>
    </row>
    <row r="93" customFormat="false" ht="15" hidden="false" customHeight="false" outlineLevel="0" collapsed="false">
      <c r="A93" s="12" t="str">
        <f aca="false">A20</f>
        <v>ABC 70 kg s/ruedas</v>
      </c>
      <c r="B93" s="5" t="n">
        <v>0</v>
      </c>
      <c r="C93" s="5" t="n">
        <v>1084.9</v>
      </c>
      <c r="D93" s="5" t="n">
        <v>58.8</v>
      </c>
      <c r="E93" s="5" t="n">
        <v>62.9</v>
      </c>
      <c r="F93" s="5" t="n">
        <v>762.8</v>
      </c>
      <c r="G93" s="5" t="n">
        <v>372.5</v>
      </c>
      <c r="H93" s="5" t="n">
        <v>0</v>
      </c>
      <c r="I93" s="7" t="n">
        <f aca="false">SUM(B93:H93)</f>
        <v>2341.9</v>
      </c>
    </row>
    <row r="94" customFormat="false" ht="15" hidden="false" customHeight="false" outlineLevel="0" collapsed="false">
      <c r="A94" s="12" t="str">
        <f aca="false">A21</f>
        <v>ABC 100 kg s/ruedas</v>
      </c>
      <c r="B94" s="5" t="n">
        <v>0</v>
      </c>
      <c r="C94" s="5" t="n">
        <v>723.3</v>
      </c>
      <c r="D94" s="5" t="n">
        <v>39.2</v>
      </c>
      <c r="E94" s="5" t="n">
        <v>41.9</v>
      </c>
      <c r="F94" s="5" t="n">
        <v>508.5</v>
      </c>
      <c r="G94" s="5" t="n">
        <v>248.3</v>
      </c>
      <c r="H94" s="5" t="n">
        <v>0</v>
      </c>
      <c r="I94" s="7" t="n">
        <f aca="false">SUM(B94:H94)</f>
        <v>1561.2</v>
      </c>
    </row>
    <row r="97" customFormat="false" ht="23.85" hidden="false" customHeight="false" outlineLevel="0" collapsed="false">
      <c r="A97" s="3" t="s">
        <v>69</v>
      </c>
      <c r="B97" s="3" t="s">
        <v>60</v>
      </c>
      <c r="C97" s="3" t="s">
        <v>61</v>
      </c>
      <c r="D97" s="3" t="s">
        <v>62</v>
      </c>
      <c r="E97" s="3" t="s">
        <v>63</v>
      </c>
      <c r="F97" s="3" t="s">
        <v>64</v>
      </c>
      <c r="G97" s="3" t="s">
        <v>65</v>
      </c>
      <c r="H97" s="3" t="s">
        <v>66</v>
      </c>
      <c r="I97" s="3" t="s">
        <v>67</v>
      </c>
    </row>
    <row r="98" customFormat="false" ht="15" hidden="false" customHeight="false" outlineLevel="0" collapsed="false">
      <c r="A98" s="12" t="str">
        <f aca="false">A5</f>
        <v>ABC 1 kg</v>
      </c>
      <c r="B98" s="13" t="n">
        <f aca="false">IF($B$52="Comercial",B58,B78)</f>
        <v>2787299</v>
      </c>
      <c r="C98" s="13" t="n">
        <f aca="false">IF($B$52="Comercial",C58,C78)</f>
        <v>0</v>
      </c>
      <c r="D98" s="13" t="n">
        <f aca="false">IF($B$52="Comercial",D58,D78)</f>
        <v>0</v>
      </c>
      <c r="E98" s="13" t="n">
        <f aca="false">IF($B$52="Comercial",E58,E78)</f>
        <v>3578.5</v>
      </c>
      <c r="F98" s="13" t="n">
        <f aca="false">IF($B$52="Comercial",F58,F78)</f>
        <v>0</v>
      </c>
      <c r="G98" s="13" t="n">
        <f aca="false">IF($B$52="Comercial",G58,G78)</f>
        <v>0</v>
      </c>
      <c r="H98" s="13" t="n">
        <f aca="false">IF($B$52="Comercial",H58,H78)</f>
        <v>612</v>
      </c>
      <c r="I98" s="7" t="n">
        <f aca="false">SUM(B98:H98)</f>
        <v>2791489.5</v>
      </c>
    </row>
    <row r="99" customFormat="false" ht="15" hidden="false" customHeight="false" outlineLevel="0" collapsed="false">
      <c r="A99" s="12" t="str">
        <f aca="false">A6</f>
        <v>ABC 2,5 kg</v>
      </c>
      <c r="B99" s="13" t="n">
        <f aca="false">IF($B$52="Comercial",B59,B79)</f>
        <v>0</v>
      </c>
      <c r="C99" s="13" t="n">
        <f aca="false">IF($B$52="Comercial",C59,C79)</f>
        <v>126747.3</v>
      </c>
      <c r="D99" s="13" t="n">
        <f aca="false">IF($B$52="Comercial",D59,D79)</f>
        <v>25545.6</v>
      </c>
      <c r="E99" s="13" t="n">
        <f aca="false">IF($B$52="Comercial",E59,E79)</f>
        <v>76743.6</v>
      </c>
      <c r="F99" s="13" t="n">
        <f aca="false">IF($B$52="Comercial",F59,F79)</f>
        <v>0</v>
      </c>
      <c r="G99" s="13" t="n">
        <f aca="false">IF($B$52="Comercial",G59,G79)</f>
        <v>12077.2</v>
      </c>
      <c r="H99" s="13" t="n">
        <f aca="false">IF($B$52="Comercial",H59,H79)</f>
        <v>7088</v>
      </c>
      <c r="I99" s="7" t="n">
        <f aca="false">SUM(B99:H99)</f>
        <v>248201.7</v>
      </c>
    </row>
    <row r="100" customFormat="false" ht="15" hidden="false" customHeight="false" outlineLevel="0" collapsed="false">
      <c r="A100" s="12" t="str">
        <f aca="false">A7</f>
        <v>ABC 5 kg</v>
      </c>
      <c r="B100" s="13" t="n">
        <f aca="false">IF($B$52="Comercial",B60,B80)</f>
        <v>85878</v>
      </c>
      <c r="C100" s="13" t="n">
        <f aca="false">IF($B$52="Comercial",C60,C80)</f>
        <v>924509.9</v>
      </c>
      <c r="D100" s="13" t="n">
        <f aca="false">IF($B$52="Comercial",D60,D80)</f>
        <v>95138.1</v>
      </c>
      <c r="E100" s="13" t="n">
        <f aca="false">IF($B$52="Comercial",E60,E80)</f>
        <v>29300.8</v>
      </c>
      <c r="F100" s="13" t="n">
        <f aca="false">IF($B$52="Comercial",F60,F80)</f>
        <v>137671.9</v>
      </c>
      <c r="G100" s="13" t="n">
        <f aca="false">IF($B$52="Comercial",G60,G80)</f>
        <v>77208.2</v>
      </c>
      <c r="H100" s="13" t="n">
        <f aca="false">IF($B$52="Comercial",H60,H80)</f>
        <v>6153</v>
      </c>
      <c r="I100" s="7" t="n">
        <f aca="false">SUM(B100:H100)</f>
        <v>1355859.9</v>
      </c>
    </row>
    <row r="101" customFormat="false" ht="15" hidden="false" customHeight="false" outlineLevel="0" collapsed="false">
      <c r="A101" s="12" t="str">
        <f aca="false">A8</f>
        <v>ABC 10 kg</v>
      </c>
      <c r="B101" s="13" t="n">
        <f aca="false">IF($B$52="Comercial",B61,B81)</f>
        <v>0</v>
      </c>
      <c r="C101" s="13" t="n">
        <f aca="false">IF($B$52="Comercial",C61,C81)</f>
        <v>56663.5</v>
      </c>
      <c r="D101" s="13" t="n">
        <f aca="false">IF($B$52="Comercial",D61,D81)</f>
        <v>10225</v>
      </c>
      <c r="E101" s="13" t="n">
        <f aca="false">IF($B$52="Comercial",E61,E81)</f>
        <v>7032.2</v>
      </c>
      <c r="F101" s="13" t="n">
        <f aca="false">IF($B$52="Comercial",F61,F81)</f>
        <v>0</v>
      </c>
      <c r="G101" s="13" t="n">
        <f aca="false">IF($B$52="Comercial",G61,G81)</f>
        <v>10321.9</v>
      </c>
      <c r="H101" s="13" t="n">
        <f aca="false">IF($B$52="Comercial",H61,H81)</f>
        <v>0</v>
      </c>
      <c r="I101" s="7" t="n">
        <f aca="false">SUM(B101:H101)</f>
        <v>84242.6</v>
      </c>
    </row>
    <row r="102" customFormat="false" ht="15" hidden="false" customHeight="false" outlineLevel="0" collapsed="false">
      <c r="A102" s="12" t="str">
        <f aca="false">A9</f>
        <v>Agua 10 l</v>
      </c>
      <c r="B102" s="13" t="n">
        <f aca="false">IF($B$52="Comercial",B62,B82)</f>
        <v>0</v>
      </c>
      <c r="C102" s="13" t="n">
        <f aca="false">IF($B$52="Comercial",C62,C82)</f>
        <v>71575</v>
      </c>
      <c r="D102" s="13" t="n">
        <f aca="false">IF($B$52="Comercial",D62,D82)</f>
        <v>8788.7</v>
      </c>
      <c r="E102" s="13" t="n">
        <f aca="false">IF($B$52="Comercial",E62,E82)</f>
        <v>4688.1</v>
      </c>
      <c r="F102" s="13" t="n">
        <f aca="false">IF($B$52="Comercial",F62,F82)</f>
        <v>15126.6</v>
      </c>
      <c r="G102" s="13" t="n">
        <f aca="false">IF($B$52="Comercial",G62,G82)</f>
        <v>14747.1</v>
      </c>
      <c r="H102" s="13" t="n">
        <f aca="false">IF($B$52="Comercial",H62,H82)</f>
        <v>647</v>
      </c>
      <c r="I102" s="7" t="n">
        <f aca="false">SUM(B102:H102)</f>
        <v>115572.5</v>
      </c>
    </row>
    <row r="103" customFormat="false" ht="15" hidden="false" customHeight="false" outlineLevel="0" collapsed="false">
      <c r="A103" s="12" t="str">
        <f aca="false">A10</f>
        <v>AFFF 10 l</v>
      </c>
      <c r="B103" s="13" t="n">
        <f aca="false">IF($B$52="Comercial",B63,B83)</f>
        <v>0</v>
      </c>
      <c r="C103" s="13" t="n">
        <f aca="false">IF($B$52="Comercial",C63,C83)</f>
        <v>0</v>
      </c>
      <c r="D103" s="13" t="n">
        <f aca="false">IF($B$52="Comercial",D63,D83)</f>
        <v>0</v>
      </c>
      <c r="E103" s="13" t="n">
        <f aca="false">IF($B$52="Comercial",E63,E83)</f>
        <v>0</v>
      </c>
      <c r="F103" s="13" t="n">
        <f aca="false">IF($B$52="Comercial",F63,F83)</f>
        <v>19056.2</v>
      </c>
      <c r="G103" s="13" t="n">
        <f aca="false">IF($B$52="Comercial",G63,G83)</f>
        <v>0</v>
      </c>
      <c r="H103" s="13" t="n">
        <f aca="false">IF($B$52="Comercial",H63,H83)</f>
        <v>0</v>
      </c>
      <c r="I103" s="7" t="n">
        <f aca="false">SUM(B103:H103)</f>
        <v>19056.2</v>
      </c>
    </row>
    <row r="104" customFormat="false" ht="15" hidden="false" customHeight="false" outlineLevel="0" collapsed="false">
      <c r="A104" s="12" t="str">
        <f aca="false">A11</f>
        <v>AFFF 50 l s/ruedas</v>
      </c>
      <c r="B104" s="13" t="n">
        <f aca="false">IF($B$52="Comercial",B64,B84)</f>
        <v>0</v>
      </c>
      <c r="C104" s="13" t="n">
        <f aca="false">IF($B$52="Comercial",C64,C84)</f>
        <v>0</v>
      </c>
      <c r="D104" s="13" t="n">
        <f aca="false">IF($B$52="Comercial",D64,D84)</f>
        <v>0</v>
      </c>
      <c r="E104" s="13" t="n">
        <f aca="false">IF($B$52="Comercial",E64,E84)</f>
        <v>0</v>
      </c>
      <c r="F104" s="13" t="n">
        <f aca="false">IF($B$52="Comercial",F64,F84)</f>
        <v>11022.6</v>
      </c>
      <c r="G104" s="13" t="n">
        <f aca="false">IF($B$52="Comercial",G64,G84)</f>
        <v>0</v>
      </c>
      <c r="H104" s="13" t="n">
        <f aca="false">IF($B$52="Comercial",H64,H84)</f>
        <v>0</v>
      </c>
      <c r="I104" s="7" t="n">
        <f aca="false">SUM(B104:H104)</f>
        <v>11022.6</v>
      </c>
    </row>
    <row r="105" customFormat="false" ht="15" hidden="false" customHeight="false" outlineLevel="0" collapsed="false">
      <c r="A105" s="12" t="str">
        <f aca="false">A12</f>
        <v>BC 5 kg</v>
      </c>
      <c r="B105" s="13" t="n">
        <f aca="false">IF($B$52="Comercial",B65,B85)</f>
        <v>0</v>
      </c>
      <c r="C105" s="13" t="n">
        <f aca="false">IF($B$52="Comercial",C65,C85)</f>
        <v>0</v>
      </c>
      <c r="D105" s="13" t="n">
        <f aca="false">IF($B$52="Comercial",D65,D85)</f>
        <v>0</v>
      </c>
      <c r="E105" s="13" t="n">
        <f aca="false">IF($B$52="Comercial",E65,E85)</f>
        <v>0</v>
      </c>
      <c r="F105" s="13" t="n">
        <f aca="false">IF($B$52="Comercial",F65,F85)</f>
        <v>5628.9</v>
      </c>
      <c r="G105" s="13" t="n">
        <f aca="false">IF($B$52="Comercial",G65,G85)</f>
        <v>0</v>
      </c>
      <c r="H105" s="13" t="n">
        <f aca="false">IF($B$52="Comercial",H65,H85)</f>
        <v>0</v>
      </c>
      <c r="I105" s="7" t="n">
        <f aca="false">SUM(B105:H105)</f>
        <v>5628.9</v>
      </c>
    </row>
    <row r="106" customFormat="false" ht="15" hidden="false" customHeight="false" outlineLevel="0" collapsed="false">
      <c r="A106" s="12" t="str">
        <f aca="false">A13</f>
        <v>Sales K 6 l</v>
      </c>
      <c r="B106" s="13" t="n">
        <f aca="false">IF($B$52="Comercial",B66,B86)</f>
        <v>0</v>
      </c>
      <c r="C106" s="13" t="n">
        <f aca="false">IF($B$52="Comercial",C66,C86)</f>
        <v>25349.5</v>
      </c>
      <c r="D106" s="13" t="n">
        <f aca="false">IF($B$52="Comercial",D66,D86)</f>
        <v>8036.5</v>
      </c>
      <c r="E106" s="13" t="n">
        <f aca="false">IF($B$52="Comercial",E66,E86)</f>
        <v>11720.3</v>
      </c>
      <c r="F106" s="13" t="n">
        <f aca="false">IF($B$52="Comercial",F66,F86)</f>
        <v>9968.1</v>
      </c>
      <c r="G106" s="13" t="n">
        <f aca="false">IF($B$52="Comercial",G66,G86)</f>
        <v>4616.3</v>
      </c>
      <c r="H106" s="13" t="n">
        <f aca="false">IF($B$52="Comercial",H66,H86)</f>
        <v>0</v>
      </c>
      <c r="I106" s="7" t="n">
        <f aca="false">SUM(B106:H106)</f>
        <v>59690.7</v>
      </c>
    </row>
    <row r="107" customFormat="false" ht="15" hidden="false" customHeight="false" outlineLevel="0" collapsed="false">
      <c r="A107" s="12" t="str">
        <f aca="false">A14</f>
        <v>CO₂ 2 kg</v>
      </c>
      <c r="B107" s="13" t="n">
        <f aca="false">IF($B$52="Comercial",B67,B87)</f>
        <v>0</v>
      </c>
      <c r="C107" s="13" t="n">
        <f aca="false">IF($B$52="Comercial",C67,C87)</f>
        <v>231127.5</v>
      </c>
      <c r="D107" s="13" t="n">
        <f aca="false">IF($B$52="Comercial",D67,D87)</f>
        <v>34334.4</v>
      </c>
      <c r="E107" s="13" t="n">
        <f aca="false">IF($B$52="Comercial",E67,E87)</f>
        <v>11720.3</v>
      </c>
      <c r="F107" s="13" t="n">
        <f aca="false">IF($B$52="Comercial",F67,F87)</f>
        <v>7798.5</v>
      </c>
      <c r="G107" s="13" t="n">
        <f aca="false">IF($B$52="Comercial",G67,G87)</f>
        <v>17366.2</v>
      </c>
      <c r="H107" s="13" t="n">
        <f aca="false">IF($B$52="Comercial",H67,H87)</f>
        <v>0</v>
      </c>
      <c r="I107" s="7" t="n">
        <f aca="false">SUM(B107:H107)</f>
        <v>302346.9</v>
      </c>
    </row>
    <row r="108" customFormat="false" ht="15" hidden="false" customHeight="false" outlineLevel="0" collapsed="false">
      <c r="A108" s="12" t="str">
        <f aca="false">A15</f>
        <v>CO₂ 5 kg</v>
      </c>
      <c r="B108" s="13" t="n">
        <f aca="false">IF($B$52="Comercial",B68,B88)</f>
        <v>0</v>
      </c>
      <c r="C108" s="13" t="n">
        <f aca="false">IF($B$52="Comercial",C68,C88)</f>
        <v>32805.2</v>
      </c>
      <c r="D108" s="13" t="n">
        <f aca="false">IF($B$52="Comercial",D68,D88)</f>
        <v>1607.3</v>
      </c>
      <c r="E108" s="13" t="n">
        <f aca="false">IF($B$52="Comercial",E68,E88)</f>
        <v>5860.1</v>
      </c>
      <c r="F108" s="13" t="n">
        <f aca="false">IF($B$52="Comercial",F68,F88)</f>
        <v>39872.3</v>
      </c>
      <c r="G108" s="13" t="n">
        <f aca="false">IF($B$52="Comercial",G68,G88)</f>
        <v>19474.2</v>
      </c>
      <c r="H108" s="13" t="n">
        <f aca="false">IF($B$52="Comercial",H68,H88)</f>
        <v>2914</v>
      </c>
      <c r="I108" s="7" t="n">
        <f aca="false">SUM(B108:H108)</f>
        <v>102533.1</v>
      </c>
    </row>
    <row r="109" customFormat="false" ht="15" hidden="false" customHeight="false" outlineLevel="0" collapsed="false">
      <c r="A109" s="12" t="str">
        <f aca="false">A16</f>
        <v>HCFC/HFC 5 kg</v>
      </c>
      <c r="B109" s="13" t="n">
        <f aca="false">IF($B$52="Comercial",B69,B89)</f>
        <v>0</v>
      </c>
      <c r="C109" s="13" t="n">
        <f aca="false">IF($B$52="Comercial",C69,C89)</f>
        <v>0</v>
      </c>
      <c r="D109" s="13" t="n">
        <f aca="false">IF($B$52="Comercial",D69,D89)</f>
        <v>0</v>
      </c>
      <c r="E109" s="13" t="n">
        <f aca="false">IF($B$52="Comercial",E69,E89)</f>
        <v>0</v>
      </c>
      <c r="F109" s="13" t="n">
        <f aca="false">IF($B$52="Comercial",F69,F89)</f>
        <v>11257.7</v>
      </c>
      <c r="G109" s="13" t="n">
        <f aca="false">IF($B$52="Comercial",G69,G89)</f>
        <v>3992.6</v>
      </c>
      <c r="H109" s="13" t="n">
        <f aca="false">IF($B$52="Comercial",H69,H89)</f>
        <v>0</v>
      </c>
      <c r="I109" s="7" t="n">
        <f aca="false">SUM(B109:H109)</f>
        <v>15250.3</v>
      </c>
    </row>
    <row r="110" customFormat="false" ht="15" hidden="false" customHeight="false" outlineLevel="0" collapsed="false">
      <c r="A110" s="12" t="str">
        <f aca="false">A17</f>
        <v>Clase D 9 l</v>
      </c>
      <c r="B110" s="13" t="n">
        <f aca="false">IF($B$52="Comercial",B70,B90)</f>
        <v>0</v>
      </c>
      <c r="C110" s="13" t="n">
        <f aca="false">IF($B$52="Comercial",C70,C90)</f>
        <v>0</v>
      </c>
      <c r="D110" s="13" t="n">
        <f aca="false">IF($B$52="Comercial",D70,D90)</f>
        <v>0</v>
      </c>
      <c r="E110" s="13" t="n">
        <f aca="false">IF($B$52="Comercial",E70,E90)</f>
        <v>0</v>
      </c>
      <c r="F110" s="13" t="n">
        <f aca="false">IF($B$52="Comercial",F70,F90)</f>
        <v>4339.2</v>
      </c>
      <c r="G110" s="13" t="n">
        <f aca="false">IF($B$52="Comercial",G70,G90)</f>
        <v>0</v>
      </c>
      <c r="H110" s="13" t="n">
        <f aca="false">IF($B$52="Comercial",H70,H90)</f>
        <v>0</v>
      </c>
      <c r="I110" s="7" t="n">
        <f aca="false">SUM(B110:H110)</f>
        <v>4339.2</v>
      </c>
    </row>
    <row r="111" customFormat="false" ht="15" hidden="false" customHeight="false" outlineLevel="0" collapsed="false">
      <c r="A111" s="12" t="str">
        <f aca="false">A18</f>
        <v>ABC 25 kg s/ruedas</v>
      </c>
      <c r="B111" s="13" t="n">
        <f aca="false">IF($B$52="Comercial",B71,B91)</f>
        <v>0</v>
      </c>
      <c r="C111" s="13" t="n">
        <f aca="false">IF($B$52="Comercial",C71,C91)</f>
        <v>5591.8</v>
      </c>
      <c r="D111" s="13" t="n">
        <f aca="false">IF($B$52="Comercial",D71,D91)</f>
        <v>359.1</v>
      </c>
      <c r="E111" s="13" t="n">
        <f aca="false">IF($B$52="Comercial",E71,E91)</f>
        <v>586</v>
      </c>
      <c r="F111" s="13" t="n">
        <f aca="false">IF($B$52="Comercial",F71,F91)</f>
        <v>4925.3</v>
      </c>
      <c r="G111" s="13" t="n">
        <f aca="false">IF($B$52="Comercial",G71,G91)</f>
        <v>2245.9</v>
      </c>
      <c r="H111" s="13" t="n">
        <f aca="false">IF($B$52="Comercial",H71,H91)</f>
        <v>0</v>
      </c>
      <c r="I111" s="7" t="n">
        <f aca="false">SUM(B111:H111)</f>
        <v>13708.1</v>
      </c>
    </row>
    <row r="112" customFormat="false" ht="15" hidden="false" customHeight="false" outlineLevel="0" collapsed="false">
      <c r="A112" s="12" t="str">
        <f aca="false">A19</f>
        <v>ABC 50 kg s/ruedas</v>
      </c>
      <c r="B112" s="13" t="n">
        <f aca="false">IF($B$52="Comercial",B72,B92)</f>
        <v>0</v>
      </c>
      <c r="C112" s="13" t="n">
        <f aca="false">IF($B$52="Comercial",C72,C92)</f>
        <v>12301.9</v>
      </c>
      <c r="D112" s="13" t="n">
        <f aca="false">IF($B$52="Comercial",D72,D92)</f>
        <v>790</v>
      </c>
      <c r="E112" s="13" t="n">
        <f aca="false">IF($B$52="Comercial",E72,E92)</f>
        <v>1289.2</v>
      </c>
      <c r="F112" s="13" t="n">
        <f aca="false">IF($B$52="Comercial",F72,F92)</f>
        <v>10835.6</v>
      </c>
      <c r="G112" s="13" t="n">
        <f aca="false">IF($B$52="Comercial",G72,G92)</f>
        <v>4940.9</v>
      </c>
      <c r="H112" s="13" t="n">
        <f aca="false">IF($B$52="Comercial",H72,H92)</f>
        <v>0</v>
      </c>
      <c r="I112" s="7" t="n">
        <f aca="false">SUM(B112:H112)</f>
        <v>30157.6</v>
      </c>
    </row>
    <row r="113" customFormat="false" ht="15" hidden="false" customHeight="false" outlineLevel="0" collapsed="false">
      <c r="A113" s="12" t="str">
        <f aca="false">A20</f>
        <v>ABC 70 kg s/ruedas</v>
      </c>
      <c r="B113" s="13" t="n">
        <f aca="false">IF($B$52="Comercial",B73,B93)</f>
        <v>0</v>
      </c>
      <c r="C113" s="13" t="n">
        <f aca="false">IF($B$52="Comercial",C73,C93)</f>
        <v>2684.1</v>
      </c>
      <c r="D113" s="13" t="n">
        <f aca="false">IF($B$52="Comercial",D73,D93)</f>
        <v>172.4</v>
      </c>
      <c r="E113" s="13" t="n">
        <f aca="false">IF($B$52="Comercial",E73,E93)</f>
        <v>281.3</v>
      </c>
      <c r="F113" s="13" t="n">
        <f aca="false">IF($B$52="Comercial",F73,F93)</f>
        <v>2364.1</v>
      </c>
      <c r="G113" s="13" t="n">
        <f aca="false">IF($B$52="Comercial",G73,G93)</f>
        <v>1078</v>
      </c>
      <c r="H113" s="13" t="n">
        <f aca="false">IF($B$52="Comercial",H73,H93)</f>
        <v>0</v>
      </c>
      <c r="I113" s="7" t="n">
        <f aca="false">SUM(B113:H113)</f>
        <v>6579.9</v>
      </c>
    </row>
    <row r="114" customFormat="false" ht="15" hidden="false" customHeight="false" outlineLevel="0" collapsed="false">
      <c r="A114" s="12" t="str">
        <f aca="false">A21</f>
        <v>ABC 100 kg s/ruedas</v>
      </c>
      <c r="B114" s="13" t="n">
        <f aca="false">IF($B$52="Comercial",B74,B94)</f>
        <v>0</v>
      </c>
      <c r="C114" s="13" t="n">
        <f aca="false">IF($B$52="Comercial",C74,C94)</f>
        <v>1789.4</v>
      </c>
      <c r="D114" s="13" t="n">
        <f aca="false">IF($B$52="Comercial",D74,D94)</f>
        <v>114.9</v>
      </c>
      <c r="E114" s="13" t="n">
        <f aca="false">IF($B$52="Comercial",E74,E94)</f>
        <v>187.5</v>
      </c>
      <c r="F114" s="13" t="n">
        <f aca="false">IF($B$52="Comercial",F74,F94)</f>
        <v>1576.1</v>
      </c>
      <c r="G114" s="13" t="n">
        <f aca="false">IF($B$52="Comercial",G74,G94)</f>
        <v>718.7</v>
      </c>
      <c r="H114" s="13" t="n">
        <f aca="false">IF($B$52="Comercial",H74,H94)</f>
        <v>0</v>
      </c>
      <c r="I114" s="7" t="n">
        <f aca="false">SUM(B114:H114)</f>
        <v>4386.6</v>
      </c>
    </row>
    <row r="116" customFormat="false" ht="15" hidden="false" customHeight="false" outlineLevel="0" collapsed="false">
      <c r="A116" s="2" t="s">
        <v>70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71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2475.14482829177</v>
      </c>
      <c r="C2" s="13" t="n">
        <f aca="false">PROY_Indexado!C5*PROY_Indexado!$B$53</f>
        <v>12079.0433371409</v>
      </c>
      <c r="D2" s="13" t="n">
        <f aca="false">PROY_Indexado!D5*PROY_Indexado!$B$53</f>
        <v>21741.5914098928</v>
      </c>
      <c r="E2" s="13" t="n">
        <f aca="false">PROY_Indexado!E5*PROY_Indexado!$B$53</f>
        <v>39893.1417352838</v>
      </c>
      <c r="F2" s="13" t="n">
        <f aca="false">PROY_Indexado!F5*PROY_Indexado!$B$53</f>
        <v>59980.470624167</v>
      </c>
      <c r="G2" s="13" t="n">
        <f aca="false">PROY_Indexado!G5*PROY_Indexado!$B$53</f>
        <v>83566.602439553</v>
      </c>
      <c r="H2" s="13" t="n">
        <f aca="false">PROY_Indexado!H5*PROY_Indexado!$B$53</f>
        <v>105063.861805261</v>
      </c>
      <c r="I2" s="13" t="n">
        <f aca="false">PROY_Indexado!I5*PROY_Indexado!$B$53</f>
        <v>121999.36672723</v>
      </c>
      <c r="J2" s="13" t="n">
        <f aca="false">PROY_Indexado!J5*PROY_Indexado!$B$53</f>
        <v>130744.239144474</v>
      </c>
      <c r="K2" s="13" t="n">
        <f aca="false">PROY_Indexado!K5*PROY_Indexado!$B$53</f>
        <v>139706.853822866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234.879581556037</v>
      </c>
      <c r="C3" s="13" t="n">
        <f aca="false">PROY_Indexado!C6*PROY_Indexado!$B$53</f>
        <v>916.334304461805</v>
      </c>
      <c r="D3" s="13" t="n">
        <f aca="false">PROY_Indexado!D6*PROY_Indexado!$B$53</f>
        <v>2097.68745976827</v>
      </c>
      <c r="E3" s="13" t="n">
        <f aca="false">PROY_Indexado!E6*PROY_Indexado!$B$53</f>
        <v>3862.05951790904</v>
      </c>
      <c r="F3" s="13" t="n">
        <f aca="false">PROY_Indexado!F6*PROY_Indexado!$B$53</f>
        <v>5587.96679777898</v>
      </c>
      <c r="G3" s="13" t="n">
        <f aca="false">PROY_Indexado!G6*PROY_Indexado!$B$53</f>
        <v>7419.38255775269</v>
      </c>
      <c r="H3" s="13" t="n">
        <f aca="false">PROY_Indexado!H6*PROY_Indexado!$B$53</f>
        <v>9117.61613344917</v>
      </c>
      <c r="I3" s="13" t="n">
        <f aca="false">PROY_Indexado!I6*PROY_Indexado!$B$53</f>
        <v>10151.9313411915</v>
      </c>
      <c r="J3" s="13" t="n">
        <f aca="false">PROY_Indexado!J6*PROY_Indexado!$B$53</f>
        <v>10984.5533588211</v>
      </c>
      <c r="K3" s="13" t="n">
        <f aca="false">PROY_Indexado!K6*PROY_Indexado!$B$53</f>
        <v>11830.051049947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1388.21931793785</v>
      </c>
      <c r="C4" s="13" t="n">
        <f aca="false">PROY_Indexado!C7*PROY_Indexado!$B$53</f>
        <v>5589.20719798536</v>
      </c>
      <c r="D4" s="13" t="n">
        <f aca="false">PROY_Indexado!D7*PROY_Indexado!$B$53</f>
        <v>12652.2061013923</v>
      </c>
      <c r="E4" s="13" t="n">
        <f aca="false">PROY_Indexado!E7*PROY_Indexado!$B$53</f>
        <v>23919.216760094</v>
      </c>
      <c r="F4" s="13" t="n">
        <f aca="false">PROY_Indexado!F7*PROY_Indexado!$B$53</f>
        <v>34454.7425238456</v>
      </c>
      <c r="G4" s="13" t="n">
        <f aca="false">PROY_Indexado!G7*PROY_Indexado!$B$53</f>
        <v>45782.7936852982</v>
      </c>
      <c r="H4" s="13" t="n">
        <f aca="false">PROY_Indexado!H7*PROY_Indexado!$B$53</f>
        <v>56030.8054965996</v>
      </c>
      <c r="I4" s="13" t="n">
        <f aca="false">PROY_Indexado!I7*PROY_Indexado!$B$53</f>
        <v>62092.263139539</v>
      </c>
      <c r="J4" s="13" t="n">
        <f aca="false">PROY_Indexado!J7*PROY_Indexado!$B$53</f>
        <v>66979.5552939497</v>
      </c>
      <c r="K4" s="13" t="n">
        <f aca="false">PROY_Indexado!K7*PROY_Indexado!$B$53</f>
        <v>71955.8558790957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84.2326770523077</v>
      </c>
      <c r="C5" s="13" t="n">
        <f aca="false">PROY_Indexado!C8*PROY_Indexado!$B$53</f>
        <v>311.55068111409</v>
      </c>
      <c r="D5" s="13" t="n">
        <f aca="false">PROY_Indexado!D8*PROY_Indexado!$B$53</f>
        <v>729.539660266975</v>
      </c>
      <c r="E5" s="13" t="n">
        <f aca="false">PROY_Indexado!E8*PROY_Indexado!$B$53</f>
        <v>1395.34817383334</v>
      </c>
      <c r="F5" s="13" t="n">
        <f aca="false">PROY_Indexado!F8*PROY_Indexado!$B$53</f>
        <v>2024.95066139605</v>
      </c>
      <c r="G5" s="13" t="n">
        <f aca="false">PROY_Indexado!G8*PROY_Indexado!$B$53</f>
        <v>2712.09694414371</v>
      </c>
      <c r="H5" s="13" t="n">
        <f aca="false">PROY_Indexado!H8*PROY_Indexado!$B$53</f>
        <v>3319.43579985985</v>
      </c>
      <c r="I5" s="13" t="n">
        <f aca="false">PROY_Indexado!I8*PROY_Indexado!$B$53</f>
        <v>3675.9129471876</v>
      </c>
      <c r="J5" s="13" t="n">
        <f aca="false">PROY_Indexado!J8*PROY_Indexado!$B$53</f>
        <v>3965.62186010178</v>
      </c>
      <c r="K5" s="13" t="n">
        <f aca="false">PROY_Indexado!K8*PROY_Indexado!$B$53</f>
        <v>4260.58129786147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113.390142623807</v>
      </c>
      <c r="C6" s="13" t="n">
        <f aca="false">PROY_Indexado!C9*PROY_Indexado!$B$53</f>
        <v>457.965388633145</v>
      </c>
      <c r="D6" s="13" t="n">
        <f aca="false">PROY_Indexado!D9*PROY_Indexado!$B$53</f>
        <v>1049.39757654732</v>
      </c>
      <c r="E6" s="13" t="n">
        <f aca="false">PROY_Indexado!E9*PROY_Indexado!$B$53</f>
        <v>1969.05897675789</v>
      </c>
      <c r="F6" s="13" t="n">
        <f aca="false">PROY_Indexado!F9*PROY_Indexado!$B$53</f>
        <v>2840.97923347503</v>
      </c>
      <c r="G6" s="13" t="n">
        <f aca="false">PROY_Indexado!G9*PROY_Indexado!$B$53</f>
        <v>3797.7961792378</v>
      </c>
      <c r="H6" s="13" t="n">
        <f aca="false">PROY_Indexado!H9*PROY_Indexado!$B$53</f>
        <v>4654.19222714906</v>
      </c>
      <c r="I6" s="13" t="n">
        <f aca="false">PROY_Indexado!I9*PROY_Indexado!$B$53</f>
        <v>5174.39225980645</v>
      </c>
      <c r="J6" s="13" t="n">
        <f aca="false">PROY_Indexado!J9*PROY_Indexado!$B$53</f>
        <v>5591.21641380079</v>
      </c>
      <c r="K6" s="13" t="n">
        <f aca="false">PROY_Indexado!K9*PROY_Indexado!$B$53</f>
        <v>6014.98096081728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16.1985919050815</v>
      </c>
      <c r="C7" s="13" t="n">
        <f aca="false">PROY_Indexado!C10*PROY_Indexado!$B$53</f>
        <v>114.81866263352</v>
      </c>
      <c r="D7" s="13" t="n">
        <f aca="false">PROY_Indexado!D10*PROY_Indexado!$B$53</f>
        <v>225.349501118225</v>
      </c>
      <c r="E7" s="13" t="n">
        <f aca="false">PROY_Indexado!E10*PROY_Indexado!$B$53</f>
        <v>375.38023765896</v>
      </c>
      <c r="F7" s="13" t="n">
        <f aca="false">PROY_Indexado!F10*PROY_Indexado!$B$53</f>
        <v>529.401819301053</v>
      </c>
      <c r="G7" s="13" t="n">
        <f aca="false">PROY_Indexado!G10*PROY_Indexado!$B$53</f>
        <v>685.338801347676</v>
      </c>
      <c r="H7" s="13" t="n">
        <f aca="false">PROY_Indexado!H10*PROY_Indexado!$B$53</f>
        <v>850.516240860368</v>
      </c>
      <c r="I7" s="13" t="n">
        <f aca="false">PROY_Indexado!I10*PROY_Indexado!$B$53</f>
        <v>962.031769263164</v>
      </c>
      <c r="J7" s="13" t="n">
        <f aca="false">PROY_Indexado!J10*PROY_Indexado!$B$53</f>
        <v>1051.66533974034</v>
      </c>
      <c r="K7" s="13" t="n">
        <f aca="false">PROY_Indexado!K10*PROY_Indexado!$B$53</f>
        <v>1141.98283308283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8.09929559665901</v>
      </c>
      <c r="C8" s="13" t="n">
        <f aca="false">PROY_Indexado!C11*PROY_Indexado!$B$53</f>
        <v>59.2354634114683</v>
      </c>
      <c r="D8" s="13" t="n">
        <f aca="false">PROY_Indexado!D11*PROY_Indexado!$B$53</f>
        <v>117.059353190262</v>
      </c>
      <c r="E8" s="13" t="n">
        <f aca="false">PROY_Indexado!E11*PROY_Indexado!$B$53</f>
        <v>200.248356483697</v>
      </c>
      <c r="F8" s="13" t="n">
        <f aca="false">PROY_Indexado!F11*PROY_Indexado!$B$53</f>
        <v>283.924243730767</v>
      </c>
      <c r="G8" s="13" t="n">
        <f aca="false">PROY_Indexado!G11*PROY_Indexado!$B$53</f>
        <v>366.221737623981</v>
      </c>
      <c r="H8" s="13" t="n">
        <f aca="false">PROY_Indexado!H11*PROY_Indexado!$B$53</f>
        <v>447.745862045301</v>
      </c>
      <c r="I8" s="13" t="n">
        <f aca="false">PROY_Indexado!I11*PROY_Indexado!$B$53</f>
        <v>506.190555502727</v>
      </c>
      <c r="J8" s="13" t="n">
        <f aca="false">PROY_Indexado!J11*PROY_Indexado!$B$53</f>
        <v>550.485701732129</v>
      </c>
      <c r="K8" s="13" t="n">
        <f aca="false">PROY_Indexado!K11*PROY_Indexado!$B$53</f>
        <v>595.283971511053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4.85957735799541</v>
      </c>
      <c r="C9" s="13" t="n">
        <f aca="false">PROY_Indexado!C12*PROY_Indexado!$B$53</f>
        <v>33.5049226894026</v>
      </c>
      <c r="D9" s="13" t="n">
        <f aca="false">PROY_Indexado!D12*PROY_Indexado!$B$53</f>
        <v>63.2684264058438</v>
      </c>
      <c r="E9" s="13" t="n">
        <f aca="false">PROY_Indexado!E12*PROY_Indexado!$B$53</f>
        <v>113.528050359665</v>
      </c>
      <c r="F9" s="13" t="n">
        <f aca="false">PROY_Indexado!F12*PROY_Indexado!$B$53</f>
        <v>156.442912791368</v>
      </c>
      <c r="G9" s="13" t="n">
        <f aca="false">PROY_Indexado!G12*PROY_Indexado!$B$53</f>
        <v>207.742306481294</v>
      </c>
      <c r="H9" s="13" t="n">
        <f aca="false">PROY_Indexado!H12*PROY_Indexado!$B$53</f>
        <v>262.529814616504</v>
      </c>
      <c r="I9" s="13" t="n">
        <f aca="false">PROY_Indexado!I12*PROY_Indexado!$B$53</f>
        <v>290.690583531525</v>
      </c>
      <c r="J9" s="13" t="n">
        <f aca="false">PROY_Indexado!J12*PROY_Indexado!$B$53</f>
        <v>317.291314201865</v>
      </c>
      <c r="K9" s="13" t="n">
        <f aca="false">PROY_Indexado!K12*PROY_Indexado!$B$53</f>
        <v>344.122846997007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58.3149304312353</v>
      </c>
      <c r="C10" s="13" t="n">
        <f aca="false">PROY_Indexado!C13*PROY_Indexado!$B$53</f>
        <v>238.724661052559</v>
      </c>
      <c r="D10" s="13" t="n">
        <f aca="false">PROY_Indexado!D13*PROY_Indexado!$B$53</f>
        <v>531.401451932801</v>
      </c>
      <c r="E10" s="13" t="n">
        <f aca="false">PROY_Indexado!E13*PROY_Indexado!$B$53</f>
        <v>967.21529652271</v>
      </c>
      <c r="F10" s="13" t="n">
        <f aca="false">PROY_Indexado!F13*PROY_Indexado!$B$53</f>
        <v>1395.85755449574</v>
      </c>
      <c r="G10" s="13" t="n">
        <f aca="false">PROY_Indexado!G13*PROY_Indexado!$B$53</f>
        <v>1849.54691574823</v>
      </c>
      <c r="H10" s="13" t="n">
        <f aca="false">PROY_Indexado!H13*PROY_Indexado!$B$53</f>
        <v>2275.69542490701</v>
      </c>
      <c r="I10" s="13" t="n">
        <f aca="false">PROY_Indexado!I13*PROY_Indexado!$B$53</f>
        <v>2547.07374520378</v>
      </c>
      <c r="J10" s="13" t="n">
        <f aca="false">PROY_Indexado!J13*PROY_Indexado!$B$53</f>
        <v>2755.05712028652</v>
      </c>
      <c r="K10" s="13" t="n">
        <f aca="false">PROY_Indexado!K13*PROY_Indexado!$B$53</f>
        <v>2966.31679967506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320.732117727676</v>
      </c>
      <c r="C11" s="13" t="n">
        <f aca="false">PROY_Indexado!C14*PROY_Indexado!$B$53</f>
        <v>1207.9918279534</v>
      </c>
      <c r="D11" s="13" t="n">
        <f aca="false">PROY_Indexado!D14*PROY_Indexado!$B$53</f>
        <v>2815.16473668998</v>
      </c>
      <c r="E11" s="13" t="n">
        <f aca="false">PROY_Indexado!E14*PROY_Indexado!$B$53</f>
        <v>5381.8290745489</v>
      </c>
      <c r="F11" s="13" t="n">
        <f aca="false">PROY_Indexado!F14*PROY_Indexado!$B$53</f>
        <v>7772.56042931962</v>
      </c>
      <c r="G11" s="13" t="n">
        <f aca="false">PROY_Indexado!G14*PROY_Indexado!$B$53</f>
        <v>10331.1654250021</v>
      </c>
      <c r="H11" s="13" t="n">
        <f aca="false">PROY_Indexado!H14*PROY_Indexado!$B$53</f>
        <v>12631.3103337822</v>
      </c>
      <c r="I11" s="13" t="n">
        <f aca="false">PROY_Indexado!I14*PROY_Indexado!$B$53</f>
        <v>13962.8107085724</v>
      </c>
      <c r="J11" s="13" t="n">
        <f aca="false">PROY_Indexado!J14*PROY_Indexado!$B$53</f>
        <v>15062.2011643158</v>
      </c>
      <c r="K11" s="13" t="n">
        <f aca="false">PROY_Indexado!K14*PROY_Indexado!$B$53</f>
        <v>16181.5883805524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89.0922551220666</v>
      </c>
      <c r="C12" s="13" t="n">
        <f aca="false">PROY_Indexado!C15*PROY_Indexado!$B$53</f>
        <v>458.112601964928</v>
      </c>
      <c r="D12" s="13" t="n">
        <f aca="false">PROY_Indexado!D15*PROY_Indexado!$B$53</f>
        <v>979.120880505447</v>
      </c>
      <c r="E12" s="13" t="n">
        <f aca="false">PROY_Indexado!E15*PROY_Indexado!$B$53</f>
        <v>1751.14052567374</v>
      </c>
      <c r="F12" s="13" t="n">
        <f aca="false">PROY_Indexado!F15*PROY_Indexado!$B$53</f>
        <v>2523.38499700053</v>
      </c>
      <c r="G12" s="13" t="n">
        <f aca="false">PROY_Indexado!G15*PROY_Indexado!$B$53</f>
        <v>3361.9876650447</v>
      </c>
      <c r="H12" s="13" t="n">
        <f aca="false">PROY_Indexado!H15*PROY_Indexado!$B$53</f>
        <v>4166.59600537953</v>
      </c>
      <c r="I12" s="13" t="n">
        <f aca="false">PROY_Indexado!I15*PROY_Indexado!$B$53</f>
        <v>4703.66051743215</v>
      </c>
      <c r="J12" s="13" t="n">
        <f aca="false">PROY_Indexado!J15*PROY_Indexado!$B$53</f>
        <v>5114.52491838814</v>
      </c>
      <c r="K12" s="13" t="n">
        <f aca="false">PROY_Indexado!K15*PROY_Indexado!$B$53</f>
        <v>5530.10136592383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12.9588736664179</v>
      </c>
      <c r="C13" s="13" t="n">
        <f aca="false">PROY_Indexado!C16*PROY_Indexado!$B$53</f>
        <v>79.7709804700263</v>
      </c>
      <c r="D13" s="13" t="n">
        <f aca="false">PROY_Indexado!D16*PROY_Indexado!$B$53</f>
        <v>164.313478918521</v>
      </c>
      <c r="E13" s="13" t="n">
        <f aca="false">PROY_Indexado!E16*PROY_Indexado!$B$53</f>
        <v>285.214546387503</v>
      </c>
      <c r="F13" s="13" t="n">
        <f aca="false">PROY_Indexado!F16*PROY_Indexado!$B$53</f>
        <v>408.913671458658</v>
      </c>
      <c r="G13" s="13" t="n">
        <f aca="false">PROY_Indexado!G16*PROY_Indexado!$B$53</f>
        <v>536.915676611825</v>
      </c>
      <c r="H13" s="13" t="n">
        <f aca="false">PROY_Indexado!H16*PROY_Indexado!$B$53</f>
        <v>672.508912038187</v>
      </c>
      <c r="I13" s="13" t="n">
        <f aca="false">PROY_Indexado!I16*PROY_Indexado!$B$53</f>
        <v>763.177496247794</v>
      </c>
      <c r="J13" s="13" t="n">
        <f aca="false">PROY_Indexado!J16*PROY_Indexado!$B$53</f>
        <v>833.970263528919</v>
      </c>
      <c r="K13" s="13" t="n">
        <f aca="false">PROY_Indexado!K16*PROY_Indexado!$B$53</f>
        <v>905.321241295216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4.85957735799541</v>
      </c>
      <c r="C14" s="13" t="n">
        <f aca="false">PROY_Indexado!C17*PROY_Indexado!$B$53</f>
        <v>33.5049226894026</v>
      </c>
      <c r="D14" s="13" t="n">
        <f aca="false">PROY_Indexado!D17*PROY_Indexado!$B$53</f>
        <v>63.2684264058438</v>
      </c>
      <c r="E14" s="13" t="n">
        <f aca="false">PROY_Indexado!E17*PROY_Indexado!$B$53</f>
        <v>105.539708727094</v>
      </c>
      <c r="F14" s="13" t="n">
        <f aca="false">PROY_Indexado!F17*PROY_Indexado!$B$53</f>
        <v>146.0724126252</v>
      </c>
      <c r="G14" s="13" t="n">
        <f aca="false">PROY_Indexado!G17*PROY_Indexado!$B$53</f>
        <v>182.044293350923</v>
      </c>
      <c r="H14" s="13" t="n">
        <f aca="false">PROY_Indexado!H17*PROY_Indexado!$B$53</f>
        <v>233.755873551037</v>
      </c>
      <c r="I14" s="13" t="n">
        <f aca="false">PROY_Indexado!I17*PROY_Indexado!$B$53</f>
        <v>261.151770738523</v>
      </c>
      <c r="J14" s="13" t="n">
        <f aca="false">PROY_Indexado!J17*PROY_Indexado!$B$53</f>
        <v>285.902375410877</v>
      </c>
      <c r="K14" s="13" t="n">
        <f aca="false">PROY_Indexado!K17*PROY_Indexado!$B$53</f>
        <v>310.817709914611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12.5539087086441</v>
      </c>
      <c r="C15" s="13" t="n">
        <f aca="false">PROY_Indexado!C18*PROY_Indexado!$B$53</f>
        <v>61.2029905272747</v>
      </c>
      <c r="D15" s="13" t="n">
        <f aca="false">PROY_Indexado!D18*PROY_Indexado!$B$53</f>
        <v>133.006936004935</v>
      </c>
      <c r="E15" s="13" t="n">
        <f aca="false">PROY_Indexado!E18*PROY_Indexado!$B$53</f>
        <v>239.567934240765</v>
      </c>
      <c r="F15" s="13" t="n">
        <f aca="false">PROY_Indexado!F18*PROY_Indexado!$B$53</f>
        <v>344.58790970543</v>
      </c>
      <c r="G15" s="13" t="n">
        <f aca="false">PROY_Indexado!G18*PROY_Indexado!$B$53</f>
        <v>457.820788896913</v>
      </c>
      <c r="H15" s="13" t="n">
        <f aca="false">PROY_Indexado!H18*PROY_Indexado!$B$53</f>
        <v>564.023985759399</v>
      </c>
      <c r="I15" s="13" t="n">
        <f aca="false">PROY_Indexado!I18*PROY_Indexado!$B$53</f>
        <v>633.240113624099</v>
      </c>
      <c r="J15" s="13" t="n">
        <f aca="false">PROY_Indexado!J18*PROY_Indexado!$B$53</f>
        <v>687.073208836743</v>
      </c>
      <c r="K15" s="13" t="n">
        <f aca="false">PROY_Indexado!K18*PROY_Indexado!$B$53</f>
        <v>741.614643249615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27.6185987319589</v>
      </c>
      <c r="C16" s="13" t="n">
        <f aca="false">PROY_Indexado!C19*PROY_Indexado!$B$53</f>
        <v>134.646580014121</v>
      </c>
      <c r="D16" s="13" t="n">
        <f aca="false">PROY_Indexado!D19*PROY_Indexado!$B$53</f>
        <v>292.615259637915</v>
      </c>
      <c r="E16" s="13" t="n">
        <f aca="false">PROY_Indexado!E19*PROY_Indexado!$B$53</f>
        <v>527.049455187331</v>
      </c>
      <c r="F16" s="13" t="n">
        <f aca="false">PROY_Indexado!F19*PROY_Indexado!$B$53</f>
        <v>758.093400924889</v>
      </c>
      <c r="G16" s="13" t="n">
        <f aca="false">PROY_Indexado!G19*PROY_Indexado!$B$53</f>
        <v>1007.20573628497</v>
      </c>
      <c r="H16" s="13" t="n">
        <f aca="false">PROY_Indexado!H19*PROY_Indexado!$B$53</f>
        <v>1240.85276909774</v>
      </c>
      <c r="I16" s="13" t="n">
        <f aca="false">PROY_Indexado!I19*PROY_Indexado!$B$53</f>
        <v>1393.12824968831</v>
      </c>
      <c r="J16" s="13" t="n">
        <f aca="false">PROY_Indexado!J19*PROY_Indexado!$B$53</f>
        <v>1511.56105872907</v>
      </c>
      <c r="K16" s="13" t="n">
        <f aca="false">PROY_Indexado!K19*PROY_Indexado!$B$53</f>
        <v>1631.55221415268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6.02587586697322</v>
      </c>
      <c r="C17" s="13" t="n">
        <f aca="false">PROY_Indexado!C20*PROY_Indexado!$B$53</f>
        <v>29.3774353676802</v>
      </c>
      <c r="D17" s="13" t="n">
        <f aca="false">PROY_Indexado!D20*PROY_Indexado!$B$53</f>
        <v>63.8433291684866</v>
      </c>
      <c r="E17" s="13" t="n">
        <f aca="false">PROY_Indexado!E20*PROY_Indexado!$B$53</f>
        <v>114.992608378626</v>
      </c>
      <c r="F17" s="13" t="n">
        <f aca="false">PROY_Indexado!F20*PROY_Indexado!$B$53</f>
        <v>165.402196630136</v>
      </c>
      <c r="G17" s="13" t="n">
        <f aca="false">PROY_Indexado!G20*PROY_Indexado!$B$53</f>
        <v>219.753978812871</v>
      </c>
      <c r="H17" s="13" t="n">
        <f aca="false">PROY_Indexado!H20*PROY_Indexado!$B$53</f>
        <v>270.73151305063</v>
      </c>
      <c r="I17" s="13" t="n">
        <f aca="false">PROY_Indexado!I20*PROY_Indexado!$B$53</f>
        <v>303.955254283333</v>
      </c>
      <c r="J17" s="13" t="n">
        <f aca="false">PROY_Indexado!J20*PROY_Indexado!$B$53</f>
        <v>329.795140383989</v>
      </c>
      <c r="K17" s="13" t="n">
        <f aca="false">PROY_Indexado!K20*PROY_Indexado!$B$53</f>
        <v>355.975028788286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4.01725081523665</v>
      </c>
      <c r="C18" s="13" t="n">
        <f aca="false">PROY_Indexado!C21*PROY_Indexado!$B$53</f>
        <v>19.5849569117868</v>
      </c>
      <c r="D18" s="13" t="n">
        <f aca="false">PROY_Indexado!D21*PROY_Indexado!$B$53</f>
        <v>42.5622199201667</v>
      </c>
      <c r="E18" s="13" t="n">
        <f aca="false">PROY_Indexado!E21*PROY_Indexado!$B$53</f>
        <v>76.6617391563387</v>
      </c>
      <c r="F18" s="13" t="n">
        <f aca="false">PROY_Indexado!F21*PROY_Indexado!$B$53</f>
        <v>110.268130849503</v>
      </c>
      <c r="G18" s="13" t="n">
        <f aca="false">PROY_Indexado!G21*PROY_Indexado!$B$53</f>
        <v>146.50265230466</v>
      </c>
      <c r="H18" s="13" t="n">
        <f aca="false">PROY_Indexado!H21*PROY_Indexado!$B$53</f>
        <v>180.487675841595</v>
      </c>
      <c r="I18" s="13" t="n">
        <f aca="false">PROY_Indexado!I21*PROY_Indexado!$B$53</f>
        <v>202.636836188889</v>
      </c>
      <c r="J18" s="13" t="n">
        <f aca="false">PROY_Indexado!J21*PROY_Indexado!$B$53</f>
        <v>219.863426685405</v>
      </c>
      <c r="K18" s="13" t="n">
        <f aca="false">PROY_Indexado!K21*PROY_Indexado!$B$53</f>
        <v>237.316685384348</v>
      </c>
    </row>
    <row r="19" customFormat="false" ht="15" hidden="false" customHeight="false" outlineLevel="0" collapsed="false">
      <c r="A19" s="6" t="s">
        <v>72</v>
      </c>
      <c r="B19" s="7" t="n">
        <f aca="false">SUM(B2:B18)</f>
        <v>4861.19740074972</v>
      </c>
      <c r="C19" s="7" t="n">
        <f aca="false">SUM(C2:C18)</f>
        <v>21824.5769150208</v>
      </c>
      <c r="D19" s="7" t="n">
        <f aca="false">SUM(D2:D18)</f>
        <v>43761.3962077661</v>
      </c>
      <c r="E19" s="7" t="n">
        <f aca="false">SUM(E2:E18)</f>
        <v>81177.1926972034</v>
      </c>
      <c r="F19" s="7" t="n">
        <f aca="false">SUM(F2:F18)</f>
        <v>119484.019519496</v>
      </c>
      <c r="G19" s="7" t="n">
        <f aca="false">SUM(G2:G18)</f>
        <v>162630.917783496</v>
      </c>
      <c r="H19" s="7" t="n">
        <f aca="false">SUM(H2:H18)</f>
        <v>201982.665873248</v>
      </c>
      <c r="I19" s="7" t="n">
        <f aca="false">SUM(I2:I18)</f>
        <v>229623.614015231</v>
      </c>
      <c r="J19" s="7" t="n">
        <f aca="false">SUM(J2:J18)</f>
        <v>246984.577103387</v>
      </c>
      <c r="K19" s="7" t="n">
        <f aca="false">SUM(K2:K18)</f>
        <v>264710.316731115</v>
      </c>
    </row>
    <row r="21" customFormat="false" ht="15" hidden="false" customHeight="false" outlineLevel="0" collapsed="false">
      <c r="A21" s="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74</v>
      </c>
      <c r="B1" s="3" t="s">
        <v>46</v>
      </c>
      <c r="C1" s="3" t="s">
        <v>75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76</v>
      </c>
      <c r="B2" s="14" t="n">
        <v>20</v>
      </c>
      <c r="C2" s="4" t="s">
        <v>77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78</v>
      </c>
      <c r="B3" s="14" t="n">
        <v>8</v>
      </c>
      <c r="C3" s="4" t="s">
        <v>79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80</v>
      </c>
      <c r="B4" s="14" t="n">
        <v>30</v>
      </c>
      <c r="C4" s="4" t="s">
        <v>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82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83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84</v>
      </c>
      <c r="B7" s="17" t="n">
        <v>0.9</v>
      </c>
      <c r="C7" s="4" t="s">
        <v>85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86</v>
      </c>
      <c r="B8" s="14" t="n">
        <v>2</v>
      </c>
      <c r="C8" s="4" t="s">
        <v>87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88</v>
      </c>
      <c r="B9" s="14" t="n">
        <v>3</v>
      </c>
      <c r="C9" s="4" t="s">
        <v>89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90</v>
      </c>
    </row>
    <row r="12" customFormat="false" ht="15" hidden="false" customHeight="true" outlineLevel="0" collapsed="false">
      <c r="A12" s="3" t="s">
        <v>74</v>
      </c>
      <c r="B12" s="3" t="s">
        <v>46</v>
      </c>
      <c r="C12" s="3" t="s">
        <v>75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91</v>
      </c>
      <c r="B13" s="14" t="n">
        <v>5</v>
      </c>
      <c r="C13" s="4" t="s">
        <v>92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93</v>
      </c>
      <c r="B14" s="14" t="n">
        <v>2</v>
      </c>
      <c r="C14" s="4" t="s">
        <v>94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95</v>
      </c>
      <c r="B15" s="10" t="n">
        <f aca="false">1/B13</f>
        <v>0.2</v>
      </c>
      <c r="C15" s="4" t="s">
        <v>96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97</v>
      </c>
      <c r="B16" s="10" t="n">
        <f aca="false">1/B14</f>
        <v>0.5</v>
      </c>
      <c r="C16" s="4" t="s">
        <v>98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99</v>
      </c>
      <c r="B17" s="14" t="n">
        <v>30</v>
      </c>
      <c r="C17" s="4" t="s">
        <v>100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101</v>
      </c>
      <c r="B18" s="14" t="n">
        <v>20</v>
      </c>
      <c r="C18" s="4" t="s">
        <v>102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103</v>
      </c>
      <c r="B19" s="10" t="n">
        <f aca="false">1/B17</f>
        <v>0.0333333333333333</v>
      </c>
      <c r="C19" s="4" t="s">
        <v>104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105</v>
      </c>
      <c r="B20" s="10" t="n">
        <f aca="false">1/B18</f>
        <v>0.05</v>
      </c>
      <c r="C20" s="4" t="s">
        <v>106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107</v>
      </c>
      <c r="B21" s="10" t="n">
        <f aca="false">PROY_Indexado!B48</f>
        <v>0.02</v>
      </c>
      <c r="C21" s="4" t="s">
        <v>108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109</v>
      </c>
      <c r="B22" s="10" t="n">
        <f aca="false">PROY_Indexado!B49</f>
        <v>0.01</v>
      </c>
      <c r="C22" s="4" t="s">
        <v>110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111</v>
      </c>
      <c r="B23" s="10" t="n">
        <f aca="false">B19+B21+B22</f>
        <v>0.0633333333333333</v>
      </c>
      <c r="C23" s="4" t="s">
        <v>112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113</v>
      </c>
      <c r="B24" s="10" t="n">
        <f aca="false">B20+B21+B22</f>
        <v>0.08</v>
      </c>
      <c r="C24" s="4" t="s">
        <v>112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114</v>
      </c>
      <c r="B25" s="10" t="n">
        <f aca="false">PROY_Indexado!B47</f>
        <v>0.05</v>
      </c>
      <c r="C25" s="4" t="s">
        <v>115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116</v>
      </c>
      <c r="B26" s="14" t="n">
        <v>10</v>
      </c>
      <c r="C26" s="4" t="s">
        <v>117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118</v>
      </c>
      <c r="B27" s="10" t="n">
        <f aca="false">1/B26</f>
        <v>0.1</v>
      </c>
      <c r="C27" s="4" t="s">
        <v>119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120</v>
      </c>
      <c r="B28" s="17" t="n">
        <v>1</v>
      </c>
      <c r="C28" s="4" t="s">
        <v>121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122</v>
      </c>
      <c r="B29" s="8" t="n">
        <v>0.05</v>
      </c>
      <c r="C29" s="4" t="s">
        <v>123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124</v>
      </c>
      <c r="B30" s="8" t="n">
        <v>0.1</v>
      </c>
      <c r="C30" s="4" t="s">
        <v>125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126</v>
      </c>
      <c r="B31" s="8" t="n">
        <v>0.01</v>
      </c>
      <c r="C31" s="4" t="s">
        <v>127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128</v>
      </c>
      <c r="B32" s="18" t="n">
        <v>0.001</v>
      </c>
      <c r="C32" s="4" t="s">
        <v>129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130</v>
      </c>
    </row>
    <row r="35" customFormat="false" ht="15" hidden="false" customHeight="false" outlineLevel="0" collapsed="false">
      <c r="A35" s="2" t="s">
        <v>131</v>
      </c>
    </row>
    <row r="36" customFormat="false" ht="15" hidden="false" customHeight="false" outlineLevel="0" collapsed="false">
      <c r="A36" s="3" t="s">
        <v>132</v>
      </c>
      <c r="B36" s="3" t="s">
        <v>133</v>
      </c>
      <c r="C36" s="3" t="s">
        <v>134</v>
      </c>
      <c r="D36" s="3" t="s">
        <v>135</v>
      </c>
      <c r="E36" s="3" t="s">
        <v>136</v>
      </c>
      <c r="F36" s="3" t="s">
        <v>137</v>
      </c>
      <c r="G36" s="3" t="s">
        <v>138</v>
      </c>
      <c r="H36" s="3" t="s">
        <v>139</v>
      </c>
      <c r="I36" s="3" t="s">
        <v>140</v>
      </c>
      <c r="J36" s="3" t="s">
        <v>141</v>
      </c>
      <c r="K36" s="3" t="s">
        <v>142</v>
      </c>
      <c r="L36" s="3" t="s">
        <v>143</v>
      </c>
      <c r="M36" s="3" t="s">
        <v>144</v>
      </c>
      <c r="N36" s="3" t="s">
        <v>67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145</v>
      </c>
    </row>
    <row r="50" customFormat="false" ht="35.05" hidden="false" customHeight="true" outlineLevel="0" collapsed="false">
      <c r="A50" s="3" t="s">
        <v>146</v>
      </c>
      <c r="B50" s="3" t="s">
        <v>147</v>
      </c>
      <c r="C50" s="3" t="s">
        <v>148</v>
      </c>
      <c r="D50" s="3" t="s">
        <v>149</v>
      </c>
      <c r="E50" s="3" t="s">
        <v>150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151</v>
      </c>
      <c r="C51" s="14" t="n">
        <v>1</v>
      </c>
      <c r="D51" s="14" t="n">
        <v>0</v>
      </c>
      <c r="E51" s="4" t="s">
        <v>152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151</v>
      </c>
      <c r="C52" s="14" t="n">
        <v>1</v>
      </c>
      <c r="D52" s="14" t="n">
        <v>0</v>
      </c>
      <c r="E52" s="4" t="s">
        <v>153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151</v>
      </c>
      <c r="C53" s="14" t="n">
        <v>1</v>
      </c>
      <c r="D53" s="14" t="n">
        <v>0</v>
      </c>
      <c r="E53" s="4" t="s">
        <v>153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151</v>
      </c>
      <c r="C54" s="14" t="n">
        <v>1</v>
      </c>
      <c r="D54" s="14" t="n">
        <v>0</v>
      </c>
      <c r="E54" s="4" t="s">
        <v>153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154</v>
      </c>
      <c r="C55" s="14" t="n">
        <v>1</v>
      </c>
      <c r="D55" s="14" t="n">
        <v>0</v>
      </c>
      <c r="E55" s="4" t="s">
        <v>153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155</v>
      </c>
      <c r="C56" s="14" t="n">
        <v>1</v>
      </c>
      <c r="D56" s="14" t="n">
        <v>0</v>
      </c>
      <c r="E56" s="4" t="s">
        <v>153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155</v>
      </c>
      <c r="C57" s="16" t="n">
        <f aca="false">$B$9</f>
        <v>3</v>
      </c>
      <c r="D57" s="14" t="n">
        <v>1</v>
      </c>
      <c r="E57" s="4" t="s">
        <v>156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157</v>
      </c>
      <c r="C58" s="14" t="n">
        <v>1</v>
      </c>
      <c r="D58" s="14" t="n">
        <v>0</v>
      </c>
      <c r="E58" s="4" t="s">
        <v>153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158</v>
      </c>
      <c r="C59" s="14" t="n">
        <v>1</v>
      </c>
      <c r="D59" s="14" t="n">
        <v>0</v>
      </c>
      <c r="E59" s="4" t="s">
        <v>153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159</v>
      </c>
      <c r="C60" s="14" t="n">
        <v>1</v>
      </c>
      <c r="D60" s="14" t="n">
        <v>0</v>
      </c>
      <c r="E60" s="4" t="s">
        <v>160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159</v>
      </c>
      <c r="C61" s="14" t="n">
        <v>1</v>
      </c>
      <c r="D61" s="14" t="n">
        <v>1</v>
      </c>
      <c r="E61" s="4" t="s">
        <v>161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162</v>
      </c>
      <c r="C62" s="14" t="n">
        <v>1</v>
      </c>
      <c r="D62" s="14" t="n">
        <v>0</v>
      </c>
      <c r="E62" s="4" t="s">
        <v>153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163</v>
      </c>
      <c r="C63" s="14" t="n">
        <v>1</v>
      </c>
      <c r="D63" s="14" t="n">
        <v>0</v>
      </c>
      <c r="E63" s="4" t="s">
        <v>153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151</v>
      </c>
      <c r="C64" s="16" t="n">
        <f aca="false">$B$9</f>
        <v>3</v>
      </c>
      <c r="D64" s="14" t="n">
        <v>1</v>
      </c>
      <c r="E64" s="4" t="s">
        <v>164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151</v>
      </c>
      <c r="C65" s="16" t="n">
        <f aca="false">$B$9</f>
        <v>3</v>
      </c>
      <c r="D65" s="14" t="n">
        <v>1</v>
      </c>
      <c r="E65" s="4" t="s">
        <v>164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151</v>
      </c>
      <c r="C66" s="16" t="n">
        <f aca="false">$B$9</f>
        <v>3</v>
      </c>
      <c r="D66" s="14" t="n">
        <v>1</v>
      </c>
      <c r="E66" s="4" t="s">
        <v>164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151</v>
      </c>
      <c r="C67" s="16" t="n">
        <f aca="false">$B$9</f>
        <v>3</v>
      </c>
      <c r="D67" s="14" t="n">
        <v>1</v>
      </c>
      <c r="E67" s="4" t="s">
        <v>164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165</v>
      </c>
    </row>
    <row r="71" customFormat="false" ht="35.05" hidden="false" customHeight="false" outlineLevel="0" collapsed="false">
      <c r="A71" s="3" t="s">
        <v>166</v>
      </c>
      <c r="B71" s="3" t="s">
        <v>167</v>
      </c>
      <c r="C71" s="3" t="s">
        <v>168</v>
      </c>
      <c r="D71" s="3" t="s">
        <v>169</v>
      </c>
      <c r="E71" s="3" t="s">
        <v>151</v>
      </c>
      <c r="F71" s="3" t="s">
        <v>157</v>
      </c>
      <c r="G71" s="3" t="s">
        <v>163</v>
      </c>
      <c r="H71" s="3" t="s">
        <v>154</v>
      </c>
      <c r="I71" s="3" t="s">
        <v>155</v>
      </c>
      <c r="J71" s="3" t="s">
        <v>158</v>
      </c>
      <c r="K71" s="3" t="s">
        <v>159</v>
      </c>
      <c r="L71" s="3" t="s">
        <v>162</v>
      </c>
      <c r="M71" s="3" t="s">
        <v>170</v>
      </c>
      <c r="N71" s="3" t="s">
        <v>171</v>
      </c>
      <c r="O71" s="3" t="s">
        <v>172</v>
      </c>
      <c r="P71" s="3" t="s">
        <v>173</v>
      </c>
      <c r="Q71" s="3" t="s">
        <v>174</v>
      </c>
    </row>
    <row r="72" customFormat="false" ht="23.85" hidden="false" customHeight="false" outlineLevel="0" collapsed="false">
      <c r="A72" s="19" t="n">
        <v>1</v>
      </c>
      <c r="B72" s="4" t="s">
        <v>175</v>
      </c>
      <c r="C72" s="4" t="s">
        <v>176</v>
      </c>
      <c r="D72" s="9" t="s">
        <v>177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178</v>
      </c>
      <c r="Q72" s="4"/>
    </row>
    <row r="73" customFormat="false" ht="15" hidden="false" customHeight="false" outlineLevel="0" collapsed="false">
      <c r="A73" s="19" t="n">
        <v>2</v>
      </c>
      <c r="B73" s="4" t="s">
        <v>179</v>
      </c>
      <c r="C73" s="4" t="s">
        <v>180</v>
      </c>
      <c r="D73" s="9" t="s">
        <v>177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181</v>
      </c>
      <c r="Q73" s="4" t="s">
        <v>182</v>
      </c>
    </row>
    <row r="74" customFormat="false" ht="15" hidden="false" customHeight="false" outlineLevel="0" collapsed="false">
      <c r="A74" s="19" t="n">
        <v>3</v>
      </c>
      <c r="B74" s="4" t="s">
        <v>183</v>
      </c>
      <c r="C74" s="4" t="s">
        <v>184</v>
      </c>
      <c r="D74" s="9" t="s">
        <v>185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186</v>
      </c>
      <c r="Q74" s="4"/>
    </row>
    <row r="75" customFormat="false" ht="15" hidden="false" customHeight="false" outlineLevel="0" collapsed="false">
      <c r="A75" s="19" t="n">
        <v>4</v>
      </c>
      <c r="B75" s="4" t="s">
        <v>187</v>
      </c>
      <c r="C75" s="4" t="s">
        <v>188</v>
      </c>
      <c r="D75" s="9" t="s">
        <v>185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189</v>
      </c>
      <c r="Q75" s="4"/>
    </row>
    <row r="76" customFormat="false" ht="15" hidden="false" customHeight="false" outlineLevel="0" collapsed="false">
      <c r="A76" s="19" t="n">
        <v>5</v>
      </c>
      <c r="B76" s="4" t="s">
        <v>190</v>
      </c>
      <c r="C76" s="4" t="s">
        <v>191</v>
      </c>
      <c r="D76" s="9" t="s">
        <v>185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192</v>
      </c>
      <c r="Q76" s="4"/>
    </row>
    <row r="77" customFormat="false" ht="15" hidden="false" customHeight="false" outlineLevel="0" collapsed="false">
      <c r="A77" s="19" t="n">
        <v>6</v>
      </c>
      <c r="B77" s="4" t="s">
        <v>193</v>
      </c>
      <c r="C77" s="4" t="s">
        <v>194</v>
      </c>
      <c r="D77" s="9" t="s">
        <v>185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195</v>
      </c>
      <c r="Q77" s="4" t="s">
        <v>196</v>
      </c>
    </row>
    <row r="78" customFormat="false" ht="23.85" hidden="false" customHeight="false" outlineLevel="0" collapsed="false">
      <c r="A78" s="19" t="n">
        <v>7</v>
      </c>
      <c r="B78" s="4" t="s">
        <v>197</v>
      </c>
      <c r="C78" s="4" t="s">
        <v>198</v>
      </c>
      <c r="D78" s="9" t="s">
        <v>185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199</v>
      </c>
      <c r="Q78" s="4"/>
    </row>
    <row r="79" customFormat="false" ht="23.85" hidden="false" customHeight="false" outlineLevel="0" collapsed="false">
      <c r="A79" s="19" t="n">
        <v>8</v>
      </c>
      <c r="B79" s="4" t="s">
        <v>200</v>
      </c>
      <c r="C79" s="4" t="s">
        <v>201</v>
      </c>
      <c r="D79" s="9" t="s">
        <v>185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202</v>
      </c>
      <c r="Q79" s="4"/>
    </row>
    <row r="80" customFormat="false" ht="23.85" hidden="false" customHeight="false" outlineLevel="0" collapsed="false">
      <c r="A80" s="19" t="n">
        <v>9</v>
      </c>
      <c r="B80" s="4" t="s">
        <v>203</v>
      </c>
      <c r="C80" s="4" t="s">
        <v>204</v>
      </c>
      <c r="D80" s="9" t="s">
        <v>177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205</v>
      </c>
      <c r="Q80" s="4" t="s">
        <v>206</v>
      </c>
    </row>
    <row r="81" customFormat="false" ht="15" hidden="false" customHeight="false" outlineLevel="0" collapsed="false">
      <c r="A81" s="19" t="n">
        <v>10</v>
      </c>
      <c r="B81" s="4" t="s">
        <v>207</v>
      </c>
      <c r="C81" s="4" t="s">
        <v>208</v>
      </c>
      <c r="D81" s="9" t="s">
        <v>177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209</v>
      </c>
      <c r="Q81" s="4"/>
    </row>
    <row r="82" customFormat="false" ht="15" hidden="false" customHeight="false" outlineLevel="0" collapsed="false">
      <c r="A82" s="19" t="n">
        <v>11</v>
      </c>
      <c r="B82" s="4" t="s">
        <v>210</v>
      </c>
      <c r="C82" s="4" t="s">
        <v>211</v>
      </c>
      <c r="D82" s="9" t="s">
        <v>185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212</v>
      </c>
      <c r="Q82" s="4"/>
    </row>
    <row r="83" customFormat="false" ht="23.85" hidden="false" customHeight="false" outlineLevel="0" collapsed="false">
      <c r="A83" s="19" t="n">
        <v>12</v>
      </c>
      <c r="B83" s="4" t="s">
        <v>213</v>
      </c>
      <c r="C83" s="4" t="s">
        <v>214</v>
      </c>
      <c r="D83" s="9" t="s">
        <v>185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215</v>
      </c>
      <c r="Q83" s="4"/>
    </row>
    <row r="84" customFormat="false" ht="15" hidden="false" customHeight="false" outlineLevel="0" collapsed="false">
      <c r="A84" s="19" t="n">
        <v>13</v>
      </c>
      <c r="B84" s="4" t="s">
        <v>216</v>
      </c>
      <c r="C84" s="4" t="s">
        <v>217</v>
      </c>
      <c r="D84" s="9" t="s">
        <v>185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218</v>
      </c>
      <c r="Q84" s="4" t="s">
        <v>219</v>
      </c>
    </row>
    <row r="85" customFormat="false" ht="15" hidden="false" customHeight="false" outlineLevel="0" collapsed="false">
      <c r="A85" s="19" t="n">
        <v>14</v>
      </c>
      <c r="B85" s="4" t="s">
        <v>220</v>
      </c>
      <c r="C85" s="4" t="s">
        <v>221</v>
      </c>
      <c r="D85" s="9" t="s">
        <v>177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222</v>
      </c>
      <c r="Q85" s="4"/>
    </row>
    <row r="86" customFormat="false" ht="23.85" hidden="false" customHeight="false" outlineLevel="0" collapsed="false">
      <c r="A86" s="19" t="n">
        <v>15</v>
      </c>
      <c r="B86" s="4" t="s">
        <v>223</v>
      </c>
      <c r="C86" s="4" t="s">
        <v>224</v>
      </c>
      <c r="D86" s="9" t="s">
        <v>185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225</v>
      </c>
    </row>
    <row r="87" customFormat="false" ht="15" hidden="false" customHeight="false" outlineLevel="0" collapsed="false">
      <c r="A87" s="19" t="n">
        <v>16</v>
      </c>
      <c r="B87" s="4" t="s">
        <v>226</v>
      </c>
      <c r="C87" s="4" t="s">
        <v>227</v>
      </c>
      <c r="D87" s="9" t="s">
        <v>185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228</v>
      </c>
      <c r="Q87" s="4" t="s">
        <v>229</v>
      </c>
    </row>
    <row r="88" customFormat="false" ht="15" hidden="false" customHeight="false" outlineLevel="0" collapsed="false">
      <c r="A88" s="19" t="n">
        <v>17</v>
      </c>
      <c r="B88" s="4" t="s">
        <v>230</v>
      </c>
      <c r="C88" s="4" t="s">
        <v>231</v>
      </c>
      <c r="D88" s="9" t="s">
        <v>185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232</v>
      </c>
      <c r="Q88" s="4"/>
    </row>
    <row r="89" customFormat="false" ht="15" hidden="false" customHeight="false" outlineLevel="0" collapsed="false">
      <c r="A89" s="19" t="n">
        <v>18</v>
      </c>
      <c r="B89" s="4" t="s">
        <v>233</v>
      </c>
      <c r="C89" s="4" t="s">
        <v>234</v>
      </c>
      <c r="D89" s="9" t="s">
        <v>177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235</v>
      </c>
      <c r="Q89" s="4" t="s">
        <v>236</v>
      </c>
    </row>
    <row r="90" customFormat="false" ht="23.85" hidden="false" customHeight="false" outlineLevel="0" collapsed="false">
      <c r="A90" s="19" t="n">
        <v>19</v>
      </c>
      <c r="B90" s="4" t="s">
        <v>237</v>
      </c>
      <c r="C90" s="4" t="s">
        <v>238</v>
      </c>
      <c r="D90" s="9" t="s">
        <v>185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239</v>
      </c>
      <c r="Q90" s="4"/>
    </row>
    <row r="91" customFormat="false" ht="15" hidden="false" customHeight="false" outlineLevel="0" collapsed="false">
      <c r="A91" s="19" t="n">
        <v>20</v>
      </c>
      <c r="B91" s="4" t="s">
        <v>240</v>
      </c>
      <c r="C91" s="4" t="s">
        <v>241</v>
      </c>
      <c r="D91" s="9" t="s">
        <v>185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242</v>
      </c>
      <c r="Q91" s="4"/>
    </row>
    <row r="92" customFormat="false" ht="15" hidden="false" customHeight="false" outlineLevel="0" collapsed="false">
      <c r="A92" s="19" t="n">
        <v>21</v>
      </c>
      <c r="B92" s="4" t="s">
        <v>243</v>
      </c>
      <c r="C92" s="4" t="s">
        <v>244</v>
      </c>
      <c r="D92" s="9" t="s">
        <v>177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245</v>
      </c>
      <c r="Q92" s="4"/>
    </row>
    <row r="93" customFormat="false" ht="15" hidden="false" customHeight="false" outlineLevel="0" collapsed="false">
      <c r="A93" s="19" t="n">
        <v>22</v>
      </c>
      <c r="B93" s="4" t="s">
        <v>246</v>
      </c>
      <c r="C93" s="4" t="s">
        <v>247</v>
      </c>
      <c r="D93" s="9" t="s">
        <v>185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248</v>
      </c>
      <c r="Q93" s="4"/>
    </row>
    <row r="94" customFormat="false" ht="15" hidden="false" customHeight="false" outlineLevel="0" collapsed="false">
      <c r="A94" s="19" t="n">
        <v>23</v>
      </c>
      <c r="B94" s="4" t="s">
        <v>249</v>
      </c>
      <c r="C94" s="4" t="s">
        <v>250</v>
      </c>
      <c r="D94" s="9" t="s">
        <v>177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251</v>
      </c>
      <c r="Q94" s="4"/>
    </row>
    <row r="95" customFormat="false" ht="15" hidden="false" customHeight="false" outlineLevel="0" collapsed="false">
      <c r="A95" s="19" t="n">
        <v>24</v>
      </c>
      <c r="B95" s="4" t="s">
        <v>252</v>
      </c>
      <c r="C95" s="4" t="s">
        <v>253</v>
      </c>
      <c r="D95" s="9" t="s">
        <v>185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254</v>
      </c>
      <c r="Q95" s="4"/>
    </row>
    <row r="96" customFormat="false" ht="23.85" hidden="false" customHeight="false" outlineLevel="0" collapsed="false">
      <c r="A96" s="19" t="n">
        <v>25</v>
      </c>
      <c r="B96" s="4" t="s">
        <v>255</v>
      </c>
      <c r="C96" s="4" t="s">
        <v>256</v>
      </c>
      <c r="D96" s="9" t="s">
        <v>177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257</v>
      </c>
      <c r="Q96" s="4" t="s">
        <v>258</v>
      </c>
    </row>
    <row r="97" customFormat="false" ht="23.85" hidden="false" customHeight="false" outlineLevel="0" collapsed="false">
      <c r="A97" s="19" t="n">
        <v>26</v>
      </c>
      <c r="B97" s="4" t="s">
        <v>259</v>
      </c>
      <c r="C97" s="4" t="s">
        <v>260</v>
      </c>
      <c r="D97" s="9" t="s">
        <v>185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261</v>
      </c>
      <c r="Q97" s="4"/>
    </row>
    <row r="98" customFormat="false" ht="15" hidden="false" customHeight="false" outlineLevel="0" collapsed="false">
      <c r="A98" s="19" t="n">
        <v>27</v>
      </c>
      <c r="B98" s="4" t="s">
        <v>262</v>
      </c>
      <c r="C98" s="4" t="s">
        <v>263</v>
      </c>
      <c r="D98" s="9" t="s">
        <v>177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264</v>
      </c>
      <c r="Q98" s="4" t="s">
        <v>265</v>
      </c>
    </row>
    <row r="99" customFormat="false" ht="15" hidden="false" customHeight="false" outlineLevel="0" collapsed="false">
      <c r="A99" s="19" t="n">
        <v>28</v>
      </c>
      <c r="B99" s="4" t="s">
        <v>266</v>
      </c>
      <c r="C99" s="4" t="s">
        <v>267</v>
      </c>
      <c r="D99" s="9" t="s">
        <v>185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268</v>
      </c>
      <c r="Q99" s="4" t="s">
        <v>269</v>
      </c>
    </row>
    <row r="100" customFormat="false" ht="35.05" hidden="false" customHeight="false" outlineLevel="0" collapsed="false">
      <c r="A100" s="19" t="n">
        <v>29</v>
      </c>
      <c r="B100" s="4" t="s">
        <v>270</v>
      </c>
      <c r="C100" s="4" t="s">
        <v>271</v>
      </c>
      <c r="D100" s="9" t="s">
        <v>185</v>
      </c>
      <c r="E100" s="12" t="s">
        <v>272</v>
      </c>
      <c r="F100" s="12" t="s">
        <v>272</v>
      </c>
      <c r="G100" s="12" t="s">
        <v>272</v>
      </c>
      <c r="H100" s="12" t="s">
        <v>272</v>
      </c>
      <c r="I100" s="12" t="s">
        <v>272</v>
      </c>
      <c r="J100" s="12" t="s">
        <v>272</v>
      </c>
      <c r="K100" s="12" t="s">
        <v>272</v>
      </c>
      <c r="L100" s="12" t="s">
        <v>272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273</v>
      </c>
      <c r="Q100" s="4" t="s">
        <v>274</v>
      </c>
    </row>
    <row r="102" customFormat="false" ht="23.85" hidden="false" customHeight="false" outlineLevel="0" collapsed="false">
      <c r="A102" s="12" t="s">
        <v>272</v>
      </c>
      <c r="B102" s="4" t="s">
        <v>275</v>
      </c>
      <c r="C102" s="4" t="s">
        <v>276</v>
      </c>
      <c r="M102" s="14" t="n">
        <v>60</v>
      </c>
      <c r="N102" s="20" t="n">
        <f aca="false">IF(M102&gt;0,3600/M102,0)</f>
        <v>60</v>
      </c>
      <c r="Q102" s="4" t="s">
        <v>277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true" outlineLevel="0" collapsed="false">
      <c r="A4" s="3" t="s">
        <v>74</v>
      </c>
      <c r="B4" s="3" t="s">
        <v>46</v>
      </c>
      <c r="C4" s="3" t="s">
        <v>75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true" outlineLevel="0" collapsed="false">
      <c r="A5" s="4" t="s">
        <v>76</v>
      </c>
      <c r="B5" s="21" t="n">
        <f aca="false">parametros_recargas!B2</f>
        <v>20</v>
      </c>
      <c r="C5" s="4" t="s">
        <v>280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true" outlineLevel="0" collapsed="false">
      <c r="A6" s="4" t="s">
        <v>281</v>
      </c>
      <c r="B6" s="22" t="n">
        <v>1</v>
      </c>
      <c r="C6" s="4" t="s">
        <v>282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true" outlineLevel="0" collapsed="false">
      <c r="A7" s="4" t="s">
        <v>283</v>
      </c>
      <c r="B7" s="22" t="n">
        <v>1</v>
      </c>
      <c r="C7" s="4" t="s">
        <v>284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true" outlineLevel="0" collapsed="false">
      <c r="A8" s="4" t="s">
        <v>285</v>
      </c>
      <c r="B8" s="21" t="n">
        <f aca="false">parametros_recargas!B5*60</f>
        <v>450</v>
      </c>
      <c r="C8" s="4" t="s">
        <v>286</v>
      </c>
      <c r="D8" s="4"/>
      <c r="E8" s="4"/>
      <c r="F8" s="4"/>
      <c r="G8" s="4"/>
      <c r="H8" s="4"/>
      <c r="I8" s="4"/>
      <c r="J8" s="4"/>
      <c r="K8" s="4"/>
      <c r="L8" s="4"/>
    </row>
    <row r="9" customFormat="false" ht="15" hidden="false" customHeight="true" outlineLevel="0" collapsed="false">
      <c r="A9" s="4" t="s">
        <v>24</v>
      </c>
      <c r="B9" s="23" t="str">
        <f aca="false">PROY_Indexado!B52</f>
        <v>Comercial</v>
      </c>
      <c r="C9" s="4" t="s">
        <v>287</v>
      </c>
      <c r="D9" s="4"/>
      <c r="E9" s="4"/>
      <c r="F9" s="4"/>
      <c r="G9" s="4"/>
      <c r="H9" s="4"/>
      <c r="I9" s="4"/>
      <c r="J9" s="4"/>
      <c r="K9" s="4"/>
      <c r="L9" s="4"/>
    </row>
    <row r="11" customFormat="false" ht="15" hidden="false" customHeight="false" outlineLevel="0" collapsed="false">
      <c r="A11" s="1" t="s">
        <v>288</v>
      </c>
    </row>
    <row r="12" customFormat="false" ht="15" hidden="false" customHeight="false" outlineLevel="0" collapsed="false">
      <c r="A12" s="2" t="s">
        <v>289</v>
      </c>
    </row>
    <row r="13" customFormat="false" ht="23.85" hidden="false" customHeight="false" outlineLevel="0" collapsed="false">
      <c r="A13" s="3" t="s">
        <v>45</v>
      </c>
      <c r="B13" s="3" t="s">
        <v>60</v>
      </c>
      <c r="C13" s="3" t="s">
        <v>61</v>
      </c>
      <c r="D13" s="3" t="s">
        <v>62</v>
      </c>
      <c r="E13" s="3" t="s">
        <v>63</v>
      </c>
      <c r="F13" s="3" t="s">
        <v>64</v>
      </c>
      <c r="G13" s="3" t="s">
        <v>65</v>
      </c>
      <c r="H13" s="3" t="s">
        <v>66</v>
      </c>
    </row>
    <row r="14" customFormat="false" ht="15" hidden="false" customHeight="false" outlineLevel="0" collapsed="false">
      <c r="A14" s="4" t="s">
        <v>290</v>
      </c>
      <c r="B14" s="11" t="n">
        <f aca="false">SUM(PROY_Indexado!B$98:B$114)/SUM(PROY_Indexado!$B$98:$H$114)</f>
        <v>0.555733105395573</v>
      </c>
      <c r="C14" s="11" t="n">
        <f aca="false">SUM(PROY_Indexado!C$98:C$114)/SUM(PROY_Indexado!$B$98:$H$114)</f>
        <v>0.288418951223121</v>
      </c>
      <c r="D14" s="11" t="n">
        <f aca="false">SUM(PROY_Indexado!D$98:D$114)/SUM(PROY_Indexado!$B$98:$H$114)</f>
        <v>0.0358045698562899</v>
      </c>
      <c r="E14" s="11" t="n">
        <f aca="false">SUM(PROY_Indexado!E$98:E$114)/SUM(PROY_Indexado!$B$98:$H$114)</f>
        <v>0.0295910905436551</v>
      </c>
      <c r="F14" s="11" t="n">
        <f aca="false">SUM(PROY_Indexado!F$98:F$114)/SUM(PROY_Indexado!$B$98:$H$114)</f>
        <v>0.0544370388441634</v>
      </c>
      <c r="G14" s="11" t="n">
        <f aca="false">SUM(PROY_Indexado!G$98:G$114)/SUM(PROY_Indexado!$B$98:$H$114)</f>
        <v>0.0326470088014152</v>
      </c>
      <c r="H14" s="11" t="n">
        <f aca="false">SUM(PROY_Indexado!H$98:H$114)/SUM(PROY_Indexado!$B$98:$H$114)</f>
        <v>0.00336823533578283</v>
      </c>
    </row>
    <row r="15" customFormat="false" ht="15" hidden="false" customHeight="false" outlineLevel="0" collapsed="false">
      <c r="A15" s="4" t="s">
        <v>291</v>
      </c>
      <c r="B15" s="24" t="n">
        <f aca="false">IF(SUM(PROY_Indexado!B$98:B$114)=0,0,SUMPRODUCT(PROY_Indexado!B$98:B$114,$C$21:$C$37)/SUM(PROY_Indexado!B$98:B$114))</f>
        <v>17.253</v>
      </c>
      <c r="C15" s="24" t="n">
        <f aca="false">IF(SUM(PROY_Indexado!C$98:C$114)=0,0,SUMPRODUCT(PROY_Indexado!C$98:C$114,$C$21:$C$37)/SUM(PROY_Indexado!C$98:C$114))</f>
        <v>17.3221888467796</v>
      </c>
      <c r="D15" s="24" t="n">
        <f aca="false">IF(SUM(PROY_Indexado!D$98:D$114)=0,0,SUMPRODUCT(PROY_Indexado!D$98:D$114,$C$21:$C$37)/SUM(PROY_Indexado!D$98:D$114))</f>
        <v>16.9413066240078</v>
      </c>
      <c r="E15" s="24" t="n">
        <f aca="false">IF(SUM(PROY_Indexado!E$98:E$114)=0,0,SUMPRODUCT(PROY_Indexado!E$98:E$114,$C$21:$C$37)/SUM(PROY_Indexado!E$98:E$114))</f>
        <v>17.7523555128652</v>
      </c>
      <c r="F15" s="24" t="n">
        <f aca="false">IF(SUM(PROY_Indexado!F$98:F$114)=0,0,SUMPRODUCT(PROY_Indexado!F$98:F$114,$C$21:$C$37)/SUM(PROY_Indexado!F$98:F$114))</f>
        <v>22.0365306834667</v>
      </c>
      <c r="G15" s="24" t="n">
        <f aca="false">IF(SUM(PROY_Indexado!G$98:G$114)=0,0,SUMPRODUCT(PROY_Indexado!G$98:G$114,$C$21:$C$37)/SUM(PROY_Indexado!G$98:G$114))</f>
        <v>19.1586001519468</v>
      </c>
      <c r="H15" s="24" t="n">
        <f aca="false">IF(SUM(PROY_Indexado!H$98:H$114)=0,0,SUMPRODUCT(PROY_Indexado!H$98:H$114,$C$21:$C$37)/SUM(PROY_Indexado!H$98:H$114))</f>
        <v>17.4531505685081</v>
      </c>
    </row>
    <row r="16" customFormat="false" ht="15" hidden="false" customHeight="false" outlineLevel="0" collapsed="false">
      <c r="A16" s="4" t="s">
        <v>292</v>
      </c>
      <c r="B16" s="25" t="n">
        <f aca="false">MAX(1,ROUNDUP(B15/$B$8,0))</f>
        <v>1</v>
      </c>
      <c r="C16" s="25" t="n">
        <f aca="false">MAX(1,ROUNDUP(C15/$B$8,0))</f>
        <v>1</v>
      </c>
      <c r="D16" s="25" t="n">
        <f aca="false">MAX(1,ROUNDUP(D15/$B$8,0))</f>
        <v>1</v>
      </c>
      <c r="E16" s="25" t="n">
        <f aca="false">MAX(1,ROUNDUP(E15/$B$8,0))</f>
        <v>1</v>
      </c>
      <c r="F16" s="25" t="n">
        <f aca="false">MAX(1,ROUNDUP(F15/$B$8,0))</f>
        <v>1</v>
      </c>
      <c r="G16" s="25" t="n">
        <f aca="false">MAX(1,ROUNDUP(G15/$B$8,0))</f>
        <v>1</v>
      </c>
      <c r="H16" s="25" t="n">
        <f aca="false">MAX(1,ROUNDUP(H15/$B$8,0))</f>
        <v>1</v>
      </c>
    </row>
    <row r="17" customFormat="false" ht="15" hidden="false" customHeight="false" outlineLevel="0" collapsed="false">
      <c r="A17" s="6" t="s">
        <v>293</v>
      </c>
      <c r="B17" s="16" t="n">
        <f aca="false">$B$6+B16+$B$7</f>
        <v>3</v>
      </c>
      <c r="C17" s="16" t="n">
        <f aca="false">$B$6+C16+$B$7</f>
        <v>3</v>
      </c>
      <c r="D17" s="16" t="n">
        <f aca="false">$B$6+D16+$B$7</f>
        <v>3</v>
      </c>
      <c r="E17" s="16" t="n">
        <f aca="false">$B$6+E16+$B$7</f>
        <v>3</v>
      </c>
      <c r="F17" s="16" t="n">
        <f aca="false">$B$6+F16+$B$7</f>
        <v>3</v>
      </c>
      <c r="G17" s="16" t="n">
        <f aca="false">$B$6+G16+$B$7</f>
        <v>3</v>
      </c>
      <c r="H17" s="16" t="n">
        <f aca="false">$B$6+H16+$B$7</f>
        <v>3</v>
      </c>
    </row>
    <row r="19" customFormat="false" ht="15" hidden="false" customHeight="false" outlineLevel="0" collapsed="false">
      <c r="A19" s="1" t="s">
        <v>294</v>
      </c>
    </row>
    <row r="20" customFormat="false" ht="35.05" hidden="false" customHeight="true" outlineLevel="0" collapsed="false">
      <c r="A20" s="3" t="s">
        <v>146</v>
      </c>
      <c r="B20" s="3" t="s">
        <v>295</v>
      </c>
      <c r="C20" s="3" t="s">
        <v>291</v>
      </c>
      <c r="D20" s="3" t="s">
        <v>293</v>
      </c>
      <c r="E20" s="3" t="s">
        <v>296</v>
      </c>
      <c r="F20" s="3"/>
      <c r="G20" s="3" t="s">
        <v>174</v>
      </c>
      <c r="H20" s="3"/>
      <c r="I20" s="3"/>
      <c r="J20" s="3"/>
      <c r="K20" s="3"/>
      <c r="L20" s="3"/>
    </row>
    <row r="21" customFormat="false" ht="15" hidden="false" customHeight="true" outlineLevel="0" collapsed="false">
      <c r="A21" s="12" t="str">
        <f aca="false">datos_base!A2</f>
        <v>ABC 1 kg</v>
      </c>
      <c r="B21" s="14" t="n">
        <v>0</v>
      </c>
      <c r="C21" s="24" t="n">
        <f aca="false">(SUMPRODUCT(INDEX(parametros_recargas!$E$72:$L$99,0,MATCH(parametros_recargas!$B$51,parametros_recargas!$E$71:$L$71,0)),parametros_recargas!$M$72:$M$99)*parametros_recargas!$C$51+parametros_recargas!$D$51*parametros_recargas!$M$100)/60</f>
        <v>17.253</v>
      </c>
      <c r="D21" s="20" t="n">
        <f aca="false">IF(SUM(PROY_Indexado!$B$98:$H$98)=0,$B$6+1+$B$7,SUMPRODUCT(PROY_Indexado!$B$98:$H$98,$B$17:$H$17)/SUM(PROY_Indexado!$B$98:$H$98))</f>
        <v>3</v>
      </c>
      <c r="E21" s="12" t="str">
        <f aca="false">IF(AND($B$9="Industrial",LEFT(A21,3)="ABC"),"Fabrica","Compra")</f>
        <v>Compra</v>
      </c>
      <c r="F21" s="12"/>
      <c r="G21" s="4" t="s">
        <v>297</v>
      </c>
      <c r="H21" s="4"/>
      <c r="I21" s="4"/>
      <c r="J21" s="4"/>
      <c r="K21" s="4"/>
      <c r="L21" s="4"/>
    </row>
    <row r="22" customFormat="false" ht="15" hidden="false" customHeight="false" outlineLevel="0" collapsed="false">
      <c r="A22" s="12" t="str">
        <f aca="false">datos_base!A3</f>
        <v>ABC 2,5 kg</v>
      </c>
      <c r="B22" s="14" t="n">
        <v>1</v>
      </c>
      <c r="C22" s="24" t="n">
        <f aca="false">(SUMPRODUCT(INDEX(parametros_recargas!$E$72:$L$99,0,MATCH(parametros_recargas!$B$52,parametros_recargas!$E$71:$L$71,0)),parametros_recargas!$M$72:$M$99)*parametros_recargas!$C$52+parametros_recargas!$D$52*parametros_recargas!$M$100)/60</f>
        <v>17.253</v>
      </c>
      <c r="D22" s="20" t="n">
        <f aca="false">IF(SUM(PROY_Indexado!$B$99:$H$99)=0,$B$6+1+$B$7,SUMPRODUCT(PROY_Indexado!$B$99:$H$99,$B$17:$H$17)/SUM(PROY_Indexado!$B$99:$H$99))</f>
        <v>3</v>
      </c>
      <c r="E22" s="12" t="str">
        <f aca="false">IF(AND($B$9="Industrial",LEFT(A22,3)="ABC"),"Fabrica","Compra")</f>
        <v>Compra</v>
      </c>
      <c r="F22" s="12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12" t="str">
        <f aca="false">datos_base!A4</f>
        <v>ABC 5 kg</v>
      </c>
      <c r="B23" s="14" t="n">
        <v>1</v>
      </c>
      <c r="C23" s="24" t="n">
        <f aca="false">(SUMPRODUCT(INDEX(parametros_recargas!$E$72:$L$99,0,MATCH(parametros_recargas!$B$53,parametros_recargas!$E$71:$L$71,0)),parametros_recargas!$M$72:$M$99)*parametros_recargas!$C$53+parametros_recargas!$D$53*parametros_recargas!$M$100)/60</f>
        <v>17.253</v>
      </c>
      <c r="D23" s="20" t="n">
        <f aca="false">IF(SUM(PROY_Indexado!$B$100:$H$100)=0,$B$6+1+$B$7,SUMPRODUCT(PROY_Indexado!$B$100:$H$100,$B$17:$H$17)/SUM(PROY_Indexado!$B$100:$H$100))</f>
        <v>3</v>
      </c>
      <c r="E23" s="12" t="str">
        <f aca="false">IF(AND($B$9="Industrial",LEFT(A23,3)="ABC"),"Fabrica","Compra")</f>
        <v>Compra</v>
      </c>
      <c r="F23" s="12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12" t="str">
        <f aca="false">datos_base!A5</f>
        <v>ABC 10 kg</v>
      </c>
      <c r="B24" s="14" t="n">
        <v>1</v>
      </c>
      <c r="C24" s="24" t="n">
        <f aca="false">(SUMPRODUCT(INDEX(parametros_recargas!$E$72:$L$99,0,MATCH(parametros_recargas!$B$54,parametros_recargas!$E$71:$L$71,0)),parametros_recargas!$M$72:$M$99)*parametros_recargas!$C$54+parametros_recargas!$D$54*parametros_recargas!$M$100)/60</f>
        <v>17.253</v>
      </c>
      <c r="D24" s="20" t="n">
        <f aca="false">IF(SUM(PROY_Indexado!$B$101:$H$101)=0,$B$6+1+$B$7,SUMPRODUCT(PROY_Indexado!$B$101:$H$101,$B$17:$H$17)/SUM(PROY_Indexado!$B$101:$H$101))</f>
        <v>3</v>
      </c>
      <c r="E24" s="12" t="str">
        <f aca="false">IF(AND($B$9="Industrial",LEFT(A24,3)="ABC"),"Fabrica","Compra")</f>
        <v>Compra</v>
      </c>
      <c r="F24" s="12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12" t="str">
        <f aca="false">datos_base!A6</f>
        <v>Agua 10 l</v>
      </c>
      <c r="B25" s="14" t="n">
        <v>1</v>
      </c>
      <c r="C25" s="24" t="n">
        <f aca="false">(SUMPRODUCT(INDEX(parametros_recargas!$E$72:$L$99,0,MATCH(parametros_recargas!$B$55,parametros_recargas!$E$71:$L$71,0)),parametros_recargas!$M$72:$M$99)*parametros_recargas!$C$55+parametros_recargas!$D$55*parametros_recargas!$M$100)/60</f>
        <v>18.9866666666667</v>
      </c>
      <c r="D25" s="20" t="n">
        <f aca="false">IF(SUM(PROY_Indexado!$B$102:$H$102)=0,$B$6+1+$B$7,SUMPRODUCT(PROY_Indexado!$B$102:$H$102,$B$17:$H$17)/SUM(PROY_Indexado!$B$102:$H$102))</f>
        <v>3</v>
      </c>
      <c r="E25" s="12" t="str">
        <f aca="false">IF(AND($B$9="Industrial",LEFT(A25,3)="ABC"),"Fabrica","Compra")</f>
        <v>Compra</v>
      </c>
      <c r="F25" s="12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12" t="str">
        <f aca="false">datos_base!A7</f>
        <v>AFFF 10 l</v>
      </c>
      <c r="B26" s="14" t="n">
        <v>1</v>
      </c>
      <c r="C26" s="24" t="n">
        <f aca="false">(SUMPRODUCT(INDEX(parametros_recargas!$E$72:$L$99,0,MATCH(parametros_recargas!$B$56,parametros_recargas!$E$71:$L$71,0)),parametros_recargas!$M$72:$M$99)*parametros_recargas!$C$56+parametros_recargas!$D$56*parametros_recargas!$M$100)/60</f>
        <v>18.9866666666667</v>
      </c>
      <c r="D26" s="20" t="n">
        <f aca="false">IF(SUM(PROY_Indexado!$B$103:$H$103)=0,$B$6+1+$B$7,SUMPRODUCT(PROY_Indexado!$B$103:$H$103,$B$17:$H$17)/SUM(PROY_Indexado!$B$103:$H$103))</f>
        <v>3</v>
      </c>
      <c r="E26" s="12" t="str">
        <f aca="false">IF(AND($B$9="Industrial",LEFT(A26,3)="ABC"),"Fabrica","Compra")</f>
        <v>Compra</v>
      </c>
      <c r="F26" s="12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12" t="str">
        <f aca="false">datos_base!A8</f>
        <v>AFFF 50 l s/ruedas</v>
      </c>
      <c r="B27" s="14" t="n">
        <v>1</v>
      </c>
      <c r="C27" s="24" t="n">
        <f aca="false">(SUMPRODUCT(INDEX(parametros_recargas!$E$72:$L$99,0,MATCH(parametros_recargas!$B$57,parametros_recargas!$E$71:$L$71,0)),parametros_recargas!$M$72:$M$99)*parametros_recargas!$C$57+parametros_recargas!$D$57*parametros_recargas!$M$100)/60</f>
        <v>61.9933333333333</v>
      </c>
      <c r="D27" s="20" t="n">
        <f aca="false">IF(SUM(PROY_Indexado!$B$104:$H$104)=0,$B$6+1+$B$7,SUMPRODUCT(PROY_Indexado!$B$104:$H$104,$B$17:$H$17)/SUM(PROY_Indexado!$B$104:$H$104))</f>
        <v>3</v>
      </c>
      <c r="E27" s="12" t="str">
        <f aca="false">IF(AND($B$9="Industrial",LEFT(A27,3)="ABC"),"Fabrica","Compra")</f>
        <v>Compra</v>
      </c>
      <c r="F27" s="12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12" t="str">
        <f aca="false">datos_base!A9</f>
        <v>BC 5 kg</v>
      </c>
      <c r="B28" s="14" t="n">
        <v>1</v>
      </c>
      <c r="C28" s="24" t="n">
        <f aca="false">(SUMPRODUCT(INDEX(parametros_recargas!$E$72:$L$99,0,MATCH(parametros_recargas!$B$58,parametros_recargas!$E$71:$L$71,0)),parametros_recargas!$M$72:$M$99)*parametros_recargas!$C$58+parametros_recargas!$D$58*parametros_recargas!$M$100)/60</f>
        <v>17.8905</v>
      </c>
      <c r="D28" s="20" t="n">
        <f aca="false">IF(SUM(PROY_Indexado!$B$105:$H$105)=0,$B$6+1+$B$7,SUMPRODUCT(PROY_Indexado!$B$105:$H$105,$B$17:$H$17)/SUM(PROY_Indexado!$B$105:$H$105))</f>
        <v>3</v>
      </c>
      <c r="E28" s="12" t="str">
        <f aca="false">IF(AND($B$9="Industrial",LEFT(A28,3)="ABC"),"Fabrica","Compra")</f>
        <v>Compra</v>
      </c>
      <c r="F28" s="12"/>
      <c r="G28" s="4"/>
      <c r="H28" s="4"/>
      <c r="I28" s="4"/>
      <c r="J28" s="4"/>
      <c r="K28" s="4"/>
      <c r="L28" s="4"/>
    </row>
    <row r="29" customFormat="false" ht="15" hidden="false" customHeight="false" outlineLevel="0" collapsed="false">
      <c r="A29" s="12" t="str">
        <f aca="false">datos_base!A10</f>
        <v>Sales K 6 l</v>
      </c>
      <c r="B29" s="14" t="n">
        <v>1</v>
      </c>
      <c r="C29" s="24" t="n">
        <f aca="false">(SUMPRODUCT(INDEX(parametros_recargas!$E$72:$L$99,0,MATCH(parametros_recargas!$B$59,parametros_recargas!$E$71:$L$71,0)),parametros_recargas!$M$72:$M$99)*parametros_recargas!$C$59+parametros_recargas!$D$59*parametros_recargas!$M$100)/60</f>
        <v>18.9866666666667</v>
      </c>
      <c r="D29" s="20" t="n">
        <f aca="false">IF(SUM(PROY_Indexado!$B$106:$H$106)=0,$B$6+1+$B$7,SUMPRODUCT(PROY_Indexado!$B$106:$H$106,$B$17:$H$17)/SUM(PROY_Indexado!$B$106:$H$106))</f>
        <v>3</v>
      </c>
      <c r="E29" s="12" t="str">
        <f aca="false">IF(AND($B$9="Industrial",LEFT(A29,3)="ABC"),"Fabrica","Compra")</f>
        <v>Compra</v>
      </c>
      <c r="F29" s="12"/>
      <c r="G29" s="4"/>
      <c r="H29" s="4"/>
      <c r="I29" s="4"/>
      <c r="J29" s="4"/>
      <c r="K29" s="4"/>
      <c r="L29" s="4"/>
    </row>
    <row r="30" customFormat="false" ht="15" hidden="false" customHeight="false" outlineLevel="0" collapsed="false">
      <c r="A30" s="12" t="str">
        <f aca="false">datos_base!A11</f>
        <v>CO₂ 2 kg</v>
      </c>
      <c r="B30" s="14" t="n">
        <v>1</v>
      </c>
      <c r="C30" s="24" t="n">
        <f aca="false">(SUMPRODUCT(INDEX(parametros_recargas!$E$72:$L$99,0,MATCH(parametros_recargas!$B$60,parametros_recargas!$E$71:$L$71,0)),parametros_recargas!$M$72:$M$99)*parametros_recargas!$C$60+parametros_recargas!$D$60*parametros_recargas!$M$100)/60</f>
        <v>13.0308333333333</v>
      </c>
      <c r="D30" s="20" t="n">
        <f aca="false">IF(SUM(PROY_Indexado!$B$107:$H$107)=0,$B$6+1+$B$7,SUMPRODUCT(PROY_Indexado!$B$107:$H$107,$B$17:$H$17)/SUM(PROY_Indexado!$B$107:$H$107))</f>
        <v>3</v>
      </c>
      <c r="E30" s="12" t="str">
        <f aca="false">IF(AND($B$9="Industrial",LEFT(A30,3)="ABC"),"Fabrica","Compra")</f>
        <v>Compra</v>
      </c>
      <c r="F30" s="12"/>
      <c r="G30" s="4"/>
      <c r="H30" s="4"/>
      <c r="I30" s="4"/>
      <c r="J30" s="4"/>
      <c r="K30" s="4"/>
      <c r="L30" s="4"/>
    </row>
    <row r="31" customFormat="false" ht="15" hidden="false" customHeight="false" outlineLevel="0" collapsed="false">
      <c r="A31" s="12" t="str">
        <f aca="false">datos_base!A12</f>
        <v>CO₂ 5 kg</v>
      </c>
      <c r="B31" s="14" t="n">
        <v>1</v>
      </c>
      <c r="C31" s="24" t="n">
        <f aca="false">(SUMPRODUCT(INDEX(parametros_recargas!$E$72:$L$99,0,MATCH(parametros_recargas!$B$61,parametros_recargas!$E$71:$L$71,0)),parametros_recargas!$M$72:$M$99)*parametros_recargas!$C$61+parametros_recargas!$D$61*parametros_recargas!$M$100)/60</f>
        <v>18.0641666666667</v>
      </c>
      <c r="D31" s="20" t="n">
        <f aca="false">IF(SUM(PROY_Indexado!$B$108:$H$108)=0,$B$6+1+$B$7,SUMPRODUCT(PROY_Indexado!$B$108:$H$108,$B$17:$H$17)/SUM(PROY_Indexado!$B$108:$H$108))</f>
        <v>3</v>
      </c>
      <c r="E31" s="12" t="str">
        <f aca="false">IF(AND($B$9="Industrial",LEFT(A31,3)="ABC"),"Fabrica","Compra")</f>
        <v>Compra</v>
      </c>
      <c r="F31" s="12"/>
      <c r="G31" s="4"/>
      <c r="H31" s="4"/>
      <c r="I31" s="4"/>
      <c r="J31" s="4"/>
      <c r="K31" s="4"/>
      <c r="L31" s="4"/>
    </row>
    <row r="32" customFormat="false" ht="15" hidden="false" customHeight="false" outlineLevel="0" collapsed="false">
      <c r="A32" s="12" t="str">
        <f aca="false">datos_base!A13</f>
        <v>HCFC/HFC 5 kg</v>
      </c>
      <c r="B32" s="14" t="n">
        <v>1</v>
      </c>
      <c r="C32" s="24" t="n">
        <f aca="false">(SUMPRODUCT(INDEX(parametros_recargas!$E$72:$L$99,0,MATCH(parametros_recargas!$B$62,parametros_recargas!$E$71:$L$71,0)),parametros_recargas!$M$72:$M$99)*parametros_recargas!$C$62+parametros_recargas!$D$62*parametros_recargas!$M$100)/60</f>
        <v>14.8475</v>
      </c>
      <c r="D32" s="20" t="n">
        <f aca="false">IF(SUM(PROY_Indexado!$B$109:$H$109)=0,$B$6+1+$B$7,SUMPRODUCT(PROY_Indexado!$B$109:$H$109,$B$17:$H$17)/SUM(PROY_Indexado!$B$109:$H$109))</f>
        <v>3</v>
      </c>
      <c r="E32" s="12" t="str">
        <f aca="false">IF(AND($B$9="Industrial",LEFT(A32,3)="ABC"),"Fabrica","Compra")</f>
        <v>Compra</v>
      </c>
      <c r="F32" s="12"/>
      <c r="G32" s="4"/>
      <c r="H32" s="4"/>
      <c r="I32" s="4"/>
      <c r="J32" s="4"/>
      <c r="K32" s="4"/>
      <c r="L32" s="4"/>
    </row>
    <row r="33" customFormat="false" ht="15" hidden="false" customHeight="false" outlineLevel="0" collapsed="false">
      <c r="A33" s="12" t="str">
        <f aca="false">datos_base!A14</f>
        <v>Clase D 9 l</v>
      </c>
      <c r="B33" s="14" t="n">
        <v>1</v>
      </c>
      <c r="C33" s="24" t="n">
        <f aca="false">(SUMPRODUCT(INDEX(parametros_recargas!$E$72:$L$99,0,MATCH(parametros_recargas!$B$63,parametros_recargas!$E$71:$L$71,0)),parametros_recargas!$M$72:$M$99)*parametros_recargas!$C$63+parametros_recargas!$D$63*parametros_recargas!$M$100)/60</f>
        <v>22.2541666666667</v>
      </c>
      <c r="D33" s="20" t="n">
        <f aca="false">IF(SUM(PROY_Indexado!$B$110:$H$110)=0,$B$6+1+$B$7,SUMPRODUCT(PROY_Indexado!$B$110:$H$110,$B$17:$H$17)/SUM(PROY_Indexado!$B$110:$H$110))</f>
        <v>3</v>
      </c>
      <c r="E33" s="12" t="str">
        <f aca="false">IF(AND($B$9="Industrial",LEFT(A33,3)="ABC"),"Fabrica","Compra")</f>
        <v>Compra</v>
      </c>
      <c r="F33" s="12"/>
      <c r="G33" s="4"/>
      <c r="H33" s="4"/>
      <c r="I33" s="4"/>
      <c r="J33" s="4"/>
      <c r="K33" s="4"/>
      <c r="L33" s="4"/>
    </row>
    <row r="34" customFormat="false" ht="15" hidden="false" customHeight="false" outlineLevel="0" collapsed="false">
      <c r="A34" s="12" t="str">
        <f aca="false">datos_base!A15</f>
        <v>ABC 25 kg s/ruedas</v>
      </c>
      <c r="B34" s="14" t="n">
        <v>1</v>
      </c>
      <c r="C34" s="24" t="n">
        <f aca="false">(SUMPRODUCT(INDEX(parametros_recargas!$E$72:$L$99,0,MATCH(parametros_recargas!$B$64,parametros_recargas!$E$71:$L$71,0)),parametros_recargas!$M$72:$M$99)*parametros_recargas!$C$64+parametros_recargas!$D$64*parametros_recargas!$M$100)/60</f>
        <v>56.7923333333333</v>
      </c>
      <c r="D34" s="20" t="n">
        <f aca="false">IF(SUM(PROY_Indexado!$B$111:$H$111)=0,$B$6+1+$B$7,SUMPRODUCT(PROY_Indexado!$B$111:$H$111,$B$17:$H$17)/SUM(PROY_Indexado!$B$111:$H$111))</f>
        <v>3</v>
      </c>
      <c r="E34" s="12" t="str">
        <f aca="false">IF(AND($B$9="Industrial",LEFT(A34,3)="ABC"),"Fabrica","Compra")</f>
        <v>Compra</v>
      </c>
      <c r="F34" s="12"/>
      <c r="G34" s="4"/>
      <c r="H34" s="4"/>
      <c r="I34" s="4"/>
      <c r="J34" s="4"/>
      <c r="K34" s="4"/>
      <c r="L34" s="4"/>
    </row>
    <row r="35" customFormat="false" ht="15" hidden="false" customHeight="false" outlineLevel="0" collapsed="false">
      <c r="A35" s="12" t="str">
        <f aca="false">datos_base!A16</f>
        <v>ABC 50 kg s/ruedas</v>
      </c>
      <c r="B35" s="14" t="n">
        <v>1</v>
      </c>
      <c r="C35" s="24" t="n">
        <f aca="false">(SUMPRODUCT(INDEX(parametros_recargas!$E$72:$L$99,0,MATCH(parametros_recargas!$B$65,parametros_recargas!$E$71:$L$71,0)),parametros_recargas!$M$72:$M$99)*parametros_recargas!$C$65+parametros_recargas!$D$65*parametros_recargas!$M$100)/60</f>
        <v>56.7923333333333</v>
      </c>
      <c r="D35" s="20" t="n">
        <f aca="false">IF(SUM(PROY_Indexado!$B$112:$H$112)=0,$B$6+1+$B$7,SUMPRODUCT(PROY_Indexado!$B$112:$H$112,$B$17:$H$17)/SUM(PROY_Indexado!$B$112:$H$112))</f>
        <v>3</v>
      </c>
      <c r="E35" s="12" t="str">
        <f aca="false">IF(AND($B$9="Industrial",LEFT(A35,3)="ABC"),"Fabrica","Compra")</f>
        <v>Compra</v>
      </c>
      <c r="F35" s="12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12" t="str">
        <f aca="false">datos_base!A17</f>
        <v>ABC 70 kg s/ruedas</v>
      </c>
      <c r="B36" s="14" t="n">
        <v>1</v>
      </c>
      <c r="C36" s="24" t="n">
        <f aca="false">(SUMPRODUCT(INDEX(parametros_recargas!$E$72:$L$99,0,MATCH(parametros_recargas!$B$66,parametros_recargas!$E$71:$L$71,0)),parametros_recargas!$M$72:$M$99)*parametros_recargas!$C$66+parametros_recargas!$D$66*parametros_recargas!$M$100)/60</f>
        <v>56.7923333333333</v>
      </c>
      <c r="D36" s="20" t="n">
        <f aca="false">IF(SUM(PROY_Indexado!$B$113:$H$113)=0,$B$6+1+$B$7,SUMPRODUCT(PROY_Indexado!$B$113:$H$113,$B$17:$H$17)/SUM(PROY_Indexado!$B$113:$H$113))</f>
        <v>3</v>
      </c>
      <c r="E36" s="12" t="str">
        <f aca="false">IF(AND($B$9="Industrial",LEFT(A36,3)="ABC"),"Fabrica","Compra")</f>
        <v>Compra</v>
      </c>
      <c r="F36" s="12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12" t="str">
        <f aca="false">datos_base!A18</f>
        <v>ABC 100 kg s/ruedas</v>
      </c>
      <c r="B37" s="14" t="n">
        <v>1</v>
      </c>
      <c r="C37" s="24" t="n">
        <f aca="false">(SUMPRODUCT(INDEX(parametros_recargas!$E$72:$L$99,0,MATCH(parametros_recargas!$B$67,parametros_recargas!$E$71:$L$71,0)),parametros_recargas!$M$72:$M$99)*parametros_recargas!$C$67+parametros_recargas!$D$67*parametros_recargas!$M$100)/60</f>
        <v>56.7923333333333</v>
      </c>
      <c r="D37" s="20" t="n">
        <f aca="false">IF(SUM(PROY_Indexado!$B$114:$H$114)=0,$B$6+1+$B$7,SUMPRODUCT(PROY_Indexado!$B$114:$H$114,$B$17:$H$17)/SUM(PROY_Indexado!$B$114:$H$114))</f>
        <v>3</v>
      </c>
      <c r="E37" s="12" t="str">
        <f aca="false">IF(AND($B$9="Industrial",LEFT(A37,3)="ABC"),"Fabrica","Compra")</f>
        <v>Compra</v>
      </c>
      <c r="F37" s="12"/>
      <c r="G37" s="4"/>
      <c r="H37" s="4"/>
      <c r="I37" s="4"/>
      <c r="J37" s="4"/>
      <c r="K37" s="4"/>
      <c r="L37" s="4"/>
    </row>
    <row r="39" customFormat="false" ht="15" hidden="false" customHeight="false" outlineLevel="0" collapsed="false">
      <c r="A39" s="1" t="s">
        <v>298</v>
      </c>
    </row>
    <row r="40" customFormat="false" ht="15" hidden="false" customHeight="false" outlineLevel="0" collapsed="false">
      <c r="A40" s="2" t="s">
        <v>299</v>
      </c>
    </row>
    <row r="41" customFormat="false" ht="15" hidden="false" customHeight="false" outlineLevel="0" collapsed="false">
      <c r="A41" s="3" t="s">
        <v>146</v>
      </c>
      <c r="B41" s="3" t="n">
        <v>2026</v>
      </c>
      <c r="C41" s="3" t="n">
        <v>2027</v>
      </c>
      <c r="D41" s="3" t="n">
        <v>2028</v>
      </c>
      <c r="E41" s="3" t="n">
        <v>2029</v>
      </c>
      <c r="F41" s="3" t="n">
        <v>2030</v>
      </c>
      <c r="G41" s="3" t="n">
        <v>2031</v>
      </c>
      <c r="H41" s="3" t="n">
        <v>2032</v>
      </c>
      <c r="I41" s="3" t="n">
        <v>2033</v>
      </c>
      <c r="J41" s="3" t="n">
        <v>2034</v>
      </c>
      <c r="K41" s="3" t="n">
        <v>2035</v>
      </c>
    </row>
    <row r="42" customFormat="false" ht="15" hidden="false" customHeight="false" outlineLevel="0" collapsed="false">
      <c r="A42" s="12" t="str">
        <f aca="false">datos_base!A2</f>
        <v>ABC 1 kg</v>
      </c>
      <c r="B42" s="13" t="n">
        <f aca="false">ROUNDUP(datos_base!B2*$B$21*$D$21*MAX(parametros_recargas!$B$37:$M$37)/$B$5,0)</f>
        <v>0</v>
      </c>
      <c r="C42" s="13" t="n">
        <f aca="false">ROUNDUP(datos_base!C2*$B$21*$D$21*MAX(parametros_recargas!$B$38:$M$38)/$B$5,0)</f>
        <v>0</v>
      </c>
      <c r="D42" s="13" t="n">
        <f aca="false">ROUNDUP(datos_base!D2*$B$21*$D$21*MAX(parametros_recargas!$B$39:$M$39)/$B$5,0)</f>
        <v>0</v>
      </c>
      <c r="E42" s="13" t="n">
        <f aca="false">ROUNDUP(datos_base!E2*$B$21*$D$21*MAX(parametros_recargas!$B$40:$M$40)/$B$5,0)</f>
        <v>0</v>
      </c>
      <c r="F42" s="13" t="n">
        <f aca="false">ROUNDUP(datos_base!F2*$B$21*$D$21*MAX(parametros_recargas!$B$41:$M$41)/$B$5,0)</f>
        <v>0</v>
      </c>
      <c r="G42" s="13" t="n">
        <f aca="false">ROUNDUP(datos_base!G2*$B$21*$D$21*MAX(parametros_recargas!$B$42:$M$42)/$B$5,0)</f>
        <v>0</v>
      </c>
      <c r="H42" s="13" t="n">
        <f aca="false">ROUNDUP(datos_base!H2*$B$21*$D$21*MAX(parametros_recargas!$B$43:$M$43)/$B$5,0)</f>
        <v>0</v>
      </c>
      <c r="I42" s="13" t="n">
        <f aca="false">ROUNDUP(datos_base!I2*$B$21*$D$21*MAX(parametros_recargas!$B$44:$M$44)/$B$5,0)</f>
        <v>0</v>
      </c>
      <c r="J42" s="13" t="n">
        <f aca="false">ROUNDUP(datos_base!J2*$B$21*$D$21*MAX(parametros_recargas!$B$45:$M$45)/$B$5,0)</f>
        <v>0</v>
      </c>
      <c r="K42" s="13" t="n">
        <f aca="false">ROUNDUP(datos_base!K2*$B$21*$D$21*MAX(parametros_recargas!$B$46:$M$46)/$B$5,0)</f>
        <v>0</v>
      </c>
    </row>
    <row r="43" customFormat="false" ht="15" hidden="false" customHeight="false" outlineLevel="0" collapsed="false">
      <c r="A43" s="12" t="str">
        <f aca="false">datos_base!A3</f>
        <v>ABC 2,5 kg</v>
      </c>
      <c r="B43" s="13" t="n">
        <f aca="false">ROUNDUP(datos_base!B3*$B$22*$D$22*MAX(parametros_recargas!$B$37:$M$37)/$B$5,0)</f>
        <v>3</v>
      </c>
      <c r="C43" s="13" t="n">
        <f aca="false">ROUNDUP(datos_base!C3*$B$22*$D$22*MAX(parametros_recargas!$B$38:$M$38)/$B$5,0)</f>
        <v>12</v>
      </c>
      <c r="D43" s="13" t="n">
        <f aca="false">ROUNDUP(datos_base!D3*$B$22*$D$22*MAX(parametros_recargas!$B$39:$M$39)/$B$5,0)</f>
        <v>27</v>
      </c>
      <c r="E43" s="13" t="n">
        <f aca="false">ROUNDUP(datos_base!E3*$B$22*$D$22*MAX(parametros_recargas!$B$40:$M$40)/$B$5,0)</f>
        <v>49</v>
      </c>
      <c r="F43" s="13" t="n">
        <f aca="false">ROUNDUP(datos_base!F3*$B$22*$D$22*MAX(parametros_recargas!$B$41:$M$41)/$B$5,0)</f>
        <v>70</v>
      </c>
      <c r="G43" s="13" t="n">
        <f aca="false">ROUNDUP(datos_base!G3*$B$22*$D$22*MAX(parametros_recargas!$B$42:$M$42)/$B$5,0)</f>
        <v>93</v>
      </c>
      <c r="H43" s="13" t="n">
        <f aca="false">ROUNDUP(datos_base!H3*$B$22*$D$22*MAX(parametros_recargas!$B$43:$M$43)/$B$5,0)</f>
        <v>114</v>
      </c>
      <c r="I43" s="13" t="n">
        <f aca="false">ROUNDUP(datos_base!I3*$B$22*$D$22*MAX(parametros_recargas!$B$44:$M$44)/$B$5,0)</f>
        <v>127</v>
      </c>
      <c r="J43" s="13" t="n">
        <f aca="false">ROUNDUP(datos_base!J3*$B$22*$D$22*MAX(parametros_recargas!$B$45:$M$45)/$B$5,0)</f>
        <v>138</v>
      </c>
      <c r="K43" s="13" t="n">
        <f aca="false">ROUNDUP(datos_base!K3*$B$22*$D$22*MAX(parametros_recargas!$B$46:$M$46)/$B$5,0)</f>
        <v>148</v>
      </c>
    </row>
    <row r="44" customFormat="false" ht="15" hidden="false" customHeight="false" outlineLevel="0" collapsed="false">
      <c r="A44" s="12" t="str">
        <f aca="false">datos_base!A4</f>
        <v>ABC 5 kg</v>
      </c>
      <c r="B44" s="13" t="n">
        <f aca="false">ROUNDUP(datos_base!B4*$B$23*$D$23*MAX(parametros_recargas!$B$37:$M$37)/$B$5,0)</f>
        <v>18</v>
      </c>
      <c r="C44" s="13" t="n">
        <f aca="false">ROUNDUP(datos_base!C4*$B$23*$D$23*MAX(parametros_recargas!$B$38:$M$38)/$B$5,0)</f>
        <v>70</v>
      </c>
      <c r="D44" s="13" t="n">
        <f aca="false">ROUNDUP(datos_base!D4*$B$23*$D$23*MAX(parametros_recargas!$B$39:$M$39)/$B$5,0)</f>
        <v>159</v>
      </c>
      <c r="E44" s="13" t="n">
        <f aca="false">ROUNDUP(datos_base!E4*$B$23*$D$23*MAX(parametros_recargas!$B$40:$M$40)/$B$5,0)</f>
        <v>299</v>
      </c>
      <c r="F44" s="13" t="n">
        <f aca="false">ROUNDUP(datos_base!F4*$B$23*$D$23*MAX(parametros_recargas!$B$41:$M$41)/$B$5,0)</f>
        <v>431</v>
      </c>
      <c r="G44" s="13" t="n">
        <f aca="false">ROUNDUP(datos_base!G4*$B$23*$D$23*MAX(parametros_recargas!$B$42:$M$42)/$B$5,0)</f>
        <v>573</v>
      </c>
      <c r="H44" s="13" t="n">
        <f aca="false">ROUNDUP(datos_base!H4*$B$23*$D$23*MAX(parametros_recargas!$B$43:$M$43)/$B$5,0)</f>
        <v>701</v>
      </c>
      <c r="I44" s="13" t="n">
        <f aca="false">ROUNDUP(datos_base!I4*$B$23*$D$23*MAX(parametros_recargas!$B$44:$M$44)/$B$5,0)</f>
        <v>777</v>
      </c>
      <c r="J44" s="13" t="n">
        <f aca="false">ROUNDUP(datos_base!J4*$B$23*$D$23*MAX(parametros_recargas!$B$45:$M$45)/$B$5,0)</f>
        <v>838</v>
      </c>
      <c r="K44" s="13" t="n">
        <f aca="false">ROUNDUP(datos_base!K4*$B$23*$D$23*MAX(parametros_recargas!$B$46:$M$46)/$B$5,0)</f>
        <v>900</v>
      </c>
    </row>
    <row r="45" customFormat="false" ht="15" hidden="false" customHeight="false" outlineLevel="0" collapsed="false">
      <c r="A45" s="12" t="str">
        <f aca="false">datos_base!A5</f>
        <v>ABC 10 kg</v>
      </c>
      <c r="B45" s="13" t="n">
        <f aca="false">ROUNDUP(datos_base!B5*$B$24*$D$24*MAX(parametros_recargas!$B$37:$M$37)/$B$5,0)</f>
        <v>2</v>
      </c>
      <c r="C45" s="13" t="n">
        <f aca="false">ROUNDUP(datos_base!C5*$B$24*$D$24*MAX(parametros_recargas!$B$38:$M$38)/$B$5,0)</f>
        <v>4</v>
      </c>
      <c r="D45" s="13" t="n">
        <f aca="false">ROUNDUP(datos_base!D5*$B$24*$D$24*MAX(parametros_recargas!$B$39:$M$39)/$B$5,0)</f>
        <v>10</v>
      </c>
      <c r="E45" s="13" t="n">
        <f aca="false">ROUNDUP(datos_base!E5*$B$24*$D$24*MAX(parametros_recargas!$B$40:$M$40)/$B$5,0)</f>
        <v>18</v>
      </c>
      <c r="F45" s="13" t="n">
        <f aca="false">ROUNDUP(datos_base!F5*$B$24*$D$24*MAX(parametros_recargas!$B$41:$M$41)/$B$5,0)</f>
        <v>26</v>
      </c>
      <c r="G45" s="13" t="n">
        <f aca="false">ROUNDUP(datos_base!G5*$B$24*$D$24*MAX(parametros_recargas!$B$42:$M$42)/$B$5,0)</f>
        <v>34</v>
      </c>
      <c r="H45" s="13" t="n">
        <f aca="false">ROUNDUP(datos_base!H5*$B$24*$D$24*MAX(parametros_recargas!$B$43:$M$43)/$B$5,0)</f>
        <v>42</v>
      </c>
      <c r="I45" s="13" t="n">
        <f aca="false">ROUNDUP(datos_base!I5*$B$24*$D$24*MAX(parametros_recargas!$B$44:$M$44)/$B$5,0)</f>
        <v>46</v>
      </c>
      <c r="J45" s="13" t="n">
        <f aca="false">ROUNDUP(datos_base!J5*$B$24*$D$24*MAX(parametros_recargas!$B$45:$M$45)/$B$5,0)</f>
        <v>50</v>
      </c>
      <c r="K45" s="13" t="n">
        <f aca="false">ROUNDUP(datos_base!K5*$B$24*$D$24*MAX(parametros_recargas!$B$46:$M$46)/$B$5,0)</f>
        <v>54</v>
      </c>
    </row>
    <row r="46" customFormat="false" ht="15" hidden="false" customHeight="false" outlineLevel="0" collapsed="false">
      <c r="A46" s="12" t="str">
        <f aca="false">datos_base!A6</f>
        <v>Agua 10 l</v>
      </c>
      <c r="B46" s="13" t="n">
        <f aca="false">ROUNDUP(datos_base!B6*$B$25*$D$25*MAX(parametros_recargas!$B$37:$M$37)/$B$5,0)</f>
        <v>2</v>
      </c>
      <c r="C46" s="13" t="n">
        <f aca="false">ROUNDUP(datos_base!C6*$B$25*$D$25*MAX(parametros_recargas!$B$38:$M$38)/$B$5,0)</f>
        <v>6</v>
      </c>
      <c r="D46" s="13" t="n">
        <f aca="false">ROUNDUP(datos_base!D6*$B$25*$D$25*MAX(parametros_recargas!$B$39:$M$39)/$B$5,0)</f>
        <v>14</v>
      </c>
      <c r="E46" s="13" t="n">
        <f aca="false">ROUNDUP(datos_base!E6*$B$25*$D$25*MAX(parametros_recargas!$B$40:$M$40)/$B$5,0)</f>
        <v>25</v>
      </c>
      <c r="F46" s="13" t="n">
        <f aca="false">ROUNDUP(datos_base!F6*$B$25*$D$25*MAX(parametros_recargas!$B$41:$M$41)/$B$5,0)</f>
        <v>36</v>
      </c>
      <c r="G46" s="13" t="n">
        <f aca="false">ROUNDUP(datos_base!G6*$B$25*$D$25*MAX(parametros_recargas!$B$42:$M$42)/$B$5,0)</f>
        <v>48</v>
      </c>
      <c r="H46" s="13" t="n">
        <f aca="false">ROUNDUP(datos_base!H6*$B$25*$D$25*MAX(parametros_recargas!$B$43:$M$43)/$B$5,0)</f>
        <v>59</v>
      </c>
      <c r="I46" s="13" t="n">
        <f aca="false">ROUNDUP(datos_base!I6*$B$25*$D$25*MAX(parametros_recargas!$B$44:$M$44)/$B$5,0)</f>
        <v>65</v>
      </c>
      <c r="J46" s="13" t="n">
        <f aca="false">ROUNDUP(datos_base!J6*$B$25*$D$25*MAX(parametros_recargas!$B$45:$M$45)/$B$5,0)</f>
        <v>70</v>
      </c>
      <c r="K46" s="13" t="n">
        <f aca="false">ROUNDUP(datos_base!K6*$B$25*$D$25*MAX(parametros_recargas!$B$46:$M$46)/$B$5,0)</f>
        <v>76</v>
      </c>
    </row>
    <row r="47" customFormat="false" ht="15" hidden="false" customHeight="false" outlineLevel="0" collapsed="false">
      <c r="A47" s="12" t="str">
        <f aca="false">datos_base!A7</f>
        <v>AFFF 10 l</v>
      </c>
      <c r="B47" s="13" t="n">
        <f aca="false">ROUNDUP(datos_base!B7*$B$26*$D$26*MAX(parametros_recargas!$B$37:$M$37)/$B$5,0)</f>
        <v>1</v>
      </c>
      <c r="C47" s="13" t="n">
        <f aca="false">ROUNDUP(datos_base!C7*$B$26*$D$26*MAX(parametros_recargas!$B$38:$M$38)/$B$5,0)</f>
        <v>2</v>
      </c>
      <c r="D47" s="13" t="n">
        <f aca="false">ROUNDUP(datos_base!D7*$B$26*$D$26*MAX(parametros_recargas!$B$39:$M$39)/$B$5,0)</f>
        <v>3</v>
      </c>
      <c r="E47" s="13" t="n">
        <f aca="false">ROUNDUP(datos_base!E7*$B$26*$D$26*MAX(parametros_recargas!$B$40:$M$40)/$B$5,0)</f>
        <v>5</v>
      </c>
      <c r="F47" s="13" t="n">
        <f aca="false">ROUNDUP(datos_base!F7*$B$26*$D$26*MAX(parametros_recargas!$B$41:$M$41)/$B$5,0)</f>
        <v>7</v>
      </c>
      <c r="G47" s="13" t="n">
        <f aca="false">ROUNDUP(datos_base!G7*$B$26*$D$26*MAX(parametros_recargas!$B$42:$M$42)/$B$5,0)</f>
        <v>9</v>
      </c>
      <c r="H47" s="13" t="n">
        <f aca="false">ROUNDUP(datos_base!H7*$B$26*$D$26*MAX(parametros_recargas!$B$43:$M$43)/$B$5,0)</f>
        <v>11</v>
      </c>
      <c r="I47" s="13" t="n">
        <f aca="false">ROUNDUP(datos_base!I7*$B$26*$D$26*MAX(parametros_recargas!$B$44:$M$44)/$B$5,0)</f>
        <v>13</v>
      </c>
      <c r="J47" s="13" t="n">
        <f aca="false">ROUNDUP(datos_base!J7*$B$26*$D$26*MAX(parametros_recargas!$B$45:$M$45)/$B$5,0)</f>
        <v>14</v>
      </c>
      <c r="K47" s="13" t="n">
        <f aca="false">ROUNDUP(datos_base!K7*$B$26*$D$26*MAX(parametros_recargas!$B$46:$M$46)/$B$5,0)</f>
        <v>15</v>
      </c>
    </row>
    <row r="48" customFormat="false" ht="15" hidden="false" customHeight="false" outlineLevel="0" collapsed="false">
      <c r="A48" s="12" t="str">
        <f aca="false">datos_base!A8</f>
        <v>AFFF 50 l s/ruedas</v>
      </c>
      <c r="B48" s="13" t="n">
        <f aca="false">ROUNDUP(datos_base!B8*$B$27*$D$27*MAX(parametros_recargas!$B$37:$M$37)/$B$5,0)</f>
        <v>1</v>
      </c>
      <c r="C48" s="13" t="n">
        <f aca="false">ROUNDUP(datos_base!C8*$B$27*$D$27*MAX(parametros_recargas!$B$38:$M$38)/$B$5,0)</f>
        <v>1</v>
      </c>
      <c r="D48" s="13" t="n">
        <f aca="false">ROUNDUP(datos_base!D8*$B$27*$D$27*MAX(parametros_recargas!$B$39:$M$39)/$B$5,0)</f>
        <v>2</v>
      </c>
      <c r="E48" s="13" t="n">
        <f aca="false">ROUNDUP(datos_base!E8*$B$27*$D$27*MAX(parametros_recargas!$B$40:$M$40)/$B$5,0)</f>
        <v>3</v>
      </c>
      <c r="F48" s="13" t="n">
        <f aca="false">ROUNDUP(datos_base!F8*$B$27*$D$27*MAX(parametros_recargas!$B$41:$M$41)/$B$5,0)</f>
        <v>4</v>
      </c>
      <c r="G48" s="13" t="n">
        <f aca="false">ROUNDUP(datos_base!G8*$B$27*$D$27*MAX(parametros_recargas!$B$42:$M$42)/$B$5,0)</f>
        <v>5</v>
      </c>
      <c r="H48" s="13" t="n">
        <f aca="false">ROUNDUP(datos_base!H8*$B$27*$D$27*MAX(parametros_recargas!$B$43:$M$43)/$B$5,0)</f>
        <v>6</v>
      </c>
      <c r="I48" s="13" t="n">
        <f aca="false">ROUNDUP(datos_base!I8*$B$27*$D$27*MAX(parametros_recargas!$B$44:$M$44)/$B$5,0)</f>
        <v>7</v>
      </c>
      <c r="J48" s="13" t="n">
        <f aca="false">ROUNDUP(datos_base!J8*$B$27*$D$27*MAX(parametros_recargas!$B$45:$M$45)/$B$5,0)</f>
        <v>7</v>
      </c>
      <c r="K48" s="13" t="n">
        <f aca="false">ROUNDUP(datos_base!K8*$B$27*$D$27*MAX(parametros_recargas!$B$46:$M$46)/$B$5,0)</f>
        <v>8</v>
      </c>
    </row>
    <row r="49" customFormat="false" ht="15" hidden="false" customHeight="false" outlineLevel="0" collapsed="false">
      <c r="A49" s="12" t="str">
        <f aca="false">datos_base!A9</f>
        <v>BC 5 kg</v>
      </c>
      <c r="B49" s="13" t="n">
        <f aca="false">ROUNDUP(datos_base!B9*$B$28*$D$28*MAX(parametros_recargas!$B$37:$M$37)/$B$5,0)</f>
        <v>1</v>
      </c>
      <c r="C49" s="13" t="n">
        <f aca="false">ROUNDUP(datos_base!C9*$B$28*$D$28*MAX(parametros_recargas!$B$38:$M$38)/$B$5,0)</f>
        <v>1</v>
      </c>
      <c r="D49" s="13" t="n">
        <f aca="false">ROUNDUP(datos_base!D9*$B$28*$D$28*MAX(parametros_recargas!$B$39:$M$39)/$B$5,0)</f>
        <v>1</v>
      </c>
      <c r="E49" s="13" t="n">
        <f aca="false">ROUNDUP(datos_base!E9*$B$28*$D$28*MAX(parametros_recargas!$B$40:$M$40)/$B$5,0)</f>
        <v>2</v>
      </c>
      <c r="F49" s="13" t="n">
        <f aca="false">ROUNDUP(datos_base!F9*$B$28*$D$28*MAX(parametros_recargas!$B$41:$M$41)/$B$5,0)</f>
        <v>2</v>
      </c>
      <c r="G49" s="13" t="n">
        <f aca="false">ROUNDUP(datos_base!G9*$B$28*$D$28*MAX(parametros_recargas!$B$42:$M$42)/$B$5,0)</f>
        <v>3</v>
      </c>
      <c r="H49" s="13" t="n">
        <f aca="false">ROUNDUP(datos_base!H9*$B$28*$D$28*MAX(parametros_recargas!$B$43:$M$43)/$B$5,0)</f>
        <v>4</v>
      </c>
      <c r="I49" s="13" t="n">
        <f aca="false">ROUNDUP(datos_base!I9*$B$28*$D$28*MAX(parametros_recargas!$B$44:$M$44)/$B$5,0)</f>
        <v>4</v>
      </c>
      <c r="J49" s="13" t="n">
        <f aca="false">ROUNDUP(datos_base!J9*$B$28*$D$28*MAX(parametros_recargas!$B$45:$M$45)/$B$5,0)</f>
        <v>4</v>
      </c>
      <c r="K49" s="13" t="n">
        <f aca="false">ROUNDUP(datos_base!K9*$B$28*$D$28*MAX(parametros_recargas!$B$46:$M$46)/$B$5,0)</f>
        <v>5</v>
      </c>
    </row>
    <row r="50" customFormat="false" ht="15" hidden="false" customHeight="false" outlineLevel="0" collapsed="false">
      <c r="A50" s="12" t="str">
        <f aca="false">datos_base!A10</f>
        <v>Sales K 6 l</v>
      </c>
      <c r="B50" s="13" t="n">
        <f aca="false">ROUNDUP(datos_base!B10*$B$29*$D$29*MAX(parametros_recargas!$B$37:$M$37)/$B$5,0)</f>
        <v>1</v>
      </c>
      <c r="C50" s="13" t="n">
        <f aca="false">ROUNDUP(datos_base!C10*$B$29*$D$29*MAX(parametros_recargas!$B$38:$M$38)/$B$5,0)</f>
        <v>3</v>
      </c>
      <c r="D50" s="13" t="n">
        <f aca="false">ROUNDUP(datos_base!D10*$B$29*$D$29*MAX(parametros_recargas!$B$39:$M$39)/$B$5,0)</f>
        <v>7</v>
      </c>
      <c r="E50" s="13" t="n">
        <f aca="false">ROUNDUP(datos_base!E10*$B$29*$D$29*MAX(parametros_recargas!$B$40:$M$40)/$B$5,0)</f>
        <v>13</v>
      </c>
      <c r="F50" s="13" t="n">
        <f aca="false">ROUNDUP(datos_base!F10*$B$29*$D$29*MAX(parametros_recargas!$B$41:$M$41)/$B$5,0)</f>
        <v>18</v>
      </c>
      <c r="G50" s="13" t="n">
        <f aca="false">ROUNDUP(datos_base!G10*$B$29*$D$29*MAX(parametros_recargas!$B$42:$M$42)/$B$5,0)</f>
        <v>24</v>
      </c>
      <c r="H50" s="13" t="n">
        <f aca="false">ROUNDUP(datos_base!H10*$B$29*$D$29*MAX(parametros_recargas!$B$43:$M$43)/$B$5,0)</f>
        <v>29</v>
      </c>
      <c r="I50" s="13" t="n">
        <f aca="false">ROUNDUP(datos_base!I10*$B$29*$D$29*MAX(parametros_recargas!$B$44:$M$44)/$B$5,0)</f>
        <v>32</v>
      </c>
      <c r="J50" s="13" t="n">
        <f aca="false">ROUNDUP(datos_base!J10*$B$29*$D$29*MAX(parametros_recargas!$B$45:$M$45)/$B$5,0)</f>
        <v>35</v>
      </c>
      <c r="K50" s="13" t="n">
        <f aca="false">ROUNDUP(datos_base!K10*$B$29*$D$29*MAX(parametros_recargas!$B$46:$M$46)/$B$5,0)</f>
        <v>38</v>
      </c>
    </row>
    <row r="51" customFormat="false" ht="15" hidden="false" customHeight="false" outlineLevel="0" collapsed="false">
      <c r="A51" s="12" t="str">
        <f aca="false">datos_base!A11</f>
        <v>CO₂ 2 kg</v>
      </c>
      <c r="B51" s="13" t="n">
        <f aca="false">ROUNDUP(datos_base!B11*$B$30*$D$30*MAX(parametros_recargas!$B$37:$M$37)/$B$5,0)</f>
        <v>5</v>
      </c>
      <c r="C51" s="13" t="n">
        <f aca="false">ROUNDUP(datos_base!C11*$B$30*$D$30*MAX(parametros_recargas!$B$38:$M$38)/$B$5,0)</f>
        <v>16</v>
      </c>
      <c r="D51" s="13" t="n">
        <f aca="false">ROUNDUP(datos_base!D11*$B$30*$D$30*MAX(parametros_recargas!$B$39:$M$39)/$B$5,0)</f>
        <v>36</v>
      </c>
      <c r="E51" s="13" t="n">
        <f aca="false">ROUNDUP(datos_base!E11*$B$30*$D$30*MAX(parametros_recargas!$B$40:$M$40)/$B$5,0)</f>
        <v>68</v>
      </c>
      <c r="F51" s="13" t="n">
        <f aca="false">ROUNDUP(datos_base!F11*$B$30*$D$30*MAX(parametros_recargas!$B$41:$M$41)/$B$5,0)</f>
        <v>98</v>
      </c>
      <c r="G51" s="13" t="n">
        <f aca="false">ROUNDUP(datos_base!G11*$B$30*$D$30*MAX(parametros_recargas!$B$42:$M$42)/$B$5,0)</f>
        <v>130</v>
      </c>
      <c r="H51" s="13" t="n">
        <f aca="false">ROUNDUP(datos_base!H11*$B$30*$D$30*MAX(parametros_recargas!$B$43:$M$43)/$B$5,0)</f>
        <v>158</v>
      </c>
      <c r="I51" s="13" t="n">
        <f aca="false">ROUNDUP(datos_base!I11*$B$30*$D$30*MAX(parametros_recargas!$B$44:$M$44)/$B$5,0)</f>
        <v>175</v>
      </c>
      <c r="J51" s="13" t="n">
        <f aca="false">ROUNDUP(datos_base!J11*$B$30*$D$30*MAX(parametros_recargas!$B$45:$M$45)/$B$5,0)</f>
        <v>189</v>
      </c>
      <c r="K51" s="13" t="n">
        <f aca="false">ROUNDUP(datos_base!K11*$B$30*$D$30*MAX(parametros_recargas!$B$46:$M$46)/$B$5,0)</f>
        <v>203</v>
      </c>
    </row>
    <row r="52" customFormat="false" ht="15" hidden="false" customHeight="false" outlineLevel="0" collapsed="false">
      <c r="A52" s="12" t="str">
        <f aca="false">datos_base!A12</f>
        <v>CO₂ 5 kg</v>
      </c>
      <c r="B52" s="13" t="n">
        <f aca="false">ROUNDUP(datos_base!B12*$B$31*$D$31*MAX(parametros_recargas!$B$37:$M$37)/$B$5,0)</f>
        <v>2</v>
      </c>
      <c r="C52" s="13" t="n">
        <f aca="false">ROUNDUP(datos_base!C12*$B$31*$D$31*MAX(parametros_recargas!$B$38:$M$38)/$B$5,0)</f>
        <v>6</v>
      </c>
      <c r="D52" s="13" t="n">
        <f aca="false">ROUNDUP(datos_base!D12*$B$31*$D$31*MAX(parametros_recargas!$B$39:$M$39)/$B$5,0)</f>
        <v>13</v>
      </c>
      <c r="E52" s="13" t="n">
        <f aca="false">ROUNDUP(datos_base!E12*$B$31*$D$31*MAX(parametros_recargas!$B$40:$M$40)/$B$5,0)</f>
        <v>22</v>
      </c>
      <c r="F52" s="13" t="n">
        <f aca="false">ROUNDUP(datos_base!F12*$B$31*$D$31*MAX(parametros_recargas!$B$41:$M$41)/$B$5,0)</f>
        <v>32</v>
      </c>
      <c r="G52" s="13" t="n">
        <f aca="false">ROUNDUP(datos_base!G12*$B$31*$D$31*MAX(parametros_recargas!$B$42:$M$42)/$B$5,0)</f>
        <v>43</v>
      </c>
      <c r="H52" s="13" t="n">
        <f aca="false">ROUNDUP(datos_base!H12*$B$31*$D$31*MAX(parametros_recargas!$B$43:$M$43)/$B$5,0)</f>
        <v>53</v>
      </c>
      <c r="I52" s="13" t="n">
        <f aca="false">ROUNDUP(datos_base!I12*$B$31*$D$31*MAX(parametros_recargas!$B$44:$M$44)/$B$5,0)</f>
        <v>59</v>
      </c>
      <c r="J52" s="13" t="n">
        <f aca="false">ROUNDUP(datos_base!J12*$B$31*$D$31*MAX(parametros_recargas!$B$45:$M$45)/$B$5,0)</f>
        <v>64</v>
      </c>
      <c r="K52" s="13" t="n">
        <f aca="false">ROUNDUP(datos_base!K12*$B$31*$D$31*MAX(parametros_recargas!$B$46:$M$46)/$B$5,0)</f>
        <v>70</v>
      </c>
    </row>
    <row r="53" customFormat="false" ht="15" hidden="false" customHeight="false" outlineLevel="0" collapsed="false">
      <c r="A53" s="12" t="str">
        <f aca="false">datos_base!A13</f>
        <v>HCFC/HFC 5 kg</v>
      </c>
      <c r="B53" s="13" t="n">
        <f aca="false">ROUNDUP(datos_base!B13*$B$32*$D$32*MAX(parametros_recargas!$B$37:$M$37)/$B$5,0)</f>
        <v>1</v>
      </c>
      <c r="C53" s="13" t="n">
        <f aca="false">ROUNDUP(datos_base!C13*$B$32*$D$32*MAX(parametros_recargas!$B$38:$M$38)/$B$5,0)</f>
        <v>1</v>
      </c>
      <c r="D53" s="13" t="n">
        <f aca="false">ROUNDUP(datos_base!D13*$B$32*$D$32*MAX(parametros_recargas!$B$39:$M$39)/$B$5,0)</f>
        <v>3</v>
      </c>
      <c r="E53" s="13" t="n">
        <f aca="false">ROUNDUP(datos_base!E13*$B$32*$D$32*MAX(parametros_recargas!$B$40:$M$40)/$B$5,0)</f>
        <v>4</v>
      </c>
      <c r="F53" s="13" t="n">
        <f aca="false">ROUNDUP(datos_base!F13*$B$32*$D$32*MAX(parametros_recargas!$B$41:$M$41)/$B$5,0)</f>
        <v>6</v>
      </c>
      <c r="G53" s="13" t="n">
        <f aca="false">ROUNDUP(datos_base!G13*$B$32*$D$32*MAX(parametros_recargas!$B$42:$M$42)/$B$5,0)</f>
        <v>7</v>
      </c>
      <c r="H53" s="13" t="n">
        <f aca="false">ROUNDUP(datos_base!H13*$B$32*$D$32*MAX(parametros_recargas!$B$43:$M$43)/$B$5,0)</f>
        <v>9</v>
      </c>
      <c r="I53" s="13" t="n">
        <f aca="false">ROUNDUP(datos_base!I13*$B$32*$D$32*MAX(parametros_recargas!$B$44:$M$44)/$B$5,0)</f>
        <v>10</v>
      </c>
      <c r="J53" s="13" t="n">
        <f aca="false">ROUNDUP(datos_base!J13*$B$32*$D$32*MAX(parametros_recargas!$B$45:$M$45)/$B$5,0)</f>
        <v>11</v>
      </c>
      <c r="K53" s="13" t="n">
        <f aca="false">ROUNDUP(datos_base!K13*$B$32*$D$32*MAX(parametros_recargas!$B$46:$M$46)/$B$5,0)</f>
        <v>12</v>
      </c>
    </row>
    <row r="54" customFormat="false" ht="15" hidden="false" customHeight="false" outlineLevel="0" collapsed="false">
      <c r="A54" s="12" t="str">
        <f aca="false">datos_base!A14</f>
        <v>Clase D 9 l</v>
      </c>
      <c r="B54" s="13" t="n">
        <f aca="false">ROUNDUP(datos_base!B14*$B$33*$D$33*MAX(parametros_recargas!$B$37:$M$37)/$B$5,0)</f>
        <v>1</v>
      </c>
      <c r="C54" s="13" t="n">
        <f aca="false">ROUNDUP(datos_base!C14*$B$33*$D$33*MAX(parametros_recargas!$B$38:$M$38)/$B$5,0)</f>
        <v>1</v>
      </c>
      <c r="D54" s="13" t="n">
        <f aca="false">ROUNDUP(datos_base!D14*$B$33*$D$33*MAX(parametros_recargas!$B$39:$M$39)/$B$5,0)</f>
        <v>1</v>
      </c>
      <c r="E54" s="13" t="n">
        <f aca="false">ROUNDUP(datos_base!E14*$B$33*$D$33*MAX(parametros_recargas!$B$40:$M$40)/$B$5,0)</f>
        <v>2</v>
      </c>
      <c r="F54" s="13" t="n">
        <f aca="false">ROUNDUP(datos_base!F14*$B$33*$D$33*MAX(parametros_recargas!$B$41:$M$41)/$B$5,0)</f>
        <v>2</v>
      </c>
      <c r="G54" s="13" t="n">
        <f aca="false">ROUNDUP(datos_base!G14*$B$33*$D$33*MAX(parametros_recargas!$B$42:$M$42)/$B$5,0)</f>
        <v>3</v>
      </c>
      <c r="H54" s="13" t="n">
        <f aca="false">ROUNDUP(datos_base!H14*$B$33*$D$33*MAX(parametros_recargas!$B$43:$M$43)/$B$5,0)</f>
        <v>3</v>
      </c>
      <c r="I54" s="13" t="n">
        <f aca="false">ROUNDUP(datos_base!I14*$B$33*$D$33*MAX(parametros_recargas!$B$44:$M$44)/$B$5,0)</f>
        <v>4</v>
      </c>
      <c r="J54" s="13" t="n">
        <f aca="false">ROUNDUP(datos_base!J14*$B$33*$D$33*MAX(parametros_recargas!$B$45:$M$45)/$B$5,0)</f>
        <v>4</v>
      </c>
      <c r="K54" s="13" t="n">
        <f aca="false">ROUNDUP(datos_base!K14*$B$33*$D$33*MAX(parametros_recargas!$B$46:$M$46)/$B$5,0)</f>
        <v>4</v>
      </c>
    </row>
    <row r="55" customFormat="false" ht="15" hidden="false" customHeight="false" outlineLevel="0" collapsed="false">
      <c r="A55" s="12" t="str">
        <f aca="false">datos_base!A15</f>
        <v>ABC 25 kg s/ruedas</v>
      </c>
      <c r="B55" s="13" t="n">
        <f aca="false">ROUNDUP(datos_base!B15*$B$34*$D$34*MAX(parametros_recargas!$B$37:$M$37)/$B$5,0)</f>
        <v>1</v>
      </c>
      <c r="C55" s="13" t="n">
        <f aca="false">ROUNDUP(datos_base!C15*$B$34*$D$34*MAX(parametros_recargas!$B$38:$M$38)/$B$5,0)</f>
        <v>1</v>
      </c>
      <c r="D55" s="13" t="n">
        <f aca="false">ROUNDUP(datos_base!D15*$B$34*$D$34*MAX(parametros_recargas!$B$39:$M$39)/$B$5,0)</f>
        <v>2</v>
      </c>
      <c r="E55" s="13" t="n">
        <f aca="false">ROUNDUP(datos_base!E15*$B$34*$D$34*MAX(parametros_recargas!$B$40:$M$40)/$B$5,0)</f>
        <v>3</v>
      </c>
      <c r="F55" s="13" t="n">
        <f aca="false">ROUNDUP(datos_base!F15*$B$34*$D$34*MAX(parametros_recargas!$B$41:$M$41)/$B$5,0)</f>
        <v>5</v>
      </c>
      <c r="G55" s="13" t="n">
        <f aca="false">ROUNDUP(datos_base!G15*$B$34*$D$34*MAX(parametros_recargas!$B$42:$M$42)/$B$5,0)</f>
        <v>6</v>
      </c>
      <c r="H55" s="13" t="n">
        <f aca="false">ROUNDUP(datos_base!H15*$B$34*$D$34*MAX(parametros_recargas!$B$43:$M$43)/$B$5,0)</f>
        <v>8</v>
      </c>
      <c r="I55" s="13" t="n">
        <f aca="false">ROUNDUP(datos_base!I15*$B$34*$D$34*MAX(parametros_recargas!$B$44:$M$44)/$B$5,0)</f>
        <v>8</v>
      </c>
      <c r="J55" s="13" t="n">
        <f aca="false">ROUNDUP(datos_base!J15*$B$34*$D$34*MAX(parametros_recargas!$B$45:$M$45)/$B$5,0)</f>
        <v>9</v>
      </c>
      <c r="K55" s="13" t="n">
        <f aca="false">ROUNDUP(datos_base!K15*$B$34*$D$34*MAX(parametros_recargas!$B$46:$M$46)/$B$5,0)</f>
        <v>10</v>
      </c>
    </row>
    <row r="56" customFormat="false" ht="15" hidden="false" customHeight="false" outlineLevel="0" collapsed="false">
      <c r="A56" s="12" t="str">
        <f aca="false">datos_base!A16</f>
        <v>ABC 50 kg s/ruedas</v>
      </c>
      <c r="B56" s="13" t="n">
        <f aca="false">ROUNDUP(datos_base!B16*$B$35*$D$35*MAX(parametros_recargas!$B$37:$M$37)/$B$5,0)</f>
        <v>1</v>
      </c>
      <c r="C56" s="13" t="n">
        <f aca="false">ROUNDUP(datos_base!C16*$B$35*$D$35*MAX(parametros_recargas!$B$38:$M$38)/$B$5,0)</f>
        <v>2</v>
      </c>
      <c r="D56" s="13" t="n">
        <f aca="false">ROUNDUP(datos_base!D16*$B$35*$D$35*MAX(parametros_recargas!$B$39:$M$39)/$B$5,0)</f>
        <v>4</v>
      </c>
      <c r="E56" s="13" t="n">
        <f aca="false">ROUNDUP(datos_base!E16*$B$35*$D$35*MAX(parametros_recargas!$B$40:$M$40)/$B$5,0)</f>
        <v>7</v>
      </c>
      <c r="F56" s="13" t="n">
        <f aca="false">ROUNDUP(datos_base!F16*$B$35*$D$35*MAX(parametros_recargas!$B$41:$M$41)/$B$5,0)</f>
        <v>10</v>
      </c>
      <c r="G56" s="13" t="n">
        <f aca="false">ROUNDUP(datos_base!G16*$B$35*$D$35*MAX(parametros_recargas!$B$42:$M$42)/$B$5,0)</f>
        <v>13</v>
      </c>
      <c r="H56" s="13" t="n">
        <f aca="false">ROUNDUP(datos_base!H16*$B$35*$D$35*MAX(parametros_recargas!$B$43:$M$43)/$B$5,0)</f>
        <v>16</v>
      </c>
      <c r="I56" s="13" t="n">
        <f aca="false">ROUNDUP(datos_base!I16*$B$35*$D$35*MAX(parametros_recargas!$B$44:$M$44)/$B$5,0)</f>
        <v>18</v>
      </c>
      <c r="J56" s="13" t="n">
        <f aca="false">ROUNDUP(datos_base!J16*$B$35*$D$35*MAX(parametros_recargas!$B$45:$M$45)/$B$5,0)</f>
        <v>19</v>
      </c>
      <c r="K56" s="13" t="n">
        <f aca="false">ROUNDUP(datos_base!K16*$B$35*$D$35*MAX(parametros_recargas!$B$46:$M$46)/$B$5,0)</f>
        <v>21</v>
      </c>
    </row>
    <row r="57" customFormat="false" ht="15" hidden="false" customHeight="false" outlineLevel="0" collapsed="false">
      <c r="A57" s="12" t="str">
        <f aca="false">datos_base!A17</f>
        <v>ABC 70 kg s/ruedas</v>
      </c>
      <c r="B57" s="13" t="n">
        <f aca="false">ROUNDUP(datos_base!B17*$B$36*$D$36*MAX(parametros_recargas!$B$37:$M$37)/$B$5,0)</f>
        <v>1</v>
      </c>
      <c r="C57" s="13" t="n">
        <f aca="false">ROUNDUP(datos_base!C17*$B$36*$D$36*MAX(parametros_recargas!$B$38:$M$38)/$B$5,0)</f>
        <v>1</v>
      </c>
      <c r="D57" s="13" t="n">
        <f aca="false">ROUNDUP(datos_base!D17*$B$36*$D$36*MAX(parametros_recargas!$B$39:$M$39)/$B$5,0)</f>
        <v>1</v>
      </c>
      <c r="E57" s="13" t="n">
        <f aca="false">ROUNDUP(datos_base!E17*$B$36*$D$36*MAX(parametros_recargas!$B$40:$M$40)/$B$5,0)</f>
        <v>2</v>
      </c>
      <c r="F57" s="13" t="n">
        <f aca="false">ROUNDUP(datos_base!F17*$B$36*$D$36*MAX(parametros_recargas!$B$41:$M$41)/$B$5,0)</f>
        <v>3</v>
      </c>
      <c r="G57" s="13" t="n">
        <f aca="false">ROUNDUP(datos_base!G17*$B$36*$D$36*MAX(parametros_recargas!$B$42:$M$42)/$B$5,0)</f>
        <v>3</v>
      </c>
      <c r="H57" s="13" t="n">
        <f aca="false">ROUNDUP(datos_base!H17*$B$36*$D$36*MAX(parametros_recargas!$B$43:$M$43)/$B$5,0)</f>
        <v>4</v>
      </c>
      <c r="I57" s="13" t="n">
        <f aca="false">ROUNDUP(datos_base!I17*$B$36*$D$36*MAX(parametros_recargas!$B$44:$M$44)/$B$5,0)</f>
        <v>4</v>
      </c>
      <c r="J57" s="13" t="n">
        <f aca="false">ROUNDUP(datos_base!J17*$B$36*$D$36*MAX(parametros_recargas!$B$45:$M$45)/$B$5,0)</f>
        <v>5</v>
      </c>
      <c r="K57" s="13" t="n">
        <f aca="false">ROUNDUP(datos_base!K17*$B$36*$D$36*MAX(parametros_recargas!$B$46:$M$46)/$B$5,0)</f>
        <v>5</v>
      </c>
    </row>
    <row r="58" customFormat="false" ht="15" hidden="false" customHeight="false" outlineLevel="0" collapsed="false">
      <c r="A58" s="12" t="str">
        <f aca="false">datos_base!A18</f>
        <v>ABC 100 kg s/ruedas</v>
      </c>
      <c r="B58" s="13" t="n">
        <f aca="false">ROUNDUP(datos_base!B18*$B$37*$D$37*MAX(parametros_recargas!$B$37:$M$37)/$B$5,0)</f>
        <v>1</v>
      </c>
      <c r="C58" s="13" t="n">
        <f aca="false">ROUNDUP(datos_base!C18*$B$37*$D$37*MAX(parametros_recargas!$B$38:$M$38)/$B$5,0)</f>
        <v>1</v>
      </c>
      <c r="D58" s="13" t="n">
        <f aca="false">ROUNDUP(datos_base!D18*$B$37*$D$37*MAX(parametros_recargas!$B$39:$M$39)/$B$5,0)</f>
        <v>1</v>
      </c>
      <c r="E58" s="13" t="n">
        <f aca="false">ROUNDUP(datos_base!E18*$B$37*$D$37*MAX(parametros_recargas!$B$40:$M$40)/$B$5,0)</f>
        <v>1</v>
      </c>
      <c r="F58" s="13" t="n">
        <f aca="false">ROUNDUP(datos_base!F18*$B$37*$D$37*MAX(parametros_recargas!$B$41:$M$41)/$B$5,0)</f>
        <v>2</v>
      </c>
      <c r="G58" s="13" t="n">
        <f aca="false">ROUNDUP(datos_base!G18*$B$37*$D$37*MAX(parametros_recargas!$B$42:$M$42)/$B$5,0)</f>
        <v>2</v>
      </c>
      <c r="H58" s="13" t="n">
        <f aca="false">ROUNDUP(datos_base!H18*$B$37*$D$37*MAX(parametros_recargas!$B$43:$M$43)/$B$5,0)</f>
        <v>3</v>
      </c>
      <c r="I58" s="13" t="n">
        <f aca="false">ROUNDUP(datos_base!I18*$B$37*$D$37*MAX(parametros_recargas!$B$44:$M$44)/$B$5,0)</f>
        <v>3</v>
      </c>
      <c r="J58" s="13" t="n">
        <f aca="false">ROUNDUP(datos_base!J18*$B$37*$D$37*MAX(parametros_recargas!$B$45:$M$45)/$B$5,0)</f>
        <v>3</v>
      </c>
      <c r="K58" s="13" t="n">
        <f aca="false">ROUNDUP(datos_base!K18*$B$37*$D$37*MAX(parametros_recargas!$B$46:$M$46)/$B$5,0)</f>
        <v>3</v>
      </c>
    </row>
    <row r="59" customFormat="false" ht="15" hidden="false" customHeight="false" outlineLevel="0" collapsed="false">
      <c r="A59" s="6" t="s">
        <v>67</v>
      </c>
      <c r="B59" s="7" t="n">
        <f aca="false">SUM(B42:B58)</f>
        <v>42</v>
      </c>
      <c r="C59" s="7" t="n">
        <f aca="false">SUM(C42:C58)</f>
        <v>128</v>
      </c>
      <c r="D59" s="7" t="n">
        <f aca="false">SUM(D42:D58)</f>
        <v>284</v>
      </c>
      <c r="E59" s="7" t="n">
        <f aca="false">SUM(E42:E58)</f>
        <v>523</v>
      </c>
      <c r="F59" s="7" t="n">
        <f aca="false">SUM(F42:F58)</f>
        <v>752</v>
      </c>
      <c r="G59" s="7" t="n">
        <f aca="false">SUM(G42:G58)</f>
        <v>996</v>
      </c>
      <c r="H59" s="7" t="n">
        <f aca="false">SUM(H42:H58)</f>
        <v>1220</v>
      </c>
      <c r="I59" s="7" t="n">
        <f aca="false">SUM(I42:I58)</f>
        <v>1352</v>
      </c>
      <c r="J59" s="7" t="n">
        <f aca="false">SUM(J42:J58)</f>
        <v>1460</v>
      </c>
      <c r="K59" s="7" t="n">
        <f aca="false">SUM(K42:K58)</f>
        <v>1572</v>
      </c>
    </row>
    <row r="61" customFormat="false" ht="15" hidden="false" customHeight="false" outlineLevel="0" collapsed="false">
      <c r="A61" s="1" t="s">
        <v>300</v>
      </c>
    </row>
    <row r="62" customFormat="false" ht="15" hidden="false" customHeight="false" outlineLevel="0" collapsed="false">
      <c r="A62" s="2" t="s">
        <v>301</v>
      </c>
    </row>
    <row r="63" customFormat="false" ht="15" hidden="false" customHeight="false" outlineLevel="0" collapsed="false">
      <c r="A63" s="3" t="s">
        <v>146</v>
      </c>
      <c r="B63" s="3" t="n">
        <v>2026</v>
      </c>
      <c r="C63" s="3" t="n">
        <v>2027</v>
      </c>
      <c r="D63" s="3" t="n">
        <v>2028</v>
      </c>
      <c r="E63" s="3" t="n">
        <v>2029</v>
      </c>
      <c r="F63" s="3" t="n">
        <v>2030</v>
      </c>
      <c r="G63" s="3" t="n">
        <v>2031</v>
      </c>
      <c r="H63" s="3" t="n">
        <v>2032</v>
      </c>
      <c r="I63" s="3" t="n">
        <v>2033</v>
      </c>
      <c r="J63" s="3" t="n">
        <v>2034</v>
      </c>
      <c r="K63" s="3" t="n">
        <v>2035</v>
      </c>
    </row>
    <row r="64" customFormat="false" ht="15" hidden="false" customHeight="false" outlineLevel="0" collapsed="false">
      <c r="A64" s="12" t="str">
        <f aca="false">datos_base!A2</f>
        <v>ABC 1 kg</v>
      </c>
      <c r="B64" s="26" t="n">
        <f aca="false">B42</f>
        <v>0</v>
      </c>
      <c r="C64" s="26" t="n">
        <f aca="false">MAX(0,C42-B42)+B42*IF(parametros_recargas!$B$51="CO₂",parametros_recargas!$B$23,parametros_recargas!$B$24)</f>
        <v>0</v>
      </c>
      <c r="D64" s="26" t="n">
        <f aca="false">MAX(0,D42-C42)+C42*IF(parametros_recargas!$B$51="CO₂",parametros_recargas!$B$23,parametros_recargas!$B$24)</f>
        <v>0</v>
      </c>
      <c r="E64" s="26" t="n">
        <f aca="false">MAX(0,E42-D42)+D42*IF(parametros_recargas!$B$51="CO₂",parametros_recargas!$B$23,parametros_recargas!$B$24)</f>
        <v>0</v>
      </c>
      <c r="F64" s="26" t="n">
        <f aca="false">MAX(0,F42-E42)+E42*IF(parametros_recargas!$B$51="CO₂",parametros_recargas!$B$23,parametros_recargas!$B$24)</f>
        <v>0</v>
      </c>
      <c r="G64" s="26" t="n">
        <f aca="false">MAX(0,G42-F42)+F42*IF(parametros_recargas!$B$51="CO₂",parametros_recargas!$B$23,parametros_recargas!$B$24)</f>
        <v>0</v>
      </c>
      <c r="H64" s="26" t="n">
        <f aca="false">MAX(0,H42-G42)+G42*IF(parametros_recargas!$B$51="CO₂",parametros_recargas!$B$23,parametros_recargas!$B$24)</f>
        <v>0</v>
      </c>
      <c r="I64" s="26" t="n">
        <f aca="false">MAX(0,I42-H42)+H42*IF(parametros_recargas!$B$51="CO₂",parametros_recargas!$B$23,parametros_recargas!$B$24)</f>
        <v>0</v>
      </c>
      <c r="J64" s="26" t="n">
        <f aca="false">MAX(0,J42-I42)+I42*IF(parametros_recargas!$B$51="CO₂",parametros_recargas!$B$23,parametros_recargas!$B$24)</f>
        <v>0</v>
      </c>
      <c r="K64" s="26" t="n">
        <f aca="false">MAX(0,K42-J42)+J42*IF(parametros_recargas!$B$51="CO₂",parametros_recargas!$B$23,parametros_recargas!$B$24)</f>
        <v>0</v>
      </c>
    </row>
    <row r="65" customFormat="false" ht="15" hidden="false" customHeight="false" outlineLevel="0" collapsed="false">
      <c r="A65" s="12" t="str">
        <f aca="false">datos_base!A3</f>
        <v>ABC 2,5 kg</v>
      </c>
      <c r="B65" s="26" t="n">
        <f aca="false">B43</f>
        <v>3</v>
      </c>
      <c r="C65" s="26" t="n">
        <f aca="false">MAX(0,C43-B43)+B43*IF(parametros_recargas!$B$52="CO₂",parametros_recargas!$B$23,parametros_recargas!$B$24)</f>
        <v>9.24</v>
      </c>
      <c r="D65" s="26" t="n">
        <f aca="false">MAX(0,D43-C43)+C43*IF(parametros_recargas!$B$52="CO₂",parametros_recargas!$B$23,parametros_recargas!$B$24)</f>
        <v>15.96</v>
      </c>
      <c r="E65" s="26" t="n">
        <f aca="false">MAX(0,E43-D43)+D43*IF(parametros_recargas!$B$52="CO₂",parametros_recargas!$B$23,parametros_recargas!$B$24)</f>
        <v>24.16</v>
      </c>
      <c r="F65" s="26" t="n">
        <f aca="false">MAX(0,F43-E43)+E43*IF(parametros_recargas!$B$52="CO₂",parametros_recargas!$B$23,parametros_recargas!$B$24)</f>
        <v>24.92</v>
      </c>
      <c r="G65" s="26" t="n">
        <f aca="false">MAX(0,G43-F43)+F43*IF(parametros_recargas!$B$52="CO₂",parametros_recargas!$B$23,parametros_recargas!$B$24)</f>
        <v>28.6</v>
      </c>
      <c r="H65" s="26" t="n">
        <f aca="false">MAX(0,H43-G43)+G43*IF(parametros_recargas!$B$52="CO₂",parametros_recargas!$B$23,parametros_recargas!$B$24)</f>
        <v>28.44</v>
      </c>
      <c r="I65" s="26" t="n">
        <f aca="false">MAX(0,I43-H43)+H43*IF(parametros_recargas!$B$52="CO₂",parametros_recargas!$B$23,parametros_recargas!$B$24)</f>
        <v>22.12</v>
      </c>
      <c r="J65" s="26" t="n">
        <f aca="false">MAX(0,J43-I43)+I43*IF(parametros_recargas!$B$52="CO₂",parametros_recargas!$B$23,parametros_recargas!$B$24)</f>
        <v>21.16</v>
      </c>
      <c r="K65" s="26" t="n">
        <f aca="false">MAX(0,K43-J43)+J43*IF(parametros_recargas!$B$52="CO₂",parametros_recargas!$B$23,parametros_recargas!$B$24)</f>
        <v>21.04</v>
      </c>
    </row>
    <row r="66" customFormat="false" ht="15" hidden="false" customHeight="false" outlineLevel="0" collapsed="false">
      <c r="A66" s="12" t="str">
        <f aca="false">datos_base!A4</f>
        <v>ABC 5 kg</v>
      </c>
      <c r="B66" s="26" t="n">
        <f aca="false">B44</f>
        <v>18</v>
      </c>
      <c r="C66" s="26" t="n">
        <f aca="false">MAX(0,C44-B44)+B44*IF(parametros_recargas!$B$53="CO₂",parametros_recargas!$B$23,parametros_recargas!$B$24)</f>
        <v>53.44</v>
      </c>
      <c r="D66" s="26" t="n">
        <f aca="false">MAX(0,D44-C44)+C44*IF(parametros_recargas!$B$53="CO₂",parametros_recargas!$B$23,parametros_recargas!$B$24)</f>
        <v>94.6</v>
      </c>
      <c r="E66" s="26" t="n">
        <f aca="false">MAX(0,E44-D44)+D44*IF(parametros_recargas!$B$53="CO₂",parametros_recargas!$B$23,parametros_recargas!$B$24)</f>
        <v>152.72</v>
      </c>
      <c r="F66" s="26" t="n">
        <f aca="false">MAX(0,F44-E44)+E44*IF(parametros_recargas!$B$53="CO₂",parametros_recargas!$B$23,parametros_recargas!$B$24)</f>
        <v>155.92</v>
      </c>
      <c r="G66" s="26" t="n">
        <f aca="false">MAX(0,G44-F44)+F44*IF(parametros_recargas!$B$53="CO₂",parametros_recargas!$B$23,parametros_recargas!$B$24)</f>
        <v>176.48</v>
      </c>
      <c r="H66" s="26" t="n">
        <f aca="false">MAX(0,H44-G44)+G44*IF(parametros_recargas!$B$53="CO₂",parametros_recargas!$B$23,parametros_recargas!$B$24)</f>
        <v>173.84</v>
      </c>
      <c r="I66" s="26" t="n">
        <f aca="false">MAX(0,I44-H44)+H44*IF(parametros_recargas!$B$53="CO₂",parametros_recargas!$B$23,parametros_recargas!$B$24)</f>
        <v>132.08</v>
      </c>
      <c r="J66" s="26" t="n">
        <f aca="false">MAX(0,J44-I44)+I44*IF(parametros_recargas!$B$53="CO₂",parametros_recargas!$B$23,parametros_recargas!$B$24)</f>
        <v>123.16</v>
      </c>
      <c r="K66" s="26" t="n">
        <f aca="false">MAX(0,K44-J44)+J44*IF(parametros_recargas!$B$53="CO₂",parametros_recargas!$B$23,parametros_recargas!$B$24)</f>
        <v>129.04</v>
      </c>
    </row>
    <row r="67" customFormat="false" ht="15" hidden="false" customHeight="false" outlineLevel="0" collapsed="false">
      <c r="A67" s="12" t="str">
        <f aca="false">datos_base!A5</f>
        <v>ABC 10 kg</v>
      </c>
      <c r="B67" s="26" t="n">
        <f aca="false">B45</f>
        <v>2</v>
      </c>
      <c r="C67" s="26" t="n">
        <f aca="false">MAX(0,C45-B45)+B45*IF(parametros_recargas!$B$54="CO₂",parametros_recargas!$B$23,parametros_recargas!$B$24)</f>
        <v>2.16</v>
      </c>
      <c r="D67" s="26" t="n">
        <f aca="false">MAX(0,D45-C45)+C45*IF(parametros_recargas!$B$54="CO₂",parametros_recargas!$B$23,parametros_recargas!$B$24)</f>
        <v>6.32</v>
      </c>
      <c r="E67" s="26" t="n">
        <f aca="false">MAX(0,E45-D45)+D45*IF(parametros_recargas!$B$54="CO₂",parametros_recargas!$B$23,parametros_recargas!$B$24)</f>
        <v>8.8</v>
      </c>
      <c r="F67" s="26" t="n">
        <f aca="false">MAX(0,F45-E45)+E45*IF(parametros_recargas!$B$54="CO₂",parametros_recargas!$B$23,parametros_recargas!$B$24)</f>
        <v>9.44</v>
      </c>
      <c r="G67" s="26" t="n">
        <f aca="false">MAX(0,G45-F45)+F45*IF(parametros_recargas!$B$54="CO₂",parametros_recargas!$B$23,parametros_recargas!$B$24)</f>
        <v>10.08</v>
      </c>
      <c r="H67" s="26" t="n">
        <f aca="false">MAX(0,H45-G45)+G45*IF(parametros_recargas!$B$54="CO₂",parametros_recargas!$B$23,parametros_recargas!$B$24)</f>
        <v>10.72</v>
      </c>
      <c r="I67" s="26" t="n">
        <f aca="false">MAX(0,I45-H45)+H45*IF(parametros_recargas!$B$54="CO₂",parametros_recargas!$B$23,parametros_recargas!$B$24)</f>
        <v>7.36</v>
      </c>
      <c r="J67" s="26" t="n">
        <f aca="false">MAX(0,J45-I45)+I45*IF(parametros_recargas!$B$54="CO₂",parametros_recargas!$B$23,parametros_recargas!$B$24)</f>
        <v>7.68</v>
      </c>
      <c r="K67" s="26" t="n">
        <f aca="false">MAX(0,K45-J45)+J45*IF(parametros_recargas!$B$54="CO₂",parametros_recargas!$B$23,parametros_recargas!$B$24)</f>
        <v>8</v>
      </c>
    </row>
    <row r="68" customFormat="false" ht="15" hidden="false" customHeight="false" outlineLevel="0" collapsed="false">
      <c r="A68" s="12" t="str">
        <f aca="false">datos_base!A6</f>
        <v>Agua 10 l</v>
      </c>
      <c r="B68" s="26" t="n">
        <f aca="false">B46</f>
        <v>2</v>
      </c>
      <c r="C68" s="26" t="n">
        <f aca="false">MAX(0,C46-B46)+B46*IF(parametros_recargas!$B$55="CO₂",parametros_recargas!$B$23,parametros_recargas!$B$24)</f>
        <v>4.16</v>
      </c>
      <c r="D68" s="26" t="n">
        <f aca="false">MAX(0,D46-C46)+C46*IF(parametros_recargas!$B$55="CO₂",parametros_recargas!$B$23,parametros_recargas!$B$24)</f>
        <v>8.48</v>
      </c>
      <c r="E68" s="26" t="n">
        <f aca="false">MAX(0,E46-D46)+D46*IF(parametros_recargas!$B$55="CO₂",parametros_recargas!$B$23,parametros_recargas!$B$24)</f>
        <v>12.12</v>
      </c>
      <c r="F68" s="26" t="n">
        <f aca="false">MAX(0,F46-E46)+E46*IF(parametros_recargas!$B$55="CO₂",parametros_recargas!$B$23,parametros_recargas!$B$24)</f>
        <v>13</v>
      </c>
      <c r="G68" s="26" t="n">
        <f aca="false">MAX(0,G46-F46)+F46*IF(parametros_recargas!$B$55="CO₂",parametros_recargas!$B$23,parametros_recargas!$B$24)</f>
        <v>14.88</v>
      </c>
      <c r="H68" s="26" t="n">
        <f aca="false">MAX(0,H46-G46)+G46*IF(parametros_recargas!$B$55="CO₂",parametros_recargas!$B$23,parametros_recargas!$B$24)</f>
        <v>14.84</v>
      </c>
      <c r="I68" s="26" t="n">
        <f aca="false">MAX(0,I46-H46)+H46*IF(parametros_recargas!$B$55="CO₂",parametros_recargas!$B$23,parametros_recargas!$B$24)</f>
        <v>10.72</v>
      </c>
      <c r="J68" s="26" t="n">
        <f aca="false">MAX(0,J46-I46)+I46*IF(parametros_recargas!$B$55="CO₂",parametros_recargas!$B$23,parametros_recargas!$B$24)</f>
        <v>10.2</v>
      </c>
      <c r="K68" s="26" t="n">
        <f aca="false">MAX(0,K46-J46)+J46*IF(parametros_recargas!$B$55="CO₂",parametros_recargas!$B$23,parametros_recargas!$B$24)</f>
        <v>11.6</v>
      </c>
    </row>
    <row r="69" customFormat="false" ht="15" hidden="false" customHeight="false" outlineLevel="0" collapsed="false">
      <c r="A69" s="12" t="str">
        <f aca="false">datos_base!A7</f>
        <v>AFFF 10 l</v>
      </c>
      <c r="B69" s="26" t="n">
        <f aca="false">B47</f>
        <v>1</v>
      </c>
      <c r="C69" s="26" t="n">
        <f aca="false">MAX(0,C47-B47)+B47*IF(parametros_recargas!$B$56="CO₂",parametros_recargas!$B$23,parametros_recargas!$B$24)</f>
        <v>1.08</v>
      </c>
      <c r="D69" s="26" t="n">
        <f aca="false">MAX(0,D47-C47)+C47*IF(parametros_recargas!$B$56="CO₂",parametros_recargas!$B$23,parametros_recargas!$B$24)</f>
        <v>1.16</v>
      </c>
      <c r="E69" s="26" t="n">
        <f aca="false">MAX(0,E47-D47)+D47*IF(parametros_recargas!$B$56="CO₂",parametros_recargas!$B$23,parametros_recargas!$B$24)</f>
        <v>2.24</v>
      </c>
      <c r="F69" s="26" t="n">
        <f aca="false">MAX(0,F47-E47)+E47*IF(parametros_recargas!$B$56="CO₂",parametros_recargas!$B$23,parametros_recargas!$B$24)</f>
        <v>2.4</v>
      </c>
      <c r="G69" s="26" t="n">
        <f aca="false">MAX(0,G47-F47)+F47*IF(parametros_recargas!$B$56="CO₂",parametros_recargas!$B$23,parametros_recargas!$B$24)</f>
        <v>2.56</v>
      </c>
      <c r="H69" s="26" t="n">
        <f aca="false">MAX(0,H47-G47)+G47*IF(parametros_recargas!$B$56="CO₂",parametros_recargas!$B$23,parametros_recargas!$B$24)</f>
        <v>2.72</v>
      </c>
      <c r="I69" s="26" t="n">
        <f aca="false">MAX(0,I47-H47)+H47*IF(parametros_recargas!$B$56="CO₂",parametros_recargas!$B$23,parametros_recargas!$B$24)</f>
        <v>2.88</v>
      </c>
      <c r="J69" s="26" t="n">
        <f aca="false">MAX(0,J47-I47)+I47*IF(parametros_recargas!$B$56="CO₂",parametros_recargas!$B$23,parametros_recargas!$B$24)</f>
        <v>2.04</v>
      </c>
      <c r="K69" s="26" t="n">
        <f aca="false">MAX(0,K47-J47)+J47*IF(parametros_recargas!$B$56="CO₂",parametros_recargas!$B$23,parametros_recargas!$B$24)</f>
        <v>2.12</v>
      </c>
    </row>
    <row r="70" customFormat="false" ht="15" hidden="false" customHeight="false" outlineLevel="0" collapsed="false">
      <c r="A70" s="12" t="str">
        <f aca="false">datos_base!A8</f>
        <v>AFFF 50 l s/ruedas</v>
      </c>
      <c r="B70" s="26" t="n">
        <f aca="false">B48</f>
        <v>1</v>
      </c>
      <c r="C70" s="26" t="n">
        <f aca="false">MAX(0,C48-B48)+B48*IF(parametros_recargas!$B$57="CO₂",parametros_recargas!$B$23,parametros_recargas!$B$24)</f>
        <v>0.08</v>
      </c>
      <c r="D70" s="26" t="n">
        <f aca="false">MAX(0,D48-C48)+C48*IF(parametros_recargas!$B$57="CO₂",parametros_recargas!$B$23,parametros_recargas!$B$24)</f>
        <v>1.08</v>
      </c>
      <c r="E70" s="26" t="n">
        <f aca="false">MAX(0,E48-D48)+D48*IF(parametros_recargas!$B$57="CO₂",parametros_recargas!$B$23,parametros_recargas!$B$24)</f>
        <v>1.16</v>
      </c>
      <c r="F70" s="26" t="n">
        <f aca="false">MAX(0,F48-E48)+E48*IF(parametros_recargas!$B$57="CO₂",parametros_recargas!$B$23,parametros_recargas!$B$24)</f>
        <v>1.24</v>
      </c>
      <c r="G70" s="26" t="n">
        <f aca="false">MAX(0,G48-F48)+F48*IF(parametros_recargas!$B$57="CO₂",parametros_recargas!$B$23,parametros_recargas!$B$24)</f>
        <v>1.32</v>
      </c>
      <c r="H70" s="26" t="n">
        <f aca="false">MAX(0,H48-G48)+G48*IF(parametros_recargas!$B$57="CO₂",parametros_recargas!$B$23,parametros_recargas!$B$24)</f>
        <v>1.4</v>
      </c>
      <c r="I70" s="26" t="n">
        <f aca="false">MAX(0,I48-H48)+H48*IF(parametros_recargas!$B$57="CO₂",parametros_recargas!$B$23,parametros_recargas!$B$24)</f>
        <v>1.48</v>
      </c>
      <c r="J70" s="26" t="n">
        <f aca="false">MAX(0,J48-I48)+I48*IF(parametros_recargas!$B$57="CO₂",parametros_recargas!$B$23,parametros_recargas!$B$24)</f>
        <v>0.56</v>
      </c>
      <c r="K70" s="26" t="n">
        <f aca="false">MAX(0,K48-J48)+J48*IF(parametros_recargas!$B$57="CO₂",parametros_recargas!$B$23,parametros_recargas!$B$24)</f>
        <v>1.56</v>
      </c>
    </row>
    <row r="71" customFormat="false" ht="15" hidden="false" customHeight="false" outlineLevel="0" collapsed="false">
      <c r="A71" s="12" t="str">
        <f aca="false">datos_base!A9</f>
        <v>BC 5 kg</v>
      </c>
      <c r="B71" s="26" t="n">
        <f aca="false">B49</f>
        <v>1</v>
      </c>
      <c r="C71" s="26" t="n">
        <f aca="false">MAX(0,C49-B49)+B49*IF(parametros_recargas!$B$58="CO₂",parametros_recargas!$B$23,parametros_recargas!$B$24)</f>
        <v>0.08</v>
      </c>
      <c r="D71" s="26" t="n">
        <f aca="false">MAX(0,D49-C49)+C49*IF(parametros_recargas!$B$58="CO₂",parametros_recargas!$B$23,parametros_recargas!$B$24)</f>
        <v>0.08</v>
      </c>
      <c r="E71" s="26" t="n">
        <f aca="false">MAX(0,E49-D49)+D49*IF(parametros_recargas!$B$58="CO₂",parametros_recargas!$B$23,parametros_recargas!$B$24)</f>
        <v>1.08</v>
      </c>
      <c r="F71" s="26" t="n">
        <f aca="false">MAX(0,F49-E49)+E49*IF(parametros_recargas!$B$58="CO₂",parametros_recargas!$B$23,parametros_recargas!$B$24)</f>
        <v>0.16</v>
      </c>
      <c r="G71" s="26" t="n">
        <f aca="false">MAX(0,G49-F49)+F49*IF(parametros_recargas!$B$58="CO₂",parametros_recargas!$B$23,parametros_recargas!$B$24)</f>
        <v>1.16</v>
      </c>
      <c r="H71" s="26" t="n">
        <f aca="false">MAX(0,H49-G49)+G49*IF(parametros_recargas!$B$58="CO₂",parametros_recargas!$B$23,parametros_recargas!$B$24)</f>
        <v>1.24</v>
      </c>
      <c r="I71" s="26" t="n">
        <f aca="false">MAX(0,I49-H49)+H49*IF(parametros_recargas!$B$58="CO₂",parametros_recargas!$B$23,parametros_recargas!$B$24)</f>
        <v>0.32</v>
      </c>
      <c r="J71" s="26" t="n">
        <f aca="false">MAX(0,J49-I49)+I49*IF(parametros_recargas!$B$58="CO₂",parametros_recargas!$B$23,parametros_recargas!$B$24)</f>
        <v>0.32</v>
      </c>
      <c r="K71" s="26" t="n">
        <f aca="false">MAX(0,K49-J49)+J49*IF(parametros_recargas!$B$58="CO₂",parametros_recargas!$B$23,parametros_recargas!$B$24)</f>
        <v>1.32</v>
      </c>
    </row>
    <row r="72" customFormat="false" ht="15" hidden="false" customHeight="false" outlineLevel="0" collapsed="false">
      <c r="A72" s="12" t="str">
        <f aca="false">datos_base!A10</f>
        <v>Sales K 6 l</v>
      </c>
      <c r="B72" s="26" t="n">
        <f aca="false">B50</f>
        <v>1</v>
      </c>
      <c r="C72" s="26" t="n">
        <f aca="false">MAX(0,C50-B50)+B50*IF(parametros_recargas!$B$59="CO₂",parametros_recargas!$B$23,parametros_recargas!$B$24)</f>
        <v>2.08</v>
      </c>
      <c r="D72" s="26" t="n">
        <f aca="false">MAX(0,D50-C50)+C50*IF(parametros_recargas!$B$59="CO₂",parametros_recargas!$B$23,parametros_recargas!$B$24)</f>
        <v>4.24</v>
      </c>
      <c r="E72" s="26" t="n">
        <f aca="false">MAX(0,E50-D50)+D50*IF(parametros_recargas!$B$59="CO₂",parametros_recargas!$B$23,parametros_recargas!$B$24)</f>
        <v>6.56</v>
      </c>
      <c r="F72" s="26" t="n">
        <f aca="false">MAX(0,F50-E50)+E50*IF(parametros_recargas!$B$59="CO₂",parametros_recargas!$B$23,parametros_recargas!$B$24)</f>
        <v>6.04</v>
      </c>
      <c r="G72" s="26" t="n">
        <f aca="false">MAX(0,G50-F50)+F50*IF(parametros_recargas!$B$59="CO₂",parametros_recargas!$B$23,parametros_recargas!$B$24)</f>
        <v>7.44</v>
      </c>
      <c r="H72" s="26" t="n">
        <f aca="false">MAX(0,H50-G50)+G50*IF(parametros_recargas!$B$59="CO₂",parametros_recargas!$B$23,parametros_recargas!$B$24)</f>
        <v>6.92</v>
      </c>
      <c r="I72" s="26" t="n">
        <f aca="false">MAX(0,I50-H50)+H50*IF(parametros_recargas!$B$59="CO₂",parametros_recargas!$B$23,parametros_recargas!$B$24)</f>
        <v>5.32</v>
      </c>
      <c r="J72" s="26" t="n">
        <f aca="false">MAX(0,J50-I50)+I50*IF(parametros_recargas!$B$59="CO₂",parametros_recargas!$B$23,parametros_recargas!$B$24)</f>
        <v>5.56</v>
      </c>
      <c r="K72" s="26" t="n">
        <f aca="false">MAX(0,K50-J50)+J50*IF(parametros_recargas!$B$59="CO₂",parametros_recargas!$B$23,parametros_recargas!$B$24)</f>
        <v>5.8</v>
      </c>
    </row>
    <row r="73" customFormat="false" ht="15" hidden="false" customHeight="false" outlineLevel="0" collapsed="false">
      <c r="A73" s="12" t="str">
        <f aca="false">datos_base!A11</f>
        <v>CO₂ 2 kg</v>
      </c>
      <c r="B73" s="26" t="n">
        <f aca="false">B51</f>
        <v>5</v>
      </c>
      <c r="C73" s="26" t="n">
        <f aca="false">MAX(0,C51-B51)+B51*IF(parametros_recargas!$B$60="CO₂",parametros_recargas!$B$23,parametros_recargas!$B$24)</f>
        <v>11.3166666666667</v>
      </c>
      <c r="D73" s="26" t="n">
        <f aca="false">MAX(0,D51-C51)+C51*IF(parametros_recargas!$B$60="CO₂",parametros_recargas!$B$23,parametros_recargas!$B$24)</f>
        <v>21.0133333333333</v>
      </c>
      <c r="E73" s="26" t="n">
        <f aca="false">MAX(0,E51-D51)+D51*IF(parametros_recargas!$B$60="CO₂",parametros_recargas!$B$23,parametros_recargas!$B$24)</f>
        <v>34.28</v>
      </c>
      <c r="F73" s="26" t="n">
        <f aca="false">MAX(0,F51-E51)+E51*IF(parametros_recargas!$B$60="CO₂",parametros_recargas!$B$23,parametros_recargas!$B$24)</f>
        <v>34.3066666666667</v>
      </c>
      <c r="G73" s="26" t="n">
        <f aca="false">MAX(0,G51-F51)+F51*IF(parametros_recargas!$B$60="CO₂",parametros_recargas!$B$23,parametros_recargas!$B$24)</f>
        <v>38.2066666666667</v>
      </c>
      <c r="H73" s="26" t="n">
        <f aca="false">MAX(0,H51-G51)+G51*IF(parametros_recargas!$B$60="CO₂",parametros_recargas!$B$23,parametros_recargas!$B$24)</f>
        <v>36.2333333333333</v>
      </c>
      <c r="I73" s="26" t="n">
        <f aca="false">MAX(0,I51-H51)+H51*IF(parametros_recargas!$B$60="CO₂",parametros_recargas!$B$23,parametros_recargas!$B$24)</f>
        <v>27.0066666666667</v>
      </c>
      <c r="J73" s="26" t="n">
        <f aca="false">MAX(0,J51-I51)+I51*IF(parametros_recargas!$B$60="CO₂",parametros_recargas!$B$23,parametros_recargas!$B$24)</f>
        <v>25.0833333333333</v>
      </c>
      <c r="K73" s="26" t="n">
        <f aca="false">MAX(0,K51-J51)+J51*IF(parametros_recargas!$B$60="CO₂",parametros_recargas!$B$23,parametros_recargas!$B$24)</f>
        <v>25.97</v>
      </c>
    </row>
    <row r="74" customFormat="false" ht="15" hidden="false" customHeight="false" outlineLevel="0" collapsed="false">
      <c r="A74" s="12" t="str">
        <f aca="false">datos_base!A12</f>
        <v>CO₂ 5 kg</v>
      </c>
      <c r="B74" s="26" t="n">
        <f aca="false">B52</f>
        <v>2</v>
      </c>
      <c r="C74" s="26" t="n">
        <f aca="false">MAX(0,C52-B52)+B52*IF(parametros_recargas!$B$61="CO₂",parametros_recargas!$B$23,parametros_recargas!$B$24)</f>
        <v>4.12666666666667</v>
      </c>
      <c r="D74" s="26" t="n">
        <f aca="false">MAX(0,D52-C52)+C52*IF(parametros_recargas!$B$61="CO₂",parametros_recargas!$B$23,parametros_recargas!$B$24)</f>
        <v>7.38</v>
      </c>
      <c r="E74" s="26" t="n">
        <f aca="false">MAX(0,E52-D52)+D52*IF(parametros_recargas!$B$61="CO₂",parametros_recargas!$B$23,parametros_recargas!$B$24)</f>
        <v>9.82333333333333</v>
      </c>
      <c r="F74" s="26" t="n">
        <f aca="false">MAX(0,F52-E52)+E52*IF(parametros_recargas!$B$61="CO₂",parametros_recargas!$B$23,parametros_recargas!$B$24)</f>
        <v>11.3933333333333</v>
      </c>
      <c r="G74" s="26" t="n">
        <f aca="false">MAX(0,G52-F52)+F52*IF(parametros_recargas!$B$61="CO₂",parametros_recargas!$B$23,parametros_recargas!$B$24)</f>
        <v>13.0266666666667</v>
      </c>
      <c r="H74" s="26" t="n">
        <f aca="false">MAX(0,H52-G52)+G52*IF(parametros_recargas!$B$61="CO₂",parametros_recargas!$B$23,parametros_recargas!$B$24)</f>
        <v>12.7233333333333</v>
      </c>
      <c r="I74" s="26" t="n">
        <f aca="false">MAX(0,I52-H52)+H52*IF(parametros_recargas!$B$61="CO₂",parametros_recargas!$B$23,parametros_recargas!$B$24)</f>
        <v>9.35666666666667</v>
      </c>
      <c r="J74" s="26" t="n">
        <f aca="false">MAX(0,J52-I52)+I52*IF(parametros_recargas!$B$61="CO₂",parametros_recargas!$B$23,parametros_recargas!$B$24)</f>
        <v>8.73666666666667</v>
      </c>
      <c r="K74" s="26" t="n">
        <f aca="false">MAX(0,K52-J52)+J52*IF(parametros_recargas!$B$61="CO₂",parametros_recargas!$B$23,parametros_recargas!$B$24)</f>
        <v>10.0533333333333</v>
      </c>
    </row>
    <row r="75" customFormat="false" ht="15" hidden="false" customHeight="false" outlineLevel="0" collapsed="false">
      <c r="A75" s="12" t="str">
        <f aca="false">datos_base!A13</f>
        <v>HCFC/HFC 5 kg</v>
      </c>
      <c r="B75" s="26" t="n">
        <f aca="false">B53</f>
        <v>1</v>
      </c>
      <c r="C75" s="26" t="n">
        <f aca="false">MAX(0,C53-B53)+B53*IF(parametros_recargas!$B$62="CO₂",parametros_recargas!$B$23,parametros_recargas!$B$24)</f>
        <v>0.08</v>
      </c>
      <c r="D75" s="26" t="n">
        <f aca="false">MAX(0,D53-C53)+C53*IF(parametros_recargas!$B$62="CO₂",parametros_recargas!$B$23,parametros_recargas!$B$24)</f>
        <v>2.08</v>
      </c>
      <c r="E75" s="26" t="n">
        <f aca="false">MAX(0,E53-D53)+D53*IF(parametros_recargas!$B$62="CO₂",parametros_recargas!$B$23,parametros_recargas!$B$24)</f>
        <v>1.24</v>
      </c>
      <c r="F75" s="26" t="n">
        <f aca="false">MAX(0,F53-E53)+E53*IF(parametros_recargas!$B$62="CO₂",parametros_recargas!$B$23,parametros_recargas!$B$24)</f>
        <v>2.32</v>
      </c>
      <c r="G75" s="26" t="n">
        <f aca="false">MAX(0,G53-F53)+F53*IF(parametros_recargas!$B$62="CO₂",parametros_recargas!$B$23,parametros_recargas!$B$24)</f>
        <v>1.48</v>
      </c>
      <c r="H75" s="26" t="n">
        <f aca="false">MAX(0,H53-G53)+G53*IF(parametros_recargas!$B$62="CO₂",parametros_recargas!$B$23,parametros_recargas!$B$24)</f>
        <v>2.56</v>
      </c>
      <c r="I75" s="26" t="n">
        <f aca="false">MAX(0,I53-H53)+H53*IF(parametros_recargas!$B$62="CO₂",parametros_recargas!$B$23,parametros_recargas!$B$24)</f>
        <v>1.72</v>
      </c>
      <c r="J75" s="26" t="n">
        <f aca="false">MAX(0,J53-I53)+I53*IF(parametros_recargas!$B$62="CO₂",parametros_recargas!$B$23,parametros_recargas!$B$24)</f>
        <v>1.8</v>
      </c>
      <c r="K75" s="26" t="n">
        <f aca="false">MAX(0,K53-J53)+J53*IF(parametros_recargas!$B$62="CO₂",parametros_recargas!$B$23,parametros_recargas!$B$24)</f>
        <v>1.88</v>
      </c>
    </row>
    <row r="76" customFormat="false" ht="15" hidden="false" customHeight="false" outlineLevel="0" collapsed="false">
      <c r="A76" s="12" t="str">
        <f aca="false">datos_base!A14</f>
        <v>Clase D 9 l</v>
      </c>
      <c r="B76" s="26" t="n">
        <f aca="false">B54</f>
        <v>1</v>
      </c>
      <c r="C76" s="26" t="n">
        <f aca="false">MAX(0,C54-B54)+B54*IF(parametros_recargas!$B$63="CO₂",parametros_recargas!$B$23,parametros_recargas!$B$24)</f>
        <v>0.08</v>
      </c>
      <c r="D76" s="26" t="n">
        <f aca="false">MAX(0,D54-C54)+C54*IF(parametros_recargas!$B$63="CO₂",parametros_recargas!$B$23,parametros_recargas!$B$24)</f>
        <v>0.08</v>
      </c>
      <c r="E76" s="26" t="n">
        <f aca="false">MAX(0,E54-D54)+D54*IF(parametros_recargas!$B$63="CO₂",parametros_recargas!$B$23,parametros_recargas!$B$24)</f>
        <v>1.08</v>
      </c>
      <c r="F76" s="26" t="n">
        <f aca="false">MAX(0,F54-E54)+E54*IF(parametros_recargas!$B$63="CO₂",parametros_recargas!$B$23,parametros_recargas!$B$24)</f>
        <v>0.16</v>
      </c>
      <c r="G76" s="26" t="n">
        <f aca="false">MAX(0,G54-F54)+F54*IF(parametros_recargas!$B$63="CO₂",parametros_recargas!$B$23,parametros_recargas!$B$24)</f>
        <v>1.16</v>
      </c>
      <c r="H76" s="26" t="n">
        <f aca="false">MAX(0,H54-G54)+G54*IF(parametros_recargas!$B$63="CO₂",parametros_recargas!$B$23,parametros_recargas!$B$24)</f>
        <v>0.24</v>
      </c>
      <c r="I76" s="26" t="n">
        <f aca="false">MAX(0,I54-H54)+H54*IF(parametros_recargas!$B$63="CO₂",parametros_recargas!$B$23,parametros_recargas!$B$24)</f>
        <v>1.24</v>
      </c>
      <c r="J76" s="26" t="n">
        <f aca="false">MAX(0,J54-I54)+I54*IF(parametros_recargas!$B$63="CO₂",parametros_recargas!$B$23,parametros_recargas!$B$24)</f>
        <v>0.32</v>
      </c>
      <c r="K76" s="26" t="n">
        <f aca="false">MAX(0,K54-J54)+J54*IF(parametros_recargas!$B$63="CO₂",parametros_recargas!$B$23,parametros_recargas!$B$24)</f>
        <v>0.32</v>
      </c>
    </row>
    <row r="77" customFormat="false" ht="15" hidden="false" customHeight="false" outlineLevel="0" collapsed="false">
      <c r="A77" s="12" t="str">
        <f aca="false">datos_base!A15</f>
        <v>ABC 25 kg s/ruedas</v>
      </c>
      <c r="B77" s="26" t="n">
        <f aca="false">B55</f>
        <v>1</v>
      </c>
      <c r="C77" s="26" t="n">
        <f aca="false">MAX(0,C55-B55)+B55*IF(parametros_recargas!$B$64="CO₂",parametros_recargas!$B$23,parametros_recargas!$B$24)</f>
        <v>0.08</v>
      </c>
      <c r="D77" s="26" t="n">
        <f aca="false">MAX(0,D55-C55)+C55*IF(parametros_recargas!$B$64="CO₂",parametros_recargas!$B$23,parametros_recargas!$B$24)</f>
        <v>1.08</v>
      </c>
      <c r="E77" s="26" t="n">
        <f aca="false">MAX(0,E55-D55)+D55*IF(parametros_recargas!$B$64="CO₂",parametros_recargas!$B$23,parametros_recargas!$B$24)</f>
        <v>1.16</v>
      </c>
      <c r="F77" s="26" t="n">
        <f aca="false">MAX(0,F55-E55)+E55*IF(parametros_recargas!$B$64="CO₂",parametros_recargas!$B$23,parametros_recargas!$B$24)</f>
        <v>2.24</v>
      </c>
      <c r="G77" s="26" t="n">
        <f aca="false">MAX(0,G55-F55)+F55*IF(parametros_recargas!$B$64="CO₂",parametros_recargas!$B$23,parametros_recargas!$B$24)</f>
        <v>1.4</v>
      </c>
      <c r="H77" s="26" t="n">
        <f aca="false">MAX(0,H55-G55)+G55*IF(parametros_recargas!$B$64="CO₂",parametros_recargas!$B$23,parametros_recargas!$B$24)</f>
        <v>2.48</v>
      </c>
      <c r="I77" s="26" t="n">
        <f aca="false">MAX(0,I55-H55)+H55*IF(parametros_recargas!$B$64="CO₂",parametros_recargas!$B$23,parametros_recargas!$B$24)</f>
        <v>0.64</v>
      </c>
      <c r="J77" s="26" t="n">
        <f aca="false">MAX(0,J55-I55)+I55*IF(parametros_recargas!$B$64="CO₂",parametros_recargas!$B$23,parametros_recargas!$B$24)</f>
        <v>1.64</v>
      </c>
      <c r="K77" s="26" t="n">
        <f aca="false">MAX(0,K55-J55)+J55*IF(parametros_recargas!$B$64="CO₂",parametros_recargas!$B$23,parametros_recargas!$B$24)</f>
        <v>1.72</v>
      </c>
    </row>
    <row r="78" customFormat="false" ht="15" hidden="false" customHeight="false" outlineLevel="0" collapsed="false">
      <c r="A78" s="12" t="str">
        <f aca="false">datos_base!A16</f>
        <v>ABC 50 kg s/ruedas</v>
      </c>
      <c r="B78" s="26" t="n">
        <f aca="false">B56</f>
        <v>1</v>
      </c>
      <c r="C78" s="26" t="n">
        <f aca="false">MAX(0,C56-B56)+B56*IF(parametros_recargas!$B$65="CO₂",parametros_recargas!$B$23,parametros_recargas!$B$24)</f>
        <v>1.08</v>
      </c>
      <c r="D78" s="26" t="n">
        <f aca="false">MAX(0,D56-C56)+C56*IF(parametros_recargas!$B$65="CO₂",parametros_recargas!$B$23,parametros_recargas!$B$24)</f>
        <v>2.16</v>
      </c>
      <c r="E78" s="26" t="n">
        <f aca="false">MAX(0,E56-D56)+D56*IF(parametros_recargas!$B$65="CO₂",parametros_recargas!$B$23,parametros_recargas!$B$24)</f>
        <v>3.32</v>
      </c>
      <c r="F78" s="26" t="n">
        <f aca="false">MAX(0,F56-E56)+E56*IF(parametros_recargas!$B$65="CO₂",parametros_recargas!$B$23,parametros_recargas!$B$24)</f>
        <v>3.56</v>
      </c>
      <c r="G78" s="26" t="n">
        <f aca="false">MAX(0,G56-F56)+F56*IF(parametros_recargas!$B$65="CO₂",parametros_recargas!$B$23,parametros_recargas!$B$24)</f>
        <v>3.8</v>
      </c>
      <c r="H78" s="26" t="n">
        <f aca="false">MAX(0,H56-G56)+G56*IF(parametros_recargas!$B$65="CO₂",parametros_recargas!$B$23,parametros_recargas!$B$24)</f>
        <v>4.04</v>
      </c>
      <c r="I78" s="26" t="n">
        <f aca="false">MAX(0,I56-H56)+H56*IF(parametros_recargas!$B$65="CO₂",parametros_recargas!$B$23,parametros_recargas!$B$24)</f>
        <v>3.28</v>
      </c>
      <c r="J78" s="26" t="n">
        <f aca="false">MAX(0,J56-I56)+I56*IF(parametros_recargas!$B$65="CO₂",parametros_recargas!$B$23,parametros_recargas!$B$24)</f>
        <v>2.44</v>
      </c>
      <c r="K78" s="26" t="n">
        <f aca="false">MAX(0,K56-J56)+J56*IF(parametros_recargas!$B$65="CO₂",parametros_recargas!$B$23,parametros_recargas!$B$24)</f>
        <v>3.52</v>
      </c>
    </row>
    <row r="79" customFormat="false" ht="15" hidden="false" customHeight="false" outlineLevel="0" collapsed="false">
      <c r="A79" s="12" t="str">
        <f aca="false">datos_base!A17</f>
        <v>ABC 70 kg s/ruedas</v>
      </c>
      <c r="B79" s="26" t="n">
        <f aca="false">B57</f>
        <v>1</v>
      </c>
      <c r="C79" s="26" t="n">
        <f aca="false">MAX(0,C57-B57)+B57*IF(parametros_recargas!$B$66="CO₂",parametros_recargas!$B$23,parametros_recargas!$B$24)</f>
        <v>0.08</v>
      </c>
      <c r="D79" s="26" t="n">
        <f aca="false">MAX(0,D57-C57)+C57*IF(parametros_recargas!$B$66="CO₂",parametros_recargas!$B$23,parametros_recargas!$B$24)</f>
        <v>0.08</v>
      </c>
      <c r="E79" s="26" t="n">
        <f aca="false">MAX(0,E57-D57)+D57*IF(parametros_recargas!$B$66="CO₂",parametros_recargas!$B$23,parametros_recargas!$B$24)</f>
        <v>1.08</v>
      </c>
      <c r="F79" s="26" t="n">
        <f aca="false">MAX(0,F57-E57)+E57*IF(parametros_recargas!$B$66="CO₂",parametros_recargas!$B$23,parametros_recargas!$B$24)</f>
        <v>1.16</v>
      </c>
      <c r="G79" s="26" t="n">
        <f aca="false">MAX(0,G57-F57)+F57*IF(parametros_recargas!$B$66="CO₂",parametros_recargas!$B$23,parametros_recargas!$B$24)</f>
        <v>0.24</v>
      </c>
      <c r="H79" s="26" t="n">
        <f aca="false">MAX(0,H57-G57)+G57*IF(parametros_recargas!$B$66="CO₂",parametros_recargas!$B$23,parametros_recargas!$B$24)</f>
        <v>1.24</v>
      </c>
      <c r="I79" s="26" t="n">
        <f aca="false">MAX(0,I57-H57)+H57*IF(parametros_recargas!$B$66="CO₂",parametros_recargas!$B$23,parametros_recargas!$B$24)</f>
        <v>0.32</v>
      </c>
      <c r="J79" s="26" t="n">
        <f aca="false">MAX(0,J57-I57)+I57*IF(parametros_recargas!$B$66="CO₂",parametros_recargas!$B$23,parametros_recargas!$B$24)</f>
        <v>1.32</v>
      </c>
      <c r="K79" s="26" t="n">
        <f aca="false">MAX(0,K57-J57)+J57*IF(parametros_recargas!$B$66="CO₂",parametros_recargas!$B$23,parametros_recargas!$B$24)</f>
        <v>0.4</v>
      </c>
    </row>
    <row r="80" customFormat="false" ht="15" hidden="false" customHeight="false" outlineLevel="0" collapsed="false">
      <c r="A80" s="12" t="str">
        <f aca="false">datos_base!A18</f>
        <v>ABC 100 kg s/ruedas</v>
      </c>
      <c r="B80" s="26" t="n">
        <f aca="false">B58</f>
        <v>1</v>
      </c>
      <c r="C80" s="26" t="n">
        <f aca="false">MAX(0,C58-B58)+B58*IF(parametros_recargas!$B$67="CO₂",parametros_recargas!$B$23,parametros_recargas!$B$24)</f>
        <v>0.08</v>
      </c>
      <c r="D80" s="26" t="n">
        <f aca="false">MAX(0,D58-C58)+C58*IF(parametros_recargas!$B$67="CO₂",parametros_recargas!$B$23,parametros_recargas!$B$24)</f>
        <v>0.08</v>
      </c>
      <c r="E80" s="26" t="n">
        <f aca="false">MAX(0,E58-D58)+D58*IF(parametros_recargas!$B$67="CO₂",parametros_recargas!$B$23,parametros_recargas!$B$24)</f>
        <v>0.08</v>
      </c>
      <c r="F80" s="26" t="n">
        <f aca="false">MAX(0,F58-E58)+E58*IF(parametros_recargas!$B$67="CO₂",parametros_recargas!$B$23,parametros_recargas!$B$24)</f>
        <v>1.08</v>
      </c>
      <c r="G80" s="26" t="n">
        <f aca="false">MAX(0,G58-F58)+F58*IF(parametros_recargas!$B$67="CO₂",parametros_recargas!$B$23,parametros_recargas!$B$24)</f>
        <v>0.16</v>
      </c>
      <c r="H80" s="26" t="n">
        <f aca="false">MAX(0,H58-G58)+G58*IF(parametros_recargas!$B$67="CO₂",parametros_recargas!$B$23,parametros_recargas!$B$24)</f>
        <v>1.16</v>
      </c>
      <c r="I80" s="26" t="n">
        <f aca="false">MAX(0,I58-H58)+H58*IF(parametros_recargas!$B$67="CO₂",parametros_recargas!$B$23,parametros_recargas!$B$24)</f>
        <v>0.24</v>
      </c>
      <c r="J80" s="26" t="n">
        <f aca="false">MAX(0,J58-I58)+I58*IF(parametros_recargas!$B$67="CO₂",parametros_recargas!$B$23,parametros_recargas!$B$24)</f>
        <v>0.24</v>
      </c>
      <c r="K80" s="26" t="n">
        <f aca="false">MAX(0,K58-J58)+J58*IF(parametros_recargas!$B$67="CO₂",parametros_recargas!$B$23,parametros_recargas!$B$24)</f>
        <v>0.24</v>
      </c>
    </row>
    <row r="81" customFormat="false" ht="15" hidden="false" customHeight="false" outlineLevel="0" collapsed="false">
      <c r="A81" s="6" t="s">
        <v>302</v>
      </c>
      <c r="B81" s="27" t="n">
        <f aca="false">SUMIF($E$21:$E$37,"Fabrica",B64:B80)</f>
        <v>0</v>
      </c>
      <c r="C81" s="27" t="n">
        <f aca="false">SUMIF($E$21:$E$37,"Fabrica",C64:C80)</f>
        <v>0</v>
      </c>
      <c r="D81" s="27" t="n">
        <f aca="false">SUMIF($E$21:$E$37,"Fabrica",D64:D80)</f>
        <v>0</v>
      </c>
      <c r="E81" s="27" t="n">
        <f aca="false">SUMIF($E$21:$E$37,"Fabrica",E64:E80)</f>
        <v>0</v>
      </c>
      <c r="F81" s="27" t="n">
        <f aca="false">SUMIF($E$21:$E$37,"Fabrica",F64:F80)</f>
        <v>0</v>
      </c>
      <c r="G81" s="27" t="n">
        <f aca="false">SUMIF($E$21:$E$37,"Fabrica",G64:G80)</f>
        <v>0</v>
      </c>
      <c r="H81" s="27" t="n">
        <f aca="false">SUMIF($E$21:$E$37,"Fabrica",H64:H80)</f>
        <v>0</v>
      </c>
      <c r="I81" s="27" t="n">
        <f aca="false">SUMIF($E$21:$E$37,"Fabrica",I64:I80)</f>
        <v>0</v>
      </c>
      <c r="J81" s="27" t="n">
        <f aca="false">SUMIF($E$21:$E$37,"Fabrica",J64:J80)</f>
        <v>0</v>
      </c>
      <c r="K81" s="27" t="n">
        <f aca="false">SUMIF($E$21:$E$37,"Fabrica",K64:K80)</f>
        <v>0</v>
      </c>
    </row>
    <row r="82" customFormat="false" ht="15" hidden="false" customHeight="false" outlineLevel="0" collapsed="false">
      <c r="A82" s="6" t="s">
        <v>303</v>
      </c>
      <c r="B82" s="27" t="n">
        <f aca="false">SUMIF($E$21:$E$37,"Compra",B64:B80)</f>
        <v>42</v>
      </c>
      <c r="C82" s="27" t="n">
        <f aca="false">SUMIF($E$21:$E$37,"Compra",C64:C80)</f>
        <v>89.2433333333333</v>
      </c>
      <c r="D82" s="27" t="n">
        <f aca="false">SUMIF($E$21:$E$37,"Compra",D64:D80)</f>
        <v>165.873333333333</v>
      </c>
      <c r="E82" s="27" t="n">
        <f aca="false">SUMIF($E$21:$E$37,"Compra",E64:E80)</f>
        <v>260.903333333333</v>
      </c>
      <c r="F82" s="27" t="n">
        <f aca="false">SUMIF($E$21:$E$37,"Compra",F64:F80)</f>
        <v>269.34</v>
      </c>
      <c r="G82" s="27" t="n">
        <f aca="false">SUMIF($E$21:$E$37,"Compra",G64:G80)</f>
        <v>301.993333333333</v>
      </c>
      <c r="H82" s="27" t="n">
        <f aca="false">SUMIF($E$21:$E$37,"Compra",H64:H80)</f>
        <v>300.796666666667</v>
      </c>
      <c r="I82" s="27" t="n">
        <f aca="false">SUMIF($E$21:$E$37,"Compra",I64:I80)</f>
        <v>226.083333333333</v>
      </c>
      <c r="J82" s="27" t="n">
        <f aca="false">SUMIF($E$21:$E$37,"Compra",J64:J80)</f>
        <v>212.26</v>
      </c>
      <c r="K82" s="27" t="n">
        <f aca="false">SUMIF($E$21:$E$37,"Compra",K64:K80)</f>
        <v>224.583333333333</v>
      </c>
    </row>
    <row r="83" customFormat="false" ht="15" hidden="false" customHeight="false" outlineLevel="0" collapsed="false">
      <c r="A83" s="6" t="s">
        <v>304</v>
      </c>
      <c r="B83" s="27" t="n">
        <f aca="false">SUM(B64:B80)</f>
        <v>42</v>
      </c>
      <c r="C83" s="27" t="n">
        <f aca="false">SUM(C64:C80)</f>
        <v>89.2433333333333</v>
      </c>
      <c r="D83" s="27" t="n">
        <f aca="false">SUM(D64:D80)</f>
        <v>165.873333333333</v>
      </c>
      <c r="E83" s="27" t="n">
        <f aca="false">SUM(E64:E80)</f>
        <v>260.903333333333</v>
      </c>
      <c r="F83" s="27" t="n">
        <f aca="false">SUM(F64:F80)</f>
        <v>269.34</v>
      </c>
      <c r="G83" s="27" t="n">
        <f aca="false">SUM(G64:G80)</f>
        <v>301.993333333333</v>
      </c>
      <c r="H83" s="27" t="n">
        <f aca="false">SUM(H64:H80)</f>
        <v>300.796666666667</v>
      </c>
      <c r="I83" s="27" t="n">
        <f aca="false">SUM(I64:I80)</f>
        <v>226.083333333333</v>
      </c>
      <c r="J83" s="27" t="n">
        <f aca="false">SUM(J64:J80)</f>
        <v>212.26</v>
      </c>
      <c r="K83" s="27" t="n">
        <f aca="false">SUM(K64:K80)</f>
        <v>224.583333333333</v>
      </c>
    </row>
    <row r="85" customFormat="false" ht="15" hidden="false" customHeight="false" outlineLevel="0" collapsed="false">
      <c r="A85" s="1" t="s">
        <v>305</v>
      </c>
    </row>
    <row r="86" customFormat="false" ht="15" hidden="false" customHeight="false" outlineLevel="0" collapsed="false">
      <c r="A86" s="2" t="s">
        <v>306</v>
      </c>
    </row>
    <row r="87" customFormat="false" ht="15" hidden="false" customHeight="false" outlineLevel="0" collapsed="false">
      <c r="A87" s="3" t="s">
        <v>146</v>
      </c>
      <c r="B87" s="3" t="n">
        <v>2026</v>
      </c>
      <c r="C87" s="3" t="n">
        <v>2027</v>
      </c>
      <c r="D87" s="3" t="n">
        <v>2028</v>
      </c>
      <c r="E87" s="3" t="n">
        <v>2029</v>
      </c>
      <c r="F87" s="3" t="n">
        <v>2030</v>
      </c>
      <c r="G87" s="3" t="n">
        <v>2031</v>
      </c>
      <c r="H87" s="3" t="n">
        <v>2032</v>
      </c>
      <c r="I87" s="3" t="n">
        <v>2033</v>
      </c>
      <c r="J87" s="3" t="n">
        <v>2034</v>
      </c>
      <c r="K87" s="3" t="n">
        <v>2035</v>
      </c>
    </row>
    <row r="88" customFormat="false" ht="15" hidden="false" customHeight="false" outlineLevel="0" collapsed="false">
      <c r="A88" s="12" t="str">
        <f aca="false">datos_base!A2</f>
        <v>ABC 1 kg</v>
      </c>
      <c r="B88" s="13" t="n">
        <v>0</v>
      </c>
      <c r="C88" s="13" t="n">
        <f aca="false">B42</f>
        <v>0</v>
      </c>
      <c r="D88" s="13" t="n">
        <f aca="false">C42</f>
        <v>0</v>
      </c>
      <c r="E88" s="13" t="n">
        <f aca="false">D42</f>
        <v>0</v>
      </c>
      <c r="F88" s="13" t="n">
        <f aca="false">E42</f>
        <v>0</v>
      </c>
      <c r="G88" s="13" t="n">
        <f aca="false">F42</f>
        <v>0</v>
      </c>
      <c r="H88" s="13" t="n">
        <f aca="false">G42</f>
        <v>0</v>
      </c>
      <c r="I88" s="13" t="n">
        <f aca="false">H42</f>
        <v>0</v>
      </c>
      <c r="J88" s="13" t="n">
        <f aca="false">I42</f>
        <v>0</v>
      </c>
      <c r="K88" s="13" t="n">
        <f aca="false">J42</f>
        <v>0</v>
      </c>
    </row>
    <row r="89" customFormat="false" ht="15" hidden="false" customHeight="false" outlineLevel="0" collapsed="false">
      <c r="A89" s="12" t="str">
        <f aca="false">datos_base!A3</f>
        <v>ABC 2,5 kg</v>
      </c>
      <c r="B89" s="13" t="n">
        <v>0</v>
      </c>
      <c r="C89" s="13" t="n">
        <f aca="false">B43</f>
        <v>3</v>
      </c>
      <c r="D89" s="13" t="n">
        <f aca="false">C43</f>
        <v>12</v>
      </c>
      <c r="E89" s="13" t="n">
        <f aca="false">D43</f>
        <v>27</v>
      </c>
      <c r="F89" s="13" t="n">
        <f aca="false">E43</f>
        <v>49</v>
      </c>
      <c r="G89" s="13" t="n">
        <f aca="false">F43</f>
        <v>70</v>
      </c>
      <c r="H89" s="13" t="n">
        <f aca="false">G43</f>
        <v>93</v>
      </c>
      <c r="I89" s="13" t="n">
        <f aca="false">H43</f>
        <v>114</v>
      </c>
      <c r="J89" s="13" t="n">
        <f aca="false">I43</f>
        <v>127</v>
      </c>
      <c r="K89" s="13" t="n">
        <f aca="false">J43</f>
        <v>138</v>
      </c>
    </row>
    <row r="90" customFormat="false" ht="15" hidden="false" customHeight="false" outlineLevel="0" collapsed="false">
      <c r="A90" s="12" t="str">
        <f aca="false">datos_base!A4</f>
        <v>ABC 5 kg</v>
      </c>
      <c r="B90" s="13" t="n">
        <v>0</v>
      </c>
      <c r="C90" s="13" t="n">
        <f aca="false">B44</f>
        <v>18</v>
      </c>
      <c r="D90" s="13" t="n">
        <f aca="false">C44</f>
        <v>70</v>
      </c>
      <c r="E90" s="13" t="n">
        <f aca="false">D44</f>
        <v>159</v>
      </c>
      <c r="F90" s="13" t="n">
        <f aca="false">E44</f>
        <v>299</v>
      </c>
      <c r="G90" s="13" t="n">
        <f aca="false">F44</f>
        <v>431</v>
      </c>
      <c r="H90" s="13" t="n">
        <f aca="false">G44</f>
        <v>573</v>
      </c>
      <c r="I90" s="13" t="n">
        <f aca="false">H44</f>
        <v>701</v>
      </c>
      <c r="J90" s="13" t="n">
        <f aca="false">I44</f>
        <v>777</v>
      </c>
      <c r="K90" s="13" t="n">
        <f aca="false">J44</f>
        <v>838</v>
      </c>
    </row>
    <row r="91" customFormat="false" ht="15" hidden="false" customHeight="false" outlineLevel="0" collapsed="false">
      <c r="A91" s="12" t="str">
        <f aca="false">datos_base!A5</f>
        <v>ABC 10 kg</v>
      </c>
      <c r="B91" s="13" t="n">
        <v>0</v>
      </c>
      <c r="C91" s="13" t="n">
        <f aca="false">B45</f>
        <v>2</v>
      </c>
      <c r="D91" s="13" t="n">
        <f aca="false">C45</f>
        <v>4</v>
      </c>
      <c r="E91" s="13" t="n">
        <f aca="false">D45</f>
        <v>10</v>
      </c>
      <c r="F91" s="13" t="n">
        <f aca="false">E45</f>
        <v>18</v>
      </c>
      <c r="G91" s="13" t="n">
        <f aca="false">F45</f>
        <v>26</v>
      </c>
      <c r="H91" s="13" t="n">
        <f aca="false">G45</f>
        <v>34</v>
      </c>
      <c r="I91" s="13" t="n">
        <f aca="false">H45</f>
        <v>42</v>
      </c>
      <c r="J91" s="13" t="n">
        <f aca="false">I45</f>
        <v>46</v>
      </c>
      <c r="K91" s="13" t="n">
        <f aca="false">J45</f>
        <v>50</v>
      </c>
    </row>
    <row r="92" customFormat="false" ht="15" hidden="false" customHeight="false" outlineLevel="0" collapsed="false">
      <c r="A92" s="12" t="str">
        <f aca="false">datos_base!A6</f>
        <v>Agua 10 l</v>
      </c>
      <c r="B92" s="13" t="n">
        <v>0</v>
      </c>
      <c r="C92" s="13" t="n">
        <f aca="false">B46</f>
        <v>2</v>
      </c>
      <c r="D92" s="13" t="n">
        <f aca="false">C46</f>
        <v>6</v>
      </c>
      <c r="E92" s="13" t="n">
        <f aca="false">D46</f>
        <v>14</v>
      </c>
      <c r="F92" s="13" t="n">
        <f aca="false">E46</f>
        <v>25</v>
      </c>
      <c r="G92" s="13" t="n">
        <f aca="false">F46</f>
        <v>36</v>
      </c>
      <c r="H92" s="13" t="n">
        <f aca="false">G46</f>
        <v>48</v>
      </c>
      <c r="I92" s="13" t="n">
        <f aca="false">H46</f>
        <v>59</v>
      </c>
      <c r="J92" s="13" t="n">
        <f aca="false">I46</f>
        <v>65</v>
      </c>
      <c r="K92" s="13" t="n">
        <f aca="false">J46</f>
        <v>70</v>
      </c>
    </row>
    <row r="93" customFormat="false" ht="15" hidden="false" customHeight="false" outlineLevel="0" collapsed="false">
      <c r="A93" s="12" t="str">
        <f aca="false">datos_base!A7</f>
        <v>AFFF 10 l</v>
      </c>
      <c r="B93" s="13" t="n">
        <v>0</v>
      </c>
      <c r="C93" s="13" t="n">
        <f aca="false">B47</f>
        <v>1</v>
      </c>
      <c r="D93" s="13" t="n">
        <f aca="false">C47</f>
        <v>2</v>
      </c>
      <c r="E93" s="13" t="n">
        <f aca="false">D47</f>
        <v>3</v>
      </c>
      <c r="F93" s="13" t="n">
        <f aca="false">E47</f>
        <v>5</v>
      </c>
      <c r="G93" s="13" t="n">
        <f aca="false">F47</f>
        <v>7</v>
      </c>
      <c r="H93" s="13" t="n">
        <f aca="false">G47</f>
        <v>9</v>
      </c>
      <c r="I93" s="13" t="n">
        <f aca="false">H47</f>
        <v>11</v>
      </c>
      <c r="J93" s="13" t="n">
        <f aca="false">I47</f>
        <v>13</v>
      </c>
      <c r="K93" s="13" t="n">
        <f aca="false">J47</f>
        <v>14</v>
      </c>
    </row>
    <row r="94" customFormat="false" ht="15" hidden="false" customHeight="false" outlineLevel="0" collapsed="false">
      <c r="A94" s="12" t="str">
        <f aca="false">datos_base!A8</f>
        <v>AFFF 50 l s/ruedas</v>
      </c>
      <c r="B94" s="13" t="n">
        <v>0</v>
      </c>
      <c r="C94" s="13" t="n">
        <f aca="false">B48</f>
        <v>1</v>
      </c>
      <c r="D94" s="13" t="n">
        <f aca="false">C48</f>
        <v>1</v>
      </c>
      <c r="E94" s="13" t="n">
        <f aca="false">D48</f>
        <v>2</v>
      </c>
      <c r="F94" s="13" t="n">
        <f aca="false">E48</f>
        <v>3</v>
      </c>
      <c r="G94" s="13" t="n">
        <f aca="false">F48</f>
        <v>4</v>
      </c>
      <c r="H94" s="13" t="n">
        <f aca="false">G48</f>
        <v>5</v>
      </c>
      <c r="I94" s="13" t="n">
        <f aca="false">H48</f>
        <v>6</v>
      </c>
      <c r="J94" s="13" t="n">
        <f aca="false">I48</f>
        <v>7</v>
      </c>
      <c r="K94" s="13" t="n">
        <f aca="false">J48</f>
        <v>7</v>
      </c>
    </row>
    <row r="95" customFormat="false" ht="15" hidden="false" customHeight="false" outlineLevel="0" collapsed="false">
      <c r="A95" s="12" t="str">
        <f aca="false">datos_base!A9</f>
        <v>BC 5 kg</v>
      </c>
      <c r="B95" s="13" t="n">
        <v>0</v>
      </c>
      <c r="C95" s="13" t="n">
        <f aca="false">B49</f>
        <v>1</v>
      </c>
      <c r="D95" s="13" t="n">
        <f aca="false">C49</f>
        <v>1</v>
      </c>
      <c r="E95" s="13" t="n">
        <f aca="false">D49</f>
        <v>1</v>
      </c>
      <c r="F95" s="13" t="n">
        <f aca="false">E49</f>
        <v>2</v>
      </c>
      <c r="G95" s="13" t="n">
        <f aca="false">F49</f>
        <v>2</v>
      </c>
      <c r="H95" s="13" t="n">
        <f aca="false">G49</f>
        <v>3</v>
      </c>
      <c r="I95" s="13" t="n">
        <f aca="false">H49</f>
        <v>4</v>
      </c>
      <c r="J95" s="13" t="n">
        <f aca="false">I49</f>
        <v>4</v>
      </c>
      <c r="K95" s="13" t="n">
        <f aca="false">J49</f>
        <v>4</v>
      </c>
    </row>
    <row r="96" customFormat="false" ht="15" hidden="false" customHeight="false" outlineLevel="0" collapsed="false">
      <c r="A96" s="12" t="str">
        <f aca="false">datos_base!A10</f>
        <v>Sales K 6 l</v>
      </c>
      <c r="B96" s="13" t="n">
        <v>0</v>
      </c>
      <c r="C96" s="13" t="n">
        <f aca="false">B50</f>
        <v>1</v>
      </c>
      <c r="D96" s="13" t="n">
        <f aca="false">C50</f>
        <v>3</v>
      </c>
      <c r="E96" s="13" t="n">
        <f aca="false">D50</f>
        <v>7</v>
      </c>
      <c r="F96" s="13" t="n">
        <f aca="false">E50</f>
        <v>13</v>
      </c>
      <c r="G96" s="13" t="n">
        <f aca="false">F50</f>
        <v>18</v>
      </c>
      <c r="H96" s="13" t="n">
        <f aca="false">G50</f>
        <v>24</v>
      </c>
      <c r="I96" s="13" t="n">
        <f aca="false">H50</f>
        <v>29</v>
      </c>
      <c r="J96" s="13" t="n">
        <f aca="false">I50</f>
        <v>32</v>
      </c>
      <c r="K96" s="13" t="n">
        <f aca="false">J50</f>
        <v>35</v>
      </c>
    </row>
    <row r="97" customFormat="false" ht="15" hidden="false" customHeight="false" outlineLevel="0" collapsed="false">
      <c r="A97" s="12" t="str">
        <f aca="false">datos_base!A11</f>
        <v>CO₂ 2 kg</v>
      </c>
      <c r="B97" s="13" t="n">
        <v>0</v>
      </c>
      <c r="C97" s="13" t="n">
        <f aca="false">B51</f>
        <v>5</v>
      </c>
      <c r="D97" s="13" t="n">
        <f aca="false">C51</f>
        <v>16</v>
      </c>
      <c r="E97" s="13" t="n">
        <f aca="false">D51</f>
        <v>36</v>
      </c>
      <c r="F97" s="13" t="n">
        <f aca="false">E51</f>
        <v>68</v>
      </c>
      <c r="G97" s="13" t="n">
        <f aca="false">F51</f>
        <v>98</v>
      </c>
      <c r="H97" s="13" t="n">
        <f aca="false">G51</f>
        <v>130</v>
      </c>
      <c r="I97" s="13" t="n">
        <f aca="false">H51</f>
        <v>158</v>
      </c>
      <c r="J97" s="13" t="n">
        <f aca="false">I51</f>
        <v>175</v>
      </c>
      <c r="K97" s="13" t="n">
        <f aca="false">J51</f>
        <v>189</v>
      </c>
    </row>
    <row r="98" customFormat="false" ht="15" hidden="false" customHeight="false" outlineLevel="0" collapsed="false">
      <c r="A98" s="12" t="str">
        <f aca="false">datos_base!A12</f>
        <v>CO₂ 5 kg</v>
      </c>
      <c r="B98" s="13" t="n">
        <v>0</v>
      </c>
      <c r="C98" s="13" t="n">
        <f aca="false">B52</f>
        <v>2</v>
      </c>
      <c r="D98" s="13" t="n">
        <f aca="false">C52</f>
        <v>6</v>
      </c>
      <c r="E98" s="13" t="n">
        <f aca="false">D52</f>
        <v>13</v>
      </c>
      <c r="F98" s="13" t="n">
        <f aca="false">E52</f>
        <v>22</v>
      </c>
      <c r="G98" s="13" t="n">
        <f aca="false">F52</f>
        <v>32</v>
      </c>
      <c r="H98" s="13" t="n">
        <f aca="false">G52</f>
        <v>43</v>
      </c>
      <c r="I98" s="13" t="n">
        <f aca="false">H52</f>
        <v>53</v>
      </c>
      <c r="J98" s="13" t="n">
        <f aca="false">I52</f>
        <v>59</v>
      </c>
      <c r="K98" s="13" t="n">
        <f aca="false">J52</f>
        <v>64</v>
      </c>
    </row>
    <row r="99" customFormat="false" ht="15" hidden="false" customHeight="false" outlineLevel="0" collapsed="false">
      <c r="A99" s="12" t="str">
        <f aca="false">datos_base!A13</f>
        <v>HCFC/HFC 5 kg</v>
      </c>
      <c r="B99" s="13" t="n">
        <v>0</v>
      </c>
      <c r="C99" s="13" t="n">
        <f aca="false">B53</f>
        <v>1</v>
      </c>
      <c r="D99" s="13" t="n">
        <f aca="false">C53</f>
        <v>1</v>
      </c>
      <c r="E99" s="13" t="n">
        <f aca="false">D53</f>
        <v>3</v>
      </c>
      <c r="F99" s="13" t="n">
        <f aca="false">E53</f>
        <v>4</v>
      </c>
      <c r="G99" s="13" t="n">
        <f aca="false">F53</f>
        <v>6</v>
      </c>
      <c r="H99" s="13" t="n">
        <f aca="false">G53</f>
        <v>7</v>
      </c>
      <c r="I99" s="13" t="n">
        <f aca="false">H53</f>
        <v>9</v>
      </c>
      <c r="J99" s="13" t="n">
        <f aca="false">I53</f>
        <v>10</v>
      </c>
      <c r="K99" s="13" t="n">
        <f aca="false">J53</f>
        <v>11</v>
      </c>
    </row>
    <row r="100" customFormat="false" ht="15" hidden="false" customHeight="false" outlineLevel="0" collapsed="false">
      <c r="A100" s="12" t="str">
        <f aca="false">datos_base!A14</f>
        <v>Clase D 9 l</v>
      </c>
      <c r="B100" s="13" t="n">
        <v>0</v>
      </c>
      <c r="C100" s="13" t="n">
        <f aca="false">B54</f>
        <v>1</v>
      </c>
      <c r="D100" s="13" t="n">
        <f aca="false">C54</f>
        <v>1</v>
      </c>
      <c r="E100" s="13" t="n">
        <f aca="false">D54</f>
        <v>1</v>
      </c>
      <c r="F100" s="13" t="n">
        <f aca="false">E54</f>
        <v>2</v>
      </c>
      <c r="G100" s="13" t="n">
        <f aca="false">F54</f>
        <v>2</v>
      </c>
      <c r="H100" s="13" t="n">
        <f aca="false">G54</f>
        <v>3</v>
      </c>
      <c r="I100" s="13" t="n">
        <f aca="false">H54</f>
        <v>3</v>
      </c>
      <c r="J100" s="13" t="n">
        <f aca="false">I54</f>
        <v>4</v>
      </c>
      <c r="K100" s="13" t="n">
        <f aca="false">J54</f>
        <v>4</v>
      </c>
    </row>
    <row r="101" customFormat="false" ht="15" hidden="false" customHeight="false" outlineLevel="0" collapsed="false">
      <c r="A101" s="12" t="str">
        <f aca="false">datos_base!A15</f>
        <v>ABC 25 kg s/ruedas</v>
      </c>
      <c r="B101" s="13" t="n">
        <v>0</v>
      </c>
      <c r="C101" s="13" t="n">
        <f aca="false">B55</f>
        <v>1</v>
      </c>
      <c r="D101" s="13" t="n">
        <f aca="false">C55</f>
        <v>1</v>
      </c>
      <c r="E101" s="13" t="n">
        <f aca="false">D55</f>
        <v>2</v>
      </c>
      <c r="F101" s="13" t="n">
        <f aca="false">E55</f>
        <v>3</v>
      </c>
      <c r="G101" s="13" t="n">
        <f aca="false">F55</f>
        <v>5</v>
      </c>
      <c r="H101" s="13" t="n">
        <f aca="false">G55</f>
        <v>6</v>
      </c>
      <c r="I101" s="13" t="n">
        <f aca="false">H55</f>
        <v>8</v>
      </c>
      <c r="J101" s="13" t="n">
        <f aca="false">I55</f>
        <v>8</v>
      </c>
      <c r="K101" s="13" t="n">
        <f aca="false">J55</f>
        <v>9</v>
      </c>
    </row>
    <row r="102" customFormat="false" ht="15" hidden="false" customHeight="false" outlineLevel="0" collapsed="false">
      <c r="A102" s="12" t="str">
        <f aca="false">datos_base!A16</f>
        <v>ABC 50 kg s/ruedas</v>
      </c>
      <c r="B102" s="13" t="n">
        <v>0</v>
      </c>
      <c r="C102" s="13" t="n">
        <f aca="false">B56</f>
        <v>1</v>
      </c>
      <c r="D102" s="13" t="n">
        <f aca="false">C56</f>
        <v>2</v>
      </c>
      <c r="E102" s="13" t="n">
        <f aca="false">D56</f>
        <v>4</v>
      </c>
      <c r="F102" s="13" t="n">
        <f aca="false">E56</f>
        <v>7</v>
      </c>
      <c r="G102" s="13" t="n">
        <f aca="false">F56</f>
        <v>10</v>
      </c>
      <c r="H102" s="13" t="n">
        <f aca="false">G56</f>
        <v>13</v>
      </c>
      <c r="I102" s="13" t="n">
        <f aca="false">H56</f>
        <v>16</v>
      </c>
      <c r="J102" s="13" t="n">
        <f aca="false">I56</f>
        <v>18</v>
      </c>
      <c r="K102" s="13" t="n">
        <f aca="false">J56</f>
        <v>19</v>
      </c>
    </row>
    <row r="103" customFormat="false" ht="15" hidden="false" customHeight="false" outlineLevel="0" collapsed="false">
      <c r="A103" s="12" t="str">
        <f aca="false">datos_base!A17</f>
        <v>ABC 70 kg s/ruedas</v>
      </c>
      <c r="B103" s="13" t="n">
        <v>0</v>
      </c>
      <c r="C103" s="13" t="n">
        <f aca="false">B57</f>
        <v>1</v>
      </c>
      <c r="D103" s="13" t="n">
        <f aca="false">C57</f>
        <v>1</v>
      </c>
      <c r="E103" s="13" t="n">
        <f aca="false">D57</f>
        <v>1</v>
      </c>
      <c r="F103" s="13" t="n">
        <f aca="false">E57</f>
        <v>2</v>
      </c>
      <c r="G103" s="13" t="n">
        <f aca="false">F57</f>
        <v>3</v>
      </c>
      <c r="H103" s="13" t="n">
        <f aca="false">G57</f>
        <v>3</v>
      </c>
      <c r="I103" s="13" t="n">
        <f aca="false">H57</f>
        <v>4</v>
      </c>
      <c r="J103" s="13" t="n">
        <f aca="false">I57</f>
        <v>4</v>
      </c>
      <c r="K103" s="13" t="n">
        <f aca="false">J57</f>
        <v>5</v>
      </c>
    </row>
    <row r="104" customFormat="false" ht="15" hidden="false" customHeight="false" outlineLevel="0" collapsed="false">
      <c r="A104" s="12" t="str">
        <f aca="false">datos_base!A18</f>
        <v>ABC 100 kg s/ruedas</v>
      </c>
      <c r="B104" s="13" t="n">
        <v>0</v>
      </c>
      <c r="C104" s="13" t="n">
        <f aca="false">B58</f>
        <v>1</v>
      </c>
      <c r="D104" s="13" t="n">
        <f aca="false">C58</f>
        <v>1</v>
      </c>
      <c r="E104" s="13" t="n">
        <f aca="false">D58</f>
        <v>1</v>
      </c>
      <c r="F104" s="13" t="n">
        <f aca="false">E58</f>
        <v>1</v>
      </c>
      <c r="G104" s="13" t="n">
        <f aca="false">F58</f>
        <v>2</v>
      </c>
      <c r="H104" s="13" t="n">
        <f aca="false">G58</f>
        <v>2</v>
      </c>
      <c r="I104" s="13" t="n">
        <f aca="false">H58</f>
        <v>3</v>
      </c>
      <c r="J104" s="13" t="n">
        <f aca="false">I58</f>
        <v>3</v>
      </c>
      <c r="K104" s="13" t="n">
        <f aca="false">J58</f>
        <v>3</v>
      </c>
    </row>
    <row r="105" customFormat="false" ht="15" hidden="false" customHeight="false" outlineLevel="0" collapsed="false">
      <c r="A105" s="6" t="s">
        <v>67</v>
      </c>
      <c r="B105" s="7" t="n">
        <f aca="false">SUM(B88:B104)</f>
        <v>0</v>
      </c>
      <c r="C105" s="7" t="n">
        <f aca="false">SUM(C88:C104)</f>
        <v>42</v>
      </c>
      <c r="D105" s="7" t="n">
        <f aca="false">SUM(D88:D104)</f>
        <v>128</v>
      </c>
      <c r="E105" s="7" t="n">
        <f aca="false">SUM(E88:E104)</f>
        <v>284</v>
      </c>
      <c r="F105" s="7" t="n">
        <f aca="false">SUM(F88:F104)</f>
        <v>523</v>
      </c>
      <c r="G105" s="7" t="n">
        <f aca="false">SUM(G88:G104)</f>
        <v>752</v>
      </c>
      <c r="H105" s="7" t="n">
        <f aca="false">SUM(H88:H104)</f>
        <v>996</v>
      </c>
      <c r="I105" s="7" t="n">
        <f aca="false">SUM(I88:I104)</f>
        <v>1220</v>
      </c>
      <c r="J105" s="7" t="n">
        <f aca="false">SUM(J88:J104)</f>
        <v>1352</v>
      </c>
      <c r="K105" s="7" t="n">
        <f aca="false">SUM(K88:K104)</f>
        <v>1460</v>
      </c>
    </row>
  </sheetData>
  <mergeCells count="42">
    <mergeCell ref="C4:L4"/>
    <mergeCell ref="C5:L5"/>
    <mergeCell ref="C6:L6"/>
    <mergeCell ref="C7:L7"/>
    <mergeCell ref="C8:L8"/>
    <mergeCell ref="C9:L9"/>
    <mergeCell ref="E20:F20"/>
    <mergeCell ref="G20:L20"/>
    <mergeCell ref="E21:F21"/>
    <mergeCell ref="G21:L21"/>
    <mergeCell ref="E22:F22"/>
    <mergeCell ref="G22:L22"/>
    <mergeCell ref="E23:F23"/>
    <mergeCell ref="G23:L23"/>
    <mergeCell ref="E24:F24"/>
    <mergeCell ref="G24:L24"/>
    <mergeCell ref="E25:F25"/>
    <mergeCell ref="G25:L25"/>
    <mergeCell ref="E26:F26"/>
    <mergeCell ref="G26:L26"/>
    <mergeCell ref="E27:F27"/>
    <mergeCell ref="G27:L27"/>
    <mergeCell ref="E28:F28"/>
    <mergeCell ref="G28:L28"/>
    <mergeCell ref="E29:F29"/>
    <mergeCell ref="G29:L29"/>
    <mergeCell ref="E30:F30"/>
    <mergeCell ref="G30:L30"/>
    <mergeCell ref="E31:F31"/>
    <mergeCell ref="G31:L31"/>
    <mergeCell ref="E32:F32"/>
    <mergeCell ref="G32:L32"/>
    <mergeCell ref="E33:F33"/>
    <mergeCell ref="G33:L33"/>
    <mergeCell ref="E34:F34"/>
    <mergeCell ref="G34:L34"/>
    <mergeCell ref="E35:F35"/>
    <mergeCell ref="G35:L35"/>
    <mergeCell ref="E36:F36"/>
    <mergeCell ref="G36:L36"/>
    <mergeCell ref="E37:F37"/>
    <mergeCell ref="G37:L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8" t="n">
        <v>2026</v>
      </c>
      <c r="B1" s="3" t="s">
        <v>307</v>
      </c>
      <c r="C1" s="3" t="s">
        <v>308</v>
      </c>
      <c r="D1" s="3" t="s">
        <v>133</v>
      </c>
      <c r="E1" s="3" t="s">
        <v>134</v>
      </c>
      <c r="F1" s="3" t="s">
        <v>135</v>
      </c>
      <c r="G1" s="3" t="s">
        <v>136</v>
      </c>
      <c r="H1" s="3" t="s">
        <v>137</v>
      </c>
      <c r="I1" s="3" t="s">
        <v>138</v>
      </c>
      <c r="J1" s="3" t="s">
        <v>139</v>
      </c>
      <c r="K1" s="3" t="s">
        <v>140</v>
      </c>
      <c r="L1" s="3" t="s">
        <v>141</v>
      </c>
      <c r="M1" s="3" t="s">
        <v>142</v>
      </c>
      <c r="N1" s="3" t="s">
        <v>143</v>
      </c>
      <c r="O1" s="3" t="s">
        <v>144</v>
      </c>
      <c r="P1" s="3" t="s">
        <v>67</v>
      </c>
      <c r="Q1" s="3" t="s">
        <v>309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5" t="n">
        <f aca="false">parametros_recargas!C51</f>
        <v>1</v>
      </c>
      <c r="D2" s="26" t="n">
        <f aca="false">datos_base!$B$2*parametros_recargas!$B$37+sobrestock_sustitutos!$B$88/12</f>
        <v>206.262069024314</v>
      </c>
      <c r="E2" s="26" t="n">
        <f aca="false">datos_base!$B$2*parametros_recargas!$C$37+sobrestock_sustitutos!$B$88/12</f>
        <v>206.262069024314</v>
      </c>
      <c r="F2" s="26" t="n">
        <f aca="false">datos_base!$B$2*parametros_recargas!$D$37+sobrestock_sustitutos!$B$88/12</f>
        <v>206.262069024314</v>
      </c>
      <c r="G2" s="26" t="n">
        <f aca="false">datos_base!$B$2*parametros_recargas!$E$37+sobrestock_sustitutos!$B$88/12</f>
        <v>206.262069024314</v>
      </c>
      <c r="H2" s="26" t="n">
        <f aca="false">datos_base!$B$2*parametros_recargas!$F$37+sobrestock_sustitutos!$B$88/12</f>
        <v>206.262069024314</v>
      </c>
      <c r="I2" s="26" t="n">
        <f aca="false">datos_base!$B$2*parametros_recargas!$G$37+sobrestock_sustitutos!$B$88/12</f>
        <v>206.262069024314</v>
      </c>
      <c r="J2" s="26" t="n">
        <f aca="false">datos_base!$B$2*parametros_recargas!$H$37+sobrestock_sustitutos!$B$88/12</f>
        <v>206.262069024314</v>
      </c>
      <c r="K2" s="26" t="n">
        <f aca="false">datos_base!$B$2*parametros_recargas!$I$37+sobrestock_sustitutos!$B$88/12</f>
        <v>206.262069024314</v>
      </c>
      <c r="L2" s="26" t="n">
        <f aca="false">datos_base!$B$2*parametros_recargas!$J$37+sobrestock_sustitutos!$B$88/12</f>
        <v>206.262069024314</v>
      </c>
      <c r="M2" s="26" t="n">
        <f aca="false">datos_base!$B$2*parametros_recargas!$K$37+sobrestock_sustitutos!$B$88/12</f>
        <v>206.262069024314</v>
      </c>
      <c r="N2" s="26" t="n">
        <f aca="false">datos_base!$B$2*parametros_recargas!$L$37+sobrestock_sustitutos!$B$88/12</f>
        <v>206.262069024314</v>
      </c>
      <c r="O2" s="26" t="n">
        <f aca="false">datos_base!$B$2*parametros_recargas!$M$37+sobrestock_sustitutos!$B$88/12</f>
        <v>206.262069024314</v>
      </c>
      <c r="P2" s="7" t="n">
        <f aca="false">SUM(D2:O2)</f>
        <v>2475.14482829177</v>
      </c>
      <c r="Q2" s="13" t="n">
        <f aca="false">sobrestock_sustitutos!$B$88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5" t="n">
        <f aca="false">parametros_recargas!C52</f>
        <v>1</v>
      </c>
      <c r="D3" s="26" t="n">
        <f aca="false">datos_base!$B$3*parametros_recargas!$B$37+sobrestock_sustitutos!$B$89/12</f>
        <v>19.5732984630031</v>
      </c>
      <c r="E3" s="26" t="n">
        <f aca="false">datos_base!$B$3*parametros_recargas!$C$37+sobrestock_sustitutos!$B$89/12</f>
        <v>19.5732984630031</v>
      </c>
      <c r="F3" s="26" t="n">
        <f aca="false">datos_base!$B$3*parametros_recargas!$D$37+sobrestock_sustitutos!$B$89/12</f>
        <v>19.5732984630031</v>
      </c>
      <c r="G3" s="26" t="n">
        <f aca="false">datos_base!$B$3*parametros_recargas!$E$37+sobrestock_sustitutos!$B$89/12</f>
        <v>19.5732984630031</v>
      </c>
      <c r="H3" s="26" t="n">
        <f aca="false">datos_base!$B$3*parametros_recargas!$F$37+sobrestock_sustitutos!$B$89/12</f>
        <v>19.5732984630031</v>
      </c>
      <c r="I3" s="26" t="n">
        <f aca="false">datos_base!$B$3*parametros_recargas!$G$37+sobrestock_sustitutos!$B$89/12</f>
        <v>19.5732984630031</v>
      </c>
      <c r="J3" s="26" t="n">
        <f aca="false">datos_base!$B$3*parametros_recargas!$H$37+sobrestock_sustitutos!$B$89/12</f>
        <v>19.5732984630031</v>
      </c>
      <c r="K3" s="26" t="n">
        <f aca="false">datos_base!$B$3*parametros_recargas!$I$37+sobrestock_sustitutos!$B$89/12</f>
        <v>19.5732984630031</v>
      </c>
      <c r="L3" s="26" t="n">
        <f aca="false">datos_base!$B$3*parametros_recargas!$J$37+sobrestock_sustitutos!$B$89/12</f>
        <v>19.5732984630031</v>
      </c>
      <c r="M3" s="26" t="n">
        <f aca="false">datos_base!$B$3*parametros_recargas!$K$37+sobrestock_sustitutos!$B$89/12</f>
        <v>19.5732984630031</v>
      </c>
      <c r="N3" s="26" t="n">
        <f aca="false">datos_base!$B$3*parametros_recargas!$L$37+sobrestock_sustitutos!$B$89/12</f>
        <v>19.5732984630031</v>
      </c>
      <c r="O3" s="26" t="n">
        <f aca="false">datos_base!$B$3*parametros_recargas!$M$37+sobrestock_sustitutos!$B$89/12</f>
        <v>19.5732984630031</v>
      </c>
      <c r="P3" s="7" t="n">
        <f aca="false">SUM(D3:O3)</f>
        <v>234.879581556037</v>
      </c>
      <c r="Q3" s="13" t="n">
        <f aca="false">sobrestock_sustitutos!$B$89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5" t="n">
        <f aca="false">parametros_recargas!C53</f>
        <v>1</v>
      </c>
      <c r="D4" s="26" t="n">
        <f aca="false">datos_base!$B$4*parametros_recargas!$B$37+sobrestock_sustitutos!$B$90/12</f>
        <v>115.684943161488</v>
      </c>
      <c r="E4" s="26" t="n">
        <f aca="false">datos_base!$B$4*parametros_recargas!$C$37+sobrestock_sustitutos!$B$90/12</f>
        <v>115.684943161488</v>
      </c>
      <c r="F4" s="26" t="n">
        <f aca="false">datos_base!$B$4*parametros_recargas!$D$37+sobrestock_sustitutos!$B$90/12</f>
        <v>115.684943161488</v>
      </c>
      <c r="G4" s="26" t="n">
        <f aca="false">datos_base!$B$4*parametros_recargas!$E$37+sobrestock_sustitutos!$B$90/12</f>
        <v>115.684943161488</v>
      </c>
      <c r="H4" s="26" t="n">
        <f aca="false">datos_base!$B$4*parametros_recargas!$F$37+sobrestock_sustitutos!$B$90/12</f>
        <v>115.684943161488</v>
      </c>
      <c r="I4" s="26" t="n">
        <f aca="false">datos_base!$B$4*parametros_recargas!$G$37+sobrestock_sustitutos!$B$90/12</f>
        <v>115.684943161488</v>
      </c>
      <c r="J4" s="26" t="n">
        <f aca="false">datos_base!$B$4*parametros_recargas!$H$37+sobrestock_sustitutos!$B$90/12</f>
        <v>115.684943161488</v>
      </c>
      <c r="K4" s="26" t="n">
        <f aca="false">datos_base!$B$4*parametros_recargas!$I$37+sobrestock_sustitutos!$B$90/12</f>
        <v>115.684943161488</v>
      </c>
      <c r="L4" s="26" t="n">
        <f aca="false">datos_base!$B$4*parametros_recargas!$J$37+sobrestock_sustitutos!$B$90/12</f>
        <v>115.684943161488</v>
      </c>
      <c r="M4" s="26" t="n">
        <f aca="false">datos_base!$B$4*parametros_recargas!$K$37+sobrestock_sustitutos!$B$90/12</f>
        <v>115.684943161488</v>
      </c>
      <c r="N4" s="26" t="n">
        <f aca="false">datos_base!$B$4*parametros_recargas!$L$37+sobrestock_sustitutos!$B$90/12</f>
        <v>115.684943161488</v>
      </c>
      <c r="O4" s="26" t="n">
        <f aca="false">datos_base!$B$4*parametros_recargas!$M$37+sobrestock_sustitutos!$B$90/12</f>
        <v>115.684943161488</v>
      </c>
      <c r="P4" s="7" t="n">
        <f aca="false">SUM(D4:O4)</f>
        <v>1388.21931793785</v>
      </c>
      <c r="Q4" s="13" t="n">
        <f aca="false">sobrestock_sustitutos!$B$90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5" t="n">
        <f aca="false">parametros_recargas!C54</f>
        <v>1</v>
      </c>
      <c r="D5" s="26" t="n">
        <f aca="false">datos_base!$B$5*parametros_recargas!$B$37+sobrestock_sustitutos!$B$91/12</f>
        <v>7.01938975435897</v>
      </c>
      <c r="E5" s="26" t="n">
        <f aca="false">datos_base!$B$5*parametros_recargas!$C$37+sobrestock_sustitutos!$B$91/12</f>
        <v>7.01938975435897</v>
      </c>
      <c r="F5" s="26" t="n">
        <f aca="false">datos_base!$B$5*parametros_recargas!$D$37+sobrestock_sustitutos!$B$91/12</f>
        <v>7.01938975435897</v>
      </c>
      <c r="G5" s="26" t="n">
        <f aca="false">datos_base!$B$5*parametros_recargas!$E$37+sobrestock_sustitutos!$B$91/12</f>
        <v>7.01938975435897</v>
      </c>
      <c r="H5" s="26" t="n">
        <f aca="false">datos_base!$B$5*parametros_recargas!$F$37+sobrestock_sustitutos!$B$91/12</f>
        <v>7.01938975435897</v>
      </c>
      <c r="I5" s="26" t="n">
        <f aca="false">datos_base!$B$5*parametros_recargas!$G$37+sobrestock_sustitutos!$B$91/12</f>
        <v>7.01938975435897</v>
      </c>
      <c r="J5" s="26" t="n">
        <f aca="false">datos_base!$B$5*parametros_recargas!$H$37+sobrestock_sustitutos!$B$91/12</f>
        <v>7.01938975435897</v>
      </c>
      <c r="K5" s="26" t="n">
        <f aca="false">datos_base!$B$5*parametros_recargas!$I$37+sobrestock_sustitutos!$B$91/12</f>
        <v>7.01938975435897</v>
      </c>
      <c r="L5" s="26" t="n">
        <f aca="false">datos_base!$B$5*parametros_recargas!$J$37+sobrestock_sustitutos!$B$91/12</f>
        <v>7.01938975435897</v>
      </c>
      <c r="M5" s="26" t="n">
        <f aca="false">datos_base!$B$5*parametros_recargas!$K$37+sobrestock_sustitutos!$B$91/12</f>
        <v>7.01938975435897</v>
      </c>
      <c r="N5" s="26" t="n">
        <f aca="false">datos_base!$B$5*parametros_recargas!$L$37+sobrestock_sustitutos!$B$91/12</f>
        <v>7.01938975435897</v>
      </c>
      <c r="O5" s="26" t="n">
        <f aca="false">datos_base!$B$5*parametros_recargas!$M$37+sobrestock_sustitutos!$B$91/12</f>
        <v>7.01938975435897</v>
      </c>
      <c r="P5" s="7" t="n">
        <f aca="false">SUM(D5:O5)</f>
        <v>84.2326770523076</v>
      </c>
      <c r="Q5" s="13" t="n">
        <f aca="false">sobrestock_sustitutos!$B$91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5" t="n">
        <f aca="false">parametros_recargas!C55</f>
        <v>1</v>
      </c>
      <c r="D6" s="26" t="n">
        <f aca="false">datos_base!$B$6*parametros_recargas!$B$37+sobrestock_sustitutos!$B$92/12</f>
        <v>9.44917855198392</v>
      </c>
      <c r="E6" s="26" t="n">
        <f aca="false">datos_base!$B$6*parametros_recargas!$C$37+sobrestock_sustitutos!$B$92/12</f>
        <v>9.44917855198392</v>
      </c>
      <c r="F6" s="26" t="n">
        <f aca="false">datos_base!$B$6*parametros_recargas!$D$37+sobrestock_sustitutos!$B$92/12</f>
        <v>9.44917855198392</v>
      </c>
      <c r="G6" s="26" t="n">
        <f aca="false">datos_base!$B$6*parametros_recargas!$E$37+sobrestock_sustitutos!$B$92/12</f>
        <v>9.44917855198392</v>
      </c>
      <c r="H6" s="26" t="n">
        <f aca="false">datos_base!$B$6*parametros_recargas!$F$37+sobrestock_sustitutos!$B$92/12</f>
        <v>9.44917855198392</v>
      </c>
      <c r="I6" s="26" t="n">
        <f aca="false">datos_base!$B$6*parametros_recargas!$G$37+sobrestock_sustitutos!$B$92/12</f>
        <v>9.44917855198392</v>
      </c>
      <c r="J6" s="26" t="n">
        <f aca="false">datos_base!$B$6*parametros_recargas!$H$37+sobrestock_sustitutos!$B$92/12</f>
        <v>9.44917855198392</v>
      </c>
      <c r="K6" s="26" t="n">
        <f aca="false">datos_base!$B$6*parametros_recargas!$I$37+sobrestock_sustitutos!$B$92/12</f>
        <v>9.44917855198392</v>
      </c>
      <c r="L6" s="26" t="n">
        <f aca="false">datos_base!$B$6*parametros_recargas!$J$37+sobrestock_sustitutos!$B$92/12</f>
        <v>9.44917855198392</v>
      </c>
      <c r="M6" s="26" t="n">
        <f aca="false">datos_base!$B$6*parametros_recargas!$K$37+sobrestock_sustitutos!$B$92/12</f>
        <v>9.44917855198392</v>
      </c>
      <c r="N6" s="26" t="n">
        <f aca="false">datos_base!$B$6*parametros_recargas!$L$37+sobrestock_sustitutos!$B$92/12</f>
        <v>9.44917855198392</v>
      </c>
      <c r="O6" s="26" t="n">
        <f aca="false">datos_base!$B$6*parametros_recargas!$M$37+sobrestock_sustitutos!$B$92/12</f>
        <v>9.44917855198392</v>
      </c>
      <c r="P6" s="7" t="n">
        <f aca="false">SUM(D6:O6)</f>
        <v>113.390142623807</v>
      </c>
      <c r="Q6" s="13" t="n">
        <f aca="false">sobrestock_sustitutos!$B$92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5" t="n">
        <f aca="false">parametros_recargas!C56</f>
        <v>1</v>
      </c>
      <c r="D7" s="26" t="n">
        <f aca="false">datos_base!$B$7*parametros_recargas!$B$37+sobrestock_sustitutos!$B$93/12</f>
        <v>1.34988265875679</v>
      </c>
      <c r="E7" s="26" t="n">
        <f aca="false">datos_base!$B$7*parametros_recargas!$C$37+sobrestock_sustitutos!$B$93/12</f>
        <v>1.34988265875679</v>
      </c>
      <c r="F7" s="26" t="n">
        <f aca="false">datos_base!$B$7*parametros_recargas!$D$37+sobrestock_sustitutos!$B$93/12</f>
        <v>1.34988265875679</v>
      </c>
      <c r="G7" s="26" t="n">
        <f aca="false">datos_base!$B$7*parametros_recargas!$E$37+sobrestock_sustitutos!$B$93/12</f>
        <v>1.34988265875679</v>
      </c>
      <c r="H7" s="26" t="n">
        <f aca="false">datos_base!$B$7*parametros_recargas!$F$37+sobrestock_sustitutos!$B$93/12</f>
        <v>1.34988265875679</v>
      </c>
      <c r="I7" s="26" t="n">
        <f aca="false">datos_base!$B$7*parametros_recargas!$G$37+sobrestock_sustitutos!$B$93/12</f>
        <v>1.34988265875679</v>
      </c>
      <c r="J7" s="26" t="n">
        <f aca="false">datos_base!$B$7*parametros_recargas!$H$37+sobrestock_sustitutos!$B$93/12</f>
        <v>1.34988265875679</v>
      </c>
      <c r="K7" s="26" t="n">
        <f aca="false">datos_base!$B$7*parametros_recargas!$I$37+sobrestock_sustitutos!$B$93/12</f>
        <v>1.34988265875679</v>
      </c>
      <c r="L7" s="26" t="n">
        <f aca="false">datos_base!$B$7*parametros_recargas!$J$37+sobrestock_sustitutos!$B$93/12</f>
        <v>1.34988265875679</v>
      </c>
      <c r="M7" s="26" t="n">
        <f aca="false">datos_base!$B$7*parametros_recargas!$K$37+sobrestock_sustitutos!$B$93/12</f>
        <v>1.34988265875679</v>
      </c>
      <c r="N7" s="26" t="n">
        <f aca="false">datos_base!$B$7*parametros_recargas!$L$37+sobrestock_sustitutos!$B$93/12</f>
        <v>1.34988265875679</v>
      </c>
      <c r="O7" s="26" t="n">
        <f aca="false">datos_base!$B$7*parametros_recargas!$M$37+sobrestock_sustitutos!$B$93/12</f>
        <v>1.34988265875679</v>
      </c>
      <c r="P7" s="7" t="n">
        <f aca="false">SUM(D7:O7)</f>
        <v>16.1985919050815</v>
      </c>
      <c r="Q7" s="13" t="n">
        <f aca="false">sobrestock_sustitutos!$B$93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5" t="n">
        <f aca="false">parametros_recargas!C57</f>
        <v>3</v>
      </c>
      <c r="D8" s="26" t="n">
        <f aca="false">datos_base!$B$8*parametros_recargas!$B$37+sobrestock_sustitutos!$B$94/12</f>
        <v>0.674941299721584</v>
      </c>
      <c r="E8" s="26" t="n">
        <f aca="false">datos_base!$B$8*parametros_recargas!$C$37+sobrestock_sustitutos!$B$94/12</f>
        <v>0.674941299721584</v>
      </c>
      <c r="F8" s="26" t="n">
        <f aca="false">datos_base!$B$8*parametros_recargas!$D$37+sobrestock_sustitutos!$B$94/12</f>
        <v>0.674941299721584</v>
      </c>
      <c r="G8" s="26" t="n">
        <f aca="false">datos_base!$B$8*parametros_recargas!$E$37+sobrestock_sustitutos!$B$94/12</f>
        <v>0.674941299721584</v>
      </c>
      <c r="H8" s="26" t="n">
        <f aca="false">datos_base!$B$8*parametros_recargas!$F$37+sobrestock_sustitutos!$B$94/12</f>
        <v>0.674941299721584</v>
      </c>
      <c r="I8" s="26" t="n">
        <f aca="false">datos_base!$B$8*parametros_recargas!$G$37+sobrestock_sustitutos!$B$94/12</f>
        <v>0.674941299721584</v>
      </c>
      <c r="J8" s="26" t="n">
        <f aca="false">datos_base!$B$8*parametros_recargas!$H$37+sobrestock_sustitutos!$B$94/12</f>
        <v>0.674941299721584</v>
      </c>
      <c r="K8" s="26" t="n">
        <f aca="false">datos_base!$B$8*parametros_recargas!$I$37+sobrestock_sustitutos!$B$94/12</f>
        <v>0.674941299721584</v>
      </c>
      <c r="L8" s="26" t="n">
        <f aca="false">datos_base!$B$8*parametros_recargas!$J$37+sobrestock_sustitutos!$B$94/12</f>
        <v>0.674941299721584</v>
      </c>
      <c r="M8" s="26" t="n">
        <f aca="false">datos_base!$B$8*parametros_recargas!$K$37+sobrestock_sustitutos!$B$94/12</f>
        <v>0.674941299721584</v>
      </c>
      <c r="N8" s="26" t="n">
        <f aca="false">datos_base!$B$8*parametros_recargas!$L$37+sobrestock_sustitutos!$B$94/12</f>
        <v>0.674941299721584</v>
      </c>
      <c r="O8" s="26" t="n">
        <f aca="false">datos_base!$B$8*parametros_recargas!$M$37+sobrestock_sustitutos!$B$94/12</f>
        <v>0.674941299721584</v>
      </c>
      <c r="P8" s="7" t="n">
        <f aca="false">SUM(D8:O8)</f>
        <v>8.09929559665901</v>
      </c>
      <c r="Q8" s="13" t="n">
        <f aca="false">sobrestock_sustitutos!$B$94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5" t="n">
        <f aca="false">parametros_recargas!C58</f>
        <v>1</v>
      </c>
      <c r="D9" s="26" t="n">
        <f aca="false">datos_base!$B$9*parametros_recargas!$B$37+sobrestock_sustitutos!$B$95/12</f>
        <v>0.40496477983295</v>
      </c>
      <c r="E9" s="26" t="n">
        <f aca="false">datos_base!$B$9*parametros_recargas!$C$37+sobrestock_sustitutos!$B$95/12</f>
        <v>0.40496477983295</v>
      </c>
      <c r="F9" s="26" t="n">
        <f aca="false">datos_base!$B$9*parametros_recargas!$D$37+sobrestock_sustitutos!$B$95/12</f>
        <v>0.40496477983295</v>
      </c>
      <c r="G9" s="26" t="n">
        <f aca="false">datos_base!$B$9*parametros_recargas!$E$37+sobrestock_sustitutos!$B$95/12</f>
        <v>0.40496477983295</v>
      </c>
      <c r="H9" s="26" t="n">
        <f aca="false">datos_base!$B$9*parametros_recargas!$F$37+sobrestock_sustitutos!$B$95/12</f>
        <v>0.40496477983295</v>
      </c>
      <c r="I9" s="26" t="n">
        <f aca="false">datos_base!$B$9*parametros_recargas!$G$37+sobrestock_sustitutos!$B$95/12</f>
        <v>0.40496477983295</v>
      </c>
      <c r="J9" s="26" t="n">
        <f aca="false">datos_base!$B$9*parametros_recargas!$H$37+sobrestock_sustitutos!$B$95/12</f>
        <v>0.40496477983295</v>
      </c>
      <c r="K9" s="26" t="n">
        <f aca="false">datos_base!$B$9*parametros_recargas!$I$37+sobrestock_sustitutos!$B$95/12</f>
        <v>0.40496477983295</v>
      </c>
      <c r="L9" s="26" t="n">
        <f aca="false">datos_base!$B$9*parametros_recargas!$J$37+sobrestock_sustitutos!$B$95/12</f>
        <v>0.40496477983295</v>
      </c>
      <c r="M9" s="26" t="n">
        <f aca="false">datos_base!$B$9*parametros_recargas!$K$37+sobrestock_sustitutos!$B$95/12</f>
        <v>0.40496477983295</v>
      </c>
      <c r="N9" s="26" t="n">
        <f aca="false">datos_base!$B$9*parametros_recargas!$L$37+sobrestock_sustitutos!$B$95/12</f>
        <v>0.40496477983295</v>
      </c>
      <c r="O9" s="26" t="n">
        <f aca="false">datos_base!$B$9*parametros_recargas!$M$37+sobrestock_sustitutos!$B$95/12</f>
        <v>0.40496477983295</v>
      </c>
      <c r="P9" s="7" t="n">
        <f aca="false">SUM(D9:O9)</f>
        <v>4.85957735799541</v>
      </c>
      <c r="Q9" s="13" t="n">
        <f aca="false">sobrestock_sustitutos!$B$95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5" t="n">
        <f aca="false">parametros_recargas!C59</f>
        <v>1</v>
      </c>
      <c r="D10" s="26" t="n">
        <f aca="false">datos_base!$B$10*parametros_recargas!$B$37+sobrestock_sustitutos!$B$96/12</f>
        <v>4.85957753593628</v>
      </c>
      <c r="E10" s="26" t="n">
        <f aca="false">datos_base!$B$10*parametros_recargas!$C$37+sobrestock_sustitutos!$B$96/12</f>
        <v>4.85957753593628</v>
      </c>
      <c r="F10" s="26" t="n">
        <f aca="false">datos_base!$B$10*parametros_recargas!$D$37+sobrestock_sustitutos!$B$96/12</f>
        <v>4.85957753593628</v>
      </c>
      <c r="G10" s="26" t="n">
        <f aca="false">datos_base!$B$10*parametros_recargas!$E$37+sobrestock_sustitutos!$B$96/12</f>
        <v>4.85957753593628</v>
      </c>
      <c r="H10" s="26" t="n">
        <f aca="false">datos_base!$B$10*parametros_recargas!$F$37+sobrestock_sustitutos!$B$96/12</f>
        <v>4.85957753593628</v>
      </c>
      <c r="I10" s="26" t="n">
        <f aca="false">datos_base!$B$10*parametros_recargas!$G$37+sobrestock_sustitutos!$B$96/12</f>
        <v>4.85957753593628</v>
      </c>
      <c r="J10" s="26" t="n">
        <f aca="false">datos_base!$B$10*parametros_recargas!$H$37+sobrestock_sustitutos!$B$96/12</f>
        <v>4.85957753593628</v>
      </c>
      <c r="K10" s="26" t="n">
        <f aca="false">datos_base!$B$10*parametros_recargas!$I$37+sobrestock_sustitutos!$B$96/12</f>
        <v>4.85957753593628</v>
      </c>
      <c r="L10" s="26" t="n">
        <f aca="false">datos_base!$B$10*parametros_recargas!$J$37+sobrestock_sustitutos!$B$96/12</f>
        <v>4.85957753593628</v>
      </c>
      <c r="M10" s="26" t="n">
        <f aca="false">datos_base!$B$10*parametros_recargas!$K$37+sobrestock_sustitutos!$B$96/12</f>
        <v>4.85957753593628</v>
      </c>
      <c r="N10" s="26" t="n">
        <f aca="false">datos_base!$B$10*parametros_recargas!$L$37+sobrestock_sustitutos!$B$96/12</f>
        <v>4.85957753593628</v>
      </c>
      <c r="O10" s="26" t="n">
        <f aca="false">datos_base!$B$10*parametros_recargas!$M$37+sobrestock_sustitutos!$B$96/12</f>
        <v>4.85957753593628</v>
      </c>
      <c r="P10" s="7" t="n">
        <f aca="false">SUM(D10:O10)</f>
        <v>58.3149304312353</v>
      </c>
      <c r="Q10" s="13" t="n">
        <f aca="false">sobrestock_sustitutos!$B$96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5" t="n">
        <f aca="false">parametros_recargas!C60</f>
        <v>1</v>
      </c>
      <c r="D11" s="26" t="n">
        <f aca="false">datos_base!$B$11*parametros_recargas!$B$37+sobrestock_sustitutos!$B$97/12</f>
        <v>26.7276764773063</v>
      </c>
      <c r="E11" s="26" t="n">
        <f aca="false">datos_base!$B$11*parametros_recargas!$C$37+sobrestock_sustitutos!$B$97/12</f>
        <v>26.7276764773063</v>
      </c>
      <c r="F11" s="26" t="n">
        <f aca="false">datos_base!$B$11*parametros_recargas!$D$37+sobrestock_sustitutos!$B$97/12</f>
        <v>26.7276764773063</v>
      </c>
      <c r="G11" s="26" t="n">
        <f aca="false">datos_base!$B$11*parametros_recargas!$E$37+sobrestock_sustitutos!$B$97/12</f>
        <v>26.7276764773063</v>
      </c>
      <c r="H11" s="26" t="n">
        <f aca="false">datos_base!$B$11*parametros_recargas!$F$37+sobrestock_sustitutos!$B$97/12</f>
        <v>26.7276764773063</v>
      </c>
      <c r="I11" s="26" t="n">
        <f aca="false">datos_base!$B$11*parametros_recargas!$G$37+sobrestock_sustitutos!$B$97/12</f>
        <v>26.7276764773063</v>
      </c>
      <c r="J11" s="26" t="n">
        <f aca="false">datos_base!$B$11*parametros_recargas!$H$37+sobrestock_sustitutos!$B$97/12</f>
        <v>26.7276764773063</v>
      </c>
      <c r="K11" s="26" t="n">
        <f aca="false">datos_base!$B$11*parametros_recargas!$I$37+sobrestock_sustitutos!$B$97/12</f>
        <v>26.7276764773063</v>
      </c>
      <c r="L11" s="26" t="n">
        <f aca="false">datos_base!$B$11*parametros_recargas!$J$37+sobrestock_sustitutos!$B$97/12</f>
        <v>26.7276764773063</v>
      </c>
      <c r="M11" s="26" t="n">
        <f aca="false">datos_base!$B$11*parametros_recargas!$K$37+sobrestock_sustitutos!$B$97/12</f>
        <v>26.7276764773063</v>
      </c>
      <c r="N11" s="26" t="n">
        <f aca="false">datos_base!$B$11*parametros_recargas!$L$37+sobrestock_sustitutos!$B$97/12</f>
        <v>26.7276764773063</v>
      </c>
      <c r="O11" s="26" t="n">
        <f aca="false">datos_base!$B$11*parametros_recargas!$M$37+sobrestock_sustitutos!$B$97/12</f>
        <v>26.7276764773063</v>
      </c>
      <c r="P11" s="7" t="n">
        <f aca="false">SUM(D11:O11)</f>
        <v>320.732117727676</v>
      </c>
      <c r="Q11" s="13" t="n">
        <f aca="false">sobrestock_sustitutos!$B$97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5" t="n">
        <f aca="false">parametros_recargas!C61</f>
        <v>1</v>
      </c>
      <c r="D12" s="26" t="n">
        <f aca="false">datos_base!$B$12*parametros_recargas!$B$37+sobrestock_sustitutos!$B$98/12</f>
        <v>7.42435459350555</v>
      </c>
      <c r="E12" s="26" t="n">
        <f aca="false">datos_base!$B$12*parametros_recargas!$C$37+sobrestock_sustitutos!$B$98/12</f>
        <v>7.42435459350555</v>
      </c>
      <c r="F12" s="26" t="n">
        <f aca="false">datos_base!$B$12*parametros_recargas!$D$37+sobrestock_sustitutos!$B$98/12</f>
        <v>7.42435459350555</v>
      </c>
      <c r="G12" s="26" t="n">
        <f aca="false">datos_base!$B$12*parametros_recargas!$E$37+sobrestock_sustitutos!$B$98/12</f>
        <v>7.42435459350555</v>
      </c>
      <c r="H12" s="26" t="n">
        <f aca="false">datos_base!$B$12*parametros_recargas!$F$37+sobrestock_sustitutos!$B$98/12</f>
        <v>7.42435459350555</v>
      </c>
      <c r="I12" s="26" t="n">
        <f aca="false">datos_base!$B$12*parametros_recargas!$G$37+sobrestock_sustitutos!$B$98/12</f>
        <v>7.42435459350555</v>
      </c>
      <c r="J12" s="26" t="n">
        <f aca="false">datos_base!$B$12*parametros_recargas!$H$37+sobrestock_sustitutos!$B$98/12</f>
        <v>7.42435459350555</v>
      </c>
      <c r="K12" s="26" t="n">
        <f aca="false">datos_base!$B$12*parametros_recargas!$I$37+sobrestock_sustitutos!$B$98/12</f>
        <v>7.42435459350555</v>
      </c>
      <c r="L12" s="26" t="n">
        <f aca="false">datos_base!$B$12*parametros_recargas!$J$37+sobrestock_sustitutos!$B$98/12</f>
        <v>7.42435459350555</v>
      </c>
      <c r="M12" s="26" t="n">
        <f aca="false">datos_base!$B$12*parametros_recargas!$K$37+sobrestock_sustitutos!$B$98/12</f>
        <v>7.42435459350555</v>
      </c>
      <c r="N12" s="26" t="n">
        <f aca="false">datos_base!$B$12*parametros_recargas!$L$37+sobrestock_sustitutos!$B$98/12</f>
        <v>7.42435459350555</v>
      </c>
      <c r="O12" s="26" t="n">
        <f aca="false">datos_base!$B$12*parametros_recargas!$M$37+sobrestock_sustitutos!$B$98/12</f>
        <v>7.42435459350555</v>
      </c>
      <c r="P12" s="7" t="n">
        <f aca="false">SUM(D12:O12)</f>
        <v>89.0922551220666</v>
      </c>
      <c r="Q12" s="13" t="n">
        <f aca="false">sobrestock_sustitutos!$B$98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5" t="n">
        <f aca="false">parametros_recargas!C62</f>
        <v>1</v>
      </c>
      <c r="D13" s="26" t="n">
        <f aca="false">datos_base!$B$13*parametros_recargas!$B$37+sobrestock_sustitutos!$B$99/12</f>
        <v>1.07990613886816</v>
      </c>
      <c r="E13" s="26" t="n">
        <f aca="false">datos_base!$B$13*parametros_recargas!$C$37+sobrestock_sustitutos!$B$99/12</f>
        <v>1.07990613886816</v>
      </c>
      <c r="F13" s="26" t="n">
        <f aca="false">datos_base!$B$13*parametros_recargas!$D$37+sobrestock_sustitutos!$B$99/12</f>
        <v>1.07990613886816</v>
      </c>
      <c r="G13" s="26" t="n">
        <f aca="false">datos_base!$B$13*parametros_recargas!$E$37+sobrestock_sustitutos!$B$99/12</f>
        <v>1.07990613886816</v>
      </c>
      <c r="H13" s="26" t="n">
        <f aca="false">datos_base!$B$13*parametros_recargas!$F$37+sobrestock_sustitutos!$B$99/12</f>
        <v>1.07990613886816</v>
      </c>
      <c r="I13" s="26" t="n">
        <f aca="false">datos_base!$B$13*parametros_recargas!$G$37+sobrestock_sustitutos!$B$99/12</f>
        <v>1.07990613886816</v>
      </c>
      <c r="J13" s="26" t="n">
        <f aca="false">datos_base!$B$13*parametros_recargas!$H$37+sobrestock_sustitutos!$B$99/12</f>
        <v>1.07990613886816</v>
      </c>
      <c r="K13" s="26" t="n">
        <f aca="false">datos_base!$B$13*parametros_recargas!$I$37+sobrestock_sustitutos!$B$99/12</f>
        <v>1.07990613886816</v>
      </c>
      <c r="L13" s="26" t="n">
        <f aca="false">datos_base!$B$13*parametros_recargas!$J$37+sobrestock_sustitutos!$B$99/12</f>
        <v>1.07990613886816</v>
      </c>
      <c r="M13" s="26" t="n">
        <f aca="false">datos_base!$B$13*parametros_recargas!$K$37+sobrestock_sustitutos!$B$99/12</f>
        <v>1.07990613886816</v>
      </c>
      <c r="N13" s="26" t="n">
        <f aca="false">datos_base!$B$13*parametros_recargas!$L$37+sobrestock_sustitutos!$B$99/12</f>
        <v>1.07990613886816</v>
      </c>
      <c r="O13" s="26" t="n">
        <f aca="false">datos_base!$B$13*parametros_recargas!$M$37+sobrestock_sustitutos!$B$99/12</f>
        <v>1.07990613886816</v>
      </c>
      <c r="P13" s="7" t="n">
        <f aca="false">SUM(D13:O13)</f>
        <v>12.9588736664179</v>
      </c>
      <c r="Q13" s="13" t="n">
        <f aca="false">sobrestock_sustitutos!$B$99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5" t="n">
        <f aca="false">parametros_recargas!C63</f>
        <v>1</v>
      </c>
      <c r="D14" s="26" t="n">
        <f aca="false">datos_base!$B$14*parametros_recargas!$B$37+sobrestock_sustitutos!$B$100/12</f>
        <v>0.40496477983295</v>
      </c>
      <c r="E14" s="26" t="n">
        <f aca="false">datos_base!$B$14*parametros_recargas!$C$37+sobrestock_sustitutos!$B$100/12</f>
        <v>0.40496477983295</v>
      </c>
      <c r="F14" s="26" t="n">
        <f aca="false">datos_base!$B$14*parametros_recargas!$D$37+sobrestock_sustitutos!$B$100/12</f>
        <v>0.40496477983295</v>
      </c>
      <c r="G14" s="26" t="n">
        <f aca="false">datos_base!$B$14*parametros_recargas!$E$37+sobrestock_sustitutos!$B$100/12</f>
        <v>0.40496477983295</v>
      </c>
      <c r="H14" s="26" t="n">
        <f aca="false">datos_base!$B$14*parametros_recargas!$F$37+sobrestock_sustitutos!$B$100/12</f>
        <v>0.40496477983295</v>
      </c>
      <c r="I14" s="26" t="n">
        <f aca="false">datos_base!$B$14*parametros_recargas!$G$37+sobrestock_sustitutos!$B$100/12</f>
        <v>0.40496477983295</v>
      </c>
      <c r="J14" s="26" t="n">
        <f aca="false">datos_base!$B$14*parametros_recargas!$H$37+sobrestock_sustitutos!$B$100/12</f>
        <v>0.40496477983295</v>
      </c>
      <c r="K14" s="26" t="n">
        <f aca="false">datos_base!$B$14*parametros_recargas!$I$37+sobrestock_sustitutos!$B$100/12</f>
        <v>0.40496477983295</v>
      </c>
      <c r="L14" s="26" t="n">
        <f aca="false">datos_base!$B$14*parametros_recargas!$J$37+sobrestock_sustitutos!$B$100/12</f>
        <v>0.40496477983295</v>
      </c>
      <c r="M14" s="26" t="n">
        <f aca="false">datos_base!$B$14*parametros_recargas!$K$37+sobrestock_sustitutos!$B$100/12</f>
        <v>0.40496477983295</v>
      </c>
      <c r="N14" s="26" t="n">
        <f aca="false">datos_base!$B$14*parametros_recargas!$L$37+sobrestock_sustitutos!$B$100/12</f>
        <v>0.40496477983295</v>
      </c>
      <c r="O14" s="26" t="n">
        <f aca="false">datos_base!$B$14*parametros_recargas!$M$37+sobrestock_sustitutos!$B$100/12</f>
        <v>0.40496477983295</v>
      </c>
      <c r="P14" s="7" t="n">
        <f aca="false">SUM(D14:O14)</f>
        <v>4.85957735799541</v>
      </c>
      <c r="Q14" s="13" t="n">
        <f aca="false">sobrestock_sustitutos!$B$100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5" t="n">
        <f aca="false">parametros_recargas!C64</f>
        <v>3</v>
      </c>
      <c r="D15" s="26" t="n">
        <f aca="false">datos_base!$B$15*parametros_recargas!$B$37+sobrestock_sustitutos!$B$101/12</f>
        <v>1.04615905905367</v>
      </c>
      <c r="E15" s="26" t="n">
        <f aca="false">datos_base!$B$15*parametros_recargas!$C$37+sobrestock_sustitutos!$B$101/12</f>
        <v>1.04615905905367</v>
      </c>
      <c r="F15" s="26" t="n">
        <f aca="false">datos_base!$B$15*parametros_recargas!$D$37+sobrestock_sustitutos!$B$101/12</f>
        <v>1.04615905905367</v>
      </c>
      <c r="G15" s="26" t="n">
        <f aca="false">datos_base!$B$15*parametros_recargas!$E$37+sobrestock_sustitutos!$B$101/12</f>
        <v>1.04615905905367</v>
      </c>
      <c r="H15" s="26" t="n">
        <f aca="false">datos_base!$B$15*parametros_recargas!$F$37+sobrestock_sustitutos!$B$101/12</f>
        <v>1.04615905905367</v>
      </c>
      <c r="I15" s="26" t="n">
        <f aca="false">datos_base!$B$15*parametros_recargas!$G$37+sobrestock_sustitutos!$B$101/12</f>
        <v>1.04615905905367</v>
      </c>
      <c r="J15" s="26" t="n">
        <f aca="false">datos_base!$B$15*parametros_recargas!$H$37+sobrestock_sustitutos!$B$101/12</f>
        <v>1.04615905905367</v>
      </c>
      <c r="K15" s="26" t="n">
        <f aca="false">datos_base!$B$15*parametros_recargas!$I$37+sobrestock_sustitutos!$B$101/12</f>
        <v>1.04615905905367</v>
      </c>
      <c r="L15" s="26" t="n">
        <f aca="false">datos_base!$B$15*parametros_recargas!$J$37+sobrestock_sustitutos!$B$101/12</f>
        <v>1.04615905905367</v>
      </c>
      <c r="M15" s="26" t="n">
        <f aca="false">datos_base!$B$15*parametros_recargas!$K$37+sobrestock_sustitutos!$B$101/12</f>
        <v>1.04615905905367</v>
      </c>
      <c r="N15" s="26" t="n">
        <f aca="false">datos_base!$B$15*parametros_recargas!$L$37+sobrestock_sustitutos!$B$101/12</f>
        <v>1.04615905905367</v>
      </c>
      <c r="O15" s="26" t="n">
        <f aca="false">datos_base!$B$15*parametros_recargas!$M$37+sobrestock_sustitutos!$B$101/12</f>
        <v>1.04615905905367</v>
      </c>
      <c r="P15" s="7" t="n">
        <f aca="false">SUM(D15:O15)</f>
        <v>12.5539087086441</v>
      </c>
      <c r="Q15" s="13" t="n">
        <f aca="false">sobrestock_sustitutos!$B$101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5" t="n">
        <f aca="false">parametros_recargas!C65</f>
        <v>3</v>
      </c>
      <c r="D16" s="26" t="n">
        <f aca="false">datos_base!$B$16*parametros_recargas!$B$37+sobrestock_sustitutos!$B$102/12</f>
        <v>2.30154989432991</v>
      </c>
      <c r="E16" s="26" t="n">
        <f aca="false">datos_base!$B$16*parametros_recargas!$C$37+sobrestock_sustitutos!$B$102/12</f>
        <v>2.30154989432991</v>
      </c>
      <c r="F16" s="26" t="n">
        <f aca="false">datos_base!$B$16*parametros_recargas!$D$37+sobrestock_sustitutos!$B$102/12</f>
        <v>2.30154989432991</v>
      </c>
      <c r="G16" s="26" t="n">
        <f aca="false">datos_base!$B$16*parametros_recargas!$E$37+sobrestock_sustitutos!$B$102/12</f>
        <v>2.30154989432991</v>
      </c>
      <c r="H16" s="26" t="n">
        <f aca="false">datos_base!$B$16*parametros_recargas!$F$37+sobrestock_sustitutos!$B$102/12</f>
        <v>2.30154989432991</v>
      </c>
      <c r="I16" s="26" t="n">
        <f aca="false">datos_base!$B$16*parametros_recargas!$G$37+sobrestock_sustitutos!$B$102/12</f>
        <v>2.30154989432991</v>
      </c>
      <c r="J16" s="26" t="n">
        <f aca="false">datos_base!$B$16*parametros_recargas!$H$37+sobrestock_sustitutos!$B$102/12</f>
        <v>2.30154989432991</v>
      </c>
      <c r="K16" s="26" t="n">
        <f aca="false">datos_base!$B$16*parametros_recargas!$I$37+sobrestock_sustitutos!$B$102/12</f>
        <v>2.30154989432991</v>
      </c>
      <c r="L16" s="26" t="n">
        <f aca="false">datos_base!$B$16*parametros_recargas!$J$37+sobrestock_sustitutos!$B$102/12</f>
        <v>2.30154989432991</v>
      </c>
      <c r="M16" s="26" t="n">
        <f aca="false">datos_base!$B$16*parametros_recargas!$K$37+sobrestock_sustitutos!$B$102/12</f>
        <v>2.30154989432991</v>
      </c>
      <c r="N16" s="26" t="n">
        <f aca="false">datos_base!$B$16*parametros_recargas!$L$37+sobrestock_sustitutos!$B$102/12</f>
        <v>2.30154989432991</v>
      </c>
      <c r="O16" s="26" t="n">
        <f aca="false">datos_base!$B$16*parametros_recargas!$M$37+sobrestock_sustitutos!$B$102/12</f>
        <v>2.30154989432991</v>
      </c>
      <c r="P16" s="7" t="n">
        <f aca="false">SUM(D16:O16)</f>
        <v>27.6185987319589</v>
      </c>
      <c r="Q16" s="13" t="n">
        <f aca="false">sobrestock_sustitutos!$B$102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5" t="n">
        <f aca="false">parametros_recargas!C66</f>
        <v>3</v>
      </c>
      <c r="D17" s="26" t="n">
        <f aca="false">datos_base!$B$17*parametros_recargas!$B$37+sobrestock_sustitutos!$B$103/12</f>
        <v>0.502156322247768</v>
      </c>
      <c r="E17" s="26" t="n">
        <f aca="false">datos_base!$B$17*parametros_recargas!$C$37+sobrestock_sustitutos!$B$103/12</f>
        <v>0.502156322247768</v>
      </c>
      <c r="F17" s="26" t="n">
        <f aca="false">datos_base!$B$17*parametros_recargas!$D$37+sobrestock_sustitutos!$B$103/12</f>
        <v>0.502156322247768</v>
      </c>
      <c r="G17" s="26" t="n">
        <f aca="false">datos_base!$B$17*parametros_recargas!$E$37+sobrestock_sustitutos!$B$103/12</f>
        <v>0.502156322247768</v>
      </c>
      <c r="H17" s="26" t="n">
        <f aca="false">datos_base!$B$17*parametros_recargas!$F$37+sobrestock_sustitutos!$B$103/12</f>
        <v>0.502156322247768</v>
      </c>
      <c r="I17" s="26" t="n">
        <f aca="false">datos_base!$B$17*parametros_recargas!$G$37+sobrestock_sustitutos!$B$103/12</f>
        <v>0.502156322247768</v>
      </c>
      <c r="J17" s="26" t="n">
        <f aca="false">datos_base!$B$17*parametros_recargas!$H$37+sobrestock_sustitutos!$B$103/12</f>
        <v>0.502156322247768</v>
      </c>
      <c r="K17" s="26" t="n">
        <f aca="false">datos_base!$B$17*parametros_recargas!$I$37+sobrestock_sustitutos!$B$103/12</f>
        <v>0.502156322247768</v>
      </c>
      <c r="L17" s="26" t="n">
        <f aca="false">datos_base!$B$17*parametros_recargas!$J$37+sobrestock_sustitutos!$B$103/12</f>
        <v>0.502156322247768</v>
      </c>
      <c r="M17" s="26" t="n">
        <f aca="false">datos_base!$B$17*parametros_recargas!$K$37+sobrestock_sustitutos!$B$103/12</f>
        <v>0.502156322247768</v>
      </c>
      <c r="N17" s="26" t="n">
        <f aca="false">datos_base!$B$17*parametros_recargas!$L$37+sobrestock_sustitutos!$B$103/12</f>
        <v>0.502156322247768</v>
      </c>
      <c r="O17" s="26" t="n">
        <f aca="false">datos_base!$B$17*parametros_recargas!$M$37+sobrestock_sustitutos!$B$103/12</f>
        <v>0.502156322247768</v>
      </c>
      <c r="P17" s="7" t="n">
        <f aca="false">SUM(D17:O17)</f>
        <v>6.02587586697322</v>
      </c>
      <c r="Q17" s="13" t="n">
        <f aca="false">sobrestock_sustitutos!$B$103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5" t="n">
        <f aca="false">parametros_recargas!C67</f>
        <v>3</v>
      </c>
      <c r="D18" s="26" t="n">
        <f aca="false">datos_base!$B$18*parametros_recargas!$B$37+sobrestock_sustitutos!$B$104/12</f>
        <v>0.334770901269721</v>
      </c>
      <c r="E18" s="26" t="n">
        <f aca="false">datos_base!$B$18*parametros_recargas!$C$37+sobrestock_sustitutos!$B$104/12</f>
        <v>0.334770901269721</v>
      </c>
      <c r="F18" s="26" t="n">
        <f aca="false">datos_base!$B$18*parametros_recargas!$D$37+sobrestock_sustitutos!$B$104/12</f>
        <v>0.334770901269721</v>
      </c>
      <c r="G18" s="26" t="n">
        <f aca="false">datos_base!$B$18*parametros_recargas!$E$37+sobrestock_sustitutos!$B$104/12</f>
        <v>0.334770901269721</v>
      </c>
      <c r="H18" s="26" t="n">
        <f aca="false">datos_base!$B$18*parametros_recargas!$F$37+sobrestock_sustitutos!$B$104/12</f>
        <v>0.334770901269721</v>
      </c>
      <c r="I18" s="26" t="n">
        <f aca="false">datos_base!$B$18*parametros_recargas!$G$37+sobrestock_sustitutos!$B$104/12</f>
        <v>0.334770901269721</v>
      </c>
      <c r="J18" s="26" t="n">
        <f aca="false">datos_base!$B$18*parametros_recargas!$H$37+sobrestock_sustitutos!$B$104/12</f>
        <v>0.334770901269721</v>
      </c>
      <c r="K18" s="26" t="n">
        <f aca="false">datos_base!$B$18*parametros_recargas!$I$37+sobrestock_sustitutos!$B$104/12</f>
        <v>0.334770901269721</v>
      </c>
      <c r="L18" s="26" t="n">
        <f aca="false">datos_base!$B$18*parametros_recargas!$J$37+sobrestock_sustitutos!$B$104/12</f>
        <v>0.334770901269721</v>
      </c>
      <c r="M18" s="26" t="n">
        <f aca="false">datos_base!$B$18*parametros_recargas!$K$37+sobrestock_sustitutos!$B$104/12</f>
        <v>0.334770901269721</v>
      </c>
      <c r="N18" s="26" t="n">
        <f aca="false">datos_base!$B$18*parametros_recargas!$L$37+sobrestock_sustitutos!$B$104/12</f>
        <v>0.334770901269721</v>
      </c>
      <c r="O18" s="26" t="n">
        <f aca="false">datos_base!$B$18*parametros_recargas!$M$37+sobrestock_sustitutos!$B$104/12</f>
        <v>0.334770901269721</v>
      </c>
      <c r="P18" s="7" t="n">
        <f aca="false">SUM(D18:O18)</f>
        <v>4.01725081523665</v>
      </c>
      <c r="Q18" s="13" t="n">
        <f aca="false">sobrestock_sustitutos!$B$104</f>
        <v>0</v>
      </c>
    </row>
    <row r="19" customFormat="false" ht="15" hidden="false" customHeight="false" outlineLevel="0" collapsed="false">
      <c r="A19" s="6" t="s">
        <v>310</v>
      </c>
      <c r="D19" s="7" t="n">
        <f aca="false">SUM(D2:D18)</f>
        <v>405.09978339581</v>
      </c>
      <c r="E19" s="7" t="n">
        <f aca="false">SUM(E2:E18)</f>
        <v>405.09978339581</v>
      </c>
      <c r="F19" s="7" t="n">
        <f aca="false">SUM(F2:F18)</f>
        <v>405.09978339581</v>
      </c>
      <c r="G19" s="7" t="n">
        <f aca="false">SUM(G2:G18)</f>
        <v>405.09978339581</v>
      </c>
      <c r="H19" s="7" t="n">
        <f aca="false">SUM(H2:H18)</f>
        <v>405.09978339581</v>
      </c>
      <c r="I19" s="7" t="n">
        <f aca="false">SUM(I2:I18)</f>
        <v>405.09978339581</v>
      </c>
      <c r="J19" s="7" t="n">
        <f aca="false">SUM(J2:J18)</f>
        <v>405.09978339581</v>
      </c>
      <c r="K19" s="7" t="n">
        <f aca="false">SUM(K2:K18)</f>
        <v>405.09978339581</v>
      </c>
      <c r="L19" s="7" t="n">
        <f aca="false">SUM(L2:L18)</f>
        <v>405.09978339581</v>
      </c>
      <c r="M19" s="7" t="n">
        <f aca="false">SUM(M2:M18)</f>
        <v>405.09978339581</v>
      </c>
      <c r="N19" s="7" t="n">
        <f aca="false">SUM(N2:N18)</f>
        <v>405.09978339581</v>
      </c>
      <c r="O19" s="7" t="n">
        <f aca="false">SUM(O2:O18)</f>
        <v>405.09978339581</v>
      </c>
      <c r="P19" s="7" t="n">
        <f aca="false">SUM(P2:P18)</f>
        <v>4861.19740074972</v>
      </c>
    </row>
    <row r="20" customFormat="false" ht="15" hidden="false" customHeight="false" outlineLevel="0" collapsed="false">
      <c r="A20" s="6" t="s">
        <v>311</v>
      </c>
    </row>
    <row r="21" customFormat="false" ht="15" hidden="false" customHeight="false" outlineLevel="0" collapsed="false">
      <c r="A21" s="4" t="s">
        <v>151</v>
      </c>
      <c r="D21" s="26" t="n">
        <f aca="false">SUMPRODUCT(($B$2:$B$18=$A21)*D$2:D$18*$C$2:$C$18)</f>
        <v>361.093608933867</v>
      </c>
      <c r="E21" s="26" t="n">
        <f aca="false">SUMPRODUCT(($B$2:$B$18=$A21)*E$2:E$18*$C$2:$C$18)</f>
        <v>361.093608933867</v>
      </c>
      <c r="F21" s="26" t="n">
        <f aca="false">SUMPRODUCT(($B$2:$B$18=$A21)*F$2:F$18*$C$2:$C$18)</f>
        <v>361.093608933867</v>
      </c>
      <c r="G21" s="26" t="n">
        <f aca="false">SUMPRODUCT(($B$2:$B$18=$A21)*G$2:G$18*$C$2:$C$18)</f>
        <v>361.093608933867</v>
      </c>
      <c r="H21" s="26" t="n">
        <f aca="false">SUMPRODUCT(($B$2:$B$18=$A21)*H$2:H$18*$C$2:$C$18)</f>
        <v>361.093608933867</v>
      </c>
      <c r="I21" s="26" t="n">
        <f aca="false">SUMPRODUCT(($B$2:$B$18=$A21)*I$2:I$18*$C$2:$C$18)</f>
        <v>361.093608933867</v>
      </c>
      <c r="J21" s="26" t="n">
        <f aca="false">SUMPRODUCT(($B$2:$B$18=$A21)*J$2:J$18*$C$2:$C$18)</f>
        <v>361.093608933867</v>
      </c>
      <c r="K21" s="26" t="n">
        <f aca="false">SUMPRODUCT(($B$2:$B$18=$A21)*K$2:K$18*$C$2:$C$18)</f>
        <v>361.093608933867</v>
      </c>
      <c r="L21" s="26" t="n">
        <f aca="false">SUMPRODUCT(($B$2:$B$18=$A21)*L$2:L$18*$C$2:$C$18)</f>
        <v>361.093608933867</v>
      </c>
      <c r="M21" s="26" t="n">
        <f aca="false">SUMPRODUCT(($B$2:$B$18=$A21)*M$2:M$18*$C$2:$C$18)</f>
        <v>361.093608933867</v>
      </c>
      <c r="N21" s="26" t="n">
        <f aca="false">SUMPRODUCT(($B$2:$B$18=$A21)*N$2:N$18*$C$2:$C$18)</f>
        <v>361.093608933867</v>
      </c>
      <c r="O21" s="26" t="n">
        <f aca="false">SUMPRODUCT(($B$2:$B$18=$A21)*O$2:O$18*$C$2:$C$18)</f>
        <v>361.093608933867</v>
      </c>
      <c r="P21" s="26" t="n">
        <f aca="false">SUMPRODUCT(($B$2:$B$18=$A21)*P$2:P$18*$C$2:$C$18)</f>
        <v>4333.12330720641</v>
      </c>
    </row>
    <row r="22" customFormat="false" ht="15" hidden="false" customHeight="false" outlineLevel="0" collapsed="false">
      <c r="A22" s="4" t="s">
        <v>157</v>
      </c>
      <c r="D22" s="26" t="n">
        <f aca="false">SUMPRODUCT(($B$2:$B$18=$A22)*D$2:D$18*$C$2:$C$18)</f>
        <v>0.40496477983295</v>
      </c>
      <c r="E22" s="26" t="n">
        <f aca="false">SUMPRODUCT(($B$2:$B$18=$A22)*E$2:E$18*$C$2:$C$18)</f>
        <v>0.40496477983295</v>
      </c>
      <c r="F22" s="26" t="n">
        <f aca="false">SUMPRODUCT(($B$2:$B$18=$A22)*F$2:F$18*$C$2:$C$18)</f>
        <v>0.40496477983295</v>
      </c>
      <c r="G22" s="26" t="n">
        <f aca="false">SUMPRODUCT(($B$2:$B$18=$A22)*G$2:G$18*$C$2:$C$18)</f>
        <v>0.40496477983295</v>
      </c>
      <c r="H22" s="26" t="n">
        <f aca="false">SUMPRODUCT(($B$2:$B$18=$A22)*H$2:H$18*$C$2:$C$18)</f>
        <v>0.40496477983295</v>
      </c>
      <c r="I22" s="26" t="n">
        <f aca="false">SUMPRODUCT(($B$2:$B$18=$A22)*I$2:I$18*$C$2:$C$18)</f>
        <v>0.40496477983295</v>
      </c>
      <c r="J22" s="26" t="n">
        <f aca="false">SUMPRODUCT(($B$2:$B$18=$A22)*J$2:J$18*$C$2:$C$18)</f>
        <v>0.40496477983295</v>
      </c>
      <c r="K22" s="26" t="n">
        <f aca="false">SUMPRODUCT(($B$2:$B$18=$A22)*K$2:K$18*$C$2:$C$18)</f>
        <v>0.40496477983295</v>
      </c>
      <c r="L22" s="26" t="n">
        <f aca="false">SUMPRODUCT(($B$2:$B$18=$A22)*L$2:L$18*$C$2:$C$18)</f>
        <v>0.40496477983295</v>
      </c>
      <c r="M22" s="26" t="n">
        <f aca="false">SUMPRODUCT(($B$2:$B$18=$A22)*M$2:M$18*$C$2:$C$18)</f>
        <v>0.40496477983295</v>
      </c>
      <c r="N22" s="26" t="n">
        <f aca="false">SUMPRODUCT(($B$2:$B$18=$A22)*N$2:N$18*$C$2:$C$18)</f>
        <v>0.40496477983295</v>
      </c>
      <c r="O22" s="26" t="n">
        <f aca="false">SUMPRODUCT(($B$2:$B$18=$A22)*O$2:O$18*$C$2:$C$18)</f>
        <v>0.40496477983295</v>
      </c>
      <c r="P22" s="26" t="n">
        <f aca="false">SUMPRODUCT(($B$2:$B$18=$A22)*P$2:P$18*$C$2:$C$18)</f>
        <v>4.85957735799541</v>
      </c>
    </row>
    <row r="23" customFormat="false" ht="15" hidden="false" customHeight="false" outlineLevel="0" collapsed="false">
      <c r="A23" s="4" t="s">
        <v>163</v>
      </c>
      <c r="D23" s="26" t="n">
        <f aca="false">SUMPRODUCT(($B$2:$B$18=$A23)*D$2:D$18*$C$2:$C$18)</f>
        <v>0.40496477983295</v>
      </c>
      <c r="E23" s="26" t="n">
        <f aca="false">SUMPRODUCT(($B$2:$B$18=$A23)*E$2:E$18*$C$2:$C$18)</f>
        <v>0.40496477983295</v>
      </c>
      <c r="F23" s="26" t="n">
        <f aca="false">SUMPRODUCT(($B$2:$B$18=$A23)*F$2:F$18*$C$2:$C$18)</f>
        <v>0.40496477983295</v>
      </c>
      <c r="G23" s="26" t="n">
        <f aca="false">SUMPRODUCT(($B$2:$B$18=$A23)*G$2:G$18*$C$2:$C$18)</f>
        <v>0.40496477983295</v>
      </c>
      <c r="H23" s="26" t="n">
        <f aca="false">SUMPRODUCT(($B$2:$B$18=$A23)*H$2:H$18*$C$2:$C$18)</f>
        <v>0.40496477983295</v>
      </c>
      <c r="I23" s="26" t="n">
        <f aca="false">SUMPRODUCT(($B$2:$B$18=$A23)*I$2:I$18*$C$2:$C$18)</f>
        <v>0.40496477983295</v>
      </c>
      <c r="J23" s="26" t="n">
        <f aca="false">SUMPRODUCT(($B$2:$B$18=$A23)*J$2:J$18*$C$2:$C$18)</f>
        <v>0.40496477983295</v>
      </c>
      <c r="K23" s="26" t="n">
        <f aca="false">SUMPRODUCT(($B$2:$B$18=$A23)*K$2:K$18*$C$2:$C$18)</f>
        <v>0.40496477983295</v>
      </c>
      <c r="L23" s="26" t="n">
        <f aca="false">SUMPRODUCT(($B$2:$B$18=$A23)*L$2:L$18*$C$2:$C$18)</f>
        <v>0.40496477983295</v>
      </c>
      <c r="M23" s="26" t="n">
        <f aca="false">SUMPRODUCT(($B$2:$B$18=$A23)*M$2:M$18*$C$2:$C$18)</f>
        <v>0.40496477983295</v>
      </c>
      <c r="N23" s="26" t="n">
        <f aca="false">SUMPRODUCT(($B$2:$B$18=$A23)*N$2:N$18*$C$2:$C$18)</f>
        <v>0.40496477983295</v>
      </c>
      <c r="O23" s="26" t="n">
        <f aca="false">SUMPRODUCT(($B$2:$B$18=$A23)*O$2:O$18*$C$2:$C$18)</f>
        <v>0.40496477983295</v>
      </c>
      <c r="P23" s="26" t="n">
        <f aca="false">SUMPRODUCT(($B$2:$B$18=$A23)*P$2:P$18*$C$2:$C$18)</f>
        <v>4.85957735799541</v>
      </c>
    </row>
    <row r="24" customFormat="false" ht="15" hidden="false" customHeight="false" outlineLevel="0" collapsed="false">
      <c r="A24" s="4" t="s">
        <v>154</v>
      </c>
      <c r="D24" s="26" t="n">
        <f aca="false">SUMPRODUCT(($B$2:$B$18=$A24)*D$2:D$18*$C$2:$C$18)</f>
        <v>9.44917855198392</v>
      </c>
      <c r="E24" s="26" t="n">
        <f aca="false">SUMPRODUCT(($B$2:$B$18=$A24)*E$2:E$18*$C$2:$C$18)</f>
        <v>9.44917855198392</v>
      </c>
      <c r="F24" s="26" t="n">
        <f aca="false">SUMPRODUCT(($B$2:$B$18=$A24)*F$2:F$18*$C$2:$C$18)</f>
        <v>9.44917855198392</v>
      </c>
      <c r="G24" s="26" t="n">
        <f aca="false">SUMPRODUCT(($B$2:$B$18=$A24)*G$2:G$18*$C$2:$C$18)</f>
        <v>9.44917855198392</v>
      </c>
      <c r="H24" s="26" t="n">
        <f aca="false">SUMPRODUCT(($B$2:$B$18=$A24)*H$2:H$18*$C$2:$C$18)</f>
        <v>9.44917855198392</v>
      </c>
      <c r="I24" s="26" t="n">
        <f aca="false">SUMPRODUCT(($B$2:$B$18=$A24)*I$2:I$18*$C$2:$C$18)</f>
        <v>9.44917855198392</v>
      </c>
      <c r="J24" s="26" t="n">
        <f aca="false">SUMPRODUCT(($B$2:$B$18=$A24)*J$2:J$18*$C$2:$C$18)</f>
        <v>9.44917855198392</v>
      </c>
      <c r="K24" s="26" t="n">
        <f aca="false">SUMPRODUCT(($B$2:$B$18=$A24)*K$2:K$18*$C$2:$C$18)</f>
        <v>9.44917855198392</v>
      </c>
      <c r="L24" s="26" t="n">
        <f aca="false">SUMPRODUCT(($B$2:$B$18=$A24)*L$2:L$18*$C$2:$C$18)</f>
        <v>9.44917855198392</v>
      </c>
      <c r="M24" s="26" t="n">
        <f aca="false">SUMPRODUCT(($B$2:$B$18=$A24)*M$2:M$18*$C$2:$C$18)</f>
        <v>9.44917855198392</v>
      </c>
      <c r="N24" s="26" t="n">
        <f aca="false">SUMPRODUCT(($B$2:$B$18=$A24)*N$2:N$18*$C$2:$C$18)</f>
        <v>9.44917855198392</v>
      </c>
      <c r="O24" s="26" t="n">
        <f aca="false">SUMPRODUCT(($B$2:$B$18=$A24)*O$2:O$18*$C$2:$C$18)</f>
        <v>9.44917855198392</v>
      </c>
      <c r="P24" s="26" t="n">
        <f aca="false">SUMPRODUCT(($B$2:$B$18=$A24)*P$2:P$18*$C$2:$C$18)</f>
        <v>113.390142623807</v>
      </c>
    </row>
    <row r="25" customFormat="false" ht="15" hidden="false" customHeight="false" outlineLevel="0" collapsed="false">
      <c r="A25" s="4" t="s">
        <v>155</v>
      </c>
      <c r="D25" s="26" t="n">
        <f aca="false">SUMPRODUCT(($B$2:$B$18=$A25)*D$2:D$18*$C$2:$C$18)</f>
        <v>3.37470655792154</v>
      </c>
      <c r="E25" s="26" t="n">
        <f aca="false">SUMPRODUCT(($B$2:$B$18=$A25)*E$2:E$18*$C$2:$C$18)</f>
        <v>3.37470655792154</v>
      </c>
      <c r="F25" s="26" t="n">
        <f aca="false">SUMPRODUCT(($B$2:$B$18=$A25)*F$2:F$18*$C$2:$C$18)</f>
        <v>3.37470655792154</v>
      </c>
      <c r="G25" s="26" t="n">
        <f aca="false">SUMPRODUCT(($B$2:$B$18=$A25)*G$2:G$18*$C$2:$C$18)</f>
        <v>3.37470655792154</v>
      </c>
      <c r="H25" s="26" t="n">
        <f aca="false">SUMPRODUCT(($B$2:$B$18=$A25)*H$2:H$18*$C$2:$C$18)</f>
        <v>3.37470655792154</v>
      </c>
      <c r="I25" s="26" t="n">
        <f aca="false">SUMPRODUCT(($B$2:$B$18=$A25)*I$2:I$18*$C$2:$C$18)</f>
        <v>3.37470655792154</v>
      </c>
      <c r="J25" s="26" t="n">
        <f aca="false">SUMPRODUCT(($B$2:$B$18=$A25)*J$2:J$18*$C$2:$C$18)</f>
        <v>3.37470655792154</v>
      </c>
      <c r="K25" s="26" t="n">
        <f aca="false">SUMPRODUCT(($B$2:$B$18=$A25)*K$2:K$18*$C$2:$C$18)</f>
        <v>3.37470655792154</v>
      </c>
      <c r="L25" s="26" t="n">
        <f aca="false">SUMPRODUCT(($B$2:$B$18=$A25)*L$2:L$18*$C$2:$C$18)</f>
        <v>3.37470655792154</v>
      </c>
      <c r="M25" s="26" t="n">
        <f aca="false">SUMPRODUCT(($B$2:$B$18=$A25)*M$2:M$18*$C$2:$C$18)</f>
        <v>3.37470655792154</v>
      </c>
      <c r="N25" s="26" t="n">
        <f aca="false">SUMPRODUCT(($B$2:$B$18=$A25)*N$2:N$18*$C$2:$C$18)</f>
        <v>3.37470655792154</v>
      </c>
      <c r="O25" s="26" t="n">
        <f aca="false">SUMPRODUCT(($B$2:$B$18=$A25)*O$2:O$18*$C$2:$C$18)</f>
        <v>3.37470655792154</v>
      </c>
      <c r="P25" s="26" t="n">
        <f aca="false">SUMPRODUCT(($B$2:$B$18=$A25)*P$2:P$18*$C$2:$C$18)</f>
        <v>40.4964786950585</v>
      </c>
    </row>
    <row r="26" customFormat="false" ht="15" hidden="false" customHeight="false" outlineLevel="0" collapsed="false">
      <c r="A26" s="4" t="s">
        <v>158</v>
      </c>
      <c r="D26" s="26" t="n">
        <f aca="false">SUMPRODUCT(($B$2:$B$18=$A26)*D$2:D$18*$C$2:$C$18)</f>
        <v>4.85957753593628</v>
      </c>
      <c r="E26" s="26" t="n">
        <f aca="false">SUMPRODUCT(($B$2:$B$18=$A26)*E$2:E$18*$C$2:$C$18)</f>
        <v>4.85957753593628</v>
      </c>
      <c r="F26" s="26" t="n">
        <f aca="false">SUMPRODUCT(($B$2:$B$18=$A26)*F$2:F$18*$C$2:$C$18)</f>
        <v>4.85957753593628</v>
      </c>
      <c r="G26" s="26" t="n">
        <f aca="false">SUMPRODUCT(($B$2:$B$18=$A26)*G$2:G$18*$C$2:$C$18)</f>
        <v>4.85957753593628</v>
      </c>
      <c r="H26" s="26" t="n">
        <f aca="false">SUMPRODUCT(($B$2:$B$18=$A26)*H$2:H$18*$C$2:$C$18)</f>
        <v>4.85957753593628</v>
      </c>
      <c r="I26" s="26" t="n">
        <f aca="false">SUMPRODUCT(($B$2:$B$18=$A26)*I$2:I$18*$C$2:$C$18)</f>
        <v>4.85957753593628</v>
      </c>
      <c r="J26" s="26" t="n">
        <f aca="false">SUMPRODUCT(($B$2:$B$18=$A26)*J$2:J$18*$C$2:$C$18)</f>
        <v>4.85957753593628</v>
      </c>
      <c r="K26" s="26" t="n">
        <f aca="false">SUMPRODUCT(($B$2:$B$18=$A26)*K$2:K$18*$C$2:$C$18)</f>
        <v>4.85957753593628</v>
      </c>
      <c r="L26" s="26" t="n">
        <f aca="false">SUMPRODUCT(($B$2:$B$18=$A26)*L$2:L$18*$C$2:$C$18)</f>
        <v>4.85957753593628</v>
      </c>
      <c r="M26" s="26" t="n">
        <f aca="false">SUMPRODUCT(($B$2:$B$18=$A26)*M$2:M$18*$C$2:$C$18)</f>
        <v>4.85957753593628</v>
      </c>
      <c r="N26" s="26" t="n">
        <f aca="false">SUMPRODUCT(($B$2:$B$18=$A26)*N$2:N$18*$C$2:$C$18)</f>
        <v>4.85957753593628</v>
      </c>
      <c r="O26" s="26" t="n">
        <f aca="false">SUMPRODUCT(($B$2:$B$18=$A26)*O$2:O$18*$C$2:$C$18)</f>
        <v>4.85957753593628</v>
      </c>
      <c r="P26" s="26" t="n">
        <f aca="false">SUMPRODUCT(($B$2:$B$18=$A26)*P$2:P$18*$C$2:$C$18)</f>
        <v>58.3149304312353</v>
      </c>
    </row>
    <row r="27" customFormat="false" ht="15" hidden="false" customHeight="false" outlineLevel="0" collapsed="false">
      <c r="A27" s="4" t="s">
        <v>159</v>
      </c>
      <c r="D27" s="26" t="n">
        <f aca="false">SUMPRODUCT(($B$2:$B$18=$A27)*D$2:D$18*$C$2:$C$18)</f>
        <v>34.1520310708119</v>
      </c>
      <c r="E27" s="26" t="n">
        <f aca="false">SUMPRODUCT(($B$2:$B$18=$A27)*E$2:E$18*$C$2:$C$18)</f>
        <v>34.1520310708119</v>
      </c>
      <c r="F27" s="26" t="n">
        <f aca="false">SUMPRODUCT(($B$2:$B$18=$A27)*F$2:F$18*$C$2:$C$18)</f>
        <v>34.1520310708119</v>
      </c>
      <c r="G27" s="26" t="n">
        <f aca="false">SUMPRODUCT(($B$2:$B$18=$A27)*G$2:G$18*$C$2:$C$18)</f>
        <v>34.1520310708119</v>
      </c>
      <c r="H27" s="26" t="n">
        <f aca="false">SUMPRODUCT(($B$2:$B$18=$A27)*H$2:H$18*$C$2:$C$18)</f>
        <v>34.1520310708119</v>
      </c>
      <c r="I27" s="26" t="n">
        <f aca="false">SUMPRODUCT(($B$2:$B$18=$A27)*I$2:I$18*$C$2:$C$18)</f>
        <v>34.1520310708119</v>
      </c>
      <c r="J27" s="26" t="n">
        <f aca="false">SUMPRODUCT(($B$2:$B$18=$A27)*J$2:J$18*$C$2:$C$18)</f>
        <v>34.1520310708119</v>
      </c>
      <c r="K27" s="26" t="n">
        <f aca="false">SUMPRODUCT(($B$2:$B$18=$A27)*K$2:K$18*$C$2:$C$18)</f>
        <v>34.1520310708119</v>
      </c>
      <c r="L27" s="26" t="n">
        <f aca="false">SUMPRODUCT(($B$2:$B$18=$A27)*L$2:L$18*$C$2:$C$18)</f>
        <v>34.1520310708119</v>
      </c>
      <c r="M27" s="26" t="n">
        <f aca="false">SUMPRODUCT(($B$2:$B$18=$A27)*M$2:M$18*$C$2:$C$18)</f>
        <v>34.1520310708119</v>
      </c>
      <c r="N27" s="26" t="n">
        <f aca="false">SUMPRODUCT(($B$2:$B$18=$A27)*N$2:N$18*$C$2:$C$18)</f>
        <v>34.1520310708119</v>
      </c>
      <c r="O27" s="26" t="n">
        <f aca="false">SUMPRODUCT(($B$2:$B$18=$A27)*O$2:O$18*$C$2:$C$18)</f>
        <v>34.1520310708119</v>
      </c>
      <c r="P27" s="26" t="n">
        <f aca="false">SUMPRODUCT(($B$2:$B$18=$A27)*P$2:P$18*$C$2:$C$18)</f>
        <v>409.824372849743</v>
      </c>
    </row>
    <row r="28" customFormat="false" ht="15" hidden="false" customHeight="false" outlineLevel="0" collapsed="false">
      <c r="A28" s="4" t="s">
        <v>162</v>
      </c>
      <c r="D28" s="26" t="n">
        <f aca="false">SUMPRODUCT(($B$2:$B$18=$A28)*D$2:D$18*$C$2:$C$18)</f>
        <v>1.07990613886816</v>
      </c>
      <c r="E28" s="26" t="n">
        <f aca="false">SUMPRODUCT(($B$2:$B$18=$A28)*E$2:E$18*$C$2:$C$18)</f>
        <v>1.07990613886816</v>
      </c>
      <c r="F28" s="26" t="n">
        <f aca="false">SUMPRODUCT(($B$2:$B$18=$A28)*F$2:F$18*$C$2:$C$18)</f>
        <v>1.07990613886816</v>
      </c>
      <c r="G28" s="26" t="n">
        <f aca="false">SUMPRODUCT(($B$2:$B$18=$A28)*G$2:G$18*$C$2:$C$18)</f>
        <v>1.07990613886816</v>
      </c>
      <c r="H28" s="26" t="n">
        <f aca="false">SUMPRODUCT(($B$2:$B$18=$A28)*H$2:H$18*$C$2:$C$18)</f>
        <v>1.07990613886816</v>
      </c>
      <c r="I28" s="26" t="n">
        <f aca="false">SUMPRODUCT(($B$2:$B$18=$A28)*I$2:I$18*$C$2:$C$18)</f>
        <v>1.07990613886816</v>
      </c>
      <c r="J28" s="26" t="n">
        <f aca="false">SUMPRODUCT(($B$2:$B$18=$A28)*J$2:J$18*$C$2:$C$18)</f>
        <v>1.07990613886816</v>
      </c>
      <c r="K28" s="26" t="n">
        <f aca="false">SUMPRODUCT(($B$2:$B$18=$A28)*K$2:K$18*$C$2:$C$18)</f>
        <v>1.07990613886816</v>
      </c>
      <c r="L28" s="26" t="n">
        <f aca="false">SUMPRODUCT(($B$2:$B$18=$A28)*L$2:L$18*$C$2:$C$18)</f>
        <v>1.07990613886816</v>
      </c>
      <c r="M28" s="26" t="n">
        <f aca="false">SUMPRODUCT(($B$2:$B$18=$A28)*M$2:M$18*$C$2:$C$18)</f>
        <v>1.07990613886816</v>
      </c>
      <c r="N28" s="26" t="n">
        <f aca="false">SUMPRODUCT(($B$2:$B$18=$A28)*N$2:N$18*$C$2:$C$18)</f>
        <v>1.07990613886816</v>
      </c>
      <c r="O28" s="26" t="n">
        <f aca="false">SUMPRODUCT(($B$2:$B$18=$A28)*O$2:O$18*$C$2:$C$18)</f>
        <v>1.07990613886816</v>
      </c>
      <c r="P28" s="26" t="n">
        <f aca="false">SUMPRODUCT(($B$2:$B$18=$A28)*P$2:P$18*$C$2:$C$18)</f>
        <v>12.9588736664179</v>
      </c>
    </row>
    <row r="29" customFormat="false" ht="15" hidden="false" customHeight="false" outlineLevel="0" collapsed="false">
      <c r="A29" s="6" t="s">
        <v>312</v>
      </c>
      <c r="D29" s="27" t="n">
        <f aca="false">SUMPRODUCT(D$2:D$18*parametros_recargas!$D$51:$D$67)</f>
        <v>12.2839320701282</v>
      </c>
      <c r="E29" s="27" t="n">
        <f aca="false">SUMPRODUCT(E$2:E$18*parametros_recargas!$D$51:$D$67)</f>
        <v>12.2839320701282</v>
      </c>
      <c r="F29" s="27" t="n">
        <f aca="false">SUMPRODUCT(F$2:F$18*parametros_recargas!$D$51:$D$67)</f>
        <v>12.2839320701282</v>
      </c>
      <c r="G29" s="27" t="n">
        <f aca="false">SUMPRODUCT(G$2:G$18*parametros_recargas!$D$51:$D$67)</f>
        <v>12.2839320701282</v>
      </c>
      <c r="H29" s="27" t="n">
        <f aca="false">SUMPRODUCT(H$2:H$18*parametros_recargas!$D$51:$D$67)</f>
        <v>12.2839320701282</v>
      </c>
      <c r="I29" s="27" t="n">
        <f aca="false">SUMPRODUCT(I$2:I$18*parametros_recargas!$D$51:$D$67)</f>
        <v>12.2839320701282</v>
      </c>
      <c r="J29" s="27" t="n">
        <f aca="false">SUMPRODUCT(J$2:J$18*parametros_recargas!$D$51:$D$67)</f>
        <v>12.2839320701282</v>
      </c>
      <c r="K29" s="27" t="n">
        <f aca="false">SUMPRODUCT(K$2:K$18*parametros_recargas!$D$51:$D$67)</f>
        <v>12.2839320701282</v>
      </c>
      <c r="L29" s="27" t="n">
        <f aca="false">SUMPRODUCT(L$2:L$18*parametros_recargas!$D$51:$D$67)</f>
        <v>12.2839320701282</v>
      </c>
      <c r="M29" s="27" t="n">
        <f aca="false">SUMPRODUCT(M$2:M$18*parametros_recargas!$D$51:$D$67)</f>
        <v>12.2839320701282</v>
      </c>
      <c r="N29" s="27" t="n">
        <f aca="false">SUMPRODUCT(N$2:N$18*parametros_recargas!$D$51:$D$67)</f>
        <v>12.2839320701282</v>
      </c>
      <c r="O29" s="27" t="n">
        <f aca="false">SUMPRODUCT(O$2:O$18*parametros_recargas!$D$51:$D$67)</f>
        <v>12.2839320701282</v>
      </c>
      <c r="P29" s="27" t="n">
        <f aca="false">SUMPRODUCT(P$2:P$18*parametros_recargas!$D$51:$D$67)</f>
        <v>147.407184841538</v>
      </c>
    </row>
    <row r="33" customFormat="false" ht="23.85" hidden="false" customHeight="false" outlineLevel="0" collapsed="false">
      <c r="A33" s="28" t="n">
        <v>2027</v>
      </c>
      <c r="B33" s="3" t="s">
        <v>307</v>
      </c>
      <c r="C33" s="3" t="s">
        <v>308</v>
      </c>
      <c r="D33" s="3" t="s">
        <v>133</v>
      </c>
      <c r="E33" s="3" t="s">
        <v>134</v>
      </c>
      <c r="F33" s="3" t="s">
        <v>135</v>
      </c>
      <c r="G33" s="3" t="s">
        <v>136</v>
      </c>
      <c r="H33" s="3" t="s">
        <v>137</v>
      </c>
      <c r="I33" s="3" t="s">
        <v>138</v>
      </c>
      <c r="J33" s="3" t="s">
        <v>139</v>
      </c>
      <c r="K33" s="3" t="s">
        <v>140</v>
      </c>
      <c r="L33" s="3" t="s">
        <v>141</v>
      </c>
      <c r="M33" s="3" t="s">
        <v>142</v>
      </c>
      <c r="N33" s="3" t="s">
        <v>143</v>
      </c>
      <c r="O33" s="3" t="s">
        <v>144</v>
      </c>
      <c r="P33" s="3" t="s">
        <v>67</v>
      </c>
      <c r="Q33" s="3" t="s">
        <v>309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5" t="n">
        <f aca="false">parametros_recargas!C51</f>
        <v>1</v>
      </c>
      <c r="D34" s="26" t="n">
        <f aca="false">datos_base!$C$2*parametros_recargas!$B$38+sobrestock_sustitutos!$C$88/12</f>
        <v>1006.58694476174</v>
      </c>
      <c r="E34" s="26" t="n">
        <f aca="false">datos_base!$C$2*parametros_recargas!$C$38+sobrestock_sustitutos!$C$88/12</f>
        <v>1006.58694476174</v>
      </c>
      <c r="F34" s="26" t="n">
        <f aca="false">datos_base!$C$2*parametros_recargas!$D$38+sobrestock_sustitutos!$C$88/12</f>
        <v>1006.58694476174</v>
      </c>
      <c r="G34" s="26" t="n">
        <f aca="false">datos_base!$C$2*parametros_recargas!$E$38+sobrestock_sustitutos!$C$88/12</f>
        <v>1006.58694476174</v>
      </c>
      <c r="H34" s="26" t="n">
        <f aca="false">datos_base!$C$2*parametros_recargas!$F$38+sobrestock_sustitutos!$C$88/12</f>
        <v>1006.58694476174</v>
      </c>
      <c r="I34" s="26" t="n">
        <f aca="false">datos_base!$C$2*parametros_recargas!$G$38+sobrestock_sustitutos!$C$88/12</f>
        <v>1006.58694476174</v>
      </c>
      <c r="J34" s="26" t="n">
        <f aca="false">datos_base!$C$2*parametros_recargas!$H$38+sobrestock_sustitutos!$C$88/12</f>
        <v>1006.58694476174</v>
      </c>
      <c r="K34" s="26" t="n">
        <f aca="false">datos_base!$C$2*parametros_recargas!$I$38+sobrestock_sustitutos!$C$88/12</f>
        <v>1006.58694476174</v>
      </c>
      <c r="L34" s="26" t="n">
        <f aca="false">datos_base!$C$2*parametros_recargas!$J$38+sobrestock_sustitutos!$C$88/12</f>
        <v>1006.58694476174</v>
      </c>
      <c r="M34" s="26" t="n">
        <f aca="false">datos_base!$C$2*parametros_recargas!$K$38+sobrestock_sustitutos!$C$88/12</f>
        <v>1006.58694476174</v>
      </c>
      <c r="N34" s="26" t="n">
        <f aca="false">datos_base!$C$2*parametros_recargas!$L$38+sobrestock_sustitutos!$C$88/12</f>
        <v>1006.58694476174</v>
      </c>
      <c r="O34" s="26" t="n">
        <f aca="false">datos_base!$C$2*parametros_recargas!$M$38+sobrestock_sustitutos!$C$88/12</f>
        <v>1006.58694476174</v>
      </c>
      <c r="P34" s="7" t="n">
        <f aca="false">SUM(D34:O34)</f>
        <v>12079.0433371409</v>
      </c>
      <c r="Q34" s="13" t="n">
        <f aca="false">sobrestock_sustitutos!$C$88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5" t="n">
        <f aca="false">parametros_recargas!C52</f>
        <v>1</v>
      </c>
      <c r="D35" s="26" t="n">
        <f aca="false">datos_base!$C$3*parametros_recargas!$B$38+sobrestock_sustitutos!$C$89/12</f>
        <v>76.6111920384838</v>
      </c>
      <c r="E35" s="26" t="n">
        <f aca="false">datos_base!$C$3*parametros_recargas!$C$38+sobrestock_sustitutos!$C$89/12</f>
        <v>76.6111920384838</v>
      </c>
      <c r="F35" s="26" t="n">
        <f aca="false">datos_base!$C$3*parametros_recargas!$D$38+sobrestock_sustitutos!$C$89/12</f>
        <v>76.6111920384838</v>
      </c>
      <c r="G35" s="26" t="n">
        <f aca="false">datos_base!$C$3*parametros_recargas!$E$38+sobrestock_sustitutos!$C$89/12</f>
        <v>76.6111920384838</v>
      </c>
      <c r="H35" s="26" t="n">
        <f aca="false">datos_base!$C$3*parametros_recargas!$F$38+sobrestock_sustitutos!$C$89/12</f>
        <v>76.6111920384838</v>
      </c>
      <c r="I35" s="26" t="n">
        <f aca="false">datos_base!$C$3*parametros_recargas!$G$38+sobrestock_sustitutos!$C$89/12</f>
        <v>76.6111920384838</v>
      </c>
      <c r="J35" s="26" t="n">
        <f aca="false">datos_base!$C$3*parametros_recargas!$H$38+sobrestock_sustitutos!$C$89/12</f>
        <v>76.6111920384838</v>
      </c>
      <c r="K35" s="26" t="n">
        <f aca="false">datos_base!$C$3*parametros_recargas!$I$38+sobrestock_sustitutos!$C$89/12</f>
        <v>76.6111920384838</v>
      </c>
      <c r="L35" s="26" t="n">
        <f aca="false">datos_base!$C$3*parametros_recargas!$J$38+sobrestock_sustitutos!$C$89/12</f>
        <v>76.6111920384838</v>
      </c>
      <c r="M35" s="26" t="n">
        <f aca="false">datos_base!$C$3*parametros_recargas!$K$38+sobrestock_sustitutos!$C$89/12</f>
        <v>76.6111920384838</v>
      </c>
      <c r="N35" s="26" t="n">
        <f aca="false">datos_base!$C$3*parametros_recargas!$L$38+sobrestock_sustitutos!$C$89/12</f>
        <v>76.6111920384838</v>
      </c>
      <c r="O35" s="26" t="n">
        <f aca="false">datos_base!$C$3*parametros_recargas!$M$38+sobrestock_sustitutos!$C$89/12</f>
        <v>76.6111920384838</v>
      </c>
      <c r="P35" s="7" t="n">
        <f aca="false">SUM(D35:O35)</f>
        <v>919.334304461805</v>
      </c>
      <c r="Q35" s="13" t="n">
        <f aca="false">sobrestock_sustitutos!$C$89</f>
        <v>3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5" t="n">
        <f aca="false">parametros_recargas!C53</f>
        <v>1</v>
      </c>
      <c r="D36" s="26" t="n">
        <f aca="false">datos_base!$C$4*parametros_recargas!$B$38+sobrestock_sustitutos!$C$90/12</f>
        <v>467.26726649878</v>
      </c>
      <c r="E36" s="26" t="n">
        <f aca="false">datos_base!$C$4*parametros_recargas!$C$38+sobrestock_sustitutos!$C$90/12</f>
        <v>467.26726649878</v>
      </c>
      <c r="F36" s="26" t="n">
        <f aca="false">datos_base!$C$4*parametros_recargas!$D$38+sobrestock_sustitutos!$C$90/12</f>
        <v>467.26726649878</v>
      </c>
      <c r="G36" s="26" t="n">
        <f aca="false">datos_base!$C$4*parametros_recargas!$E$38+sobrestock_sustitutos!$C$90/12</f>
        <v>467.26726649878</v>
      </c>
      <c r="H36" s="26" t="n">
        <f aca="false">datos_base!$C$4*parametros_recargas!$F$38+sobrestock_sustitutos!$C$90/12</f>
        <v>467.26726649878</v>
      </c>
      <c r="I36" s="26" t="n">
        <f aca="false">datos_base!$C$4*parametros_recargas!$G$38+sobrestock_sustitutos!$C$90/12</f>
        <v>467.26726649878</v>
      </c>
      <c r="J36" s="26" t="n">
        <f aca="false">datos_base!$C$4*parametros_recargas!$H$38+sobrestock_sustitutos!$C$90/12</f>
        <v>467.26726649878</v>
      </c>
      <c r="K36" s="26" t="n">
        <f aca="false">datos_base!$C$4*parametros_recargas!$I$38+sobrestock_sustitutos!$C$90/12</f>
        <v>467.26726649878</v>
      </c>
      <c r="L36" s="26" t="n">
        <f aca="false">datos_base!$C$4*parametros_recargas!$J$38+sobrestock_sustitutos!$C$90/12</f>
        <v>467.26726649878</v>
      </c>
      <c r="M36" s="26" t="n">
        <f aca="false">datos_base!$C$4*parametros_recargas!$K$38+sobrestock_sustitutos!$C$90/12</f>
        <v>467.26726649878</v>
      </c>
      <c r="N36" s="26" t="n">
        <f aca="false">datos_base!$C$4*parametros_recargas!$L$38+sobrestock_sustitutos!$C$90/12</f>
        <v>467.26726649878</v>
      </c>
      <c r="O36" s="26" t="n">
        <f aca="false">datos_base!$C$4*parametros_recargas!$M$38+sobrestock_sustitutos!$C$90/12</f>
        <v>467.26726649878</v>
      </c>
      <c r="P36" s="7" t="n">
        <f aca="false">SUM(D36:O36)</f>
        <v>5607.20719798536</v>
      </c>
      <c r="Q36" s="13" t="n">
        <f aca="false">sobrestock_sustitutos!$C$90</f>
        <v>18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5" t="n">
        <f aca="false">parametros_recargas!C54</f>
        <v>1</v>
      </c>
      <c r="D37" s="26" t="n">
        <f aca="false">datos_base!$C$5*parametros_recargas!$B$38+sobrestock_sustitutos!$C$91/12</f>
        <v>26.1292234261742</v>
      </c>
      <c r="E37" s="26" t="n">
        <f aca="false">datos_base!$C$5*parametros_recargas!$C$38+sobrestock_sustitutos!$C$91/12</f>
        <v>26.1292234261742</v>
      </c>
      <c r="F37" s="26" t="n">
        <f aca="false">datos_base!$C$5*parametros_recargas!$D$38+sobrestock_sustitutos!$C$91/12</f>
        <v>26.1292234261742</v>
      </c>
      <c r="G37" s="26" t="n">
        <f aca="false">datos_base!$C$5*parametros_recargas!$E$38+sobrestock_sustitutos!$C$91/12</f>
        <v>26.1292234261742</v>
      </c>
      <c r="H37" s="26" t="n">
        <f aca="false">datos_base!$C$5*parametros_recargas!$F$38+sobrestock_sustitutos!$C$91/12</f>
        <v>26.1292234261742</v>
      </c>
      <c r="I37" s="26" t="n">
        <f aca="false">datos_base!$C$5*parametros_recargas!$G$38+sobrestock_sustitutos!$C$91/12</f>
        <v>26.1292234261742</v>
      </c>
      <c r="J37" s="26" t="n">
        <f aca="false">datos_base!$C$5*parametros_recargas!$H$38+sobrestock_sustitutos!$C$91/12</f>
        <v>26.1292234261742</v>
      </c>
      <c r="K37" s="26" t="n">
        <f aca="false">datos_base!$C$5*parametros_recargas!$I$38+sobrestock_sustitutos!$C$91/12</f>
        <v>26.1292234261742</v>
      </c>
      <c r="L37" s="26" t="n">
        <f aca="false">datos_base!$C$5*parametros_recargas!$J$38+sobrestock_sustitutos!$C$91/12</f>
        <v>26.1292234261742</v>
      </c>
      <c r="M37" s="26" t="n">
        <f aca="false">datos_base!$C$5*parametros_recargas!$K$38+sobrestock_sustitutos!$C$91/12</f>
        <v>26.1292234261742</v>
      </c>
      <c r="N37" s="26" t="n">
        <f aca="false">datos_base!$C$5*parametros_recargas!$L$38+sobrestock_sustitutos!$C$91/12</f>
        <v>26.1292234261742</v>
      </c>
      <c r="O37" s="26" t="n">
        <f aca="false">datos_base!$C$5*parametros_recargas!$M$38+sobrestock_sustitutos!$C$91/12</f>
        <v>26.1292234261742</v>
      </c>
      <c r="P37" s="7" t="n">
        <f aca="false">SUM(D37:O37)</f>
        <v>313.55068111409</v>
      </c>
      <c r="Q37" s="13" t="n">
        <f aca="false">sobrestock_sustitutos!$C$91</f>
        <v>2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5" t="n">
        <f aca="false">parametros_recargas!C55</f>
        <v>1</v>
      </c>
      <c r="D38" s="26" t="n">
        <f aca="false">datos_base!$C$6*parametros_recargas!$B$38+sobrestock_sustitutos!$C$92/12</f>
        <v>38.3304490527621</v>
      </c>
      <c r="E38" s="26" t="n">
        <f aca="false">datos_base!$C$6*parametros_recargas!$C$38+sobrestock_sustitutos!$C$92/12</f>
        <v>38.3304490527621</v>
      </c>
      <c r="F38" s="26" t="n">
        <f aca="false">datos_base!$C$6*parametros_recargas!$D$38+sobrestock_sustitutos!$C$92/12</f>
        <v>38.3304490527621</v>
      </c>
      <c r="G38" s="26" t="n">
        <f aca="false">datos_base!$C$6*parametros_recargas!$E$38+sobrestock_sustitutos!$C$92/12</f>
        <v>38.3304490527621</v>
      </c>
      <c r="H38" s="26" t="n">
        <f aca="false">datos_base!$C$6*parametros_recargas!$F$38+sobrestock_sustitutos!$C$92/12</f>
        <v>38.3304490527621</v>
      </c>
      <c r="I38" s="26" t="n">
        <f aca="false">datos_base!$C$6*parametros_recargas!$G$38+sobrestock_sustitutos!$C$92/12</f>
        <v>38.3304490527621</v>
      </c>
      <c r="J38" s="26" t="n">
        <f aca="false">datos_base!$C$6*parametros_recargas!$H$38+sobrestock_sustitutos!$C$92/12</f>
        <v>38.3304490527621</v>
      </c>
      <c r="K38" s="26" t="n">
        <f aca="false">datos_base!$C$6*parametros_recargas!$I$38+sobrestock_sustitutos!$C$92/12</f>
        <v>38.3304490527621</v>
      </c>
      <c r="L38" s="26" t="n">
        <f aca="false">datos_base!$C$6*parametros_recargas!$J$38+sobrestock_sustitutos!$C$92/12</f>
        <v>38.3304490527621</v>
      </c>
      <c r="M38" s="26" t="n">
        <f aca="false">datos_base!$C$6*parametros_recargas!$K$38+sobrestock_sustitutos!$C$92/12</f>
        <v>38.3304490527621</v>
      </c>
      <c r="N38" s="26" t="n">
        <f aca="false">datos_base!$C$6*parametros_recargas!$L$38+sobrestock_sustitutos!$C$92/12</f>
        <v>38.3304490527621</v>
      </c>
      <c r="O38" s="26" t="n">
        <f aca="false">datos_base!$C$6*parametros_recargas!$M$38+sobrestock_sustitutos!$C$92/12</f>
        <v>38.3304490527621</v>
      </c>
      <c r="P38" s="7" t="n">
        <f aca="false">SUM(D38:O38)</f>
        <v>459.965388633145</v>
      </c>
      <c r="Q38" s="13" t="n">
        <f aca="false">sobrestock_sustitutos!$C$92</f>
        <v>2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5" t="n">
        <f aca="false">parametros_recargas!C56</f>
        <v>1</v>
      </c>
      <c r="D39" s="26" t="n">
        <f aca="false">datos_base!$C$7*parametros_recargas!$B$38+sobrestock_sustitutos!$C$93/12</f>
        <v>9.65155521946002</v>
      </c>
      <c r="E39" s="26" t="n">
        <f aca="false">datos_base!$C$7*parametros_recargas!$C$38+sobrestock_sustitutos!$C$93/12</f>
        <v>9.65155521946002</v>
      </c>
      <c r="F39" s="26" t="n">
        <f aca="false">datos_base!$C$7*parametros_recargas!$D$38+sobrestock_sustitutos!$C$93/12</f>
        <v>9.65155521946002</v>
      </c>
      <c r="G39" s="26" t="n">
        <f aca="false">datos_base!$C$7*parametros_recargas!$E$38+sobrestock_sustitutos!$C$93/12</f>
        <v>9.65155521946002</v>
      </c>
      <c r="H39" s="26" t="n">
        <f aca="false">datos_base!$C$7*parametros_recargas!$F$38+sobrestock_sustitutos!$C$93/12</f>
        <v>9.65155521946002</v>
      </c>
      <c r="I39" s="26" t="n">
        <f aca="false">datos_base!$C$7*parametros_recargas!$G$38+sobrestock_sustitutos!$C$93/12</f>
        <v>9.65155521946002</v>
      </c>
      <c r="J39" s="26" t="n">
        <f aca="false">datos_base!$C$7*parametros_recargas!$H$38+sobrestock_sustitutos!$C$93/12</f>
        <v>9.65155521946002</v>
      </c>
      <c r="K39" s="26" t="n">
        <f aca="false">datos_base!$C$7*parametros_recargas!$I$38+sobrestock_sustitutos!$C$93/12</f>
        <v>9.65155521946002</v>
      </c>
      <c r="L39" s="26" t="n">
        <f aca="false">datos_base!$C$7*parametros_recargas!$J$38+sobrestock_sustitutos!$C$93/12</f>
        <v>9.65155521946002</v>
      </c>
      <c r="M39" s="26" t="n">
        <f aca="false">datos_base!$C$7*parametros_recargas!$K$38+sobrestock_sustitutos!$C$93/12</f>
        <v>9.65155521946002</v>
      </c>
      <c r="N39" s="26" t="n">
        <f aca="false">datos_base!$C$7*parametros_recargas!$L$38+sobrestock_sustitutos!$C$93/12</f>
        <v>9.65155521946002</v>
      </c>
      <c r="O39" s="26" t="n">
        <f aca="false">datos_base!$C$7*parametros_recargas!$M$38+sobrestock_sustitutos!$C$93/12</f>
        <v>9.65155521946002</v>
      </c>
      <c r="P39" s="7" t="n">
        <f aca="false">SUM(D39:O39)</f>
        <v>115.81866263352</v>
      </c>
      <c r="Q39" s="13" t="n">
        <f aca="false">sobrestock_sustitutos!$C$93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5" t="n">
        <f aca="false">parametros_recargas!C57</f>
        <v>3</v>
      </c>
      <c r="D40" s="26" t="n">
        <f aca="false">datos_base!$C$8*parametros_recargas!$B$38+sobrestock_sustitutos!$C$94/12</f>
        <v>5.01962195095569</v>
      </c>
      <c r="E40" s="26" t="n">
        <f aca="false">datos_base!$C$8*parametros_recargas!$C$38+sobrestock_sustitutos!$C$94/12</f>
        <v>5.01962195095569</v>
      </c>
      <c r="F40" s="26" t="n">
        <f aca="false">datos_base!$C$8*parametros_recargas!$D$38+sobrestock_sustitutos!$C$94/12</f>
        <v>5.01962195095569</v>
      </c>
      <c r="G40" s="26" t="n">
        <f aca="false">datos_base!$C$8*parametros_recargas!$E$38+sobrestock_sustitutos!$C$94/12</f>
        <v>5.01962195095569</v>
      </c>
      <c r="H40" s="26" t="n">
        <f aca="false">datos_base!$C$8*parametros_recargas!$F$38+sobrestock_sustitutos!$C$94/12</f>
        <v>5.01962195095569</v>
      </c>
      <c r="I40" s="26" t="n">
        <f aca="false">datos_base!$C$8*parametros_recargas!$G$38+sobrestock_sustitutos!$C$94/12</f>
        <v>5.01962195095569</v>
      </c>
      <c r="J40" s="26" t="n">
        <f aca="false">datos_base!$C$8*parametros_recargas!$H$38+sobrestock_sustitutos!$C$94/12</f>
        <v>5.01962195095569</v>
      </c>
      <c r="K40" s="26" t="n">
        <f aca="false">datos_base!$C$8*parametros_recargas!$I$38+sobrestock_sustitutos!$C$94/12</f>
        <v>5.01962195095569</v>
      </c>
      <c r="L40" s="26" t="n">
        <f aca="false">datos_base!$C$8*parametros_recargas!$J$38+sobrestock_sustitutos!$C$94/12</f>
        <v>5.01962195095569</v>
      </c>
      <c r="M40" s="26" t="n">
        <f aca="false">datos_base!$C$8*parametros_recargas!$K$38+sobrestock_sustitutos!$C$94/12</f>
        <v>5.01962195095569</v>
      </c>
      <c r="N40" s="26" t="n">
        <f aca="false">datos_base!$C$8*parametros_recargas!$L$38+sobrestock_sustitutos!$C$94/12</f>
        <v>5.01962195095569</v>
      </c>
      <c r="O40" s="26" t="n">
        <f aca="false">datos_base!$C$8*parametros_recargas!$M$38+sobrestock_sustitutos!$C$94/12</f>
        <v>5.01962195095569</v>
      </c>
      <c r="P40" s="7" t="n">
        <f aca="false">SUM(D40:O40)</f>
        <v>60.2354634114683</v>
      </c>
      <c r="Q40" s="13" t="n">
        <f aca="false">sobrestock_sustitutos!$C$94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5" t="n">
        <f aca="false">parametros_recargas!C58</f>
        <v>1</v>
      </c>
      <c r="D41" s="26" t="n">
        <f aca="false">datos_base!$C$9*parametros_recargas!$B$38+sobrestock_sustitutos!$C$95/12</f>
        <v>2.87541022411688</v>
      </c>
      <c r="E41" s="26" t="n">
        <f aca="false">datos_base!$C$9*parametros_recargas!$C$38+sobrestock_sustitutos!$C$95/12</f>
        <v>2.87541022411688</v>
      </c>
      <c r="F41" s="26" t="n">
        <f aca="false">datos_base!$C$9*parametros_recargas!$D$38+sobrestock_sustitutos!$C$95/12</f>
        <v>2.87541022411688</v>
      </c>
      <c r="G41" s="26" t="n">
        <f aca="false">datos_base!$C$9*parametros_recargas!$E$38+sobrestock_sustitutos!$C$95/12</f>
        <v>2.87541022411688</v>
      </c>
      <c r="H41" s="26" t="n">
        <f aca="false">datos_base!$C$9*parametros_recargas!$F$38+sobrestock_sustitutos!$C$95/12</f>
        <v>2.87541022411688</v>
      </c>
      <c r="I41" s="26" t="n">
        <f aca="false">datos_base!$C$9*parametros_recargas!$G$38+sobrestock_sustitutos!$C$95/12</f>
        <v>2.87541022411688</v>
      </c>
      <c r="J41" s="26" t="n">
        <f aca="false">datos_base!$C$9*parametros_recargas!$H$38+sobrestock_sustitutos!$C$95/12</f>
        <v>2.87541022411688</v>
      </c>
      <c r="K41" s="26" t="n">
        <f aca="false">datos_base!$C$9*parametros_recargas!$I$38+sobrestock_sustitutos!$C$95/12</f>
        <v>2.87541022411688</v>
      </c>
      <c r="L41" s="26" t="n">
        <f aca="false">datos_base!$C$9*parametros_recargas!$J$38+sobrestock_sustitutos!$C$95/12</f>
        <v>2.87541022411688</v>
      </c>
      <c r="M41" s="26" t="n">
        <f aca="false">datos_base!$C$9*parametros_recargas!$K$38+sobrestock_sustitutos!$C$95/12</f>
        <v>2.87541022411688</v>
      </c>
      <c r="N41" s="26" t="n">
        <f aca="false">datos_base!$C$9*parametros_recargas!$L$38+sobrestock_sustitutos!$C$95/12</f>
        <v>2.87541022411688</v>
      </c>
      <c r="O41" s="26" t="n">
        <f aca="false">datos_base!$C$9*parametros_recargas!$M$38+sobrestock_sustitutos!$C$95/12</f>
        <v>2.87541022411688</v>
      </c>
      <c r="P41" s="7" t="n">
        <f aca="false">SUM(D41:O41)</f>
        <v>34.5049226894026</v>
      </c>
      <c r="Q41" s="13" t="n">
        <f aca="false">sobrestock_sustitutos!$C$95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5" t="n">
        <f aca="false">parametros_recargas!C59</f>
        <v>1</v>
      </c>
      <c r="D42" s="26" t="n">
        <f aca="false">datos_base!$C$10*parametros_recargas!$B$38+sobrestock_sustitutos!$C$96/12</f>
        <v>19.9770550877132</v>
      </c>
      <c r="E42" s="26" t="n">
        <f aca="false">datos_base!$C$10*parametros_recargas!$C$38+sobrestock_sustitutos!$C$96/12</f>
        <v>19.9770550877132</v>
      </c>
      <c r="F42" s="26" t="n">
        <f aca="false">datos_base!$C$10*parametros_recargas!$D$38+sobrestock_sustitutos!$C$96/12</f>
        <v>19.9770550877132</v>
      </c>
      <c r="G42" s="26" t="n">
        <f aca="false">datos_base!$C$10*parametros_recargas!$E$38+sobrestock_sustitutos!$C$96/12</f>
        <v>19.9770550877132</v>
      </c>
      <c r="H42" s="26" t="n">
        <f aca="false">datos_base!$C$10*parametros_recargas!$F$38+sobrestock_sustitutos!$C$96/12</f>
        <v>19.9770550877132</v>
      </c>
      <c r="I42" s="26" t="n">
        <f aca="false">datos_base!$C$10*parametros_recargas!$G$38+sobrestock_sustitutos!$C$96/12</f>
        <v>19.9770550877132</v>
      </c>
      <c r="J42" s="26" t="n">
        <f aca="false">datos_base!$C$10*parametros_recargas!$H$38+sobrestock_sustitutos!$C$96/12</f>
        <v>19.9770550877132</v>
      </c>
      <c r="K42" s="26" t="n">
        <f aca="false">datos_base!$C$10*parametros_recargas!$I$38+sobrestock_sustitutos!$C$96/12</f>
        <v>19.9770550877132</v>
      </c>
      <c r="L42" s="26" t="n">
        <f aca="false">datos_base!$C$10*parametros_recargas!$J$38+sobrestock_sustitutos!$C$96/12</f>
        <v>19.9770550877132</v>
      </c>
      <c r="M42" s="26" t="n">
        <f aca="false">datos_base!$C$10*parametros_recargas!$K$38+sobrestock_sustitutos!$C$96/12</f>
        <v>19.9770550877132</v>
      </c>
      <c r="N42" s="26" t="n">
        <f aca="false">datos_base!$C$10*parametros_recargas!$L$38+sobrestock_sustitutos!$C$96/12</f>
        <v>19.9770550877132</v>
      </c>
      <c r="O42" s="26" t="n">
        <f aca="false">datos_base!$C$10*parametros_recargas!$M$38+sobrestock_sustitutos!$C$96/12</f>
        <v>19.9770550877132</v>
      </c>
      <c r="P42" s="7" t="n">
        <f aca="false">SUM(D42:O42)</f>
        <v>239.724661052559</v>
      </c>
      <c r="Q42" s="13" t="n">
        <f aca="false">sobrestock_sustitutos!$C$96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5" t="n">
        <f aca="false">parametros_recargas!C60</f>
        <v>1</v>
      </c>
      <c r="D43" s="26" t="n">
        <f aca="false">datos_base!$C$11*parametros_recargas!$B$38+sobrestock_sustitutos!$C$97/12</f>
        <v>101.08265232945</v>
      </c>
      <c r="E43" s="26" t="n">
        <f aca="false">datos_base!$C$11*parametros_recargas!$C$38+sobrestock_sustitutos!$C$97/12</f>
        <v>101.08265232945</v>
      </c>
      <c r="F43" s="26" t="n">
        <f aca="false">datos_base!$C$11*parametros_recargas!$D$38+sobrestock_sustitutos!$C$97/12</f>
        <v>101.08265232945</v>
      </c>
      <c r="G43" s="26" t="n">
        <f aca="false">datos_base!$C$11*parametros_recargas!$E$38+sobrestock_sustitutos!$C$97/12</f>
        <v>101.08265232945</v>
      </c>
      <c r="H43" s="26" t="n">
        <f aca="false">datos_base!$C$11*parametros_recargas!$F$38+sobrestock_sustitutos!$C$97/12</f>
        <v>101.08265232945</v>
      </c>
      <c r="I43" s="26" t="n">
        <f aca="false">datos_base!$C$11*parametros_recargas!$G$38+sobrestock_sustitutos!$C$97/12</f>
        <v>101.08265232945</v>
      </c>
      <c r="J43" s="26" t="n">
        <f aca="false">datos_base!$C$11*parametros_recargas!$H$38+sobrestock_sustitutos!$C$97/12</f>
        <v>101.08265232945</v>
      </c>
      <c r="K43" s="26" t="n">
        <f aca="false">datos_base!$C$11*parametros_recargas!$I$38+sobrestock_sustitutos!$C$97/12</f>
        <v>101.08265232945</v>
      </c>
      <c r="L43" s="26" t="n">
        <f aca="false">datos_base!$C$11*parametros_recargas!$J$38+sobrestock_sustitutos!$C$97/12</f>
        <v>101.08265232945</v>
      </c>
      <c r="M43" s="26" t="n">
        <f aca="false">datos_base!$C$11*parametros_recargas!$K$38+sobrestock_sustitutos!$C$97/12</f>
        <v>101.08265232945</v>
      </c>
      <c r="N43" s="26" t="n">
        <f aca="false">datos_base!$C$11*parametros_recargas!$L$38+sobrestock_sustitutos!$C$97/12</f>
        <v>101.08265232945</v>
      </c>
      <c r="O43" s="26" t="n">
        <f aca="false">datos_base!$C$11*parametros_recargas!$M$38+sobrestock_sustitutos!$C$97/12</f>
        <v>101.08265232945</v>
      </c>
      <c r="P43" s="7" t="n">
        <f aca="false">SUM(D43:O43)</f>
        <v>1212.9918279534</v>
      </c>
      <c r="Q43" s="13" t="n">
        <f aca="false">sobrestock_sustitutos!$C$97</f>
        <v>5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5" t="n">
        <f aca="false">parametros_recargas!C61</f>
        <v>1</v>
      </c>
      <c r="D44" s="26" t="n">
        <f aca="false">datos_base!$C$12*parametros_recargas!$B$38+sobrestock_sustitutos!$C$98/12</f>
        <v>38.3427168304107</v>
      </c>
      <c r="E44" s="26" t="n">
        <f aca="false">datos_base!$C$12*parametros_recargas!$C$38+sobrestock_sustitutos!$C$98/12</f>
        <v>38.3427168304107</v>
      </c>
      <c r="F44" s="26" t="n">
        <f aca="false">datos_base!$C$12*parametros_recargas!$D$38+sobrestock_sustitutos!$C$98/12</f>
        <v>38.3427168304107</v>
      </c>
      <c r="G44" s="26" t="n">
        <f aca="false">datos_base!$C$12*parametros_recargas!$E$38+sobrestock_sustitutos!$C$98/12</f>
        <v>38.3427168304107</v>
      </c>
      <c r="H44" s="26" t="n">
        <f aca="false">datos_base!$C$12*parametros_recargas!$F$38+sobrestock_sustitutos!$C$98/12</f>
        <v>38.3427168304107</v>
      </c>
      <c r="I44" s="26" t="n">
        <f aca="false">datos_base!$C$12*parametros_recargas!$G$38+sobrestock_sustitutos!$C$98/12</f>
        <v>38.3427168304107</v>
      </c>
      <c r="J44" s="26" t="n">
        <f aca="false">datos_base!$C$12*parametros_recargas!$H$38+sobrestock_sustitutos!$C$98/12</f>
        <v>38.3427168304107</v>
      </c>
      <c r="K44" s="26" t="n">
        <f aca="false">datos_base!$C$12*parametros_recargas!$I$38+sobrestock_sustitutos!$C$98/12</f>
        <v>38.3427168304107</v>
      </c>
      <c r="L44" s="26" t="n">
        <f aca="false">datos_base!$C$12*parametros_recargas!$J$38+sobrestock_sustitutos!$C$98/12</f>
        <v>38.3427168304107</v>
      </c>
      <c r="M44" s="26" t="n">
        <f aca="false">datos_base!$C$12*parametros_recargas!$K$38+sobrestock_sustitutos!$C$98/12</f>
        <v>38.3427168304107</v>
      </c>
      <c r="N44" s="26" t="n">
        <f aca="false">datos_base!$C$12*parametros_recargas!$L$38+sobrestock_sustitutos!$C$98/12</f>
        <v>38.3427168304107</v>
      </c>
      <c r="O44" s="26" t="n">
        <f aca="false">datos_base!$C$12*parametros_recargas!$M$38+sobrestock_sustitutos!$C$98/12</f>
        <v>38.3427168304107</v>
      </c>
      <c r="P44" s="7" t="n">
        <f aca="false">SUM(D44:O44)</f>
        <v>460.112601964928</v>
      </c>
      <c r="Q44" s="13" t="n">
        <f aca="false">sobrestock_sustitutos!$C$98</f>
        <v>2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5" t="n">
        <f aca="false">parametros_recargas!C62</f>
        <v>1</v>
      </c>
      <c r="D45" s="26" t="n">
        <f aca="false">datos_base!$C$13*parametros_recargas!$B$38+sobrestock_sustitutos!$C$99/12</f>
        <v>6.73091503916886</v>
      </c>
      <c r="E45" s="26" t="n">
        <f aca="false">datos_base!$C$13*parametros_recargas!$C$38+sobrestock_sustitutos!$C$99/12</f>
        <v>6.73091503916886</v>
      </c>
      <c r="F45" s="26" t="n">
        <f aca="false">datos_base!$C$13*parametros_recargas!$D$38+sobrestock_sustitutos!$C$99/12</f>
        <v>6.73091503916886</v>
      </c>
      <c r="G45" s="26" t="n">
        <f aca="false">datos_base!$C$13*parametros_recargas!$E$38+sobrestock_sustitutos!$C$99/12</f>
        <v>6.73091503916886</v>
      </c>
      <c r="H45" s="26" t="n">
        <f aca="false">datos_base!$C$13*parametros_recargas!$F$38+sobrestock_sustitutos!$C$99/12</f>
        <v>6.73091503916886</v>
      </c>
      <c r="I45" s="26" t="n">
        <f aca="false">datos_base!$C$13*parametros_recargas!$G$38+sobrestock_sustitutos!$C$99/12</f>
        <v>6.73091503916886</v>
      </c>
      <c r="J45" s="26" t="n">
        <f aca="false">datos_base!$C$13*parametros_recargas!$H$38+sobrestock_sustitutos!$C$99/12</f>
        <v>6.73091503916886</v>
      </c>
      <c r="K45" s="26" t="n">
        <f aca="false">datos_base!$C$13*parametros_recargas!$I$38+sobrestock_sustitutos!$C$99/12</f>
        <v>6.73091503916886</v>
      </c>
      <c r="L45" s="26" t="n">
        <f aca="false">datos_base!$C$13*parametros_recargas!$J$38+sobrestock_sustitutos!$C$99/12</f>
        <v>6.73091503916886</v>
      </c>
      <c r="M45" s="26" t="n">
        <f aca="false">datos_base!$C$13*parametros_recargas!$K$38+sobrestock_sustitutos!$C$99/12</f>
        <v>6.73091503916886</v>
      </c>
      <c r="N45" s="26" t="n">
        <f aca="false">datos_base!$C$13*parametros_recargas!$L$38+sobrestock_sustitutos!$C$99/12</f>
        <v>6.73091503916886</v>
      </c>
      <c r="O45" s="26" t="n">
        <f aca="false">datos_base!$C$13*parametros_recargas!$M$38+sobrestock_sustitutos!$C$99/12</f>
        <v>6.73091503916886</v>
      </c>
      <c r="P45" s="7" t="n">
        <f aca="false">SUM(D45:O45)</f>
        <v>80.7709804700263</v>
      </c>
      <c r="Q45" s="13" t="n">
        <f aca="false">sobrestock_sustitutos!$C$99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5" t="n">
        <f aca="false">parametros_recargas!C63</f>
        <v>1</v>
      </c>
      <c r="D46" s="26" t="n">
        <f aca="false">datos_base!$C$14*parametros_recargas!$B$38+sobrestock_sustitutos!$C$100/12</f>
        <v>2.87541022411688</v>
      </c>
      <c r="E46" s="26" t="n">
        <f aca="false">datos_base!$C$14*parametros_recargas!$C$38+sobrestock_sustitutos!$C$100/12</f>
        <v>2.87541022411688</v>
      </c>
      <c r="F46" s="26" t="n">
        <f aca="false">datos_base!$C$14*parametros_recargas!$D$38+sobrestock_sustitutos!$C$100/12</f>
        <v>2.87541022411688</v>
      </c>
      <c r="G46" s="26" t="n">
        <f aca="false">datos_base!$C$14*parametros_recargas!$E$38+sobrestock_sustitutos!$C$100/12</f>
        <v>2.87541022411688</v>
      </c>
      <c r="H46" s="26" t="n">
        <f aca="false">datos_base!$C$14*parametros_recargas!$F$38+sobrestock_sustitutos!$C$100/12</f>
        <v>2.87541022411688</v>
      </c>
      <c r="I46" s="26" t="n">
        <f aca="false">datos_base!$C$14*parametros_recargas!$G$38+sobrestock_sustitutos!$C$100/12</f>
        <v>2.87541022411688</v>
      </c>
      <c r="J46" s="26" t="n">
        <f aca="false">datos_base!$C$14*parametros_recargas!$H$38+sobrestock_sustitutos!$C$100/12</f>
        <v>2.87541022411688</v>
      </c>
      <c r="K46" s="26" t="n">
        <f aca="false">datos_base!$C$14*parametros_recargas!$I$38+sobrestock_sustitutos!$C$100/12</f>
        <v>2.87541022411688</v>
      </c>
      <c r="L46" s="26" t="n">
        <f aca="false">datos_base!$C$14*parametros_recargas!$J$38+sobrestock_sustitutos!$C$100/12</f>
        <v>2.87541022411688</v>
      </c>
      <c r="M46" s="26" t="n">
        <f aca="false">datos_base!$C$14*parametros_recargas!$K$38+sobrestock_sustitutos!$C$100/12</f>
        <v>2.87541022411688</v>
      </c>
      <c r="N46" s="26" t="n">
        <f aca="false">datos_base!$C$14*parametros_recargas!$L$38+sobrestock_sustitutos!$C$100/12</f>
        <v>2.87541022411688</v>
      </c>
      <c r="O46" s="26" t="n">
        <f aca="false">datos_base!$C$14*parametros_recargas!$M$38+sobrestock_sustitutos!$C$100/12</f>
        <v>2.87541022411688</v>
      </c>
      <c r="P46" s="7" t="n">
        <f aca="false">SUM(D46:O46)</f>
        <v>34.5049226894026</v>
      </c>
      <c r="Q46" s="13" t="n">
        <f aca="false">sobrestock_sustitutos!$C$100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5" t="n">
        <f aca="false">parametros_recargas!C64</f>
        <v>3</v>
      </c>
      <c r="D47" s="26" t="n">
        <f aca="false">datos_base!$C$15*parametros_recargas!$B$38+sobrestock_sustitutos!$C$101/12</f>
        <v>5.18358254393956</v>
      </c>
      <c r="E47" s="26" t="n">
        <f aca="false">datos_base!$C$15*parametros_recargas!$C$38+sobrestock_sustitutos!$C$101/12</f>
        <v>5.18358254393956</v>
      </c>
      <c r="F47" s="26" t="n">
        <f aca="false">datos_base!$C$15*parametros_recargas!$D$38+sobrestock_sustitutos!$C$101/12</f>
        <v>5.18358254393956</v>
      </c>
      <c r="G47" s="26" t="n">
        <f aca="false">datos_base!$C$15*parametros_recargas!$E$38+sobrestock_sustitutos!$C$101/12</f>
        <v>5.18358254393956</v>
      </c>
      <c r="H47" s="26" t="n">
        <f aca="false">datos_base!$C$15*parametros_recargas!$F$38+sobrestock_sustitutos!$C$101/12</f>
        <v>5.18358254393956</v>
      </c>
      <c r="I47" s="26" t="n">
        <f aca="false">datos_base!$C$15*parametros_recargas!$G$38+sobrestock_sustitutos!$C$101/12</f>
        <v>5.18358254393956</v>
      </c>
      <c r="J47" s="26" t="n">
        <f aca="false">datos_base!$C$15*parametros_recargas!$H$38+sobrestock_sustitutos!$C$101/12</f>
        <v>5.18358254393956</v>
      </c>
      <c r="K47" s="26" t="n">
        <f aca="false">datos_base!$C$15*parametros_recargas!$I$38+sobrestock_sustitutos!$C$101/12</f>
        <v>5.18358254393956</v>
      </c>
      <c r="L47" s="26" t="n">
        <f aca="false">datos_base!$C$15*parametros_recargas!$J$38+sobrestock_sustitutos!$C$101/12</f>
        <v>5.18358254393956</v>
      </c>
      <c r="M47" s="26" t="n">
        <f aca="false">datos_base!$C$15*parametros_recargas!$K$38+sobrestock_sustitutos!$C$101/12</f>
        <v>5.18358254393956</v>
      </c>
      <c r="N47" s="26" t="n">
        <f aca="false">datos_base!$C$15*parametros_recargas!$L$38+sobrestock_sustitutos!$C$101/12</f>
        <v>5.18358254393956</v>
      </c>
      <c r="O47" s="26" t="n">
        <f aca="false">datos_base!$C$15*parametros_recargas!$M$38+sobrestock_sustitutos!$C$101/12</f>
        <v>5.18358254393956</v>
      </c>
      <c r="P47" s="7" t="n">
        <f aca="false">SUM(D47:O47)</f>
        <v>62.2029905272747</v>
      </c>
      <c r="Q47" s="13" t="n">
        <f aca="false">sobrestock_sustitutos!$C$101</f>
        <v>1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5" t="n">
        <f aca="false">parametros_recargas!C65</f>
        <v>3</v>
      </c>
      <c r="D48" s="26" t="n">
        <f aca="false">datos_base!$C$16*parametros_recargas!$B$38+sobrestock_sustitutos!$C$102/12</f>
        <v>11.3038816678434</v>
      </c>
      <c r="E48" s="26" t="n">
        <f aca="false">datos_base!$C$16*parametros_recargas!$C$38+sobrestock_sustitutos!$C$102/12</f>
        <v>11.3038816678434</v>
      </c>
      <c r="F48" s="26" t="n">
        <f aca="false">datos_base!$C$16*parametros_recargas!$D$38+sobrestock_sustitutos!$C$102/12</f>
        <v>11.3038816678434</v>
      </c>
      <c r="G48" s="26" t="n">
        <f aca="false">datos_base!$C$16*parametros_recargas!$E$38+sobrestock_sustitutos!$C$102/12</f>
        <v>11.3038816678434</v>
      </c>
      <c r="H48" s="26" t="n">
        <f aca="false">datos_base!$C$16*parametros_recargas!$F$38+sobrestock_sustitutos!$C$102/12</f>
        <v>11.3038816678434</v>
      </c>
      <c r="I48" s="26" t="n">
        <f aca="false">datos_base!$C$16*parametros_recargas!$G$38+sobrestock_sustitutos!$C$102/12</f>
        <v>11.3038816678434</v>
      </c>
      <c r="J48" s="26" t="n">
        <f aca="false">datos_base!$C$16*parametros_recargas!$H$38+sobrestock_sustitutos!$C$102/12</f>
        <v>11.3038816678434</v>
      </c>
      <c r="K48" s="26" t="n">
        <f aca="false">datos_base!$C$16*parametros_recargas!$I$38+sobrestock_sustitutos!$C$102/12</f>
        <v>11.3038816678434</v>
      </c>
      <c r="L48" s="26" t="n">
        <f aca="false">datos_base!$C$16*parametros_recargas!$J$38+sobrestock_sustitutos!$C$102/12</f>
        <v>11.3038816678434</v>
      </c>
      <c r="M48" s="26" t="n">
        <f aca="false">datos_base!$C$16*parametros_recargas!$K$38+sobrestock_sustitutos!$C$102/12</f>
        <v>11.3038816678434</v>
      </c>
      <c r="N48" s="26" t="n">
        <f aca="false">datos_base!$C$16*parametros_recargas!$L$38+sobrestock_sustitutos!$C$102/12</f>
        <v>11.3038816678434</v>
      </c>
      <c r="O48" s="26" t="n">
        <f aca="false">datos_base!$C$16*parametros_recargas!$M$38+sobrestock_sustitutos!$C$102/12</f>
        <v>11.3038816678434</v>
      </c>
      <c r="P48" s="7" t="n">
        <f aca="false">SUM(D48:O48)</f>
        <v>135.646580014121</v>
      </c>
      <c r="Q48" s="13" t="n">
        <f aca="false">sobrestock_sustitutos!$C$102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5" t="n">
        <f aca="false">parametros_recargas!C66</f>
        <v>3</v>
      </c>
      <c r="D49" s="26" t="n">
        <f aca="false">datos_base!$C$17*parametros_recargas!$B$38+sobrestock_sustitutos!$C$103/12</f>
        <v>2.53145294730669</v>
      </c>
      <c r="E49" s="26" t="n">
        <f aca="false">datos_base!$C$17*parametros_recargas!$C$38+sobrestock_sustitutos!$C$103/12</f>
        <v>2.53145294730669</v>
      </c>
      <c r="F49" s="26" t="n">
        <f aca="false">datos_base!$C$17*parametros_recargas!$D$38+sobrestock_sustitutos!$C$103/12</f>
        <v>2.53145294730669</v>
      </c>
      <c r="G49" s="26" t="n">
        <f aca="false">datos_base!$C$17*parametros_recargas!$E$38+sobrestock_sustitutos!$C$103/12</f>
        <v>2.53145294730669</v>
      </c>
      <c r="H49" s="26" t="n">
        <f aca="false">datos_base!$C$17*parametros_recargas!$F$38+sobrestock_sustitutos!$C$103/12</f>
        <v>2.53145294730669</v>
      </c>
      <c r="I49" s="26" t="n">
        <f aca="false">datos_base!$C$17*parametros_recargas!$G$38+sobrestock_sustitutos!$C$103/12</f>
        <v>2.53145294730669</v>
      </c>
      <c r="J49" s="26" t="n">
        <f aca="false">datos_base!$C$17*parametros_recargas!$H$38+sobrestock_sustitutos!$C$103/12</f>
        <v>2.53145294730669</v>
      </c>
      <c r="K49" s="26" t="n">
        <f aca="false">datos_base!$C$17*parametros_recargas!$I$38+sobrestock_sustitutos!$C$103/12</f>
        <v>2.53145294730669</v>
      </c>
      <c r="L49" s="26" t="n">
        <f aca="false">datos_base!$C$17*parametros_recargas!$J$38+sobrestock_sustitutos!$C$103/12</f>
        <v>2.53145294730669</v>
      </c>
      <c r="M49" s="26" t="n">
        <f aca="false">datos_base!$C$17*parametros_recargas!$K$38+sobrestock_sustitutos!$C$103/12</f>
        <v>2.53145294730669</v>
      </c>
      <c r="N49" s="26" t="n">
        <f aca="false">datos_base!$C$17*parametros_recargas!$L$38+sobrestock_sustitutos!$C$103/12</f>
        <v>2.53145294730669</v>
      </c>
      <c r="O49" s="26" t="n">
        <f aca="false">datos_base!$C$17*parametros_recargas!$M$38+sobrestock_sustitutos!$C$103/12</f>
        <v>2.53145294730669</v>
      </c>
      <c r="P49" s="7" t="n">
        <f aca="false">SUM(D49:O49)</f>
        <v>30.3774353676802</v>
      </c>
      <c r="Q49" s="13" t="n">
        <f aca="false">sobrestock_sustitutos!$C$103</f>
        <v>1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5" t="n">
        <f aca="false">parametros_recargas!C67</f>
        <v>3</v>
      </c>
      <c r="D50" s="26" t="n">
        <f aca="false">datos_base!$C$18*parametros_recargas!$B$38+sobrestock_sustitutos!$C$104/12</f>
        <v>1.71541307598224</v>
      </c>
      <c r="E50" s="26" t="n">
        <f aca="false">datos_base!$C$18*parametros_recargas!$C$38+sobrestock_sustitutos!$C$104/12</f>
        <v>1.71541307598224</v>
      </c>
      <c r="F50" s="26" t="n">
        <f aca="false">datos_base!$C$18*parametros_recargas!$D$38+sobrestock_sustitutos!$C$104/12</f>
        <v>1.71541307598224</v>
      </c>
      <c r="G50" s="26" t="n">
        <f aca="false">datos_base!$C$18*parametros_recargas!$E$38+sobrestock_sustitutos!$C$104/12</f>
        <v>1.71541307598224</v>
      </c>
      <c r="H50" s="26" t="n">
        <f aca="false">datos_base!$C$18*parametros_recargas!$F$38+sobrestock_sustitutos!$C$104/12</f>
        <v>1.71541307598224</v>
      </c>
      <c r="I50" s="26" t="n">
        <f aca="false">datos_base!$C$18*parametros_recargas!$G$38+sobrestock_sustitutos!$C$104/12</f>
        <v>1.71541307598224</v>
      </c>
      <c r="J50" s="26" t="n">
        <f aca="false">datos_base!$C$18*parametros_recargas!$H$38+sobrestock_sustitutos!$C$104/12</f>
        <v>1.71541307598224</v>
      </c>
      <c r="K50" s="26" t="n">
        <f aca="false">datos_base!$C$18*parametros_recargas!$I$38+sobrestock_sustitutos!$C$104/12</f>
        <v>1.71541307598224</v>
      </c>
      <c r="L50" s="26" t="n">
        <f aca="false">datos_base!$C$18*parametros_recargas!$J$38+sobrestock_sustitutos!$C$104/12</f>
        <v>1.71541307598224</v>
      </c>
      <c r="M50" s="26" t="n">
        <f aca="false">datos_base!$C$18*parametros_recargas!$K$38+sobrestock_sustitutos!$C$104/12</f>
        <v>1.71541307598224</v>
      </c>
      <c r="N50" s="26" t="n">
        <f aca="false">datos_base!$C$18*parametros_recargas!$L$38+sobrestock_sustitutos!$C$104/12</f>
        <v>1.71541307598224</v>
      </c>
      <c r="O50" s="26" t="n">
        <f aca="false">datos_base!$C$18*parametros_recargas!$M$38+sobrestock_sustitutos!$C$104/12</f>
        <v>1.71541307598224</v>
      </c>
      <c r="P50" s="7" t="n">
        <f aca="false">SUM(D50:O50)</f>
        <v>20.5849569117868</v>
      </c>
      <c r="Q50" s="13" t="n">
        <f aca="false">sobrestock_sustitutos!$C$104</f>
        <v>1</v>
      </c>
    </row>
    <row r="51" customFormat="false" ht="15" hidden="false" customHeight="false" outlineLevel="0" collapsed="false">
      <c r="A51" s="6" t="s">
        <v>310</v>
      </c>
      <c r="D51" s="7" t="n">
        <f aca="false">SUM(D34:D50)</f>
        <v>1822.2147429184</v>
      </c>
      <c r="E51" s="7" t="n">
        <f aca="false">SUM(E34:E50)</f>
        <v>1822.2147429184</v>
      </c>
      <c r="F51" s="7" t="n">
        <f aca="false">SUM(F34:F50)</f>
        <v>1822.2147429184</v>
      </c>
      <c r="G51" s="7" t="n">
        <f aca="false">SUM(G34:G50)</f>
        <v>1822.2147429184</v>
      </c>
      <c r="H51" s="7" t="n">
        <f aca="false">SUM(H34:H50)</f>
        <v>1822.2147429184</v>
      </c>
      <c r="I51" s="7" t="n">
        <f aca="false">SUM(I34:I50)</f>
        <v>1822.2147429184</v>
      </c>
      <c r="J51" s="7" t="n">
        <f aca="false">SUM(J34:J50)</f>
        <v>1822.2147429184</v>
      </c>
      <c r="K51" s="7" t="n">
        <f aca="false">SUM(K34:K50)</f>
        <v>1822.2147429184</v>
      </c>
      <c r="L51" s="7" t="n">
        <f aca="false">SUM(L34:L50)</f>
        <v>1822.2147429184</v>
      </c>
      <c r="M51" s="7" t="n">
        <f aca="false">SUM(M34:M50)</f>
        <v>1822.2147429184</v>
      </c>
      <c r="N51" s="7" t="n">
        <f aca="false">SUM(N34:N50)</f>
        <v>1822.2147429184</v>
      </c>
      <c r="O51" s="7" t="n">
        <f aca="false">SUM(O34:O50)</f>
        <v>1822.2147429184</v>
      </c>
      <c r="P51" s="7" t="n">
        <f aca="false">SUM(P34:P50)</f>
        <v>21866.5769150208</v>
      </c>
    </row>
    <row r="52" customFormat="false" ht="15" hidden="false" customHeight="false" outlineLevel="0" collapsed="false">
      <c r="A52" s="6" t="s">
        <v>311</v>
      </c>
    </row>
    <row r="53" customFormat="false" ht="15" hidden="false" customHeight="false" outlineLevel="0" collapsed="false">
      <c r="A53" s="4" t="s">
        <v>151</v>
      </c>
      <c r="D53" s="26" t="n">
        <f aca="false">SUMPRODUCT(($B$34:$B$50=$A53)*D$34:D$50*$C$34:$C$50)</f>
        <v>1638.79761743039</v>
      </c>
      <c r="E53" s="26" t="n">
        <f aca="false">SUMPRODUCT(($B$34:$B$50=$A53)*E$34:E$50*$C$34:$C$50)</f>
        <v>1638.79761743039</v>
      </c>
      <c r="F53" s="26" t="n">
        <f aca="false">SUMPRODUCT(($B$34:$B$50=$A53)*F$34:F$50*$C$34:$C$50)</f>
        <v>1638.79761743039</v>
      </c>
      <c r="G53" s="26" t="n">
        <f aca="false">SUMPRODUCT(($B$34:$B$50=$A53)*G$34:G$50*$C$34:$C$50)</f>
        <v>1638.79761743039</v>
      </c>
      <c r="H53" s="26" t="n">
        <f aca="false">SUMPRODUCT(($B$34:$B$50=$A53)*H$34:H$50*$C$34:$C$50)</f>
        <v>1638.79761743039</v>
      </c>
      <c r="I53" s="26" t="n">
        <f aca="false">SUMPRODUCT(($B$34:$B$50=$A53)*I$34:I$50*$C$34:$C$50)</f>
        <v>1638.79761743039</v>
      </c>
      <c r="J53" s="26" t="n">
        <f aca="false">SUMPRODUCT(($B$34:$B$50=$A53)*J$34:J$50*$C$34:$C$50)</f>
        <v>1638.79761743039</v>
      </c>
      <c r="K53" s="26" t="n">
        <f aca="false">SUMPRODUCT(($B$34:$B$50=$A53)*K$34:K$50*$C$34:$C$50)</f>
        <v>1638.79761743039</v>
      </c>
      <c r="L53" s="26" t="n">
        <f aca="false">SUMPRODUCT(($B$34:$B$50=$A53)*L$34:L$50*$C$34:$C$50)</f>
        <v>1638.79761743039</v>
      </c>
      <c r="M53" s="26" t="n">
        <f aca="false">SUMPRODUCT(($B$34:$B$50=$A53)*M$34:M$50*$C$34:$C$50)</f>
        <v>1638.79761743039</v>
      </c>
      <c r="N53" s="26" t="n">
        <f aca="false">SUMPRODUCT(($B$34:$B$50=$A53)*N$34:N$50*$C$34:$C$50)</f>
        <v>1638.79761743039</v>
      </c>
      <c r="O53" s="26" t="n">
        <f aca="false">SUMPRODUCT(($B$34:$B$50=$A53)*O$34:O$50*$C$34:$C$50)</f>
        <v>1638.79761743039</v>
      </c>
      <c r="P53" s="26" t="n">
        <f aca="false">SUMPRODUCT(($B$34:$B$50=$A53)*P$34:P$50*$C$34:$C$50)</f>
        <v>19665.5714091647</v>
      </c>
    </row>
    <row r="54" customFormat="false" ht="15" hidden="false" customHeight="false" outlineLevel="0" collapsed="false">
      <c r="A54" s="4" t="s">
        <v>157</v>
      </c>
      <c r="D54" s="26" t="n">
        <f aca="false">SUMPRODUCT(($B$34:$B$50=$A54)*D$34:D$50*$C$34:$C$50)</f>
        <v>2.87541022411688</v>
      </c>
      <c r="E54" s="26" t="n">
        <f aca="false">SUMPRODUCT(($B$34:$B$50=$A54)*E$34:E$50*$C$34:$C$50)</f>
        <v>2.87541022411688</v>
      </c>
      <c r="F54" s="26" t="n">
        <f aca="false">SUMPRODUCT(($B$34:$B$50=$A54)*F$34:F$50*$C$34:$C$50)</f>
        <v>2.87541022411688</v>
      </c>
      <c r="G54" s="26" t="n">
        <f aca="false">SUMPRODUCT(($B$34:$B$50=$A54)*G$34:G$50*$C$34:$C$50)</f>
        <v>2.87541022411688</v>
      </c>
      <c r="H54" s="26" t="n">
        <f aca="false">SUMPRODUCT(($B$34:$B$50=$A54)*H$34:H$50*$C$34:$C$50)</f>
        <v>2.87541022411688</v>
      </c>
      <c r="I54" s="26" t="n">
        <f aca="false">SUMPRODUCT(($B$34:$B$50=$A54)*I$34:I$50*$C$34:$C$50)</f>
        <v>2.87541022411688</v>
      </c>
      <c r="J54" s="26" t="n">
        <f aca="false">SUMPRODUCT(($B$34:$B$50=$A54)*J$34:J$50*$C$34:$C$50)</f>
        <v>2.87541022411688</v>
      </c>
      <c r="K54" s="26" t="n">
        <f aca="false">SUMPRODUCT(($B$34:$B$50=$A54)*K$34:K$50*$C$34:$C$50)</f>
        <v>2.87541022411688</v>
      </c>
      <c r="L54" s="26" t="n">
        <f aca="false">SUMPRODUCT(($B$34:$B$50=$A54)*L$34:L$50*$C$34:$C$50)</f>
        <v>2.87541022411688</v>
      </c>
      <c r="M54" s="26" t="n">
        <f aca="false">SUMPRODUCT(($B$34:$B$50=$A54)*M$34:M$50*$C$34:$C$50)</f>
        <v>2.87541022411688</v>
      </c>
      <c r="N54" s="26" t="n">
        <f aca="false">SUMPRODUCT(($B$34:$B$50=$A54)*N$34:N$50*$C$34:$C$50)</f>
        <v>2.87541022411688</v>
      </c>
      <c r="O54" s="26" t="n">
        <f aca="false">SUMPRODUCT(($B$34:$B$50=$A54)*O$34:O$50*$C$34:$C$50)</f>
        <v>2.87541022411688</v>
      </c>
      <c r="P54" s="26" t="n">
        <f aca="false">SUMPRODUCT(($B$34:$B$50=$A54)*P$34:P$50*$C$34:$C$50)</f>
        <v>34.5049226894026</v>
      </c>
    </row>
    <row r="55" customFormat="false" ht="15" hidden="false" customHeight="false" outlineLevel="0" collapsed="false">
      <c r="A55" s="4" t="s">
        <v>163</v>
      </c>
      <c r="D55" s="26" t="n">
        <f aca="false">SUMPRODUCT(($B$34:$B$50=$A55)*D$34:D$50*$C$34:$C$50)</f>
        <v>2.87541022411688</v>
      </c>
      <c r="E55" s="26" t="n">
        <f aca="false">SUMPRODUCT(($B$34:$B$50=$A55)*E$34:E$50*$C$34:$C$50)</f>
        <v>2.87541022411688</v>
      </c>
      <c r="F55" s="26" t="n">
        <f aca="false">SUMPRODUCT(($B$34:$B$50=$A55)*F$34:F$50*$C$34:$C$50)</f>
        <v>2.87541022411688</v>
      </c>
      <c r="G55" s="26" t="n">
        <f aca="false">SUMPRODUCT(($B$34:$B$50=$A55)*G$34:G$50*$C$34:$C$50)</f>
        <v>2.87541022411688</v>
      </c>
      <c r="H55" s="26" t="n">
        <f aca="false">SUMPRODUCT(($B$34:$B$50=$A55)*H$34:H$50*$C$34:$C$50)</f>
        <v>2.87541022411688</v>
      </c>
      <c r="I55" s="26" t="n">
        <f aca="false">SUMPRODUCT(($B$34:$B$50=$A55)*I$34:I$50*$C$34:$C$50)</f>
        <v>2.87541022411688</v>
      </c>
      <c r="J55" s="26" t="n">
        <f aca="false">SUMPRODUCT(($B$34:$B$50=$A55)*J$34:J$50*$C$34:$C$50)</f>
        <v>2.87541022411688</v>
      </c>
      <c r="K55" s="26" t="n">
        <f aca="false">SUMPRODUCT(($B$34:$B$50=$A55)*K$34:K$50*$C$34:$C$50)</f>
        <v>2.87541022411688</v>
      </c>
      <c r="L55" s="26" t="n">
        <f aca="false">SUMPRODUCT(($B$34:$B$50=$A55)*L$34:L$50*$C$34:$C$50)</f>
        <v>2.87541022411688</v>
      </c>
      <c r="M55" s="26" t="n">
        <f aca="false">SUMPRODUCT(($B$34:$B$50=$A55)*M$34:M$50*$C$34:$C$50)</f>
        <v>2.87541022411688</v>
      </c>
      <c r="N55" s="26" t="n">
        <f aca="false">SUMPRODUCT(($B$34:$B$50=$A55)*N$34:N$50*$C$34:$C$50)</f>
        <v>2.87541022411688</v>
      </c>
      <c r="O55" s="26" t="n">
        <f aca="false">SUMPRODUCT(($B$34:$B$50=$A55)*O$34:O$50*$C$34:$C$50)</f>
        <v>2.87541022411688</v>
      </c>
      <c r="P55" s="26" t="n">
        <f aca="false">SUMPRODUCT(($B$34:$B$50=$A55)*P$34:P$50*$C$34:$C$50)</f>
        <v>34.5049226894026</v>
      </c>
    </row>
    <row r="56" customFormat="false" ht="15" hidden="false" customHeight="false" outlineLevel="0" collapsed="false">
      <c r="A56" s="4" t="s">
        <v>154</v>
      </c>
      <c r="D56" s="26" t="n">
        <f aca="false">SUMPRODUCT(($B$34:$B$50=$A56)*D$34:D$50*$C$34:$C$50)</f>
        <v>38.3304490527621</v>
      </c>
      <c r="E56" s="26" t="n">
        <f aca="false">SUMPRODUCT(($B$34:$B$50=$A56)*E$34:E$50*$C$34:$C$50)</f>
        <v>38.3304490527621</v>
      </c>
      <c r="F56" s="26" t="n">
        <f aca="false">SUMPRODUCT(($B$34:$B$50=$A56)*F$34:F$50*$C$34:$C$50)</f>
        <v>38.3304490527621</v>
      </c>
      <c r="G56" s="26" t="n">
        <f aca="false">SUMPRODUCT(($B$34:$B$50=$A56)*G$34:G$50*$C$34:$C$50)</f>
        <v>38.3304490527621</v>
      </c>
      <c r="H56" s="26" t="n">
        <f aca="false">SUMPRODUCT(($B$34:$B$50=$A56)*H$34:H$50*$C$34:$C$50)</f>
        <v>38.3304490527621</v>
      </c>
      <c r="I56" s="26" t="n">
        <f aca="false">SUMPRODUCT(($B$34:$B$50=$A56)*I$34:I$50*$C$34:$C$50)</f>
        <v>38.3304490527621</v>
      </c>
      <c r="J56" s="26" t="n">
        <f aca="false">SUMPRODUCT(($B$34:$B$50=$A56)*J$34:J$50*$C$34:$C$50)</f>
        <v>38.3304490527621</v>
      </c>
      <c r="K56" s="26" t="n">
        <f aca="false">SUMPRODUCT(($B$34:$B$50=$A56)*K$34:K$50*$C$34:$C$50)</f>
        <v>38.3304490527621</v>
      </c>
      <c r="L56" s="26" t="n">
        <f aca="false">SUMPRODUCT(($B$34:$B$50=$A56)*L$34:L$50*$C$34:$C$50)</f>
        <v>38.3304490527621</v>
      </c>
      <c r="M56" s="26" t="n">
        <f aca="false">SUMPRODUCT(($B$34:$B$50=$A56)*M$34:M$50*$C$34:$C$50)</f>
        <v>38.3304490527621</v>
      </c>
      <c r="N56" s="26" t="n">
        <f aca="false">SUMPRODUCT(($B$34:$B$50=$A56)*N$34:N$50*$C$34:$C$50)</f>
        <v>38.3304490527621</v>
      </c>
      <c r="O56" s="26" t="n">
        <f aca="false">SUMPRODUCT(($B$34:$B$50=$A56)*O$34:O$50*$C$34:$C$50)</f>
        <v>38.3304490527621</v>
      </c>
      <c r="P56" s="26" t="n">
        <f aca="false">SUMPRODUCT(($B$34:$B$50=$A56)*P$34:P$50*$C$34:$C$50)</f>
        <v>459.965388633145</v>
      </c>
    </row>
    <row r="57" customFormat="false" ht="15" hidden="false" customHeight="false" outlineLevel="0" collapsed="false">
      <c r="A57" s="4" t="s">
        <v>155</v>
      </c>
      <c r="D57" s="26" t="n">
        <f aca="false">SUMPRODUCT(($B$34:$B$50=$A57)*D$34:D$50*$C$34:$C$50)</f>
        <v>24.7104210723271</v>
      </c>
      <c r="E57" s="26" t="n">
        <f aca="false">SUMPRODUCT(($B$34:$B$50=$A57)*E$34:E$50*$C$34:$C$50)</f>
        <v>24.7104210723271</v>
      </c>
      <c r="F57" s="26" t="n">
        <f aca="false">SUMPRODUCT(($B$34:$B$50=$A57)*F$34:F$50*$C$34:$C$50)</f>
        <v>24.7104210723271</v>
      </c>
      <c r="G57" s="26" t="n">
        <f aca="false">SUMPRODUCT(($B$34:$B$50=$A57)*G$34:G$50*$C$34:$C$50)</f>
        <v>24.7104210723271</v>
      </c>
      <c r="H57" s="26" t="n">
        <f aca="false">SUMPRODUCT(($B$34:$B$50=$A57)*H$34:H$50*$C$34:$C$50)</f>
        <v>24.7104210723271</v>
      </c>
      <c r="I57" s="26" t="n">
        <f aca="false">SUMPRODUCT(($B$34:$B$50=$A57)*I$34:I$50*$C$34:$C$50)</f>
        <v>24.7104210723271</v>
      </c>
      <c r="J57" s="26" t="n">
        <f aca="false">SUMPRODUCT(($B$34:$B$50=$A57)*J$34:J$50*$C$34:$C$50)</f>
        <v>24.7104210723271</v>
      </c>
      <c r="K57" s="26" t="n">
        <f aca="false">SUMPRODUCT(($B$34:$B$50=$A57)*K$34:K$50*$C$34:$C$50)</f>
        <v>24.7104210723271</v>
      </c>
      <c r="L57" s="26" t="n">
        <f aca="false">SUMPRODUCT(($B$34:$B$50=$A57)*L$34:L$50*$C$34:$C$50)</f>
        <v>24.7104210723271</v>
      </c>
      <c r="M57" s="26" t="n">
        <f aca="false">SUMPRODUCT(($B$34:$B$50=$A57)*M$34:M$50*$C$34:$C$50)</f>
        <v>24.7104210723271</v>
      </c>
      <c r="N57" s="26" t="n">
        <f aca="false">SUMPRODUCT(($B$34:$B$50=$A57)*N$34:N$50*$C$34:$C$50)</f>
        <v>24.7104210723271</v>
      </c>
      <c r="O57" s="26" t="n">
        <f aca="false">SUMPRODUCT(($B$34:$B$50=$A57)*O$34:O$50*$C$34:$C$50)</f>
        <v>24.7104210723271</v>
      </c>
      <c r="P57" s="26" t="n">
        <f aca="false">SUMPRODUCT(($B$34:$B$50=$A57)*P$34:P$50*$C$34:$C$50)</f>
        <v>296.525052867925</v>
      </c>
    </row>
    <row r="58" customFormat="false" ht="15" hidden="false" customHeight="false" outlineLevel="0" collapsed="false">
      <c r="A58" s="4" t="s">
        <v>158</v>
      </c>
      <c r="D58" s="26" t="n">
        <f aca="false">SUMPRODUCT(($B$34:$B$50=$A58)*D$34:D$50*$C$34:$C$50)</f>
        <v>19.9770550877132</v>
      </c>
      <c r="E58" s="26" t="n">
        <f aca="false">SUMPRODUCT(($B$34:$B$50=$A58)*E$34:E$50*$C$34:$C$50)</f>
        <v>19.9770550877132</v>
      </c>
      <c r="F58" s="26" t="n">
        <f aca="false">SUMPRODUCT(($B$34:$B$50=$A58)*F$34:F$50*$C$34:$C$50)</f>
        <v>19.9770550877132</v>
      </c>
      <c r="G58" s="26" t="n">
        <f aca="false">SUMPRODUCT(($B$34:$B$50=$A58)*G$34:G$50*$C$34:$C$50)</f>
        <v>19.9770550877132</v>
      </c>
      <c r="H58" s="26" t="n">
        <f aca="false">SUMPRODUCT(($B$34:$B$50=$A58)*H$34:H$50*$C$34:$C$50)</f>
        <v>19.9770550877132</v>
      </c>
      <c r="I58" s="26" t="n">
        <f aca="false">SUMPRODUCT(($B$34:$B$50=$A58)*I$34:I$50*$C$34:$C$50)</f>
        <v>19.9770550877132</v>
      </c>
      <c r="J58" s="26" t="n">
        <f aca="false">SUMPRODUCT(($B$34:$B$50=$A58)*J$34:J$50*$C$34:$C$50)</f>
        <v>19.9770550877132</v>
      </c>
      <c r="K58" s="26" t="n">
        <f aca="false">SUMPRODUCT(($B$34:$B$50=$A58)*K$34:K$50*$C$34:$C$50)</f>
        <v>19.9770550877132</v>
      </c>
      <c r="L58" s="26" t="n">
        <f aca="false">SUMPRODUCT(($B$34:$B$50=$A58)*L$34:L$50*$C$34:$C$50)</f>
        <v>19.9770550877132</v>
      </c>
      <c r="M58" s="26" t="n">
        <f aca="false">SUMPRODUCT(($B$34:$B$50=$A58)*M$34:M$50*$C$34:$C$50)</f>
        <v>19.9770550877132</v>
      </c>
      <c r="N58" s="26" t="n">
        <f aca="false">SUMPRODUCT(($B$34:$B$50=$A58)*N$34:N$50*$C$34:$C$50)</f>
        <v>19.9770550877132</v>
      </c>
      <c r="O58" s="26" t="n">
        <f aca="false">SUMPRODUCT(($B$34:$B$50=$A58)*O$34:O$50*$C$34:$C$50)</f>
        <v>19.9770550877132</v>
      </c>
      <c r="P58" s="26" t="n">
        <f aca="false">SUMPRODUCT(($B$34:$B$50=$A58)*P$34:P$50*$C$34:$C$50)</f>
        <v>239.724661052559</v>
      </c>
    </row>
    <row r="59" customFormat="false" ht="15" hidden="false" customHeight="false" outlineLevel="0" collapsed="false">
      <c r="A59" s="4" t="s">
        <v>159</v>
      </c>
      <c r="D59" s="26" t="n">
        <f aca="false">SUMPRODUCT(($B$34:$B$50=$A59)*D$34:D$50*$C$34:$C$50)</f>
        <v>139.425369159861</v>
      </c>
      <c r="E59" s="26" t="n">
        <f aca="false">SUMPRODUCT(($B$34:$B$50=$A59)*E$34:E$50*$C$34:$C$50)</f>
        <v>139.425369159861</v>
      </c>
      <c r="F59" s="26" t="n">
        <f aca="false">SUMPRODUCT(($B$34:$B$50=$A59)*F$34:F$50*$C$34:$C$50)</f>
        <v>139.425369159861</v>
      </c>
      <c r="G59" s="26" t="n">
        <f aca="false">SUMPRODUCT(($B$34:$B$50=$A59)*G$34:G$50*$C$34:$C$50)</f>
        <v>139.425369159861</v>
      </c>
      <c r="H59" s="26" t="n">
        <f aca="false">SUMPRODUCT(($B$34:$B$50=$A59)*H$34:H$50*$C$34:$C$50)</f>
        <v>139.425369159861</v>
      </c>
      <c r="I59" s="26" t="n">
        <f aca="false">SUMPRODUCT(($B$34:$B$50=$A59)*I$34:I$50*$C$34:$C$50)</f>
        <v>139.425369159861</v>
      </c>
      <c r="J59" s="26" t="n">
        <f aca="false">SUMPRODUCT(($B$34:$B$50=$A59)*J$34:J$50*$C$34:$C$50)</f>
        <v>139.425369159861</v>
      </c>
      <c r="K59" s="26" t="n">
        <f aca="false">SUMPRODUCT(($B$34:$B$50=$A59)*K$34:K$50*$C$34:$C$50)</f>
        <v>139.425369159861</v>
      </c>
      <c r="L59" s="26" t="n">
        <f aca="false">SUMPRODUCT(($B$34:$B$50=$A59)*L$34:L$50*$C$34:$C$50)</f>
        <v>139.425369159861</v>
      </c>
      <c r="M59" s="26" t="n">
        <f aca="false">SUMPRODUCT(($B$34:$B$50=$A59)*M$34:M$50*$C$34:$C$50)</f>
        <v>139.425369159861</v>
      </c>
      <c r="N59" s="26" t="n">
        <f aca="false">SUMPRODUCT(($B$34:$B$50=$A59)*N$34:N$50*$C$34:$C$50)</f>
        <v>139.425369159861</v>
      </c>
      <c r="O59" s="26" t="n">
        <f aca="false">SUMPRODUCT(($B$34:$B$50=$A59)*O$34:O$50*$C$34:$C$50)</f>
        <v>139.425369159861</v>
      </c>
      <c r="P59" s="26" t="n">
        <f aca="false">SUMPRODUCT(($B$34:$B$50=$A59)*P$34:P$50*$C$34:$C$50)</f>
        <v>1673.10442991833</v>
      </c>
    </row>
    <row r="60" customFormat="false" ht="15" hidden="false" customHeight="false" outlineLevel="0" collapsed="false">
      <c r="A60" s="4" t="s">
        <v>162</v>
      </c>
      <c r="D60" s="26" t="n">
        <f aca="false">SUMPRODUCT(($B$34:$B$50=$A60)*D$34:D$50*$C$34:$C$50)</f>
        <v>6.73091503916886</v>
      </c>
      <c r="E60" s="26" t="n">
        <f aca="false">SUMPRODUCT(($B$34:$B$50=$A60)*E$34:E$50*$C$34:$C$50)</f>
        <v>6.73091503916886</v>
      </c>
      <c r="F60" s="26" t="n">
        <f aca="false">SUMPRODUCT(($B$34:$B$50=$A60)*F$34:F$50*$C$34:$C$50)</f>
        <v>6.73091503916886</v>
      </c>
      <c r="G60" s="26" t="n">
        <f aca="false">SUMPRODUCT(($B$34:$B$50=$A60)*G$34:G$50*$C$34:$C$50)</f>
        <v>6.73091503916886</v>
      </c>
      <c r="H60" s="26" t="n">
        <f aca="false">SUMPRODUCT(($B$34:$B$50=$A60)*H$34:H$50*$C$34:$C$50)</f>
        <v>6.73091503916886</v>
      </c>
      <c r="I60" s="26" t="n">
        <f aca="false">SUMPRODUCT(($B$34:$B$50=$A60)*I$34:I$50*$C$34:$C$50)</f>
        <v>6.73091503916886</v>
      </c>
      <c r="J60" s="26" t="n">
        <f aca="false">SUMPRODUCT(($B$34:$B$50=$A60)*J$34:J$50*$C$34:$C$50)</f>
        <v>6.73091503916886</v>
      </c>
      <c r="K60" s="26" t="n">
        <f aca="false">SUMPRODUCT(($B$34:$B$50=$A60)*K$34:K$50*$C$34:$C$50)</f>
        <v>6.73091503916886</v>
      </c>
      <c r="L60" s="26" t="n">
        <f aca="false">SUMPRODUCT(($B$34:$B$50=$A60)*L$34:L$50*$C$34:$C$50)</f>
        <v>6.73091503916886</v>
      </c>
      <c r="M60" s="26" t="n">
        <f aca="false">SUMPRODUCT(($B$34:$B$50=$A60)*M$34:M$50*$C$34:$C$50)</f>
        <v>6.73091503916886</v>
      </c>
      <c r="N60" s="26" t="n">
        <f aca="false">SUMPRODUCT(($B$34:$B$50=$A60)*N$34:N$50*$C$34:$C$50)</f>
        <v>6.73091503916886</v>
      </c>
      <c r="O60" s="26" t="n">
        <f aca="false">SUMPRODUCT(($B$34:$B$50=$A60)*O$34:O$50*$C$34:$C$50)</f>
        <v>6.73091503916886</v>
      </c>
      <c r="P60" s="26" t="n">
        <f aca="false">SUMPRODUCT(($B$34:$B$50=$A60)*P$34:P$50*$C$34:$C$50)</f>
        <v>80.7709804700263</v>
      </c>
    </row>
    <row r="61" customFormat="false" ht="15" hidden="false" customHeight="false" outlineLevel="0" collapsed="false">
      <c r="A61" s="6" t="s">
        <v>312</v>
      </c>
      <c r="D61" s="27" t="n">
        <f aca="false">SUMPRODUCT(D$34:D$50*parametros_recargas!$D$51:$D$67)</f>
        <v>64.0966690164382</v>
      </c>
      <c r="E61" s="27" t="n">
        <f aca="false">SUMPRODUCT(E$34:E$50*parametros_recargas!$D$51:$D$67)</f>
        <v>64.0966690164382</v>
      </c>
      <c r="F61" s="27" t="n">
        <f aca="false">SUMPRODUCT(F$34:F$50*parametros_recargas!$D$51:$D$67)</f>
        <v>64.0966690164382</v>
      </c>
      <c r="G61" s="27" t="n">
        <f aca="false">SUMPRODUCT(G$34:G$50*parametros_recargas!$D$51:$D$67)</f>
        <v>64.0966690164382</v>
      </c>
      <c r="H61" s="27" t="n">
        <f aca="false">SUMPRODUCT(H$34:H$50*parametros_recargas!$D$51:$D$67)</f>
        <v>64.0966690164382</v>
      </c>
      <c r="I61" s="27" t="n">
        <f aca="false">SUMPRODUCT(I$34:I$50*parametros_recargas!$D$51:$D$67)</f>
        <v>64.0966690164382</v>
      </c>
      <c r="J61" s="27" t="n">
        <f aca="false">SUMPRODUCT(J$34:J$50*parametros_recargas!$D$51:$D$67)</f>
        <v>64.0966690164382</v>
      </c>
      <c r="K61" s="27" t="n">
        <f aca="false">SUMPRODUCT(K$34:K$50*parametros_recargas!$D$51:$D$67)</f>
        <v>64.0966690164382</v>
      </c>
      <c r="L61" s="27" t="n">
        <f aca="false">SUMPRODUCT(L$34:L$50*parametros_recargas!$D$51:$D$67)</f>
        <v>64.0966690164382</v>
      </c>
      <c r="M61" s="27" t="n">
        <f aca="false">SUMPRODUCT(M$34:M$50*parametros_recargas!$D$51:$D$67)</f>
        <v>64.0966690164382</v>
      </c>
      <c r="N61" s="27" t="n">
        <f aca="false">SUMPRODUCT(N$34:N$50*parametros_recargas!$D$51:$D$67)</f>
        <v>64.0966690164382</v>
      </c>
      <c r="O61" s="27" t="n">
        <f aca="false">SUMPRODUCT(O$34:O$50*parametros_recargas!$D$51:$D$67)</f>
        <v>64.0966690164382</v>
      </c>
      <c r="P61" s="27" t="n">
        <f aca="false">SUMPRODUCT(P$34:P$50*parametros_recargas!$D$51:$D$67)</f>
        <v>769.160028197259</v>
      </c>
    </row>
    <row r="65" customFormat="false" ht="23.85" hidden="false" customHeight="false" outlineLevel="0" collapsed="false">
      <c r="A65" s="28" t="n">
        <v>2028</v>
      </c>
      <c r="B65" s="3" t="s">
        <v>307</v>
      </c>
      <c r="C65" s="3" t="s">
        <v>308</v>
      </c>
      <c r="D65" s="3" t="s">
        <v>133</v>
      </c>
      <c r="E65" s="3" t="s">
        <v>134</v>
      </c>
      <c r="F65" s="3" t="s">
        <v>135</v>
      </c>
      <c r="G65" s="3" t="s">
        <v>136</v>
      </c>
      <c r="H65" s="3" t="s">
        <v>137</v>
      </c>
      <c r="I65" s="3" t="s">
        <v>138</v>
      </c>
      <c r="J65" s="3" t="s">
        <v>139</v>
      </c>
      <c r="K65" s="3" t="s">
        <v>140</v>
      </c>
      <c r="L65" s="3" t="s">
        <v>141</v>
      </c>
      <c r="M65" s="3" t="s">
        <v>142</v>
      </c>
      <c r="N65" s="3" t="s">
        <v>143</v>
      </c>
      <c r="O65" s="3" t="s">
        <v>144</v>
      </c>
      <c r="P65" s="3" t="s">
        <v>67</v>
      </c>
      <c r="Q65" s="3" t="s">
        <v>309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5" t="n">
        <f aca="false">parametros_recargas!C51</f>
        <v>1</v>
      </c>
      <c r="D66" s="26" t="n">
        <f aca="false">datos_base!$D$2*parametros_recargas!$B$39+sobrestock_sustitutos!$D$88/12</f>
        <v>1811.79928415773</v>
      </c>
      <c r="E66" s="26" t="n">
        <f aca="false">datos_base!$D$2*parametros_recargas!$C$39+sobrestock_sustitutos!$D$88/12</f>
        <v>1811.79928415773</v>
      </c>
      <c r="F66" s="26" t="n">
        <f aca="false">datos_base!$D$2*parametros_recargas!$D$39+sobrestock_sustitutos!$D$88/12</f>
        <v>1811.79928415773</v>
      </c>
      <c r="G66" s="26" t="n">
        <f aca="false">datos_base!$D$2*parametros_recargas!$E$39+sobrestock_sustitutos!$D$88/12</f>
        <v>1811.79928415773</v>
      </c>
      <c r="H66" s="26" t="n">
        <f aca="false">datos_base!$D$2*parametros_recargas!$F$39+sobrestock_sustitutos!$D$88/12</f>
        <v>1811.79928415773</v>
      </c>
      <c r="I66" s="26" t="n">
        <f aca="false">datos_base!$D$2*parametros_recargas!$G$39+sobrestock_sustitutos!$D$88/12</f>
        <v>1811.79928415773</v>
      </c>
      <c r="J66" s="26" t="n">
        <f aca="false">datos_base!$D$2*parametros_recargas!$H$39+sobrestock_sustitutos!$D$88/12</f>
        <v>1811.79928415773</v>
      </c>
      <c r="K66" s="26" t="n">
        <f aca="false">datos_base!$D$2*parametros_recargas!$I$39+sobrestock_sustitutos!$D$88/12</f>
        <v>1811.79928415773</v>
      </c>
      <c r="L66" s="26" t="n">
        <f aca="false">datos_base!$D$2*parametros_recargas!$J$39+sobrestock_sustitutos!$D$88/12</f>
        <v>1811.79928415773</v>
      </c>
      <c r="M66" s="26" t="n">
        <f aca="false">datos_base!$D$2*parametros_recargas!$K$39+sobrestock_sustitutos!$D$88/12</f>
        <v>1811.79928415773</v>
      </c>
      <c r="N66" s="26" t="n">
        <f aca="false">datos_base!$D$2*parametros_recargas!$L$39+sobrestock_sustitutos!$D$88/12</f>
        <v>1811.79928415773</v>
      </c>
      <c r="O66" s="26" t="n">
        <f aca="false">datos_base!$D$2*parametros_recargas!$M$39+sobrestock_sustitutos!$D$88/12</f>
        <v>1811.79928415773</v>
      </c>
      <c r="P66" s="7" t="n">
        <f aca="false">SUM(D66:O66)</f>
        <v>21741.5914098928</v>
      </c>
      <c r="Q66" s="13" t="n">
        <f aca="false">sobrestock_sustitutos!$D$88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5" t="n">
        <f aca="false">parametros_recargas!C52</f>
        <v>1</v>
      </c>
      <c r="D67" s="26" t="n">
        <f aca="false">datos_base!$D$3*parametros_recargas!$B$39+sobrestock_sustitutos!$D$89/12</f>
        <v>175.807288314022</v>
      </c>
      <c r="E67" s="26" t="n">
        <f aca="false">datos_base!$D$3*parametros_recargas!$C$39+sobrestock_sustitutos!$D$89/12</f>
        <v>175.807288314022</v>
      </c>
      <c r="F67" s="26" t="n">
        <f aca="false">datos_base!$D$3*parametros_recargas!$D$39+sobrestock_sustitutos!$D$89/12</f>
        <v>175.807288314022</v>
      </c>
      <c r="G67" s="26" t="n">
        <f aca="false">datos_base!$D$3*parametros_recargas!$E$39+sobrestock_sustitutos!$D$89/12</f>
        <v>175.807288314022</v>
      </c>
      <c r="H67" s="26" t="n">
        <f aca="false">datos_base!$D$3*parametros_recargas!$F$39+sobrestock_sustitutos!$D$89/12</f>
        <v>175.807288314022</v>
      </c>
      <c r="I67" s="26" t="n">
        <f aca="false">datos_base!$D$3*parametros_recargas!$G$39+sobrestock_sustitutos!$D$89/12</f>
        <v>175.807288314022</v>
      </c>
      <c r="J67" s="26" t="n">
        <f aca="false">datos_base!$D$3*parametros_recargas!$H$39+sobrestock_sustitutos!$D$89/12</f>
        <v>175.807288314022</v>
      </c>
      <c r="K67" s="26" t="n">
        <f aca="false">datos_base!$D$3*parametros_recargas!$I$39+sobrestock_sustitutos!$D$89/12</f>
        <v>175.807288314022</v>
      </c>
      <c r="L67" s="26" t="n">
        <f aca="false">datos_base!$D$3*parametros_recargas!$J$39+sobrestock_sustitutos!$D$89/12</f>
        <v>175.807288314022</v>
      </c>
      <c r="M67" s="26" t="n">
        <f aca="false">datos_base!$D$3*parametros_recargas!$K$39+sobrestock_sustitutos!$D$89/12</f>
        <v>175.807288314022</v>
      </c>
      <c r="N67" s="26" t="n">
        <f aca="false">datos_base!$D$3*parametros_recargas!$L$39+sobrestock_sustitutos!$D$89/12</f>
        <v>175.807288314022</v>
      </c>
      <c r="O67" s="26" t="n">
        <f aca="false">datos_base!$D$3*parametros_recargas!$M$39+sobrestock_sustitutos!$D$89/12</f>
        <v>175.807288314022</v>
      </c>
      <c r="P67" s="7" t="n">
        <f aca="false">SUM(D67:O67)</f>
        <v>2109.68745976827</v>
      </c>
      <c r="Q67" s="13" t="n">
        <f aca="false">sobrestock_sustitutos!$D$89</f>
        <v>12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5" t="n">
        <f aca="false">parametros_recargas!C53</f>
        <v>1</v>
      </c>
      <c r="D68" s="26" t="n">
        <f aca="false">datos_base!$D$4*parametros_recargas!$B$39+sobrestock_sustitutos!$D$90/12</f>
        <v>1060.18384178269</v>
      </c>
      <c r="E68" s="26" t="n">
        <f aca="false">datos_base!$D$4*parametros_recargas!$C$39+sobrestock_sustitutos!$D$90/12</f>
        <v>1060.18384178269</v>
      </c>
      <c r="F68" s="26" t="n">
        <f aca="false">datos_base!$D$4*parametros_recargas!$D$39+sobrestock_sustitutos!$D$90/12</f>
        <v>1060.18384178269</v>
      </c>
      <c r="G68" s="26" t="n">
        <f aca="false">datos_base!$D$4*parametros_recargas!$E$39+sobrestock_sustitutos!$D$90/12</f>
        <v>1060.18384178269</v>
      </c>
      <c r="H68" s="26" t="n">
        <f aca="false">datos_base!$D$4*parametros_recargas!$F$39+sobrestock_sustitutos!$D$90/12</f>
        <v>1060.18384178269</v>
      </c>
      <c r="I68" s="26" t="n">
        <f aca="false">datos_base!$D$4*parametros_recargas!$G$39+sobrestock_sustitutos!$D$90/12</f>
        <v>1060.18384178269</v>
      </c>
      <c r="J68" s="26" t="n">
        <f aca="false">datos_base!$D$4*parametros_recargas!$H$39+sobrestock_sustitutos!$D$90/12</f>
        <v>1060.18384178269</v>
      </c>
      <c r="K68" s="26" t="n">
        <f aca="false">datos_base!$D$4*parametros_recargas!$I$39+sobrestock_sustitutos!$D$90/12</f>
        <v>1060.18384178269</v>
      </c>
      <c r="L68" s="26" t="n">
        <f aca="false">datos_base!$D$4*parametros_recargas!$J$39+sobrestock_sustitutos!$D$90/12</f>
        <v>1060.18384178269</v>
      </c>
      <c r="M68" s="26" t="n">
        <f aca="false">datos_base!$D$4*parametros_recargas!$K$39+sobrestock_sustitutos!$D$90/12</f>
        <v>1060.18384178269</v>
      </c>
      <c r="N68" s="26" t="n">
        <f aca="false">datos_base!$D$4*parametros_recargas!$L$39+sobrestock_sustitutos!$D$90/12</f>
        <v>1060.18384178269</v>
      </c>
      <c r="O68" s="26" t="n">
        <f aca="false">datos_base!$D$4*parametros_recargas!$M$39+sobrestock_sustitutos!$D$90/12</f>
        <v>1060.18384178269</v>
      </c>
      <c r="P68" s="7" t="n">
        <f aca="false">SUM(D68:O68)</f>
        <v>12722.2061013923</v>
      </c>
      <c r="Q68" s="13" t="n">
        <f aca="false">sobrestock_sustitutos!$D$90</f>
        <v>70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5" t="n">
        <f aca="false">parametros_recargas!C54</f>
        <v>1</v>
      </c>
      <c r="D69" s="26" t="n">
        <f aca="false">datos_base!$D$5*parametros_recargas!$B$39+sobrestock_sustitutos!$D$91/12</f>
        <v>61.1283050222479</v>
      </c>
      <c r="E69" s="26" t="n">
        <f aca="false">datos_base!$D$5*parametros_recargas!$C$39+sobrestock_sustitutos!$D$91/12</f>
        <v>61.1283050222479</v>
      </c>
      <c r="F69" s="26" t="n">
        <f aca="false">datos_base!$D$5*parametros_recargas!$D$39+sobrestock_sustitutos!$D$91/12</f>
        <v>61.1283050222479</v>
      </c>
      <c r="G69" s="26" t="n">
        <f aca="false">datos_base!$D$5*parametros_recargas!$E$39+sobrestock_sustitutos!$D$91/12</f>
        <v>61.1283050222479</v>
      </c>
      <c r="H69" s="26" t="n">
        <f aca="false">datos_base!$D$5*parametros_recargas!$F$39+sobrestock_sustitutos!$D$91/12</f>
        <v>61.1283050222479</v>
      </c>
      <c r="I69" s="26" t="n">
        <f aca="false">datos_base!$D$5*parametros_recargas!$G$39+sobrestock_sustitutos!$D$91/12</f>
        <v>61.1283050222479</v>
      </c>
      <c r="J69" s="26" t="n">
        <f aca="false">datos_base!$D$5*parametros_recargas!$H$39+sobrestock_sustitutos!$D$91/12</f>
        <v>61.1283050222479</v>
      </c>
      <c r="K69" s="26" t="n">
        <f aca="false">datos_base!$D$5*parametros_recargas!$I$39+sobrestock_sustitutos!$D$91/12</f>
        <v>61.1283050222479</v>
      </c>
      <c r="L69" s="26" t="n">
        <f aca="false">datos_base!$D$5*parametros_recargas!$J$39+sobrestock_sustitutos!$D$91/12</f>
        <v>61.1283050222479</v>
      </c>
      <c r="M69" s="26" t="n">
        <f aca="false">datos_base!$D$5*parametros_recargas!$K$39+sobrestock_sustitutos!$D$91/12</f>
        <v>61.1283050222479</v>
      </c>
      <c r="N69" s="26" t="n">
        <f aca="false">datos_base!$D$5*parametros_recargas!$L$39+sobrestock_sustitutos!$D$91/12</f>
        <v>61.1283050222479</v>
      </c>
      <c r="O69" s="26" t="n">
        <f aca="false">datos_base!$D$5*parametros_recargas!$M$39+sobrestock_sustitutos!$D$91/12</f>
        <v>61.1283050222479</v>
      </c>
      <c r="P69" s="7" t="n">
        <f aca="false">SUM(D69:O69)</f>
        <v>733.539660266975</v>
      </c>
      <c r="Q69" s="13" t="n">
        <f aca="false">sobrestock_sustitutos!$D$91</f>
        <v>4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5" t="n">
        <f aca="false">parametros_recargas!C55</f>
        <v>1</v>
      </c>
      <c r="D70" s="26" t="n">
        <f aca="false">datos_base!$D$6*parametros_recargas!$B$39+sobrestock_sustitutos!$D$92/12</f>
        <v>87.9497980456102</v>
      </c>
      <c r="E70" s="26" t="n">
        <f aca="false">datos_base!$D$6*parametros_recargas!$C$39+sobrestock_sustitutos!$D$92/12</f>
        <v>87.9497980456102</v>
      </c>
      <c r="F70" s="26" t="n">
        <f aca="false">datos_base!$D$6*parametros_recargas!$D$39+sobrestock_sustitutos!$D$92/12</f>
        <v>87.9497980456102</v>
      </c>
      <c r="G70" s="26" t="n">
        <f aca="false">datos_base!$D$6*parametros_recargas!$E$39+sobrestock_sustitutos!$D$92/12</f>
        <v>87.9497980456102</v>
      </c>
      <c r="H70" s="26" t="n">
        <f aca="false">datos_base!$D$6*parametros_recargas!$F$39+sobrestock_sustitutos!$D$92/12</f>
        <v>87.9497980456102</v>
      </c>
      <c r="I70" s="26" t="n">
        <f aca="false">datos_base!$D$6*parametros_recargas!$G$39+sobrestock_sustitutos!$D$92/12</f>
        <v>87.9497980456102</v>
      </c>
      <c r="J70" s="26" t="n">
        <f aca="false">datos_base!$D$6*parametros_recargas!$H$39+sobrestock_sustitutos!$D$92/12</f>
        <v>87.9497980456102</v>
      </c>
      <c r="K70" s="26" t="n">
        <f aca="false">datos_base!$D$6*parametros_recargas!$I$39+sobrestock_sustitutos!$D$92/12</f>
        <v>87.9497980456102</v>
      </c>
      <c r="L70" s="26" t="n">
        <f aca="false">datos_base!$D$6*parametros_recargas!$J$39+sobrestock_sustitutos!$D$92/12</f>
        <v>87.9497980456102</v>
      </c>
      <c r="M70" s="26" t="n">
        <f aca="false">datos_base!$D$6*parametros_recargas!$K$39+sobrestock_sustitutos!$D$92/12</f>
        <v>87.9497980456102</v>
      </c>
      <c r="N70" s="26" t="n">
        <f aca="false">datos_base!$D$6*parametros_recargas!$L$39+sobrestock_sustitutos!$D$92/12</f>
        <v>87.9497980456102</v>
      </c>
      <c r="O70" s="26" t="n">
        <f aca="false">datos_base!$D$6*parametros_recargas!$M$39+sobrestock_sustitutos!$D$92/12</f>
        <v>87.9497980456102</v>
      </c>
      <c r="P70" s="7" t="n">
        <f aca="false">SUM(D70:O70)</f>
        <v>1055.39757654732</v>
      </c>
      <c r="Q70" s="13" t="n">
        <f aca="false">sobrestock_sustitutos!$D$92</f>
        <v>6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5" t="n">
        <f aca="false">parametros_recargas!C56</f>
        <v>1</v>
      </c>
      <c r="D71" s="26" t="n">
        <f aca="false">datos_base!$D$7*parametros_recargas!$B$39+sobrestock_sustitutos!$D$93/12</f>
        <v>18.9457917598521</v>
      </c>
      <c r="E71" s="26" t="n">
        <f aca="false">datos_base!$D$7*parametros_recargas!$C$39+sobrestock_sustitutos!$D$93/12</f>
        <v>18.9457917598521</v>
      </c>
      <c r="F71" s="26" t="n">
        <f aca="false">datos_base!$D$7*parametros_recargas!$D$39+sobrestock_sustitutos!$D$93/12</f>
        <v>18.9457917598521</v>
      </c>
      <c r="G71" s="26" t="n">
        <f aca="false">datos_base!$D$7*parametros_recargas!$E$39+sobrestock_sustitutos!$D$93/12</f>
        <v>18.9457917598521</v>
      </c>
      <c r="H71" s="26" t="n">
        <f aca="false">datos_base!$D$7*parametros_recargas!$F$39+sobrestock_sustitutos!$D$93/12</f>
        <v>18.9457917598521</v>
      </c>
      <c r="I71" s="26" t="n">
        <f aca="false">datos_base!$D$7*parametros_recargas!$G$39+sobrestock_sustitutos!$D$93/12</f>
        <v>18.9457917598521</v>
      </c>
      <c r="J71" s="26" t="n">
        <f aca="false">datos_base!$D$7*parametros_recargas!$H$39+sobrestock_sustitutos!$D$93/12</f>
        <v>18.9457917598521</v>
      </c>
      <c r="K71" s="26" t="n">
        <f aca="false">datos_base!$D$7*parametros_recargas!$I$39+sobrestock_sustitutos!$D$93/12</f>
        <v>18.9457917598521</v>
      </c>
      <c r="L71" s="26" t="n">
        <f aca="false">datos_base!$D$7*parametros_recargas!$J$39+sobrestock_sustitutos!$D$93/12</f>
        <v>18.9457917598521</v>
      </c>
      <c r="M71" s="26" t="n">
        <f aca="false">datos_base!$D$7*parametros_recargas!$K$39+sobrestock_sustitutos!$D$93/12</f>
        <v>18.9457917598521</v>
      </c>
      <c r="N71" s="26" t="n">
        <f aca="false">datos_base!$D$7*parametros_recargas!$L$39+sobrestock_sustitutos!$D$93/12</f>
        <v>18.9457917598521</v>
      </c>
      <c r="O71" s="26" t="n">
        <f aca="false">datos_base!$D$7*parametros_recargas!$M$39+sobrestock_sustitutos!$D$93/12</f>
        <v>18.9457917598521</v>
      </c>
      <c r="P71" s="7" t="n">
        <f aca="false">SUM(D71:O71)</f>
        <v>227.349501118225</v>
      </c>
      <c r="Q71" s="13" t="n">
        <f aca="false">sobrestock_sustitutos!$D$93</f>
        <v>2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5" t="n">
        <f aca="false">parametros_recargas!C57</f>
        <v>3</v>
      </c>
      <c r="D72" s="26" t="n">
        <f aca="false">datos_base!$D$8*parametros_recargas!$B$39+sobrestock_sustitutos!$D$94/12</f>
        <v>9.83827943252179</v>
      </c>
      <c r="E72" s="26" t="n">
        <f aca="false">datos_base!$D$8*parametros_recargas!$C$39+sobrestock_sustitutos!$D$94/12</f>
        <v>9.83827943252179</v>
      </c>
      <c r="F72" s="26" t="n">
        <f aca="false">datos_base!$D$8*parametros_recargas!$D$39+sobrestock_sustitutos!$D$94/12</f>
        <v>9.83827943252179</v>
      </c>
      <c r="G72" s="26" t="n">
        <f aca="false">datos_base!$D$8*parametros_recargas!$E$39+sobrestock_sustitutos!$D$94/12</f>
        <v>9.83827943252179</v>
      </c>
      <c r="H72" s="26" t="n">
        <f aca="false">datos_base!$D$8*parametros_recargas!$F$39+sobrestock_sustitutos!$D$94/12</f>
        <v>9.83827943252179</v>
      </c>
      <c r="I72" s="26" t="n">
        <f aca="false">datos_base!$D$8*parametros_recargas!$G$39+sobrestock_sustitutos!$D$94/12</f>
        <v>9.83827943252179</v>
      </c>
      <c r="J72" s="26" t="n">
        <f aca="false">datos_base!$D$8*parametros_recargas!$H$39+sobrestock_sustitutos!$D$94/12</f>
        <v>9.83827943252179</v>
      </c>
      <c r="K72" s="26" t="n">
        <f aca="false">datos_base!$D$8*parametros_recargas!$I$39+sobrestock_sustitutos!$D$94/12</f>
        <v>9.83827943252179</v>
      </c>
      <c r="L72" s="26" t="n">
        <f aca="false">datos_base!$D$8*parametros_recargas!$J$39+sobrestock_sustitutos!$D$94/12</f>
        <v>9.83827943252179</v>
      </c>
      <c r="M72" s="26" t="n">
        <f aca="false">datos_base!$D$8*parametros_recargas!$K$39+sobrestock_sustitutos!$D$94/12</f>
        <v>9.83827943252179</v>
      </c>
      <c r="N72" s="26" t="n">
        <f aca="false">datos_base!$D$8*parametros_recargas!$L$39+sobrestock_sustitutos!$D$94/12</f>
        <v>9.83827943252179</v>
      </c>
      <c r="O72" s="26" t="n">
        <f aca="false">datos_base!$D$8*parametros_recargas!$M$39+sobrestock_sustitutos!$D$94/12</f>
        <v>9.83827943252179</v>
      </c>
      <c r="P72" s="7" t="n">
        <f aca="false">SUM(D72:O72)</f>
        <v>118.059353190262</v>
      </c>
      <c r="Q72" s="13" t="n">
        <f aca="false">sobrestock_sustitutos!$D$94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5" t="n">
        <f aca="false">parametros_recargas!C58</f>
        <v>1</v>
      </c>
      <c r="D73" s="26" t="n">
        <f aca="false">datos_base!$D$9*parametros_recargas!$B$39+sobrestock_sustitutos!$D$95/12</f>
        <v>5.35570220048698</v>
      </c>
      <c r="E73" s="26" t="n">
        <f aca="false">datos_base!$D$9*parametros_recargas!$C$39+sobrestock_sustitutos!$D$95/12</f>
        <v>5.35570220048698</v>
      </c>
      <c r="F73" s="26" t="n">
        <f aca="false">datos_base!$D$9*parametros_recargas!$D$39+sobrestock_sustitutos!$D$95/12</f>
        <v>5.35570220048698</v>
      </c>
      <c r="G73" s="26" t="n">
        <f aca="false">datos_base!$D$9*parametros_recargas!$E$39+sobrestock_sustitutos!$D$95/12</f>
        <v>5.35570220048698</v>
      </c>
      <c r="H73" s="26" t="n">
        <f aca="false">datos_base!$D$9*parametros_recargas!$F$39+sobrestock_sustitutos!$D$95/12</f>
        <v>5.35570220048698</v>
      </c>
      <c r="I73" s="26" t="n">
        <f aca="false">datos_base!$D$9*parametros_recargas!$G$39+sobrestock_sustitutos!$D$95/12</f>
        <v>5.35570220048698</v>
      </c>
      <c r="J73" s="26" t="n">
        <f aca="false">datos_base!$D$9*parametros_recargas!$H$39+sobrestock_sustitutos!$D$95/12</f>
        <v>5.35570220048698</v>
      </c>
      <c r="K73" s="26" t="n">
        <f aca="false">datos_base!$D$9*parametros_recargas!$I$39+sobrestock_sustitutos!$D$95/12</f>
        <v>5.35570220048698</v>
      </c>
      <c r="L73" s="26" t="n">
        <f aca="false">datos_base!$D$9*parametros_recargas!$J$39+sobrestock_sustitutos!$D$95/12</f>
        <v>5.35570220048698</v>
      </c>
      <c r="M73" s="26" t="n">
        <f aca="false">datos_base!$D$9*parametros_recargas!$K$39+sobrestock_sustitutos!$D$95/12</f>
        <v>5.35570220048698</v>
      </c>
      <c r="N73" s="26" t="n">
        <f aca="false">datos_base!$D$9*parametros_recargas!$L$39+sobrestock_sustitutos!$D$95/12</f>
        <v>5.35570220048698</v>
      </c>
      <c r="O73" s="26" t="n">
        <f aca="false">datos_base!$D$9*parametros_recargas!$M$39+sobrestock_sustitutos!$D$95/12</f>
        <v>5.35570220048698</v>
      </c>
      <c r="P73" s="7" t="n">
        <f aca="false">SUM(D73:O73)</f>
        <v>64.2684264058438</v>
      </c>
      <c r="Q73" s="13" t="n">
        <f aca="false">sobrestock_sustitutos!$D$95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5" t="n">
        <f aca="false">parametros_recargas!C59</f>
        <v>1</v>
      </c>
      <c r="D74" s="26" t="n">
        <f aca="false">datos_base!$D$10*parametros_recargas!$B$39+sobrestock_sustitutos!$D$96/12</f>
        <v>44.5334543277334</v>
      </c>
      <c r="E74" s="26" t="n">
        <f aca="false">datos_base!$D$10*parametros_recargas!$C$39+sobrestock_sustitutos!$D$96/12</f>
        <v>44.5334543277334</v>
      </c>
      <c r="F74" s="26" t="n">
        <f aca="false">datos_base!$D$10*parametros_recargas!$D$39+sobrestock_sustitutos!$D$96/12</f>
        <v>44.5334543277334</v>
      </c>
      <c r="G74" s="26" t="n">
        <f aca="false">datos_base!$D$10*parametros_recargas!$E$39+sobrestock_sustitutos!$D$96/12</f>
        <v>44.5334543277334</v>
      </c>
      <c r="H74" s="26" t="n">
        <f aca="false">datos_base!$D$10*parametros_recargas!$F$39+sobrestock_sustitutos!$D$96/12</f>
        <v>44.5334543277334</v>
      </c>
      <c r="I74" s="26" t="n">
        <f aca="false">datos_base!$D$10*parametros_recargas!$G$39+sobrestock_sustitutos!$D$96/12</f>
        <v>44.5334543277334</v>
      </c>
      <c r="J74" s="26" t="n">
        <f aca="false">datos_base!$D$10*parametros_recargas!$H$39+sobrestock_sustitutos!$D$96/12</f>
        <v>44.5334543277334</v>
      </c>
      <c r="K74" s="26" t="n">
        <f aca="false">datos_base!$D$10*parametros_recargas!$I$39+sobrestock_sustitutos!$D$96/12</f>
        <v>44.5334543277334</v>
      </c>
      <c r="L74" s="26" t="n">
        <f aca="false">datos_base!$D$10*parametros_recargas!$J$39+sobrestock_sustitutos!$D$96/12</f>
        <v>44.5334543277334</v>
      </c>
      <c r="M74" s="26" t="n">
        <f aca="false">datos_base!$D$10*parametros_recargas!$K$39+sobrestock_sustitutos!$D$96/12</f>
        <v>44.5334543277334</v>
      </c>
      <c r="N74" s="26" t="n">
        <f aca="false">datos_base!$D$10*parametros_recargas!$L$39+sobrestock_sustitutos!$D$96/12</f>
        <v>44.5334543277334</v>
      </c>
      <c r="O74" s="26" t="n">
        <f aca="false">datos_base!$D$10*parametros_recargas!$M$39+sobrestock_sustitutos!$D$96/12</f>
        <v>44.5334543277334</v>
      </c>
      <c r="P74" s="7" t="n">
        <f aca="false">SUM(D74:O74)</f>
        <v>534.401451932801</v>
      </c>
      <c r="Q74" s="13" t="n">
        <f aca="false">sobrestock_sustitutos!$D$96</f>
        <v>3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5" t="n">
        <f aca="false">parametros_recargas!C60</f>
        <v>1</v>
      </c>
      <c r="D75" s="26" t="n">
        <f aca="false">datos_base!$D$11*parametros_recargas!$B$39+sobrestock_sustitutos!$D$97/12</f>
        <v>235.930394724165</v>
      </c>
      <c r="E75" s="26" t="n">
        <f aca="false">datos_base!$D$11*parametros_recargas!$C$39+sobrestock_sustitutos!$D$97/12</f>
        <v>235.930394724165</v>
      </c>
      <c r="F75" s="26" t="n">
        <f aca="false">datos_base!$D$11*parametros_recargas!$D$39+sobrestock_sustitutos!$D$97/12</f>
        <v>235.930394724165</v>
      </c>
      <c r="G75" s="26" t="n">
        <f aca="false">datos_base!$D$11*parametros_recargas!$E$39+sobrestock_sustitutos!$D$97/12</f>
        <v>235.930394724165</v>
      </c>
      <c r="H75" s="26" t="n">
        <f aca="false">datos_base!$D$11*parametros_recargas!$F$39+sobrestock_sustitutos!$D$97/12</f>
        <v>235.930394724165</v>
      </c>
      <c r="I75" s="26" t="n">
        <f aca="false">datos_base!$D$11*parametros_recargas!$G$39+sobrestock_sustitutos!$D$97/12</f>
        <v>235.930394724165</v>
      </c>
      <c r="J75" s="26" t="n">
        <f aca="false">datos_base!$D$11*parametros_recargas!$H$39+sobrestock_sustitutos!$D$97/12</f>
        <v>235.930394724165</v>
      </c>
      <c r="K75" s="26" t="n">
        <f aca="false">datos_base!$D$11*parametros_recargas!$I$39+sobrestock_sustitutos!$D$97/12</f>
        <v>235.930394724165</v>
      </c>
      <c r="L75" s="26" t="n">
        <f aca="false">datos_base!$D$11*parametros_recargas!$J$39+sobrestock_sustitutos!$D$97/12</f>
        <v>235.930394724165</v>
      </c>
      <c r="M75" s="26" t="n">
        <f aca="false">datos_base!$D$11*parametros_recargas!$K$39+sobrestock_sustitutos!$D$97/12</f>
        <v>235.930394724165</v>
      </c>
      <c r="N75" s="26" t="n">
        <f aca="false">datos_base!$D$11*parametros_recargas!$L$39+sobrestock_sustitutos!$D$97/12</f>
        <v>235.930394724165</v>
      </c>
      <c r="O75" s="26" t="n">
        <f aca="false">datos_base!$D$11*parametros_recargas!$M$39+sobrestock_sustitutos!$D$97/12</f>
        <v>235.930394724165</v>
      </c>
      <c r="P75" s="7" t="n">
        <f aca="false">SUM(D75:O75)</f>
        <v>2831.16473668998</v>
      </c>
      <c r="Q75" s="13" t="n">
        <f aca="false">sobrestock_sustitutos!$D$97</f>
        <v>16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5" t="n">
        <f aca="false">parametros_recargas!C61</f>
        <v>1</v>
      </c>
      <c r="D76" s="26" t="n">
        <f aca="false">datos_base!$D$12*parametros_recargas!$B$39+sobrestock_sustitutos!$D$98/12</f>
        <v>82.0934067087872</v>
      </c>
      <c r="E76" s="26" t="n">
        <f aca="false">datos_base!$D$12*parametros_recargas!$C$39+sobrestock_sustitutos!$D$98/12</f>
        <v>82.0934067087872</v>
      </c>
      <c r="F76" s="26" t="n">
        <f aca="false">datos_base!$D$12*parametros_recargas!$D$39+sobrestock_sustitutos!$D$98/12</f>
        <v>82.0934067087872</v>
      </c>
      <c r="G76" s="26" t="n">
        <f aca="false">datos_base!$D$12*parametros_recargas!$E$39+sobrestock_sustitutos!$D$98/12</f>
        <v>82.0934067087872</v>
      </c>
      <c r="H76" s="26" t="n">
        <f aca="false">datos_base!$D$12*parametros_recargas!$F$39+sobrestock_sustitutos!$D$98/12</f>
        <v>82.0934067087872</v>
      </c>
      <c r="I76" s="26" t="n">
        <f aca="false">datos_base!$D$12*parametros_recargas!$G$39+sobrestock_sustitutos!$D$98/12</f>
        <v>82.0934067087872</v>
      </c>
      <c r="J76" s="26" t="n">
        <f aca="false">datos_base!$D$12*parametros_recargas!$H$39+sobrestock_sustitutos!$D$98/12</f>
        <v>82.0934067087872</v>
      </c>
      <c r="K76" s="26" t="n">
        <f aca="false">datos_base!$D$12*parametros_recargas!$I$39+sobrestock_sustitutos!$D$98/12</f>
        <v>82.0934067087872</v>
      </c>
      <c r="L76" s="26" t="n">
        <f aca="false">datos_base!$D$12*parametros_recargas!$J$39+sobrestock_sustitutos!$D$98/12</f>
        <v>82.0934067087872</v>
      </c>
      <c r="M76" s="26" t="n">
        <f aca="false">datos_base!$D$12*parametros_recargas!$K$39+sobrestock_sustitutos!$D$98/12</f>
        <v>82.0934067087872</v>
      </c>
      <c r="N76" s="26" t="n">
        <f aca="false">datos_base!$D$12*parametros_recargas!$L$39+sobrestock_sustitutos!$D$98/12</f>
        <v>82.0934067087872</v>
      </c>
      <c r="O76" s="26" t="n">
        <f aca="false">datos_base!$D$12*parametros_recargas!$M$39+sobrestock_sustitutos!$D$98/12</f>
        <v>82.0934067087872</v>
      </c>
      <c r="P76" s="7" t="n">
        <f aca="false">SUM(D76:O76)</f>
        <v>985.120880505447</v>
      </c>
      <c r="Q76" s="13" t="n">
        <f aca="false">sobrestock_sustitutos!$D$98</f>
        <v>6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5" t="n">
        <f aca="false">parametros_recargas!C62</f>
        <v>1</v>
      </c>
      <c r="D77" s="26" t="n">
        <f aca="false">datos_base!$D$13*parametros_recargas!$B$39+sobrestock_sustitutos!$D$99/12</f>
        <v>13.7761232432101</v>
      </c>
      <c r="E77" s="26" t="n">
        <f aca="false">datos_base!$D$13*parametros_recargas!$C$39+sobrestock_sustitutos!$D$99/12</f>
        <v>13.7761232432101</v>
      </c>
      <c r="F77" s="26" t="n">
        <f aca="false">datos_base!$D$13*parametros_recargas!$D$39+sobrestock_sustitutos!$D$99/12</f>
        <v>13.7761232432101</v>
      </c>
      <c r="G77" s="26" t="n">
        <f aca="false">datos_base!$D$13*parametros_recargas!$E$39+sobrestock_sustitutos!$D$99/12</f>
        <v>13.7761232432101</v>
      </c>
      <c r="H77" s="26" t="n">
        <f aca="false">datos_base!$D$13*parametros_recargas!$F$39+sobrestock_sustitutos!$D$99/12</f>
        <v>13.7761232432101</v>
      </c>
      <c r="I77" s="26" t="n">
        <f aca="false">datos_base!$D$13*parametros_recargas!$G$39+sobrestock_sustitutos!$D$99/12</f>
        <v>13.7761232432101</v>
      </c>
      <c r="J77" s="26" t="n">
        <f aca="false">datos_base!$D$13*parametros_recargas!$H$39+sobrestock_sustitutos!$D$99/12</f>
        <v>13.7761232432101</v>
      </c>
      <c r="K77" s="26" t="n">
        <f aca="false">datos_base!$D$13*parametros_recargas!$I$39+sobrestock_sustitutos!$D$99/12</f>
        <v>13.7761232432101</v>
      </c>
      <c r="L77" s="26" t="n">
        <f aca="false">datos_base!$D$13*parametros_recargas!$J$39+sobrestock_sustitutos!$D$99/12</f>
        <v>13.7761232432101</v>
      </c>
      <c r="M77" s="26" t="n">
        <f aca="false">datos_base!$D$13*parametros_recargas!$K$39+sobrestock_sustitutos!$D$99/12</f>
        <v>13.7761232432101</v>
      </c>
      <c r="N77" s="26" t="n">
        <f aca="false">datos_base!$D$13*parametros_recargas!$L$39+sobrestock_sustitutos!$D$99/12</f>
        <v>13.7761232432101</v>
      </c>
      <c r="O77" s="26" t="n">
        <f aca="false">datos_base!$D$13*parametros_recargas!$M$39+sobrestock_sustitutos!$D$99/12</f>
        <v>13.7761232432101</v>
      </c>
      <c r="P77" s="7" t="n">
        <f aca="false">SUM(D77:O77)</f>
        <v>165.313478918521</v>
      </c>
      <c r="Q77" s="13" t="n">
        <f aca="false">sobrestock_sustitutos!$D$99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5" t="n">
        <f aca="false">parametros_recargas!C63</f>
        <v>1</v>
      </c>
      <c r="D78" s="26" t="n">
        <f aca="false">datos_base!$D$14*parametros_recargas!$B$39+sobrestock_sustitutos!$D$100/12</f>
        <v>5.35570220048698</v>
      </c>
      <c r="E78" s="26" t="n">
        <f aca="false">datos_base!$D$14*parametros_recargas!$C$39+sobrestock_sustitutos!$D$100/12</f>
        <v>5.35570220048698</v>
      </c>
      <c r="F78" s="26" t="n">
        <f aca="false">datos_base!$D$14*parametros_recargas!$D$39+sobrestock_sustitutos!$D$100/12</f>
        <v>5.35570220048698</v>
      </c>
      <c r="G78" s="26" t="n">
        <f aca="false">datos_base!$D$14*parametros_recargas!$E$39+sobrestock_sustitutos!$D$100/12</f>
        <v>5.35570220048698</v>
      </c>
      <c r="H78" s="26" t="n">
        <f aca="false">datos_base!$D$14*parametros_recargas!$F$39+sobrestock_sustitutos!$D$100/12</f>
        <v>5.35570220048698</v>
      </c>
      <c r="I78" s="26" t="n">
        <f aca="false">datos_base!$D$14*parametros_recargas!$G$39+sobrestock_sustitutos!$D$100/12</f>
        <v>5.35570220048698</v>
      </c>
      <c r="J78" s="26" t="n">
        <f aca="false">datos_base!$D$14*parametros_recargas!$H$39+sobrestock_sustitutos!$D$100/12</f>
        <v>5.35570220048698</v>
      </c>
      <c r="K78" s="26" t="n">
        <f aca="false">datos_base!$D$14*parametros_recargas!$I$39+sobrestock_sustitutos!$D$100/12</f>
        <v>5.35570220048698</v>
      </c>
      <c r="L78" s="26" t="n">
        <f aca="false">datos_base!$D$14*parametros_recargas!$J$39+sobrestock_sustitutos!$D$100/12</f>
        <v>5.35570220048698</v>
      </c>
      <c r="M78" s="26" t="n">
        <f aca="false">datos_base!$D$14*parametros_recargas!$K$39+sobrestock_sustitutos!$D$100/12</f>
        <v>5.35570220048698</v>
      </c>
      <c r="N78" s="26" t="n">
        <f aca="false">datos_base!$D$14*parametros_recargas!$L$39+sobrestock_sustitutos!$D$100/12</f>
        <v>5.35570220048698</v>
      </c>
      <c r="O78" s="26" t="n">
        <f aca="false">datos_base!$D$14*parametros_recargas!$M$39+sobrestock_sustitutos!$D$100/12</f>
        <v>5.35570220048698</v>
      </c>
      <c r="P78" s="7" t="n">
        <f aca="false">SUM(D78:O78)</f>
        <v>64.2684264058438</v>
      </c>
      <c r="Q78" s="13" t="n">
        <f aca="false">sobrestock_sustitutos!$D$100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5" t="n">
        <f aca="false">parametros_recargas!C64</f>
        <v>3</v>
      </c>
      <c r="D79" s="26" t="n">
        <f aca="false">datos_base!$D$15*parametros_recargas!$B$39+sobrestock_sustitutos!$D$101/12</f>
        <v>11.1672446670779</v>
      </c>
      <c r="E79" s="26" t="n">
        <f aca="false">datos_base!$D$15*parametros_recargas!$C$39+sobrestock_sustitutos!$D$101/12</f>
        <v>11.1672446670779</v>
      </c>
      <c r="F79" s="26" t="n">
        <f aca="false">datos_base!$D$15*parametros_recargas!$D$39+sobrestock_sustitutos!$D$101/12</f>
        <v>11.1672446670779</v>
      </c>
      <c r="G79" s="26" t="n">
        <f aca="false">datos_base!$D$15*parametros_recargas!$E$39+sobrestock_sustitutos!$D$101/12</f>
        <v>11.1672446670779</v>
      </c>
      <c r="H79" s="26" t="n">
        <f aca="false">datos_base!$D$15*parametros_recargas!$F$39+sobrestock_sustitutos!$D$101/12</f>
        <v>11.1672446670779</v>
      </c>
      <c r="I79" s="26" t="n">
        <f aca="false">datos_base!$D$15*parametros_recargas!$G$39+sobrestock_sustitutos!$D$101/12</f>
        <v>11.1672446670779</v>
      </c>
      <c r="J79" s="26" t="n">
        <f aca="false">datos_base!$D$15*parametros_recargas!$H$39+sobrestock_sustitutos!$D$101/12</f>
        <v>11.1672446670779</v>
      </c>
      <c r="K79" s="26" t="n">
        <f aca="false">datos_base!$D$15*parametros_recargas!$I$39+sobrestock_sustitutos!$D$101/12</f>
        <v>11.1672446670779</v>
      </c>
      <c r="L79" s="26" t="n">
        <f aca="false">datos_base!$D$15*parametros_recargas!$J$39+sobrestock_sustitutos!$D$101/12</f>
        <v>11.1672446670779</v>
      </c>
      <c r="M79" s="26" t="n">
        <f aca="false">datos_base!$D$15*parametros_recargas!$K$39+sobrestock_sustitutos!$D$101/12</f>
        <v>11.1672446670779</v>
      </c>
      <c r="N79" s="26" t="n">
        <f aca="false">datos_base!$D$15*parametros_recargas!$L$39+sobrestock_sustitutos!$D$101/12</f>
        <v>11.1672446670779</v>
      </c>
      <c r="O79" s="26" t="n">
        <f aca="false">datos_base!$D$15*parametros_recargas!$M$39+sobrestock_sustitutos!$D$101/12</f>
        <v>11.1672446670779</v>
      </c>
      <c r="P79" s="7" t="n">
        <f aca="false">SUM(D79:O79)</f>
        <v>134.006936004935</v>
      </c>
      <c r="Q79" s="13" t="n">
        <f aca="false">sobrestock_sustitutos!$D$101</f>
        <v>1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5" t="n">
        <f aca="false">parametros_recargas!C65</f>
        <v>3</v>
      </c>
      <c r="D80" s="26" t="n">
        <f aca="false">datos_base!$D$16*parametros_recargas!$B$39+sobrestock_sustitutos!$D$102/12</f>
        <v>24.5512716364929</v>
      </c>
      <c r="E80" s="26" t="n">
        <f aca="false">datos_base!$D$16*parametros_recargas!$C$39+sobrestock_sustitutos!$D$102/12</f>
        <v>24.5512716364929</v>
      </c>
      <c r="F80" s="26" t="n">
        <f aca="false">datos_base!$D$16*parametros_recargas!$D$39+sobrestock_sustitutos!$D$102/12</f>
        <v>24.5512716364929</v>
      </c>
      <c r="G80" s="26" t="n">
        <f aca="false">datos_base!$D$16*parametros_recargas!$E$39+sobrestock_sustitutos!$D$102/12</f>
        <v>24.5512716364929</v>
      </c>
      <c r="H80" s="26" t="n">
        <f aca="false">datos_base!$D$16*parametros_recargas!$F$39+sobrestock_sustitutos!$D$102/12</f>
        <v>24.5512716364929</v>
      </c>
      <c r="I80" s="26" t="n">
        <f aca="false">datos_base!$D$16*parametros_recargas!$G$39+sobrestock_sustitutos!$D$102/12</f>
        <v>24.5512716364929</v>
      </c>
      <c r="J80" s="26" t="n">
        <f aca="false">datos_base!$D$16*parametros_recargas!$H$39+sobrestock_sustitutos!$D$102/12</f>
        <v>24.5512716364929</v>
      </c>
      <c r="K80" s="26" t="n">
        <f aca="false">datos_base!$D$16*parametros_recargas!$I$39+sobrestock_sustitutos!$D$102/12</f>
        <v>24.5512716364929</v>
      </c>
      <c r="L80" s="26" t="n">
        <f aca="false">datos_base!$D$16*parametros_recargas!$J$39+sobrestock_sustitutos!$D$102/12</f>
        <v>24.5512716364929</v>
      </c>
      <c r="M80" s="26" t="n">
        <f aca="false">datos_base!$D$16*parametros_recargas!$K$39+sobrestock_sustitutos!$D$102/12</f>
        <v>24.5512716364929</v>
      </c>
      <c r="N80" s="26" t="n">
        <f aca="false">datos_base!$D$16*parametros_recargas!$L$39+sobrestock_sustitutos!$D$102/12</f>
        <v>24.5512716364929</v>
      </c>
      <c r="O80" s="26" t="n">
        <f aca="false">datos_base!$D$16*parametros_recargas!$M$39+sobrestock_sustitutos!$D$102/12</f>
        <v>24.5512716364929</v>
      </c>
      <c r="P80" s="7" t="n">
        <f aca="false">SUM(D80:O80)</f>
        <v>294.615259637915</v>
      </c>
      <c r="Q80" s="13" t="n">
        <f aca="false">sobrestock_sustitutos!$D$102</f>
        <v>2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5" t="n">
        <f aca="false">parametros_recargas!C66</f>
        <v>3</v>
      </c>
      <c r="D81" s="26" t="n">
        <f aca="false">datos_base!$D$17*parametros_recargas!$B$39+sobrestock_sustitutos!$D$103/12</f>
        <v>5.40361076404055</v>
      </c>
      <c r="E81" s="26" t="n">
        <f aca="false">datos_base!$D$17*parametros_recargas!$C$39+sobrestock_sustitutos!$D$103/12</f>
        <v>5.40361076404055</v>
      </c>
      <c r="F81" s="26" t="n">
        <f aca="false">datos_base!$D$17*parametros_recargas!$D$39+sobrestock_sustitutos!$D$103/12</f>
        <v>5.40361076404055</v>
      </c>
      <c r="G81" s="26" t="n">
        <f aca="false">datos_base!$D$17*parametros_recargas!$E$39+sobrestock_sustitutos!$D$103/12</f>
        <v>5.40361076404055</v>
      </c>
      <c r="H81" s="26" t="n">
        <f aca="false">datos_base!$D$17*parametros_recargas!$F$39+sobrestock_sustitutos!$D$103/12</f>
        <v>5.40361076404055</v>
      </c>
      <c r="I81" s="26" t="n">
        <f aca="false">datos_base!$D$17*parametros_recargas!$G$39+sobrestock_sustitutos!$D$103/12</f>
        <v>5.40361076404055</v>
      </c>
      <c r="J81" s="26" t="n">
        <f aca="false">datos_base!$D$17*parametros_recargas!$H$39+sobrestock_sustitutos!$D$103/12</f>
        <v>5.40361076404055</v>
      </c>
      <c r="K81" s="26" t="n">
        <f aca="false">datos_base!$D$17*parametros_recargas!$I$39+sobrestock_sustitutos!$D$103/12</f>
        <v>5.40361076404055</v>
      </c>
      <c r="L81" s="26" t="n">
        <f aca="false">datos_base!$D$17*parametros_recargas!$J$39+sobrestock_sustitutos!$D$103/12</f>
        <v>5.40361076404055</v>
      </c>
      <c r="M81" s="26" t="n">
        <f aca="false">datos_base!$D$17*parametros_recargas!$K$39+sobrestock_sustitutos!$D$103/12</f>
        <v>5.40361076404055</v>
      </c>
      <c r="N81" s="26" t="n">
        <f aca="false">datos_base!$D$17*parametros_recargas!$L$39+sobrestock_sustitutos!$D$103/12</f>
        <v>5.40361076404055</v>
      </c>
      <c r="O81" s="26" t="n">
        <f aca="false">datos_base!$D$17*parametros_recargas!$M$39+sobrestock_sustitutos!$D$103/12</f>
        <v>5.40361076404055</v>
      </c>
      <c r="P81" s="7" t="n">
        <f aca="false">SUM(D81:O81)</f>
        <v>64.8433291684866</v>
      </c>
      <c r="Q81" s="13" t="n">
        <f aca="false">sobrestock_sustitutos!$D$103</f>
        <v>1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5" t="n">
        <f aca="false">parametros_recargas!C67</f>
        <v>3</v>
      </c>
      <c r="D82" s="26" t="n">
        <f aca="false">datos_base!$D$18*parametros_recargas!$B$39+sobrestock_sustitutos!$D$104/12</f>
        <v>3.63018499334723</v>
      </c>
      <c r="E82" s="26" t="n">
        <f aca="false">datos_base!$D$18*parametros_recargas!$C$39+sobrestock_sustitutos!$D$104/12</f>
        <v>3.63018499334723</v>
      </c>
      <c r="F82" s="26" t="n">
        <f aca="false">datos_base!$D$18*parametros_recargas!$D$39+sobrestock_sustitutos!$D$104/12</f>
        <v>3.63018499334723</v>
      </c>
      <c r="G82" s="26" t="n">
        <f aca="false">datos_base!$D$18*parametros_recargas!$E$39+sobrestock_sustitutos!$D$104/12</f>
        <v>3.63018499334723</v>
      </c>
      <c r="H82" s="26" t="n">
        <f aca="false">datos_base!$D$18*parametros_recargas!$F$39+sobrestock_sustitutos!$D$104/12</f>
        <v>3.63018499334723</v>
      </c>
      <c r="I82" s="26" t="n">
        <f aca="false">datos_base!$D$18*parametros_recargas!$G$39+sobrestock_sustitutos!$D$104/12</f>
        <v>3.63018499334723</v>
      </c>
      <c r="J82" s="26" t="n">
        <f aca="false">datos_base!$D$18*parametros_recargas!$H$39+sobrestock_sustitutos!$D$104/12</f>
        <v>3.63018499334723</v>
      </c>
      <c r="K82" s="26" t="n">
        <f aca="false">datos_base!$D$18*parametros_recargas!$I$39+sobrestock_sustitutos!$D$104/12</f>
        <v>3.63018499334723</v>
      </c>
      <c r="L82" s="26" t="n">
        <f aca="false">datos_base!$D$18*parametros_recargas!$J$39+sobrestock_sustitutos!$D$104/12</f>
        <v>3.63018499334723</v>
      </c>
      <c r="M82" s="26" t="n">
        <f aca="false">datos_base!$D$18*parametros_recargas!$K$39+sobrestock_sustitutos!$D$104/12</f>
        <v>3.63018499334723</v>
      </c>
      <c r="N82" s="26" t="n">
        <f aca="false">datos_base!$D$18*parametros_recargas!$L$39+sobrestock_sustitutos!$D$104/12</f>
        <v>3.63018499334723</v>
      </c>
      <c r="O82" s="26" t="n">
        <f aca="false">datos_base!$D$18*parametros_recargas!$M$39+sobrestock_sustitutos!$D$104/12</f>
        <v>3.63018499334723</v>
      </c>
      <c r="P82" s="7" t="n">
        <f aca="false">SUM(D82:O82)</f>
        <v>43.5622199201667</v>
      </c>
      <c r="Q82" s="13" t="n">
        <f aca="false">sobrestock_sustitutos!$D$104</f>
        <v>1</v>
      </c>
    </row>
    <row r="83" customFormat="false" ht="15" hidden="false" customHeight="false" outlineLevel="0" collapsed="false">
      <c r="A83" s="6" t="s">
        <v>310</v>
      </c>
      <c r="D83" s="7" t="n">
        <f aca="false">SUM(D66:D82)</f>
        <v>3657.44968398051</v>
      </c>
      <c r="E83" s="7" t="n">
        <f aca="false">SUM(E66:E82)</f>
        <v>3657.44968398051</v>
      </c>
      <c r="F83" s="7" t="n">
        <f aca="false">SUM(F66:F82)</f>
        <v>3657.44968398051</v>
      </c>
      <c r="G83" s="7" t="n">
        <f aca="false">SUM(G66:G82)</f>
        <v>3657.44968398051</v>
      </c>
      <c r="H83" s="7" t="n">
        <f aca="false">SUM(H66:H82)</f>
        <v>3657.44968398051</v>
      </c>
      <c r="I83" s="7" t="n">
        <f aca="false">SUM(I66:I82)</f>
        <v>3657.44968398051</v>
      </c>
      <c r="J83" s="7" t="n">
        <f aca="false">SUM(J66:J82)</f>
        <v>3657.44968398051</v>
      </c>
      <c r="K83" s="7" t="n">
        <f aca="false">SUM(K66:K82)</f>
        <v>3657.44968398051</v>
      </c>
      <c r="L83" s="7" t="n">
        <f aca="false">SUM(L66:L82)</f>
        <v>3657.44968398051</v>
      </c>
      <c r="M83" s="7" t="n">
        <f aca="false">SUM(M66:M82)</f>
        <v>3657.44968398051</v>
      </c>
      <c r="N83" s="7" t="n">
        <f aca="false">SUM(N66:N82)</f>
        <v>3657.44968398051</v>
      </c>
      <c r="O83" s="7" t="n">
        <f aca="false">SUM(O66:O82)</f>
        <v>3657.44968398051</v>
      </c>
      <c r="P83" s="7" t="n">
        <f aca="false">SUM(P66:P82)</f>
        <v>43889.3962077661</v>
      </c>
    </row>
    <row r="84" customFormat="false" ht="15" hidden="false" customHeight="false" outlineLevel="0" collapsed="false">
      <c r="A84" s="6" t="s">
        <v>311</v>
      </c>
    </row>
    <row r="85" customFormat="false" ht="15" hidden="false" customHeight="false" outlineLevel="0" collapsed="false">
      <c r="A85" s="4" t="s">
        <v>151</v>
      </c>
      <c r="D85" s="26" t="n">
        <f aca="false">SUMPRODUCT(($B$66:$B$82=$A85)*D$66:D$82*$C$66:$C$82)</f>
        <v>3243.17565545957</v>
      </c>
      <c r="E85" s="26" t="n">
        <f aca="false">SUMPRODUCT(($B$66:$B$82=$A85)*E$66:E$82*$C$66:$C$82)</f>
        <v>3243.17565545957</v>
      </c>
      <c r="F85" s="26" t="n">
        <f aca="false">SUMPRODUCT(($B$66:$B$82=$A85)*F$66:F$82*$C$66:$C$82)</f>
        <v>3243.17565545957</v>
      </c>
      <c r="G85" s="26" t="n">
        <f aca="false">SUMPRODUCT(($B$66:$B$82=$A85)*G$66:G$82*$C$66:$C$82)</f>
        <v>3243.17565545957</v>
      </c>
      <c r="H85" s="26" t="n">
        <f aca="false">SUMPRODUCT(($B$66:$B$82=$A85)*H$66:H$82*$C$66:$C$82)</f>
        <v>3243.17565545957</v>
      </c>
      <c r="I85" s="26" t="n">
        <f aca="false">SUMPRODUCT(($B$66:$B$82=$A85)*I$66:I$82*$C$66:$C$82)</f>
        <v>3243.17565545957</v>
      </c>
      <c r="J85" s="26" t="n">
        <f aca="false">SUMPRODUCT(($B$66:$B$82=$A85)*J$66:J$82*$C$66:$C$82)</f>
        <v>3243.17565545957</v>
      </c>
      <c r="K85" s="26" t="n">
        <f aca="false">SUMPRODUCT(($B$66:$B$82=$A85)*K$66:K$82*$C$66:$C$82)</f>
        <v>3243.17565545957</v>
      </c>
      <c r="L85" s="26" t="n">
        <f aca="false">SUMPRODUCT(($B$66:$B$82=$A85)*L$66:L$82*$C$66:$C$82)</f>
        <v>3243.17565545957</v>
      </c>
      <c r="M85" s="26" t="n">
        <f aca="false">SUMPRODUCT(($B$66:$B$82=$A85)*M$66:M$82*$C$66:$C$82)</f>
        <v>3243.17565545957</v>
      </c>
      <c r="N85" s="26" t="n">
        <f aca="false">SUMPRODUCT(($B$66:$B$82=$A85)*N$66:N$82*$C$66:$C$82)</f>
        <v>3243.17565545957</v>
      </c>
      <c r="O85" s="26" t="n">
        <f aca="false">SUMPRODUCT(($B$66:$B$82=$A85)*O$66:O$82*$C$66:$C$82)</f>
        <v>3243.17565545957</v>
      </c>
      <c r="P85" s="26" t="n">
        <f aca="false">SUMPRODUCT(($B$66:$B$82=$A85)*P$66:P$82*$C$66:$C$82)</f>
        <v>38918.1078655149</v>
      </c>
    </row>
    <row r="86" customFormat="false" ht="15" hidden="false" customHeight="false" outlineLevel="0" collapsed="false">
      <c r="A86" s="4" t="s">
        <v>157</v>
      </c>
      <c r="D86" s="26" t="n">
        <f aca="false">SUMPRODUCT(($B$66:$B$82=$A86)*D$66:D$82*$C$66:$C$82)</f>
        <v>5.35570220048698</v>
      </c>
      <c r="E86" s="26" t="n">
        <f aca="false">SUMPRODUCT(($B$66:$B$82=$A86)*E$66:E$82*$C$66:$C$82)</f>
        <v>5.35570220048698</v>
      </c>
      <c r="F86" s="26" t="n">
        <f aca="false">SUMPRODUCT(($B$66:$B$82=$A86)*F$66:F$82*$C$66:$C$82)</f>
        <v>5.35570220048698</v>
      </c>
      <c r="G86" s="26" t="n">
        <f aca="false">SUMPRODUCT(($B$66:$B$82=$A86)*G$66:G$82*$C$66:$C$82)</f>
        <v>5.35570220048698</v>
      </c>
      <c r="H86" s="26" t="n">
        <f aca="false">SUMPRODUCT(($B$66:$B$82=$A86)*H$66:H$82*$C$66:$C$82)</f>
        <v>5.35570220048698</v>
      </c>
      <c r="I86" s="26" t="n">
        <f aca="false">SUMPRODUCT(($B$66:$B$82=$A86)*I$66:I$82*$C$66:$C$82)</f>
        <v>5.35570220048698</v>
      </c>
      <c r="J86" s="26" t="n">
        <f aca="false">SUMPRODUCT(($B$66:$B$82=$A86)*J$66:J$82*$C$66:$C$82)</f>
        <v>5.35570220048698</v>
      </c>
      <c r="K86" s="26" t="n">
        <f aca="false">SUMPRODUCT(($B$66:$B$82=$A86)*K$66:K$82*$C$66:$C$82)</f>
        <v>5.35570220048698</v>
      </c>
      <c r="L86" s="26" t="n">
        <f aca="false">SUMPRODUCT(($B$66:$B$82=$A86)*L$66:L$82*$C$66:$C$82)</f>
        <v>5.35570220048698</v>
      </c>
      <c r="M86" s="26" t="n">
        <f aca="false">SUMPRODUCT(($B$66:$B$82=$A86)*M$66:M$82*$C$66:$C$82)</f>
        <v>5.35570220048698</v>
      </c>
      <c r="N86" s="26" t="n">
        <f aca="false">SUMPRODUCT(($B$66:$B$82=$A86)*N$66:N$82*$C$66:$C$82)</f>
        <v>5.35570220048698</v>
      </c>
      <c r="O86" s="26" t="n">
        <f aca="false">SUMPRODUCT(($B$66:$B$82=$A86)*O$66:O$82*$C$66:$C$82)</f>
        <v>5.35570220048698</v>
      </c>
      <c r="P86" s="26" t="n">
        <f aca="false">SUMPRODUCT(($B$66:$B$82=$A86)*P$66:P$82*$C$66:$C$82)</f>
        <v>64.2684264058438</v>
      </c>
    </row>
    <row r="87" customFormat="false" ht="15" hidden="false" customHeight="false" outlineLevel="0" collapsed="false">
      <c r="A87" s="4" t="s">
        <v>163</v>
      </c>
      <c r="D87" s="26" t="n">
        <f aca="false">SUMPRODUCT(($B$66:$B$82=$A87)*D$66:D$82*$C$66:$C$82)</f>
        <v>5.35570220048698</v>
      </c>
      <c r="E87" s="26" t="n">
        <f aca="false">SUMPRODUCT(($B$66:$B$82=$A87)*E$66:E$82*$C$66:$C$82)</f>
        <v>5.35570220048698</v>
      </c>
      <c r="F87" s="26" t="n">
        <f aca="false">SUMPRODUCT(($B$66:$B$82=$A87)*F$66:F$82*$C$66:$C$82)</f>
        <v>5.35570220048698</v>
      </c>
      <c r="G87" s="26" t="n">
        <f aca="false">SUMPRODUCT(($B$66:$B$82=$A87)*G$66:G$82*$C$66:$C$82)</f>
        <v>5.35570220048698</v>
      </c>
      <c r="H87" s="26" t="n">
        <f aca="false">SUMPRODUCT(($B$66:$B$82=$A87)*H$66:H$82*$C$66:$C$82)</f>
        <v>5.35570220048698</v>
      </c>
      <c r="I87" s="26" t="n">
        <f aca="false">SUMPRODUCT(($B$66:$B$82=$A87)*I$66:I$82*$C$66:$C$82)</f>
        <v>5.35570220048698</v>
      </c>
      <c r="J87" s="26" t="n">
        <f aca="false">SUMPRODUCT(($B$66:$B$82=$A87)*J$66:J$82*$C$66:$C$82)</f>
        <v>5.35570220048698</v>
      </c>
      <c r="K87" s="26" t="n">
        <f aca="false">SUMPRODUCT(($B$66:$B$82=$A87)*K$66:K$82*$C$66:$C$82)</f>
        <v>5.35570220048698</v>
      </c>
      <c r="L87" s="26" t="n">
        <f aca="false">SUMPRODUCT(($B$66:$B$82=$A87)*L$66:L$82*$C$66:$C$82)</f>
        <v>5.35570220048698</v>
      </c>
      <c r="M87" s="26" t="n">
        <f aca="false">SUMPRODUCT(($B$66:$B$82=$A87)*M$66:M$82*$C$66:$C$82)</f>
        <v>5.35570220048698</v>
      </c>
      <c r="N87" s="26" t="n">
        <f aca="false">SUMPRODUCT(($B$66:$B$82=$A87)*N$66:N$82*$C$66:$C$82)</f>
        <v>5.35570220048698</v>
      </c>
      <c r="O87" s="26" t="n">
        <f aca="false">SUMPRODUCT(($B$66:$B$82=$A87)*O$66:O$82*$C$66:$C$82)</f>
        <v>5.35570220048698</v>
      </c>
      <c r="P87" s="26" t="n">
        <f aca="false">SUMPRODUCT(($B$66:$B$82=$A87)*P$66:P$82*$C$66:$C$82)</f>
        <v>64.2684264058438</v>
      </c>
    </row>
    <row r="88" customFormat="false" ht="15" hidden="false" customHeight="false" outlineLevel="0" collapsed="false">
      <c r="A88" s="4" t="s">
        <v>154</v>
      </c>
      <c r="D88" s="26" t="n">
        <f aca="false">SUMPRODUCT(($B$66:$B$82=$A88)*D$66:D$82*$C$66:$C$82)</f>
        <v>87.9497980456102</v>
      </c>
      <c r="E88" s="26" t="n">
        <f aca="false">SUMPRODUCT(($B$66:$B$82=$A88)*E$66:E$82*$C$66:$C$82)</f>
        <v>87.9497980456102</v>
      </c>
      <c r="F88" s="26" t="n">
        <f aca="false">SUMPRODUCT(($B$66:$B$82=$A88)*F$66:F$82*$C$66:$C$82)</f>
        <v>87.9497980456102</v>
      </c>
      <c r="G88" s="26" t="n">
        <f aca="false">SUMPRODUCT(($B$66:$B$82=$A88)*G$66:G$82*$C$66:$C$82)</f>
        <v>87.9497980456102</v>
      </c>
      <c r="H88" s="26" t="n">
        <f aca="false">SUMPRODUCT(($B$66:$B$82=$A88)*H$66:H$82*$C$66:$C$82)</f>
        <v>87.9497980456102</v>
      </c>
      <c r="I88" s="26" t="n">
        <f aca="false">SUMPRODUCT(($B$66:$B$82=$A88)*I$66:I$82*$C$66:$C$82)</f>
        <v>87.9497980456102</v>
      </c>
      <c r="J88" s="26" t="n">
        <f aca="false">SUMPRODUCT(($B$66:$B$82=$A88)*J$66:J$82*$C$66:$C$82)</f>
        <v>87.9497980456102</v>
      </c>
      <c r="K88" s="26" t="n">
        <f aca="false">SUMPRODUCT(($B$66:$B$82=$A88)*K$66:K$82*$C$66:$C$82)</f>
        <v>87.9497980456102</v>
      </c>
      <c r="L88" s="26" t="n">
        <f aca="false">SUMPRODUCT(($B$66:$B$82=$A88)*L$66:L$82*$C$66:$C$82)</f>
        <v>87.9497980456102</v>
      </c>
      <c r="M88" s="26" t="n">
        <f aca="false">SUMPRODUCT(($B$66:$B$82=$A88)*M$66:M$82*$C$66:$C$82)</f>
        <v>87.9497980456102</v>
      </c>
      <c r="N88" s="26" t="n">
        <f aca="false">SUMPRODUCT(($B$66:$B$82=$A88)*N$66:N$82*$C$66:$C$82)</f>
        <v>87.9497980456102</v>
      </c>
      <c r="O88" s="26" t="n">
        <f aca="false">SUMPRODUCT(($B$66:$B$82=$A88)*O$66:O$82*$C$66:$C$82)</f>
        <v>87.9497980456102</v>
      </c>
      <c r="P88" s="26" t="n">
        <f aca="false">SUMPRODUCT(($B$66:$B$82=$A88)*P$66:P$82*$C$66:$C$82)</f>
        <v>1055.39757654732</v>
      </c>
    </row>
    <row r="89" customFormat="false" ht="15" hidden="false" customHeight="false" outlineLevel="0" collapsed="false">
      <c r="A89" s="4" t="s">
        <v>155</v>
      </c>
      <c r="D89" s="26" t="n">
        <f aca="false">SUMPRODUCT(($B$66:$B$82=$A89)*D$66:D$82*$C$66:$C$82)</f>
        <v>48.4606300574175</v>
      </c>
      <c r="E89" s="26" t="n">
        <f aca="false">SUMPRODUCT(($B$66:$B$82=$A89)*E$66:E$82*$C$66:$C$82)</f>
        <v>48.4606300574175</v>
      </c>
      <c r="F89" s="26" t="n">
        <f aca="false">SUMPRODUCT(($B$66:$B$82=$A89)*F$66:F$82*$C$66:$C$82)</f>
        <v>48.4606300574175</v>
      </c>
      <c r="G89" s="26" t="n">
        <f aca="false">SUMPRODUCT(($B$66:$B$82=$A89)*G$66:G$82*$C$66:$C$82)</f>
        <v>48.4606300574175</v>
      </c>
      <c r="H89" s="26" t="n">
        <f aca="false">SUMPRODUCT(($B$66:$B$82=$A89)*H$66:H$82*$C$66:$C$82)</f>
        <v>48.4606300574175</v>
      </c>
      <c r="I89" s="26" t="n">
        <f aca="false">SUMPRODUCT(($B$66:$B$82=$A89)*I$66:I$82*$C$66:$C$82)</f>
        <v>48.4606300574175</v>
      </c>
      <c r="J89" s="26" t="n">
        <f aca="false">SUMPRODUCT(($B$66:$B$82=$A89)*J$66:J$82*$C$66:$C$82)</f>
        <v>48.4606300574175</v>
      </c>
      <c r="K89" s="26" t="n">
        <f aca="false">SUMPRODUCT(($B$66:$B$82=$A89)*K$66:K$82*$C$66:$C$82)</f>
        <v>48.4606300574175</v>
      </c>
      <c r="L89" s="26" t="n">
        <f aca="false">SUMPRODUCT(($B$66:$B$82=$A89)*L$66:L$82*$C$66:$C$82)</f>
        <v>48.4606300574175</v>
      </c>
      <c r="M89" s="26" t="n">
        <f aca="false">SUMPRODUCT(($B$66:$B$82=$A89)*M$66:M$82*$C$66:$C$82)</f>
        <v>48.4606300574175</v>
      </c>
      <c r="N89" s="26" t="n">
        <f aca="false">SUMPRODUCT(($B$66:$B$82=$A89)*N$66:N$82*$C$66:$C$82)</f>
        <v>48.4606300574175</v>
      </c>
      <c r="O89" s="26" t="n">
        <f aca="false">SUMPRODUCT(($B$66:$B$82=$A89)*O$66:O$82*$C$66:$C$82)</f>
        <v>48.4606300574175</v>
      </c>
      <c r="P89" s="26" t="n">
        <f aca="false">SUMPRODUCT(($B$66:$B$82=$A89)*P$66:P$82*$C$66:$C$82)</f>
        <v>581.52756068901</v>
      </c>
    </row>
    <row r="90" customFormat="false" ht="15" hidden="false" customHeight="false" outlineLevel="0" collapsed="false">
      <c r="A90" s="4" t="s">
        <v>158</v>
      </c>
      <c r="D90" s="26" t="n">
        <f aca="false">SUMPRODUCT(($B$66:$B$82=$A90)*D$66:D$82*$C$66:$C$82)</f>
        <v>44.5334543277334</v>
      </c>
      <c r="E90" s="26" t="n">
        <f aca="false">SUMPRODUCT(($B$66:$B$82=$A90)*E$66:E$82*$C$66:$C$82)</f>
        <v>44.5334543277334</v>
      </c>
      <c r="F90" s="26" t="n">
        <f aca="false">SUMPRODUCT(($B$66:$B$82=$A90)*F$66:F$82*$C$66:$C$82)</f>
        <v>44.5334543277334</v>
      </c>
      <c r="G90" s="26" t="n">
        <f aca="false">SUMPRODUCT(($B$66:$B$82=$A90)*G$66:G$82*$C$66:$C$82)</f>
        <v>44.5334543277334</v>
      </c>
      <c r="H90" s="26" t="n">
        <f aca="false">SUMPRODUCT(($B$66:$B$82=$A90)*H$66:H$82*$C$66:$C$82)</f>
        <v>44.5334543277334</v>
      </c>
      <c r="I90" s="26" t="n">
        <f aca="false">SUMPRODUCT(($B$66:$B$82=$A90)*I$66:I$82*$C$66:$C$82)</f>
        <v>44.5334543277334</v>
      </c>
      <c r="J90" s="26" t="n">
        <f aca="false">SUMPRODUCT(($B$66:$B$82=$A90)*J$66:J$82*$C$66:$C$82)</f>
        <v>44.5334543277334</v>
      </c>
      <c r="K90" s="26" t="n">
        <f aca="false">SUMPRODUCT(($B$66:$B$82=$A90)*K$66:K$82*$C$66:$C$82)</f>
        <v>44.5334543277334</v>
      </c>
      <c r="L90" s="26" t="n">
        <f aca="false">SUMPRODUCT(($B$66:$B$82=$A90)*L$66:L$82*$C$66:$C$82)</f>
        <v>44.5334543277334</v>
      </c>
      <c r="M90" s="26" t="n">
        <f aca="false">SUMPRODUCT(($B$66:$B$82=$A90)*M$66:M$82*$C$66:$C$82)</f>
        <v>44.5334543277334</v>
      </c>
      <c r="N90" s="26" t="n">
        <f aca="false">SUMPRODUCT(($B$66:$B$82=$A90)*N$66:N$82*$C$66:$C$82)</f>
        <v>44.5334543277334</v>
      </c>
      <c r="O90" s="26" t="n">
        <f aca="false">SUMPRODUCT(($B$66:$B$82=$A90)*O$66:O$82*$C$66:$C$82)</f>
        <v>44.5334543277334</v>
      </c>
      <c r="P90" s="26" t="n">
        <f aca="false">SUMPRODUCT(($B$66:$B$82=$A90)*P$66:P$82*$C$66:$C$82)</f>
        <v>534.401451932801</v>
      </c>
    </row>
    <row r="91" customFormat="false" ht="15" hidden="false" customHeight="false" outlineLevel="0" collapsed="false">
      <c r="A91" s="4" t="s">
        <v>159</v>
      </c>
      <c r="D91" s="26" t="n">
        <f aca="false">SUMPRODUCT(($B$66:$B$82=$A91)*D$66:D$82*$C$66:$C$82)</f>
        <v>318.023801432952</v>
      </c>
      <c r="E91" s="26" t="n">
        <f aca="false">SUMPRODUCT(($B$66:$B$82=$A91)*E$66:E$82*$C$66:$C$82)</f>
        <v>318.023801432952</v>
      </c>
      <c r="F91" s="26" t="n">
        <f aca="false">SUMPRODUCT(($B$66:$B$82=$A91)*F$66:F$82*$C$66:$C$82)</f>
        <v>318.023801432952</v>
      </c>
      <c r="G91" s="26" t="n">
        <f aca="false">SUMPRODUCT(($B$66:$B$82=$A91)*G$66:G$82*$C$66:$C$82)</f>
        <v>318.023801432952</v>
      </c>
      <c r="H91" s="26" t="n">
        <f aca="false">SUMPRODUCT(($B$66:$B$82=$A91)*H$66:H$82*$C$66:$C$82)</f>
        <v>318.023801432952</v>
      </c>
      <c r="I91" s="26" t="n">
        <f aca="false">SUMPRODUCT(($B$66:$B$82=$A91)*I$66:I$82*$C$66:$C$82)</f>
        <v>318.023801432952</v>
      </c>
      <c r="J91" s="26" t="n">
        <f aca="false">SUMPRODUCT(($B$66:$B$82=$A91)*J$66:J$82*$C$66:$C$82)</f>
        <v>318.023801432952</v>
      </c>
      <c r="K91" s="26" t="n">
        <f aca="false">SUMPRODUCT(($B$66:$B$82=$A91)*K$66:K$82*$C$66:$C$82)</f>
        <v>318.023801432952</v>
      </c>
      <c r="L91" s="26" t="n">
        <f aca="false">SUMPRODUCT(($B$66:$B$82=$A91)*L$66:L$82*$C$66:$C$82)</f>
        <v>318.023801432952</v>
      </c>
      <c r="M91" s="26" t="n">
        <f aca="false">SUMPRODUCT(($B$66:$B$82=$A91)*M$66:M$82*$C$66:$C$82)</f>
        <v>318.023801432952</v>
      </c>
      <c r="N91" s="26" t="n">
        <f aca="false">SUMPRODUCT(($B$66:$B$82=$A91)*N$66:N$82*$C$66:$C$82)</f>
        <v>318.023801432952</v>
      </c>
      <c r="O91" s="26" t="n">
        <f aca="false">SUMPRODUCT(($B$66:$B$82=$A91)*O$66:O$82*$C$66:$C$82)</f>
        <v>318.023801432952</v>
      </c>
      <c r="P91" s="26" t="n">
        <f aca="false">SUMPRODUCT(($B$66:$B$82=$A91)*P$66:P$82*$C$66:$C$82)</f>
        <v>3816.28561719543</v>
      </c>
    </row>
    <row r="92" customFormat="false" ht="15" hidden="false" customHeight="false" outlineLevel="0" collapsed="false">
      <c r="A92" s="4" t="s">
        <v>162</v>
      </c>
      <c r="D92" s="26" t="n">
        <f aca="false">SUMPRODUCT(($B$66:$B$82=$A92)*D$66:D$82*$C$66:$C$82)</f>
        <v>13.7761232432101</v>
      </c>
      <c r="E92" s="26" t="n">
        <f aca="false">SUMPRODUCT(($B$66:$B$82=$A92)*E$66:E$82*$C$66:$C$82)</f>
        <v>13.7761232432101</v>
      </c>
      <c r="F92" s="26" t="n">
        <f aca="false">SUMPRODUCT(($B$66:$B$82=$A92)*F$66:F$82*$C$66:$C$82)</f>
        <v>13.7761232432101</v>
      </c>
      <c r="G92" s="26" t="n">
        <f aca="false">SUMPRODUCT(($B$66:$B$82=$A92)*G$66:G$82*$C$66:$C$82)</f>
        <v>13.7761232432101</v>
      </c>
      <c r="H92" s="26" t="n">
        <f aca="false">SUMPRODUCT(($B$66:$B$82=$A92)*H$66:H$82*$C$66:$C$82)</f>
        <v>13.7761232432101</v>
      </c>
      <c r="I92" s="26" t="n">
        <f aca="false">SUMPRODUCT(($B$66:$B$82=$A92)*I$66:I$82*$C$66:$C$82)</f>
        <v>13.7761232432101</v>
      </c>
      <c r="J92" s="26" t="n">
        <f aca="false">SUMPRODUCT(($B$66:$B$82=$A92)*J$66:J$82*$C$66:$C$82)</f>
        <v>13.7761232432101</v>
      </c>
      <c r="K92" s="26" t="n">
        <f aca="false">SUMPRODUCT(($B$66:$B$82=$A92)*K$66:K$82*$C$66:$C$82)</f>
        <v>13.7761232432101</v>
      </c>
      <c r="L92" s="26" t="n">
        <f aca="false">SUMPRODUCT(($B$66:$B$82=$A92)*L$66:L$82*$C$66:$C$82)</f>
        <v>13.7761232432101</v>
      </c>
      <c r="M92" s="26" t="n">
        <f aca="false">SUMPRODUCT(($B$66:$B$82=$A92)*M$66:M$82*$C$66:$C$82)</f>
        <v>13.7761232432101</v>
      </c>
      <c r="N92" s="26" t="n">
        <f aca="false">SUMPRODUCT(($B$66:$B$82=$A92)*N$66:N$82*$C$66:$C$82)</f>
        <v>13.7761232432101</v>
      </c>
      <c r="O92" s="26" t="n">
        <f aca="false">SUMPRODUCT(($B$66:$B$82=$A92)*O$66:O$82*$C$66:$C$82)</f>
        <v>13.7761232432101</v>
      </c>
      <c r="P92" s="26" t="n">
        <f aca="false">SUMPRODUCT(($B$66:$B$82=$A92)*P$66:P$82*$C$66:$C$82)</f>
        <v>165.313478918521</v>
      </c>
    </row>
    <row r="93" customFormat="false" ht="15" hidden="false" customHeight="false" outlineLevel="0" collapsed="false">
      <c r="A93" s="6" t="s">
        <v>312</v>
      </c>
      <c r="D93" s="27" t="n">
        <f aca="false">SUMPRODUCT(D$66:D$82*parametros_recargas!$D$51:$D$67)</f>
        <v>136.683998202268</v>
      </c>
      <c r="E93" s="27" t="n">
        <f aca="false">SUMPRODUCT(E$66:E$82*parametros_recargas!$D$51:$D$67)</f>
        <v>136.683998202268</v>
      </c>
      <c r="F93" s="27" t="n">
        <f aca="false">SUMPRODUCT(F$66:F$82*parametros_recargas!$D$51:$D$67)</f>
        <v>136.683998202268</v>
      </c>
      <c r="G93" s="27" t="n">
        <f aca="false">SUMPRODUCT(G$66:G$82*parametros_recargas!$D$51:$D$67)</f>
        <v>136.683998202268</v>
      </c>
      <c r="H93" s="27" t="n">
        <f aca="false">SUMPRODUCT(H$66:H$82*parametros_recargas!$D$51:$D$67)</f>
        <v>136.683998202268</v>
      </c>
      <c r="I93" s="27" t="n">
        <f aca="false">SUMPRODUCT(I$66:I$82*parametros_recargas!$D$51:$D$67)</f>
        <v>136.683998202268</v>
      </c>
      <c r="J93" s="27" t="n">
        <f aca="false">SUMPRODUCT(J$66:J$82*parametros_recargas!$D$51:$D$67)</f>
        <v>136.683998202268</v>
      </c>
      <c r="K93" s="27" t="n">
        <f aca="false">SUMPRODUCT(K$66:K$82*parametros_recargas!$D$51:$D$67)</f>
        <v>136.683998202268</v>
      </c>
      <c r="L93" s="27" t="n">
        <f aca="false">SUMPRODUCT(L$66:L$82*parametros_recargas!$D$51:$D$67)</f>
        <v>136.683998202268</v>
      </c>
      <c r="M93" s="27" t="n">
        <f aca="false">SUMPRODUCT(M$66:M$82*parametros_recargas!$D$51:$D$67)</f>
        <v>136.683998202268</v>
      </c>
      <c r="N93" s="27" t="n">
        <f aca="false">SUMPRODUCT(N$66:N$82*parametros_recargas!$D$51:$D$67)</f>
        <v>136.683998202268</v>
      </c>
      <c r="O93" s="27" t="n">
        <f aca="false">SUMPRODUCT(O$66:O$82*parametros_recargas!$D$51:$D$67)</f>
        <v>136.683998202268</v>
      </c>
      <c r="P93" s="27" t="n">
        <f aca="false">SUMPRODUCT(P$66:P$82*parametros_recargas!$D$51:$D$67)</f>
        <v>1640.20797842721</v>
      </c>
    </row>
    <row r="97" customFormat="false" ht="23.85" hidden="false" customHeight="false" outlineLevel="0" collapsed="false">
      <c r="A97" s="28" t="n">
        <v>2029</v>
      </c>
      <c r="B97" s="3" t="s">
        <v>307</v>
      </c>
      <c r="C97" s="3" t="s">
        <v>308</v>
      </c>
      <c r="D97" s="3" t="s">
        <v>133</v>
      </c>
      <c r="E97" s="3" t="s">
        <v>134</v>
      </c>
      <c r="F97" s="3" t="s">
        <v>135</v>
      </c>
      <c r="G97" s="3" t="s">
        <v>136</v>
      </c>
      <c r="H97" s="3" t="s">
        <v>137</v>
      </c>
      <c r="I97" s="3" t="s">
        <v>138</v>
      </c>
      <c r="J97" s="3" t="s">
        <v>139</v>
      </c>
      <c r="K97" s="3" t="s">
        <v>140</v>
      </c>
      <c r="L97" s="3" t="s">
        <v>141</v>
      </c>
      <c r="M97" s="3" t="s">
        <v>142</v>
      </c>
      <c r="N97" s="3" t="s">
        <v>143</v>
      </c>
      <c r="O97" s="3" t="s">
        <v>144</v>
      </c>
      <c r="P97" s="3" t="s">
        <v>67</v>
      </c>
      <c r="Q97" s="3" t="s">
        <v>309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5" t="n">
        <f aca="false">parametros_recargas!C51</f>
        <v>1</v>
      </c>
      <c r="D98" s="26" t="n">
        <f aca="false">datos_base!$E$2*parametros_recargas!$B$40+sobrestock_sustitutos!$E$88/12</f>
        <v>3324.42847794031</v>
      </c>
      <c r="E98" s="26" t="n">
        <f aca="false">datos_base!$E$2*parametros_recargas!$C$40+sobrestock_sustitutos!$E$88/12</f>
        <v>3324.42847794031</v>
      </c>
      <c r="F98" s="26" t="n">
        <f aca="false">datos_base!$E$2*parametros_recargas!$D$40+sobrestock_sustitutos!$E$88/12</f>
        <v>3324.42847794031</v>
      </c>
      <c r="G98" s="26" t="n">
        <f aca="false">datos_base!$E$2*parametros_recargas!$E$40+sobrestock_sustitutos!$E$88/12</f>
        <v>3324.42847794031</v>
      </c>
      <c r="H98" s="26" t="n">
        <f aca="false">datos_base!$E$2*parametros_recargas!$F$40+sobrestock_sustitutos!$E$88/12</f>
        <v>3324.42847794031</v>
      </c>
      <c r="I98" s="26" t="n">
        <f aca="false">datos_base!$E$2*parametros_recargas!$G$40+sobrestock_sustitutos!$E$88/12</f>
        <v>3324.42847794031</v>
      </c>
      <c r="J98" s="26" t="n">
        <f aca="false">datos_base!$E$2*parametros_recargas!$H$40+sobrestock_sustitutos!$E$88/12</f>
        <v>3324.42847794031</v>
      </c>
      <c r="K98" s="26" t="n">
        <f aca="false">datos_base!$E$2*parametros_recargas!$I$40+sobrestock_sustitutos!$E$88/12</f>
        <v>3324.42847794031</v>
      </c>
      <c r="L98" s="26" t="n">
        <f aca="false">datos_base!$E$2*parametros_recargas!$J$40+sobrestock_sustitutos!$E$88/12</f>
        <v>3324.42847794031</v>
      </c>
      <c r="M98" s="26" t="n">
        <f aca="false">datos_base!$E$2*parametros_recargas!$K$40+sobrestock_sustitutos!$E$88/12</f>
        <v>3324.42847794031</v>
      </c>
      <c r="N98" s="26" t="n">
        <f aca="false">datos_base!$E$2*parametros_recargas!$L$40+sobrestock_sustitutos!$E$88/12</f>
        <v>3324.42847794031</v>
      </c>
      <c r="O98" s="26" t="n">
        <f aca="false">datos_base!$E$2*parametros_recargas!$M$40+sobrestock_sustitutos!$E$88/12</f>
        <v>3324.42847794031</v>
      </c>
      <c r="P98" s="7" t="n">
        <f aca="false">SUM(D98:O98)</f>
        <v>39893.1417352838</v>
      </c>
      <c r="Q98" s="13" t="n">
        <f aca="false">sobrestock_sustitutos!$E$88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5" t="n">
        <f aca="false">parametros_recargas!C52</f>
        <v>1</v>
      </c>
      <c r="D99" s="26" t="n">
        <f aca="false">datos_base!$E$3*parametros_recargas!$B$40+sobrestock_sustitutos!$E$89/12</f>
        <v>324.088293159087</v>
      </c>
      <c r="E99" s="26" t="n">
        <f aca="false">datos_base!$E$3*parametros_recargas!$C$40+sobrestock_sustitutos!$E$89/12</f>
        <v>324.088293159087</v>
      </c>
      <c r="F99" s="26" t="n">
        <f aca="false">datos_base!$E$3*parametros_recargas!$D$40+sobrestock_sustitutos!$E$89/12</f>
        <v>324.088293159087</v>
      </c>
      <c r="G99" s="26" t="n">
        <f aca="false">datos_base!$E$3*parametros_recargas!$E$40+sobrestock_sustitutos!$E$89/12</f>
        <v>324.088293159087</v>
      </c>
      <c r="H99" s="26" t="n">
        <f aca="false">datos_base!$E$3*parametros_recargas!$F$40+sobrestock_sustitutos!$E$89/12</f>
        <v>324.088293159087</v>
      </c>
      <c r="I99" s="26" t="n">
        <f aca="false">datos_base!$E$3*parametros_recargas!$G$40+sobrestock_sustitutos!$E$89/12</f>
        <v>324.088293159087</v>
      </c>
      <c r="J99" s="26" t="n">
        <f aca="false">datos_base!$E$3*parametros_recargas!$H$40+sobrestock_sustitutos!$E$89/12</f>
        <v>324.088293159087</v>
      </c>
      <c r="K99" s="26" t="n">
        <f aca="false">datos_base!$E$3*parametros_recargas!$I$40+sobrestock_sustitutos!$E$89/12</f>
        <v>324.088293159087</v>
      </c>
      <c r="L99" s="26" t="n">
        <f aca="false">datos_base!$E$3*parametros_recargas!$J$40+sobrestock_sustitutos!$E$89/12</f>
        <v>324.088293159087</v>
      </c>
      <c r="M99" s="26" t="n">
        <f aca="false">datos_base!$E$3*parametros_recargas!$K$40+sobrestock_sustitutos!$E$89/12</f>
        <v>324.088293159087</v>
      </c>
      <c r="N99" s="26" t="n">
        <f aca="false">datos_base!$E$3*parametros_recargas!$L$40+sobrestock_sustitutos!$E$89/12</f>
        <v>324.088293159087</v>
      </c>
      <c r="O99" s="26" t="n">
        <f aca="false">datos_base!$E$3*parametros_recargas!$M$40+sobrestock_sustitutos!$E$89/12</f>
        <v>324.088293159087</v>
      </c>
      <c r="P99" s="7" t="n">
        <f aca="false">SUM(D99:O99)</f>
        <v>3889.05951790904</v>
      </c>
      <c r="Q99" s="13" t="n">
        <f aca="false">sobrestock_sustitutos!$E$89</f>
        <v>27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5" t="n">
        <f aca="false">parametros_recargas!C53</f>
        <v>1</v>
      </c>
      <c r="D100" s="26" t="n">
        <f aca="false">datos_base!$E$4*parametros_recargas!$B$40+sobrestock_sustitutos!$E$90/12</f>
        <v>2006.51806334117</v>
      </c>
      <c r="E100" s="26" t="n">
        <f aca="false">datos_base!$E$4*parametros_recargas!$C$40+sobrestock_sustitutos!$E$90/12</f>
        <v>2006.51806334117</v>
      </c>
      <c r="F100" s="26" t="n">
        <f aca="false">datos_base!$E$4*parametros_recargas!$D$40+sobrestock_sustitutos!$E$90/12</f>
        <v>2006.51806334117</v>
      </c>
      <c r="G100" s="26" t="n">
        <f aca="false">datos_base!$E$4*parametros_recargas!$E$40+sobrestock_sustitutos!$E$90/12</f>
        <v>2006.51806334117</v>
      </c>
      <c r="H100" s="26" t="n">
        <f aca="false">datos_base!$E$4*parametros_recargas!$F$40+sobrestock_sustitutos!$E$90/12</f>
        <v>2006.51806334117</v>
      </c>
      <c r="I100" s="26" t="n">
        <f aca="false">datos_base!$E$4*parametros_recargas!$G$40+sobrestock_sustitutos!$E$90/12</f>
        <v>2006.51806334117</v>
      </c>
      <c r="J100" s="26" t="n">
        <f aca="false">datos_base!$E$4*parametros_recargas!$H$40+sobrestock_sustitutos!$E$90/12</f>
        <v>2006.51806334117</v>
      </c>
      <c r="K100" s="26" t="n">
        <f aca="false">datos_base!$E$4*parametros_recargas!$I$40+sobrestock_sustitutos!$E$90/12</f>
        <v>2006.51806334117</v>
      </c>
      <c r="L100" s="26" t="n">
        <f aca="false">datos_base!$E$4*parametros_recargas!$J$40+sobrestock_sustitutos!$E$90/12</f>
        <v>2006.51806334117</v>
      </c>
      <c r="M100" s="26" t="n">
        <f aca="false">datos_base!$E$4*parametros_recargas!$K$40+sobrestock_sustitutos!$E$90/12</f>
        <v>2006.51806334117</v>
      </c>
      <c r="N100" s="26" t="n">
        <f aca="false">datos_base!$E$4*parametros_recargas!$L$40+sobrestock_sustitutos!$E$90/12</f>
        <v>2006.51806334117</v>
      </c>
      <c r="O100" s="26" t="n">
        <f aca="false">datos_base!$E$4*parametros_recargas!$M$40+sobrestock_sustitutos!$E$90/12</f>
        <v>2006.51806334117</v>
      </c>
      <c r="P100" s="7" t="n">
        <f aca="false">SUM(D100:O100)</f>
        <v>24078.216760094</v>
      </c>
      <c r="Q100" s="13" t="n">
        <f aca="false">sobrestock_sustitutos!$E$90</f>
        <v>159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5" t="n">
        <f aca="false">parametros_recargas!C54</f>
        <v>1</v>
      </c>
      <c r="D101" s="26" t="n">
        <f aca="false">datos_base!$E$5*parametros_recargas!$B$40+sobrestock_sustitutos!$E$91/12</f>
        <v>117.112347819445</v>
      </c>
      <c r="E101" s="26" t="n">
        <f aca="false">datos_base!$E$5*parametros_recargas!$C$40+sobrestock_sustitutos!$E$91/12</f>
        <v>117.112347819445</v>
      </c>
      <c r="F101" s="26" t="n">
        <f aca="false">datos_base!$E$5*parametros_recargas!$D$40+sobrestock_sustitutos!$E$91/12</f>
        <v>117.112347819445</v>
      </c>
      <c r="G101" s="26" t="n">
        <f aca="false">datos_base!$E$5*parametros_recargas!$E$40+sobrestock_sustitutos!$E$91/12</f>
        <v>117.112347819445</v>
      </c>
      <c r="H101" s="26" t="n">
        <f aca="false">datos_base!$E$5*parametros_recargas!$F$40+sobrestock_sustitutos!$E$91/12</f>
        <v>117.112347819445</v>
      </c>
      <c r="I101" s="26" t="n">
        <f aca="false">datos_base!$E$5*parametros_recargas!$G$40+sobrestock_sustitutos!$E$91/12</f>
        <v>117.112347819445</v>
      </c>
      <c r="J101" s="26" t="n">
        <f aca="false">datos_base!$E$5*parametros_recargas!$H$40+sobrestock_sustitutos!$E$91/12</f>
        <v>117.112347819445</v>
      </c>
      <c r="K101" s="26" t="n">
        <f aca="false">datos_base!$E$5*parametros_recargas!$I$40+sobrestock_sustitutos!$E$91/12</f>
        <v>117.112347819445</v>
      </c>
      <c r="L101" s="26" t="n">
        <f aca="false">datos_base!$E$5*parametros_recargas!$J$40+sobrestock_sustitutos!$E$91/12</f>
        <v>117.112347819445</v>
      </c>
      <c r="M101" s="26" t="n">
        <f aca="false">datos_base!$E$5*parametros_recargas!$K$40+sobrestock_sustitutos!$E$91/12</f>
        <v>117.112347819445</v>
      </c>
      <c r="N101" s="26" t="n">
        <f aca="false">datos_base!$E$5*parametros_recargas!$L$40+sobrestock_sustitutos!$E$91/12</f>
        <v>117.112347819445</v>
      </c>
      <c r="O101" s="26" t="n">
        <f aca="false">datos_base!$E$5*parametros_recargas!$M$40+sobrestock_sustitutos!$E$91/12</f>
        <v>117.112347819445</v>
      </c>
      <c r="P101" s="7" t="n">
        <f aca="false">SUM(D101:O101)</f>
        <v>1405.34817383334</v>
      </c>
      <c r="Q101" s="13" t="n">
        <f aca="false">sobrestock_sustitutos!$E$91</f>
        <v>10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5" t="n">
        <f aca="false">parametros_recargas!C55</f>
        <v>1</v>
      </c>
      <c r="D102" s="26" t="n">
        <f aca="false">datos_base!$E$6*parametros_recargas!$B$40+sobrestock_sustitutos!$E$92/12</f>
        <v>165.254914729824</v>
      </c>
      <c r="E102" s="26" t="n">
        <f aca="false">datos_base!$E$6*parametros_recargas!$C$40+sobrestock_sustitutos!$E$92/12</f>
        <v>165.254914729824</v>
      </c>
      <c r="F102" s="26" t="n">
        <f aca="false">datos_base!$E$6*parametros_recargas!$D$40+sobrestock_sustitutos!$E$92/12</f>
        <v>165.254914729824</v>
      </c>
      <c r="G102" s="26" t="n">
        <f aca="false">datos_base!$E$6*parametros_recargas!$E$40+sobrestock_sustitutos!$E$92/12</f>
        <v>165.254914729824</v>
      </c>
      <c r="H102" s="26" t="n">
        <f aca="false">datos_base!$E$6*parametros_recargas!$F$40+sobrestock_sustitutos!$E$92/12</f>
        <v>165.254914729824</v>
      </c>
      <c r="I102" s="26" t="n">
        <f aca="false">datos_base!$E$6*parametros_recargas!$G$40+sobrestock_sustitutos!$E$92/12</f>
        <v>165.254914729824</v>
      </c>
      <c r="J102" s="26" t="n">
        <f aca="false">datos_base!$E$6*parametros_recargas!$H$40+sobrestock_sustitutos!$E$92/12</f>
        <v>165.254914729824</v>
      </c>
      <c r="K102" s="26" t="n">
        <f aca="false">datos_base!$E$6*parametros_recargas!$I$40+sobrestock_sustitutos!$E$92/12</f>
        <v>165.254914729824</v>
      </c>
      <c r="L102" s="26" t="n">
        <f aca="false">datos_base!$E$6*parametros_recargas!$J$40+sobrestock_sustitutos!$E$92/12</f>
        <v>165.254914729824</v>
      </c>
      <c r="M102" s="26" t="n">
        <f aca="false">datos_base!$E$6*parametros_recargas!$K$40+sobrestock_sustitutos!$E$92/12</f>
        <v>165.254914729824</v>
      </c>
      <c r="N102" s="26" t="n">
        <f aca="false">datos_base!$E$6*parametros_recargas!$L$40+sobrestock_sustitutos!$E$92/12</f>
        <v>165.254914729824</v>
      </c>
      <c r="O102" s="26" t="n">
        <f aca="false">datos_base!$E$6*parametros_recargas!$M$40+sobrestock_sustitutos!$E$92/12</f>
        <v>165.254914729824</v>
      </c>
      <c r="P102" s="7" t="n">
        <f aca="false">SUM(D102:O102)</f>
        <v>1983.05897675789</v>
      </c>
      <c r="Q102" s="13" t="n">
        <f aca="false">sobrestock_sustitutos!$E$92</f>
        <v>14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5" t="n">
        <f aca="false">parametros_recargas!C56</f>
        <v>1</v>
      </c>
      <c r="D103" s="26" t="n">
        <f aca="false">datos_base!$E$7*parametros_recargas!$B$40+sobrestock_sustitutos!$E$93/12</f>
        <v>31.53168647158</v>
      </c>
      <c r="E103" s="26" t="n">
        <f aca="false">datos_base!$E$7*parametros_recargas!$C$40+sobrestock_sustitutos!$E$93/12</f>
        <v>31.53168647158</v>
      </c>
      <c r="F103" s="26" t="n">
        <f aca="false">datos_base!$E$7*parametros_recargas!$D$40+sobrestock_sustitutos!$E$93/12</f>
        <v>31.53168647158</v>
      </c>
      <c r="G103" s="26" t="n">
        <f aca="false">datos_base!$E$7*parametros_recargas!$E$40+sobrestock_sustitutos!$E$93/12</f>
        <v>31.53168647158</v>
      </c>
      <c r="H103" s="26" t="n">
        <f aca="false">datos_base!$E$7*parametros_recargas!$F$40+sobrestock_sustitutos!$E$93/12</f>
        <v>31.53168647158</v>
      </c>
      <c r="I103" s="26" t="n">
        <f aca="false">datos_base!$E$7*parametros_recargas!$G$40+sobrestock_sustitutos!$E$93/12</f>
        <v>31.53168647158</v>
      </c>
      <c r="J103" s="26" t="n">
        <f aca="false">datos_base!$E$7*parametros_recargas!$H$40+sobrestock_sustitutos!$E$93/12</f>
        <v>31.53168647158</v>
      </c>
      <c r="K103" s="26" t="n">
        <f aca="false">datos_base!$E$7*parametros_recargas!$I$40+sobrestock_sustitutos!$E$93/12</f>
        <v>31.53168647158</v>
      </c>
      <c r="L103" s="26" t="n">
        <f aca="false">datos_base!$E$7*parametros_recargas!$J$40+sobrestock_sustitutos!$E$93/12</f>
        <v>31.53168647158</v>
      </c>
      <c r="M103" s="26" t="n">
        <f aca="false">datos_base!$E$7*parametros_recargas!$K$40+sobrestock_sustitutos!$E$93/12</f>
        <v>31.53168647158</v>
      </c>
      <c r="N103" s="26" t="n">
        <f aca="false">datos_base!$E$7*parametros_recargas!$L$40+sobrestock_sustitutos!$E$93/12</f>
        <v>31.53168647158</v>
      </c>
      <c r="O103" s="26" t="n">
        <f aca="false">datos_base!$E$7*parametros_recargas!$M$40+sobrestock_sustitutos!$E$93/12</f>
        <v>31.53168647158</v>
      </c>
      <c r="P103" s="7" t="n">
        <f aca="false">SUM(D103:O103)</f>
        <v>378.38023765896</v>
      </c>
      <c r="Q103" s="13" t="n">
        <f aca="false">sobrestock_sustitutos!$E$93</f>
        <v>3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5" t="n">
        <f aca="false">parametros_recargas!C57</f>
        <v>3</v>
      </c>
      <c r="D104" s="26" t="n">
        <f aca="false">datos_base!$E$8*parametros_recargas!$B$40+sobrestock_sustitutos!$E$94/12</f>
        <v>16.8540297069748</v>
      </c>
      <c r="E104" s="26" t="n">
        <f aca="false">datos_base!$E$8*parametros_recargas!$C$40+sobrestock_sustitutos!$E$94/12</f>
        <v>16.8540297069748</v>
      </c>
      <c r="F104" s="26" t="n">
        <f aca="false">datos_base!$E$8*parametros_recargas!$D$40+sobrestock_sustitutos!$E$94/12</f>
        <v>16.8540297069748</v>
      </c>
      <c r="G104" s="26" t="n">
        <f aca="false">datos_base!$E$8*parametros_recargas!$E$40+sobrestock_sustitutos!$E$94/12</f>
        <v>16.8540297069748</v>
      </c>
      <c r="H104" s="26" t="n">
        <f aca="false">datos_base!$E$8*parametros_recargas!$F$40+sobrestock_sustitutos!$E$94/12</f>
        <v>16.8540297069748</v>
      </c>
      <c r="I104" s="26" t="n">
        <f aca="false">datos_base!$E$8*parametros_recargas!$G$40+sobrestock_sustitutos!$E$94/12</f>
        <v>16.8540297069748</v>
      </c>
      <c r="J104" s="26" t="n">
        <f aca="false">datos_base!$E$8*parametros_recargas!$H$40+sobrestock_sustitutos!$E$94/12</f>
        <v>16.8540297069748</v>
      </c>
      <c r="K104" s="26" t="n">
        <f aca="false">datos_base!$E$8*parametros_recargas!$I$40+sobrestock_sustitutos!$E$94/12</f>
        <v>16.8540297069748</v>
      </c>
      <c r="L104" s="26" t="n">
        <f aca="false">datos_base!$E$8*parametros_recargas!$J$40+sobrestock_sustitutos!$E$94/12</f>
        <v>16.8540297069748</v>
      </c>
      <c r="M104" s="26" t="n">
        <f aca="false">datos_base!$E$8*parametros_recargas!$K$40+sobrestock_sustitutos!$E$94/12</f>
        <v>16.8540297069748</v>
      </c>
      <c r="N104" s="26" t="n">
        <f aca="false">datos_base!$E$8*parametros_recargas!$L$40+sobrestock_sustitutos!$E$94/12</f>
        <v>16.8540297069748</v>
      </c>
      <c r="O104" s="26" t="n">
        <f aca="false">datos_base!$E$8*parametros_recargas!$M$40+sobrestock_sustitutos!$E$94/12</f>
        <v>16.8540297069748</v>
      </c>
      <c r="P104" s="7" t="n">
        <f aca="false">SUM(D104:O104)</f>
        <v>202.248356483697</v>
      </c>
      <c r="Q104" s="13" t="n">
        <f aca="false">sobrestock_sustitutos!$E$94</f>
        <v>2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5" t="n">
        <f aca="false">parametros_recargas!C58</f>
        <v>1</v>
      </c>
      <c r="D105" s="26" t="n">
        <f aca="false">datos_base!$E$9*parametros_recargas!$B$40+sobrestock_sustitutos!$E$95/12</f>
        <v>9.54400419663871</v>
      </c>
      <c r="E105" s="26" t="n">
        <f aca="false">datos_base!$E$9*parametros_recargas!$C$40+sobrestock_sustitutos!$E$95/12</f>
        <v>9.54400419663871</v>
      </c>
      <c r="F105" s="26" t="n">
        <f aca="false">datos_base!$E$9*parametros_recargas!$D$40+sobrestock_sustitutos!$E$95/12</f>
        <v>9.54400419663871</v>
      </c>
      <c r="G105" s="26" t="n">
        <f aca="false">datos_base!$E$9*parametros_recargas!$E$40+sobrestock_sustitutos!$E$95/12</f>
        <v>9.54400419663871</v>
      </c>
      <c r="H105" s="26" t="n">
        <f aca="false">datos_base!$E$9*parametros_recargas!$F$40+sobrestock_sustitutos!$E$95/12</f>
        <v>9.54400419663871</v>
      </c>
      <c r="I105" s="26" t="n">
        <f aca="false">datos_base!$E$9*parametros_recargas!$G$40+sobrestock_sustitutos!$E$95/12</f>
        <v>9.54400419663871</v>
      </c>
      <c r="J105" s="26" t="n">
        <f aca="false">datos_base!$E$9*parametros_recargas!$H$40+sobrestock_sustitutos!$E$95/12</f>
        <v>9.54400419663871</v>
      </c>
      <c r="K105" s="26" t="n">
        <f aca="false">datos_base!$E$9*parametros_recargas!$I$40+sobrestock_sustitutos!$E$95/12</f>
        <v>9.54400419663871</v>
      </c>
      <c r="L105" s="26" t="n">
        <f aca="false">datos_base!$E$9*parametros_recargas!$J$40+sobrestock_sustitutos!$E$95/12</f>
        <v>9.54400419663871</v>
      </c>
      <c r="M105" s="26" t="n">
        <f aca="false">datos_base!$E$9*parametros_recargas!$K$40+sobrestock_sustitutos!$E$95/12</f>
        <v>9.54400419663871</v>
      </c>
      <c r="N105" s="26" t="n">
        <f aca="false">datos_base!$E$9*parametros_recargas!$L$40+sobrestock_sustitutos!$E$95/12</f>
        <v>9.54400419663871</v>
      </c>
      <c r="O105" s="26" t="n">
        <f aca="false">datos_base!$E$9*parametros_recargas!$M$40+sobrestock_sustitutos!$E$95/12</f>
        <v>9.54400419663871</v>
      </c>
      <c r="P105" s="7" t="n">
        <f aca="false">SUM(D105:O105)</f>
        <v>114.528050359665</v>
      </c>
      <c r="Q105" s="13" t="n">
        <f aca="false">sobrestock_sustitutos!$E$95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5" t="n">
        <f aca="false">parametros_recargas!C59</f>
        <v>1</v>
      </c>
      <c r="D106" s="26" t="n">
        <f aca="false">datos_base!$E$10*parametros_recargas!$B$40+sobrestock_sustitutos!$E$96/12</f>
        <v>81.1846080435592</v>
      </c>
      <c r="E106" s="26" t="n">
        <f aca="false">datos_base!$E$10*parametros_recargas!$C$40+sobrestock_sustitutos!$E$96/12</f>
        <v>81.1846080435592</v>
      </c>
      <c r="F106" s="26" t="n">
        <f aca="false">datos_base!$E$10*parametros_recargas!$D$40+sobrestock_sustitutos!$E$96/12</f>
        <v>81.1846080435592</v>
      </c>
      <c r="G106" s="26" t="n">
        <f aca="false">datos_base!$E$10*parametros_recargas!$E$40+sobrestock_sustitutos!$E$96/12</f>
        <v>81.1846080435592</v>
      </c>
      <c r="H106" s="26" t="n">
        <f aca="false">datos_base!$E$10*parametros_recargas!$F$40+sobrestock_sustitutos!$E$96/12</f>
        <v>81.1846080435592</v>
      </c>
      <c r="I106" s="26" t="n">
        <f aca="false">datos_base!$E$10*parametros_recargas!$G$40+sobrestock_sustitutos!$E$96/12</f>
        <v>81.1846080435592</v>
      </c>
      <c r="J106" s="26" t="n">
        <f aca="false">datos_base!$E$10*parametros_recargas!$H$40+sobrestock_sustitutos!$E$96/12</f>
        <v>81.1846080435592</v>
      </c>
      <c r="K106" s="26" t="n">
        <f aca="false">datos_base!$E$10*parametros_recargas!$I$40+sobrestock_sustitutos!$E$96/12</f>
        <v>81.1846080435592</v>
      </c>
      <c r="L106" s="26" t="n">
        <f aca="false">datos_base!$E$10*parametros_recargas!$J$40+sobrestock_sustitutos!$E$96/12</f>
        <v>81.1846080435592</v>
      </c>
      <c r="M106" s="26" t="n">
        <f aca="false">datos_base!$E$10*parametros_recargas!$K$40+sobrestock_sustitutos!$E$96/12</f>
        <v>81.1846080435592</v>
      </c>
      <c r="N106" s="26" t="n">
        <f aca="false">datos_base!$E$10*parametros_recargas!$L$40+sobrestock_sustitutos!$E$96/12</f>
        <v>81.1846080435592</v>
      </c>
      <c r="O106" s="26" t="n">
        <f aca="false">datos_base!$E$10*parametros_recargas!$M$40+sobrestock_sustitutos!$E$96/12</f>
        <v>81.1846080435592</v>
      </c>
      <c r="P106" s="7" t="n">
        <f aca="false">SUM(D106:O106)</f>
        <v>974.21529652271</v>
      </c>
      <c r="Q106" s="13" t="n">
        <f aca="false">sobrestock_sustitutos!$E$96</f>
        <v>7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5" t="n">
        <f aca="false">parametros_recargas!C60</f>
        <v>1</v>
      </c>
      <c r="D107" s="26" t="n">
        <f aca="false">datos_base!$E$11*parametros_recargas!$B$40+sobrestock_sustitutos!$E$97/12</f>
        <v>451.485756212408</v>
      </c>
      <c r="E107" s="26" t="n">
        <f aca="false">datos_base!$E$11*parametros_recargas!$C$40+sobrestock_sustitutos!$E$97/12</f>
        <v>451.485756212408</v>
      </c>
      <c r="F107" s="26" t="n">
        <f aca="false">datos_base!$E$11*parametros_recargas!$D$40+sobrestock_sustitutos!$E$97/12</f>
        <v>451.485756212408</v>
      </c>
      <c r="G107" s="26" t="n">
        <f aca="false">datos_base!$E$11*parametros_recargas!$E$40+sobrestock_sustitutos!$E$97/12</f>
        <v>451.485756212408</v>
      </c>
      <c r="H107" s="26" t="n">
        <f aca="false">datos_base!$E$11*parametros_recargas!$F$40+sobrestock_sustitutos!$E$97/12</f>
        <v>451.485756212408</v>
      </c>
      <c r="I107" s="26" t="n">
        <f aca="false">datos_base!$E$11*parametros_recargas!$G$40+sobrestock_sustitutos!$E$97/12</f>
        <v>451.485756212408</v>
      </c>
      <c r="J107" s="26" t="n">
        <f aca="false">datos_base!$E$11*parametros_recargas!$H$40+sobrestock_sustitutos!$E$97/12</f>
        <v>451.485756212408</v>
      </c>
      <c r="K107" s="26" t="n">
        <f aca="false">datos_base!$E$11*parametros_recargas!$I$40+sobrestock_sustitutos!$E$97/12</f>
        <v>451.485756212408</v>
      </c>
      <c r="L107" s="26" t="n">
        <f aca="false">datos_base!$E$11*parametros_recargas!$J$40+sobrestock_sustitutos!$E$97/12</f>
        <v>451.485756212408</v>
      </c>
      <c r="M107" s="26" t="n">
        <f aca="false">datos_base!$E$11*parametros_recargas!$K$40+sobrestock_sustitutos!$E$97/12</f>
        <v>451.485756212408</v>
      </c>
      <c r="N107" s="26" t="n">
        <f aca="false">datos_base!$E$11*parametros_recargas!$L$40+sobrestock_sustitutos!$E$97/12</f>
        <v>451.485756212408</v>
      </c>
      <c r="O107" s="26" t="n">
        <f aca="false">datos_base!$E$11*parametros_recargas!$M$40+sobrestock_sustitutos!$E$97/12</f>
        <v>451.485756212408</v>
      </c>
      <c r="P107" s="7" t="n">
        <f aca="false">SUM(D107:O107)</f>
        <v>5417.8290745489</v>
      </c>
      <c r="Q107" s="13" t="n">
        <f aca="false">sobrestock_sustitutos!$E$97</f>
        <v>36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5" t="n">
        <f aca="false">parametros_recargas!C61</f>
        <v>1</v>
      </c>
      <c r="D108" s="26" t="n">
        <f aca="false">datos_base!$E$12*parametros_recargas!$B$40+sobrestock_sustitutos!$E$98/12</f>
        <v>147.011710472811</v>
      </c>
      <c r="E108" s="26" t="n">
        <f aca="false">datos_base!$E$12*parametros_recargas!$C$40+sobrestock_sustitutos!$E$98/12</f>
        <v>147.011710472811</v>
      </c>
      <c r="F108" s="26" t="n">
        <f aca="false">datos_base!$E$12*parametros_recargas!$D$40+sobrestock_sustitutos!$E$98/12</f>
        <v>147.011710472811</v>
      </c>
      <c r="G108" s="26" t="n">
        <f aca="false">datos_base!$E$12*parametros_recargas!$E$40+sobrestock_sustitutos!$E$98/12</f>
        <v>147.011710472811</v>
      </c>
      <c r="H108" s="26" t="n">
        <f aca="false">datos_base!$E$12*parametros_recargas!$F$40+sobrestock_sustitutos!$E$98/12</f>
        <v>147.011710472811</v>
      </c>
      <c r="I108" s="26" t="n">
        <f aca="false">datos_base!$E$12*parametros_recargas!$G$40+sobrestock_sustitutos!$E$98/12</f>
        <v>147.011710472811</v>
      </c>
      <c r="J108" s="26" t="n">
        <f aca="false">datos_base!$E$12*parametros_recargas!$H$40+sobrestock_sustitutos!$E$98/12</f>
        <v>147.011710472811</v>
      </c>
      <c r="K108" s="26" t="n">
        <f aca="false">datos_base!$E$12*parametros_recargas!$I$40+sobrestock_sustitutos!$E$98/12</f>
        <v>147.011710472811</v>
      </c>
      <c r="L108" s="26" t="n">
        <f aca="false">datos_base!$E$12*parametros_recargas!$J$40+sobrestock_sustitutos!$E$98/12</f>
        <v>147.011710472811</v>
      </c>
      <c r="M108" s="26" t="n">
        <f aca="false">datos_base!$E$12*parametros_recargas!$K$40+sobrestock_sustitutos!$E$98/12</f>
        <v>147.011710472811</v>
      </c>
      <c r="N108" s="26" t="n">
        <f aca="false">datos_base!$E$12*parametros_recargas!$L$40+sobrestock_sustitutos!$E$98/12</f>
        <v>147.011710472811</v>
      </c>
      <c r="O108" s="26" t="n">
        <f aca="false">datos_base!$E$12*parametros_recargas!$M$40+sobrestock_sustitutos!$E$98/12</f>
        <v>147.011710472811</v>
      </c>
      <c r="P108" s="7" t="n">
        <f aca="false">SUM(D108:O108)</f>
        <v>1764.14052567374</v>
      </c>
      <c r="Q108" s="13" t="n">
        <f aca="false">sobrestock_sustitutos!$E$98</f>
        <v>13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5" t="n">
        <f aca="false">parametros_recargas!C62</f>
        <v>1</v>
      </c>
      <c r="D109" s="26" t="n">
        <f aca="false">datos_base!$E$13*parametros_recargas!$B$40+sobrestock_sustitutos!$E$99/12</f>
        <v>24.0178788656253</v>
      </c>
      <c r="E109" s="26" t="n">
        <f aca="false">datos_base!$E$13*parametros_recargas!$C$40+sobrestock_sustitutos!$E$99/12</f>
        <v>24.0178788656253</v>
      </c>
      <c r="F109" s="26" t="n">
        <f aca="false">datos_base!$E$13*parametros_recargas!$D$40+sobrestock_sustitutos!$E$99/12</f>
        <v>24.0178788656253</v>
      </c>
      <c r="G109" s="26" t="n">
        <f aca="false">datos_base!$E$13*parametros_recargas!$E$40+sobrestock_sustitutos!$E$99/12</f>
        <v>24.0178788656253</v>
      </c>
      <c r="H109" s="26" t="n">
        <f aca="false">datos_base!$E$13*parametros_recargas!$F$40+sobrestock_sustitutos!$E$99/12</f>
        <v>24.0178788656253</v>
      </c>
      <c r="I109" s="26" t="n">
        <f aca="false">datos_base!$E$13*parametros_recargas!$G$40+sobrestock_sustitutos!$E$99/12</f>
        <v>24.0178788656253</v>
      </c>
      <c r="J109" s="26" t="n">
        <f aca="false">datos_base!$E$13*parametros_recargas!$H$40+sobrestock_sustitutos!$E$99/12</f>
        <v>24.0178788656253</v>
      </c>
      <c r="K109" s="26" t="n">
        <f aca="false">datos_base!$E$13*parametros_recargas!$I$40+sobrestock_sustitutos!$E$99/12</f>
        <v>24.0178788656253</v>
      </c>
      <c r="L109" s="26" t="n">
        <f aca="false">datos_base!$E$13*parametros_recargas!$J$40+sobrestock_sustitutos!$E$99/12</f>
        <v>24.0178788656253</v>
      </c>
      <c r="M109" s="26" t="n">
        <f aca="false">datos_base!$E$13*parametros_recargas!$K$40+sobrestock_sustitutos!$E$99/12</f>
        <v>24.0178788656253</v>
      </c>
      <c r="N109" s="26" t="n">
        <f aca="false">datos_base!$E$13*parametros_recargas!$L$40+sobrestock_sustitutos!$E$99/12</f>
        <v>24.0178788656253</v>
      </c>
      <c r="O109" s="26" t="n">
        <f aca="false">datos_base!$E$13*parametros_recargas!$M$40+sobrestock_sustitutos!$E$99/12</f>
        <v>24.0178788656253</v>
      </c>
      <c r="P109" s="7" t="n">
        <f aca="false">SUM(D109:O109)</f>
        <v>288.214546387503</v>
      </c>
      <c r="Q109" s="13" t="n">
        <f aca="false">sobrestock_sustitutos!$E$99</f>
        <v>3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5" t="n">
        <f aca="false">parametros_recargas!C63</f>
        <v>1</v>
      </c>
      <c r="D110" s="26" t="n">
        <f aca="false">datos_base!$E$14*parametros_recargas!$B$40+sobrestock_sustitutos!$E$100/12</f>
        <v>8.87830906059113</v>
      </c>
      <c r="E110" s="26" t="n">
        <f aca="false">datos_base!$E$14*parametros_recargas!$C$40+sobrestock_sustitutos!$E$100/12</f>
        <v>8.87830906059113</v>
      </c>
      <c r="F110" s="26" t="n">
        <f aca="false">datos_base!$E$14*parametros_recargas!$D$40+sobrestock_sustitutos!$E$100/12</f>
        <v>8.87830906059113</v>
      </c>
      <c r="G110" s="26" t="n">
        <f aca="false">datos_base!$E$14*parametros_recargas!$E$40+sobrestock_sustitutos!$E$100/12</f>
        <v>8.87830906059113</v>
      </c>
      <c r="H110" s="26" t="n">
        <f aca="false">datos_base!$E$14*parametros_recargas!$F$40+sobrestock_sustitutos!$E$100/12</f>
        <v>8.87830906059113</v>
      </c>
      <c r="I110" s="26" t="n">
        <f aca="false">datos_base!$E$14*parametros_recargas!$G$40+sobrestock_sustitutos!$E$100/12</f>
        <v>8.87830906059113</v>
      </c>
      <c r="J110" s="26" t="n">
        <f aca="false">datos_base!$E$14*parametros_recargas!$H$40+sobrestock_sustitutos!$E$100/12</f>
        <v>8.87830906059113</v>
      </c>
      <c r="K110" s="26" t="n">
        <f aca="false">datos_base!$E$14*parametros_recargas!$I$40+sobrestock_sustitutos!$E$100/12</f>
        <v>8.87830906059113</v>
      </c>
      <c r="L110" s="26" t="n">
        <f aca="false">datos_base!$E$14*parametros_recargas!$J$40+sobrestock_sustitutos!$E$100/12</f>
        <v>8.87830906059113</v>
      </c>
      <c r="M110" s="26" t="n">
        <f aca="false">datos_base!$E$14*parametros_recargas!$K$40+sobrestock_sustitutos!$E$100/12</f>
        <v>8.87830906059113</v>
      </c>
      <c r="N110" s="26" t="n">
        <f aca="false">datos_base!$E$14*parametros_recargas!$L$40+sobrestock_sustitutos!$E$100/12</f>
        <v>8.87830906059113</v>
      </c>
      <c r="O110" s="26" t="n">
        <f aca="false">datos_base!$E$14*parametros_recargas!$M$40+sobrestock_sustitutos!$E$100/12</f>
        <v>8.87830906059113</v>
      </c>
      <c r="P110" s="7" t="n">
        <f aca="false">SUM(D110:O110)</f>
        <v>106.539708727094</v>
      </c>
      <c r="Q110" s="13" t="n">
        <f aca="false">sobrestock_sustitutos!$E$100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5" t="n">
        <f aca="false">parametros_recargas!C64</f>
        <v>3</v>
      </c>
      <c r="D111" s="26" t="n">
        <f aca="false">datos_base!$E$15*parametros_recargas!$B$40+sobrestock_sustitutos!$E$101/12</f>
        <v>20.1306611867304</v>
      </c>
      <c r="E111" s="26" t="n">
        <f aca="false">datos_base!$E$15*parametros_recargas!$C$40+sobrestock_sustitutos!$E$101/12</f>
        <v>20.1306611867304</v>
      </c>
      <c r="F111" s="26" t="n">
        <f aca="false">datos_base!$E$15*parametros_recargas!$D$40+sobrestock_sustitutos!$E$101/12</f>
        <v>20.1306611867304</v>
      </c>
      <c r="G111" s="26" t="n">
        <f aca="false">datos_base!$E$15*parametros_recargas!$E$40+sobrestock_sustitutos!$E$101/12</f>
        <v>20.1306611867304</v>
      </c>
      <c r="H111" s="26" t="n">
        <f aca="false">datos_base!$E$15*parametros_recargas!$F$40+sobrestock_sustitutos!$E$101/12</f>
        <v>20.1306611867304</v>
      </c>
      <c r="I111" s="26" t="n">
        <f aca="false">datos_base!$E$15*parametros_recargas!$G$40+sobrestock_sustitutos!$E$101/12</f>
        <v>20.1306611867304</v>
      </c>
      <c r="J111" s="26" t="n">
        <f aca="false">datos_base!$E$15*parametros_recargas!$H$40+sobrestock_sustitutos!$E$101/12</f>
        <v>20.1306611867304</v>
      </c>
      <c r="K111" s="26" t="n">
        <f aca="false">datos_base!$E$15*parametros_recargas!$I$40+sobrestock_sustitutos!$E$101/12</f>
        <v>20.1306611867304</v>
      </c>
      <c r="L111" s="26" t="n">
        <f aca="false">datos_base!$E$15*parametros_recargas!$J$40+sobrestock_sustitutos!$E$101/12</f>
        <v>20.1306611867304</v>
      </c>
      <c r="M111" s="26" t="n">
        <f aca="false">datos_base!$E$15*parametros_recargas!$K$40+sobrestock_sustitutos!$E$101/12</f>
        <v>20.1306611867304</v>
      </c>
      <c r="N111" s="26" t="n">
        <f aca="false">datos_base!$E$15*parametros_recargas!$L$40+sobrestock_sustitutos!$E$101/12</f>
        <v>20.1306611867304</v>
      </c>
      <c r="O111" s="26" t="n">
        <f aca="false">datos_base!$E$15*parametros_recargas!$M$40+sobrestock_sustitutos!$E$101/12</f>
        <v>20.1306611867304</v>
      </c>
      <c r="P111" s="7" t="n">
        <f aca="false">SUM(D111:O111)</f>
        <v>241.567934240765</v>
      </c>
      <c r="Q111" s="13" t="n">
        <f aca="false">sobrestock_sustitutos!$E$101</f>
        <v>2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5" t="n">
        <f aca="false">parametros_recargas!C65</f>
        <v>3</v>
      </c>
      <c r="D112" s="26" t="n">
        <f aca="false">datos_base!$E$16*parametros_recargas!$B$40+sobrestock_sustitutos!$E$102/12</f>
        <v>44.2541212656109</v>
      </c>
      <c r="E112" s="26" t="n">
        <f aca="false">datos_base!$E$16*parametros_recargas!$C$40+sobrestock_sustitutos!$E$102/12</f>
        <v>44.2541212656109</v>
      </c>
      <c r="F112" s="26" t="n">
        <f aca="false">datos_base!$E$16*parametros_recargas!$D$40+sobrestock_sustitutos!$E$102/12</f>
        <v>44.2541212656109</v>
      </c>
      <c r="G112" s="26" t="n">
        <f aca="false">datos_base!$E$16*parametros_recargas!$E$40+sobrestock_sustitutos!$E$102/12</f>
        <v>44.2541212656109</v>
      </c>
      <c r="H112" s="26" t="n">
        <f aca="false">datos_base!$E$16*parametros_recargas!$F$40+sobrestock_sustitutos!$E$102/12</f>
        <v>44.2541212656109</v>
      </c>
      <c r="I112" s="26" t="n">
        <f aca="false">datos_base!$E$16*parametros_recargas!$G$40+sobrestock_sustitutos!$E$102/12</f>
        <v>44.2541212656109</v>
      </c>
      <c r="J112" s="26" t="n">
        <f aca="false">datos_base!$E$16*parametros_recargas!$H$40+sobrestock_sustitutos!$E$102/12</f>
        <v>44.2541212656109</v>
      </c>
      <c r="K112" s="26" t="n">
        <f aca="false">datos_base!$E$16*parametros_recargas!$I$40+sobrestock_sustitutos!$E$102/12</f>
        <v>44.2541212656109</v>
      </c>
      <c r="L112" s="26" t="n">
        <f aca="false">datos_base!$E$16*parametros_recargas!$J$40+sobrestock_sustitutos!$E$102/12</f>
        <v>44.2541212656109</v>
      </c>
      <c r="M112" s="26" t="n">
        <f aca="false">datos_base!$E$16*parametros_recargas!$K$40+sobrestock_sustitutos!$E$102/12</f>
        <v>44.2541212656109</v>
      </c>
      <c r="N112" s="26" t="n">
        <f aca="false">datos_base!$E$16*parametros_recargas!$L$40+sobrestock_sustitutos!$E$102/12</f>
        <v>44.2541212656109</v>
      </c>
      <c r="O112" s="26" t="n">
        <f aca="false">datos_base!$E$16*parametros_recargas!$M$40+sobrestock_sustitutos!$E$102/12</f>
        <v>44.2541212656109</v>
      </c>
      <c r="P112" s="7" t="n">
        <f aca="false">SUM(D112:O112)</f>
        <v>531.049455187331</v>
      </c>
      <c r="Q112" s="13" t="n">
        <f aca="false">sobrestock_sustitutos!$E$102</f>
        <v>4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5" t="n">
        <f aca="false">parametros_recargas!C66</f>
        <v>3</v>
      </c>
      <c r="D113" s="26" t="n">
        <f aca="false">datos_base!$E$17*parametros_recargas!$B$40+sobrestock_sustitutos!$E$103/12</f>
        <v>9.66605069821885</v>
      </c>
      <c r="E113" s="26" t="n">
        <f aca="false">datos_base!$E$17*parametros_recargas!$C$40+sobrestock_sustitutos!$E$103/12</f>
        <v>9.66605069821885</v>
      </c>
      <c r="F113" s="26" t="n">
        <f aca="false">datos_base!$E$17*parametros_recargas!$D$40+sobrestock_sustitutos!$E$103/12</f>
        <v>9.66605069821885</v>
      </c>
      <c r="G113" s="26" t="n">
        <f aca="false">datos_base!$E$17*parametros_recargas!$E$40+sobrestock_sustitutos!$E$103/12</f>
        <v>9.66605069821885</v>
      </c>
      <c r="H113" s="26" t="n">
        <f aca="false">datos_base!$E$17*parametros_recargas!$F$40+sobrestock_sustitutos!$E$103/12</f>
        <v>9.66605069821885</v>
      </c>
      <c r="I113" s="26" t="n">
        <f aca="false">datos_base!$E$17*parametros_recargas!$G$40+sobrestock_sustitutos!$E$103/12</f>
        <v>9.66605069821885</v>
      </c>
      <c r="J113" s="26" t="n">
        <f aca="false">datos_base!$E$17*parametros_recargas!$H$40+sobrestock_sustitutos!$E$103/12</f>
        <v>9.66605069821885</v>
      </c>
      <c r="K113" s="26" t="n">
        <f aca="false">datos_base!$E$17*parametros_recargas!$I$40+sobrestock_sustitutos!$E$103/12</f>
        <v>9.66605069821885</v>
      </c>
      <c r="L113" s="26" t="n">
        <f aca="false">datos_base!$E$17*parametros_recargas!$J$40+sobrestock_sustitutos!$E$103/12</f>
        <v>9.66605069821885</v>
      </c>
      <c r="M113" s="26" t="n">
        <f aca="false">datos_base!$E$17*parametros_recargas!$K$40+sobrestock_sustitutos!$E$103/12</f>
        <v>9.66605069821885</v>
      </c>
      <c r="N113" s="26" t="n">
        <f aca="false">datos_base!$E$17*parametros_recargas!$L$40+sobrestock_sustitutos!$E$103/12</f>
        <v>9.66605069821885</v>
      </c>
      <c r="O113" s="26" t="n">
        <f aca="false">datos_base!$E$17*parametros_recargas!$M$40+sobrestock_sustitutos!$E$103/12</f>
        <v>9.66605069821885</v>
      </c>
      <c r="P113" s="7" t="n">
        <f aca="false">SUM(D113:O113)</f>
        <v>115.992608378626</v>
      </c>
      <c r="Q113" s="13" t="n">
        <f aca="false">sobrestock_sustitutos!$E$103</f>
        <v>1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5" t="n">
        <f aca="false">parametros_recargas!C67</f>
        <v>3</v>
      </c>
      <c r="D114" s="26" t="n">
        <f aca="false">datos_base!$E$18*parametros_recargas!$B$40+sobrestock_sustitutos!$E$104/12</f>
        <v>6.47181159636155</v>
      </c>
      <c r="E114" s="26" t="n">
        <f aca="false">datos_base!$E$18*parametros_recargas!$C$40+sobrestock_sustitutos!$E$104/12</f>
        <v>6.47181159636155</v>
      </c>
      <c r="F114" s="26" t="n">
        <f aca="false">datos_base!$E$18*parametros_recargas!$D$40+sobrestock_sustitutos!$E$104/12</f>
        <v>6.47181159636155</v>
      </c>
      <c r="G114" s="26" t="n">
        <f aca="false">datos_base!$E$18*parametros_recargas!$E$40+sobrestock_sustitutos!$E$104/12</f>
        <v>6.47181159636155</v>
      </c>
      <c r="H114" s="26" t="n">
        <f aca="false">datos_base!$E$18*parametros_recargas!$F$40+sobrestock_sustitutos!$E$104/12</f>
        <v>6.47181159636155</v>
      </c>
      <c r="I114" s="26" t="n">
        <f aca="false">datos_base!$E$18*parametros_recargas!$G$40+sobrestock_sustitutos!$E$104/12</f>
        <v>6.47181159636155</v>
      </c>
      <c r="J114" s="26" t="n">
        <f aca="false">datos_base!$E$18*parametros_recargas!$H$40+sobrestock_sustitutos!$E$104/12</f>
        <v>6.47181159636155</v>
      </c>
      <c r="K114" s="26" t="n">
        <f aca="false">datos_base!$E$18*parametros_recargas!$I$40+sobrestock_sustitutos!$E$104/12</f>
        <v>6.47181159636155</v>
      </c>
      <c r="L114" s="26" t="n">
        <f aca="false">datos_base!$E$18*parametros_recargas!$J$40+sobrestock_sustitutos!$E$104/12</f>
        <v>6.47181159636155</v>
      </c>
      <c r="M114" s="26" t="n">
        <f aca="false">datos_base!$E$18*parametros_recargas!$K$40+sobrestock_sustitutos!$E$104/12</f>
        <v>6.47181159636155</v>
      </c>
      <c r="N114" s="26" t="n">
        <f aca="false">datos_base!$E$18*parametros_recargas!$L$40+sobrestock_sustitutos!$E$104/12</f>
        <v>6.47181159636155</v>
      </c>
      <c r="O114" s="26" t="n">
        <f aca="false">datos_base!$E$18*parametros_recargas!$M$40+sobrestock_sustitutos!$E$104/12</f>
        <v>6.47181159636155</v>
      </c>
      <c r="P114" s="7" t="n">
        <f aca="false">SUM(D114:O114)</f>
        <v>77.6617391563386</v>
      </c>
      <c r="Q114" s="13" t="n">
        <f aca="false">sobrestock_sustitutos!$E$104</f>
        <v>1</v>
      </c>
    </row>
    <row r="115" customFormat="false" ht="15" hidden="false" customHeight="false" outlineLevel="0" collapsed="false">
      <c r="A115" s="6" t="s">
        <v>310</v>
      </c>
      <c r="D115" s="7" t="n">
        <f aca="false">SUM(D98:D114)</f>
        <v>6788.43272476695</v>
      </c>
      <c r="E115" s="7" t="n">
        <f aca="false">SUM(E98:E114)</f>
        <v>6788.43272476695</v>
      </c>
      <c r="F115" s="7" t="n">
        <f aca="false">SUM(F98:F114)</f>
        <v>6788.43272476695</v>
      </c>
      <c r="G115" s="7" t="n">
        <f aca="false">SUM(G98:G114)</f>
        <v>6788.43272476695</v>
      </c>
      <c r="H115" s="7" t="n">
        <f aca="false">SUM(H98:H114)</f>
        <v>6788.43272476695</v>
      </c>
      <c r="I115" s="7" t="n">
        <f aca="false">SUM(I98:I114)</f>
        <v>6788.43272476695</v>
      </c>
      <c r="J115" s="7" t="n">
        <f aca="false">SUM(J98:J114)</f>
        <v>6788.43272476695</v>
      </c>
      <c r="K115" s="7" t="n">
        <f aca="false">SUM(K98:K114)</f>
        <v>6788.43272476695</v>
      </c>
      <c r="L115" s="7" t="n">
        <f aca="false">SUM(L98:L114)</f>
        <v>6788.43272476695</v>
      </c>
      <c r="M115" s="7" t="n">
        <f aca="false">SUM(M98:M114)</f>
        <v>6788.43272476695</v>
      </c>
      <c r="N115" s="7" t="n">
        <f aca="false">SUM(N98:N114)</f>
        <v>6788.43272476695</v>
      </c>
      <c r="O115" s="7" t="n">
        <f aca="false">SUM(O98:O114)</f>
        <v>6788.43272476695</v>
      </c>
      <c r="P115" s="7" t="n">
        <f aca="false">SUM(P98:P114)</f>
        <v>81461.1926972034</v>
      </c>
    </row>
    <row r="116" customFormat="false" ht="15" hidden="false" customHeight="false" outlineLevel="0" collapsed="false">
      <c r="A116" s="6" t="s">
        <v>311</v>
      </c>
    </row>
    <row r="117" customFormat="false" ht="15" hidden="false" customHeight="false" outlineLevel="0" collapsed="false">
      <c r="A117" s="4" t="s">
        <v>151</v>
      </c>
      <c r="D117" s="26" t="n">
        <f aca="false">SUMPRODUCT(($B$98:$B$114=$A117)*D$98:D$114*$C$98:$C$114)</f>
        <v>6013.71511650078</v>
      </c>
      <c r="E117" s="26" t="n">
        <f aca="false">SUMPRODUCT(($B$98:$B$114=$A117)*E$98:E$114*$C$98:$C$114)</f>
        <v>6013.71511650078</v>
      </c>
      <c r="F117" s="26" t="n">
        <f aca="false">SUMPRODUCT(($B$98:$B$114=$A117)*F$98:F$114*$C$98:$C$114)</f>
        <v>6013.71511650078</v>
      </c>
      <c r="G117" s="26" t="n">
        <f aca="false">SUMPRODUCT(($B$98:$B$114=$A117)*G$98:G$114*$C$98:$C$114)</f>
        <v>6013.71511650078</v>
      </c>
      <c r="H117" s="26" t="n">
        <f aca="false">SUMPRODUCT(($B$98:$B$114=$A117)*H$98:H$114*$C$98:$C$114)</f>
        <v>6013.71511650078</v>
      </c>
      <c r="I117" s="26" t="n">
        <f aca="false">SUMPRODUCT(($B$98:$B$114=$A117)*I$98:I$114*$C$98:$C$114)</f>
        <v>6013.71511650078</v>
      </c>
      <c r="J117" s="26" t="n">
        <f aca="false">SUMPRODUCT(($B$98:$B$114=$A117)*J$98:J$114*$C$98:$C$114)</f>
        <v>6013.71511650078</v>
      </c>
      <c r="K117" s="26" t="n">
        <f aca="false">SUMPRODUCT(($B$98:$B$114=$A117)*K$98:K$114*$C$98:$C$114)</f>
        <v>6013.71511650078</v>
      </c>
      <c r="L117" s="26" t="n">
        <f aca="false">SUMPRODUCT(($B$98:$B$114=$A117)*L$98:L$114*$C$98:$C$114)</f>
        <v>6013.71511650078</v>
      </c>
      <c r="M117" s="26" t="n">
        <f aca="false">SUMPRODUCT(($B$98:$B$114=$A117)*M$98:M$114*$C$98:$C$114)</f>
        <v>6013.71511650078</v>
      </c>
      <c r="N117" s="26" t="n">
        <f aca="false">SUMPRODUCT(($B$98:$B$114=$A117)*N$98:N$114*$C$98:$C$114)</f>
        <v>6013.71511650078</v>
      </c>
      <c r="O117" s="26" t="n">
        <f aca="false">SUMPRODUCT(($B$98:$B$114=$A117)*O$98:O$114*$C$98:$C$114)</f>
        <v>6013.71511650078</v>
      </c>
      <c r="P117" s="26" t="n">
        <f aca="false">SUMPRODUCT(($B$98:$B$114=$A117)*P$98:P$114*$C$98:$C$114)</f>
        <v>72164.5813980094</v>
      </c>
    </row>
    <row r="118" customFormat="false" ht="15" hidden="false" customHeight="false" outlineLevel="0" collapsed="false">
      <c r="A118" s="4" t="s">
        <v>157</v>
      </c>
      <c r="D118" s="26" t="n">
        <f aca="false">SUMPRODUCT(($B$98:$B$114=$A118)*D$98:D$114*$C$98:$C$114)</f>
        <v>9.54400419663871</v>
      </c>
      <c r="E118" s="26" t="n">
        <f aca="false">SUMPRODUCT(($B$98:$B$114=$A118)*E$98:E$114*$C$98:$C$114)</f>
        <v>9.54400419663871</v>
      </c>
      <c r="F118" s="26" t="n">
        <f aca="false">SUMPRODUCT(($B$98:$B$114=$A118)*F$98:F$114*$C$98:$C$114)</f>
        <v>9.54400419663871</v>
      </c>
      <c r="G118" s="26" t="n">
        <f aca="false">SUMPRODUCT(($B$98:$B$114=$A118)*G$98:G$114*$C$98:$C$114)</f>
        <v>9.54400419663871</v>
      </c>
      <c r="H118" s="26" t="n">
        <f aca="false">SUMPRODUCT(($B$98:$B$114=$A118)*H$98:H$114*$C$98:$C$114)</f>
        <v>9.54400419663871</v>
      </c>
      <c r="I118" s="26" t="n">
        <f aca="false">SUMPRODUCT(($B$98:$B$114=$A118)*I$98:I$114*$C$98:$C$114)</f>
        <v>9.54400419663871</v>
      </c>
      <c r="J118" s="26" t="n">
        <f aca="false">SUMPRODUCT(($B$98:$B$114=$A118)*J$98:J$114*$C$98:$C$114)</f>
        <v>9.54400419663871</v>
      </c>
      <c r="K118" s="26" t="n">
        <f aca="false">SUMPRODUCT(($B$98:$B$114=$A118)*K$98:K$114*$C$98:$C$114)</f>
        <v>9.54400419663871</v>
      </c>
      <c r="L118" s="26" t="n">
        <f aca="false">SUMPRODUCT(($B$98:$B$114=$A118)*L$98:L$114*$C$98:$C$114)</f>
        <v>9.54400419663871</v>
      </c>
      <c r="M118" s="26" t="n">
        <f aca="false">SUMPRODUCT(($B$98:$B$114=$A118)*M$98:M$114*$C$98:$C$114)</f>
        <v>9.54400419663871</v>
      </c>
      <c r="N118" s="26" t="n">
        <f aca="false">SUMPRODUCT(($B$98:$B$114=$A118)*N$98:N$114*$C$98:$C$114)</f>
        <v>9.54400419663871</v>
      </c>
      <c r="O118" s="26" t="n">
        <f aca="false">SUMPRODUCT(($B$98:$B$114=$A118)*O$98:O$114*$C$98:$C$114)</f>
        <v>9.54400419663871</v>
      </c>
      <c r="P118" s="26" t="n">
        <f aca="false">SUMPRODUCT(($B$98:$B$114=$A118)*P$98:P$114*$C$98:$C$114)</f>
        <v>114.528050359665</v>
      </c>
    </row>
    <row r="119" customFormat="false" ht="15" hidden="false" customHeight="false" outlineLevel="0" collapsed="false">
      <c r="A119" s="4" t="s">
        <v>163</v>
      </c>
      <c r="D119" s="26" t="n">
        <f aca="false">SUMPRODUCT(($B$98:$B$114=$A119)*D$98:D$114*$C$98:$C$114)</f>
        <v>8.87830906059113</v>
      </c>
      <c r="E119" s="26" t="n">
        <f aca="false">SUMPRODUCT(($B$98:$B$114=$A119)*E$98:E$114*$C$98:$C$114)</f>
        <v>8.87830906059113</v>
      </c>
      <c r="F119" s="26" t="n">
        <f aca="false">SUMPRODUCT(($B$98:$B$114=$A119)*F$98:F$114*$C$98:$C$114)</f>
        <v>8.87830906059113</v>
      </c>
      <c r="G119" s="26" t="n">
        <f aca="false">SUMPRODUCT(($B$98:$B$114=$A119)*G$98:G$114*$C$98:$C$114)</f>
        <v>8.87830906059113</v>
      </c>
      <c r="H119" s="26" t="n">
        <f aca="false">SUMPRODUCT(($B$98:$B$114=$A119)*H$98:H$114*$C$98:$C$114)</f>
        <v>8.87830906059113</v>
      </c>
      <c r="I119" s="26" t="n">
        <f aca="false">SUMPRODUCT(($B$98:$B$114=$A119)*I$98:I$114*$C$98:$C$114)</f>
        <v>8.87830906059113</v>
      </c>
      <c r="J119" s="26" t="n">
        <f aca="false">SUMPRODUCT(($B$98:$B$114=$A119)*J$98:J$114*$C$98:$C$114)</f>
        <v>8.87830906059113</v>
      </c>
      <c r="K119" s="26" t="n">
        <f aca="false">SUMPRODUCT(($B$98:$B$114=$A119)*K$98:K$114*$C$98:$C$114)</f>
        <v>8.87830906059113</v>
      </c>
      <c r="L119" s="26" t="n">
        <f aca="false">SUMPRODUCT(($B$98:$B$114=$A119)*L$98:L$114*$C$98:$C$114)</f>
        <v>8.87830906059113</v>
      </c>
      <c r="M119" s="26" t="n">
        <f aca="false">SUMPRODUCT(($B$98:$B$114=$A119)*M$98:M$114*$C$98:$C$114)</f>
        <v>8.87830906059113</v>
      </c>
      <c r="N119" s="26" t="n">
        <f aca="false">SUMPRODUCT(($B$98:$B$114=$A119)*N$98:N$114*$C$98:$C$114)</f>
        <v>8.87830906059113</v>
      </c>
      <c r="O119" s="26" t="n">
        <f aca="false">SUMPRODUCT(($B$98:$B$114=$A119)*O$98:O$114*$C$98:$C$114)</f>
        <v>8.87830906059113</v>
      </c>
      <c r="P119" s="26" t="n">
        <f aca="false">SUMPRODUCT(($B$98:$B$114=$A119)*P$98:P$114*$C$98:$C$114)</f>
        <v>106.539708727094</v>
      </c>
    </row>
    <row r="120" customFormat="false" ht="15" hidden="false" customHeight="false" outlineLevel="0" collapsed="false">
      <c r="A120" s="4" t="s">
        <v>154</v>
      </c>
      <c r="D120" s="26" t="n">
        <f aca="false">SUMPRODUCT(($B$98:$B$114=$A120)*D$98:D$114*$C$98:$C$114)</f>
        <v>165.254914729824</v>
      </c>
      <c r="E120" s="26" t="n">
        <f aca="false">SUMPRODUCT(($B$98:$B$114=$A120)*E$98:E$114*$C$98:$C$114)</f>
        <v>165.254914729824</v>
      </c>
      <c r="F120" s="26" t="n">
        <f aca="false">SUMPRODUCT(($B$98:$B$114=$A120)*F$98:F$114*$C$98:$C$114)</f>
        <v>165.254914729824</v>
      </c>
      <c r="G120" s="26" t="n">
        <f aca="false">SUMPRODUCT(($B$98:$B$114=$A120)*G$98:G$114*$C$98:$C$114)</f>
        <v>165.254914729824</v>
      </c>
      <c r="H120" s="26" t="n">
        <f aca="false">SUMPRODUCT(($B$98:$B$114=$A120)*H$98:H$114*$C$98:$C$114)</f>
        <v>165.254914729824</v>
      </c>
      <c r="I120" s="26" t="n">
        <f aca="false">SUMPRODUCT(($B$98:$B$114=$A120)*I$98:I$114*$C$98:$C$114)</f>
        <v>165.254914729824</v>
      </c>
      <c r="J120" s="26" t="n">
        <f aca="false">SUMPRODUCT(($B$98:$B$114=$A120)*J$98:J$114*$C$98:$C$114)</f>
        <v>165.254914729824</v>
      </c>
      <c r="K120" s="26" t="n">
        <f aca="false">SUMPRODUCT(($B$98:$B$114=$A120)*K$98:K$114*$C$98:$C$114)</f>
        <v>165.254914729824</v>
      </c>
      <c r="L120" s="26" t="n">
        <f aca="false">SUMPRODUCT(($B$98:$B$114=$A120)*L$98:L$114*$C$98:$C$114)</f>
        <v>165.254914729824</v>
      </c>
      <c r="M120" s="26" t="n">
        <f aca="false">SUMPRODUCT(($B$98:$B$114=$A120)*M$98:M$114*$C$98:$C$114)</f>
        <v>165.254914729824</v>
      </c>
      <c r="N120" s="26" t="n">
        <f aca="false">SUMPRODUCT(($B$98:$B$114=$A120)*N$98:N$114*$C$98:$C$114)</f>
        <v>165.254914729824</v>
      </c>
      <c r="O120" s="26" t="n">
        <f aca="false">SUMPRODUCT(($B$98:$B$114=$A120)*O$98:O$114*$C$98:$C$114)</f>
        <v>165.254914729824</v>
      </c>
      <c r="P120" s="26" t="n">
        <f aca="false">SUMPRODUCT(($B$98:$B$114=$A120)*P$98:P$114*$C$98:$C$114)</f>
        <v>1983.05897675789</v>
      </c>
    </row>
    <row r="121" customFormat="false" ht="15" hidden="false" customHeight="false" outlineLevel="0" collapsed="false">
      <c r="A121" s="4" t="s">
        <v>155</v>
      </c>
      <c r="D121" s="26" t="n">
        <f aca="false">SUMPRODUCT(($B$98:$B$114=$A121)*D$98:D$114*$C$98:$C$114)</f>
        <v>82.0937755925043</v>
      </c>
      <c r="E121" s="26" t="n">
        <f aca="false">SUMPRODUCT(($B$98:$B$114=$A121)*E$98:E$114*$C$98:$C$114)</f>
        <v>82.0937755925043</v>
      </c>
      <c r="F121" s="26" t="n">
        <f aca="false">SUMPRODUCT(($B$98:$B$114=$A121)*F$98:F$114*$C$98:$C$114)</f>
        <v>82.0937755925043</v>
      </c>
      <c r="G121" s="26" t="n">
        <f aca="false">SUMPRODUCT(($B$98:$B$114=$A121)*G$98:G$114*$C$98:$C$114)</f>
        <v>82.0937755925043</v>
      </c>
      <c r="H121" s="26" t="n">
        <f aca="false">SUMPRODUCT(($B$98:$B$114=$A121)*H$98:H$114*$C$98:$C$114)</f>
        <v>82.0937755925043</v>
      </c>
      <c r="I121" s="26" t="n">
        <f aca="false">SUMPRODUCT(($B$98:$B$114=$A121)*I$98:I$114*$C$98:$C$114)</f>
        <v>82.0937755925043</v>
      </c>
      <c r="J121" s="26" t="n">
        <f aca="false">SUMPRODUCT(($B$98:$B$114=$A121)*J$98:J$114*$C$98:$C$114)</f>
        <v>82.0937755925043</v>
      </c>
      <c r="K121" s="26" t="n">
        <f aca="false">SUMPRODUCT(($B$98:$B$114=$A121)*K$98:K$114*$C$98:$C$114)</f>
        <v>82.0937755925043</v>
      </c>
      <c r="L121" s="26" t="n">
        <f aca="false">SUMPRODUCT(($B$98:$B$114=$A121)*L$98:L$114*$C$98:$C$114)</f>
        <v>82.0937755925043</v>
      </c>
      <c r="M121" s="26" t="n">
        <f aca="false">SUMPRODUCT(($B$98:$B$114=$A121)*M$98:M$114*$C$98:$C$114)</f>
        <v>82.0937755925043</v>
      </c>
      <c r="N121" s="26" t="n">
        <f aca="false">SUMPRODUCT(($B$98:$B$114=$A121)*N$98:N$114*$C$98:$C$114)</f>
        <v>82.0937755925043</v>
      </c>
      <c r="O121" s="26" t="n">
        <f aca="false">SUMPRODUCT(($B$98:$B$114=$A121)*O$98:O$114*$C$98:$C$114)</f>
        <v>82.0937755925043</v>
      </c>
      <c r="P121" s="26" t="n">
        <f aca="false">SUMPRODUCT(($B$98:$B$114=$A121)*P$98:P$114*$C$98:$C$114)</f>
        <v>985.125307110051</v>
      </c>
    </row>
    <row r="122" customFormat="false" ht="15" hidden="false" customHeight="false" outlineLevel="0" collapsed="false">
      <c r="A122" s="4" t="s">
        <v>158</v>
      </c>
      <c r="D122" s="26" t="n">
        <f aca="false">SUMPRODUCT(($B$98:$B$114=$A122)*D$98:D$114*$C$98:$C$114)</f>
        <v>81.1846080435592</v>
      </c>
      <c r="E122" s="26" t="n">
        <f aca="false">SUMPRODUCT(($B$98:$B$114=$A122)*E$98:E$114*$C$98:$C$114)</f>
        <v>81.1846080435592</v>
      </c>
      <c r="F122" s="26" t="n">
        <f aca="false">SUMPRODUCT(($B$98:$B$114=$A122)*F$98:F$114*$C$98:$C$114)</f>
        <v>81.1846080435592</v>
      </c>
      <c r="G122" s="26" t="n">
        <f aca="false">SUMPRODUCT(($B$98:$B$114=$A122)*G$98:G$114*$C$98:$C$114)</f>
        <v>81.1846080435592</v>
      </c>
      <c r="H122" s="26" t="n">
        <f aca="false">SUMPRODUCT(($B$98:$B$114=$A122)*H$98:H$114*$C$98:$C$114)</f>
        <v>81.1846080435592</v>
      </c>
      <c r="I122" s="26" t="n">
        <f aca="false">SUMPRODUCT(($B$98:$B$114=$A122)*I$98:I$114*$C$98:$C$114)</f>
        <v>81.1846080435592</v>
      </c>
      <c r="J122" s="26" t="n">
        <f aca="false">SUMPRODUCT(($B$98:$B$114=$A122)*J$98:J$114*$C$98:$C$114)</f>
        <v>81.1846080435592</v>
      </c>
      <c r="K122" s="26" t="n">
        <f aca="false">SUMPRODUCT(($B$98:$B$114=$A122)*K$98:K$114*$C$98:$C$114)</f>
        <v>81.1846080435592</v>
      </c>
      <c r="L122" s="26" t="n">
        <f aca="false">SUMPRODUCT(($B$98:$B$114=$A122)*L$98:L$114*$C$98:$C$114)</f>
        <v>81.1846080435592</v>
      </c>
      <c r="M122" s="26" t="n">
        <f aca="false">SUMPRODUCT(($B$98:$B$114=$A122)*M$98:M$114*$C$98:$C$114)</f>
        <v>81.1846080435592</v>
      </c>
      <c r="N122" s="26" t="n">
        <f aca="false">SUMPRODUCT(($B$98:$B$114=$A122)*N$98:N$114*$C$98:$C$114)</f>
        <v>81.1846080435592</v>
      </c>
      <c r="O122" s="26" t="n">
        <f aca="false">SUMPRODUCT(($B$98:$B$114=$A122)*O$98:O$114*$C$98:$C$114)</f>
        <v>81.1846080435592</v>
      </c>
      <c r="P122" s="26" t="n">
        <f aca="false">SUMPRODUCT(($B$98:$B$114=$A122)*P$98:P$114*$C$98:$C$114)</f>
        <v>974.21529652271</v>
      </c>
    </row>
    <row r="123" customFormat="false" ht="15" hidden="false" customHeight="false" outlineLevel="0" collapsed="false">
      <c r="A123" s="4" t="s">
        <v>159</v>
      </c>
      <c r="D123" s="26" t="n">
        <f aca="false">SUMPRODUCT(($B$98:$B$114=$A123)*D$98:D$114*$C$98:$C$114)</f>
        <v>598.497466685219</v>
      </c>
      <c r="E123" s="26" t="n">
        <f aca="false">SUMPRODUCT(($B$98:$B$114=$A123)*E$98:E$114*$C$98:$C$114)</f>
        <v>598.497466685219</v>
      </c>
      <c r="F123" s="26" t="n">
        <f aca="false">SUMPRODUCT(($B$98:$B$114=$A123)*F$98:F$114*$C$98:$C$114)</f>
        <v>598.497466685219</v>
      </c>
      <c r="G123" s="26" t="n">
        <f aca="false">SUMPRODUCT(($B$98:$B$114=$A123)*G$98:G$114*$C$98:$C$114)</f>
        <v>598.497466685219</v>
      </c>
      <c r="H123" s="26" t="n">
        <f aca="false">SUMPRODUCT(($B$98:$B$114=$A123)*H$98:H$114*$C$98:$C$114)</f>
        <v>598.497466685219</v>
      </c>
      <c r="I123" s="26" t="n">
        <f aca="false">SUMPRODUCT(($B$98:$B$114=$A123)*I$98:I$114*$C$98:$C$114)</f>
        <v>598.497466685219</v>
      </c>
      <c r="J123" s="26" t="n">
        <f aca="false">SUMPRODUCT(($B$98:$B$114=$A123)*J$98:J$114*$C$98:$C$114)</f>
        <v>598.497466685219</v>
      </c>
      <c r="K123" s="26" t="n">
        <f aca="false">SUMPRODUCT(($B$98:$B$114=$A123)*K$98:K$114*$C$98:$C$114)</f>
        <v>598.497466685219</v>
      </c>
      <c r="L123" s="26" t="n">
        <f aca="false">SUMPRODUCT(($B$98:$B$114=$A123)*L$98:L$114*$C$98:$C$114)</f>
        <v>598.497466685219</v>
      </c>
      <c r="M123" s="26" t="n">
        <f aca="false">SUMPRODUCT(($B$98:$B$114=$A123)*M$98:M$114*$C$98:$C$114)</f>
        <v>598.497466685219</v>
      </c>
      <c r="N123" s="26" t="n">
        <f aca="false">SUMPRODUCT(($B$98:$B$114=$A123)*N$98:N$114*$C$98:$C$114)</f>
        <v>598.497466685219</v>
      </c>
      <c r="O123" s="26" t="n">
        <f aca="false">SUMPRODUCT(($B$98:$B$114=$A123)*O$98:O$114*$C$98:$C$114)</f>
        <v>598.497466685219</v>
      </c>
      <c r="P123" s="26" t="n">
        <f aca="false">SUMPRODUCT(($B$98:$B$114=$A123)*P$98:P$114*$C$98:$C$114)</f>
        <v>7181.96960022263</v>
      </c>
    </row>
    <row r="124" customFormat="false" ht="15" hidden="false" customHeight="false" outlineLevel="0" collapsed="false">
      <c r="A124" s="4" t="s">
        <v>162</v>
      </c>
      <c r="D124" s="26" t="n">
        <f aca="false">SUMPRODUCT(($B$98:$B$114=$A124)*D$98:D$114*$C$98:$C$114)</f>
        <v>24.0178788656253</v>
      </c>
      <c r="E124" s="26" t="n">
        <f aca="false">SUMPRODUCT(($B$98:$B$114=$A124)*E$98:E$114*$C$98:$C$114)</f>
        <v>24.0178788656253</v>
      </c>
      <c r="F124" s="26" t="n">
        <f aca="false">SUMPRODUCT(($B$98:$B$114=$A124)*F$98:F$114*$C$98:$C$114)</f>
        <v>24.0178788656253</v>
      </c>
      <c r="G124" s="26" t="n">
        <f aca="false">SUMPRODUCT(($B$98:$B$114=$A124)*G$98:G$114*$C$98:$C$114)</f>
        <v>24.0178788656253</v>
      </c>
      <c r="H124" s="26" t="n">
        <f aca="false">SUMPRODUCT(($B$98:$B$114=$A124)*H$98:H$114*$C$98:$C$114)</f>
        <v>24.0178788656253</v>
      </c>
      <c r="I124" s="26" t="n">
        <f aca="false">SUMPRODUCT(($B$98:$B$114=$A124)*I$98:I$114*$C$98:$C$114)</f>
        <v>24.0178788656253</v>
      </c>
      <c r="J124" s="26" t="n">
        <f aca="false">SUMPRODUCT(($B$98:$B$114=$A124)*J$98:J$114*$C$98:$C$114)</f>
        <v>24.0178788656253</v>
      </c>
      <c r="K124" s="26" t="n">
        <f aca="false">SUMPRODUCT(($B$98:$B$114=$A124)*K$98:K$114*$C$98:$C$114)</f>
        <v>24.0178788656253</v>
      </c>
      <c r="L124" s="26" t="n">
        <f aca="false">SUMPRODUCT(($B$98:$B$114=$A124)*L$98:L$114*$C$98:$C$114)</f>
        <v>24.0178788656253</v>
      </c>
      <c r="M124" s="26" t="n">
        <f aca="false">SUMPRODUCT(($B$98:$B$114=$A124)*M$98:M$114*$C$98:$C$114)</f>
        <v>24.0178788656253</v>
      </c>
      <c r="N124" s="26" t="n">
        <f aca="false">SUMPRODUCT(($B$98:$B$114=$A124)*N$98:N$114*$C$98:$C$114)</f>
        <v>24.0178788656253</v>
      </c>
      <c r="O124" s="26" t="n">
        <f aca="false">SUMPRODUCT(($B$98:$B$114=$A124)*O$98:O$114*$C$98:$C$114)</f>
        <v>24.0178788656253</v>
      </c>
      <c r="P124" s="26" t="n">
        <f aca="false">SUMPRODUCT(($B$98:$B$114=$A124)*P$98:P$114*$C$98:$C$114)</f>
        <v>288.214546387503</v>
      </c>
    </row>
    <row r="125" customFormat="false" ht="15" hidden="false" customHeight="false" outlineLevel="0" collapsed="false">
      <c r="A125" s="6" t="s">
        <v>312</v>
      </c>
      <c r="D125" s="27" t="n">
        <f aca="false">SUMPRODUCT(D$98:D$114*parametros_recargas!$D$51:$D$67)</f>
        <v>244.388384926708</v>
      </c>
      <c r="E125" s="27" t="n">
        <f aca="false">SUMPRODUCT(E$98:E$114*parametros_recargas!$D$51:$D$67)</f>
        <v>244.388384926708</v>
      </c>
      <c r="F125" s="27" t="n">
        <f aca="false">SUMPRODUCT(F$98:F$114*parametros_recargas!$D$51:$D$67)</f>
        <v>244.388384926708</v>
      </c>
      <c r="G125" s="27" t="n">
        <f aca="false">SUMPRODUCT(G$98:G$114*parametros_recargas!$D$51:$D$67)</f>
        <v>244.388384926708</v>
      </c>
      <c r="H125" s="27" t="n">
        <f aca="false">SUMPRODUCT(H$98:H$114*parametros_recargas!$D$51:$D$67)</f>
        <v>244.388384926708</v>
      </c>
      <c r="I125" s="27" t="n">
        <f aca="false">SUMPRODUCT(I$98:I$114*parametros_recargas!$D$51:$D$67)</f>
        <v>244.388384926708</v>
      </c>
      <c r="J125" s="27" t="n">
        <f aca="false">SUMPRODUCT(J$98:J$114*parametros_recargas!$D$51:$D$67)</f>
        <v>244.388384926708</v>
      </c>
      <c r="K125" s="27" t="n">
        <f aca="false">SUMPRODUCT(K$98:K$114*parametros_recargas!$D$51:$D$67)</f>
        <v>244.388384926708</v>
      </c>
      <c r="L125" s="27" t="n">
        <f aca="false">SUMPRODUCT(L$98:L$114*parametros_recargas!$D$51:$D$67)</f>
        <v>244.388384926708</v>
      </c>
      <c r="M125" s="27" t="n">
        <f aca="false">SUMPRODUCT(M$98:M$114*parametros_recargas!$D$51:$D$67)</f>
        <v>244.388384926708</v>
      </c>
      <c r="N125" s="27" t="n">
        <f aca="false">SUMPRODUCT(N$98:N$114*parametros_recargas!$D$51:$D$67)</f>
        <v>244.388384926708</v>
      </c>
      <c r="O125" s="27" t="n">
        <f aca="false">SUMPRODUCT(O$98:O$114*parametros_recargas!$D$51:$D$67)</f>
        <v>244.388384926708</v>
      </c>
      <c r="P125" s="27" t="n">
        <f aca="false">SUMPRODUCT(P$98:P$114*parametros_recargas!$D$51:$D$67)</f>
        <v>2932.66061912049</v>
      </c>
    </row>
    <row r="129" customFormat="false" ht="23.85" hidden="false" customHeight="false" outlineLevel="0" collapsed="false">
      <c r="A129" s="28" t="n">
        <v>2030</v>
      </c>
      <c r="B129" s="3" t="s">
        <v>307</v>
      </c>
      <c r="C129" s="3" t="s">
        <v>308</v>
      </c>
      <c r="D129" s="3" t="s">
        <v>133</v>
      </c>
      <c r="E129" s="3" t="s">
        <v>134</v>
      </c>
      <c r="F129" s="3" t="s">
        <v>135</v>
      </c>
      <c r="G129" s="3" t="s">
        <v>136</v>
      </c>
      <c r="H129" s="3" t="s">
        <v>137</v>
      </c>
      <c r="I129" s="3" t="s">
        <v>138</v>
      </c>
      <c r="J129" s="3" t="s">
        <v>139</v>
      </c>
      <c r="K129" s="3" t="s">
        <v>140</v>
      </c>
      <c r="L129" s="3" t="s">
        <v>141</v>
      </c>
      <c r="M129" s="3" t="s">
        <v>142</v>
      </c>
      <c r="N129" s="3" t="s">
        <v>143</v>
      </c>
      <c r="O129" s="3" t="s">
        <v>144</v>
      </c>
      <c r="P129" s="3" t="s">
        <v>67</v>
      </c>
      <c r="Q129" s="3" t="s">
        <v>309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5" t="n">
        <f aca="false">parametros_recargas!C51</f>
        <v>1</v>
      </c>
      <c r="D130" s="26" t="n">
        <f aca="false">datos_base!$F$2*parametros_recargas!$B$41+sobrestock_sustitutos!$F$88/12</f>
        <v>4998.37255201392</v>
      </c>
      <c r="E130" s="26" t="n">
        <f aca="false">datos_base!$F$2*parametros_recargas!$C$41+sobrestock_sustitutos!$F$88/12</f>
        <v>4998.37255201392</v>
      </c>
      <c r="F130" s="26" t="n">
        <f aca="false">datos_base!$F$2*parametros_recargas!$D$41+sobrestock_sustitutos!$F$88/12</f>
        <v>4998.37255201392</v>
      </c>
      <c r="G130" s="26" t="n">
        <f aca="false">datos_base!$F$2*parametros_recargas!$E$41+sobrestock_sustitutos!$F$88/12</f>
        <v>4998.37255201392</v>
      </c>
      <c r="H130" s="26" t="n">
        <f aca="false">datos_base!$F$2*parametros_recargas!$F$41+sobrestock_sustitutos!$F$88/12</f>
        <v>4998.37255201392</v>
      </c>
      <c r="I130" s="26" t="n">
        <f aca="false">datos_base!$F$2*parametros_recargas!$G$41+sobrestock_sustitutos!$F$88/12</f>
        <v>4998.37255201392</v>
      </c>
      <c r="J130" s="26" t="n">
        <f aca="false">datos_base!$F$2*parametros_recargas!$H$41+sobrestock_sustitutos!$F$88/12</f>
        <v>4998.37255201392</v>
      </c>
      <c r="K130" s="26" t="n">
        <f aca="false">datos_base!$F$2*parametros_recargas!$I$41+sobrestock_sustitutos!$F$88/12</f>
        <v>4998.37255201392</v>
      </c>
      <c r="L130" s="26" t="n">
        <f aca="false">datos_base!$F$2*parametros_recargas!$J$41+sobrestock_sustitutos!$F$88/12</f>
        <v>4998.37255201392</v>
      </c>
      <c r="M130" s="26" t="n">
        <f aca="false">datos_base!$F$2*parametros_recargas!$K$41+sobrestock_sustitutos!$F$88/12</f>
        <v>4998.37255201392</v>
      </c>
      <c r="N130" s="26" t="n">
        <f aca="false">datos_base!$F$2*parametros_recargas!$L$41+sobrestock_sustitutos!$F$88/12</f>
        <v>4998.37255201392</v>
      </c>
      <c r="O130" s="26" t="n">
        <f aca="false">datos_base!$F$2*parametros_recargas!$M$41+sobrestock_sustitutos!$F$88/12</f>
        <v>4998.37255201392</v>
      </c>
      <c r="P130" s="7" t="n">
        <f aca="false">SUM(D130:O130)</f>
        <v>59980.470624167</v>
      </c>
      <c r="Q130" s="13" t="n">
        <f aca="false">sobrestock_sustitutos!$F$88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5" t="n">
        <f aca="false">parametros_recargas!C52</f>
        <v>1</v>
      </c>
      <c r="D131" s="26" t="n">
        <f aca="false">datos_base!$F$3*parametros_recargas!$B$41+sobrestock_sustitutos!$F$89/12</f>
        <v>469.747233148248</v>
      </c>
      <c r="E131" s="26" t="n">
        <f aca="false">datos_base!$F$3*parametros_recargas!$C$41+sobrestock_sustitutos!$F$89/12</f>
        <v>469.747233148248</v>
      </c>
      <c r="F131" s="26" t="n">
        <f aca="false">datos_base!$F$3*parametros_recargas!$D$41+sobrestock_sustitutos!$F$89/12</f>
        <v>469.747233148248</v>
      </c>
      <c r="G131" s="26" t="n">
        <f aca="false">datos_base!$F$3*parametros_recargas!$E$41+sobrestock_sustitutos!$F$89/12</f>
        <v>469.747233148248</v>
      </c>
      <c r="H131" s="26" t="n">
        <f aca="false">datos_base!$F$3*parametros_recargas!$F$41+sobrestock_sustitutos!$F$89/12</f>
        <v>469.747233148248</v>
      </c>
      <c r="I131" s="26" t="n">
        <f aca="false">datos_base!$F$3*parametros_recargas!$G$41+sobrestock_sustitutos!$F$89/12</f>
        <v>469.747233148248</v>
      </c>
      <c r="J131" s="26" t="n">
        <f aca="false">datos_base!$F$3*parametros_recargas!$H$41+sobrestock_sustitutos!$F$89/12</f>
        <v>469.747233148248</v>
      </c>
      <c r="K131" s="26" t="n">
        <f aca="false">datos_base!$F$3*parametros_recargas!$I$41+sobrestock_sustitutos!$F$89/12</f>
        <v>469.747233148248</v>
      </c>
      <c r="L131" s="26" t="n">
        <f aca="false">datos_base!$F$3*parametros_recargas!$J$41+sobrestock_sustitutos!$F$89/12</f>
        <v>469.747233148248</v>
      </c>
      <c r="M131" s="26" t="n">
        <f aca="false">datos_base!$F$3*parametros_recargas!$K$41+sobrestock_sustitutos!$F$89/12</f>
        <v>469.747233148248</v>
      </c>
      <c r="N131" s="26" t="n">
        <f aca="false">datos_base!$F$3*parametros_recargas!$L$41+sobrestock_sustitutos!$F$89/12</f>
        <v>469.747233148248</v>
      </c>
      <c r="O131" s="26" t="n">
        <f aca="false">datos_base!$F$3*parametros_recargas!$M$41+sobrestock_sustitutos!$F$89/12</f>
        <v>469.747233148248</v>
      </c>
      <c r="P131" s="7" t="n">
        <f aca="false">SUM(D131:O131)</f>
        <v>5636.96679777898</v>
      </c>
      <c r="Q131" s="13" t="n">
        <f aca="false">sobrestock_sustitutos!$F$89</f>
        <v>49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5" t="n">
        <f aca="false">parametros_recargas!C53</f>
        <v>1</v>
      </c>
      <c r="D132" s="26" t="n">
        <f aca="false">datos_base!$F$4*parametros_recargas!$B$41+sobrestock_sustitutos!$F$90/12</f>
        <v>2896.14521032047</v>
      </c>
      <c r="E132" s="26" t="n">
        <f aca="false">datos_base!$F$4*parametros_recargas!$C$41+sobrestock_sustitutos!$F$90/12</f>
        <v>2896.14521032047</v>
      </c>
      <c r="F132" s="26" t="n">
        <f aca="false">datos_base!$F$4*parametros_recargas!$D$41+sobrestock_sustitutos!$F$90/12</f>
        <v>2896.14521032047</v>
      </c>
      <c r="G132" s="26" t="n">
        <f aca="false">datos_base!$F$4*parametros_recargas!$E$41+sobrestock_sustitutos!$F$90/12</f>
        <v>2896.14521032047</v>
      </c>
      <c r="H132" s="26" t="n">
        <f aca="false">datos_base!$F$4*parametros_recargas!$F$41+sobrestock_sustitutos!$F$90/12</f>
        <v>2896.14521032047</v>
      </c>
      <c r="I132" s="26" t="n">
        <f aca="false">datos_base!$F$4*parametros_recargas!$G$41+sobrestock_sustitutos!$F$90/12</f>
        <v>2896.14521032047</v>
      </c>
      <c r="J132" s="26" t="n">
        <f aca="false">datos_base!$F$4*parametros_recargas!$H$41+sobrestock_sustitutos!$F$90/12</f>
        <v>2896.14521032047</v>
      </c>
      <c r="K132" s="26" t="n">
        <f aca="false">datos_base!$F$4*parametros_recargas!$I$41+sobrestock_sustitutos!$F$90/12</f>
        <v>2896.14521032047</v>
      </c>
      <c r="L132" s="26" t="n">
        <f aca="false">datos_base!$F$4*parametros_recargas!$J$41+sobrestock_sustitutos!$F$90/12</f>
        <v>2896.14521032047</v>
      </c>
      <c r="M132" s="26" t="n">
        <f aca="false">datos_base!$F$4*parametros_recargas!$K$41+sobrestock_sustitutos!$F$90/12</f>
        <v>2896.14521032047</v>
      </c>
      <c r="N132" s="26" t="n">
        <f aca="false">datos_base!$F$4*parametros_recargas!$L$41+sobrestock_sustitutos!$F$90/12</f>
        <v>2896.14521032047</v>
      </c>
      <c r="O132" s="26" t="n">
        <f aca="false">datos_base!$F$4*parametros_recargas!$M$41+sobrestock_sustitutos!$F$90/12</f>
        <v>2896.14521032047</v>
      </c>
      <c r="P132" s="7" t="n">
        <f aca="false">SUM(D132:O132)</f>
        <v>34753.7425238456</v>
      </c>
      <c r="Q132" s="13" t="n">
        <f aca="false">sobrestock_sustitutos!$F$90</f>
        <v>299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5" t="n">
        <f aca="false">parametros_recargas!C54</f>
        <v>1</v>
      </c>
      <c r="D133" s="26" t="n">
        <f aca="false">datos_base!$F$5*parametros_recargas!$B$41+sobrestock_sustitutos!$F$91/12</f>
        <v>170.245888449671</v>
      </c>
      <c r="E133" s="26" t="n">
        <f aca="false">datos_base!$F$5*parametros_recargas!$C$41+sobrestock_sustitutos!$F$91/12</f>
        <v>170.245888449671</v>
      </c>
      <c r="F133" s="26" t="n">
        <f aca="false">datos_base!$F$5*parametros_recargas!$D$41+sobrestock_sustitutos!$F$91/12</f>
        <v>170.245888449671</v>
      </c>
      <c r="G133" s="26" t="n">
        <f aca="false">datos_base!$F$5*parametros_recargas!$E$41+sobrestock_sustitutos!$F$91/12</f>
        <v>170.245888449671</v>
      </c>
      <c r="H133" s="26" t="n">
        <f aca="false">datos_base!$F$5*parametros_recargas!$F$41+sobrestock_sustitutos!$F$91/12</f>
        <v>170.245888449671</v>
      </c>
      <c r="I133" s="26" t="n">
        <f aca="false">datos_base!$F$5*parametros_recargas!$G$41+sobrestock_sustitutos!$F$91/12</f>
        <v>170.245888449671</v>
      </c>
      <c r="J133" s="26" t="n">
        <f aca="false">datos_base!$F$5*parametros_recargas!$H$41+sobrestock_sustitutos!$F$91/12</f>
        <v>170.245888449671</v>
      </c>
      <c r="K133" s="26" t="n">
        <f aca="false">datos_base!$F$5*parametros_recargas!$I$41+sobrestock_sustitutos!$F$91/12</f>
        <v>170.245888449671</v>
      </c>
      <c r="L133" s="26" t="n">
        <f aca="false">datos_base!$F$5*parametros_recargas!$J$41+sobrestock_sustitutos!$F$91/12</f>
        <v>170.245888449671</v>
      </c>
      <c r="M133" s="26" t="n">
        <f aca="false">datos_base!$F$5*parametros_recargas!$K$41+sobrestock_sustitutos!$F$91/12</f>
        <v>170.245888449671</v>
      </c>
      <c r="N133" s="26" t="n">
        <f aca="false">datos_base!$F$5*parametros_recargas!$L$41+sobrestock_sustitutos!$F$91/12</f>
        <v>170.245888449671</v>
      </c>
      <c r="O133" s="26" t="n">
        <f aca="false">datos_base!$F$5*parametros_recargas!$M$41+sobrestock_sustitutos!$F$91/12</f>
        <v>170.245888449671</v>
      </c>
      <c r="P133" s="7" t="n">
        <f aca="false">SUM(D133:O133)</f>
        <v>2042.95066139605</v>
      </c>
      <c r="Q133" s="13" t="n">
        <f aca="false">sobrestock_sustitutos!$F$91</f>
        <v>18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5" t="n">
        <f aca="false">parametros_recargas!C55</f>
        <v>1</v>
      </c>
      <c r="D134" s="26" t="n">
        <f aca="false">datos_base!$F$6*parametros_recargas!$B$41+sobrestock_sustitutos!$F$92/12</f>
        <v>238.831602789586</v>
      </c>
      <c r="E134" s="26" t="n">
        <f aca="false">datos_base!$F$6*parametros_recargas!$C$41+sobrestock_sustitutos!$F$92/12</f>
        <v>238.831602789586</v>
      </c>
      <c r="F134" s="26" t="n">
        <f aca="false">datos_base!$F$6*parametros_recargas!$D$41+sobrestock_sustitutos!$F$92/12</f>
        <v>238.831602789586</v>
      </c>
      <c r="G134" s="26" t="n">
        <f aca="false">datos_base!$F$6*parametros_recargas!$E$41+sobrestock_sustitutos!$F$92/12</f>
        <v>238.831602789586</v>
      </c>
      <c r="H134" s="26" t="n">
        <f aca="false">datos_base!$F$6*parametros_recargas!$F$41+sobrestock_sustitutos!$F$92/12</f>
        <v>238.831602789586</v>
      </c>
      <c r="I134" s="26" t="n">
        <f aca="false">datos_base!$F$6*parametros_recargas!$G$41+sobrestock_sustitutos!$F$92/12</f>
        <v>238.831602789586</v>
      </c>
      <c r="J134" s="26" t="n">
        <f aca="false">datos_base!$F$6*parametros_recargas!$H$41+sobrestock_sustitutos!$F$92/12</f>
        <v>238.831602789586</v>
      </c>
      <c r="K134" s="26" t="n">
        <f aca="false">datos_base!$F$6*parametros_recargas!$I$41+sobrestock_sustitutos!$F$92/12</f>
        <v>238.831602789586</v>
      </c>
      <c r="L134" s="26" t="n">
        <f aca="false">datos_base!$F$6*parametros_recargas!$J$41+sobrestock_sustitutos!$F$92/12</f>
        <v>238.831602789586</v>
      </c>
      <c r="M134" s="26" t="n">
        <f aca="false">datos_base!$F$6*parametros_recargas!$K$41+sobrestock_sustitutos!$F$92/12</f>
        <v>238.831602789586</v>
      </c>
      <c r="N134" s="26" t="n">
        <f aca="false">datos_base!$F$6*parametros_recargas!$L$41+sobrestock_sustitutos!$F$92/12</f>
        <v>238.831602789586</v>
      </c>
      <c r="O134" s="26" t="n">
        <f aca="false">datos_base!$F$6*parametros_recargas!$M$41+sobrestock_sustitutos!$F$92/12</f>
        <v>238.831602789586</v>
      </c>
      <c r="P134" s="7" t="n">
        <f aca="false">SUM(D134:O134)</f>
        <v>2865.97923347503</v>
      </c>
      <c r="Q134" s="13" t="n">
        <f aca="false">sobrestock_sustitutos!$F$92</f>
        <v>25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5" t="n">
        <f aca="false">parametros_recargas!C56</f>
        <v>1</v>
      </c>
      <c r="D135" s="26" t="n">
        <f aca="false">datos_base!$F$7*parametros_recargas!$B$41+sobrestock_sustitutos!$F$93/12</f>
        <v>44.5334849417544</v>
      </c>
      <c r="E135" s="26" t="n">
        <f aca="false">datos_base!$F$7*parametros_recargas!$C$41+sobrestock_sustitutos!$F$93/12</f>
        <v>44.5334849417544</v>
      </c>
      <c r="F135" s="26" t="n">
        <f aca="false">datos_base!$F$7*parametros_recargas!$D$41+sobrestock_sustitutos!$F$93/12</f>
        <v>44.5334849417544</v>
      </c>
      <c r="G135" s="26" t="n">
        <f aca="false">datos_base!$F$7*parametros_recargas!$E$41+sobrestock_sustitutos!$F$93/12</f>
        <v>44.5334849417544</v>
      </c>
      <c r="H135" s="26" t="n">
        <f aca="false">datos_base!$F$7*parametros_recargas!$F$41+sobrestock_sustitutos!$F$93/12</f>
        <v>44.5334849417544</v>
      </c>
      <c r="I135" s="26" t="n">
        <f aca="false">datos_base!$F$7*parametros_recargas!$G$41+sobrestock_sustitutos!$F$93/12</f>
        <v>44.5334849417544</v>
      </c>
      <c r="J135" s="26" t="n">
        <f aca="false">datos_base!$F$7*parametros_recargas!$H$41+sobrestock_sustitutos!$F$93/12</f>
        <v>44.5334849417544</v>
      </c>
      <c r="K135" s="26" t="n">
        <f aca="false">datos_base!$F$7*parametros_recargas!$I$41+sobrestock_sustitutos!$F$93/12</f>
        <v>44.5334849417544</v>
      </c>
      <c r="L135" s="26" t="n">
        <f aca="false">datos_base!$F$7*parametros_recargas!$J$41+sobrestock_sustitutos!$F$93/12</f>
        <v>44.5334849417544</v>
      </c>
      <c r="M135" s="26" t="n">
        <f aca="false">datos_base!$F$7*parametros_recargas!$K$41+sobrestock_sustitutos!$F$93/12</f>
        <v>44.5334849417544</v>
      </c>
      <c r="N135" s="26" t="n">
        <f aca="false">datos_base!$F$7*parametros_recargas!$L$41+sobrestock_sustitutos!$F$93/12</f>
        <v>44.5334849417544</v>
      </c>
      <c r="O135" s="26" t="n">
        <f aca="false">datos_base!$F$7*parametros_recargas!$M$41+sobrestock_sustitutos!$F$93/12</f>
        <v>44.5334849417544</v>
      </c>
      <c r="P135" s="7" t="n">
        <f aca="false">SUM(D135:O135)</f>
        <v>534.401819301053</v>
      </c>
      <c r="Q135" s="13" t="n">
        <f aca="false">sobrestock_sustitutos!$F$93</f>
        <v>5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5" t="n">
        <f aca="false">parametros_recargas!C57</f>
        <v>3</v>
      </c>
      <c r="D136" s="26" t="n">
        <f aca="false">datos_base!$F$8*parametros_recargas!$B$41+sobrestock_sustitutos!$F$94/12</f>
        <v>23.9103536442306</v>
      </c>
      <c r="E136" s="26" t="n">
        <f aca="false">datos_base!$F$8*parametros_recargas!$C$41+sobrestock_sustitutos!$F$94/12</f>
        <v>23.9103536442306</v>
      </c>
      <c r="F136" s="26" t="n">
        <f aca="false">datos_base!$F$8*parametros_recargas!$D$41+sobrestock_sustitutos!$F$94/12</f>
        <v>23.9103536442306</v>
      </c>
      <c r="G136" s="26" t="n">
        <f aca="false">datos_base!$F$8*parametros_recargas!$E$41+sobrestock_sustitutos!$F$94/12</f>
        <v>23.9103536442306</v>
      </c>
      <c r="H136" s="26" t="n">
        <f aca="false">datos_base!$F$8*parametros_recargas!$F$41+sobrestock_sustitutos!$F$94/12</f>
        <v>23.9103536442306</v>
      </c>
      <c r="I136" s="26" t="n">
        <f aca="false">datos_base!$F$8*parametros_recargas!$G$41+sobrestock_sustitutos!$F$94/12</f>
        <v>23.9103536442306</v>
      </c>
      <c r="J136" s="26" t="n">
        <f aca="false">datos_base!$F$8*parametros_recargas!$H$41+sobrestock_sustitutos!$F$94/12</f>
        <v>23.9103536442306</v>
      </c>
      <c r="K136" s="26" t="n">
        <f aca="false">datos_base!$F$8*parametros_recargas!$I$41+sobrestock_sustitutos!$F$94/12</f>
        <v>23.9103536442306</v>
      </c>
      <c r="L136" s="26" t="n">
        <f aca="false">datos_base!$F$8*parametros_recargas!$J$41+sobrestock_sustitutos!$F$94/12</f>
        <v>23.9103536442306</v>
      </c>
      <c r="M136" s="26" t="n">
        <f aca="false">datos_base!$F$8*parametros_recargas!$K$41+sobrestock_sustitutos!$F$94/12</f>
        <v>23.9103536442306</v>
      </c>
      <c r="N136" s="26" t="n">
        <f aca="false">datos_base!$F$8*parametros_recargas!$L$41+sobrestock_sustitutos!$F$94/12</f>
        <v>23.9103536442306</v>
      </c>
      <c r="O136" s="26" t="n">
        <f aca="false">datos_base!$F$8*parametros_recargas!$M$41+sobrestock_sustitutos!$F$94/12</f>
        <v>23.9103536442306</v>
      </c>
      <c r="P136" s="7" t="n">
        <f aca="false">SUM(D136:O136)</f>
        <v>286.924243730767</v>
      </c>
      <c r="Q136" s="13" t="n">
        <f aca="false">sobrestock_sustitutos!$F$94</f>
        <v>3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5" t="n">
        <f aca="false">parametros_recargas!C58</f>
        <v>1</v>
      </c>
      <c r="D137" s="26" t="n">
        <f aca="false">datos_base!$F$9*parametros_recargas!$B$41+sobrestock_sustitutos!$F$95/12</f>
        <v>13.2035760659474</v>
      </c>
      <c r="E137" s="26" t="n">
        <f aca="false">datos_base!$F$9*parametros_recargas!$C$41+sobrestock_sustitutos!$F$95/12</f>
        <v>13.2035760659474</v>
      </c>
      <c r="F137" s="26" t="n">
        <f aca="false">datos_base!$F$9*parametros_recargas!$D$41+sobrestock_sustitutos!$F$95/12</f>
        <v>13.2035760659474</v>
      </c>
      <c r="G137" s="26" t="n">
        <f aca="false">datos_base!$F$9*parametros_recargas!$E$41+sobrestock_sustitutos!$F$95/12</f>
        <v>13.2035760659474</v>
      </c>
      <c r="H137" s="26" t="n">
        <f aca="false">datos_base!$F$9*parametros_recargas!$F$41+sobrestock_sustitutos!$F$95/12</f>
        <v>13.2035760659474</v>
      </c>
      <c r="I137" s="26" t="n">
        <f aca="false">datos_base!$F$9*parametros_recargas!$G$41+sobrestock_sustitutos!$F$95/12</f>
        <v>13.2035760659474</v>
      </c>
      <c r="J137" s="26" t="n">
        <f aca="false">datos_base!$F$9*parametros_recargas!$H$41+sobrestock_sustitutos!$F$95/12</f>
        <v>13.2035760659474</v>
      </c>
      <c r="K137" s="26" t="n">
        <f aca="false">datos_base!$F$9*parametros_recargas!$I$41+sobrestock_sustitutos!$F$95/12</f>
        <v>13.2035760659474</v>
      </c>
      <c r="L137" s="26" t="n">
        <f aca="false">datos_base!$F$9*parametros_recargas!$J$41+sobrestock_sustitutos!$F$95/12</f>
        <v>13.2035760659474</v>
      </c>
      <c r="M137" s="26" t="n">
        <f aca="false">datos_base!$F$9*parametros_recargas!$K$41+sobrestock_sustitutos!$F$95/12</f>
        <v>13.2035760659474</v>
      </c>
      <c r="N137" s="26" t="n">
        <f aca="false">datos_base!$F$9*parametros_recargas!$L$41+sobrestock_sustitutos!$F$95/12</f>
        <v>13.2035760659474</v>
      </c>
      <c r="O137" s="26" t="n">
        <f aca="false">datos_base!$F$9*parametros_recargas!$M$41+sobrestock_sustitutos!$F$95/12</f>
        <v>13.2035760659474</v>
      </c>
      <c r="P137" s="7" t="n">
        <f aca="false">SUM(D137:O137)</f>
        <v>158.442912791368</v>
      </c>
      <c r="Q137" s="13" t="n">
        <f aca="false">sobrestock_sustitutos!$F$95</f>
        <v>2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5" t="n">
        <f aca="false">parametros_recargas!C59</f>
        <v>1</v>
      </c>
      <c r="D138" s="26" t="n">
        <f aca="false">datos_base!$F$10*parametros_recargas!$B$41+sobrestock_sustitutos!$F$96/12</f>
        <v>117.404796207979</v>
      </c>
      <c r="E138" s="26" t="n">
        <f aca="false">datos_base!$F$10*parametros_recargas!$C$41+sobrestock_sustitutos!$F$96/12</f>
        <v>117.404796207979</v>
      </c>
      <c r="F138" s="26" t="n">
        <f aca="false">datos_base!$F$10*parametros_recargas!$D$41+sobrestock_sustitutos!$F$96/12</f>
        <v>117.404796207979</v>
      </c>
      <c r="G138" s="26" t="n">
        <f aca="false">datos_base!$F$10*parametros_recargas!$E$41+sobrestock_sustitutos!$F$96/12</f>
        <v>117.404796207979</v>
      </c>
      <c r="H138" s="26" t="n">
        <f aca="false">datos_base!$F$10*parametros_recargas!$F$41+sobrestock_sustitutos!$F$96/12</f>
        <v>117.404796207979</v>
      </c>
      <c r="I138" s="26" t="n">
        <f aca="false">datos_base!$F$10*parametros_recargas!$G$41+sobrestock_sustitutos!$F$96/12</f>
        <v>117.404796207979</v>
      </c>
      <c r="J138" s="26" t="n">
        <f aca="false">datos_base!$F$10*parametros_recargas!$H$41+sobrestock_sustitutos!$F$96/12</f>
        <v>117.404796207979</v>
      </c>
      <c r="K138" s="26" t="n">
        <f aca="false">datos_base!$F$10*parametros_recargas!$I$41+sobrestock_sustitutos!$F$96/12</f>
        <v>117.404796207979</v>
      </c>
      <c r="L138" s="26" t="n">
        <f aca="false">datos_base!$F$10*parametros_recargas!$J$41+sobrestock_sustitutos!$F$96/12</f>
        <v>117.404796207979</v>
      </c>
      <c r="M138" s="26" t="n">
        <f aca="false">datos_base!$F$10*parametros_recargas!$K$41+sobrestock_sustitutos!$F$96/12</f>
        <v>117.404796207979</v>
      </c>
      <c r="N138" s="26" t="n">
        <f aca="false">datos_base!$F$10*parametros_recargas!$L$41+sobrestock_sustitutos!$F$96/12</f>
        <v>117.404796207979</v>
      </c>
      <c r="O138" s="26" t="n">
        <f aca="false">datos_base!$F$10*parametros_recargas!$M$41+sobrestock_sustitutos!$F$96/12</f>
        <v>117.404796207979</v>
      </c>
      <c r="P138" s="7" t="n">
        <f aca="false">SUM(D138:O138)</f>
        <v>1408.85755449574</v>
      </c>
      <c r="Q138" s="13" t="n">
        <f aca="false">sobrestock_sustitutos!$F$96</f>
        <v>13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5" t="n">
        <f aca="false">parametros_recargas!C60</f>
        <v>1</v>
      </c>
      <c r="D139" s="26" t="n">
        <f aca="false">datos_base!$F$11*parametros_recargas!$B$41+sobrestock_sustitutos!$F$97/12</f>
        <v>653.380035776635</v>
      </c>
      <c r="E139" s="26" t="n">
        <f aca="false">datos_base!$F$11*parametros_recargas!$C$41+sobrestock_sustitutos!$F$97/12</f>
        <v>653.380035776635</v>
      </c>
      <c r="F139" s="26" t="n">
        <f aca="false">datos_base!$F$11*parametros_recargas!$D$41+sobrestock_sustitutos!$F$97/12</f>
        <v>653.380035776635</v>
      </c>
      <c r="G139" s="26" t="n">
        <f aca="false">datos_base!$F$11*parametros_recargas!$E$41+sobrestock_sustitutos!$F$97/12</f>
        <v>653.380035776635</v>
      </c>
      <c r="H139" s="26" t="n">
        <f aca="false">datos_base!$F$11*parametros_recargas!$F$41+sobrestock_sustitutos!$F$97/12</f>
        <v>653.380035776635</v>
      </c>
      <c r="I139" s="26" t="n">
        <f aca="false">datos_base!$F$11*parametros_recargas!$G$41+sobrestock_sustitutos!$F$97/12</f>
        <v>653.380035776635</v>
      </c>
      <c r="J139" s="26" t="n">
        <f aca="false">datos_base!$F$11*parametros_recargas!$H$41+sobrestock_sustitutos!$F$97/12</f>
        <v>653.380035776635</v>
      </c>
      <c r="K139" s="26" t="n">
        <f aca="false">datos_base!$F$11*parametros_recargas!$I$41+sobrestock_sustitutos!$F$97/12</f>
        <v>653.380035776635</v>
      </c>
      <c r="L139" s="26" t="n">
        <f aca="false">datos_base!$F$11*parametros_recargas!$J$41+sobrestock_sustitutos!$F$97/12</f>
        <v>653.380035776635</v>
      </c>
      <c r="M139" s="26" t="n">
        <f aca="false">datos_base!$F$11*parametros_recargas!$K$41+sobrestock_sustitutos!$F$97/12</f>
        <v>653.380035776635</v>
      </c>
      <c r="N139" s="26" t="n">
        <f aca="false">datos_base!$F$11*parametros_recargas!$L$41+sobrestock_sustitutos!$F$97/12</f>
        <v>653.380035776635</v>
      </c>
      <c r="O139" s="26" t="n">
        <f aca="false">datos_base!$F$11*parametros_recargas!$M$41+sobrestock_sustitutos!$F$97/12</f>
        <v>653.380035776635</v>
      </c>
      <c r="P139" s="7" t="n">
        <f aca="false">SUM(D139:O139)</f>
        <v>7840.56042931962</v>
      </c>
      <c r="Q139" s="13" t="n">
        <f aca="false">sobrestock_sustitutos!$F$97</f>
        <v>68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5" t="n">
        <f aca="false">parametros_recargas!C61</f>
        <v>1</v>
      </c>
      <c r="D140" s="26" t="n">
        <f aca="false">datos_base!$F$12*parametros_recargas!$B$41+sobrestock_sustitutos!$F$98/12</f>
        <v>212.115416416711</v>
      </c>
      <c r="E140" s="26" t="n">
        <f aca="false">datos_base!$F$12*parametros_recargas!$C$41+sobrestock_sustitutos!$F$98/12</f>
        <v>212.115416416711</v>
      </c>
      <c r="F140" s="26" t="n">
        <f aca="false">datos_base!$F$12*parametros_recargas!$D$41+sobrestock_sustitutos!$F$98/12</f>
        <v>212.115416416711</v>
      </c>
      <c r="G140" s="26" t="n">
        <f aca="false">datos_base!$F$12*parametros_recargas!$E$41+sobrestock_sustitutos!$F$98/12</f>
        <v>212.115416416711</v>
      </c>
      <c r="H140" s="26" t="n">
        <f aca="false">datos_base!$F$12*parametros_recargas!$F$41+sobrestock_sustitutos!$F$98/12</f>
        <v>212.115416416711</v>
      </c>
      <c r="I140" s="26" t="n">
        <f aca="false">datos_base!$F$12*parametros_recargas!$G$41+sobrestock_sustitutos!$F$98/12</f>
        <v>212.115416416711</v>
      </c>
      <c r="J140" s="26" t="n">
        <f aca="false">datos_base!$F$12*parametros_recargas!$H$41+sobrestock_sustitutos!$F$98/12</f>
        <v>212.115416416711</v>
      </c>
      <c r="K140" s="26" t="n">
        <f aca="false">datos_base!$F$12*parametros_recargas!$I$41+sobrestock_sustitutos!$F$98/12</f>
        <v>212.115416416711</v>
      </c>
      <c r="L140" s="26" t="n">
        <f aca="false">datos_base!$F$12*parametros_recargas!$J$41+sobrestock_sustitutos!$F$98/12</f>
        <v>212.115416416711</v>
      </c>
      <c r="M140" s="26" t="n">
        <f aca="false">datos_base!$F$12*parametros_recargas!$K$41+sobrestock_sustitutos!$F$98/12</f>
        <v>212.115416416711</v>
      </c>
      <c r="N140" s="26" t="n">
        <f aca="false">datos_base!$F$12*parametros_recargas!$L$41+sobrestock_sustitutos!$F$98/12</f>
        <v>212.115416416711</v>
      </c>
      <c r="O140" s="26" t="n">
        <f aca="false">datos_base!$F$12*parametros_recargas!$M$41+sobrestock_sustitutos!$F$98/12</f>
        <v>212.115416416711</v>
      </c>
      <c r="P140" s="7" t="n">
        <f aca="false">SUM(D140:O140)</f>
        <v>2545.38499700053</v>
      </c>
      <c r="Q140" s="13" t="n">
        <f aca="false">sobrestock_sustitutos!$F$98</f>
        <v>22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5" t="n">
        <f aca="false">parametros_recargas!C62</f>
        <v>1</v>
      </c>
      <c r="D141" s="26" t="n">
        <f aca="false">datos_base!$F$13*parametros_recargas!$B$41+sobrestock_sustitutos!$F$99/12</f>
        <v>34.4094726215548</v>
      </c>
      <c r="E141" s="26" t="n">
        <f aca="false">datos_base!$F$13*parametros_recargas!$C$41+sobrestock_sustitutos!$F$99/12</f>
        <v>34.4094726215548</v>
      </c>
      <c r="F141" s="26" t="n">
        <f aca="false">datos_base!$F$13*parametros_recargas!$D$41+sobrestock_sustitutos!$F$99/12</f>
        <v>34.4094726215548</v>
      </c>
      <c r="G141" s="26" t="n">
        <f aca="false">datos_base!$F$13*parametros_recargas!$E$41+sobrestock_sustitutos!$F$99/12</f>
        <v>34.4094726215548</v>
      </c>
      <c r="H141" s="26" t="n">
        <f aca="false">datos_base!$F$13*parametros_recargas!$F$41+sobrestock_sustitutos!$F$99/12</f>
        <v>34.4094726215548</v>
      </c>
      <c r="I141" s="26" t="n">
        <f aca="false">datos_base!$F$13*parametros_recargas!$G$41+sobrestock_sustitutos!$F$99/12</f>
        <v>34.4094726215548</v>
      </c>
      <c r="J141" s="26" t="n">
        <f aca="false">datos_base!$F$13*parametros_recargas!$H$41+sobrestock_sustitutos!$F$99/12</f>
        <v>34.4094726215548</v>
      </c>
      <c r="K141" s="26" t="n">
        <f aca="false">datos_base!$F$13*parametros_recargas!$I$41+sobrestock_sustitutos!$F$99/12</f>
        <v>34.4094726215548</v>
      </c>
      <c r="L141" s="26" t="n">
        <f aca="false">datos_base!$F$13*parametros_recargas!$J$41+sobrestock_sustitutos!$F$99/12</f>
        <v>34.4094726215548</v>
      </c>
      <c r="M141" s="26" t="n">
        <f aca="false">datos_base!$F$13*parametros_recargas!$K$41+sobrestock_sustitutos!$F$99/12</f>
        <v>34.4094726215548</v>
      </c>
      <c r="N141" s="26" t="n">
        <f aca="false">datos_base!$F$13*parametros_recargas!$L$41+sobrestock_sustitutos!$F$99/12</f>
        <v>34.4094726215548</v>
      </c>
      <c r="O141" s="26" t="n">
        <f aca="false">datos_base!$F$13*parametros_recargas!$M$41+sobrestock_sustitutos!$F$99/12</f>
        <v>34.4094726215548</v>
      </c>
      <c r="P141" s="7" t="n">
        <f aca="false">SUM(D141:O141)</f>
        <v>412.913671458658</v>
      </c>
      <c r="Q141" s="13" t="n">
        <f aca="false">sobrestock_sustitutos!$F$99</f>
        <v>4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5" t="n">
        <f aca="false">parametros_recargas!C63</f>
        <v>1</v>
      </c>
      <c r="D142" s="26" t="n">
        <f aca="false">datos_base!$F$14*parametros_recargas!$B$41+sobrestock_sustitutos!$F$100/12</f>
        <v>12.3393677187666</v>
      </c>
      <c r="E142" s="26" t="n">
        <f aca="false">datos_base!$F$14*parametros_recargas!$C$41+sobrestock_sustitutos!$F$100/12</f>
        <v>12.3393677187666</v>
      </c>
      <c r="F142" s="26" t="n">
        <f aca="false">datos_base!$F$14*parametros_recargas!$D$41+sobrestock_sustitutos!$F$100/12</f>
        <v>12.3393677187666</v>
      </c>
      <c r="G142" s="26" t="n">
        <f aca="false">datos_base!$F$14*parametros_recargas!$E$41+sobrestock_sustitutos!$F$100/12</f>
        <v>12.3393677187666</v>
      </c>
      <c r="H142" s="26" t="n">
        <f aca="false">datos_base!$F$14*parametros_recargas!$F$41+sobrestock_sustitutos!$F$100/12</f>
        <v>12.3393677187666</v>
      </c>
      <c r="I142" s="26" t="n">
        <f aca="false">datos_base!$F$14*parametros_recargas!$G$41+sobrestock_sustitutos!$F$100/12</f>
        <v>12.3393677187666</v>
      </c>
      <c r="J142" s="26" t="n">
        <f aca="false">datos_base!$F$14*parametros_recargas!$H$41+sobrestock_sustitutos!$F$100/12</f>
        <v>12.3393677187666</v>
      </c>
      <c r="K142" s="26" t="n">
        <f aca="false">datos_base!$F$14*parametros_recargas!$I$41+sobrestock_sustitutos!$F$100/12</f>
        <v>12.3393677187666</v>
      </c>
      <c r="L142" s="26" t="n">
        <f aca="false">datos_base!$F$14*parametros_recargas!$J$41+sobrestock_sustitutos!$F$100/12</f>
        <v>12.3393677187666</v>
      </c>
      <c r="M142" s="26" t="n">
        <f aca="false">datos_base!$F$14*parametros_recargas!$K$41+sobrestock_sustitutos!$F$100/12</f>
        <v>12.3393677187666</v>
      </c>
      <c r="N142" s="26" t="n">
        <f aca="false">datos_base!$F$14*parametros_recargas!$L$41+sobrestock_sustitutos!$F$100/12</f>
        <v>12.3393677187666</v>
      </c>
      <c r="O142" s="26" t="n">
        <f aca="false">datos_base!$F$14*parametros_recargas!$M$41+sobrestock_sustitutos!$F$100/12</f>
        <v>12.3393677187666</v>
      </c>
      <c r="P142" s="7" t="n">
        <f aca="false">SUM(D142:O142)</f>
        <v>148.0724126252</v>
      </c>
      <c r="Q142" s="13" t="n">
        <f aca="false">sobrestock_sustitutos!$F$100</f>
        <v>2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5" t="n">
        <f aca="false">parametros_recargas!C64</f>
        <v>3</v>
      </c>
      <c r="D143" s="26" t="n">
        <f aca="false">datos_base!$F$15*parametros_recargas!$B$41+sobrestock_sustitutos!$F$101/12</f>
        <v>28.9656591421192</v>
      </c>
      <c r="E143" s="26" t="n">
        <f aca="false">datos_base!$F$15*parametros_recargas!$C$41+sobrestock_sustitutos!$F$101/12</f>
        <v>28.9656591421192</v>
      </c>
      <c r="F143" s="26" t="n">
        <f aca="false">datos_base!$F$15*parametros_recargas!$D$41+sobrestock_sustitutos!$F$101/12</f>
        <v>28.9656591421192</v>
      </c>
      <c r="G143" s="26" t="n">
        <f aca="false">datos_base!$F$15*parametros_recargas!$E$41+sobrestock_sustitutos!$F$101/12</f>
        <v>28.9656591421192</v>
      </c>
      <c r="H143" s="26" t="n">
        <f aca="false">datos_base!$F$15*parametros_recargas!$F$41+sobrestock_sustitutos!$F$101/12</f>
        <v>28.9656591421192</v>
      </c>
      <c r="I143" s="26" t="n">
        <f aca="false">datos_base!$F$15*parametros_recargas!$G$41+sobrestock_sustitutos!$F$101/12</f>
        <v>28.9656591421192</v>
      </c>
      <c r="J143" s="26" t="n">
        <f aca="false">datos_base!$F$15*parametros_recargas!$H$41+sobrestock_sustitutos!$F$101/12</f>
        <v>28.9656591421192</v>
      </c>
      <c r="K143" s="26" t="n">
        <f aca="false">datos_base!$F$15*parametros_recargas!$I$41+sobrestock_sustitutos!$F$101/12</f>
        <v>28.9656591421192</v>
      </c>
      <c r="L143" s="26" t="n">
        <f aca="false">datos_base!$F$15*parametros_recargas!$J$41+sobrestock_sustitutos!$F$101/12</f>
        <v>28.9656591421192</v>
      </c>
      <c r="M143" s="26" t="n">
        <f aca="false">datos_base!$F$15*parametros_recargas!$K$41+sobrestock_sustitutos!$F$101/12</f>
        <v>28.9656591421192</v>
      </c>
      <c r="N143" s="26" t="n">
        <f aca="false">datos_base!$F$15*parametros_recargas!$L$41+sobrestock_sustitutos!$F$101/12</f>
        <v>28.9656591421192</v>
      </c>
      <c r="O143" s="26" t="n">
        <f aca="false">datos_base!$F$15*parametros_recargas!$M$41+sobrestock_sustitutos!$F$101/12</f>
        <v>28.9656591421192</v>
      </c>
      <c r="P143" s="7" t="n">
        <f aca="false">SUM(D143:O143)</f>
        <v>347.58790970543</v>
      </c>
      <c r="Q143" s="13" t="n">
        <f aca="false">sobrestock_sustitutos!$F$101</f>
        <v>3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5" t="n">
        <f aca="false">parametros_recargas!C65</f>
        <v>3</v>
      </c>
      <c r="D144" s="26" t="n">
        <f aca="false">datos_base!$F$16*parametros_recargas!$B$41+sobrestock_sustitutos!$F$102/12</f>
        <v>63.7577834104074</v>
      </c>
      <c r="E144" s="26" t="n">
        <f aca="false">datos_base!$F$16*parametros_recargas!$C$41+sobrestock_sustitutos!$F$102/12</f>
        <v>63.7577834104074</v>
      </c>
      <c r="F144" s="26" t="n">
        <f aca="false">datos_base!$F$16*parametros_recargas!$D$41+sobrestock_sustitutos!$F$102/12</f>
        <v>63.7577834104074</v>
      </c>
      <c r="G144" s="26" t="n">
        <f aca="false">datos_base!$F$16*parametros_recargas!$E$41+sobrestock_sustitutos!$F$102/12</f>
        <v>63.7577834104074</v>
      </c>
      <c r="H144" s="26" t="n">
        <f aca="false">datos_base!$F$16*parametros_recargas!$F$41+sobrestock_sustitutos!$F$102/12</f>
        <v>63.7577834104074</v>
      </c>
      <c r="I144" s="26" t="n">
        <f aca="false">datos_base!$F$16*parametros_recargas!$G$41+sobrestock_sustitutos!$F$102/12</f>
        <v>63.7577834104074</v>
      </c>
      <c r="J144" s="26" t="n">
        <f aca="false">datos_base!$F$16*parametros_recargas!$H$41+sobrestock_sustitutos!$F$102/12</f>
        <v>63.7577834104074</v>
      </c>
      <c r="K144" s="26" t="n">
        <f aca="false">datos_base!$F$16*parametros_recargas!$I$41+sobrestock_sustitutos!$F$102/12</f>
        <v>63.7577834104074</v>
      </c>
      <c r="L144" s="26" t="n">
        <f aca="false">datos_base!$F$16*parametros_recargas!$J$41+sobrestock_sustitutos!$F$102/12</f>
        <v>63.7577834104074</v>
      </c>
      <c r="M144" s="26" t="n">
        <f aca="false">datos_base!$F$16*parametros_recargas!$K$41+sobrestock_sustitutos!$F$102/12</f>
        <v>63.7577834104074</v>
      </c>
      <c r="N144" s="26" t="n">
        <f aca="false">datos_base!$F$16*parametros_recargas!$L$41+sobrestock_sustitutos!$F$102/12</f>
        <v>63.7577834104074</v>
      </c>
      <c r="O144" s="26" t="n">
        <f aca="false">datos_base!$F$16*parametros_recargas!$M$41+sobrestock_sustitutos!$F$102/12</f>
        <v>63.7577834104074</v>
      </c>
      <c r="P144" s="7" t="n">
        <f aca="false">SUM(D144:O144)</f>
        <v>765.093400924889</v>
      </c>
      <c r="Q144" s="13" t="n">
        <f aca="false">sobrestock_sustitutos!$F$102</f>
        <v>7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5" t="n">
        <f aca="false">parametros_recargas!C66</f>
        <v>3</v>
      </c>
      <c r="D145" s="26" t="n">
        <f aca="false">datos_base!$F$17*parametros_recargas!$B$41+sobrestock_sustitutos!$F$103/12</f>
        <v>13.9501830525113</v>
      </c>
      <c r="E145" s="26" t="n">
        <f aca="false">datos_base!$F$17*parametros_recargas!$C$41+sobrestock_sustitutos!$F$103/12</f>
        <v>13.9501830525113</v>
      </c>
      <c r="F145" s="26" t="n">
        <f aca="false">datos_base!$F$17*parametros_recargas!$D$41+sobrestock_sustitutos!$F$103/12</f>
        <v>13.9501830525113</v>
      </c>
      <c r="G145" s="26" t="n">
        <f aca="false">datos_base!$F$17*parametros_recargas!$E$41+sobrestock_sustitutos!$F$103/12</f>
        <v>13.9501830525113</v>
      </c>
      <c r="H145" s="26" t="n">
        <f aca="false">datos_base!$F$17*parametros_recargas!$F$41+sobrestock_sustitutos!$F$103/12</f>
        <v>13.9501830525113</v>
      </c>
      <c r="I145" s="26" t="n">
        <f aca="false">datos_base!$F$17*parametros_recargas!$G$41+sobrestock_sustitutos!$F$103/12</f>
        <v>13.9501830525113</v>
      </c>
      <c r="J145" s="26" t="n">
        <f aca="false">datos_base!$F$17*parametros_recargas!$H$41+sobrestock_sustitutos!$F$103/12</f>
        <v>13.9501830525113</v>
      </c>
      <c r="K145" s="26" t="n">
        <f aca="false">datos_base!$F$17*parametros_recargas!$I$41+sobrestock_sustitutos!$F$103/12</f>
        <v>13.9501830525113</v>
      </c>
      <c r="L145" s="26" t="n">
        <f aca="false">datos_base!$F$17*parametros_recargas!$J$41+sobrestock_sustitutos!$F$103/12</f>
        <v>13.9501830525113</v>
      </c>
      <c r="M145" s="26" t="n">
        <f aca="false">datos_base!$F$17*parametros_recargas!$K$41+sobrestock_sustitutos!$F$103/12</f>
        <v>13.9501830525113</v>
      </c>
      <c r="N145" s="26" t="n">
        <f aca="false">datos_base!$F$17*parametros_recargas!$L$41+sobrestock_sustitutos!$F$103/12</f>
        <v>13.9501830525113</v>
      </c>
      <c r="O145" s="26" t="n">
        <f aca="false">datos_base!$F$17*parametros_recargas!$M$41+sobrestock_sustitutos!$F$103/12</f>
        <v>13.9501830525113</v>
      </c>
      <c r="P145" s="7" t="n">
        <f aca="false">SUM(D145:O145)</f>
        <v>167.402196630136</v>
      </c>
      <c r="Q145" s="13" t="n">
        <f aca="false">sobrestock_sustitutos!$F$103</f>
        <v>2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5" t="n">
        <f aca="false">parametros_recargas!C67</f>
        <v>3</v>
      </c>
      <c r="D146" s="26" t="n">
        <f aca="false">datos_base!$F$18*parametros_recargas!$B$41+sobrestock_sustitutos!$F$104/12</f>
        <v>9.27234423745857</v>
      </c>
      <c r="E146" s="26" t="n">
        <f aca="false">datos_base!$F$18*parametros_recargas!$C$41+sobrestock_sustitutos!$F$104/12</f>
        <v>9.27234423745857</v>
      </c>
      <c r="F146" s="26" t="n">
        <f aca="false">datos_base!$F$18*parametros_recargas!$D$41+sobrestock_sustitutos!$F$104/12</f>
        <v>9.27234423745857</v>
      </c>
      <c r="G146" s="26" t="n">
        <f aca="false">datos_base!$F$18*parametros_recargas!$E$41+sobrestock_sustitutos!$F$104/12</f>
        <v>9.27234423745857</v>
      </c>
      <c r="H146" s="26" t="n">
        <f aca="false">datos_base!$F$18*parametros_recargas!$F$41+sobrestock_sustitutos!$F$104/12</f>
        <v>9.27234423745857</v>
      </c>
      <c r="I146" s="26" t="n">
        <f aca="false">datos_base!$F$18*parametros_recargas!$G$41+sobrestock_sustitutos!$F$104/12</f>
        <v>9.27234423745857</v>
      </c>
      <c r="J146" s="26" t="n">
        <f aca="false">datos_base!$F$18*parametros_recargas!$H$41+sobrestock_sustitutos!$F$104/12</f>
        <v>9.27234423745857</v>
      </c>
      <c r="K146" s="26" t="n">
        <f aca="false">datos_base!$F$18*parametros_recargas!$I$41+sobrestock_sustitutos!$F$104/12</f>
        <v>9.27234423745857</v>
      </c>
      <c r="L146" s="26" t="n">
        <f aca="false">datos_base!$F$18*parametros_recargas!$J$41+sobrestock_sustitutos!$F$104/12</f>
        <v>9.27234423745857</v>
      </c>
      <c r="M146" s="26" t="n">
        <f aca="false">datos_base!$F$18*parametros_recargas!$K$41+sobrestock_sustitutos!$F$104/12</f>
        <v>9.27234423745857</v>
      </c>
      <c r="N146" s="26" t="n">
        <f aca="false">datos_base!$F$18*parametros_recargas!$L$41+sobrestock_sustitutos!$F$104/12</f>
        <v>9.27234423745857</v>
      </c>
      <c r="O146" s="26" t="n">
        <f aca="false">datos_base!$F$18*parametros_recargas!$M$41+sobrestock_sustitutos!$F$104/12</f>
        <v>9.27234423745857</v>
      </c>
      <c r="P146" s="7" t="n">
        <f aca="false">SUM(D146:O146)</f>
        <v>111.268130849503</v>
      </c>
      <c r="Q146" s="13" t="n">
        <f aca="false">sobrestock_sustitutos!$F$104</f>
        <v>1</v>
      </c>
    </row>
    <row r="147" customFormat="false" ht="15" hidden="false" customHeight="false" outlineLevel="0" collapsed="false">
      <c r="A147" s="6" t="s">
        <v>310</v>
      </c>
      <c r="D147" s="7" t="n">
        <f aca="false">SUM(D130:D146)</f>
        <v>10000.584959958</v>
      </c>
      <c r="E147" s="7" t="n">
        <f aca="false">SUM(E130:E146)</f>
        <v>10000.584959958</v>
      </c>
      <c r="F147" s="7" t="n">
        <f aca="false">SUM(F130:F146)</f>
        <v>10000.584959958</v>
      </c>
      <c r="G147" s="7" t="n">
        <f aca="false">SUM(G130:G146)</f>
        <v>10000.584959958</v>
      </c>
      <c r="H147" s="7" t="n">
        <f aca="false">SUM(H130:H146)</f>
        <v>10000.584959958</v>
      </c>
      <c r="I147" s="7" t="n">
        <f aca="false">SUM(I130:I146)</f>
        <v>10000.584959958</v>
      </c>
      <c r="J147" s="7" t="n">
        <f aca="false">SUM(J130:J146)</f>
        <v>10000.584959958</v>
      </c>
      <c r="K147" s="7" t="n">
        <f aca="false">SUM(K130:K146)</f>
        <v>10000.584959958</v>
      </c>
      <c r="L147" s="7" t="n">
        <f aca="false">SUM(L130:L146)</f>
        <v>10000.584959958</v>
      </c>
      <c r="M147" s="7" t="n">
        <f aca="false">SUM(M130:M146)</f>
        <v>10000.584959958</v>
      </c>
      <c r="N147" s="7" t="n">
        <f aca="false">SUM(N130:N146)</f>
        <v>10000.584959958</v>
      </c>
      <c r="O147" s="7" t="n">
        <f aca="false">SUM(O130:O146)</f>
        <v>10000.584959958</v>
      </c>
      <c r="P147" s="7" t="n">
        <f aca="false">SUM(P130:P146)</f>
        <v>120007.019519496</v>
      </c>
    </row>
    <row r="148" customFormat="false" ht="15" hidden="false" customHeight="false" outlineLevel="0" collapsed="false">
      <c r="A148" s="6" t="s">
        <v>311</v>
      </c>
    </row>
    <row r="149" customFormat="false" ht="15" hidden="false" customHeight="false" outlineLevel="0" collapsed="false">
      <c r="A149" s="4" t="s">
        <v>151</v>
      </c>
      <c r="D149" s="26" t="n">
        <f aca="false">SUMPRODUCT(($B$130:$B$146=$A149)*D$130:D$146*$C$130:$C$146)</f>
        <v>8882.34879345979</v>
      </c>
      <c r="E149" s="26" t="n">
        <f aca="false">SUMPRODUCT(($B$130:$B$146=$A149)*E$130:E$146*$C$130:$C$146)</f>
        <v>8882.34879345979</v>
      </c>
      <c r="F149" s="26" t="n">
        <f aca="false">SUMPRODUCT(($B$130:$B$146=$A149)*F$130:F$146*$C$130:$C$146)</f>
        <v>8882.34879345979</v>
      </c>
      <c r="G149" s="26" t="n">
        <f aca="false">SUMPRODUCT(($B$130:$B$146=$A149)*G$130:G$146*$C$130:$C$146)</f>
        <v>8882.34879345979</v>
      </c>
      <c r="H149" s="26" t="n">
        <f aca="false">SUMPRODUCT(($B$130:$B$146=$A149)*H$130:H$146*$C$130:$C$146)</f>
        <v>8882.34879345979</v>
      </c>
      <c r="I149" s="26" t="n">
        <f aca="false">SUMPRODUCT(($B$130:$B$146=$A149)*I$130:I$146*$C$130:$C$146)</f>
        <v>8882.34879345979</v>
      </c>
      <c r="J149" s="26" t="n">
        <f aca="false">SUMPRODUCT(($B$130:$B$146=$A149)*J$130:J$146*$C$130:$C$146)</f>
        <v>8882.34879345979</v>
      </c>
      <c r="K149" s="26" t="n">
        <f aca="false">SUMPRODUCT(($B$130:$B$146=$A149)*K$130:K$146*$C$130:$C$146)</f>
        <v>8882.34879345979</v>
      </c>
      <c r="L149" s="26" t="n">
        <f aca="false">SUMPRODUCT(($B$130:$B$146=$A149)*L$130:L$146*$C$130:$C$146)</f>
        <v>8882.34879345979</v>
      </c>
      <c r="M149" s="26" t="n">
        <f aca="false">SUMPRODUCT(($B$130:$B$146=$A149)*M$130:M$146*$C$130:$C$146)</f>
        <v>8882.34879345979</v>
      </c>
      <c r="N149" s="26" t="n">
        <f aca="false">SUMPRODUCT(($B$130:$B$146=$A149)*N$130:N$146*$C$130:$C$146)</f>
        <v>8882.34879345979</v>
      </c>
      <c r="O149" s="26" t="n">
        <f aca="false">SUMPRODUCT(($B$130:$B$146=$A149)*O$130:O$146*$C$130:$C$146)</f>
        <v>8882.34879345979</v>
      </c>
      <c r="P149" s="26" t="n">
        <f aca="false">SUMPRODUCT(($B$130:$B$146=$A149)*P$130:P$146*$C$130:$C$146)</f>
        <v>106588.185521517</v>
      </c>
    </row>
    <row r="150" customFormat="false" ht="15" hidden="false" customHeight="false" outlineLevel="0" collapsed="false">
      <c r="A150" s="4" t="s">
        <v>157</v>
      </c>
      <c r="D150" s="26" t="n">
        <f aca="false">SUMPRODUCT(($B$130:$B$146=$A150)*D$130:D$146*$C$130:$C$146)</f>
        <v>13.2035760659474</v>
      </c>
      <c r="E150" s="26" t="n">
        <f aca="false">SUMPRODUCT(($B$130:$B$146=$A150)*E$130:E$146*$C$130:$C$146)</f>
        <v>13.2035760659474</v>
      </c>
      <c r="F150" s="26" t="n">
        <f aca="false">SUMPRODUCT(($B$130:$B$146=$A150)*F$130:F$146*$C$130:$C$146)</f>
        <v>13.2035760659474</v>
      </c>
      <c r="G150" s="26" t="n">
        <f aca="false">SUMPRODUCT(($B$130:$B$146=$A150)*G$130:G$146*$C$130:$C$146)</f>
        <v>13.2035760659474</v>
      </c>
      <c r="H150" s="26" t="n">
        <f aca="false">SUMPRODUCT(($B$130:$B$146=$A150)*H$130:H$146*$C$130:$C$146)</f>
        <v>13.2035760659474</v>
      </c>
      <c r="I150" s="26" t="n">
        <f aca="false">SUMPRODUCT(($B$130:$B$146=$A150)*I$130:I$146*$C$130:$C$146)</f>
        <v>13.2035760659474</v>
      </c>
      <c r="J150" s="26" t="n">
        <f aca="false">SUMPRODUCT(($B$130:$B$146=$A150)*J$130:J$146*$C$130:$C$146)</f>
        <v>13.2035760659474</v>
      </c>
      <c r="K150" s="26" t="n">
        <f aca="false">SUMPRODUCT(($B$130:$B$146=$A150)*K$130:K$146*$C$130:$C$146)</f>
        <v>13.2035760659474</v>
      </c>
      <c r="L150" s="26" t="n">
        <f aca="false">SUMPRODUCT(($B$130:$B$146=$A150)*L$130:L$146*$C$130:$C$146)</f>
        <v>13.2035760659474</v>
      </c>
      <c r="M150" s="26" t="n">
        <f aca="false">SUMPRODUCT(($B$130:$B$146=$A150)*M$130:M$146*$C$130:$C$146)</f>
        <v>13.2035760659474</v>
      </c>
      <c r="N150" s="26" t="n">
        <f aca="false">SUMPRODUCT(($B$130:$B$146=$A150)*N$130:N$146*$C$130:$C$146)</f>
        <v>13.2035760659474</v>
      </c>
      <c r="O150" s="26" t="n">
        <f aca="false">SUMPRODUCT(($B$130:$B$146=$A150)*O$130:O$146*$C$130:$C$146)</f>
        <v>13.2035760659474</v>
      </c>
      <c r="P150" s="26" t="n">
        <f aca="false">SUMPRODUCT(($B$130:$B$146=$A150)*P$130:P$146*$C$130:$C$146)</f>
        <v>158.442912791368</v>
      </c>
    </row>
    <row r="151" customFormat="false" ht="15" hidden="false" customHeight="false" outlineLevel="0" collapsed="false">
      <c r="A151" s="4" t="s">
        <v>163</v>
      </c>
      <c r="D151" s="26" t="n">
        <f aca="false">SUMPRODUCT(($B$130:$B$146=$A151)*D$130:D$146*$C$130:$C$146)</f>
        <v>12.3393677187666</v>
      </c>
      <c r="E151" s="26" t="n">
        <f aca="false">SUMPRODUCT(($B$130:$B$146=$A151)*E$130:E$146*$C$130:$C$146)</f>
        <v>12.3393677187666</v>
      </c>
      <c r="F151" s="26" t="n">
        <f aca="false">SUMPRODUCT(($B$130:$B$146=$A151)*F$130:F$146*$C$130:$C$146)</f>
        <v>12.3393677187666</v>
      </c>
      <c r="G151" s="26" t="n">
        <f aca="false">SUMPRODUCT(($B$130:$B$146=$A151)*G$130:G$146*$C$130:$C$146)</f>
        <v>12.3393677187666</v>
      </c>
      <c r="H151" s="26" t="n">
        <f aca="false">SUMPRODUCT(($B$130:$B$146=$A151)*H$130:H$146*$C$130:$C$146)</f>
        <v>12.3393677187666</v>
      </c>
      <c r="I151" s="26" t="n">
        <f aca="false">SUMPRODUCT(($B$130:$B$146=$A151)*I$130:I$146*$C$130:$C$146)</f>
        <v>12.3393677187666</v>
      </c>
      <c r="J151" s="26" t="n">
        <f aca="false">SUMPRODUCT(($B$130:$B$146=$A151)*J$130:J$146*$C$130:$C$146)</f>
        <v>12.3393677187666</v>
      </c>
      <c r="K151" s="26" t="n">
        <f aca="false">SUMPRODUCT(($B$130:$B$146=$A151)*K$130:K$146*$C$130:$C$146)</f>
        <v>12.3393677187666</v>
      </c>
      <c r="L151" s="26" t="n">
        <f aca="false">SUMPRODUCT(($B$130:$B$146=$A151)*L$130:L$146*$C$130:$C$146)</f>
        <v>12.3393677187666</v>
      </c>
      <c r="M151" s="26" t="n">
        <f aca="false">SUMPRODUCT(($B$130:$B$146=$A151)*M$130:M$146*$C$130:$C$146)</f>
        <v>12.3393677187666</v>
      </c>
      <c r="N151" s="26" t="n">
        <f aca="false">SUMPRODUCT(($B$130:$B$146=$A151)*N$130:N$146*$C$130:$C$146)</f>
        <v>12.3393677187666</v>
      </c>
      <c r="O151" s="26" t="n">
        <f aca="false">SUMPRODUCT(($B$130:$B$146=$A151)*O$130:O$146*$C$130:$C$146)</f>
        <v>12.3393677187666</v>
      </c>
      <c r="P151" s="26" t="n">
        <f aca="false">SUMPRODUCT(($B$130:$B$146=$A151)*P$130:P$146*$C$130:$C$146)</f>
        <v>148.0724126252</v>
      </c>
    </row>
    <row r="152" customFormat="false" ht="15" hidden="false" customHeight="false" outlineLevel="0" collapsed="false">
      <c r="A152" s="4" t="s">
        <v>154</v>
      </c>
      <c r="D152" s="26" t="n">
        <f aca="false">SUMPRODUCT(($B$130:$B$146=$A152)*D$130:D$146*$C$130:$C$146)</f>
        <v>238.831602789586</v>
      </c>
      <c r="E152" s="26" t="n">
        <f aca="false">SUMPRODUCT(($B$130:$B$146=$A152)*E$130:E$146*$C$130:$C$146)</f>
        <v>238.831602789586</v>
      </c>
      <c r="F152" s="26" t="n">
        <f aca="false">SUMPRODUCT(($B$130:$B$146=$A152)*F$130:F$146*$C$130:$C$146)</f>
        <v>238.831602789586</v>
      </c>
      <c r="G152" s="26" t="n">
        <f aca="false">SUMPRODUCT(($B$130:$B$146=$A152)*G$130:G$146*$C$130:$C$146)</f>
        <v>238.831602789586</v>
      </c>
      <c r="H152" s="26" t="n">
        <f aca="false">SUMPRODUCT(($B$130:$B$146=$A152)*H$130:H$146*$C$130:$C$146)</f>
        <v>238.831602789586</v>
      </c>
      <c r="I152" s="26" t="n">
        <f aca="false">SUMPRODUCT(($B$130:$B$146=$A152)*I$130:I$146*$C$130:$C$146)</f>
        <v>238.831602789586</v>
      </c>
      <c r="J152" s="26" t="n">
        <f aca="false">SUMPRODUCT(($B$130:$B$146=$A152)*J$130:J$146*$C$130:$C$146)</f>
        <v>238.831602789586</v>
      </c>
      <c r="K152" s="26" t="n">
        <f aca="false">SUMPRODUCT(($B$130:$B$146=$A152)*K$130:K$146*$C$130:$C$146)</f>
        <v>238.831602789586</v>
      </c>
      <c r="L152" s="26" t="n">
        <f aca="false">SUMPRODUCT(($B$130:$B$146=$A152)*L$130:L$146*$C$130:$C$146)</f>
        <v>238.831602789586</v>
      </c>
      <c r="M152" s="26" t="n">
        <f aca="false">SUMPRODUCT(($B$130:$B$146=$A152)*M$130:M$146*$C$130:$C$146)</f>
        <v>238.831602789586</v>
      </c>
      <c r="N152" s="26" t="n">
        <f aca="false">SUMPRODUCT(($B$130:$B$146=$A152)*N$130:N$146*$C$130:$C$146)</f>
        <v>238.831602789586</v>
      </c>
      <c r="O152" s="26" t="n">
        <f aca="false">SUMPRODUCT(($B$130:$B$146=$A152)*O$130:O$146*$C$130:$C$146)</f>
        <v>238.831602789586</v>
      </c>
      <c r="P152" s="26" t="n">
        <f aca="false">SUMPRODUCT(($B$130:$B$146=$A152)*P$130:P$146*$C$130:$C$146)</f>
        <v>2865.97923347503</v>
      </c>
    </row>
    <row r="153" customFormat="false" ht="15" hidden="false" customHeight="false" outlineLevel="0" collapsed="false">
      <c r="A153" s="4" t="s">
        <v>155</v>
      </c>
      <c r="D153" s="26" t="n">
        <f aca="false">SUMPRODUCT(($B$130:$B$146=$A153)*D$130:D$146*$C$130:$C$146)</f>
        <v>116.264545874446</v>
      </c>
      <c r="E153" s="26" t="n">
        <f aca="false">SUMPRODUCT(($B$130:$B$146=$A153)*E$130:E$146*$C$130:$C$146)</f>
        <v>116.264545874446</v>
      </c>
      <c r="F153" s="26" t="n">
        <f aca="false">SUMPRODUCT(($B$130:$B$146=$A153)*F$130:F$146*$C$130:$C$146)</f>
        <v>116.264545874446</v>
      </c>
      <c r="G153" s="26" t="n">
        <f aca="false">SUMPRODUCT(($B$130:$B$146=$A153)*G$130:G$146*$C$130:$C$146)</f>
        <v>116.264545874446</v>
      </c>
      <c r="H153" s="26" t="n">
        <f aca="false">SUMPRODUCT(($B$130:$B$146=$A153)*H$130:H$146*$C$130:$C$146)</f>
        <v>116.264545874446</v>
      </c>
      <c r="I153" s="26" t="n">
        <f aca="false">SUMPRODUCT(($B$130:$B$146=$A153)*I$130:I$146*$C$130:$C$146)</f>
        <v>116.264545874446</v>
      </c>
      <c r="J153" s="26" t="n">
        <f aca="false">SUMPRODUCT(($B$130:$B$146=$A153)*J$130:J$146*$C$130:$C$146)</f>
        <v>116.264545874446</v>
      </c>
      <c r="K153" s="26" t="n">
        <f aca="false">SUMPRODUCT(($B$130:$B$146=$A153)*K$130:K$146*$C$130:$C$146)</f>
        <v>116.264545874446</v>
      </c>
      <c r="L153" s="26" t="n">
        <f aca="false">SUMPRODUCT(($B$130:$B$146=$A153)*L$130:L$146*$C$130:$C$146)</f>
        <v>116.264545874446</v>
      </c>
      <c r="M153" s="26" t="n">
        <f aca="false">SUMPRODUCT(($B$130:$B$146=$A153)*M$130:M$146*$C$130:$C$146)</f>
        <v>116.264545874446</v>
      </c>
      <c r="N153" s="26" t="n">
        <f aca="false">SUMPRODUCT(($B$130:$B$146=$A153)*N$130:N$146*$C$130:$C$146)</f>
        <v>116.264545874446</v>
      </c>
      <c r="O153" s="26" t="n">
        <f aca="false">SUMPRODUCT(($B$130:$B$146=$A153)*O$130:O$146*$C$130:$C$146)</f>
        <v>116.264545874446</v>
      </c>
      <c r="P153" s="26" t="n">
        <f aca="false">SUMPRODUCT(($B$130:$B$146=$A153)*P$130:P$146*$C$130:$C$146)</f>
        <v>1395.17455049336</v>
      </c>
    </row>
    <row r="154" customFormat="false" ht="15" hidden="false" customHeight="false" outlineLevel="0" collapsed="false">
      <c r="A154" s="4" t="s">
        <v>158</v>
      </c>
      <c r="D154" s="26" t="n">
        <f aca="false">SUMPRODUCT(($B$130:$B$146=$A154)*D$130:D$146*$C$130:$C$146)</f>
        <v>117.404796207979</v>
      </c>
      <c r="E154" s="26" t="n">
        <f aca="false">SUMPRODUCT(($B$130:$B$146=$A154)*E$130:E$146*$C$130:$C$146)</f>
        <v>117.404796207979</v>
      </c>
      <c r="F154" s="26" t="n">
        <f aca="false">SUMPRODUCT(($B$130:$B$146=$A154)*F$130:F$146*$C$130:$C$146)</f>
        <v>117.404796207979</v>
      </c>
      <c r="G154" s="26" t="n">
        <f aca="false">SUMPRODUCT(($B$130:$B$146=$A154)*G$130:G$146*$C$130:$C$146)</f>
        <v>117.404796207979</v>
      </c>
      <c r="H154" s="26" t="n">
        <f aca="false">SUMPRODUCT(($B$130:$B$146=$A154)*H$130:H$146*$C$130:$C$146)</f>
        <v>117.404796207979</v>
      </c>
      <c r="I154" s="26" t="n">
        <f aca="false">SUMPRODUCT(($B$130:$B$146=$A154)*I$130:I$146*$C$130:$C$146)</f>
        <v>117.404796207979</v>
      </c>
      <c r="J154" s="26" t="n">
        <f aca="false">SUMPRODUCT(($B$130:$B$146=$A154)*J$130:J$146*$C$130:$C$146)</f>
        <v>117.404796207979</v>
      </c>
      <c r="K154" s="26" t="n">
        <f aca="false">SUMPRODUCT(($B$130:$B$146=$A154)*K$130:K$146*$C$130:$C$146)</f>
        <v>117.404796207979</v>
      </c>
      <c r="L154" s="26" t="n">
        <f aca="false">SUMPRODUCT(($B$130:$B$146=$A154)*L$130:L$146*$C$130:$C$146)</f>
        <v>117.404796207979</v>
      </c>
      <c r="M154" s="26" t="n">
        <f aca="false">SUMPRODUCT(($B$130:$B$146=$A154)*M$130:M$146*$C$130:$C$146)</f>
        <v>117.404796207979</v>
      </c>
      <c r="N154" s="26" t="n">
        <f aca="false">SUMPRODUCT(($B$130:$B$146=$A154)*N$130:N$146*$C$130:$C$146)</f>
        <v>117.404796207979</v>
      </c>
      <c r="O154" s="26" t="n">
        <f aca="false">SUMPRODUCT(($B$130:$B$146=$A154)*O$130:O$146*$C$130:$C$146)</f>
        <v>117.404796207979</v>
      </c>
      <c r="P154" s="26" t="n">
        <f aca="false">SUMPRODUCT(($B$130:$B$146=$A154)*P$130:P$146*$C$130:$C$146)</f>
        <v>1408.85755449574</v>
      </c>
    </row>
    <row r="155" customFormat="false" ht="15" hidden="false" customHeight="false" outlineLevel="0" collapsed="false">
      <c r="A155" s="4" t="s">
        <v>159</v>
      </c>
      <c r="D155" s="26" t="n">
        <f aca="false">SUMPRODUCT(($B$130:$B$146=$A155)*D$130:D$146*$C$130:$C$146)</f>
        <v>865.495452193346</v>
      </c>
      <c r="E155" s="26" t="n">
        <f aca="false">SUMPRODUCT(($B$130:$B$146=$A155)*E$130:E$146*$C$130:$C$146)</f>
        <v>865.495452193346</v>
      </c>
      <c r="F155" s="26" t="n">
        <f aca="false">SUMPRODUCT(($B$130:$B$146=$A155)*F$130:F$146*$C$130:$C$146)</f>
        <v>865.495452193346</v>
      </c>
      <c r="G155" s="26" t="n">
        <f aca="false">SUMPRODUCT(($B$130:$B$146=$A155)*G$130:G$146*$C$130:$C$146)</f>
        <v>865.495452193346</v>
      </c>
      <c r="H155" s="26" t="n">
        <f aca="false">SUMPRODUCT(($B$130:$B$146=$A155)*H$130:H$146*$C$130:$C$146)</f>
        <v>865.495452193346</v>
      </c>
      <c r="I155" s="26" t="n">
        <f aca="false">SUMPRODUCT(($B$130:$B$146=$A155)*I$130:I$146*$C$130:$C$146)</f>
        <v>865.495452193346</v>
      </c>
      <c r="J155" s="26" t="n">
        <f aca="false">SUMPRODUCT(($B$130:$B$146=$A155)*J$130:J$146*$C$130:$C$146)</f>
        <v>865.495452193346</v>
      </c>
      <c r="K155" s="26" t="n">
        <f aca="false">SUMPRODUCT(($B$130:$B$146=$A155)*K$130:K$146*$C$130:$C$146)</f>
        <v>865.495452193346</v>
      </c>
      <c r="L155" s="26" t="n">
        <f aca="false">SUMPRODUCT(($B$130:$B$146=$A155)*L$130:L$146*$C$130:$C$146)</f>
        <v>865.495452193346</v>
      </c>
      <c r="M155" s="26" t="n">
        <f aca="false">SUMPRODUCT(($B$130:$B$146=$A155)*M$130:M$146*$C$130:$C$146)</f>
        <v>865.495452193346</v>
      </c>
      <c r="N155" s="26" t="n">
        <f aca="false">SUMPRODUCT(($B$130:$B$146=$A155)*N$130:N$146*$C$130:$C$146)</f>
        <v>865.495452193346</v>
      </c>
      <c r="O155" s="26" t="n">
        <f aca="false">SUMPRODUCT(($B$130:$B$146=$A155)*O$130:O$146*$C$130:$C$146)</f>
        <v>865.495452193346</v>
      </c>
      <c r="P155" s="26" t="n">
        <f aca="false">SUMPRODUCT(($B$130:$B$146=$A155)*P$130:P$146*$C$130:$C$146)</f>
        <v>10385.9454263202</v>
      </c>
    </row>
    <row r="156" customFormat="false" ht="15" hidden="false" customHeight="false" outlineLevel="0" collapsed="false">
      <c r="A156" s="4" t="s">
        <v>162</v>
      </c>
      <c r="D156" s="26" t="n">
        <f aca="false">SUMPRODUCT(($B$130:$B$146=$A156)*D$130:D$146*$C$130:$C$146)</f>
        <v>34.4094726215548</v>
      </c>
      <c r="E156" s="26" t="n">
        <f aca="false">SUMPRODUCT(($B$130:$B$146=$A156)*E$130:E$146*$C$130:$C$146)</f>
        <v>34.4094726215548</v>
      </c>
      <c r="F156" s="26" t="n">
        <f aca="false">SUMPRODUCT(($B$130:$B$146=$A156)*F$130:F$146*$C$130:$C$146)</f>
        <v>34.4094726215548</v>
      </c>
      <c r="G156" s="26" t="n">
        <f aca="false">SUMPRODUCT(($B$130:$B$146=$A156)*G$130:G$146*$C$130:$C$146)</f>
        <v>34.4094726215548</v>
      </c>
      <c r="H156" s="26" t="n">
        <f aca="false">SUMPRODUCT(($B$130:$B$146=$A156)*H$130:H$146*$C$130:$C$146)</f>
        <v>34.4094726215548</v>
      </c>
      <c r="I156" s="26" t="n">
        <f aca="false">SUMPRODUCT(($B$130:$B$146=$A156)*I$130:I$146*$C$130:$C$146)</f>
        <v>34.4094726215548</v>
      </c>
      <c r="J156" s="26" t="n">
        <f aca="false">SUMPRODUCT(($B$130:$B$146=$A156)*J$130:J$146*$C$130:$C$146)</f>
        <v>34.4094726215548</v>
      </c>
      <c r="K156" s="26" t="n">
        <f aca="false">SUMPRODUCT(($B$130:$B$146=$A156)*K$130:K$146*$C$130:$C$146)</f>
        <v>34.4094726215548</v>
      </c>
      <c r="L156" s="26" t="n">
        <f aca="false">SUMPRODUCT(($B$130:$B$146=$A156)*L$130:L$146*$C$130:$C$146)</f>
        <v>34.4094726215548</v>
      </c>
      <c r="M156" s="26" t="n">
        <f aca="false">SUMPRODUCT(($B$130:$B$146=$A156)*M$130:M$146*$C$130:$C$146)</f>
        <v>34.4094726215548</v>
      </c>
      <c r="N156" s="26" t="n">
        <f aca="false">SUMPRODUCT(($B$130:$B$146=$A156)*N$130:N$146*$C$130:$C$146)</f>
        <v>34.4094726215548</v>
      </c>
      <c r="O156" s="26" t="n">
        <f aca="false">SUMPRODUCT(($B$130:$B$146=$A156)*O$130:O$146*$C$130:$C$146)</f>
        <v>34.4094726215548</v>
      </c>
      <c r="P156" s="26" t="n">
        <f aca="false">SUMPRODUCT(($B$130:$B$146=$A156)*P$130:P$146*$C$130:$C$146)</f>
        <v>412.913671458658</v>
      </c>
    </row>
    <row r="157" customFormat="false" ht="15" hidden="false" customHeight="false" outlineLevel="0" collapsed="false">
      <c r="A157" s="6" t="s">
        <v>312</v>
      </c>
      <c r="D157" s="27" t="n">
        <f aca="false">SUMPRODUCT(D$130:D$146*parametros_recargas!$D$51:$D$67)</f>
        <v>351.971739903438</v>
      </c>
      <c r="E157" s="27" t="n">
        <f aca="false">SUMPRODUCT(E$130:E$146*parametros_recargas!$D$51:$D$67)</f>
        <v>351.971739903438</v>
      </c>
      <c r="F157" s="27" t="n">
        <f aca="false">SUMPRODUCT(F$130:F$146*parametros_recargas!$D$51:$D$67)</f>
        <v>351.971739903438</v>
      </c>
      <c r="G157" s="27" t="n">
        <f aca="false">SUMPRODUCT(G$130:G$146*parametros_recargas!$D$51:$D$67)</f>
        <v>351.971739903438</v>
      </c>
      <c r="H157" s="27" t="n">
        <f aca="false">SUMPRODUCT(H$130:H$146*parametros_recargas!$D$51:$D$67)</f>
        <v>351.971739903438</v>
      </c>
      <c r="I157" s="27" t="n">
        <f aca="false">SUMPRODUCT(I$130:I$146*parametros_recargas!$D$51:$D$67)</f>
        <v>351.971739903438</v>
      </c>
      <c r="J157" s="27" t="n">
        <f aca="false">SUMPRODUCT(J$130:J$146*parametros_recargas!$D$51:$D$67)</f>
        <v>351.971739903438</v>
      </c>
      <c r="K157" s="27" t="n">
        <f aca="false">SUMPRODUCT(K$130:K$146*parametros_recargas!$D$51:$D$67)</f>
        <v>351.971739903438</v>
      </c>
      <c r="L157" s="27" t="n">
        <f aca="false">SUMPRODUCT(L$130:L$146*parametros_recargas!$D$51:$D$67)</f>
        <v>351.971739903438</v>
      </c>
      <c r="M157" s="27" t="n">
        <f aca="false">SUMPRODUCT(M$130:M$146*parametros_recargas!$D$51:$D$67)</f>
        <v>351.971739903438</v>
      </c>
      <c r="N157" s="27" t="n">
        <f aca="false">SUMPRODUCT(N$130:N$146*parametros_recargas!$D$51:$D$67)</f>
        <v>351.971739903438</v>
      </c>
      <c r="O157" s="27" t="n">
        <f aca="false">SUMPRODUCT(O$130:O$146*parametros_recargas!$D$51:$D$67)</f>
        <v>351.971739903438</v>
      </c>
      <c r="P157" s="27" t="n">
        <f aca="false">SUMPRODUCT(P$130:P$146*parametros_recargas!$D$51:$D$67)</f>
        <v>4223.66087884125</v>
      </c>
    </row>
    <row r="161" customFormat="false" ht="23.85" hidden="false" customHeight="false" outlineLevel="0" collapsed="false">
      <c r="A161" s="28" t="n">
        <v>2031</v>
      </c>
      <c r="B161" s="3" t="s">
        <v>307</v>
      </c>
      <c r="C161" s="3" t="s">
        <v>308</v>
      </c>
      <c r="D161" s="3" t="s">
        <v>133</v>
      </c>
      <c r="E161" s="3" t="s">
        <v>134</v>
      </c>
      <c r="F161" s="3" t="s">
        <v>135</v>
      </c>
      <c r="G161" s="3" t="s">
        <v>136</v>
      </c>
      <c r="H161" s="3" t="s">
        <v>137</v>
      </c>
      <c r="I161" s="3" t="s">
        <v>138</v>
      </c>
      <c r="J161" s="3" t="s">
        <v>139</v>
      </c>
      <c r="K161" s="3" t="s">
        <v>140</v>
      </c>
      <c r="L161" s="3" t="s">
        <v>141</v>
      </c>
      <c r="M161" s="3" t="s">
        <v>142</v>
      </c>
      <c r="N161" s="3" t="s">
        <v>143</v>
      </c>
      <c r="O161" s="3" t="s">
        <v>144</v>
      </c>
      <c r="P161" s="3" t="s">
        <v>67</v>
      </c>
      <c r="Q161" s="3" t="s">
        <v>309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5" t="n">
        <f aca="false">parametros_recargas!C51</f>
        <v>1</v>
      </c>
      <c r="D162" s="26" t="n">
        <f aca="false">datos_base!$G$2*parametros_recargas!$B$42+sobrestock_sustitutos!$G$88/12</f>
        <v>6963.88353662942</v>
      </c>
      <c r="E162" s="26" t="n">
        <f aca="false">datos_base!$G$2*parametros_recargas!$C$42+sobrestock_sustitutos!$G$88/12</f>
        <v>6963.88353662942</v>
      </c>
      <c r="F162" s="26" t="n">
        <f aca="false">datos_base!$G$2*parametros_recargas!$D$42+sobrestock_sustitutos!$G$88/12</f>
        <v>6963.88353662942</v>
      </c>
      <c r="G162" s="26" t="n">
        <f aca="false">datos_base!$G$2*parametros_recargas!$E$42+sobrestock_sustitutos!$G$88/12</f>
        <v>6963.88353662942</v>
      </c>
      <c r="H162" s="26" t="n">
        <f aca="false">datos_base!$G$2*parametros_recargas!$F$42+sobrestock_sustitutos!$G$88/12</f>
        <v>6963.88353662942</v>
      </c>
      <c r="I162" s="26" t="n">
        <f aca="false">datos_base!$G$2*parametros_recargas!$G$42+sobrestock_sustitutos!$G$88/12</f>
        <v>6963.88353662942</v>
      </c>
      <c r="J162" s="26" t="n">
        <f aca="false">datos_base!$G$2*parametros_recargas!$H$42+sobrestock_sustitutos!$G$88/12</f>
        <v>6963.88353662942</v>
      </c>
      <c r="K162" s="26" t="n">
        <f aca="false">datos_base!$G$2*parametros_recargas!$I$42+sobrestock_sustitutos!$G$88/12</f>
        <v>6963.88353662942</v>
      </c>
      <c r="L162" s="26" t="n">
        <f aca="false">datos_base!$G$2*parametros_recargas!$J$42+sobrestock_sustitutos!$G$88/12</f>
        <v>6963.88353662942</v>
      </c>
      <c r="M162" s="26" t="n">
        <f aca="false">datos_base!$G$2*parametros_recargas!$K$42+sobrestock_sustitutos!$G$88/12</f>
        <v>6963.88353662942</v>
      </c>
      <c r="N162" s="26" t="n">
        <f aca="false">datos_base!$G$2*parametros_recargas!$L$42+sobrestock_sustitutos!$G$88/12</f>
        <v>6963.88353662942</v>
      </c>
      <c r="O162" s="26" t="n">
        <f aca="false">datos_base!$G$2*parametros_recargas!$M$42+sobrestock_sustitutos!$G$88/12</f>
        <v>6963.88353662942</v>
      </c>
      <c r="P162" s="7" t="n">
        <f aca="false">SUM(D162:O162)</f>
        <v>83566.602439553</v>
      </c>
      <c r="Q162" s="13" t="n">
        <f aca="false">sobrestock_sustitutos!$G$88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5" t="n">
        <f aca="false">parametros_recargas!C52</f>
        <v>1</v>
      </c>
      <c r="D163" s="26" t="n">
        <f aca="false">datos_base!$G$3*parametros_recargas!$B$42+sobrestock_sustitutos!$G$89/12</f>
        <v>624.115213146058</v>
      </c>
      <c r="E163" s="26" t="n">
        <f aca="false">datos_base!$G$3*parametros_recargas!$C$42+sobrestock_sustitutos!$G$89/12</f>
        <v>624.115213146058</v>
      </c>
      <c r="F163" s="26" t="n">
        <f aca="false">datos_base!$G$3*parametros_recargas!$D$42+sobrestock_sustitutos!$G$89/12</f>
        <v>624.115213146058</v>
      </c>
      <c r="G163" s="26" t="n">
        <f aca="false">datos_base!$G$3*parametros_recargas!$E$42+sobrestock_sustitutos!$G$89/12</f>
        <v>624.115213146058</v>
      </c>
      <c r="H163" s="26" t="n">
        <f aca="false">datos_base!$G$3*parametros_recargas!$F$42+sobrestock_sustitutos!$G$89/12</f>
        <v>624.115213146058</v>
      </c>
      <c r="I163" s="26" t="n">
        <f aca="false">datos_base!$G$3*parametros_recargas!$G$42+sobrestock_sustitutos!$G$89/12</f>
        <v>624.115213146058</v>
      </c>
      <c r="J163" s="26" t="n">
        <f aca="false">datos_base!$G$3*parametros_recargas!$H$42+sobrestock_sustitutos!$G$89/12</f>
        <v>624.115213146058</v>
      </c>
      <c r="K163" s="26" t="n">
        <f aca="false">datos_base!$G$3*parametros_recargas!$I$42+sobrestock_sustitutos!$G$89/12</f>
        <v>624.115213146058</v>
      </c>
      <c r="L163" s="26" t="n">
        <f aca="false">datos_base!$G$3*parametros_recargas!$J$42+sobrestock_sustitutos!$G$89/12</f>
        <v>624.115213146058</v>
      </c>
      <c r="M163" s="26" t="n">
        <f aca="false">datos_base!$G$3*parametros_recargas!$K$42+sobrestock_sustitutos!$G$89/12</f>
        <v>624.115213146058</v>
      </c>
      <c r="N163" s="26" t="n">
        <f aca="false">datos_base!$G$3*parametros_recargas!$L$42+sobrestock_sustitutos!$G$89/12</f>
        <v>624.115213146058</v>
      </c>
      <c r="O163" s="26" t="n">
        <f aca="false">datos_base!$G$3*parametros_recargas!$M$42+sobrestock_sustitutos!$G$89/12</f>
        <v>624.115213146058</v>
      </c>
      <c r="P163" s="7" t="n">
        <f aca="false">SUM(D163:O163)</f>
        <v>7489.38255775269</v>
      </c>
      <c r="Q163" s="13" t="n">
        <f aca="false">sobrestock_sustitutos!$G$89</f>
        <v>70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5" t="n">
        <f aca="false">parametros_recargas!C53</f>
        <v>1</v>
      </c>
      <c r="D164" s="26" t="n">
        <f aca="false">datos_base!$G$4*parametros_recargas!$B$42+sobrestock_sustitutos!$G$90/12</f>
        <v>3851.14947377485</v>
      </c>
      <c r="E164" s="26" t="n">
        <f aca="false">datos_base!$G$4*parametros_recargas!$C$42+sobrestock_sustitutos!$G$90/12</f>
        <v>3851.14947377485</v>
      </c>
      <c r="F164" s="26" t="n">
        <f aca="false">datos_base!$G$4*parametros_recargas!$D$42+sobrestock_sustitutos!$G$90/12</f>
        <v>3851.14947377485</v>
      </c>
      <c r="G164" s="26" t="n">
        <f aca="false">datos_base!$G$4*parametros_recargas!$E$42+sobrestock_sustitutos!$G$90/12</f>
        <v>3851.14947377485</v>
      </c>
      <c r="H164" s="26" t="n">
        <f aca="false">datos_base!$G$4*parametros_recargas!$F$42+sobrestock_sustitutos!$G$90/12</f>
        <v>3851.14947377485</v>
      </c>
      <c r="I164" s="26" t="n">
        <f aca="false">datos_base!$G$4*parametros_recargas!$G$42+sobrestock_sustitutos!$G$90/12</f>
        <v>3851.14947377485</v>
      </c>
      <c r="J164" s="26" t="n">
        <f aca="false">datos_base!$G$4*parametros_recargas!$H$42+sobrestock_sustitutos!$G$90/12</f>
        <v>3851.14947377485</v>
      </c>
      <c r="K164" s="26" t="n">
        <f aca="false">datos_base!$G$4*parametros_recargas!$I$42+sobrestock_sustitutos!$G$90/12</f>
        <v>3851.14947377485</v>
      </c>
      <c r="L164" s="26" t="n">
        <f aca="false">datos_base!$G$4*parametros_recargas!$J$42+sobrestock_sustitutos!$G$90/12</f>
        <v>3851.14947377485</v>
      </c>
      <c r="M164" s="26" t="n">
        <f aca="false">datos_base!$G$4*parametros_recargas!$K$42+sobrestock_sustitutos!$G$90/12</f>
        <v>3851.14947377485</v>
      </c>
      <c r="N164" s="26" t="n">
        <f aca="false">datos_base!$G$4*parametros_recargas!$L$42+sobrestock_sustitutos!$G$90/12</f>
        <v>3851.14947377485</v>
      </c>
      <c r="O164" s="26" t="n">
        <f aca="false">datos_base!$G$4*parametros_recargas!$M$42+sobrestock_sustitutos!$G$90/12</f>
        <v>3851.14947377485</v>
      </c>
      <c r="P164" s="7" t="n">
        <f aca="false">SUM(D164:O164)</f>
        <v>46213.7936852982</v>
      </c>
      <c r="Q164" s="13" t="n">
        <f aca="false">sobrestock_sustitutos!$G$90</f>
        <v>431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5" t="n">
        <f aca="false">parametros_recargas!C54</f>
        <v>1</v>
      </c>
      <c r="D165" s="26" t="n">
        <f aca="false">datos_base!$G$5*parametros_recargas!$B$42+sobrestock_sustitutos!$G$91/12</f>
        <v>228.174745345309</v>
      </c>
      <c r="E165" s="26" t="n">
        <f aca="false">datos_base!$G$5*parametros_recargas!$C$42+sobrestock_sustitutos!$G$91/12</f>
        <v>228.174745345309</v>
      </c>
      <c r="F165" s="26" t="n">
        <f aca="false">datos_base!$G$5*parametros_recargas!$D$42+sobrestock_sustitutos!$G$91/12</f>
        <v>228.174745345309</v>
      </c>
      <c r="G165" s="26" t="n">
        <f aca="false">datos_base!$G$5*parametros_recargas!$E$42+sobrestock_sustitutos!$G$91/12</f>
        <v>228.174745345309</v>
      </c>
      <c r="H165" s="26" t="n">
        <f aca="false">datos_base!$G$5*parametros_recargas!$F$42+sobrestock_sustitutos!$G$91/12</f>
        <v>228.174745345309</v>
      </c>
      <c r="I165" s="26" t="n">
        <f aca="false">datos_base!$G$5*parametros_recargas!$G$42+sobrestock_sustitutos!$G$91/12</f>
        <v>228.174745345309</v>
      </c>
      <c r="J165" s="26" t="n">
        <f aca="false">datos_base!$G$5*parametros_recargas!$H$42+sobrestock_sustitutos!$G$91/12</f>
        <v>228.174745345309</v>
      </c>
      <c r="K165" s="26" t="n">
        <f aca="false">datos_base!$G$5*parametros_recargas!$I$42+sobrestock_sustitutos!$G$91/12</f>
        <v>228.174745345309</v>
      </c>
      <c r="L165" s="26" t="n">
        <f aca="false">datos_base!$G$5*parametros_recargas!$J$42+sobrestock_sustitutos!$G$91/12</f>
        <v>228.174745345309</v>
      </c>
      <c r="M165" s="26" t="n">
        <f aca="false">datos_base!$G$5*parametros_recargas!$K$42+sobrestock_sustitutos!$G$91/12</f>
        <v>228.174745345309</v>
      </c>
      <c r="N165" s="26" t="n">
        <f aca="false">datos_base!$G$5*parametros_recargas!$L$42+sobrestock_sustitutos!$G$91/12</f>
        <v>228.174745345309</v>
      </c>
      <c r="O165" s="26" t="n">
        <f aca="false">datos_base!$G$5*parametros_recargas!$M$42+sobrestock_sustitutos!$G$91/12</f>
        <v>228.174745345309</v>
      </c>
      <c r="P165" s="7" t="n">
        <f aca="false">SUM(D165:O165)</f>
        <v>2738.09694414371</v>
      </c>
      <c r="Q165" s="13" t="n">
        <f aca="false">sobrestock_sustitutos!$G$91</f>
        <v>26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5" t="n">
        <f aca="false">parametros_recargas!C55</f>
        <v>1</v>
      </c>
      <c r="D166" s="26" t="n">
        <f aca="false">datos_base!$G$6*parametros_recargas!$B$42+sobrestock_sustitutos!$G$92/12</f>
        <v>319.483014936483</v>
      </c>
      <c r="E166" s="26" t="n">
        <f aca="false">datos_base!$G$6*parametros_recargas!$C$42+sobrestock_sustitutos!$G$92/12</f>
        <v>319.483014936483</v>
      </c>
      <c r="F166" s="26" t="n">
        <f aca="false">datos_base!$G$6*parametros_recargas!$D$42+sobrestock_sustitutos!$G$92/12</f>
        <v>319.483014936483</v>
      </c>
      <c r="G166" s="26" t="n">
        <f aca="false">datos_base!$G$6*parametros_recargas!$E$42+sobrestock_sustitutos!$G$92/12</f>
        <v>319.483014936483</v>
      </c>
      <c r="H166" s="26" t="n">
        <f aca="false">datos_base!$G$6*parametros_recargas!$F$42+sobrestock_sustitutos!$G$92/12</f>
        <v>319.483014936483</v>
      </c>
      <c r="I166" s="26" t="n">
        <f aca="false">datos_base!$G$6*parametros_recargas!$G$42+sobrestock_sustitutos!$G$92/12</f>
        <v>319.483014936483</v>
      </c>
      <c r="J166" s="26" t="n">
        <f aca="false">datos_base!$G$6*parametros_recargas!$H$42+sobrestock_sustitutos!$G$92/12</f>
        <v>319.483014936483</v>
      </c>
      <c r="K166" s="26" t="n">
        <f aca="false">datos_base!$G$6*parametros_recargas!$I$42+sobrestock_sustitutos!$G$92/12</f>
        <v>319.483014936483</v>
      </c>
      <c r="L166" s="26" t="n">
        <f aca="false">datos_base!$G$6*parametros_recargas!$J$42+sobrestock_sustitutos!$G$92/12</f>
        <v>319.483014936483</v>
      </c>
      <c r="M166" s="26" t="n">
        <f aca="false">datos_base!$G$6*parametros_recargas!$K$42+sobrestock_sustitutos!$G$92/12</f>
        <v>319.483014936483</v>
      </c>
      <c r="N166" s="26" t="n">
        <f aca="false">datos_base!$G$6*parametros_recargas!$L$42+sobrestock_sustitutos!$G$92/12</f>
        <v>319.483014936483</v>
      </c>
      <c r="O166" s="26" t="n">
        <f aca="false">datos_base!$G$6*parametros_recargas!$M$42+sobrestock_sustitutos!$G$92/12</f>
        <v>319.483014936483</v>
      </c>
      <c r="P166" s="7" t="n">
        <f aca="false">SUM(D166:O166)</f>
        <v>3833.7961792378</v>
      </c>
      <c r="Q166" s="13" t="n">
        <f aca="false">sobrestock_sustitutos!$G$92</f>
        <v>36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5" t="n">
        <f aca="false">parametros_recargas!C56</f>
        <v>1</v>
      </c>
      <c r="D167" s="26" t="n">
        <f aca="false">datos_base!$G$7*parametros_recargas!$B$42+sobrestock_sustitutos!$G$93/12</f>
        <v>57.6949001123064</v>
      </c>
      <c r="E167" s="26" t="n">
        <f aca="false">datos_base!$G$7*parametros_recargas!$C$42+sobrestock_sustitutos!$G$93/12</f>
        <v>57.6949001123064</v>
      </c>
      <c r="F167" s="26" t="n">
        <f aca="false">datos_base!$G$7*parametros_recargas!$D$42+sobrestock_sustitutos!$G$93/12</f>
        <v>57.6949001123064</v>
      </c>
      <c r="G167" s="26" t="n">
        <f aca="false">datos_base!$G$7*parametros_recargas!$E$42+sobrestock_sustitutos!$G$93/12</f>
        <v>57.6949001123064</v>
      </c>
      <c r="H167" s="26" t="n">
        <f aca="false">datos_base!$G$7*parametros_recargas!$F$42+sobrestock_sustitutos!$G$93/12</f>
        <v>57.6949001123064</v>
      </c>
      <c r="I167" s="26" t="n">
        <f aca="false">datos_base!$G$7*parametros_recargas!$G$42+sobrestock_sustitutos!$G$93/12</f>
        <v>57.6949001123064</v>
      </c>
      <c r="J167" s="26" t="n">
        <f aca="false">datos_base!$G$7*parametros_recargas!$H$42+sobrestock_sustitutos!$G$93/12</f>
        <v>57.6949001123064</v>
      </c>
      <c r="K167" s="26" t="n">
        <f aca="false">datos_base!$G$7*parametros_recargas!$I$42+sobrestock_sustitutos!$G$93/12</f>
        <v>57.6949001123064</v>
      </c>
      <c r="L167" s="26" t="n">
        <f aca="false">datos_base!$G$7*parametros_recargas!$J$42+sobrestock_sustitutos!$G$93/12</f>
        <v>57.6949001123064</v>
      </c>
      <c r="M167" s="26" t="n">
        <f aca="false">datos_base!$G$7*parametros_recargas!$K$42+sobrestock_sustitutos!$G$93/12</f>
        <v>57.6949001123064</v>
      </c>
      <c r="N167" s="26" t="n">
        <f aca="false">datos_base!$G$7*parametros_recargas!$L$42+sobrestock_sustitutos!$G$93/12</f>
        <v>57.6949001123064</v>
      </c>
      <c r="O167" s="26" t="n">
        <f aca="false">datos_base!$G$7*parametros_recargas!$M$42+sobrestock_sustitutos!$G$93/12</f>
        <v>57.6949001123064</v>
      </c>
      <c r="P167" s="7" t="n">
        <f aca="false">SUM(D167:O167)</f>
        <v>692.338801347676</v>
      </c>
      <c r="Q167" s="13" t="n">
        <f aca="false">sobrestock_sustitutos!$G$93</f>
        <v>7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5" t="n">
        <f aca="false">parametros_recargas!C57</f>
        <v>3</v>
      </c>
      <c r="D168" s="26" t="n">
        <f aca="false">datos_base!$G$8*parametros_recargas!$B$42+sobrestock_sustitutos!$G$94/12</f>
        <v>30.8518114686651</v>
      </c>
      <c r="E168" s="26" t="n">
        <f aca="false">datos_base!$G$8*parametros_recargas!$C$42+sobrestock_sustitutos!$G$94/12</f>
        <v>30.8518114686651</v>
      </c>
      <c r="F168" s="26" t="n">
        <f aca="false">datos_base!$G$8*parametros_recargas!$D$42+sobrestock_sustitutos!$G$94/12</f>
        <v>30.8518114686651</v>
      </c>
      <c r="G168" s="26" t="n">
        <f aca="false">datos_base!$G$8*parametros_recargas!$E$42+sobrestock_sustitutos!$G$94/12</f>
        <v>30.8518114686651</v>
      </c>
      <c r="H168" s="26" t="n">
        <f aca="false">datos_base!$G$8*parametros_recargas!$F$42+sobrestock_sustitutos!$G$94/12</f>
        <v>30.8518114686651</v>
      </c>
      <c r="I168" s="26" t="n">
        <f aca="false">datos_base!$G$8*parametros_recargas!$G$42+sobrestock_sustitutos!$G$94/12</f>
        <v>30.8518114686651</v>
      </c>
      <c r="J168" s="26" t="n">
        <f aca="false">datos_base!$G$8*parametros_recargas!$H$42+sobrestock_sustitutos!$G$94/12</f>
        <v>30.8518114686651</v>
      </c>
      <c r="K168" s="26" t="n">
        <f aca="false">datos_base!$G$8*parametros_recargas!$I$42+sobrestock_sustitutos!$G$94/12</f>
        <v>30.8518114686651</v>
      </c>
      <c r="L168" s="26" t="n">
        <f aca="false">datos_base!$G$8*parametros_recargas!$J$42+sobrestock_sustitutos!$G$94/12</f>
        <v>30.8518114686651</v>
      </c>
      <c r="M168" s="26" t="n">
        <f aca="false">datos_base!$G$8*parametros_recargas!$K$42+sobrestock_sustitutos!$G$94/12</f>
        <v>30.8518114686651</v>
      </c>
      <c r="N168" s="26" t="n">
        <f aca="false">datos_base!$G$8*parametros_recargas!$L$42+sobrestock_sustitutos!$G$94/12</f>
        <v>30.8518114686651</v>
      </c>
      <c r="O168" s="26" t="n">
        <f aca="false">datos_base!$G$8*parametros_recargas!$M$42+sobrestock_sustitutos!$G$94/12</f>
        <v>30.8518114686651</v>
      </c>
      <c r="P168" s="7" t="n">
        <f aca="false">SUM(D168:O168)</f>
        <v>370.221737623981</v>
      </c>
      <c r="Q168" s="13" t="n">
        <f aca="false">sobrestock_sustitutos!$G$94</f>
        <v>4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5" t="n">
        <f aca="false">parametros_recargas!C58</f>
        <v>1</v>
      </c>
      <c r="D169" s="26" t="n">
        <f aca="false">datos_base!$G$9*parametros_recargas!$B$42+sobrestock_sustitutos!$G$95/12</f>
        <v>17.4785255401079</v>
      </c>
      <c r="E169" s="26" t="n">
        <f aca="false">datos_base!$G$9*parametros_recargas!$C$42+sobrestock_sustitutos!$G$95/12</f>
        <v>17.4785255401079</v>
      </c>
      <c r="F169" s="26" t="n">
        <f aca="false">datos_base!$G$9*parametros_recargas!$D$42+sobrestock_sustitutos!$G$95/12</f>
        <v>17.4785255401079</v>
      </c>
      <c r="G169" s="26" t="n">
        <f aca="false">datos_base!$G$9*parametros_recargas!$E$42+sobrestock_sustitutos!$G$95/12</f>
        <v>17.4785255401079</v>
      </c>
      <c r="H169" s="26" t="n">
        <f aca="false">datos_base!$G$9*parametros_recargas!$F$42+sobrestock_sustitutos!$G$95/12</f>
        <v>17.4785255401079</v>
      </c>
      <c r="I169" s="26" t="n">
        <f aca="false">datos_base!$G$9*parametros_recargas!$G$42+sobrestock_sustitutos!$G$95/12</f>
        <v>17.4785255401079</v>
      </c>
      <c r="J169" s="26" t="n">
        <f aca="false">datos_base!$G$9*parametros_recargas!$H$42+sobrestock_sustitutos!$G$95/12</f>
        <v>17.4785255401079</v>
      </c>
      <c r="K169" s="26" t="n">
        <f aca="false">datos_base!$G$9*parametros_recargas!$I$42+sobrestock_sustitutos!$G$95/12</f>
        <v>17.4785255401079</v>
      </c>
      <c r="L169" s="26" t="n">
        <f aca="false">datos_base!$G$9*parametros_recargas!$J$42+sobrestock_sustitutos!$G$95/12</f>
        <v>17.4785255401079</v>
      </c>
      <c r="M169" s="26" t="n">
        <f aca="false">datos_base!$G$9*parametros_recargas!$K$42+sobrestock_sustitutos!$G$95/12</f>
        <v>17.4785255401079</v>
      </c>
      <c r="N169" s="26" t="n">
        <f aca="false">datos_base!$G$9*parametros_recargas!$L$42+sobrestock_sustitutos!$G$95/12</f>
        <v>17.4785255401079</v>
      </c>
      <c r="O169" s="26" t="n">
        <f aca="false">datos_base!$G$9*parametros_recargas!$M$42+sobrestock_sustitutos!$G$95/12</f>
        <v>17.4785255401079</v>
      </c>
      <c r="P169" s="7" t="n">
        <f aca="false">SUM(D169:O169)</f>
        <v>209.742306481294</v>
      </c>
      <c r="Q169" s="13" t="n">
        <f aca="false">sobrestock_sustitutos!$G$95</f>
        <v>2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5" t="n">
        <f aca="false">parametros_recargas!C59</f>
        <v>1</v>
      </c>
      <c r="D170" s="26" t="n">
        <f aca="false">datos_base!$G$10*parametros_recargas!$B$42+sobrestock_sustitutos!$G$96/12</f>
        <v>155.628909645686</v>
      </c>
      <c r="E170" s="26" t="n">
        <f aca="false">datos_base!$G$10*parametros_recargas!$C$42+sobrestock_sustitutos!$G$96/12</f>
        <v>155.628909645686</v>
      </c>
      <c r="F170" s="26" t="n">
        <f aca="false">datos_base!$G$10*parametros_recargas!$D$42+sobrestock_sustitutos!$G$96/12</f>
        <v>155.628909645686</v>
      </c>
      <c r="G170" s="26" t="n">
        <f aca="false">datos_base!$G$10*parametros_recargas!$E$42+sobrestock_sustitutos!$G$96/12</f>
        <v>155.628909645686</v>
      </c>
      <c r="H170" s="26" t="n">
        <f aca="false">datos_base!$G$10*parametros_recargas!$F$42+sobrestock_sustitutos!$G$96/12</f>
        <v>155.628909645686</v>
      </c>
      <c r="I170" s="26" t="n">
        <f aca="false">datos_base!$G$10*parametros_recargas!$G$42+sobrestock_sustitutos!$G$96/12</f>
        <v>155.628909645686</v>
      </c>
      <c r="J170" s="26" t="n">
        <f aca="false">datos_base!$G$10*parametros_recargas!$H$42+sobrestock_sustitutos!$G$96/12</f>
        <v>155.628909645686</v>
      </c>
      <c r="K170" s="26" t="n">
        <f aca="false">datos_base!$G$10*parametros_recargas!$I$42+sobrestock_sustitutos!$G$96/12</f>
        <v>155.628909645686</v>
      </c>
      <c r="L170" s="26" t="n">
        <f aca="false">datos_base!$G$10*parametros_recargas!$J$42+sobrestock_sustitutos!$G$96/12</f>
        <v>155.628909645686</v>
      </c>
      <c r="M170" s="26" t="n">
        <f aca="false">datos_base!$G$10*parametros_recargas!$K$42+sobrestock_sustitutos!$G$96/12</f>
        <v>155.628909645686</v>
      </c>
      <c r="N170" s="26" t="n">
        <f aca="false">datos_base!$G$10*parametros_recargas!$L$42+sobrestock_sustitutos!$G$96/12</f>
        <v>155.628909645686</v>
      </c>
      <c r="O170" s="26" t="n">
        <f aca="false">datos_base!$G$10*parametros_recargas!$M$42+sobrestock_sustitutos!$G$96/12</f>
        <v>155.628909645686</v>
      </c>
      <c r="P170" s="7" t="n">
        <f aca="false">SUM(D170:O170)</f>
        <v>1867.54691574823</v>
      </c>
      <c r="Q170" s="13" t="n">
        <f aca="false">sobrestock_sustitutos!$G$96</f>
        <v>18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5" t="n">
        <f aca="false">parametros_recargas!C60</f>
        <v>1</v>
      </c>
      <c r="D171" s="26" t="n">
        <f aca="false">datos_base!$G$11*parametros_recargas!$B$42+sobrestock_sustitutos!$G$97/12</f>
        <v>869.097118750176</v>
      </c>
      <c r="E171" s="26" t="n">
        <f aca="false">datos_base!$G$11*parametros_recargas!$C$42+sobrestock_sustitutos!$G$97/12</f>
        <v>869.097118750176</v>
      </c>
      <c r="F171" s="26" t="n">
        <f aca="false">datos_base!$G$11*parametros_recargas!$D$42+sobrestock_sustitutos!$G$97/12</f>
        <v>869.097118750176</v>
      </c>
      <c r="G171" s="26" t="n">
        <f aca="false">datos_base!$G$11*parametros_recargas!$E$42+sobrestock_sustitutos!$G$97/12</f>
        <v>869.097118750176</v>
      </c>
      <c r="H171" s="26" t="n">
        <f aca="false">datos_base!$G$11*parametros_recargas!$F$42+sobrestock_sustitutos!$G$97/12</f>
        <v>869.097118750176</v>
      </c>
      <c r="I171" s="26" t="n">
        <f aca="false">datos_base!$G$11*parametros_recargas!$G$42+sobrestock_sustitutos!$G$97/12</f>
        <v>869.097118750176</v>
      </c>
      <c r="J171" s="26" t="n">
        <f aca="false">datos_base!$G$11*parametros_recargas!$H$42+sobrestock_sustitutos!$G$97/12</f>
        <v>869.097118750176</v>
      </c>
      <c r="K171" s="26" t="n">
        <f aca="false">datos_base!$G$11*parametros_recargas!$I$42+sobrestock_sustitutos!$G$97/12</f>
        <v>869.097118750176</v>
      </c>
      <c r="L171" s="26" t="n">
        <f aca="false">datos_base!$G$11*parametros_recargas!$J$42+sobrestock_sustitutos!$G$97/12</f>
        <v>869.097118750176</v>
      </c>
      <c r="M171" s="26" t="n">
        <f aca="false">datos_base!$G$11*parametros_recargas!$K$42+sobrestock_sustitutos!$G$97/12</f>
        <v>869.097118750176</v>
      </c>
      <c r="N171" s="26" t="n">
        <f aca="false">datos_base!$G$11*parametros_recargas!$L$42+sobrestock_sustitutos!$G$97/12</f>
        <v>869.097118750176</v>
      </c>
      <c r="O171" s="26" t="n">
        <f aca="false">datos_base!$G$11*parametros_recargas!$M$42+sobrestock_sustitutos!$G$97/12</f>
        <v>869.097118750176</v>
      </c>
      <c r="P171" s="7" t="n">
        <f aca="false">SUM(D171:O171)</f>
        <v>10429.1654250021</v>
      </c>
      <c r="Q171" s="13" t="n">
        <f aca="false">sobrestock_sustitutos!$G$97</f>
        <v>98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5" t="n">
        <f aca="false">parametros_recargas!C61</f>
        <v>1</v>
      </c>
      <c r="D172" s="26" t="n">
        <f aca="false">datos_base!$G$12*parametros_recargas!$B$42+sobrestock_sustitutos!$G$98/12</f>
        <v>282.832305420392</v>
      </c>
      <c r="E172" s="26" t="n">
        <f aca="false">datos_base!$G$12*parametros_recargas!$C$42+sobrestock_sustitutos!$G$98/12</f>
        <v>282.832305420392</v>
      </c>
      <c r="F172" s="26" t="n">
        <f aca="false">datos_base!$G$12*parametros_recargas!$D$42+sobrestock_sustitutos!$G$98/12</f>
        <v>282.832305420392</v>
      </c>
      <c r="G172" s="26" t="n">
        <f aca="false">datos_base!$G$12*parametros_recargas!$E$42+sobrestock_sustitutos!$G$98/12</f>
        <v>282.832305420392</v>
      </c>
      <c r="H172" s="26" t="n">
        <f aca="false">datos_base!$G$12*parametros_recargas!$F$42+sobrestock_sustitutos!$G$98/12</f>
        <v>282.832305420392</v>
      </c>
      <c r="I172" s="26" t="n">
        <f aca="false">datos_base!$G$12*parametros_recargas!$G$42+sobrestock_sustitutos!$G$98/12</f>
        <v>282.832305420392</v>
      </c>
      <c r="J172" s="26" t="n">
        <f aca="false">datos_base!$G$12*parametros_recargas!$H$42+sobrestock_sustitutos!$G$98/12</f>
        <v>282.832305420392</v>
      </c>
      <c r="K172" s="26" t="n">
        <f aca="false">datos_base!$G$12*parametros_recargas!$I$42+sobrestock_sustitutos!$G$98/12</f>
        <v>282.832305420392</v>
      </c>
      <c r="L172" s="26" t="n">
        <f aca="false">datos_base!$G$12*parametros_recargas!$J$42+sobrestock_sustitutos!$G$98/12</f>
        <v>282.832305420392</v>
      </c>
      <c r="M172" s="26" t="n">
        <f aca="false">datos_base!$G$12*parametros_recargas!$K$42+sobrestock_sustitutos!$G$98/12</f>
        <v>282.832305420392</v>
      </c>
      <c r="N172" s="26" t="n">
        <f aca="false">datos_base!$G$12*parametros_recargas!$L$42+sobrestock_sustitutos!$G$98/12</f>
        <v>282.832305420392</v>
      </c>
      <c r="O172" s="26" t="n">
        <f aca="false">datos_base!$G$12*parametros_recargas!$M$42+sobrestock_sustitutos!$G$98/12</f>
        <v>282.832305420392</v>
      </c>
      <c r="P172" s="7" t="n">
        <f aca="false">SUM(D172:O172)</f>
        <v>3393.9876650447</v>
      </c>
      <c r="Q172" s="13" t="n">
        <f aca="false">sobrestock_sustitutos!$G$98</f>
        <v>32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5" t="n">
        <f aca="false">parametros_recargas!C62</f>
        <v>1</v>
      </c>
      <c r="D173" s="26" t="n">
        <f aca="false">datos_base!$G$13*parametros_recargas!$B$42+sobrestock_sustitutos!$G$99/12</f>
        <v>45.2429730509854</v>
      </c>
      <c r="E173" s="26" t="n">
        <f aca="false">datos_base!$G$13*parametros_recargas!$C$42+sobrestock_sustitutos!$G$99/12</f>
        <v>45.2429730509854</v>
      </c>
      <c r="F173" s="26" t="n">
        <f aca="false">datos_base!$G$13*parametros_recargas!$D$42+sobrestock_sustitutos!$G$99/12</f>
        <v>45.2429730509854</v>
      </c>
      <c r="G173" s="26" t="n">
        <f aca="false">datos_base!$G$13*parametros_recargas!$E$42+sobrestock_sustitutos!$G$99/12</f>
        <v>45.2429730509854</v>
      </c>
      <c r="H173" s="26" t="n">
        <f aca="false">datos_base!$G$13*parametros_recargas!$F$42+sobrestock_sustitutos!$G$99/12</f>
        <v>45.2429730509854</v>
      </c>
      <c r="I173" s="26" t="n">
        <f aca="false">datos_base!$G$13*parametros_recargas!$G$42+sobrestock_sustitutos!$G$99/12</f>
        <v>45.2429730509854</v>
      </c>
      <c r="J173" s="26" t="n">
        <f aca="false">datos_base!$G$13*parametros_recargas!$H$42+sobrestock_sustitutos!$G$99/12</f>
        <v>45.2429730509854</v>
      </c>
      <c r="K173" s="26" t="n">
        <f aca="false">datos_base!$G$13*parametros_recargas!$I$42+sobrestock_sustitutos!$G$99/12</f>
        <v>45.2429730509854</v>
      </c>
      <c r="L173" s="26" t="n">
        <f aca="false">datos_base!$G$13*parametros_recargas!$J$42+sobrestock_sustitutos!$G$99/12</f>
        <v>45.2429730509854</v>
      </c>
      <c r="M173" s="26" t="n">
        <f aca="false">datos_base!$G$13*parametros_recargas!$K$42+sobrestock_sustitutos!$G$99/12</f>
        <v>45.2429730509854</v>
      </c>
      <c r="N173" s="26" t="n">
        <f aca="false">datos_base!$G$13*parametros_recargas!$L$42+sobrestock_sustitutos!$G$99/12</f>
        <v>45.2429730509854</v>
      </c>
      <c r="O173" s="26" t="n">
        <f aca="false">datos_base!$G$13*parametros_recargas!$M$42+sobrestock_sustitutos!$G$99/12</f>
        <v>45.2429730509854</v>
      </c>
      <c r="P173" s="7" t="n">
        <f aca="false">SUM(D173:O173)</f>
        <v>542.915676611825</v>
      </c>
      <c r="Q173" s="13" t="n">
        <f aca="false">sobrestock_sustitutos!$G$99</f>
        <v>6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5" t="n">
        <f aca="false">parametros_recargas!C63</f>
        <v>1</v>
      </c>
      <c r="D174" s="26" t="n">
        <f aca="false">datos_base!$G$14*parametros_recargas!$B$42+sobrestock_sustitutos!$G$100/12</f>
        <v>15.3370244459102</v>
      </c>
      <c r="E174" s="26" t="n">
        <f aca="false">datos_base!$G$14*parametros_recargas!$C$42+sobrestock_sustitutos!$G$100/12</f>
        <v>15.3370244459102</v>
      </c>
      <c r="F174" s="26" t="n">
        <f aca="false">datos_base!$G$14*parametros_recargas!$D$42+sobrestock_sustitutos!$G$100/12</f>
        <v>15.3370244459102</v>
      </c>
      <c r="G174" s="26" t="n">
        <f aca="false">datos_base!$G$14*parametros_recargas!$E$42+sobrestock_sustitutos!$G$100/12</f>
        <v>15.3370244459102</v>
      </c>
      <c r="H174" s="26" t="n">
        <f aca="false">datos_base!$G$14*parametros_recargas!$F$42+sobrestock_sustitutos!$G$100/12</f>
        <v>15.3370244459102</v>
      </c>
      <c r="I174" s="26" t="n">
        <f aca="false">datos_base!$G$14*parametros_recargas!$G$42+sobrestock_sustitutos!$G$100/12</f>
        <v>15.3370244459102</v>
      </c>
      <c r="J174" s="26" t="n">
        <f aca="false">datos_base!$G$14*parametros_recargas!$H$42+sobrestock_sustitutos!$G$100/12</f>
        <v>15.3370244459102</v>
      </c>
      <c r="K174" s="26" t="n">
        <f aca="false">datos_base!$G$14*parametros_recargas!$I$42+sobrestock_sustitutos!$G$100/12</f>
        <v>15.3370244459102</v>
      </c>
      <c r="L174" s="26" t="n">
        <f aca="false">datos_base!$G$14*parametros_recargas!$J$42+sobrestock_sustitutos!$G$100/12</f>
        <v>15.3370244459102</v>
      </c>
      <c r="M174" s="26" t="n">
        <f aca="false">datos_base!$G$14*parametros_recargas!$K$42+sobrestock_sustitutos!$G$100/12</f>
        <v>15.3370244459102</v>
      </c>
      <c r="N174" s="26" t="n">
        <f aca="false">datos_base!$G$14*parametros_recargas!$L$42+sobrestock_sustitutos!$G$100/12</f>
        <v>15.3370244459102</v>
      </c>
      <c r="O174" s="26" t="n">
        <f aca="false">datos_base!$G$14*parametros_recargas!$M$42+sobrestock_sustitutos!$G$100/12</f>
        <v>15.3370244459102</v>
      </c>
      <c r="P174" s="7" t="n">
        <f aca="false">SUM(D174:O174)</f>
        <v>184.044293350923</v>
      </c>
      <c r="Q174" s="13" t="n">
        <f aca="false">sobrestock_sustitutos!$G$100</f>
        <v>2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5" t="n">
        <f aca="false">parametros_recargas!C64</f>
        <v>3</v>
      </c>
      <c r="D175" s="26" t="n">
        <f aca="false">datos_base!$G$15*parametros_recargas!$B$42+sobrestock_sustitutos!$G$101/12</f>
        <v>38.5683990747428</v>
      </c>
      <c r="E175" s="26" t="n">
        <f aca="false">datos_base!$G$15*parametros_recargas!$C$42+sobrestock_sustitutos!$G$101/12</f>
        <v>38.5683990747428</v>
      </c>
      <c r="F175" s="26" t="n">
        <f aca="false">datos_base!$G$15*parametros_recargas!$D$42+sobrestock_sustitutos!$G$101/12</f>
        <v>38.5683990747428</v>
      </c>
      <c r="G175" s="26" t="n">
        <f aca="false">datos_base!$G$15*parametros_recargas!$E$42+sobrestock_sustitutos!$G$101/12</f>
        <v>38.5683990747428</v>
      </c>
      <c r="H175" s="26" t="n">
        <f aca="false">datos_base!$G$15*parametros_recargas!$F$42+sobrestock_sustitutos!$G$101/12</f>
        <v>38.5683990747428</v>
      </c>
      <c r="I175" s="26" t="n">
        <f aca="false">datos_base!$G$15*parametros_recargas!$G$42+sobrestock_sustitutos!$G$101/12</f>
        <v>38.5683990747428</v>
      </c>
      <c r="J175" s="26" t="n">
        <f aca="false">datos_base!$G$15*parametros_recargas!$H$42+sobrestock_sustitutos!$G$101/12</f>
        <v>38.5683990747428</v>
      </c>
      <c r="K175" s="26" t="n">
        <f aca="false">datos_base!$G$15*parametros_recargas!$I$42+sobrestock_sustitutos!$G$101/12</f>
        <v>38.5683990747428</v>
      </c>
      <c r="L175" s="26" t="n">
        <f aca="false">datos_base!$G$15*parametros_recargas!$J$42+sobrestock_sustitutos!$G$101/12</f>
        <v>38.5683990747428</v>
      </c>
      <c r="M175" s="26" t="n">
        <f aca="false">datos_base!$G$15*parametros_recargas!$K$42+sobrestock_sustitutos!$G$101/12</f>
        <v>38.5683990747428</v>
      </c>
      <c r="N175" s="26" t="n">
        <f aca="false">datos_base!$G$15*parametros_recargas!$L$42+sobrestock_sustitutos!$G$101/12</f>
        <v>38.5683990747428</v>
      </c>
      <c r="O175" s="26" t="n">
        <f aca="false">datos_base!$G$15*parametros_recargas!$M$42+sobrestock_sustitutos!$G$101/12</f>
        <v>38.5683990747428</v>
      </c>
      <c r="P175" s="7" t="n">
        <f aca="false">SUM(D175:O175)</f>
        <v>462.820788896913</v>
      </c>
      <c r="Q175" s="13" t="n">
        <f aca="false">sobrestock_sustitutos!$G$101</f>
        <v>5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5" t="n">
        <f aca="false">parametros_recargas!C65</f>
        <v>3</v>
      </c>
      <c r="D176" s="26" t="n">
        <f aca="false">datos_base!$G$16*parametros_recargas!$B$42+sobrestock_sustitutos!$G$102/12</f>
        <v>84.7671446904144</v>
      </c>
      <c r="E176" s="26" t="n">
        <f aca="false">datos_base!$G$16*parametros_recargas!$C$42+sobrestock_sustitutos!$G$102/12</f>
        <v>84.7671446904144</v>
      </c>
      <c r="F176" s="26" t="n">
        <f aca="false">datos_base!$G$16*parametros_recargas!$D$42+sobrestock_sustitutos!$G$102/12</f>
        <v>84.7671446904144</v>
      </c>
      <c r="G176" s="26" t="n">
        <f aca="false">datos_base!$G$16*parametros_recargas!$E$42+sobrestock_sustitutos!$G$102/12</f>
        <v>84.7671446904144</v>
      </c>
      <c r="H176" s="26" t="n">
        <f aca="false">datos_base!$G$16*parametros_recargas!$F$42+sobrestock_sustitutos!$G$102/12</f>
        <v>84.7671446904144</v>
      </c>
      <c r="I176" s="26" t="n">
        <f aca="false">datos_base!$G$16*parametros_recargas!$G$42+sobrestock_sustitutos!$G$102/12</f>
        <v>84.7671446904144</v>
      </c>
      <c r="J176" s="26" t="n">
        <f aca="false">datos_base!$G$16*parametros_recargas!$H$42+sobrestock_sustitutos!$G$102/12</f>
        <v>84.7671446904144</v>
      </c>
      <c r="K176" s="26" t="n">
        <f aca="false">datos_base!$G$16*parametros_recargas!$I$42+sobrestock_sustitutos!$G$102/12</f>
        <v>84.7671446904144</v>
      </c>
      <c r="L176" s="26" t="n">
        <f aca="false">datos_base!$G$16*parametros_recargas!$J$42+sobrestock_sustitutos!$G$102/12</f>
        <v>84.7671446904144</v>
      </c>
      <c r="M176" s="26" t="n">
        <f aca="false">datos_base!$G$16*parametros_recargas!$K$42+sobrestock_sustitutos!$G$102/12</f>
        <v>84.7671446904144</v>
      </c>
      <c r="N176" s="26" t="n">
        <f aca="false">datos_base!$G$16*parametros_recargas!$L$42+sobrestock_sustitutos!$G$102/12</f>
        <v>84.7671446904144</v>
      </c>
      <c r="O176" s="26" t="n">
        <f aca="false">datos_base!$G$16*parametros_recargas!$M$42+sobrestock_sustitutos!$G$102/12</f>
        <v>84.7671446904144</v>
      </c>
      <c r="P176" s="7" t="n">
        <f aca="false">SUM(D176:O176)</f>
        <v>1017.20573628497</v>
      </c>
      <c r="Q176" s="13" t="n">
        <f aca="false">sobrestock_sustitutos!$G$102</f>
        <v>10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5" t="n">
        <f aca="false">parametros_recargas!C66</f>
        <v>3</v>
      </c>
      <c r="D177" s="26" t="n">
        <f aca="false">datos_base!$G$17*parametros_recargas!$B$42+sobrestock_sustitutos!$G$103/12</f>
        <v>18.5628315677393</v>
      </c>
      <c r="E177" s="26" t="n">
        <f aca="false">datos_base!$G$17*parametros_recargas!$C$42+sobrestock_sustitutos!$G$103/12</f>
        <v>18.5628315677393</v>
      </c>
      <c r="F177" s="26" t="n">
        <f aca="false">datos_base!$G$17*parametros_recargas!$D$42+sobrestock_sustitutos!$G$103/12</f>
        <v>18.5628315677393</v>
      </c>
      <c r="G177" s="26" t="n">
        <f aca="false">datos_base!$G$17*parametros_recargas!$E$42+sobrestock_sustitutos!$G$103/12</f>
        <v>18.5628315677393</v>
      </c>
      <c r="H177" s="26" t="n">
        <f aca="false">datos_base!$G$17*parametros_recargas!$F$42+sobrestock_sustitutos!$G$103/12</f>
        <v>18.5628315677393</v>
      </c>
      <c r="I177" s="26" t="n">
        <f aca="false">datos_base!$G$17*parametros_recargas!$G$42+sobrestock_sustitutos!$G$103/12</f>
        <v>18.5628315677393</v>
      </c>
      <c r="J177" s="26" t="n">
        <f aca="false">datos_base!$G$17*parametros_recargas!$H$42+sobrestock_sustitutos!$G$103/12</f>
        <v>18.5628315677393</v>
      </c>
      <c r="K177" s="26" t="n">
        <f aca="false">datos_base!$G$17*parametros_recargas!$I$42+sobrestock_sustitutos!$G$103/12</f>
        <v>18.5628315677393</v>
      </c>
      <c r="L177" s="26" t="n">
        <f aca="false">datos_base!$G$17*parametros_recargas!$J$42+sobrestock_sustitutos!$G$103/12</f>
        <v>18.5628315677393</v>
      </c>
      <c r="M177" s="26" t="n">
        <f aca="false">datos_base!$G$17*parametros_recargas!$K$42+sobrestock_sustitutos!$G$103/12</f>
        <v>18.5628315677393</v>
      </c>
      <c r="N177" s="26" t="n">
        <f aca="false">datos_base!$G$17*parametros_recargas!$L$42+sobrestock_sustitutos!$G$103/12</f>
        <v>18.5628315677393</v>
      </c>
      <c r="O177" s="26" t="n">
        <f aca="false">datos_base!$G$17*parametros_recargas!$M$42+sobrestock_sustitutos!$G$103/12</f>
        <v>18.5628315677393</v>
      </c>
      <c r="P177" s="7" t="n">
        <f aca="false">SUM(D177:O177)</f>
        <v>222.753978812871</v>
      </c>
      <c r="Q177" s="13" t="n">
        <f aca="false">sobrestock_sustitutos!$G$103</f>
        <v>3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5" t="n">
        <f aca="false">parametros_recargas!C67</f>
        <v>3</v>
      </c>
      <c r="D178" s="26" t="n">
        <f aca="false">datos_base!$G$18*parametros_recargas!$B$42+sobrestock_sustitutos!$G$104/12</f>
        <v>12.3752210253883</v>
      </c>
      <c r="E178" s="26" t="n">
        <f aca="false">datos_base!$G$18*parametros_recargas!$C$42+sobrestock_sustitutos!$G$104/12</f>
        <v>12.3752210253883</v>
      </c>
      <c r="F178" s="26" t="n">
        <f aca="false">datos_base!$G$18*parametros_recargas!$D$42+sobrestock_sustitutos!$G$104/12</f>
        <v>12.3752210253883</v>
      </c>
      <c r="G178" s="26" t="n">
        <f aca="false">datos_base!$G$18*parametros_recargas!$E$42+sobrestock_sustitutos!$G$104/12</f>
        <v>12.3752210253883</v>
      </c>
      <c r="H178" s="26" t="n">
        <f aca="false">datos_base!$G$18*parametros_recargas!$F$42+sobrestock_sustitutos!$G$104/12</f>
        <v>12.3752210253883</v>
      </c>
      <c r="I178" s="26" t="n">
        <f aca="false">datos_base!$G$18*parametros_recargas!$G$42+sobrestock_sustitutos!$G$104/12</f>
        <v>12.3752210253883</v>
      </c>
      <c r="J178" s="26" t="n">
        <f aca="false">datos_base!$G$18*parametros_recargas!$H$42+sobrestock_sustitutos!$G$104/12</f>
        <v>12.3752210253883</v>
      </c>
      <c r="K178" s="26" t="n">
        <f aca="false">datos_base!$G$18*parametros_recargas!$I$42+sobrestock_sustitutos!$G$104/12</f>
        <v>12.3752210253883</v>
      </c>
      <c r="L178" s="26" t="n">
        <f aca="false">datos_base!$G$18*parametros_recargas!$J$42+sobrestock_sustitutos!$G$104/12</f>
        <v>12.3752210253883</v>
      </c>
      <c r="M178" s="26" t="n">
        <f aca="false">datos_base!$G$18*parametros_recargas!$K$42+sobrestock_sustitutos!$G$104/12</f>
        <v>12.3752210253883</v>
      </c>
      <c r="N178" s="26" t="n">
        <f aca="false">datos_base!$G$18*parametros_recargas!$L$42+sobrestock_sustitutos!$G$104/12</f>
        <v>12.3752210253883</v>
      </c>
      <c r="O178" s="26" t="n">
        <f aca="false">datos_base!$G$18*parametros_recargas!$M$42+sobrestock_sustitutos!$G$104/12</f>
        <v>12.3752210253883</v>
      </c>
      <c r="P178" s="7" t="n">
        <f aca="false">SUM(D178:O178)</f>
        <v>148.50265230466</v>
      </c>
      <c r="Q178" s="13" t="n">
        <f aca="false">sobrestock_sustitutos!$G$104</f>
        <v>2</v>
      </c>
    </row>
    <row r="179" customFormat="false" ht="15" hidden="false" customHeight="false" outlineLevel="0" collapsed="false">
      <c r="A179" s="6" t="s">
        <v>310</v>
      </c>
      <c r="D179" s="7" t="n">
        <f aca="false">SUM(D162:D178)</f>
        <v>13615.2431486246</v>
      </c>
      <c r="E179" s="7" t="n">
        <f aca="false">SUM(E162:E178)</f>
        <v>13615.2431486246</v>
      </c>
      <c r="F179" s="7" t="n">
        <f aca="false">SUM(F162:F178)</f>
        <v>13615.2431486246</v>
      </c>
      <c r="G179" s="7" t="n">
        <f aca="false">SUM(G162:G178)</f>
        <v>13615.2431486246</v>
      </c>
      <c r="H179" s="7" t="n">
        <f aca="false">SUM(H162:H178)</f>
        <v>13615.2431486246</v>
      </c>
      <c r="I179" s="7" t="n">
        <f aca="false">SUM(I162:I178)</f>
        <v>13615.2431486246</v>
      </c>
      <c r="J179" s="7" t="n">
        <f aca="false">SUM(J162:J178)</f>
        <v>13615.2431486246</v>
      </c>
      <c r="K179" s="7" t="n">
        <f aca="false">SUM(K162:K178)</f>
        <v>13615.2431486246</v>
      </c>
      <c r="L179" s="7" t="n">
        <f aca="false">SUM(L162:L178)</f>
        <v>13615.2431486246</v>
      </c>
      <c r="M179" s="7" t="n">
        <f aca="false">SUM(M162:M178)</f>
        <v>13615.2431486246</v>
      </c>
      <c r="N179" s="7" t="n">
        <f aca="false">SUM(N162:N178)</f>
        <v>13615.2431486246</v>
      </c>
      <c r="O179" s="7" t="n">
        <f aca="false">SUM(O162:O178)</f>
        <v>13615.2431486246</v>
      </c>
      <c r="P179" s="7" t="n">
        <f aca="false">SUM(P162:P178)</f>
        <v>163382.917783496</v>
      </c>
    </row>
    <row r="180" customFormat="false" ht="15" hidden="false" customHeight="false" outlineLevel="0" collapsed="false">
      <c r="A180" s="6" t="s">
        <v>311</v>
      </c>
    </row>
    <row r="181" customFormat="false" ht="15" hidden="false" customHeight="false" outlineLevel="0" collapsed="false">
      <c r="A181" s="4" t="s">
        <v>151</v>
      </c>
      <c r="D181" s="26" t="n">
        <f aca="false">SUMPRODUCT(($B$162:$B$178=$A181)*D$162:D$178*$C$162:$C$178)</f>
        <v>12130.1437579705</v>
      </c>
      <c r="E181" s="26" t="n">
        <f aca="false">SUMPRODUCT(($B$162:$B$178=$A181)*E$162:E$178*$C$162:$C$178)</f>
        <v>12130.1437579705</v>
      </c>
      <c r="F181" s="26" t="n">
        <f aca="false">SUMPRODUCT(($B$162:$B$178=$A181)*F$162:F$178*$C$162:$C$178)</f>
        <v>12130.1437579705</v>
      </c>
      <c r="G181" s="26" t="n">
        <f aca="false">SUMPRODUCT(($B$162:$B$178=$A181)*G$162:G$178*$C$162:$C$178)</f>
        <v>12130.1437579705</v>
      </c>
      <c r="H181" s="26" t="n">
        <f aca="false">SUMPRODUCT(($B$162:$B$178=$A181)*H$162:H$178*$C$162:$C$178)</f>
        <v>12130.1437579705</v>
      </c>
      <c r="I181" s="26" t="n">
        <f aca="false">SUMPRODUCT(($B$162:$B$178=$A181)*I$162:I$178*$C$162:$C$178)</f>
        <v>12130.1437579705</v>
      </c>
      <c r="J181" s="26" t="n">
        <f aca="false">SUMPRODUCT(($B$162:$B$178=$A181)*J$162:J$178*$C$162:$C$178)</f>
        <v>12130.1437579705</v>
      </c>
      <c r="K181" s="26" t="n">
        <f aca="false">SUMPRODUCT(($B$162:$B$178=$A181)*K$162:K$178*$C$162:$C$178)</f>
        <v>12130.1437579705</v>
      </c>
      <c r="L181" s="26" t="n">
        <f aca="false">SUMPRODUCT(($B$162:$B$178=$A181)*L$162:L$178*$C$162:$C$178)</f>
        <v>12130.1437579705</v>
      </c>
      <c r="M181" s="26" t="n">
        <f aca="false">SUMPRODUCT(($B$162:$B$178=$A181)*M$162:M$178*$C$162:$C$178)</f>
        <v>12130.1437579705</v>
      </c>
      <c r="N181" s="26" t="n">
        <f aca="false">SUMPRODUCT(($B$162:$B$178=$A181)*N$162:N$178*$C$162:$C$178)</f>
        <v>12130.1437579705</v>
      </c>
      <c r="O181" s="26" t="n">
        <f aca="false">SUMPRODUCT(($B$162:$B$178=$A181)*O$162:O$178*$C$162:$C$178)</f>
        <v>12130.1437579705</v>
      </c>
      <c r="P181" s="26" t="n">
        <f aca="false">SUMPRODUCT(($B$162:$B$178=$A181)*P$162:P$178*$C$162:$C$178)</f>
        <v>145561.725095646</v>
      </c>
    </row>
    <row r="182" customFormat="false" ht="15" hidden="false" customHeight="false" outlineLevel="0" collapsed="false">
      <c r="A182" s="4" t="s">
        <v>157</v>
      </c>
      <c r="D182" s="26" t="n">
        <f aca="false">SUMPRODUCT(($B$162:$B$178=$A182)*D$162:D$178*$C$162:$C$178)</f>
        <v>17.4785255401079</v>
      </c>
      <c r="E182" s="26" t="n">
        <f aca="false">SUMPRODUCT(($B$162:$B$178=$A182)*E$162:E$178*$C$162:$C$178)</f>
        <v>17.4785255401079</v>
      </c>
      <c r="F182" s="26" t="n">
        <f aca="false">SUMPRODUCT(($B$162:$B$178=$A182)*F$162:F$178*$C$162:$C$178)</f>
        <v>17.4785255401079</v>
      </c>
      <c r="G182" s="26" t="n">
        <f aca="false">SUMPRODUCT(($B$162:$B$178=$A182)*G$162:G$178*$C$162:$C$178)</f>
        <v>17.4785255401079</v>
      </c>
      <c r="H182" s="26" t="n">
        <f aca="false">SUMPRODUCT(($B$162:$B$178=$A182)*H$162:H$178*$C$162:$C$178)</f>
        <v>17.4785255401079</v>
      </c>
      <c r="I182" s="26" t="n">
        <f aca="false">SUMPRODUCT(($B$162:$B$178=$A182)*I$162:I$178*$C$162:$C$178)</f>
        <v>17.4785255401079</v>
      </c>
      <c r="J182" s="26" t="n">
        <f aca="false">SUMPRODUCT(($B$162:$B$178=$A182)*J$162:J$178*$C$162:$C$178)</f>
        <v>17.4785255401079</v>
      </c>
      <c r="K182" s="26" t="n">
        <f aca="false">SUMPRODUCT(($B$162:$B$178=$A182)*K$162:K$178*$C$162:$C$178)</f>
        <v>17.4785255401079</v>
      </c>
      <c r="L182" s="26" t="n">
        <f aca="false">SUMPRODUCT(($B$162:$B$178=$A182)*L$162:L$178*$C$162:$C$178)</f>
        <v>17.4785255401079</v>
      </c>
      <c r="M182" s="26" t="n">
        <f aca="false">SUMPRODUCT(($B$162:$B$178=$A182)*M$162:M$178*$C$162:$C$178)</f>
        <v>17.4785255401079</v>
      </c>
      <c r="N182" s="26" t="n">
        <f aca="false">SUMPRODUCT(($B$162:$B$178=$A182)*N$162:N$178*$C$162:$C$178)</f>
        <v>17.4785255401079</v>
      </c>
      <c r="O182" s="26" t="n">
        <f aca="false">SUMPRODUCT(($B$162:$B$178=$A182)*O$162:O$178*$C$162:$C$178)</f>
        <v>17.4785255401079</v>
      </c>
      <c r="P182" s="26" t="n">
        <f aca="false">SUMPRODUCT(($B$162:$B$178=$A182)*P$162:P$178*$C$162:$C$178)</f>
        <v>209.742306481294</v>
      </c>
    </row>
    <row r="183" customFormat="false" ht="15" hidden="false" customHeight="false" outlineLevel="0" collapsed="false">
      <c r="A183" s="4" t="s">
        <v>163</v>
      </c>
      <c r="D183" s="26" t="n">
        <f aca="false">SUMPRODUCT(($B$162:$B$178=$A183)*D$162:D$178*$C$162:$C$178)</f>
        <v>15.3370244459102</v>
      </c>
      <c r="E183" s="26" t="n">
        <f aca="false">SUMPRODUCT(($B$162:$B$178=$A183)*E$162:E$178*$C$162:$C$178)</f>
        <v>15.3370244459102</v>
      </c>
      <c r="F183" s="26" t="n">
        <f aca="false">SUMPRODUCT(($B$162:$B$178=$A183)*F$162:F$178*$C$162:$C$178)</f>
        <v>15.3370244459102</v>
      </c>
      <c r="G183" s="26" t="n">
        <f aca="false">SUMPRODUCT(($B$162:$B$178=$A183)*G$162:G$178*$C$162:$C$178)</f>
        <v>15.3370244459102</v>
      </c>
      <c r="H183" s="26" t="n">
        <f aca="false">SUMPRODUCT(($B$162:$B$178=$A183)*H$162:H$178*$C$162:$C$178)</f>
        <v>15.3370244459102</v>
      </c>
      <c r="I183" s="26" t="n">
        <f aca="false">SUMPRODUCT(($B$162:$B$178=$A183)*I$162:I$178*$C$162:$C$178)</f>
        <v>15.3370244459102</v>
      </c>
      <c r="J183" s="26" t="n">
        <f aca="false">SUMPRODUCT(($B$162:$B$178=$A183)*J$162:J$178*$C$162:$C$178)</f>
        <v>15.3370244459102</v>
      </c>
      <c r="K183" s="26" t="n">
        <f aca="false">SUMPRODUCT(($B$162:$B$178=$A183)*K$162:K$178*$C$162:$C$178)</f>
        <v>15.3370244459102</v>
      </c>
      <c r="L183" s="26" t="n">
        <f aca="false">SUMPRODUCT(($B$162:$B$178=$A183)*L$162:L$178*$C$162:$C$178)</f>
        <v>15.3370244459102</v>
      </c>
      <c r="M183" s="26" t="n">
        <f aca="false">SUMPRODUCT(($B$162:$B$178=$A183)*M$162:M$178*$C$162:$C$178)</f>
        <v>15.3370244459102</v>
      </c>
      <c r="N183" s="26" t="n">
        <f aca="false">SUMPRODUCT(($B$162:$B$178=$A183)*N$162:N$178*$C$162:$C$178)</f>
        <v>15.3370244459102</v>
      </c>
      <c r="O183" s="26" t="n">
        <f aca="false">SUMPRODUCT(($B$162:$B$178=$A183)*O$162:O$178*$C$162:$C$178)</f>
        <v>15.3370244459102</v>
      </c>
      <c r="P183" s="26" t="n">
        <f aca="false">SUMPRODUCT(($B$162:$B$178=$A183)*P$162:P$178*$C$162:$C$178)</f>
        <v>184.044293350923</v>
      </c>
    </row>
    <row r="184" customFormat="false" ht="15" hidden="false" customHeight="false" outlineLevel="0" collapsed="false">
      <c r="A184" s="4" t="s">
        <v>154</v>
      </c>
      <c r="D184" s="26" t="n">
        <f aca="false">SUMPRODUCT(($B$162:$B$178=$A184)*D$162:D$178*$C$162:$C$178)</f>
        <v>319.483014936483</v>
      </c>
      <c r="E184" s="26" t="n">
        <f aca="false">SUMPRODUCT(($B$162:$B$178=$A184)*E$162:E$178*$C$162:$C$178)</f>
        <v>319.483014936483</v>
      </c>
      <c r="F184" s="26" t="n">
        <f aca="false">SUMPRODUCT(($B$162:$B$178=$A184)*F$162:F$178*$C$162:$C$178)</f>
        <v>319.483014936483</v>
      </c>
      <c r="G184" s="26" t="n">
        <f aca="false">SUMPRODUCT(($B$162:$B$178=$A184)*G$162:G$178*$C$162:$C$178)</f>
        <v>319.483014936483</v>
      </c>
      <c r="H184" s="26" t="n">
        <f aca="false">SUMPRODUCT(($B$162:$B$178=$A184)*H$162:H$178*$C$162:$C$178)</f>
        <v>319.483014936483</v>
      </c>
      <c r="I184" s="26" t="n">
        <f aca="false">SUMPRODUCT(($B$162:$B$178=$A184)*I$162:I$178*$C$162:$C$178)</f>
        <v>319.483014936483</v>
      </c>
      <c r="J184" s="26" t="n">
        <f aca="false">SUMPRODUCT(($B$162:$B$178=$A184)*J$162:J$178*$C$162:$C$178)</f>
        <v>319.483014936483</v>
      </c>
      <c r="K184" s="26" t="n">
        <f aca="false">SUMPRODUCT(($B$162:$B$178=$A184)*K$162:K$178*$C$162:$C$178)</f>
        <v>319.483014936483</v>
      </c>
      <c r="L184" s="26" t="n">
        <f aca="false">SUMPRODUCT(($B$162:$B$178=$A184)*L$162:L$178*$C$162:$C$178)</f>
        <v>319.483014936483</v>
      </c>
      <c r="M184" s="26" t="n">
        <f aca="false">SUMPRODUCT(($B$162:$B$178=$A184)*M$162:M$178*$C$162:$C$178)</f>
        <v>319.483014936483</v>
      </c>
      <c r="N184" s="26" t="n">
        <f aca="false">SUMPRODUCT(($B$162:$B$178=$A184)*N$162:N$178*$C$162:$C$178)</f>
        <v>319.483014936483</v>
      </c>
      <c r="O184" s="26" t="n">
        <f aca="false">SUMPRODUCT(($B$162:$B$178=$A184)*O$162:O$178*$C$162:$C$178)</f>
        <v>319.483014936483</v>
      </c>
      <c r="P184" s="26" t="n">
        <f aca="false">SUMPRODUCT(($B$162:$B$178=$A184)*P$162:P$178*$C$162:$C$178)</f>
        <v>3833.7961792378</v>
      </c>
    </row>
    <row r="185" customFormat="false" ht="15" hidden="false" customHeight="false" outlineLevel="0" collapsed="false">
      <c r="A185" s="4" t="s">
        <v>155</v>
      </c>
      <c r="D185" s="26" t="n">
        <f aca="false">SUMPRODUCT(($B$162:$B$178=$A185)*D$162:D$178*$C$162:$C$178)</f>
        <v>150.250334518302</v>
      </c>
      <c r="E185" s="26" t="n">
        <f aca="false">SUMPRODUCT(($B$162:$B$178=$A185)*E$162:E$178*$C$162:$C$178)</f>
        <v>150.250334518302</v>
      </c>
      <c r="F185" s="26" t="n">
        <f aca="false">SUMPRODUCT(($B$162:$B$178=$A185)*F$162:F$178*$C$162:$C$178)</f>
        <v>150.250334518302</v>
      </c>
      <c r="G185" s="26" t="n">
        <f aca="false">SUMPRODUCT(($B$162:$B$178=$A185)*G$162:G$178*$C$162:$C$178)</f>
        <v>150.250334518302</v>
      </c>
      <c r="H185" s="26" t="n">
        <f aca="false">SUMPRODUCT(($B$162:$B$178=$A185)*H$162:H$178*$C$162:$C$178)</f>
        <v>150.250334518302</v>
      </c>
      <c r="I185" s="26" t="n">
        <f aca="false">SUMPRODUCT(($B$162:$B$178=$A185)*I$162:I$178*$C$162:$C$178)</f>
        <v>150.250334518302</v>
      </c>
      <c r="J185" s="26" t="n">
        <f aca="false">SUMPRODUCT(($B$162:$B$178=$A185)*J$162:J$178*$C$162:$C$178)</f>
        <v>150.250334518302</v>
      </c>
      <c r="K185" s="26" t="n">
        <f aca="false">SUMPRODUCT(($B$162:$B$178=$A185)*K$162:K$178*$C$162:$C$178)</f>
        <v>150.250334518302</v>
      </c>
      <c r="L185" s="26" t="n">
        <f aca="false">SUMPRODUCT(($B$162:$B$178=$A185)*L$162:L$178*$C$162:$C$178)</f>
        <v>150.250334518302</v>
      </c>
      <c r="M185" s="26" t="n">
        <f aca="false">SUMPRODUCT(($B$162:$B$178=$A185)*M$162:M$178*$C$162:$C$178)</f>
        <v>150.250334518302</v>
      </c>
      <c r="N185" s="26" t="n">
        <f aca="false">SUMPRODUCT(($B$162:$B$178=$A185)*N$162:N$178*$C$162:$C$178)</f>
        <v>150.250334518302</v>
      </c>
      <c r="O185" s="26" t="n">
        <f aca="false">SUMPRODUCT(($B$162:$B$178=$A185)*O$162:O$178*$C$162:$C$178)</f>
        <v>150.250334518302</v>
      </c>
      <c r="P185" s="26" t="n">
        <f aca="false">SUMPRODUCT(($B$162:$B$178=$A185)*P$162:P$178*$C$162:$C$178)</f>
        <v>1803.00401421962</v>
      </c>
    </row>
    <row r="186" customFormat="false" ht="15" hidden="false" customHeight="false" outlineLevel="0" collapsed="false">
      <c r="A186" s="4" t="s">
        <v>158</v>
      </c>
      <c r="D186" s="26" t="n">
        <f aca="false">SUMPRODUCT(($B$162:$B$178=$A186)*D$162:D$178*$C$162:$C$178)</f>
        <v>155.628909645686</v>
      </c>
      <c r="E186" s="26" t="n">
        <f aca="false">SUMPRODUCT(($B$162:$B$178=$A186)*E$162:E$178*$C$162:$C$178)</f>
        <v>155.628909645686</v>
      </c>
      <c r="F186" s="26" t="n">
        <f aca="false">SUMPRODUCT(($B$162:$B$178=$A186)*F$162:F$178*$C$162:$C$178)</f>
        <v>155.628909645686</v>
      </c>
      <c r="G186" s="26" t="n">
        <f aca="false">SUMPRODUCT(($B$162:$B$178=$A186)*G$162:G$178*$C$162:$C$178)</f>
        <v>155.628909645686</v>
      </c>
      <c r="H186" s="26" t="n">
        <f aca="false">SUMPRODUCT(($B$162:$B$178=$A186)*H$162:H$178*$C$162:$C$178)</f>
        <v>155.628909645686</v>
      </c>
      <c r="I186" s="26" t="n">
        <f aca="false">SUMPRODUCT(($B$162:$B$178=$A186)*I$162:I$178*$C$162:$C$178)</f>
        <v>155.628909645686</v>
      </c>
      <c r="J186" s="26" t="n">
        <f aca="false">SUMPRODUCT(($B$162:$B$178=$A186)*J$162:J$178*$C$162:$C$178)</f>
        <v>155.628909645686</v>
      </c>
      <c r="K186" s="26" t="n">
        <f aca="false">SUMPRODUCT(($B$162:$B$178=$A186)*K$162:K$178*$C$162:$C$178)</f>
        <v>155.628909645686</v>
      </c>
      <c r="L186" s="26" t="n">
        <f aca="false">SUMPRODUCT(($B$162:$B$178=$A186)*L$162:L$178*$C$162:$C$178)</f>
        <v>155.628909645686</v>
      </c>
      <c r="M186" s="26" t="n">
        <f aca="false">SUMPRODUCT(($B$162:$B$178=$A186)*M$162:M$178*$C$162:$C$178)</f>
        <v>155.628909645686</v>
      </c>
      <c r="N186" s="26" t="n">
        <f aca="false">SUMPRODUCT(($B$162:$B$178=$A186)*N$162:N$178*$C$162:$C$178)</f>
        <v>155.628909645686</v>
      </c>
      <c r="O186" s="26" t="n">
        <f aca="false">SUMPRODUCT(($B$162:$B$178=$A186)*O$162:O$178*$C$162:$C$178)</f>
        <v>155.628909645686</v>
      </c>
      <c r="P186" s="26" t="n">
        <f aca="false">SUMPRODUCT(($B$162:$B$178=$A186)*P$162:P$178*$C$162:$C$178)</f>
        <v>1867.54691574823</v>
      </c>
    </row>
    <row r="187" customFormat="false" ht="15" hidden="false" customHeight="false" outlineLevel="0" collapsed="false">
      <c r="A187" s="4" t="s">
        <v>159</v>
      </c>
      <c r="D187" s="26" t="n">
        <f aca="false">SUMPRODUCT(($B$162:$B$178=$A187)*D$162:D$178*$C$162:$C$178)</f>
        <v>1151.92942417057</v>
      </c>
      <c r="E187" s="26" t="n">
        <f aca="false">SUMPRODUCT(($B$162:$B$178=$A187)*E$162:E$178*$C$162:$C$178)</f>
        <v>1151.92942417057</v>
      </c>
      <c r="F187" s="26" t="n">
        <f aca="false">SUMPRODUCT(($B$162:$B$178=$A187)*F$162:F$178*$C$162:$C$178)</f>
        <v>1151.92942417057</v>
      </c>
      <c r="G187" s="26" t="n">
        <f aca="false">SUMPRODUCT(($B$162:$B$178=$A187)*G$162:G$178*$C$162:$C$178)</f>
        <v>1151.92942417057</v>
      </c>
      <c r="H187" s="26" t="n">
        <f aca="false">SUMPRODUCT(($B$162:$B$178=$A187)*H$162:H$178*$C$162:$C$178)</f>
        <v>1151.92942417057</v>
      </c>
      <c r="I187" s="26" t="n">
        <f aca="false">SUMPRODUCT(($B$162:$B$178=$A187)*I$162:I$178*$C$162:$C$178)</f>
        <v>1151.92942417057</v>
      </c>
      <c r="J187" s="26" t="n">
        <f aca="false">SUMPRODUCT(($B$162:$B$178=$A187)*J$162:J$178*$C$162:$C$178)</f>
        <v>1151.92942417057</v>
      </c>
      <c r="K187" s="26" t="n">
        <f aca="false">SUMPRODUCT(($B$162:$B$178=$A187)*K$162:K$178*$C$162:$C$178)</f>
        <v>1151.92942417057</v>
      </c>
      <c r="L187" s="26" t="n">
        <f aca="false">SUMPRODUCT(($B$162:$B$178=$A187)*L$162:L$178*$C$162:$C$178)</f>
        <v>1151.92942417057</v>
      </c>
      <c r="M187" s="26" t="n">
        <f aca="false">SUMPRODUCT(($B$162:$B$178=$A187)*M$162:M$178*$C$162:$C$178)</f>
        <v>1151.92942417057</v>
      </c>
      <c r="N187" s="26" t="n">
        <f aca="false">SUMPRODUCT(($B$162:$B$178=$A187)*N$162:N$178*$C$162:$C$178)</f>
        <v>1151.92942417057</v>
      </c>
      <c r="O187" s="26" t="n">
        <f aca="false">SUMPRODUCT(($B$162:$B$178=$A187)*O$162:O$178*$C$162:$C$178)</f>
        <v>1151.92942417057</v>
      </c>
      <c r="P187" s="26" t="n">
        <f aca="false">SUMPRODUCT(($B$162:$B$178=$A187)*P$162:P$178*$C$162:$C$178)</f>
        <v>13823.1530900468</v>
      </c>
    </row>
    <row r="188" customFormat="false" ht="15" hidden="false" customHeight="false" outlineLevel="0" collapsed="false">
      <c r="A188" s="4" t="s">
        <v>162</v>
      </c>
      <c r="D188" s="26" t="n">
        <f aca="false">SUMPRODUCT(($B$162:$B$178=$A188)*D$162:D$178*$C$162:$C$178)</f>
        <v>45.2429730509854</v>
      </c>
      <c r="E188" s="26" t="n">
        <f aca="false">SUMPRODUCT(($B$162:$B$178=$A188)*E$162:E$178*$C$162:$C$178)</f>
        <v>45.2429730509854</v>
      </c>
      <c r="F188" s="26" t="n">
        <f aca="false">SUMPRODUCT(($B$162:$B$178=$A188)*F$162:F$178*$C$162:$C$178)</f>
        <v>45.2429730509854</v>
      </c>
      <c r="G188" s="26" t="n">
        <f aca="false">SUMPRODUCT(($B$162:$B$178=$A188)*G$162:G$178*$C$162:$C$178)</f>
        <v>45.2429730509854</v>
      </c>
      <c r="H188" s="26" t="n">
        <f aca="false">SUMPRODUCT(($B$162:$B$178=$A188)*H$162:H$178*$C$162:$C$178)</f>
        <v>45.2429730509854</v>
      </c>
      <c r="I188" s="26" t="n">
        <f aca="false">SUMPRODUCT(($B$162:$B$178=$A188)*I$162:I$178*$C$162:$C$178)</f>
        <v>45.2429730509854</v>
      </c>
      <c r="J188" s="26" t="n">
        <f aca="false">SUMPRODUCT(($B$162:$B$178=$A188)*J$162:J$178*$C$162:$C$178)</f>
        <v>45.2429730509854</v>
      </c>
      <c r="K188" s="26" t="n">
        <f aca="false">SUMPRODUCT(($B$162:$B$178=$A188)*K$162:K$178*$C$162:$C$178)</f>
        <v>45.2429730509854</v>
      </c>
      <c r="L188" s="26" t="n">
        <f aca="false">SUMPRODUCT(($B$162:$B$178=$A188)*L$162:L$178*$C$162:$C$178)</f>
        <v>45.2429730509854</v>
      </c>
      <c r="M188" s="26" t="n">
        <f aca="false">SUMPRODUCT(($B$162:$B$178=$A188)*M$162:M$178*$C$162:$C$178)</f>
        <v>45.2429730509854</v>
      </c>
      <c r="N188" s="26" t="n">
        <f aca="false">SUMPRODUCT(($B$162:$B$178=$A188)*N$162:N$178*$C$162:$C$178)</f>
        <v>45.2429730509854</v>
      </c>
      <c r="O188" s="26" t="n">
        <f aca="false">SUMPRODUCT(($B$162:$B$178=$A188)*O$162:O$178*$C$162:$C$178)</f>
        <v>45.2429730509854</v>
      </c>
      <c r="P188" s="26" t="n">
        <f aca="false">SUMPRODUCT(($B$162:$B$178=$A188)*P$162:P$178*$C$162:$C$178)</f>
        <v>542.915676611825</v>
      </c>
    </row>
    <row r="189" customFormat="false" ht="15" hidden="false" customHeight="false" outlineLevel="0" collapsed="false">
      <c r="A189" s="6" t="s">
        <v>312</v>
      </c>
      <c r="D189" s="27" t="n">
        <f aca="false">SUMPRODUCT(D$162:D$178*parametros_recargas!$D$51:$D$67)</f>
        <v>467.957713247341</v>
      </c>
      <c r="E189" s="27" t="n">
        <f aca="false">SUMPRODUCT(E$162:E$178*parametros_recargas!$D$51:$D$67)</f>
        <v>467.957713247341</v>
      </c>
      <c r="F189" s="27" t="n">
        <f aca="false">SUMPRODUCT(F$162:F$178*parametros_recargas!$D$51:$D$67)</f>
        <v>467.957713247341</v>
      </c>
      <c r="G189" s="27" t="n">
        <f aca="false">SUMPRODUCT(G$162:G$178*parametros_recargas!$D$51:$D$67)</f>
        <v>467.957713247341</v>
      </c>
      <c r="H189" s="27" t="n">
        <f aca="false">SUMPRODUCT(H$162:H$178*parametros_recargas!$D$51:$D$67)</f>
        <v>467.957713247341</v>
      </c>
      <c r="I189" s="27" t="n">
        <f aca="false">SUMPRODUCT(I$162:I$178*parametros_recargas!$D$51:$D$67)</f>
        <v>467.957713247341</v>
      </c>
      <c r="J189" s="27" t="n">
        <f aca="false">SUMPRODUCT(J$162:J$178*parametros_recargas!$D$51:$D$67)</f>
        <v>467.957713247341</v>
      </c>
      <c r="K189" s="27" t="n">
        <f aca="false">SUMPRODUCT(K$162:K$178*parametros_recargas!$D$51:$D$67)</f>
        <v>467.957713247341</v>
      </c>
      <c r="L189" s="27" t="n">
        <f aca="false">SUMPRODUCT(L$162:L$178*parametros_recargas!$D$51:$D$67)</f>
        <v>467.957713247341</v>
      </c>
      <c r="M189" s="27" t="n">
        <f aca="false">SUMPRODUCT(M$162:M$178*parametros_recargas!$D$51:$D$67)</f>
        <v>467.957713247341</v>
      </c>
      <c r="N189" s="27" t="n">
        <f aca="false">SUMPRODUCT(N$162:N$178*parametros_recargas!$D$51:$D$67)</f>
        <v>467.957713247341</v>
      </c>
      <c r="O189" s="27" t="n">
        <f aca="false">SUMPRODUCT(O$162:O$178*parametros_recargas!$D$51:$D$67)</f>
        <v>467.957713247341</v>
      </c>
      <c r="P189" s="27" t="n">
        <f aca="false">SUMPRODUCT(P$162:P$178*parametros_recargas!$D$51:$D$67)</f>
        <v>5615.4925589681</v>
      </c>
    </row>
    <row r="193" customFormat="false" ht="23.85" hidden="false" customHeight="false" outlineLevel="0" collapsed="false">
      <c r="A193" s="28" t="n">
        <v>2032</v>
      </c>
      <c r="B193" s="3" t="s">
        <v>307</v>
      </c>
      <c r="C193" s="3" t="s">
        <v>308</v>
      </c>
      <c r="D193" s="3" t="s">
        <v>133</v>
      </c>
      <c r="E193" s="3" t="s">
        <v>134</v>
      </c>
      <c r="F193" s="3" t="s">
        <v>135</v>
      </c>
      <c r="G193" s="3" t="s">
        <v>136</v>
      </c>
      <c r="H193" s="3" t="s">
        <v>137</v>
      </c>
      <c r="I193" s="3" t="s">
        <v>138</v>
      </c>
      <c r="J193" s="3" t="s">
        <v>139</v>
      </c>
      <c r="K193" s="3" t="s">
        <v>140</v>
      </c>
      <c r="L193" s="3" t="s">
        <v>141</v>
      </c>
      <c r="M193" s="3" t="s">
        <v>142</v>
      </c>
      <c r="N193" s="3" t="s">
        <v>143</v>
      </c>
      <c r="O193" s="3" t="s">
        <v>144</v>
      </c>
      <c r="P193" s="3" t="s">
        <v>67</v>
      </c>
      <c r="Q193" s="3" t="s">
        <v>309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5" t="n">
        <f aca="false">parametros_recargas!C51</f>
        <v>1</v>
      </c>
      <c r="D194" s="26" t="n">
        <f aca="false">datos_base!$H$2*parametros_recargas!$B$43+sobrestock_sustitutos!$H$88/12</f>
        <v>8755.32181710509</v>
      </c>
      <c r="E194" s="26" t="n">
        <f aca="false">datos_base!$H$2*parametros_recargas!$C$43+sobrestock_sustitutos!$H$88/12</f>
        <v>8755.32181710509</v>
      </c>
      <c r="F194" s="26" t="n">
        <f aca="false">datos_base!$H$2*parametros_recargas!$D$43+sobrestock_sustitutos!$H$88/12</f>
        <v>8755.32181710509</v>
      </c>
      <c r="G194" s="26" t="n">
        <f aca="false">datos_base!$H$2*parametros_recargas!$E$43+sobrestock_sustitutos!$H$88/12</f>
        <v>8755.32181710509</v>
      </c>
      <c r="H194" s="26" t="n">
        <f aca="false">datos_base!$H$2*parametros_recargas!$F$43+sobrestock_sustitutos!$H$88/12</f>
        <v>8755.32181710509</v>
      </c>
      <c r="I194" s="26" t="n">
        <f aca="false">datos_base!$H$2*parametros_recargas!$G$43+sobrestock_sustitutos!$H$88/12</f>
        <v>8755.32181710509</v>
      </c>
      <c r="J194" s="26" t="n">
        <f aca="false">datos_base!$H$2*parametros_recargas!$H$43+sobrestock_sustitutos!$H$88/12</f>
        <v>8755.32181710509</v>
      </c>
      <c r="K194" s="26" t="n">
        <f aca="false">datos_base!$H$2*parametros_recargas!$I$43+sobrestock_sustitutos!$H$88/12</f>
        <v>8755.32181710509</v>
      </c>
      <c r="L194" s="26" t="n">
        <f aca="false">datos_base!$H$2*parametros_recargas!$J$43+sobrestock_sustitutos!$H$88/12</f>
        <v>8755.32181710509</v>
      </c>
      <c r="M194" s="26" t="n">
        <f aca="false">datos_base!$H$2*parametros_recargas!$K$43+sobrestock_sustitutos!$H$88/12</f>
        <v>8755.32181710509</v>
      </c>
      <c r="N194" s="26" t="n">
        <f aca="false">datos_base!$H$2*parametros_recargas!$L$43+sobrestock_sustitutos!$H$88/12</f>
        <v>8755.32181710509</v>
      </c>
      <c r="O194" s="26" t="n">
        <f aca="false">datos_base!$H$2*parametros_recargas!$M$43+sobrestock_sustitutos!$H$88/12</f>
        <v>8755.32181710509</v>
      </c>
      <c r="P194" s="7" t="n">
        <f aca="false">SUM(D194:O194)</f>
        <v>105063.861805261</v>
      </c>
      <c r="Q194" s="13" t="n">
        <f aca="false">sobrestock_sustitutos!$H$88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5" t="n">
        <f aca="false">parametros_recargas!C52</f>
        <v>1</v>
      </c>
      <c r="D195" s="26" t="n">
        <f aca="false">datos_base!$H$3*parametros_recargas!$B$43+sobrestock_sustitutos!$H$89/12</f>
        <v>767.551344454098</v>
      </c>
      <c r="E195" s="26" t="n">
        <f aca="false">datos_base!$H$3*parametros_recargas!$C$43+sobrestock_sustitutos!$H$89/12</f>
        <v>767.551344454098</v>
      </c>
      <c r="F195" s="26" t="n">
        <f aca="false">datos_base!$H$3*parametros_recargas!$D$43+sobrestock_sustitutos!$H$89/12</f>
        <v>767.551344454098</v>
      </c>
      <c r="G195" s="26" t="n">
        <f aca="false">datos_base!$H$3*parametros_recargas!$E$43+sobrestock_sustitutos!$H$89/12</f>
        <v>767.551344454098</v>
      </c>
      <c r="H195" s="26" t="n">
        <f aca="false">datos_base!$H$3*parametros_recargas!$F$43+sobrestock_sustitutos!$H$89/12</f>
        <v>767.551344454098</v>
      </c>
      <c r="I195" s="26" t="n">
        <f aca="false">datos_base!$H$3*parametros_recargas!$G$43+sobrestock_sustitutos!$H$89/12</f>
        <v>767.551344454098</v>
      </c>
      <c r="J195" s="26" t="n">
        <f aca="false">datos_base!$H$3*parametros_recargas!$H$43+sobrestock_sustitutos!$H$89/12</f>
        <v>767.551344454098</v>
      </c>
      <c r="K195" s="26" t="n">
        <f aca="false">datos_base!$H$3*parametros_recargas!$I$43+sobrestock_sustitutos!$H$89/12</f>
        <v>767.551344454098</v>
      </c>
      <c r="L195" s="26" t="n">
        <f aca="false">datos_base!$H$3*parametros_recargas!$J$43+sobrestock_sustitutos!$H$89/12</f>
        <v>767.551344454098</v>
      </c>
      <c r="M195" s="26" t="n">
        <f aca="false">datos_base!$H$3*parametros_recargas!$K$43+sobrestock_sustitutos!$H$89/12</f>
        <v>767.551344454098</v>
      </c>
      <c r="N195" s="26" t="n">
        <f aca="false">datos_base!$H$3*parametros_recargas!$L$43+sobrestock_sustitutos!$H$89/12</f>
        <v>767.551344454098</v>
      </c>
      <c r="O195" s="26" t="n">
        <f aca="false">datos_base!$H$3*parametros_recargas!$M$43+sobrestock_sustitutos!$H$89/12</f>
        <v>767.551344454098</v>
      </c>
      <c r="P195" s="7" t="n">
        <f aca="false">SUM(D195:O195)</f>
        <v>9210.61613344917</v>
      </c>
      <c r="Q195" s="13" t="n">
        <f aca="false">sobrestock_sustitutos!$H$89</f>
        <v>93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5" t="n">
        <f aca="false">parametros_recargas!C53</f>
        <v>1</v>
      </c>
      <c r="D196" s="26" t="n">
        <f aca="false">datos_base!$H$4*parametros_recargas!$B$43+sobrestock_sustitutos!$H$90/12</f>
        <v>4716.9837913833</v>
      </c>
      <c r="E196" s="26" t="n">
        <f aca="false">datos_base!$H$4*parametros_recargas!$C$43+sobrestock_sustitutos!$H$90/12</f>
        <v>4716.9837913833</v>
      </c>
      <c r="F196" s="26" t="n">
        <f aca="false">datos_base!$H$4*parametros_recargas!$D$43+sobrestock_sustitutos!$H$90/12</f>
        <v>4716.9837913833</v>
      </c>
      <c r="G196" s="26" t="n">
        <f aca="false">datos_base!$H$4*parametros_recargas!$E$43+sobrestock_sustitutos!$H$90/12</f>
        <v>4716.9837913833</v>
      </c>
      <c r="H196" s="26" t="n">
        <f aca="false">datos_base!$H$4*parametros_recargas!$F$43+sobrestock_sustitutos!$H$90/12</f>
        <v>4716.9837913833</v>
      </c>
      <c r="I196" s="26" t="n">
        <f aca="false">datos_base!$H$4*parametros_recargas!$G$43+sobrestock_sustitutos!$H$90/12</f>
        <v>4716.9837913833</v>
      </c>
      <c r="J196" s="26" t="n">
        <f aca="false">datos_base!$H$4*parametros_recargas!$H$43+sobrestock_sustitutos!$H$90/12</f>
        <v>4716.9837913833</v>
      </c>
      <c r="K196" s="26" t="n">
        <f aca="false">datos_base!$H$4*parametros_recargas!$I$43+sobrestock_sustitutos!$H$90/12</f>
        <v>4716.9837913833</v>
      </c>
      <c r="L196" s="26" t="n">
        <f aca="false">datos_base!$H$4*parametros_recargas!$J$43+sobrestock_sustitutos!$H$90/12</f>
        <v>4716.9837913833</v>
      </c>
      <c r="M196" s="26" t="n">
        <f aca="false">datos_base!$H$4*parametros_recargas!$K$43+sobrestock_sustitutos!$H$90/12</f>
        <v>4716.9837913833</v>
      </c>
      <c r="N196" s="26" t="n">
        <f aca="false">datos_base!$H$4*parametros_recargas!$L$43+sobrestock_sustitutos!$H$90/12</f>
        <v>4716.9837913833</v>
      </c>
      <c r="O196" s="26" t="n">
        <f aca="false">datos_base!$H$4*parametros_recargas!$M$43+sobrestock_sustitutos!$H$90/12</f>
        <v>4716.9837913833</v>
      </c>
      <c r="P196" s="7" t="n">
        <f aca="false">SUM(D196:O196)</f>
        <v>56603.8054965996</v>
      </c>
      <c r="Q196" s="13" t="n">
        <f aca="false">sobrestock_sustitutos!$H$90</f>
        <v>573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5" t="n">
        <f aca="false">parametros_recargas!C54</f>
        <v>1</v>
      </c>
      <c r="D197" s="26" t="n">
        <f aca="false">datos_base!$H$5*parametros_recargas!$B$43+sobrestock_sustitutos!$H$91/12</f>
        <v>279.452983321654</v>
      </c>
      <c r="E197" s="26" t="n">
        <f aca="false">datos_base!$H$5*parametros_recargas!$C$43+sobrestock_sustitutos!$H$91/12</f>
        <v>279.452983321654</v>
      </c>
      <c r="F197" s="26" t="n">
        <f aca="false">datos_base!$H$5*parametros_recargas!$D$43+sobrestock_sustitutos!$H$91/12</f>
        <v>279.452983321654</v>
      </c>
      <c r="G197" s="26" t="n">
        <f aca="false">datos_base!$H$5*parametros_recargas!$E$43+sobrestock_sustitutos!$H$91/12</f>
        <v>279.452983321654</v>
      </c>
      <c r="H197" s="26" t="n">
        <f aca="false">datos_base!$H$5*parametros_recargas!$F$43+sobrestock_sustitutos!$H$91/12</f>
        <v>279.452983321654</v>
      </c>
      <c r="I197" s="26" t="n">
        <f aca="false">datos_base!$H$5*parametros_recargas!$G$43+sobrestock_sustitutos!$H$91/12</f>
        <v>279.452983321654</v>
      </c>
      <c r="J197" s="26" t="n">
        <f aca="false">datos_base!$H$5*parametros_recargas!$H$43+sobrestock_sustitutos!$H$91/12</f>
        <v>279.452983321654</v>
      </c>
      <c r="K197" s="26" t="n">
        <f aca="false">datos_base!$H$5*parametros_recargas!$I$43+sobrestock_sustitutos!$H$91/12</f>
        <v>279.452983321654</v>
      </c>
      <c r="L197" s="26" t="n">
        <f aca="false">datos_base!$H$5*parametros_recargas!$J$43+sobrestock_sustitutos!$H$91/12</f>
        <v>279.452983321654</v>
      </c>
      <c r="M197" s="26" t="n">
        <f aca="false">datos_base!$H$5*parametros_recargas!$K$43+sobrestock_sustitutos!$H$91/12</f>
        <v>279.452983321654</v>
      </c>
      <c r="N197" s="26" t="n">
        <f aca="false">datos_base!$H$5*parametros_recargas!$L$43+sobrestock_sustitutos!$H$91/12</f>
        <v>279.452983321654</v>
      </c>
      <c r="O197" s="26" t="n">
        <f aca="false">datos_base!$H$5*parametros_recargas!$M$43+sobrestock_sustitutos!$H$91/12</f>
        <v>279.452983321654</v>
      </c>
      <c r="P197" s="7" t="n">
        <f aca="false">SUM(D197:O197)</f>
        <v>3353.43579985985</v>
      </c>
      <c r="Q197" s="13" t="n">
        <f aca="false">sobrestock_sustitutos!$H$91</f>
        <v>34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5" t="n">
        <f aca="false">parametros_recargas!C55</f>
        <v>1</v>
      </c>
      <c r="D198" s="26" t="n">
        <f aca="false">datos_base!$H$6*parametros_recargas!$B$43+sobrestock_sustitutos!$H$92/12</f>
        <v>391.849352262421</v>
      </c>
      <c r="E198" s="26" t="n">
        <f aca="false">datos_base!$H$6*parametros_recargas!$C$43+sobrestock_sustitutos!$H$92/12</f>
        <v>391.849352262421</v>
      </c>
      <c r="F198" s="26" t="n">
        <f aca="false">datos_base!$H$6*parametros_recargas!$D$43+sobrestock_sustitutos!$H$92/12</f>
        <v>391.849352262421</v>
      </c>
      <c r="G198" s="26" t="n">
        <f aca="false">datos_base!$H$6*parametros_recargas!$E$43+sobrestock_sustitutos!$H$92/12</f>
        <v>391.849352262421</v>
      </c>
      <c r="H198" s="26" t="n">
        <f aca="false">datos_base!$H$6*parametros_recargas!$F$43+sobrestock_sustitutos!$H$92/12</f>
        <v>391.849352262421</v>
      </c>
      <c r="I198" s="26" t="n">
        <f aca="false">datos_base!$H$6*parametros_recargas!$G$43+sobrestock_sustitutos!$H$92/12</f>
        <v>391.849352262421</v>
      </c>
      <c r="J198" s="26" t="n">
        <f aca="false">datos_base!$H$6*parametros_recargas!$H$43+sobrestock_sustitutos!$H$92/12</f>
        <v>391.849352262421</v>
      </c>
      <c r="K198" s="26" t="n">
        <f aca="false">datos_base!$H$6*parametros_recargas!$I$43+sobrestock_sustitutos!$H$92/12</f>
        <v>391.849352262421</v>
      </c>
      <c r="L198" s="26" t="n">
        <f aca="false">datos_base!$H$6*parametros_recargas!$J$43+sobrestock_sustitutos!$H$92/12</f>
        <v>391.849352262421</v>
      </c>
      <c r="M198" s="26" t="n">
        <f aca="false">datos_base!$H$6*parametros_recargas!$K$43+sobrestock_sustitutos!$H$92/12</f>
        <v>391.849352262421</v>
      </c>
      <c r="N198" s="26" t="n">
        <f aca="false">datos_base!$H$6*parametros_recargas!$L$43+sobrestock_sustitutos!$H$92/12</f>
        <v>391.849352262421</v>
      </c>
      <c r="O198" s="26" t="n">
        <f aca="false">datos_base!$H$6*parametros_recargas!$M$43+sobrestock_sustitutos!$H$92/12</f>
        <v>391.849352262421</v>
      </c>
      <c r="P198" s="7" t="n">
        <f aca="false">SUM(D198:O198)</f>
        <v>4702.19222714906</v>
      </c>
      <c r="Q198" s="13" t="n">
        <f aca="false">sobrestock_sustitutos!$H$92</f>
        <v>48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5" t="n">
        <f aca="false">parametros_recargas!C56</f>
        <v>1</v>
      </c>
      <c r="D199" s="26" t="n">
        <f aca="false">datos_base!$H$7*parametros_recargas!$B$43+sobrestock_sustitutos!$H$93/12</f>
        <v>71.6263534050307</v>
      </c>
      <c r="E199" s="26" t="n">
        <f aca="false">datos_base!$H$7*parametros_recargas!$C$43+sobrestock_sustitutos!$H$93/12</f>
        <v>71.6263534050307</v>
      </c>
      <c r="F199" s="26" t="n">
        <f aca="false">datos_base!$H$7*parametros_recargas!$D$43+sobrestock_sustitutos!$H$93/12</f>
        <v>71.6263534050307</v>
      </c>
      <c r="G199" s="26" t="n">
        <f aca="false">datos_base!$H$7*parametros_recargas!$E$43+sobrestock_sustitutos!$H$93/12</f>
        <v>71.6263534050307</v>
      </c>
      <c r="H199" s="26" t="n">
        <f aca="false">datos_base!$H$7*parametros_recargas!$F$43+sobrestock_sustitutos!$H$93/12</f>
        <v>71.6263534050307</v>
      </c>
      <c r="I199" s="26" t="n">
        <f aca="false">datos_base!$H$7*parametros_recargas!$G$43+sobrestock_sustitutos!$H$93/12</f>
        <v>71.6263534050307</v>
      </c>
      <c r="J199" s="26" t="n">
        <f aca="false">datos_base!$H$7*parametros_recargas!$H$43+sobrestock_sustitutos!$H$93/12</f>
        <v>71.6263534050307</v>
      </c>
      <c r="K199" s="26" t="n">
        <f aca="false">datos_base!$H$7*parametros_recargas!$I$43+sobrestock_sustitutos!$H$93/12</f>
        <v>71.6263534050307</v>
      </c>
      <c r="L199" s="26" t="n">
        <f aca="false">datos_base!$H$7*parametros_recargas!$J$43+sobrestock_sustitutos!$H$93/12</f>
        <v>71.6263534050307</v>
      </c>
      <c r="M199" s="26" t="n">
        <f aca="false">datos_base!$H$7*parametros_recargas!$K$43+sobrestock_sustitutos!$H$93/12</f>
        <v>71.6263534050307</v>
      </c>
      <c r="N199" s="26" t="n">
        <f aca="false">datos_base!$H$7*parametros_recargas!$L$43+sobrestock_sustitutos!$H$93/12</f>
        <v>71.6263534050307</v>
      </c>
      <c r="O199" s="26" t="n">
        <f aca="false">datos_base!$H$7*parametros_recargas!$M$43+sobrestock_sustitutos!$H$93/12</f>
        <v>71.6263534050307</v>
      </c>
      <c r="P199" s="7" t="n">
        <f aca="false">SUM(D199:O199)</f>
        <v>859.516240860368</v>
      </c>
      <c r="Q199" s="13" t="n">
        <f aca="false">sobrestock_sustitutos!$H$93</f>
        <v>9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5" t="n">
        <f aca="false">parametros_recargas!C57</f>
        <v>3</v>
      </c>
      <c r="D200" s="26" t="n">
        <f aca="false">datos_base!$H$8*parametros_recargas!$B$43+sobrestock_sustitutos!$H$94/12</f>
        <v>37.7288218371084</v>
      </c>
      <c r="E200" s="26" t="n">
        <f aca="false">datos_base!$H$8*parametros_recargas!$C$43+sobrestock_sustitutos!$H$94/12</f>
        <v>37.7288218371084</v>
      </c>
      <c r="F200" s="26" t="n">
        <f aca="false">datos_base!$H$8*parametros_recargas!$D$43+sobrestock_sustitutos!$H$94/12</f>
        <v>37.7288218371084</v>
      </c>
      <c r="G200" s="26" t="n">
        <f aca="false">datos_base!$H$8*parametros_recargas!$E$43+sobrestock_sustitutos!$H$94/12</f>
        <v>37.7288218371084</v>
      </c>
      <c r="H200" s="26" t="n">
        <f aca="false">datos_base!$H$8*parametros_recargas!$F$43+sobrestock_sustitutos!$H$94/12</f>
        <v>37.7288218371084</v>
      </c>
      <c r="I200" s="26" t="n">
        <f aca="false">datos_base!$H$8*parametros_recargas!$G$43+sobrestock_sustitutos!$H$94/12</f>
        <v>37.7288218371084</v>
      </c>
      <c r="J200" s="26" t="n">
        <f aca="false">datos_base!$H$8*parametros_recargas!$H$43+sobrestock_sustitutos!$H$94/12</f>
        <v>37.7288218371084</v>
      </c>
      <c r="K200" s="26" t="n">
        <f aca="false">datos_base!$H$8*parametros_recargas!$I$43+sobrestock_sustitutos!$H$94/12</f>
        <v>37.7288218371084</v>
      </c>
      <c r="L200" s="26" t="n">
        <f aca="false">datos_base!$H$8*parametros_recargas!$J$43+sobrestock_sustitutos!$H$94/12</f>
        <v>37.7288218371084</v>
      </c>
      <c r="M200" s="26" t="n">
        <f aca="false">datos_base!$H$8*parametros_recargas!$K$43+sobrestock_sustitutos!$H$94/12</f>
        <v>37.7288218371084</v>
      </c>
      <c r="N200" s="26" t="n">
        <f aca="false">datos_base!$H$8*parametros_recargas!$L$43+sobrestock_sustitutos!$H$94/12</f>
        <v>37.7288218371084</v>
      </c>
      <c r="O200" s="26" t="n">
        <f aca="false">datos_base!$H$8*parametros_recargas!$M$43+sobrestock_sustitutos!$H$94/12</f>
        <v>37.7288218371084</v>
      </c>
      <c r="P200" s="7" t="n">
        <f aca="false">SUM(D200:O200)</f>
        <v>452.745862045301</v>
      </c>
      <c r="Q200" s="13" t="n">
        <f aca="false">sobrestock_sustitutos!$H$94</f>
        <v>5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5" t="n">
        <f aca="false">parametros_recargas!C58</f>
        <v>1</v>
      </c>
      <c r="D201" s="26" t="n">
        <f aca="false">datos_base!$H$9*parametros_recargas!$B$43+sobrestock_sustitutos!$H$95/12</f>
        <v>22.1274845513753</v>
      </c>
      <c r="E201" s="26" t="n">
        <f aca="false">datos_base!$H$9*parametros_recargas!$C$43+sobrestock_sustitutos!$H$95/12</f>
        <v>22.1274845513753</v>
      </c>
      <c r="F201" s="26" t="n">
        <f aca="false">datos_base!$H$9*parametros_recargas!$D$43+sobrestock_sustitutos!$H$95/12</f>
        <v>22.1274845513753</v>
      </c>
      <c r="G201" s="26" t="n">
        <f aca="false">datos_base!$H$9*parametros_recargas!$E$43+sobrestock_sustitutos!$H$95/12</f>
        <v>22.1274845513753</v>
      </c>
      <c r="H201" s="26" t="n">
        <f aca="false">datos_base!$H$9*parametros_recargas!$F$43+sobrestock_sustitutos!$H$95/12</f>
        <v>22.1274845513753</v>
      </c>
      <c r="I201" s="26" t="n">
        <f aca="false">datos_base!$H$9*parametros_recargas!$G$43+sobrestock_sustitutos!$H$95/12</f>
        <v>22.1274845513753</v>
      </c>
      <c r="J201" s="26" t="n">
        <f aca="false">datos_base!$H$9*parametros_recargas!$H$43+sobrestock_sustitutos!$H$95/12</f>
        <v>22.1274845513753</v>
      </c>
      <c r="K201" s="26" t="n">
        <f aca="false">datos_base!$H$9*parametros_recargas!$I$43+sobrestock_sustitutos!$H$95/12</f>
        <v>22.1274845513753</v>
      </c>
      <c r="L201" s="26" t="n">
        <f aca="false">datos_base!$H$9*parametros_recargas!$J$43+sobrestock_sustitutos!$H$95/12</f>
        <v>22.1274845513753</v>
      </c>
      <c r="M201" s="26" t="n">
        <f aca="false">datos_base!$H$9*parametros_recargas!$K$43+sobrestock_sustitutos!$H$95/12</f>
        <v>22.1274845513753</v>
      </c>
      <c r="N201" s="26" t="n">
        <f aca="false">datos_base!$H$9*parametros_recargas!$L$43+sobrestock_sustitutos!$H$95/12</f>
        <v>22.1274845513753</v>
      </c>
      <c r="O201" s="26" t="n">
        <f aca="false">datos_base!$H$9*parametros_recargas!$M$43+sobrestock_sustitutos!$H$95/12</f>
        <v>22.1274845513753</v>
      </c>
      <c r="P201" s="7" t="n">
        <f aca="false">SUM(D201:O201)</f>
        <v>265.529814616504</v>
      </c>
      <c r="Q201" s="13" t="n">
        <f aca="false">sobrestock_sustitutos!$H$95</f>
        <v>3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5" t="n">
        <f aca="false">parametros_recargas!C59</f>
        <v>1</v>
      </c>
      <c r="D202" s="26" t="n">
        <f aca="false">datos_base!$H$10*parametros_recargas!$B$43+sobrestock_sustitutos!$H$96/12</f>
        <v>191.641285408918</v>
      </c>
      <c r="E202" s="26" t="n">
        <f aca="false">datos_base!$H$10*parametros_recargas!$C$43+sobrestock_sustitutos!$H$96/12</f>
        <v>191.641285408918</v>
      </c>
      <c r="F202" s="26" t="n">
        <f aca="false">datos_base!$H$10*parametros_recargas!$D$43+sobrestock_sustitutos!$H$96/12</f>
        <v>191.641285408918</v>
      </c>
      <c r="G202" s="26" t="n">
        <f aca="false">datos_base!$H$10*parametros_recargas!$E$43+sobrestock_sustitutos!$H$96/12</f>
        <v>191.641285408918</v>
      </c>
      <c r="H202" s="26" t="n">
        <f aca="false">datos_base!$H$10*parametros_recargas!$F$43+sobrestock_sustitutos!$H$96/12</f>
        <v>191.641285408918</v>
      </c>
      <c r="I202" s="26" t="n">
        <f aca="false">datos_base!$H$10*parametros_recargas!$G$43+sobrestock_sustitutos!$H$96/12</f>
        <v>191.641285408918</v>
      </c>
      <c r="J202" s="26" t="n">
        <f aca="false">datos_base!$H$10*parametros_recargas!$H$43+sobrestock_sustitutos!$H$96/12</f>
        <v>191.641285408918</v>
      </c>
      <c r="K202" s="26" t="n">
        <f aca="false">datos_base!$H$10*parametros_recargas!$I$43+sobrestock_sustitutos!$H$96/12</f>
        <v>191.641285408918</v>
      </c>
      <c r="L202" s="26" t="n">
        <f aca="false">datos_base!$H$10*parametros_recargas!$J$43+sobrestock_sustitutos!$H$96/12</f>
        <v>191.641285408918</v>
      </c>
      <c r="M202" s="26" t="n">
        <f aca="false">datos_base!$H$10*parametros_recargas!$K$43+sobrestock_sustitutos!$H$96/12</f>
        <v>191.641285408918</v>
      </c>
      <c r="N202" s="26" t="n">
        <f aca="false">datos_base!$H$10*parametros_recargas!$L$43+sobrestock_sustitutos!$H$96/12</f>
        <v>191.641285408918</v>
      </c>
      <c r="O202" s="26" t="n">
        <f aca="false">datos_base!$H$10*parametros_recargas!$M$43+sobrestock_sustitutos!$H$96/12</f>
        <v>191.641285408918</v>
      </c>
      <c r="P202" s="7" t="n">
        <f aca="false">SUM(D202:O202)</f>
        <v>2299.69542490701</v>
      </c>
      <c r="Q202" s="13" t="n">
        <f aca="false">sobrestock_sustitutos!$H$96</f>
        <v>24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5" t="n">
        <f aca="false">parametros_recargas!C60</f>
        <v>1</v>
      </c>
      <c r="D203" s="26" t="n">
        <f aca="false">datos_base!$H$11*parametros_recargas!$B$43+sobrestock_sustitutos!$H$97/12</f>
        <v>1063.44252781519</v>
      </c>
      <c r="E203" s="26" t="n">
        <f aca="false">datos_base!$H$11*parametros_recargas!$C$43+sobrestock_sustitutos!$H$97/12</f>
        <v>1063.44252781519</v>
      </c>
      <c r="F203" s="26" t="n">
        <f aca="false">datos_base!$H$11*parametros_recargas!$D$43+sobrestock_sustitutos!$H$97/12</f>
        <v>1063.44252781519</v>
      </c>
      <c r="G203" s="26" t="n">
        <f aca="false">datos_base!$H$11*parametros_recargas!$E$43+sobrestock_sustitutos!$H$97/12</f>
        <v>1063.44252781519</v>
      </c>
      <c r="H203" s="26" t="n">
        <f aca="false">datos_base!$H$11*parametros_recargas!$F$43+sobrestock_sustitutos!$H$97/12</f>
        <v>1063.44252781519</v>
      </c>
      <c r="I203" s="26" t="n">
        <f aca="false">datos_base!$H$11*parametros_recargas!$G$43+sobrestock_sustitutos!$H$97/12</f>
        <v>1063.44252781519</v>
      </c>
      <c r="J203" s="26" t="n">
        <f aca="false">datos_base!$H$11*parametros_recargas!$H$43+sobrestock_sustitutos!$H$97/12</f>
        <v>1063.44252781519</v>
      </c>
      <c r="K203" s="26" t="n">
        <f aca="false">datos_base!$H$11*parametros_recargas!$I$43+sobrestock_sustitutos!$H$97/12</f>
        <v>1063.44252781519</v>
      </c>
      <c r="L203" s="26" t="n">
        <f aca="false">datos_base!$H$11*parametros_recargas!$J$43+sobrestock_sustitutos!$H$97/12</f>
        <v>1063.44252781519</v>
      </c>
      <c r="M203" s="26" t="n">
        <f aca="false">datos_base!$H$11*parametros_recargas!$K$43+sobrestock_sustitutos!$H$97/12</f>
        <v>1063.44252781519</v>
      </c>
      <c r="N203" s="26" t="n">
        <f aca="false">datos_base!$H$11*parametros_recargas!$L$43+sobrestock_sustitutos!$H$97/12</f>
        <v>1063.44252781519</v>
      </c>
      <c r="O203" s="26" t="n">
        <f aca="false">datos_base!$H$11*parametros_recargas!$M$43+sobrestock_sustitutos!$H$97/12</f>
        <v>1063.44252781519</v>
      </c>
      <c r="P203" s="7" t="n">
        <f aca="false">SUM(D203:O203)</f>
        <v>12761.3103337822</v>
      </c>
      <c r="Q203" s="13" t="n">
        <f aca="false">sobrestock_sustitutos!$H$97</f>
        <v>130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5" t="n">
        <f aca="false">parametros_recargas!C61</f>
        <v>1</v>
      </c>
      <c r="D204" s="26" t="n">
        <f aca="false">datos_base!$H$12*parametros_recargas!$B$43+sobrestock_sustitutos!$H$98/12</f>
        <v>350.799667114961</v>
      </c>
      <c r="E204" s="26" t="n">
        <f aca="false">datos_base!$H$12*parametros_recargas!$C$43+sobrestock_sustitutos!$H$98/12</f>
        <v>350.799667114961</v>
      </c>
      <c r="F204" s="26" t="n">
        <f aca="false">datos_base!$H$12*parametros_recargas!$D$43+sobrestock_sustitutos!$H$98/12</f>
        <v>350.799667114961</v>
      </c>
      <c r="G204" s="26" t="n">
        <f aca="false">datos_base!$H$12*parametros_recargas!$E$43+sobrestock_sustitutos!$H$98/12</f>
        <v>350.799667114961</v>
      </c>
      <c r="H204" s="26" t="n">
        <f aca="false">datos_base!$H$12*parametros_recargas!$F$43+sobrestock_sustitutos!$H$98/12</f>
        <v>350.799667114961</v>
      </c>
      <c r="I204" s="26" t="n">
        <f aca="false">datos_base!$H$12*parametros_recargas!$G$43+sobrestock_sustitutos!$H$98/12</f>
        <v>350.799667114961</v>
      </c>
      <c r="J204" s="26" t="n">
        <f aca="false">datos_base!$H$12*parametros_recargas!$H$43+sobrestock_sustitutos!$H$98/12</f>
        <v>350.799667114961</v>
      </c>
      <c r="K204" s="26" t="n">
        <f aca="false">datos_base!$H$12*parametros_recargas!$I$43+sobrestock_sustitutos!$H$98/12</f>
        <v>350.799667114961</v>
      </c>
      <c r="L204" s="26" t="n">
        <f aca="false">datos_base!$H$12*parametros_recargas!$J$43+sobrestock_sustitutos!$H$98/12</f>
        <v>350.799667114961</v>
      </c>
      <c r="M204" s="26" t="n">
        <f aca="false">datos_base!$H$12*parametros_recargas!$K$43+sobrestock_sustitutos!$H$98/12</f>
        <v>350.799667114961</v>
      </c>
      <c r="N204" s="26" t="n">
        <f aca="false">datos_base!$H$12*parametros_recargas!$L$43+sobrestock_sustitutos!$H$98/12</f>
        <v>350.799667114961</v>
      </c>
      <c r="O204" s="26" t="n">
        <f aca="false">datos_base!$H$12*parametros_recargas!$M$43+sobrestock_sustitutos!$H$98/12</f>
        <v>350.799667114961</v>
      </c>
      <c r="P204" s="7" t="n">
        <f aca="false">SUM(D204:O204)</f>
        <v>4209.59600537953</v>
      </c>
      <c r="Q204" s="13" t="n">
        <f aca="false">sobrestock_sustitutos!$H$98</f>
        <v>43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5" t="n">
        <f aca="false">parametros_recargas!C62</f>
        <v>1</v>
      </c>
      <c r="D205" s="26" t="n">
        <f aca="false">datos_base!$H$13*parametros_recargas!$B$43+sobrestock_sustitutos!$H$99/12</f>
        <v>56.6257426698489</v>
      </c>
      <c r="E205" s="26" t="n">
        <f aca="false">datos_base!$H$13*parametros_recargas!$C$43+sobrestock_sustitutos!$H$99/12</f>
        <v>56.6257426698489</v>
      </c>
      <c r="F205" s="26" t="n">
        <f aca="false">datos_base!$H$13*parametros_recargas!$D$43+sobrestock_sustitutos!$H$99/12</f>
        <v>56.6257426698489</v>
      </c>
      <c r="G205" s="26" t="n">
        <f aca="false">datos_base!$H$13*parametros_recargas!$E$43+sobrestock_sustitutos!$H$99/12</f>
        <v>56.6257426698489</v>
      </c>
      <c r="H205" s="26" t="n">
        <f aca="false">datos_base!$H$13*parametros_recargas!$F$43+sobrestock_sustitutos!$H$99/12</f>
        <v>56.6257426698489</v>
      </c>
      <c r="I205" s="26" t="n">
        <f aca="false">datos_base!$H$13*parametros_recargas!$G$43+sobrestock_sustitutos!$H$99/12</f>
        <v>56.6257426698489</v>
      </c>
      <c r="J205" s="26" t="n">
        <f aca="false">datos_base!$H$13*parametros_recargas!$H$43+sobrestock_sustitutos!$H$99/12</f>
        <v>56.6257426698489</v>
      </c>
      <c r="K205" s="26" t="n">
        <f aca="false">datos_base!$H$13*parametros_recargas!$I$43+sobrestock_sustitutos!$H$99/12</f>
        <v>56.6257426698489</v>
      </c>
      <c r="L205" s="26" t="n">
        <f aca="false">datos_base!$H$13*parametros_recargas!$J$43+sobrestock_sustitutos!$H$99/12</f>
        <v>56.6257426698489</v>
      </c>
      <c r="M205" s="26" t="n">
        <f aca="false">datos_base!$H$13*parametros_recargas!$K$43+sobrestock_sustitutos!$H$99/12</f>
        <v>56.6257426698489</v>
      </c>
      <c r="N205" s="26" t="n">
        <f aca="false">datos_base!$H$13*parametros_recargas!$L$43+sobrestock_sustitutos!$H$99/12</f>
        <v>56.6257426698489</v>
      </c>
      <c r="O205" s="26" t="n">
        <f aca="false">datos_base!$H$13*parametros_recargas!$M$43+sobrestock_sustitutos!$H$99/12</f>
        <v>56.6257426698489</v>
      </c>
      <c r="P205" s="7" t="n">
        <f aca="false">SUM(D205:O205)</f>
        <v>679.508912038187</v>
      </c>
      <c r="Q205" s="13" t="n">
        <f aca="false">sobrestock_sustitutos!$H$99</f>
        <v>7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5" t="n">
        <f aca="false">parametros_recargas!C63</f>
        <v>1</v>
      </c>
      <c r="D206" s="26" t="n">
        <f aca="false">datos_base!$H$14*parametros_recargas!$B$43+sobrestock_sustitutos!$H$100/12</f>
        <v>19.7296561292531</v>
      </c>
      <c r="E206" s="26" t="n">
        <f aca="false">datos_base!$H$14*parametros_recargas!$C$43+sobrestock_sustitutos!$H$100/12</f>
        <v>19.7296561292531</v>
      </c>
      <c r="F206" s="26" t="n">
        <f aca="false">datos_base!$H$14*parametros_recargas!$D$43+sobrestock_sustitutos!$H$100/12</f>
        <v>19.7296561292531</v>
      </c>
      <c r="G206" s="26" t="n">
        <f aca="false">datos_base!$H$14*parametros_recargas!$E$43+sobrestock_sustitutos!$H$100/12</f>
        <v>19.7296561292531</v>
      </c>
      <c r="H206" s="26" t="n">
        <f aca="false">datos_base!$H$14*parametros_recargas!$F$43+sobrestock_sustitutos!$H$100/12</f>
        <v>19.7296561292531</v>
      </c>
      <c r="I206" s="26" t="n">
        <f aca="false">datos_base!$H$14*parametros_recargas!$G$43+sobrestock_sustitutos!$H$100/12</f>
        <v>19.7296561292531</v>
      </c>
      <c r="J206" s="26" t="n">
        <f aca="false">datos_base!$H$14*parametros_recargas!$H$43+sobrestock_sustitutos!$H$100/12</f>
        <v>19.7296561292531</v>
      </c>
      <c r="K206" s="26" t="n">
        <f aca="false">datos_base!$H$14*parametros_recargas!$I$43+sobrestock_sustitutos!$H$100/12</f>
        <v>19.7296561292531</v>
      </c>
      <c r="L206" s="26" t="n">
        <f aca="false">datos_base!$H$14*parametros_recargas!$J$43+sobrestock_sustitutos!$H$100/12</f>
        <v>19.7296561292531</v>
      </c>
      <c r="M206" s="26" t="n">
        <f aca="false">datos_base!$H$14*parametros_recargas!$K$43+sobrestock_sustitutos!$H$100/12</f>
        <v>19.7296561292531</v>
      </c>
      <c r="N206" s="26" t="n">
        <f aca="false">datos_base!$H$14*parametros_recargas!$L$43+sobrestock_sustitutos!$H$100/12</f>
        <v>19.7296561292531</v>
      </c>
      <c r="O206" s="26" t="n">
        <f aca="false">datos_base!$H$14*parametros_recargas!$M$43+sobrestock_sustitutos!$H$100/12</f>
        <v>19.7296561292531</v>
      </c>
      <c r="P206" s="7" t="n">
        <f aca="false">SUM(D206:O206)</f>
        <v>236.755873551037</v>
      </c>
      <c r="Q206" s="13" t="n">
        <f aca="false">sobrestock_sustitutos!$H$100</f>
        <v>3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5" t="n">
        <f aca="false">parametros_recargas!C64</f>
        <v>3</v>
      </c>
      <c r="D207" s="26" t="n">
        <f aca="false">datos_base!$H$15*parametros_recargas!$B$43+sobrestock_sustitutos!$H$101/12</f>
        <v>47.5019988132833</v>
      </c>
      <c r="E207" s="26" t="n">
        <f aca="false">datos_base!$H$15*parametros_recargas!$C$43+sobrestock_sustitutos!$H$101/12</f>
        <v>47.5019988132833</v>
      </c>
      <c r="F207" s="26" t="n">
        <f aca="false">datos_base!$H$15*parametros_recargas!$D$43+sobrestock_sustitutos!$H$101/12</f>
        <v>47.5019988132833</v>
      </c>
      <c r="G207" s="26" t="n">
        <f aca="false">datos_base!$H$15*parametros_recargas!$E$43+sobrestock_sustitutos!$H$101/12</f>
        <v>47.5019988132833</v>
      </c>
      <c r="H207" s="26" t="n">
        <f aca="false">datos_base!$H$15*parametros_recargas!$F$43+sobrestock_sustitutos!$H$101/12</f>
        <v>47.5019988132833</v>
      </c>
      <c r="I207" s="26" t="n">
        <f aca="false">datos_base!$H$15*parametros_recargas!$G$43+sobrestock_sustitutos!$H$101/12</f>
        <v>47.5019988132833</v>
      </c>
      <c r="J207" s="26" t="n">
        <f aca="false">datos_base!$H$15*parametros_recargas!$H$43+sobrestock_sustitutos!$H$101/12</f>
        <v>47.5019988132833</v>
      </c>
      <c r="K207" s="26" t="n">
        <f aca="false">datos_base!$H$15*parametros_recargas!$I$43+sobrestock_sustitutos!$H$101/12</f>
        <v>47.5019988132833</v>
      </c>
      <c r="L207" s="26" t="n">
        <f aca="false">datos_base!$H$15*parametros_recargas!$J$43+sobrestock_sustitutos!$H$101/12</f>
        <v>47.5019988132833</v>
      </c>
      <c r="M207" s="26" t="n">
        <f aca="false">datos_base!$H$15*parametros_recargas!$K$43+sobrestock_sustitutos!$H$101/12</f>
        <v>47.5019988132833</v>
      </c>
      <c r="N207" s="26" t="n">
        <f aca="false">datos_base!$H$15*parametros_recargas!$L$43+sobrestock_sustitutos!$H$101/12</f>
        <v>47.5019988132833</v>
      </c>
      <c r="O207" s="26" t="n">
        <f aca="false">datos_base!$H$15*parametros_recargas!$M$43+sobrestock_sustitutos!$H$101/12</f>
        <v>47.5019988132833</v>
      </c>
      <c r="P207" s="7" t="n">
        <f aca="false">SUM(D207:O207)</f>
        <v>570.023985759399</v>
      </c>
      <c r="Q207" s="13" t="n">
        <f aca="false">sobrestock_sustitutos!$H$101</f>
        <v>6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5" t="n">
        <f aca="false">parametros_recargas!C65</f>
        <v>3</v>
      </c>
      <c r="D208" s="26" t="n">
        <f aca="false">datos_base!$H$16*parametros_recargas!$B$43+sobrestock_sustitutos!$H$102/12</f>
        <v>104.487730758145</v>
      </c>
      <c r="E208" s="26" t="n">
        <f aca="false">datos_base!$H$16*parametros_recargas!$C$43+sobrestock_sustitutos!$H$102/12</f>
        <v>104.487730758145</v>
      </c>
      <c r="F208" s="26" t="n">
        <f aca="false">datos_base!$H$16*parametros_recargas!$D$43+sobrestock_sustitutos!$H$102/12</f>
        <v>104.487730758145</v>
      </c>
      <c r="G208" s="26" t="n">
        <f aca="false">datos_base!$H$16*parametros_recargas!$E$43+sobrestock_sustitutos!$H$102/12</f>
        <v>104.487730758145</v>
      </c>
      <c r="H208" s="26" t="n">
        <f aca="false">datos_base!$H$16*parametros_recargas!$F$43+sobrestock_sustitutos!$H$102/12</f>
        <v>104.487730758145</v>
      </c>
      <c r="I208" s="26" t="n">
        <f aca="false">datos_base!$H$16*parametros_recargas!$G$43+sobrestock_sustitutos!$H$102/12</f>
        <v>104.487730758145</v>
      </c>
      <c r="J208" s="26" t="n">
        <f aca="false">datos_base!$H$16*parametros_recargas!$H$43+sobrestock_sustitutos!$H$102/12</f>
        <v>104.487730758145</v>
      </c>
      <c r="K208" s="26" t="n">
        <f aca="false">datos_base!$H$16*parametros_recargas!$I$43+sobrestock_sustitutos!$H$102/12</f>
        <v>104.487730758145</v>
      </c>
      <c r="L208" s="26" t="n">
        <f aca="false">datos_base!$H$16*parametros_recargas!$J$43+sobrestock_sustitutos!$H$102/12</f>
        <v>104.487730758145</v>
      </c>
      <c r="M208" s="26" t="n">
        <f aca="false">datos_base!$H$16*parametros_recargas!$K$43+sobrestock_sustitutos!$H$102/12</f>
        <v>104.487730758145</v>
      </c>
      <c r="N208" s="26" t="n">
        <f aca="false">datos_base!$H$16*parametros_recargas!$L$43+sobrestock_sustitutos!$H$102/12</f>
        <v>104.487730758145</v>
      </c>
      <c r="O208" s="26" t="n">
        <f aca="false">datos_base!$H$16*parametros_recargas!$M$43+sobrestock_sustitutos!$H$102/12</f>
        <v>104.487730758145</v>
      </c>
      <c r="P208" s="7" t="n">
        <f aca="false">SUM(D208:O208)</f>
        <v>1253.85276909774</v>
      </c>
      <c r="Q208" s="13" t="n">
        <f aca="false">sobrestock_sustitutos!$H$102</f>
        <v>13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5" t="n">
        <f aca="false">parametros_recargas!C66</f>
        <v>3</v>
      </c>
      <c r="D209" s="26" t="n">
        <f aca="false">datos_base!$H$17*parametros_recargas!$B$43+sobrestock_sustitutos!$H$103/12</f>
        <v>22.8109594208858</v>
      </c>
      <c r="E209" s="26" t="n">
        <f aca="false">datos_base!$H$17*parametros_recargas!$C$43+sobrestock_sustitutos!$H$103/12</f>
        <v>22.8109594208858</v>
      </c>
      <c r="F209" s="26" t="n">
        <f aca="false">datos_base!$H$17*parametros_recargas!$D$43+sobrestock_sustitutos!$H$103/12</f>
        <v>22.8109594208858</v>
      </c>
      <c r="G209" s="26" t="n">
        <f aca="false">datos_base!$H$17*parametros_recargas!$E$43+sobrestock_sustitutos!$H$103/12</f>
        <v>22.8109594208858</v>
      </c>
      <c r="H209" s="26" t="n">
        <f aca="false">datos_base!$H$17*parametros_recargas!$F$43+sobrestock_sustitutos!$H$103/12</f>
        <v>22.8109594208858</v>
      </c>
      <c r="I209" s="26" t="n">
        <f aca="false">datos_base!$H$17*parametros_recargas!$G$43+sobrestock_sustitutos!$H$103/12</f>
        <v>22.8109594208858</v>
      </c>
      <c r="J209" s="26" t="n">
        <f aca="false">datos_base!$H$17*parametros_recargas!$H$43+sobrestock_sustitutos!$H$103/12</f>
        <v>22.8109594208858</v>
      </c>
      <c r="K209" s="26" t="n">
        <f aca="false">datos_base!$H$17*parametros_recargas!$I$43+sobrestock_sustitutos!$H$103/12</f>
        <v>22.8109594208858</v>
      </c>
      <c r="L209" s="26" t="n">
        <f aca="false">datos_base!$H$17*parametros_recargas!$J$43+sobrestock_sustitutos!$H$103/12</f>
        <v>22.8109594208858</v>
      </c>
      <c r="M209" s="26" t="n">
        <f aca="false">datos_base!$H$17*parametros_recargas!$K$43+sobrestock_sustitutos!$H$103/12</f>
        <v>22.8109594208858</v>
      </c>
      <c r="N209" s="26" t="n">
        <f aca="false">datos_base!$H$17*parametros_recargas!$L$43+sobrestock_sustitutos!$H$103/12</f>
        <v>22.8109594208858</v>
      </c>
      <c r="O209" s="26" t="n">
        <f aca="false">datos_base!$H$17*parametros_recargas!$M$43+sobrestock_sustitutos!$H$103/12</f>
        <v>22.8109594208858</v>
      </c>
      <c r="P209" s="7" t="n">
        <f aca="false">SUM(D209:O209)</f>
        <v>273.73151305063</v>
      </c>
      <c r="Q209" s="13" t="n">
        <f aca="false">sobrestock_sustitutos!$H$103</f>
        <v>3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5" t="n">
        <f aca="false">parametros_recargas!C67</f>
        <v>3</v>
      </c>
      <c r="D210" s="26" t="n">
        <f aca="false">datos_base!$H$18*parametros_recargas!$B$43+sobrestock_sustitutos!$H$104/12</f>
        <v>15.2073063201329</v>
      </c>
      <c r="E210" s="26" t="n">
        <f aca="false">datos_base!$H$18*parametros_recargas!$C$43+sobrestock_sustitutos!$H$104/12</f>
        <v>15.2073063201329</v>
      </c>
      <c r="F210" s="26" t="n">
        <f aca="false">datos_base!$H$18*parametros_recargas!$D$43+sobrestock_sustitutos!$H$104/12</f>
        <v>15.2073063201329</v>
      </c>
      <c r="G210" s="26" t="n">
        <f aca="false">datos_base!$H$18*parametros_recargas!$E$43+sobrestock_sustitutos!$H$104/12</f>
        <v>15.2073063201329</v>
      </c>
      <c r="H210" s="26" t="n">
        <f aca="false">datos_base!$H$18*parametros_recargas!$F$43+sobrestock_sustitutos!$H$104/12</f>
        <v>15.2073063201329</v>
      </c>
      <c r="I210" s="26" t="n">
        <f aca="false">datos_base!$H$18*parametros_recargas!$G$43+sobrestock_sustitutos!$H$104/12</f>
        <v>15.2073063201329</v>
      </c>
      <c r="J210" s="26" t="n">
        <f aca="false">datos_base!$H$18*parametros_recargas!$H$43+sobrestock_sustitutos!$H$104/12</f>
        <v>15.2073063201329</v>
      </c>
      <c r="K210" s="26" t="n">
        <f aca="false">datos_base!$H$18*parametros_recargas!$I$43+sobrestock_sustitutos!$H$104/12</f>
        <v>15.2073063201329</v>
      </c>
      <c r="L210" s="26" t="n">
        <f aca="false">datos_base!$H$18*parametros_recargas!$J$43+sobrestock_sustitutos!$H$104/12</f>
        <v>15.2073063201329</v>
      </c>
      <c r="M210" s="26" t="n">
        <f aca="false">datos_base!$H$18*parametros_recargas!$K$43+sobrestock_sustitutos!$H$104/12</f>
        <v>15.2073063201329</v>
      </c>
      <c r="N210" s="26" t="n">
        <f aca="false">datos_base!$H$18*parametros_recargas!$L$43+sobrestock_sustitutos!$H$104/12</f>
        <v>15.2073063201329</v>
      </c>
      <c r="O210" s="26" t="n">
        <f aca="false">datos_base!$H$18*parametros_recargas!$M$43+sobrestock_sustitutos!$H$104/12</f>
        <v>15.2073063201329</v>
      </c>
      <c r="P210" s="7" t="n">
        <f aca="false">SUM(D210:O210)</f>
        <v>182.487675841595</v>
      </c>
      <c r="Q210" s="13" t="n">
        <f aca="false">sobrestock_sustitutos!$H$104</f>
        <v>2</v>
      </c>
    </row>
    <row r="211" customFormat="false" ht="15" hidden="false" customHeight="false" outlineLevel="0" collapsed="false">
      <c r="A211" s="6" t="s">
        <v>310</v>
      </c>
      <c r="D211" s="7" t="n">
        <f aca="false">SUM(D194:D210)</f>
        <v>16914.8888227707</v>
      </c>
      <c r="E211" s="7" t="n">
        <f aca="false">SUM(E194:E210)</f>
        <v>16914.8888227707</v>
      </c>
      <c r="F211" s="7" t="n">
        <f aca="false">SUM(F194:F210)</f>
        <v>16914.8888227707</v>
      </c>
      <c r="G211" s="7" t="n">
        <f aca="false">SUM(G194:G210)</f>
        <v>16914.8888227707</v>
      </c>
      <c r="H211" s="7" t="n">
        <f aca="false">SUM(H194:H210)</f>
        <v>16914.8888227707</v>
      </c>
      <c r="I211" s="7" t="n">
        <f aca="false">SUM(I194:I210)</f>
        <v>16914.8888227707</v>
      </c>
      <c r="J211" s="7" t="n">
        <f aca="false">SUM(J194:J210)</f>
        <v>16914.8888227707</v>
      </c>
      <c r="K211" s="7" t="n">
        <f aca="false">SUM(K194:K210)</f>
        <v>16914.8888227707</v>
      </c>
      <c r="L211" s="7" t="n">
        <f aca="false">SUM(L194:L210)</f>
        <v>16914.8888227707</v>
      </c>
      <c r="M211" s="7" t="n">
        <f aca="false">SUM(M194:M210)</f>
        <v>16914.8888227707</v>
      </c>
      <c r="N211" s="7" t="n">
        <f aca="false">SUM(N194:N210)</f>
        <v>16914.8888227707</v>
      </c>
      <c r="O211" s="7" t="n">
        <f aca="false">SUM(O194:O210)</f>
        <v>16914.8888227707</v>
      </c>
      <c r="P211" s="7" t="n">
        <f aca="false">SUM(P194:P210)</f>
        <v>202978.665873248</v>
      </c>
    </row>
    <row r="212" customFormat="false" ht="15" hidden="false" customHeight="false" outlineLevel="0" collapsed="false">
      <c r="A212" s="6" t="s">
        <v>311</v>
      </c>
    </row>
    <row r="213" customFormat="false" ht="15" hidden="false" customHeight="false" outlineLevel="0" collapsed="false">
      <c r="A213" s="4" t="s">
        <v>151</v>
      </c>
      <c r="D213" s="26" t="n">
        <f aca="false">SUMPRODUCT(($B$194:$B$210=$A213)*D$194:D$210*$C$194:$C$210)</f>
        <v>15089.3339222015</v>
      </c>
      <c r="E213" s="26" t="n">
        <f aca="false">SUMPRODUCT(($B$194:$B$210=$A213)*E$194:E$210*$C$194:$C$210)</f>
        <v>15089.3339222015</v>
      </c>
      <c r="F213" s="26" t="n">
        <f aca="false">SUMPRODUCT(($B$194:$B$210=$A213)*F$194:F$210*$C$194:$C$210)</f>
        <v>15089.3339222015</v>
      </c>
      <c r="G213" s="26" t="n">
        <f aca="false">SUMPRODUCT(($B$194:$B$210=$A213)*G$194:G$210*$C$194:$C$210)</f>
        <v>15089.3339222015</v>
      </c>
      <c r="H213" s="26" t="n">
        <f aca="false">SUMPRODUCT(($B$194:$B$210=$A213)*H$194:H$210*$C$194:$C$210)</f>
        <v>15089.3339222015</v>
      </c>
      <c r="I213" s="26" t="n">
        <f aca="false">SUMPRODUCT(($B$194:$B$210=$A213)*I$194:I$210*$C$194:$C$210)</f>
        <v>15089.3339222015</v>
      </c>
      <c r="J213" s="26" t="n">
        <f aca="false">SUMPRODUCT(($B$194:$B$210=$A213)*J$194:J$210*$C$194:$C$210)</f>
        <v>15089.3339222015</v>
      </c>
      <c r="K213" s="26" t="n">
        <f aca="false">SUMPRODUCT(($B$194:$B$210=$A213)*K$194:K$210*$C$194:$C$210)</f>
        <v>15089.3339222015</v>
      </c>
      <c r="L213" s="26" t="n">
        <f aca="false">SUMPRODUCT(($B$194:$B$210=$A213)*L$194:L$210*$C$194:$C$210)</f>
        <v>15089.3339222015</v>
      </c>
      <c r="M213" s="26" t="n">
        <f aca="false">SUMPRODUCT(($B$194:$B$210=$A213)*M$194:M$210*$C$194:$C$210)</f>
        <v>15089.3339222015</v>
      </c>
      <c r="N213" s="26" t="n">
        <f aca="false">SUMPRODUCT(($B$194:$B$210=$A213)*N$194:N$210*$C$194:$C$210)</f>
        <v>15089.3339222015</v>
      </c>
      <c r="O213" s="26" t="n">
        <f aca="false">SUMPRODUCT(($B$194:$B$210=$A213)*O$194:O$210*$C$194:$C$210)</f>
        <v>15089.3339222015</v>
      </c>
      <c r="P213" s="26" t="n">
        <f aca="false">SUMPRODUCT(($B$194:$B$210=$A213)*P$194:P$210*$C$194:$C$210)</f>
        <v>181072.007066418</v>
      </c>
    </row>
    <row r="214" customFormat="false" ht="15" hidden="false" customHeight="false" outlineLevel="0" collapsed="false">
      <c r="A214" s="4" t="s">
        <v>157</v>
      </c>
      <c r="D214" s="26" t="n">
        <f aca="false">SUMPRODUCT(($B$194:$B$210=$A214)*D$194:D$210*$C$194:$C$210)</f>
        <v>22.1274845513753</v>
      </c>
      <c r="E214" s="26" t="n">
        <f aca="false">SUMPRODUCT(($B$194:$B$210=$A214)*E$194:E$210*$C$194:$C$210)</f>
        <v>22.1274845513753</v>
      </c>
      <c r="F214" s="26" t="n">
        <f aca="false">SUMPRODUCT(($B$194:$B$210=$A214)*F$194:F$210*$C$194:$C$210)</f>
        <v>22.1274845513753</v>
      </c>
      <c r="G214" s="26" t="n">
        <f aca="false">SUMPRODUCT(($B$194:$B$210=$A214)*G$194:G$210*$C$194:$C$210)</f>
        <v>22.1274845513753</v>
      </c>
      <c r="H214" s="26" t="n">
        <f aca="false">SUMPRODUCT(($B$194:$B$210=$A214)*H$194:H$210*$C$194:$C$210)</f>
        <v>22.1274845513753</v>
      </c>
      <c r="I214" s="26" t="n">
        <f aca="false">SUMPRODUCT(($B$194:$B$210=$A214)*I$194:I$210*$C$194:$C$210)</f>
        <v>22.1274845513753</v>
      </c>
      <c r="J214" s="26" t="n">
        <f aca="false">SUMPRODUCT(($B$194:$B$210=$A214)*J$194:J$210*$C$194:$C$210)</f>
        <v>22.1274845513753</v>
      </c>
      <c r="K214" s="26" t="n">
        <f aca="false">SUMPRODUCT(($B$194:$B$210=$A214)*K$194:K$210*$C$194:$C$210)</f>
        <v>22.1274845513753</v>
      </c>
      <c r="L214" s="26" t="n">
        <f aca="false">SUMPRODUCT(($B$194:$B$210=$A214)*L$194:L$210*$C$194:$C$210)</f>
        <v>22.1274845513753</v>
      </c>
      <c r="M214" s="26" t="n">
        <f aca="false">SUMPRODUCT(($B$194:$B$210=$A214)*M$194:M$210*$C$194:$C$210)</f>
        <v>22.1274845513753</v>
      </c>
      <c r="N214" s="26" t="n">
        <f aca="false">SUMPRODUCT(($B$194:$B$210=$A214)*N$194:N$210*$C$194:$C$210)</f>
        <v>22.1274845513753</v>
      </c>
      <c r="O214" s="26" t="n">
        <f aca="false">SUMPRODUCT(($B$194:$B$210=$A214)*O$194:O$210*$C$194:$C$210)</f>
        <v>22.1274845513753</v>
      </c>
      <c r="P214" s="26" t="n">
        <f aca="false">SUMPRODUCT(($B$194:$B$210=$A214)*P$194:P$210*$C$194:$C$210)</f>
        <v>265.529814616504</v>
      </c>
    </row>
    <row r="215" customFormat="false" ht="15" hidden="false" customHeight="false" outlineLevel="0" collapsed="false">
      <c r="A215" s="4" t="s">
        <v>163</v>
      </c>
      <c r="D215" s="26" t="n">
        <f aca="false">SUMPRODUCT(($B$194:$B$210=$A215)*D$194:D$210*$C$194:$C$210)</f>
        <v>19.7296561292531</v>
      </c>
      <c r="E215" s="26" t="n">
        <f aca="false">SUMPRODUCT(($B$194:$B$210=$A215)*E$194:E$210*$C$194:$C$210)</f>
        <v>19.7296561292531</v>
      </c>
      <c r="F215" s="26" t="n">
        <f aca="false">SUMPRODUCT(($B$194:$B$210=$A215)*F$194:F$210*$C$194:$C$210)</f>
        <v>19.7296561292531</v>
      </c>
      <c r="G215" s="26" t="n">
        <f aca="false">SUMPRODUCT(($B$194:$B$210=$A215)*G$194:G$210*$C$194:$C$210)</f>
        <v>19.7296561292531</v>
      </c>
      <c r="H215" s="26" t="n">
        <f aca="false">SUMPRODUCT(($B$194:$B$210=$A215)*H$194:H$210*$C$194:$C$210)</f>
        <v>19.7296561292531</v>
      </c>
      <c r="I215" s="26" t="n">
        <f aca="false">SUMPRODUCT(($B$194:$B$210=$A215)*I$194:I$210*$C$194:$C$210)</f>
        <v>19.7296561292531</v>
      </c>
      <c r="J215" s="26" t="n">
        <f aca="false">SUMPRODUCT(($B$194:$B$210=$A215)*J$194:J$210*$C$194:$C$210)</f>
        <v>19.7296561292531</v>
      </c>
      <c r="K215" s="26" t="n">
        <f aca="false">SUMPRODUCT(($B$194:$B$210=$A215)*K$194:K$210*$C$194:$C$210)</f>
        <v>19.7296561292531</v>
      </c>
      <c r="L215" s="26" t="n">
        <f aca="false">SUMPRODUCT(($B$194:$B$210=$A215)*L$194:L$210*$C$194:$C$210)</f>
        <v>19.7296561292531</v>
      </c>
      <c r="M215" s="26" t="n">
        <f aca="false">SUMPRODUCT(($B$194:$B$210=$A215)*M$194:M$210*$C$194:$C$210)</f>
        <v>19.7296561292531</v>
      </c>
      <c r="N215" s="26" t="n">
        <f aca="false">SUMPRODUCT(($B$194:$B$210=$A215)*N$194:N$210*$C$194:$C$210)</f>
        <v>19.7296561292531</v>
      </c>
      <c r="O215" s="26" t="n">
        <f aca="false">SUMPRODUCT(($B$194:$B$210=$A215)*O$194:O$210*$C$194:$C$210)</f>
        <v>19.7296561292531</v>
      </c>
      <c r="P215" s="26" t="n">
        <f aca="false">SUMPRODUCT(($B$194:$B$210=$A215)*P$194:P$210*$C$194:$C$210)</f>
        <v>236.755873551037</v>
      </c>
    </row>
    <row r="216" customFormat="false" ht="15" hidden="false" customHeight="false" outlineLevel="0" collapsed="false">
      <c r="A216" s="4" t="s">
        <v>154</v>
      </c>
      <c r="D216" s="26" t="n">
        <f aca="false">SUMPRODUCT(($B$194:$B$210=$A216)*D$194:D$210*$C$194:$C$210)</f>
        <v>391.849352262421</v>
      </c>
      <c r="E216" s="26" t="n">
        <f aca="false">SUMPRODUCT(($B$194:$B$210=$A216)*E$194:E$210*$C$194:$C$210)</f>
        <v>391.849352262421</v>
      </c>
      <c r="F216" s="26" t="n">
        <f aca="false">SUMPRODUCT(($B$194:$B$210=$A216)*F$194:F$210*$C$194:$C$210)</f>
        <v>391.849352262421</v>
      </c>
      <c r="G216" s="26" t="n">
        <f aca="false">SUMPRODUCT(($B$194:$B$210=$A216)*G$194:G$210*$C$194:$C$210)</f>
        <v>391.849352262421</v>
      </c>
      <c r="H216" s="26" t="n">
        <f aca="false">SUMPRODUCT(($B$194:$B$210=$A216)*H$194:H$210*$C$194:$C$210)</f>
        <v>391.849352262421</v>
      </c>
      <c r="I216" s="26" t="n">
        <f aca="false">SUMPRODUCT(($B$194:$B$210=$A216)*I$194:I$210*$C$194:$C$210)</f>
        <v>391.849352262421</v>
      </c>
      <c r="J216" s="26" t="n">
        <f aca="false">SUMPRODUCT(($B$194:$B$210=$A216)*J$194:J$210*$C$194:$C$210)</f>
        <v>391.849352262421</v>
      </c>
      <c r="K216" s="26" t="n">
        <f aca="false">SUMPRODUCT(($B$194:$B$210=$A216)*K$194:K$210*$C$194:$C$210)</f>
        <v>391.849352262421</v>
      </c>
      <c r="L216" s="26" t="n">
        <f aca="false">SUMPRODUCT(($B$194:$B$210=$A216)*L$194:L$210*$C$194:$C$210)</f>
        <v>391.849352262421</v>
      </c>
      <c r="M216" s="26" t="n">
        <f aca="false">SUMPRODUCT(($B$194:$B$210=$A216)*M$194:M$210*$C$194:$C$210)</f>
        <v>391.849352262421</v>
      </c>
      <c r="N216" s="26" t="n">
        <f aca="false">SUMPRODUCT(($B$194:$B$210=$A216)*N$194:N$210*$C$194:$C$210)</f>
        <v>391.849352262421</v>
      </c>
      <c r="O216" s="26" t="n">
        <f aca="false">SUMPRODUCT(($B$194:$B$210=$A216)*O$194:O$210*$C$194:$C$210)</f>
        <v>391.849352262421</v>
      </c>
      <c r="P216" s="26" t="n">
        <f aca="false">SUMPRODUCT(($B$194:$B$210=$A216)*P$194:P$210*$C$194:$C$210)</f>
        <v>4702.19222714906</v>
      </c>
    </row>
    <row r="217" customFormat="false" ht="15" hidden="false" customHeight="false" outlineLevel="0" collapsed="false">
      <c r="A217" s="4" t="s">
        <v>155</v>
      </c>
      <c r="D217" s="26" t="n">
        <f aca="false">SUMPRODUCT(($B$194:$B$210=$A217)*D$194:D$210*$C$194:$C$210)</f>
        <v>184.812818916356</v>
      </c>
      <c r="E217" s="26" t="n">
        <f aca="false">SUMPRODUCT(($B$194:$B$210=$A217)*E$194:E$210*$C$194:$C$210)</f>
        <v>184.812818916356</v>
      </c>
      <c r="F217" s="26" t="n">
        <f aca="false">SUMPRODUCT(($B$194:$B$210=$A217)*F$194:F$210*$C$194:$C$210)</f>
        <v>184.812818916356</v>
      </c>
      <c r="G217" s="26" t="n">
        <f aca="false">SUMPRODUCT(($B$194:$B$210=$A217)*G$194:G$210*$C$194:$C$210)</f>
        <v>184.812818916356</v>
      </c>
      <c r="H217" s="26" t="n">
        <f aca="false">SUMPRODUCT(($B$194:$B$210=$A217)*H$194:H$210*$C$194:$C$210)</f>
        <v>184.812818916356</v>
      </c>
      <c r="I217" s="26" t="n">
        <f aca="false">SUMPRODUCT(($B$194:$B$210=$A217)*I$194:I$210*$C$194:$C$210)</f>
        <v>184.812818916356</v>
      </c>
      <c r="J217" s="26" t="n">
        <f aca="false">SUMPRODUCT(($B$194:$B$210=$A217)*J$194:J$210*$C$194:$C$210)</f>
        <v>184.812818916356</v>
      </c>
      <c r="K217" s="26" t="n">
        <f aca="false">SUMPRODUCT(($B$194:$B$210=$A217)*K$194:K$210*$C$194:$C$210)</f>
        <v>184.812818916356</v>
      </c>
      <c r="L217" s="26" t="n">
        <f aca="false">SUMPRODUCT(($B$194:$B$210=$A217)*L$194:L$210*$C$194:$C$210)</f>
        <v>184.812818916356</v>
      </c>
      <c r="M217" s="26" t="n">
        <f aca="false">SUMPRODUCT(($B$194:$B$210=$A217)*M$194:M$210*$C$194:$C$210)</f>
        <v>184.812818916356</v>
      </c>
      <c r="N217" s="26" t="n">
        <f aca="false">SUMPRODUCT(($B$194:$B$210=$A217)*N$194:N$210*$C$194:$C$210)</f>
        <v>184.812818916356</v>
      </c>
      <c r="O217" s="26" t="n">
        <f aca="false">SUMPRODUCT(($B$194:$B$210=$A217)*O$194:O$210*$C$194:$C$210)</f>
        <v>184.812818916356</v>
      </c>
      <c r="P217" s="26" t="n">
        <f aca="false">SUMPRODUCT(($B$194:$B$210=$A217)*P$194:P$210*$C$194:$C$210)</f>
        <v>2217.75382699627</v>
      </c>
    </row>
    <row r="218" customFormat="false" ht="15" hidden="false" customHeight="false" outlineLevel="0" collapsed="false">
      <c r="A218" s="4" t="s">
        <v>158</v>
      </c>
      <c r="D218" s="26" t="n">
        <f aca="false">SUMPRODUCT(($B$194:$B$210=$A218)*D$194:D$210*$C$194:$C$210)</f>
        <v>191.641285408918</v>
      </c>
      <c r="E218" s="26" t="n">
        <f aca="false">SUMPRODUCT(($B$194:$B$210=$A218)*E$194:E$210*$C$194:$C$210)</f>
        <v>191.641285408918</v>
      </c>
      <c r="F218" s="26" t="n">
        <f aca="false">SUMPRODUCT(($B$194:$B$210=$A218)*F$194:F$210*$C$194:$C$210)</f>
        <v>191.641285408918</v>
      </c>
      <c r="G218" s="26" t="n">
        <f aca="false">SUMPRODUCT(($B$194:$B$210=$A218)*G$194:G$210*$C$194:$C$210)</f>
        <v>191.641285408918</v>
      </c>
      <c r="H218" s="26" t="n">
        <f aca="false">SUMPRODUCT(($B$194:$B$210=$A218)*H$194:H$210*$C$194:$C$210)</f>
        <v>191.641285408918</v>
      </c>
      <c r="I218" s="26" t="n">
        <f aca="false">SUMPRODUCT(($B$194:$B$210=$A218)*I$194:I$210*$C$194:$C$210)</f>
        <v>191.641285408918</v>
      </c>
      <c r="J218" s="26" t="n">
        <f aca="false">SUMPRODUCT(($B$194:$B$210=$A218)*J$194:J$210*$C$194:$C$210)</f>
        <v>191.641285408918</v>
      </c>
      <c r="K218" s="26" t="n">
        <f aca="false">SUMPRODUCT(($B$194:$B$210=$A218)*K$194:K$210*$C$194:$C$210)</f>
        <v>191.641285408918</v>
      </c>
      <c r="L218" s="26" t="n">
        <f aca="false">SUMPRODUCT(($B$194:$B$210=$A218)*L$194:L$210*$C$194:$C$210)</f>
        <v>191.641285408918</v>
      </c>
      <c r="M218" s="26" t="n">
        <f aca="false">SUMPRODUCT(($B$194:$B$210=$A218)*M$194:M$210*$C$194:$C$210)</f>
        <v>191.641285408918</v>
      </c>
      <c r="N218" s="26" t="n">
        <f aca="false">SUMPRODUCT(($B$194:$B$210=$A218)*N$194:N$210*$C$194:$C$210)</f>
        <v>191.641285408918</v>
      </c>
      <c r="O218" s="26" t="n">
        <f aca="false">SUMPRODUCT(($B$194:$B$210=$A218)*O$194:O$210*$C$194:$C$210)</f>
        <v>191.641285408918</v>
      </c>
      <c r="P218" s="26" t="n">
        <f aca="false">SUMPRODUCT(($B$194:$B$210=$A218)*P$194:P$210*$C$194:$C$210)</f>
        <v>2299.69542490701</v>
      </c>
    </row>
    <row r="219" customFormat="false" ht="15" hidden="false" customHeight="false" outlineLevel="0" collapsed="false">
      <c r="A219" s="4" t="s">
        <v>159</v>
      </c>
      <c r="D219" s="26" t="n">
        <f aca="false">SUMPRODUCT(($B$194:$B$210=$A219)*D$194:D$210*$C$194:$C$210)</f>
        <v>1414.24219493015</v>
      </c>
      <c r="E219" s="26" t="n">
        <f aca="false">SUMPRODUCT(($B$194:$B$210=$A219)*E$194:E$210*$C$194:$C$210)</f>
        <v>1414.24219493015</v>
      </c>
      <c r="F219" s="26" t="n">
        <f aca="false">SUMPRODUCT(($B$194:$B$210=$A219)*F$194:F$210*$C$194:$C$210)</f>
        <v>1414.24219493015</v>
      </c>
      <c r="G219" s="26" t="n">
        <f aca="false">SUMPRODUCT(($B$194:$B$210=$A219)*G$194:G$210*$C$194:$C$210)</f>
        <v>1414.24219493015</v>
      </c>
      <c r="H219" s="26" t="n">
        <f aca="false">SUMPRODUCT(($B$194:$B$210=$A219)*H$194:H$210*$C$194:$C$210)</f>
        <v>1414.24219493015</v>
      </c>
      <c r="I219" s="26" t="n">
        <f aca="false">SUMPRODUCT(($B$194:$B$210=$A219)*I$194:I$210*$C$194:$C$210)</f>
        <v>1414.24219493015</v>
      </c>
      <c r="J219" s="26" t="n">
        <f aca="false">SUMPRODUCT(($B$194:$B$210=$A219)*J$194:J$210*$C$194:$C$210)</f>
        <v>1414.24219493015</v>
      </c>
      <c r="K219" s="26" t="n">
        <f aca="false">SUMPRODUCT(($B$194:$B$210=$A219)*K$194:K$210*$C$194:$C$210)</f>
        <v>1414.24219493015</v>
      </c>
      <c r="L219" s="26" t="n">
        <f aca="false">SUMPRODUCT(($B$194:$B$210=$A219)*L$194:L$210*$C$194:$C$210)</f>
        <v>1414.24219493015</v>
      </c>
      <c r="M219" s="26" t="n">
        <f aca="false">SUMPRODUCT(($B$194:$B$210=$A219)*M$194:M$210*$C$194:$C$210)</f>
        <v>1414.24219493015</v>
      </c>
      <c r="N219" s="26" t="n">
        <f aca="false">SUMPRODUCT(($B$194:$B$210=$A219)*N$194:N$210*$C$194:$C$210)</f>
        <v>1414.24219493015</v>
      </c>
      <c r="O219" s="26" t="n">
        <f aca="false">SUMPRODUCT(($B$194:$B$210=$A219)*O$194:O$210*$C$194:$C$210)</f>
        <v>1414.24219493015</v>
      </c>
      <c r="P219" s="26" t="n">
        <f aca="false">SUMPRODUCT(($B$194:$B$210=$A219)*P$194:P$210*$C$194:$C$210)</f>
        <v>16970.9063391618</v>
      </c>
    </row>
    <row r="220" customFormat="false" ht="15" hidden="false" customHeight="false" outlineLevel="0" collapsed="false">
      <c r="A220" s="4" t="s">
        <v>162</v>
      </c>
      <c r="D220" s="26" t="n">
        <f aca="false">SUMPRODUCT(($B$194:$B$210=$A220)*D$194:D$210*$C$194:$C$210)</f>
        <v>56.6257426698489</v>
      </c>
      <c r="E220" s="26" t="n">
        <f aca="false">SUMPRODUCT(($B$194:$B$210=$A220)*E$194:E$210*$C$194:$C$210)</f>
        <v>56.6257426698489</v>
      </c>
      <c r="F220" s="26" t="n">
        <f aca="false">SUMPRODUCT(($B$194:$B$210=$A220)*F$194:F$210*$C$194:$C$210)</f>
        <v>56.6257426698489</v>
      </c>
      <c r="G220" s="26" t="n">
        <f aca="false">SUMPRODUCT(($B$194:$B$210=$A220)*G$194:G$210*$C$194:$C$210)</f>
        <v>56.6257426698489</v>
      </c>
      <c r="H220" s="26" t="n">
        <f aca="false">SUMPRODUCT(($B$194:$B$210=$A220)*H$194:H$210*$C$194:$C$210)</f>
        <v>56.6257426698489</v>
      </c>
      <c r="I220" s="26" t="n">
        <f aca="false">SUMPRODUCT(($B$194:$B$210=$A220)*I$194:I$210*$C$194:$C$210)</f>
        <v>56.6257426698489</v>
      </c>
      <c r="J220" s="26" t="n">
        <f aca="false">SUMPRODUCT(($B$194:$B$210=$A220)*J$194:J$210*$C$194:$C$210)</f>
        <v>56.6257426698489</v>
      </c>
      <c r="K220" s="26" t="n">
        <f aca="false">SUMPRODUCT(($B$194:$B$210=$A220)*K$194:K$210*$C$194:$C$210)</f>
        <v>56.6257426698489</v>
      </c>
      <c r="L220" s="26" t="n">
        <f aca="false">SUMPRODUCT(($B$194:$B$210=$A220)*L$194:L$210*$C$194:$C$210)</f>
        <v>56.6257426698489</v>
      </c>
      <c r="M220" s="26" t="n">
        <f aca="false">SUMPRODUCT(($B$194:$B$210=$A220)*M$194:M$210*$C$194:$C$210)</f>
        <v>56.6257426698489</v>
      </c>
      <c r="N220" s="26" t="n">
        <f aca="false">SUMPRODUCT(($B$194:$B$210=$A220)*N$194:N$210*$C$194:$C$210)</f>
        <v>56.6257426698489</v>
      </c>
      <c r="O220" s="26" t="n">
        <f aca="false">SUMPRODUCT(($B$194:$B$210=$A220)*O$194:O$210*$C$194:$C$210)</f>
        <v>56.6257426698489</v>
      </c>
      <c r="P220" s="26" t="n">
        <f aca="false">SUMPRODUCT(($B$194:$B$210=$A220)*P$194:P$210*$C$194:$C$210)</f>
        <v>679.508912038187</v>
      </c>
    </row>
    <row r="221" customFormat="false" ht="15" hidden="false" customHeight="false" outlineLevel="0" collapsed="false">
      <c r="A221" s="6" t="s">
        <v>312</v>
      </c>
      <c r="D221" s="27" t="n">
        <f aca="false">SUMPRODUCT(D$194:D$210*parametros_recargas!$D$51:$D$67)</f>
        <v>578.536484264516</v>
      </c>
      <c r="E221" s="27" t="n">
        <f aca="false">SUMPRODUCT(E$194:E$210*parametros_recargas!$D$51:$D$67)</f>
        <v>578.536484264516</v>
      </c>
      <c r="F221" s="27" t="n">
        <f aca="false">SUMPRODUCT(F$194:F$210*parametros_recargas!$D$51:$D$67)</f>
        <v>578.536484264516</v>
      </c>
      <c r="G221" s="27" t="n">
        <f aca="false">SUMPRODUCT(G$194:G$210*parametros_recargas!$D$51:$D$67)</f>
        <v>578.536484264516</v>
      </c>
      <c r="H221" s="27" t="n">
        <f aca="false">SUMPRODUCT(H$194:H$210*parametros_recargas!$D$51:$D$67)</f>
        <v>578.536484264516</v>
      </c>
      <c r="I221" s="27" t="n">
        <f aca="false">SUMPRODUCT(I$194:I$210*parametros_recargas!$D$51:$D$67)</f>
        <v>578.536484264516</v>
      </c>
      <c r="J221" s="27" t="n">
        <f aca="false">SUMPRODUCT(J$194:J$210*parametros_recargas!$D$51:$D$67)</f>
        <v>578.536484264516</v>
      </c>
      <c r="K221" s="27" t="n">
        <f aca="false">SUMPRODUCT(K$194:K$210*parametros_recargas!$D$51:$D$67)</f>
        <v>578.536484264516</v>
      </c>
      <c r="L221" s="27" t="n">
        <f aca="false">SUMPRODUCT(L$194:L$210*parametros_recargas!$D$51:$D$67)</f>
        <v>578.536484264516</v>
      </c>
      <c r="M221" s="27" t="n">
        <f aca="false">SUMPRODUCT(M$194:M$210*parametros_recargas!$D$51:$D$67)</f>
        <v>578.536484264516</v>
      </c>
      <c r="N221" s="27" t="n">
        <f aca="false">SUMPRODUCT(N$194:N$210*parametros_recargas!$D$51:$D$67)</f>
        <v>578.536484264516</v>
      </c>
      <c r="O221" s="27" t="n">
        <f aca="false">SUMPRODUCT(O$194:O$210*parametros_recargas!$D$51:$D$67)</f>
        <v>578.536484264516</v>
      </c>
      <c r="P221" s="27" t="n">
        <f aca="false">SUMPRODUCT(P$194:P$210*parametros_recargas!$D$51:$D$67)</f>
        <v>6942.43781117419</v>
      </c>
    </row>
    <row r="225" customFormat="false" ht="23.85" hidden="false" customHeight="false" outlineLevel="0" collapsed="false">
      <c r="A225" s="28" t="n">
        <v>2033</v>
      </c>
      <c r="B225" s="3" t="s">
        <v>307</v>
      </c>
      <c r="C225" s="3" t="s">
        <v>308</v>
      </c>
      <c r="D225" s="3" t="s">
        <v>133</v>
      </c>
      <c r="E225" s="3" t="s">
        <v>134</v>
      </c>
      <c r="F225" s="3" t="s">
        <v>135</v>
      </c>
      <c r="G225" s="3" t="s">
        <v>136</v>
      </c>
      <c r="H225" s="3" t="s">
        <v>137</v>
      </c>
      <c r="I225" s="3" t="s">
        <v>138</v>
      </c>
      <c r="J225" s="3" t="s">
        <v>139</v>
      </c>
      <c r="K225" s="3" t="s">
        <v>140</v>
      </c>
      <c r="L225" s="3" t="s">
        <v>141</v>
      </c>
      <c r="M225" s="3" t="s">
        <v>142</v>
      </c>
      <c r="N225" s="3" t="s">
        <v>143</v>
      </c>
      <c r="O225" s="3" t="s">
        <v>144</v>
      </c>
      <c r="P225" s="3" t="s">
        <v>67</v>
      </c>
      <c r="Q225" s="3" t="s">
        <v>309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5" t="n">
        <f aca="false">parametros_recargas!C51</f>
        <v>1</v>
      </c>
      <c r="D226" s="26" t="n">
        <f aca="false">datos_base!$I$2*parametros_recargas!$B$44+sobrestock_sustitutos!$I$88/12</f>
        <v>10166.6138939358</v>
      </c>
      <c r="E226" s="26" t="n">
        <f aca="false">datos_base!$I$2*parametros_recargas!$C$44+sobrestock_sustitutos!$I$88/12</f>
        <v>10166.6138939358</v>
      </c>
      <c r="F226" s="26" t="n">
        <f aca="false">datos_base!$I$2*parametros_recargas!$D$44+sobrestock_sustitutos!$I$88/12</f>
        <v>10166.6138939358</v>
      </c>
      <c r="G226" s="26" t="n">
        <f aca="false">datos_base!$I$2*parametros_recargas!$E$44+sobrestock_sustitutos!$I$88/12</f>
        <v>10166.6138939358</v>
      </c>
      <c r="H226" s="26" t="n">
        <f aca="false">datos_base!$I$2*parametros_recargas!$F$44+sobrestock_sustitutos!$I$88/12</f>
        <v>10166.6138939358</v>
      </c>
      <c r="I226" s="26" t="n">
        <f aca="false">datos_base!$I$2*parametros_recargas!$G$44+sobrestock_sustitutos!$I$88/12</f>
        <v>10166.6138939358</v>
      </c>
      <c r="J226" s="26" t="n">
        <f aca="false">datos_base!$I$2*parametros_recargas!$H$44+sobrestock_sustitutos!$I$88/12</f>
        <v>10166.6138939358</v>
      </c>
      <c r="K226" s="26" t="n">
        <f aca="false">datos_base!$I$2*parametros_recargas!$I$44+sobrestock_sustitutos!$I$88/12</f>
        <v>10166.6138939358</v>
      </c>
      <c r="L226" s="26" t="n">
        <f aca="false">datos_base!$I$2*parametros_recargas!$J$44+sobrestock_sustitutos!$I$88/12</f>
        <v>10166.6138939358</v>
      </c>
      <c r="M226" s="26" t="n">
        <f aca="false">datos_base!$I$2*parametros_recargas!$K$44+sobrestock_sustitutos!$I$88/12</f>
        <v>10166.6138939358</v>
      </c>
      <c r="N226" s="26" t="n">
        <f aca="false">datos_base!$I$2*parametros_recargas!$L$44+sobrestock_sustitutos!$I$88/12</f>
        <v>10166.6138939358</v>
      </c>
      <c r="O226" s="26" t="n">
        <f aca="false">datos_base!$I$2*parametros_recargas!$M$44+sobrestock_sustitutos!$I$88/12</f>
        <v>10166.6138939358</v>
      </c>
      <c r="P226" s="7" t="n">
        <f aca="false">SUM(D226:O226)</f>
        <v>121999.36672723</v>
      </c>
      <c r="Q226" s="13" t="n">
        <f aca="false">sobrestock_sustitutos!$I$88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5" t="n">
        <f aca="false">parametros_recargas!C52</f>
        <v>1</v>
      </c>
      <c r="D227" s="26" t="n">
        <f aca="false">datos_base!$I$3*parametros_recargas!$B$44+sobrestock_sustitutos!$I$89/12</f>
        <v>855.494278432625</v>
      </c>
      <c r="E227" s="26" t="n">
        <f aca="false">datos_base!$I$3*parametros_recargas!$C$44+sobrestock_sustitutos!$I$89/12</f>
        <v>855.494278432625</v>
      </c>
      <c r="F227" s="26" t="n">
        <f aca="false">datos_base!$I$3*parametros_recargas!$D$44+sobrestock_sustitutos!$I$89/12</f>
        <v>855.494278432625</v>
      </c>
      <c r="G227" s="26" t="n">
        <f aca="false">datos_base!$I$3*parametros_recargas!$E$44+sobrestock_sustitutos!$I$89/12</f>
        <v>855.494278432625</v>
      </c>
      <c r="H227" s="26" t="n">
        <f aca="false">datos_base!$I$3*parametros_recargas!$F$44+sobrestock_sustitutos!$I$89/12</f>
        <v>855.494278432625</v>
      </c>
      <c r="I227" s="26" t="n">
        <f aca="false">datos_base!$I$3*parametros_recargas!$G$44+sobrestock_sustitutos!$I$89/12</f>
        <v>855.494278432625</v>
      </c>
      <c r="J227" s="26" t="n">
        <f aca="false">datos_base!$I$3*parametros_recargas!$H$44+sobrestock_sustitutos!$I$89/12</f>
        <v>855.494278432625</v>
      </c>
      <c r="K227" s="26" t="n">
        <f aca="false">datos_base!$I$3*parametros_recargas!$I$44+sobrestock_sustitutos!$I$89/12</f>
        <v>855.494278432625</v>
      </c>
      <c r="L227" s="26" t="n">
        <f aca="false">datos_base!$I$3*parametros_recargas!$J$44+sobrestock_sustitutos!$I$89/12</f>
        <v>855.494278432625</v>
      </c>
      <c r="M227" s="26" t="n">
        <f aca="false">datos_base!$I$3*parametros_recargas!$K$44+sobrestock_sustitutos!$I$89/12</f>
        <v>855.494278432625</v>
      </c>
      <c r="N227" s="26" t="n">
        <f aca="false">datos_base!$I$3*parametros_recargas!$L$44+sobrestock_sustitutos!$I$89/12</f>
        <v>855.494278432625</v>
      </c>
      <c r="O227" s="26" t="n">
        <f aca="false">datos_base!$I$3*parametros_recargas!$M$44+sobrestock_sustitutos!$I$89/12</f>
        <v>855.494278432625</v>
      </c>
      <c r="P227" s="7" t="n">
        <f aca="false">SUM(D227:O227)</f>
        <v>10265.9313411915</v>
      </c>
      <c r="Q227" s="13" t="n">
        <f aca="false">sobrestock_sustitutos!$I$89</f>
        <v>114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5" t="n">
        <f aca="false">parametros_recargas!C53</f>
        <v>1</v>
      </c>
      <c r="D228" s="26" t="n">
        <f aca="false">datos_base!$I$4*parametros_recargas!$B$44+sobrestock_sustitutos!$I$90/12</f>
        <v>5232.77192829492</v>
      </c>
      <c r="E228" s="26" t="n">
        <f aca="false">datos_base!$I$4*parametros_recargas!$C$44+sobrestock_sustitutos!$I$90/12</f>
        <v>5232.77192829492</v>
      </c>
      <c r="F228" s="26" t="n">
        <f aca="false">datos_base!$I$4*parametros_recargas!$D$44+sobrestock_sustitutos!$I$90/12</f>
        <v>5232.77192829492</v>
      </c>
      <c r="G228" s="26" t="n">
        <f aca="false">datos_base!$I$4*parametros_recargas!$E$44+sobrestock_sustitutos!$I$90/12</f>
        <v>5232.77192829492</v>
      </c>
      <c r="H228" s="26" t="n">
        <f aca="false">datos_base!$I$4*parametros_recargas!$F$44+sobrestock_sustitutos!$I$90/12</f>
        <v>5232.77192829492</v>
      </c>
      <c r="I228" s="26" t="n">
        <f aca="false">datos_base!$I$4*parametros_recargas!$G$44+sobrestock_sustitutos!$I$90/12</f>
        <v>5232.77192829492</v>
      </c>
      <c r="J228" s="26" t="n">
        <f aca="false">datos_base!$I$4*parametros_recargas!$H$44+sobrestock_sustitutos!$I$90/12</f>
        <v>5232.77192829492</v>
      </c>
      <c r="K228" s="26" t="n">
        <f aca="false">datos_base!$I$4*parametros_recargas!$I$44+sobrestock_sustitutos!$I$90/12</f>
        <v>5232.77192829492</v>
      </c>
      <c r="L228" s="26" t="n">
        <f aca="false">datos_base!$I$4*parametros_recargas!$J$44+sobrestock_sustitutos!$I$90/12</f>
        <v>5232.77192829492</v>
      </c>
      <c r="M228" s="26" t="n">
        <f aca="false">datos_base!$I$4*parametros_recargas!$K$44+sobrestock_sustitutos!$I$90/12</f>
        <v>5232.77192829492</v>
      </c>
      <c r="N228" s="26" t="n">
        <f aca="false">datos_base!$I$4*parametros_recargas!$L$44+sobrestock_sustitutos!$I$90/12</f>
        <v>5232.77192829492</v>
      </c>
      <c r="O228" s="26" t="n">
        <f aca="false">datos_base!$I$4*parametros_recargas!$M$44+sobrestock_sustitutos!$I$90/12</f>
        <v>5232.77192829492</v>
      </c>
      <c r="P228" s="7" t="n">
        <f aca="false">SUM(D228:O228)</f>
        <v>62793.263139539</v>
      </c>
      <c r="Q228" s="13" t="n">
        <f aca="false">sobrestock_sustitutos!$I$90</f>
        <v>701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5" t="n">
        <f aca="false">parametros_recargas!C54</f>
        <v>1</v>
      </c>
      <c r="D229" s="26" t="n">
        <f aca="false">datos_base!$I$5*parametros_recargas!$B$44+sobrestock_sustitutos!$I$91/12</f>
        <v>309.8260789323</v>
      </c>
      <c r="E229" s="26" t="n">
        <f aca="false">datos_base!$I$5*parametros_recargas!$C$44+sobrestock_sustitutos!$I$91/12</f>
        <v>309.8260789323</v>
      </c>
      <c r="F229" s="26" t="n">
        <f aca="false">datos_base!$I$5*parametros_recargas!$D$44+sobrestock_sustitutos!$I$91/12</f>
        <v>309.8260789323</v>
      </c>
      <c r="G229" s="26" t="n">
        <f aca="false">datos_base!$I$5*parametros_recargas!$E$44+sobrestock_sustitutos!$I$91/12</f>
        <v>309.8260789323</v>
      </c>
      <c r="H229" s="26" t="n">
        <f aca="false">datos_base!$I$5*parametros_recargas!$F$44+sobrestock_sustitutos!$I$91/12</f>
        <v>309.8260789323</v>
      </c>
      <c r="I229" s="26" t="n">
        <f aca="false">datos_base!$I$5*parametros_recargas!$G$44+sobrestock_sustitutos!$I$91/12</f>
        <v>309.8260789323</v>
      </c>
      <c r="J229" s="26" t="n">
        <f aca="false">datos_base!$I$5*parametros_recargas!$H$44+sobrestock_sustitutos!$I$91/12</f>
        <v>309.8260789323</v>
      </c>
      <c r="K229" s="26" t="n">
        <f aca="false">datos_base!$I$5*parametros_recargas!$I$44+sobrestock_sustitutos!$I$91/12</f>
        <v>309.8260789323</v>
      </c>
      <c r="L229" s="26" t="n">
        <f aca="false">datos_base!$I$5*parametros_recargas!$J$44+sobrestock_sustitutos!$I$91/12</f>
        <v>309.8260789323</v>
      </c>
      <c r="M229" s="26" t="n">
        <f aca="false">datos_base!$I$5*parametros_recargas!$K$44+sobrestock_sustitutos!$I$91/12</f>
        <v>309.8260789323</v>
      </c>
      <c r="N229" s="26" t="n">
        <f aca="false">datos_base!$I$5*parametros_recargas!$L$44+sobrestock_sustitutos!$I$91/12</f>
        <v>309.8260789323</v>
      </c>
      <c r="O229" s="26" t="n">
        <f aca="false">datos_base!$I$5*parametros_recargas!$M$44+sobrestock_sustitutos!$I$91/12</f>
        <v>309.8260789323</v>
      </c>
      <c r="P229" s="7" t="n">
        <f aca="false">SUM(D229:O229)</f>
        <v>3717.9129471876</v>
      </c>
      <c r="Q229" s="13" t="n">
        <f aca="false">sobrestock_sustitutos!$I$91</f>
        <v>42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5" t="n">
        <f aca="false">parametros_recargas!C55</f>
        <v>1</v>
      </c>
      <c r="D230" s="26" t="n">
        <f aca="false">datos_base!$I$6*parametros_recargas!$B$44+sobrestock_sustitutos!$I$92/12</f>
        <v>436.116021650538</v>
      </c>
      <c r="E230" s="26" t="n">
        <f aca="false">datos_base!$I$6*parametros_recargas!$C$44+sobrestock_sustitutos!$I$92/12</f>
        <v>436.116021650538</v>
      </c>
      <c r="F230" s="26" t="n">
        <f aca="false">datos_base!$I$6*parametros_recargas!$D$44+sobrestock_sustitutos!$I$92/12</f>
        <v>436.116021650538</v>
      </c>
      <c r="G230" s="26" t="n">
        <f aca="false">datos_base!$I$6*parametros_recargas!$E$44+sobrestock_sustitutos!$I$92/12</f>
        <v>436.116021650538</v>
      </c>
      <c r="H230" s="26" t="n">
        <f aca="false">datos_base!$I$6*parametros_recargas!$F$44+sobrestock_sustitutos!$I$92/12</f>
        <v>436.116021650538</v>
      </c>
      <c r="I230" s="26" t="n">
        <f aca="false">datos_base!$I$6*parametros_recargas!$G$44+sobrestock_sustitutos!$I$92/12</f>
        <v>436.116021650538</v>
      </c>
      <c r="J230" s="26" t="n">
        <f aca="false">datos_base!$I$6*parametros_recargas!$H$44+sobrestock_sustitutos!$I$92/12</f>
        <v>436.116021650538</v>
      </c>
      <c r="K230" s="26" t="n">
        <f aca="false">datos_base!$I$6*parametros_recargas!$I$44+sobrestock_sustitutos!$I$92/12</f>
        <v>436.116021650538</v>
      </c>
      <c r="L230" s="26" t="n">
        <f aca="false">datos_base!$I$6*parametros_recargas!$J$44+sobrestock_sustitutos!$I$92/12</f>
        <v>436.116021650538</v>
      </c>
      <c r="M230" s="26" t="n">
        <f aca="false">datos_base!$I$6*parametros_recargas!$K$44+sobrestock_sustitutos!$I$92/12</f>
        <v>436.116021650538</v>
      </c>
      <c r="N230" s="26" t="n">
        <f aca="false">datos_base!$I$6*parametros_recargas!$L$44+sobrestock_sustitutos!$I$92/12</f>
        <v>436.116021650538</v>
      </c>
      <c r="O230" s="26" t="n">
        <f aca="false">datos_base!$I$6*parametros_recargas!$M$44+sobrestock_sustitutos!$I$92/12</f>
        <v>436.116021650538</v>
      </c>
      <c r="P230" s="7" t="n">
        <f aca="false">SUM(D230:O230)</f>
        <v>5233.39225980645</v>
      </c>
      <c r="Q230" s="13" t="n">
        <f aca="false">sobrestock_sustitutos!$I$92</f>
        <v>59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5" t="n">
        <f aca="false">parametros_recargas!C56</f>
        <v>1</v>
      </c>
      <c r="D231" s="26" t="n">
        <f aca="false">datos_base!$I$7*parametros_recargas!$B$44+sobrestock_sustitutos!$I$93/12</f>
        <v>81.0859807719304</v>
      </c>
      <c r="E231" s="26" t="n">
        <f aca="false">datos_base!$I$7*parametros_recargas!$C$44+sobrestock_sustitutos!$I$93/12</f>
        <v>81.0859807719304</v>
      </c>
      <c r="F231" s="26" t="n">
        <f aca="false">datos_base!$I$7*parametros_recargas!$D$44+sobrestock_sustitutos!$I$93/12</f>
        <v>81.0859807719304</v>
      </c>
      <c r="G231" s="26" t="n">
        <f aca="false">datos_base!$I$7*parametros_recargas!$E$44+sobrestock_sustitutos!$I$93/12</f>
        <v>81.0859807719304</v>
      </c>
      <c r="H231" s="26" t="n">
        <f aca="false">datos_base!$I$7*parametros_recargas!$F$44+sobrestock_sustitutos!$I$93/12</f>
        <v>81.0859807719304</v>
      </c>
      <c r="I231" s="26" t="n">
        <f aca="false">datos_base!$I$7*parametros_recargas!$G$44+sobrestock_sustitutos!$I$93/12</f>
        <v>81.0859807719304</v>
      </c>
      <c r="J231" s="26" t="n">
        <f aca="false">datos_base!$I$7*parametros_recargas!$H$44+sobrestock_sustitutos!$I$93/12</f>
        <v>81.0859807719304</v>
      </c>
      <c r="K231" s="26" t="n">
        <f aca="false">datos_base!$I$7*parametros_recargas!$I$44+sobrestock_sustitutos!$I$93/12</f>
        <v>81.0859807719304</v>
      </c>
      <c r="L231" s="26" t="n">
        <f aca="false">datos_base!$I$7*parametros_recargas!$J$44+sobrestock_sustitutos!$I$93/12</f>
        <v>81.0859807719304</v>
      </c>
      <c r="M231" s="26" t="n">
        <f aca="false">datos_base!$I$7*parametros_recargas!$K$44+sobrestock_sustitutos!$I$93/12</f>
        <v>81.0859807719304</v>
      </c>
      <c r="N231" s="26" t="n">
        <f aca="false">datos_base!$I$7*parametros_recargas!$L$44+sobrestock_sustitutos!$I$93/12</f>
        <v>81.0859807719304</v>
      </c>
      <c r="O231" s="26" t="n">
        <f aca="false">datos_base!$I$7*parametros_recargas!$M$44+sobrestock_sustitutos!$I$93/12</f>
        <v>81.0859807719304</v>
      </c>
      <c r="P231" s="7" t="n">
        <f aca="false">SUM(D231:O231)</f>
        <v>973.031769263164</v>
      </c>
      <c r="Q231" s="13" t="n">
        <f aca="false">sobrestock_sustitutos!$I$93</f>
        <v>11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5" t="n">
        <f aca="false">parametros_recargas!C57</f>
        <v>3</v>
      </c>
      <c r="D232" s="26" t="n">
        <f aca="false">datos_base!$I$8*parametros_recargas!$B$44+sobrestock_sustitutos!$I$94/12</f>
        <v>42.6825462918939</v>
      </c>
      <c r="E232" s="26" t="n">
        <f aca="false">datos_base!$I$8*parametros_recargas!$C$44+sobrestock_sustitutos!$I$94/12</f>
        <v>42.6825462918939</v>
      </c>
      <c r="F232" s="26" t="n">
        <f aca="false">datos_base!$I$8*parametros_recargas!$D$44+sobrestock_sustitutos!$I$94/12</f>
        <v>42.6825462918939</v>
      </c>
      <c r="G232" s="26" t="n">
        <f aca="false">datos_base!$I$8*parametros_recargas!$E$44+sobrestock_sustitutos!$I$94/12</f>
        <v>42.6825462918939</v>
      </c>
      <c r="H232" s="26" t="n">
        <f aca="false">datos_base!$I$8*parametros_recargas!$F$44+sobrestock_sustitutos!$I$94/12</f>
        <v>42.6825462918939</v>
      </c>
      <c r="I232" s="26" t="n">
        <f aca="false">datos_base!$I$8*parametros_recargas!$G$44+sobrestock_sustitutos!$I$94/12</f>
        <v>42.6825462918939</v>
      </c>
      <c r="J232" s="26" t="n">
        <f aca="false">datos_base!$I$8*parametros_recargas!$H$44+sobrestock_sustitutos!$I$94/12</f>
        <v>42.6825462918939</v>
      </c>
      <c r="K232" s="26" t="n">
        <f aca="false">datos_base!$I$8*parametros_recargas!$I$44+sobrestock_sustitutos!$I$94/12</f>
        <v>42.6825462918939</v>
      </c>
      <c r="L232" s="26" t="n">
        <f aca="false">datos_base!$I$8*parametros_recargas!$J$44+sobrestock_sustitutos!$I$94/12</f>
        <v>42.6825462918939</v>
      </c>
      <c r="M232" s="26" t="n">
        <f aca="false">datos_base!$I$8*parametros_recargas!$K$44+sobrestock_sustitutos!$I$94/12</f>
        <v>42.6825462918939</v>
      </c>
      <c r="N232" s="26" t="n">
        <f aca="false">datos_base!$I$8*parametros_recargas!$L$44+sobrestock_sustitutos!$I$94/12</f>
        <v>42.6825462918939</v>
      </c>
      <c r="O232" s="26" t="n">
        <f aca="false">datos_base!$I$8*parametros_recargas!$M$44+sobrestock_sustitutos!$I$94/12</f>
        <v>42.6825462918939</v>
      </c>
      <c r="P232" s="7" t="n">
        <f aca="false">SUM(D232:O232)</f>
        <v>512.190555502727</v>
      </c>
      <c r="Q232" s="13" t="n">
        <f aca="false">sobrestock_sustitutos!$I$94</f>
        <v>6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5" t="n">
        <f aca="false">parametros_recargas!C58</f>
        <v>1</v>
      </c>
      <c r="D233" s="26" t="n">
        <f aca="false">datos_base!$I$9*parametros_recargas!$B$44+sobrestock_sustitutos!$I$95/12</f>
        <v>24.5575486276271</v>
      </c>
      <c r="E233" s="26" t="n">
        <f aca="false">datos_base!$I$9*parametros_recargas!$C$44+sobrestock_sustitutos!$I$95/12</f>
        <v>24.5575486276271</v>
      </c>
      <c r="F233" s="26" t="n">
        <f aca="false">datos_base!$I$9*parametros_recargas!$D$44+sobrestock_sustitutos!$I$95/12</f>
        <v>24.5575486276271</v>
      </c>
      <c r="G233" s="26" t="n">
        <f aca="false">datos_base!$I$9*parametros_recargas!$E$44+sobrestock_sustitutos!$I$95/12</f>
        <v>24.5575486276271</v>
      </c>
      <c r="H233" s="26" t="n">
        <f aca="false">datos_base!$I$9*parametros_recargas!$F$44+sobrestock_sustitutos!$I$95/12</f>
        <v>24.5575486276271</v>
      </c>
      <c r="I233" s="26" t="n">
        <f aca="false">datos_base!$I$9*parametros_recargas!$G$44+sobrestock_sustitutos!$I$95/12</f>
        <v>24.5575486276271</v>
      </c>
      <c r="J233" s="26" t="n">
        <f aca="false">datos_base!$I$9*parametros_recargas!$H$44+sobrestock_sustitutos!$I$95/12</f>
        <v>24.5575486276271</v>
      </c>
      <c r="K233" s="26" t="n">
        <f aca="false">datos_base!$I$9*parametros_recargas!$I$44+sobrestock_sustitutos!$I$95/12</f>
        <v>24.5575486276271</v>
      </c>
      <c r="L233" s="26" t="n">
        <f aca="false">datos_base!$I$9*parametros_recargas!$J$44+sobrestock_sustitutos!$I$95/12</f>
        <v>24.5575486276271</v>
      </c>
      <c r="M233" s="26" t="n">
        <f aca="false">datos_base!$I$9*parametros_recargas!$K$44+sobrestock_sustitutos!$I$95/12</f>
        <v>24.5575486276271</v>
      </c>
      <c r="N233" s="26" t="n">
        <f aca="false">datos_base!$I$9*parametros_recargas!$L$44+sobrestock_sustitutos!$I$95/12</f>
        <v>24.5575486276271</v>
      </c>
      <c r="O233" s="26" t="n">
        <f aca="false">datos_base!$I$9*parametros_recargas!$M$44+sobrestock_sustitutos!$I$95/12</f>
        <v>24.5575486276271</v>
      </c>
      <c r="P233" s="7" t="n">
        <f aca="false">SUM(D233:O233)</f>
        <v>294.690583531525</v>
      </c>
      <c r="Q233" s="13" t="n">
        <f aca="false">sobrestock_sustitutos!$I$95</f>
        <v>4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5" t="n">
        <f aca="false">parametros_recargas!C59</f>
        <v>1</v>
      </c>
      <c r="D234" s="26" t="n">
        <f aca="false">datos_base!$I$10*parametros_recargas!$B$44+sobrestock_sustitutos!$I$96/12</f>
        <v>214.672812100315</v>
      </c>
      <c r="E234" s="26" t="n">
        <f aca="false">datos_base!$I$10*parametros_recargas!$C$44+sobrestock_sustitutos!$I$96/12</f>
        <v>214.672812100315</v>
      </c>
      <c r="F234" s="26" t="n">
        <f aca="false">datos_base!$I$10*parametros_recargas!$D$44+sobrestock_sustitutos!$I$96/12</f>
        <v>214.672812100315</v>
      </c>
      <c r="G234" s="26" t="n">
        <f aca="false">datos_base!$I$10*parametros_recargas!$E$44+sobrestock_sustitutos!$I$96/12</f>
        <v>214.672812100315</v>
      </c>
      <c r="H234" s="26" t="n">
        <f aca="false">datos_base!$I$10*parametros_recargas!$F$44+sobrestock_sustitutos!$I$96/12</f>
        <v>214.672812100315</v>
      </c>
      <c r="I234" s="26" t="n">
        <f aca="false">datos_base!$I$10*parametros_recargas!$G$44+sobrestock_sustitutos!$I$96/12</f>
        <v>214.672812100315</v>
      </c>
      <c r="J234" s="26" t="n">
        <f aca="false">datos_base!$I$10*parametros_recargas!$H$44+sobrestock_sustitutos!$I$96/12</f>
        <v>214.672812100315</v>
      </c>
      <c r="K234" s="26" t="n">
        <f aca="false">datos_base!$I$10*parametros_recargas!$I$44+sobrestock_sustitutos!$I$96/12</f>
        <v>214.672812100315</v>
      </c>
      <c r="L234" s="26" t="n">
        <f aca="false">datos_base!$I$10*parametros_recargas!$J$44+sobrestock_sustitutos!$I$96/12</f>
        <v>214.672812100315</v>
      </c>
      <c r="M234" s="26" t="n">
        <f aca="false">datos_base!$I$10*parametros_recargas!$K$44+sobrestock_sustitutos!$I$96/12</f>
        <v>214.672812100315</v>
      </c>
      <c r="N234" s="26" t="n">
        <f aca="false">datos_base!$I$10*parametros_recargas!$L$44+sobrestock_sustitutos!$I$96/12</f>
        <v>214.672812100315</v>
      </c>
      <c r="O234" s="26" t="n">
        <f aca="false">datos_base!$I$10*parametros_recargas!$M$44+sobrestock_sustitutos!$I$96/12</f>
        <v>214.672812100315</v>
      </c>
      <c r="P234" s="7" t="n">
        <f aca="false">SUM(D234:O234)</f>
        <v>2576.07374520378</v>
      </c>
      <c r="Q234" s="13" t="n">
        <f aca="false">sobrestock_sustitutos!$I$96</f>
        <v>29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5" t="n">
        <f aca="false">parametros_recargas!C60</f>
        <v>1</v>
      </c>
      <c r="D235" s="26" t="n">
        <f aca="false">datos_base!$I$11*parametros_recargas!$B$44+sobrestock_sustitutos!$I$97/12</f>
        <v>1176.73422571436</v>
      </c>
      <c r="E235" s="26" t="n">
        <f aca="false">datos_base!$I$11*parametros_recargas!$C$44+sobrestock_sustitutos!$I$97/12</f>
        <v>1176.73422571436</v>
      </c>
      <c r="F235" s="26" t="n">
        <f aca="false">datos_base!$I$11*parametros_recargas!$D$44+sobrestock_sustitutos!$I$97/12</f>
        <v>1176.73422571436</v>
      </c>
      <c r="G235" s="26" t="n">
        <f aca="false">datos_base!$I$11*parametros_recargas!$E$44+sobrestock_sustitutos!$I$97/12</f>
        <v>1176.73422571436</v>
      </c>
      <c r="H235" s="26" t="n">
        <f aca="false">datos_base!$I$11*parametros_recargas!$F$44+sobrestock_sustitutos!$I$97/12</f>
        <v>1176.73422571436</v>
      </c>
      <c r="I235" s="26" t="n">
        <f aca="false">datos_base!$I$11*parametros_recargas!$G$44+sobrestock_sustitutos!$I$97/12</f>
        <v>1176.73422571436</v>
      </c>
      <c r="J235" s="26" t="n">
        <f aca="false">datos_base!$I$11*parametros_recargas!$H$44+sobrestock_sustitutos!$I$97/12</f>
        <v>1176.73422571436</v>
      </c>
      <c r="K235" s="26" t="n">
        <f aca="false">datos_base!$I$11*parametros_recargas!$I$44+sobrestock_sustitutos!$I$97/12</f>
        <v>1176.73422571436</v>
      </c>
      <c r="L235" s="26" t="n">
        <f aca="false">datos_base!$I$11*parametros_recargas!$J$44+sobrestock_sustitutos!$I$97/12</f>
        <v>1176.73422571436</v>
      </c>
      <c r="M235" s="26" t="n">
        <f aca="false">datos_base!$I$11*parametros_recargas!$K$44+sobrestock_sustitutos!$I$97/12</f>
        <v>1176.73422571436</v>
      </c>
      <c r="N235" s="26" t="n">
        <f aca="false">datos_base!$I$11*parametros_recargas!$L$44+sobrestock_sustitutos!$I$97/12</f>
        <v>1176.73422571436</v>
      </c>
      <c r="O235" s="26" t="n">
        <f aca="false">datos_base!$I$11*parametros_recargas!$M$44+sobrestock_sustitutos!$I$97/12</f>
        <v>1176.73422571436</v>
      </c>
      <c r="P235" s="7" t="n">
        <f aca="false">SUM(D235:O235)</f>
        <v>14120.8107085724</v>
      </c>
      <c r="Q235" s="13" t="n">
        <f aca="false">sobrestock_sustitutos!$I$97</f>
        <v>158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5" t="n">
        <f aca="false">parametros_recargas!C61</f>
        <v>1</v>
      </c>
      <c r="D236" s="26" t="n">
        <f aca="false">datos_base!$I$12*parametros_recargas!$B$44+sobrestock_sustitutos!$I$98/12</f>
        <v>396.388376452679</v>
      </c>
      <c r="E236" s="26" t="n">
        <f aca="false">datos_base!$I$12*parametros_recargas!$C$44+sobrestock_sustitutos!$I$98/12</f>
        <v>396.388376452679</v>
      </c>
      <c r="F236" s="26" t="n">
        <f aca="false">datos_base!$I$12*parametros_recargas!$D$44+sobrestock_sustitutos!$I$98/12</f>
        <v>396.388376452679</v>
      </c>
      <c r="G236" s="26" t="n">
        <f aca="false">datos_base!$I$12*parametros_recargas!$E$44+sobrestock_sustitutos!$I$98/12</f>
        <v>396.388376452679</v>
      </c>
      <c r="H236" s="26" t="n">
        <f aca="false">datos_base!$I$12*parametros_recargas!$F$44+sobrestock_sustitutos!$I$98/12</f>
        <v>396.388376452679</v>
      </c>
      <c r="I236" s="26" t="n">
        <f aca="false">datos_base!$I$12*parametros_recargas!$G$44+sobrestock_sustitutos!$I$98/12</f>
        <v>396.388376452679</v>
      </c>
      <c r="J236" s="26" t="n">
        <f aca="false">datos_base!$I$12*parametros_recargas!$H$44+sobrestock_sustitutos!$I$98/12</f>
        <v>396.388376452679</v>
      </c>
      <c r="K236" s="26" t="n">
        <f aca="false">datos_base!$I$12*parametros_recargas!$I$44+sobrestock_sustitutos!$I$98/12</f>
        <v>396.388376452679</v>
      </c>
      <c r="L236" s="26" t="n">
        <f aca="false">datos_base!$I$12*parametros_recargas!$J$44+sobrestock_sustitutos!$I$98/12</f>
        <v>396.388376452679</v>
      </c>
      <c r="M236" s="26" t="n">
        <f aca="false">datos_base!$I$12*parametros_recargas!$K$44+sobrestock_sustitutos!$I$98/12</f>
        <v>396.388376452679</v>
      </c>
      <c r="N236" s="26" t="n">
        <f aca="false">datos_base!$I$12*parametros_recargas!$L$44+sobrestock_sustitutos!$I$98/12</f>
        <v>396.388376452679</v>
      </c>
      <c r="O236" s="26" t="n">
        <f aca="false">datos_base!$I$12*parametros_recargas!$M$44+sobrestock_sustitutos!$I$98/12</f>
        <v>396.388376452679</v>
      </c>
      <c r="P236" s="7" t="n">
        <f aca="false">SUM(D236:O236)</f>
        <v>4756.66051743215</v>
      </c>
      <c r="Q236" s="13" t="n">
        <f aca="false">sobrestock_sustitutos!$I$98</f>
        <v>53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5" t="n">
        <f aca="false">parametros_recargas!C62</f>
        <v>1</v>
      </c>
      <c r="D237" s="26" t="n">
        <f aca="false">datos_base!$I$13*parametros_recargas!$B$44+sobrestock_sustitutos!$I$99/12</f>
        <v>64.3481246873162</v>
      </c>
      <c r="E237" s="26" t="n">
        <f aca="false">datos_base!$I$13*parametros_recargas!$C$44+sobrestock_sustitutos!$I$99/12</f>
        <v>64.3481246873162</v>
      </c>
      <c r="F237" s="26" t="n">
        <f aca="false">datos_base!$I$13*parametros_recargas!$D$44+sobrestock_sustitutos!$I$99/12</f>
        <v>64.3481246873162</v>
      </c>
      <c r="G237" s="26" t="n">
        <f aca="false">datos_base!$I$13*parametros_recargas!$E$44+sobrestock_sustitutos!$I$99/12</f>
        <v>64.3481246873162</v>
      </c>
      <c r="H237" s="26" t="n">
        <f aca="false">datos_base!$I$13*parametros_recargas!$F$44+sobrestock_sustitutos!$I$99/12</f>
        <v>64.3481246873162</v>
      </c>
      <c r="I237" s="26" t="n">
        <f aca="false">datos_base!$I$13*parametros_recargas!$G$44+sobrestock_sustitutos!$I$99/12</f>
        <v>64.3481246873162</v>
      </c>
      <c r="J237" s="26" t="n">
        <f aca="false">datos_base!$I$13*parametros_recargas!$H$44+sobrestock_sustitutos!$I$99/12</f>
        <v>64.3481246873162</v>
      </c>
      <c r="K237" s="26" t="n">
        <f aca="false">datos_base!$I$13*parametros_recargas!$I$44+sobrestock_sustitutos!$I$99/12</f>
        <v>64.3481246873162</v>
      </c>
      <c r="L237" s="26" t="n">
        <f aca="false">datos_base!$I$13*parametros_recargas!$J$44+sobrestock_sustitutos!$I$99/12</f>
        <v>64.3481246873162</v>
      </c>
      <c r="M237" s="26" t="n">
        <f aca="false">datos_base!$I$13*parametros_recargas!$K$44+sobrestock_sustitutos!$I$99/12</f>
        <v>64.3481246873162</v>
      </c>
      <c r="N237" s="26" t="n">
        <f aca="false">datos_base!$I$13*parametros_recargas!$L$44+sobrestock_sustitutos!$I$99/12</f>
        <v>64.3481246873162</v>
      </c>
      <c r="O237" s="26" t="n">
        <f aca="false">datos_base!$I$13*parametros_recargas!$M$44+sobrestock_sustitutos!$I$99/12</f>
        <v>64.3481246873162</v>
      </c>
      <c r="P237" s="7" t="n">
        <f aca="false">SUM(D237:O237)</f>
        <v>772.177496247794</v>
      </c>
      <c r="Q237" s="13" t="n">
        <f aca="false">sobrestock_sustitutos!$I$99</f>
        <v>9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5" t="n">
        <f aca="false">parametros_recargas!C63</f>
        <v>1</v>
      </c>
      <c r="D238" s="26" t="n">
        <f aca="false">datos_base!$I$14*parametros_recargas!$B$44+sobrestock_sustitutos!$I$100/12</f>
        <v>22.0126475615436</v>
      </c>
      <c r="E238" s="26" t="n">
        <f aca="false">datos_base!$I$14*parametros_recargas!$C$44+sobrestock_sustitutos!$I$100/12</f>
        <v>22.0126475615436</v>
      </c>
      <c r="F238" s="26" t="n">
        <f aca="false">datos_base!$I$14*parametros_recargas!$D$44+sobrestock_sustitutos!$I$100/12</f>
        <v>22.0126475615436</v>
      </c>
      <c r="G238" s="26" t="n">
        <f aca="false">datos_base!$I$14*parametros_recargas!$E$44+sobrestock_sustitutos!$I$100/12</f>
        <v>22.0126475615436</v>
      </c>
      <c r="H238" s="26" t="n">
        <f aca="false">datos_base!$I$14*parametros_recargas!$F$44+sobrestock_sustitutos!$I$100/12</f>
        <v>22.0126475615436</v>
      </c>
      <c r="I238" s="26" t="n">
        <f aca="false">datos_base!$I$14*parametros_recargas!$G$44+sobrestock_sustitutos!$I$100/12</f>
        <v>22.0126475615436</v>
      </c>
      <c r="J238" s="26" t="n">
        <f aca="false">datos_base!$I$14*parametros_recargas!$H$44+sobrestock_sustitutos!$I$100/12</f>
        <v>22.0126475615436</v>
      </c>
      <c r="K238" s="26" t="n">
        <f aca="false">datos_base!$I$14*parametros_recargas!$I$44+sobrestock_sustitutos!$I$100/12</f>
        <v>22.0126475615436</v>
      </c>
      <c r="L238" s="26" t="n">
        <f aca="false">datos_base!$I$14*parametros_recargas!$J$44+sobrestock_sustitutos!$I$100/12</f>
        <v>22.0126475615436</v>
      </c>
      <c r="M238" s="26" t="n">
        <f aca="false">datos_base!$I$14*parametros_recargas!$K$44+sobrestock_sustitutos!$I$100/12</f>
        <v>22.0126475615436</v>
      </c>
      <c r="N238" s="26" t="n">
        <f aca="false">datos_base!$I$14*parametros_recargas!$L$44+sobrestock_sustitutos!$I$100/12</f>
        <v>22.0126475615436</v>
      </c>
      <c r="O238" s="26" t="n">
        <f aca="false">datos_base!$I$14*parametros_recargas!$M$44+sobrestock_sustitutos!$I$100/12</f>
        <v>22.0126475615436</v>
      </c>
      <c r="P238" s="7" t="n">
        <f aca="false">SUM(D238:O238)</f>
        <v>264.151770738523</v>
      </c>
      <c r="Q238" s="13" t="n">
        <f aca="false">sobrestock_sustitutos!$I$100</f>
        <v>3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5" t="n">
        <f aca="false">parametros_recargas!C64</f>
        <v>3</v>
      </c>
      <c r="D239" s="26" t="n">
        <f aca="false">datos_base!$I$15*parametros_recargas!$B$44+sobrestock_sustitutos!$I$101/12</f>
        <v>53.4366761353416</v>
      </c>
      <c r="E239" s="26" t="n">
        <f aca="false">datos_base!$I$15*parametros_recargas!$C$44+sobrestock_sustitutos!$I$101/12</f>
        <v>53.4366761353416</v>
      </c>
      <c r="F239" s="26" t="n">
        <f aca="false">datos_base!$I$15*parametros_recargas!$D$44+sobrestock_sustitutos!$I$101/12</f>
        <v>53.4366761353416</v>
      </c>
      <c r="G239" s="26" t="n">
        <f aca="false">datos_base!$I$15*parametros_recargas!$E$44+sobrestock_sustitutos!$I$101/12</f>
        <v>53.4366761353416</v>
      </c>
      <c r="H239" s="26" t="n">
        <f aca="false">datos_base!$I$15*parametros_recargas!$F$44+sobrestock_sustitutos!$I$101/12</f>
        <v>53.4366761353416</v>
      </c>
      <c r="I239" s="26" t="n">
        <f aca="false">datos_base!$I$15*parametros_recargas!$G$44+sobrestock_sustitutos!$I$101/12</f>
        <v>53.4366761353416</v>
      </c>
      <c r="J239" s="26" t="n">
        <f aca="false">datos_base!$I$15*parametros_recargas!$H$44+sobrestock_sustitutos!$I$101/12</f>
        <v>53.4366761353416</v>
      </c>
      <c r="K239" s="26" t="n">
        <f aca="false">datos_base!$I$15*parametros_recargas!$I$44+sobrestock_sustitutos!$I$101/12</f>
        <v>53.4366761353416</v>
      </c>
      <c r="L239" s="26" t="n">
        <f aca="false">datos_base!$I$15*parametros_recargas!$J$44+sobrestock_sustitutos!$I$101/12</f>
        <v>53.4366761353416</v>
      </c>
      <c r="M239" s="26" t="n">
        <f aca="false">datos_base!$I$15*parametros_recargas!$K$44+sobrestock_sustitutos!$I$101/12</f>
        <v>53.4366761353416</v>
      </c>
      <c r="N239" s="26" t="n">
        <f aca="false">datos_base!$I$15*parametros_recargas!$L$44+sobrestock_sustitutos!$I$101/12</f>
        <v>53.4366761353416</v>
      </c>
      <c r="O239" s="26" t="n">
        <f aca="false">datos_base!$I$15*parametros_recargas!$M$44+sobrestock_sustitutos!$I$101/12</f>
        <v>53.4366761353416</v>
      </c>
      <c r="P239" s="7" t="n">
        <f aca="false">SUM(D239:O239)</f>
        <v>641.240113624099</v>
      </c>
      <c r="Q239" s="13" t="n">
        <f aca="false">sobrestock_sustitutos!$I$101</f>
        <v>8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5" t="n">
        <f aca="false">parametros_recargas!C65</f>
        <v>3</v>
      </c>
      <c r="D240" s="26" t="n">
        <f aca="false">datos_base!$I$16*parametros_recargas!$B$44+sobrestock_sustitutos!$I$102/12</f>
        <v>117.427354140693</v>
      </c>
      <c r="E240" s="26" t="n">
        <f aca="false">datos_base!$I$16*parametros_recargas!$C$44+sobrestock_sustitutos!$I$102/12</f>
        <v>117.427354140693</v>
      </c>
      <c r="F240" s="26" t="n">
        <f aca="false">datos_base!$I$16*parametros_recargas!$D$44+sobrestock_sustitutos!$I$102/12</f>
        <v>117.427354140693</v>
      </c>
      <c r="G240" s="26" t="n">
        <f aca="false">datos_base!$I$16*parametros_recargas!$E$44+sobrestock_sustitutos!$I$102/12</f>
        <v>117.427354140693</v>
      </c>
      <c r="H240" s="26" t="n">
        <f aca="false">datos_base!$I$16*parametros_recargas!$F$44+sobrestock_sustitutos!$I$102/12</f>
        <v>117.427354140693</v>
      </c>
      <c r="I240" s="26" t="n">
        <f aca="false">datos_base!$I$16*parametros_recargas!$G$44+sobrestock_sustitutos!$I$102/12</f>
        <v>117.427354140693</v>
      </c>
      <c r="J240" s="26" t="n">
        <f aca="false">datos_base!$I$16*parametros_recargas!$H$44+sobrestock_sustitutos!$I$102/12</f>
        <v>117.427354140693</v>
      </c>
      <c r="K240" s="26" t="n">
        <f aca="false">datos_base!$I$16*parametros_recargas!$I$44+sobrestock_sustitutos!$I$102/12</f>
        <v>117.427354140693</v>
      </c>
      <c r="L240" s="26" t="n">
        <f aca="false">datos_base!$I$16*parametros_recargas!$J$44+sobrestock_sustitutos!$I$102/12</f>
        <v>117.427354140693</v>
      </c>
      <c r="M240" s="26" t="n">
        <f aca="false">datos_base!$I$16*parametros_recargas!$K$44+sobrestock_sustitutos!$I$102/12</f>
        <v>117.427354140693</v>
      </c>
      <c r="N240" s="26" t="n">
        <f aca="false">datos_base!$I$16*parametros_recargas!$L$44+sobrestock_sustitutos!$I$102/12</f>
        <v>117.427354140693</v>
      </c>
      <c r="O240" s="26" t="n">
        <f aca="false">datos_base!$I$16*parametros_recargas!$M$44+sobrestock_sustitutos!$I$102/12</f>
        <v>117.427354140693</v>
      </c>
      <c r="P240" s="7" t="n">
        <f aca="false">SUM(D240:O240)</f>
        <v>1409.12824968831</v>
      </c>
      <c r="Q240" s="13" t="n">
        <f aca="false">sobrestock_sustitutos!$I$102</f>
        <v>16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5" t="n">
        <f aca="false">parametros_recargas!C66</f>
        <v>3</v>
      </c>
      <c r="D241" s="26" t="n">
        <f aca="false">datos_base!$I$17*parametros_recargas!$B$44+sobrestock_sustitutos!$I$103/12</f>
        <v>25.6629378569444</v>
      </c>
      <c r="E241" s="26" t="n">
        <f aca="false">datos_base!$I$17*parametros_recargas!$C$44+sobrestock_sustitutos!$I$103/12</f>
        <v>25.6629378569444</v>
      </c>
      <c r="F241" s="26" t="n">
        <f aca="false">datos_base!$I$17*parametros_recargas!$D$44+sobrestock_sustitutos!$I$103/12</f>
        <v>25.6629378569444</v>
      </c>
      <c r="G241" s="26" t="n">
        <f aca="false">datos_base!$I$17*parametros_recargas!$E$44+sobrestock_sustitutos!$I$103/12</f>
        <v>25.6629378569444</v>
      </c>
      <c r="H241" s="26" t="n">
        <f aca="false">datos_base!$I$17*parametros_recargas!$F$44+sobrestock_sustitutos!$I$103/12</f>
        <v>25.6629378569444</v>
      </c>
      <c r="I241" s="26" t="n">
        <f aca="false">datos_base!$I$17*parametros_recargas!$G$44+sobrestock_sustitutos!$I$103/12</f>
        <v>25.6629378569444</v>
      </c>
      <c r="J241" s="26" t="n">
        <f aca="false">datos_base!$I$17*parametros_recargas!$H$44+sobrestock_sustitutos!$I$103/12</f>
        <v>25.6629378569444</v>
      </c>
      <c r="K241" s="26" t="n">
        <f aca="false">datos_base!$I$17*parametros_recargas!$I$44+sobrestock_sustitutos!$I$103/12</f>
        <v>25.6629378569444</v>
      </c>
      <c r="L241" s="26" t="n">
        <f aca="false">datos_base!$I$17*parametros_recargas!$J$44+sobrestock_sustitutos!$I$103/12</f>
        <v>25.6629378569444</v>
      </c>
      <c r="M241" s="26" t="n">
        <f aca="false">datos_base!$I$17*parametros_recargas!$K$44+sobrestock_sustitutos!$I$103/12</f>
        <v>25.6629378569444</v>
      </c>
      <c r="N241" s="26" t="n">
        <f aca="false">datos_base!$I$17*parametros_recargas!$L$44+sobrestock_sustitutos!$I$103/12</f>
        <v>25.6629378569444</v>
      </c>
      <c r="O241" s="26" t="n">
        <f aca="false">datos_base!$I$17*parametros_recargas!$M$44+sobrestock_sustitutos!$I$103/12</f>
        <v>25.6629378569444</v>
      </c>
      <c r="P241" s="7" t="n">
        <f aca="false">SUM(D241:O241)</f>
        <v>307.955254283333</v>
      </c>
      <c r="Q241" s="13" t="n">
        <f aca="false">sobrestock_sustitutos!$I$103</f>
        <v>4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5" t="n">
        <f aca="false">parametros_recargas!C67</f>
        <v>3</v>
      </c>
      <c r="D242" s="26" t="n">
        <f aca="false">datos_base!$I$18*parametros_recargas!$B$44+sobrestock_sustitutos!$I$104/12</f>
        <v>17.1364030157407</v>
      </c>
      <c r="E242" s="26" t="n">
        <f aca="false">datos_base!$I$18*parametros_recargas!$C$44+sobrestock_sustitutos!$I$104/12</f>
        <v>17.1364030157407</v>
      </c>
      <c r="F242" s="26" t="n">
        <f aca="false">datos_base!$I$18*parametros_recargas!$D$44+sobrestock_sustitutos!$I$104/12</f>
        <v>17.1364030157407</v>
      </c>
      <c r="G242" s="26" t="n">
        <f aca="false">datos_base!$I$18*parametros_recargas!$E$44+sobrestock_sustitutos!$I$104/12</f>
        <v>17.1364030157407</v>
      </c>
      <c r="H242" s="26" t="n">
        <f aca="false">datos_base!$I$18*parametros_recargas!$F$44+sobrestock_sustitutos!$I$104/12</f>
        <v>17.1364030157407</v>
      </c>
      <c r="I242" s="26" t="n">
        <f aca="false">datos_base!$I$18*parametros_recargas!$G$44+sobrestock_sustitutos!$I$104/12</f>
        <v>17.1364030157407</v>
      </c>
      <c r="J242" s="26" t="n">
        <f aca="false">datos_base!$I$18*parametros_recargas!$H$44+sobrestock_sustitutos!$I$104/12</f>
        <v>17.1364030157407</v>
      </c>
      <c r="K242" s="26" t="n">
        <f aca="false">datos_base!$I$18*parametros_recargas!$I$44+sobrestock_sustitutos!$I$104/12</f>
        <v>17.1364030157407</v>
      </c>
      <c r="L242" s="26" t="n">
        <f aca="false">datos_base!$I$18*parametros_recargas!$J$44+sobrestock_sustitutos!$I$104/12</f>
        <v>17.1364030157407</v>
      </c>
      <c r="M242" s="26" t="n">
        <f aca="false">datos_base!$I$18*parametros_recargas!$K$44+sobrestock_sustitutos!$I$104/12</f>
        <v>17.1364030157407</v>
      </c>
      <c r="N242" s="26" t="n">
        <f aca="false">datos_base!$I$18*parametros_recargas!$L$44+sobrestock_sustitutos!$I$104/12</f>
        <v>17.1364030157407</v>
      </c>
      <c r="O242" s="26" t="n">
        <f aca="false">datos_base!$I$18*parametros_recargas!$M$44+sobrestock_sustitutos!$I$104/12</f>
        <v>17.1364030157407</v>
      </c>
      <c r="P242" s="7" t="n">
        <f aca="false">SUM(D242:O242)</f>
        <v>205.636836188889</v>
      </c>
      <c r="Q242" s="13" t="n">
        <f aca="false">sobrestock_sustitutos!$I$104</f>
        <v>3</v>
      </c>
    </row>
    <row r="243" customFormat="false" ht="15" hidden="false" customHeight="false" outlineLevel="0" collapsed="false">
      <c r="A243" s="6" t="s">
        <v>310</v>
      </c>
      <c r="D243" s="7" t="n">
        <f aca="false">SUM(D226:D242)</f>
        <v>19236.9678346026</v>
      </c>
      <c r="E243" s="7" t="n">
        <f aca="false">SUM(E226:E242)</f>
        <v>19236.9678346026</v>
      </c>
      <c r="F243" s="7" t="n">
        <f aca="false">SUM(F226:F242)</f>
        <v>19236.9678346026</v>
      </c>
      <c r="G243" s="7" t="n">
        <f aca="false">SUM(G226:G242)</f>
        <v>19236.9678346026</v>
      </c>
      <c r="H243" s="7" t="n">
        <f aca="false">SUM(H226:H242)</f>
        <v>19236.9678346026</v>
      </c>
      <c r="I243" s="7" t="n">
        <f aca="false">SUM(I226:I242)</f>
        <v>19236.9678346026</v>
      </c>
      <c r="J243" s="7" t="n">
        <f aca="false">SUM(J226:J242)</f>
        <v>19236.9678346026</v>
      </c>
      <c r="K243" s="7" t="n">
        <f aca="false">SUM(K226:K242)</f>
        <v>19236.9678346026</v>
      </c>
      <c r="L243" s="7" t="n">
        <f aca="false">SUM(L226:L242)</f>
        <v>19236.9678346026</v>
      </c>
      <c r="M243" s="7" t="n">
        <f aca="false">SUM(M226:M242)</f>
        <v>19236.9678346026</v>
      </c>
      <c r="N243" s="7" t="n">
        <f aca="false">SUM(N226:N242)</f>
        <v>19236.9678346026</v>
      </c>
      <c r="O243" s="7" t="n">
        <f aca="false">SUM(O226:O242)</f>
        <v>19236.9678346026</v>
      </c>
      <c r="P243" s="7" t="n">
        <f aca="false">SUM(P226:P242)</f>
        <v>230843.614015231</v>
      </c>
    </row>
    <row r="244" customFormat="false" ht="15" hidden="false" customHeight="false" outlineLevel="0" collapsed="false">
      <c r="A244" s="6" t="s">
        <v>311</v>
      </c>
    </row>
    <row r="245" customFormat="false" ht="15" hidden="false" customHeight="false" outlineLevel="0" collapsed="false">
      <c r="A245" s="4" t="s">
        <v>151</v>
      </c>
      <c r="D245" s="26" t="n">
        <f aca="false">SUMPRODUCT(($B$226:$B$242=$A245)*D$226:D$242*$C$226:$C$242)</f>
        <v>17205.6962930418</v>
      </c>
      <c r="E245" s="26" t="n">
        <f aca="false">SUMPRODUCT(($B$226:$B$242=$A245)*E$226:E$242*$C$226:$C$242)</f>
        <v>17205.6962930418</v>
      </c>
      <c r="F245" s="26" t="n">
        <f aca="false">SUMPRODUCT(($B$226:$B$242=$A245)*F$226:F$242*$C$226:$C$242)</f>
        <v>17205.6962930418</v>
      </c>
      <c r="G245" s="26" t="n">
        <f aca="false">SUMPRODUCT(($B$226:$B$242=$A245)*G$226:G$242*$C$226:$C$242)</f>
        <v>17205.6962930418</v>
      </c>
      <c r="H245" s="26" t="n">
        <f aca="false">SUMPRODUCT(($B$226:$B$242=$A245)*H$226:H$242*$C$226:$C$242)</f>
        <v>17205.6962930418</v>
      </c>
      <c r="I245" s="26" t="n">
        <f aca="false">SUMPRODUCT(($B$226:$B$242=$A245)*I$226:I$242*$C$226:$C$242)</f>
        <v>17205.6962930418</v>
      </c>
      <c r="J245" s="26" t="n">
        <f aca="false">SUMPRODUCT(($B$226:$B$242=$A245)*J$226:J$242*$C$226:$C$242)</f>
        <v>17205.6962930418</v>
      </c>
      <c r="K245" s="26" t="n">
        <f aca="false">SUMPRODUCT(($B$226:$B$242=$A245)*K$226:K$242*$C$226:$C$242)</f>
        <v>17205.6962930418</v>
      </c>
      <c r="L245" s="26" t="n">
        <f aca="false">SUMPRODUCT(($B$226:$B$242=$A245)*L$226:L$242*$C$226:$C$242)</f>
        <v>17205.6962930418</v>
      </c>
      <c r="M245" s="26" t="n">
        <f aca="false">SUMPRODUCT(($B$226:$B$242=$A245)*M$226:M$242*$C$226:$C$242)</f>
        <v>17205.6962930418</v>
      </c>
      <c r="N245" s="26" t="n">
        <f aca="false">SUMPRODUCT(($B$226:$B$242=$A245)*N$226:N$242*$C$226:$C$242)</f>
        <v>17205.6962930418</v>
      </c>
      <c r="O245" s="26" t="n">
        <f aca="false">SUMPRODUCT(($B$226:$B$242=$A245)*O$226:O$242*$C$226:$C$242)</f>
        <v>17205.6962930418</v>
      </c>
      <c r="P245" s="26" t="n">
        <f aca="false">SUMPRODUCT(($B$226:$B$242=$A245)*P$226:P$242*$C$226:$C$242)</f>
        <v>206468.355516502</v>
      </c>
    </row>
    <row r="246" customFormat="false" ht="15" hidden="false" customHeight="false" outlineLevel="0" collapsed="false">
      <c r="A246" s="4" t="s">
        <v>157</v>
      </c>
      <c r="D246" s="26" t="n">
        <f aca="false">SUMPRODUCT(($B$226:$B$242=$A246)*D$226:D$242*$C$226:$C$242)</f>
        <v>24.5575486276271</v>
      </c>
      <c r="E246" s="26" t="n">
        <f aca="false">SUMPRODUCT(($B$226:$B$242=$A246)*E$226:E$242*$C$226:$C$242)</f>
        <v>24.5575486276271</v>
      </c>
      <c r="F246" s="26" t="n">
        <f aca="false">SUMPRODUCT(($B$226:$B$242=$A246)*F$226:F$242*$C$226:$C$242)</f>
        <v>24.5575486276271</v>
      </c>
      <c r="G246" s="26" t="n">
        <f aca="false">SUMPRODUCT(($B$226:$B$242=$A246)*G$226:G$242*$C$226:$C$242)</f>
        <v>24.5575486276271</v>
      </c>
      <c r="H246" s="26" t="n">
        <f aca="false">SUMPRODUCT(($B$226:$B$242=$A246)*H$226:H$242*$C$226:$C$242)</f>
        <v>24.5575486276271</v>
      </c>
      <c r="I246" s="26" t="n">
        <f aca="false">SUMPRODUCT(($B$226:$B$242=$A246)*I$226:I$242*$C$226:$C$242)</f>
        <v>24.5575486276271</v>
      </c>
      <c r="J246" s="26" t="n">
        <f aca="false">SUMPRODUCT(($B$226:$B$242=$A246)*J$226:J$242*$C$226:$C$242)</f>
        <v>24.5575486276271</v>
      </c>
      <c r="K246" s="26" t="n">
        <f aca="false">SUMPRODUCT(($B$226:$B$242=$A246)*K$226:K$242*$C$226:$C$242)</f>
        <v>24.5575486276271</v>
      </c>
      <c r="L246" s="26" t="n">
        <f aca="false">SUMPRODUCT(($B$226:$B$242=$A246)*L$226:L$242*$C$226:$C$242)</f>
        <v>24.5575486276271</v>
      </c>
      <c r="M246" s="26" t="n">
        <f aca="false">SUMPRODUCT(($B$226:$B$242=$A246)*M$226:M$242*$C$226:$C$242)</f>
        <v>24.5575486276271</v>
      </c>
      <c r="N246" s="26" t="n">
        <f aca="false">SUMPRODUCT(($B$226:$B$242=$A246)*N$226:N$242*$C$226:$C$242)</f>
        <v>24.5575486276271</v>
      </c>
      <c r="O246" s="26" t="n">
        <f aca="false">SUMPRODUCT(($B$226:$B$242=$A246)*O$226:O$242*$C$226:$C$242)</f>
        <v>24.5575486276271</v>
      </c>
      <c r="P246" s="26" t="n">
        <f aca="false">SUMPRODUCT(($B$226:$B$242=$A246)*P$226:P$242*$C$226:$C$242)</f>
        <v>294.690583531525</v>
      </c>
    </row>
    <row r="247" customFormat="false" ht="15" hidden="false" customHeight="false" outlineLevel="0" collapsed="false">
      <c r="A247" s="4" t="s">
        <v>163</v>
      </c>
      <c r="D247" s="26" t="n">
        <f aca="false">SUMPRODUCT(($B$226:$B$242=$A247)*D$226:D$242*$C$226:$C$242)</f>
        <v>22.0126475615436</v>
      </c>
      <c r="E247" s="26" t="n">
        <f aca="false">SUMPRODUCT(($B$226:$B$242=$A247)*E$226:E$242*$C$226:$C$242)</f>
        <v>22.0126475615436</v>
      </c>
      <c r="F247" s="26" t="n">
        <f aca="false">SUMPRODUCT(($B$226:$B$242=$A247)*F$226:F$242*$C$226:$C$242)</f>
        <v>22.0126475615436</v>
      </c>
      <c r="G247" s="26" t="n">
        <f aca="false">SUMPRODUCT(($B$226:$B$242=$A247)*G$226:G$242*$C$226:$C$242)</f>
        <v>22.0126475615436</v>
      </c>
      <c r="H247" s="26" t="n">
        <f aca="false">SUMPRODUCT(($B$226:$B$242=$A247)*H$226:H$242*$C$226:$C$242)</f>
        <v>22.0126475615436</v>
      </c>
      <c r="I247" s="26" t="n">
        <f aca="false">SUMPRODUCT(($B$226:$B$242=$A247)*I$226:I$242*$C$226:$C$242)</f>
        <v>22.0126475615436</v>
      </c>
      <c r="J247" s="26" t="n">
        <f aca="false">SUMPRODUCT(($B$226:$B$242=$A247)*J$226:J$242*$C$226:$C$242)</f>
        <v>22.0126475615436</v>
      </c>
      <c r="K247" s="26" t="n">
        <f aca="false">SUMPRODUCT(($B$226:$B$242=$A247)*K$226:K$242*$C$226:$C$242)</f>
        <v>22.0126475615436</v>
      </c>
      <c r="L247" s="26" t="n">
        <f aca="false">SUMPRODUCT(($B$226:$B$242=$A247)*L$226:L$242*$C$226:$C$242)</f>
        <v>22.0126475615436</v>
      </c>
      <c r="M247" s="26" t="n">
        <f aca="false">SUMPRODUCT(($B$226:$B$242=$A247)*M$226:M$242*$C$226:$C$242)</f>
        <v>22.0126475615436</v>
      </c>
      <c r="N247" s="26" t="n">
        <f aca="false">SUMPRODUCT(($B$226:$B$242=$A247)*N$226:N$242*$C$226:$C$242)</f>
        <v>22.0126475615436</v>
      </c>
      <c r="O247" s="26" t="n">
        <f aca="false">SUMPRODUCT(($B$226:$B$242=$A247)*O$226:O$242*$C$226:$C$242)</f>
        <v>22.0126475615436</v>
      </c>
      <c r="P247" s="26" t="n">
        <f aca="false">SUMPRODUCT(($B$226:$B$242=$A247)*P$226:P$242*$C$226:$C$242)</f>
        <v>264.151770738523</v>
      </c>
    </row>
    <row r="248" customFormat="false" ht="15" hidden="false" customHeight="false" outlineLevel="0" collapsed="false">
      <c r="A248" s="4" t="s">
        <v>154</v>
      </c>
      <c r="D248" s="26" t="n">
        <f aca="false">SUMPRODUCT(($B$226:$B$242=$A248)*D$226:D$242*$C$226:$C$242)</f>
        <v>436.116021650538</v>
      </c>
      <c r="E248" s="26" t="n">
        <f aca="false">SUMPRODUCT(($B$226:$B$242=$A248)*E$226:E$242*$C$226:$C$242)</f>
        <v>436.116021650538</v>
      </c>
      <c r="F248" s="26" t="n">
        <f aca="false">SUMPRODUCT(($B$226:$B$242=$A248)*F$226:F$242*$C$226:$C$242)</f>
        <v>436.116021650538</v>
      </c>
      <c r="G248" s="26" t="n">
        <f aca="false">SUMPRODUCT(($B$226:$B$242=$A248)*G$226:G$242*$C$226:$C$242)</f>
        <v>436.116021650538</v>
      </c>
      <c r="H248" s="26" t="n">
        <f aca="false">SUMPRODUCT(($B$226:$B$242=$A248)*H$226:H$242*$C$226:$C$242)</f>
        <v>436.116021650538</v>
      </c>
      <c r="I248" s="26" t="n">
        <f aca="false">SUMPRODUCT(($B$226:$B$242=$A248)*I$226:I$242*$C$226:$C$242)</f>
        <v>436.116021650538</v>
      </c>
      <c r="J248" s="26" t="n">
        <f aca="false">SUMPRODUCT(($B$226:$B$242=$A248)*J$226:J$242*$C$226:$C$242)</f>
        <v>436.116021650538</v>
      </c>
      <c r="K248" s="26" t="n">
        <f aca="false">SUMPRODUCT(($B$226:$B$242=$A248)*K$226:K$242*$C$226:$C$242)</f>
        <v>436.116021650538</v>
      </c>
      <c r="L248" s="26" t="n">
        <f aca="false">SUMPRODUCT(($B$226:$B$242=$A248)*L$226:L$242*$C$226:$C$242)</f>
        <v>436.116021650538</v>
      </c>
      <c r="M248" s="26" t="n">
        <f aca="false">SUMPRODUCT(($B$226:$B$242=$A248)*M$226:M$242*$C$226:$C$242)</f>
        <v>436.116021650538</v>
      </c>
      <c r="N248" s="26" t="n">
        <f aca="false">SUMPRODUCT(($B$226:$B$242=$A248)*N$226:N$242*$C$226:$C$242)</f>
        <v>436.116021650538</v>
      </c>
      <c r="O248" s="26" t="n">
        <f aca="false">SUMPRODUCT(($B$226:$B$242=$A248)*O$226:O$242*$C$226:$C$242)</f>
        <v>436.116021650538</v>
      </c>
      <c r="P248" s="26" t="n">
        <f aca="false">SUMPRODUCT(($B$226:$B$242=$A248)*P$226:P$242*$C$226:$C$242)</f>
        <v>5233.39225980645</v>
      </c>
    </row>
    <row r="249" customFormat="false" ht="15" hidden="false" customHeight="false" outlineLevel="0" collapsed="false">
      <c r="A249" s="4" t="s">
        <v>155</v>
      </c>
      <c r="D249" s="26" t="n">
        <f aca="false">SUMPRODUCT(($B$226:$B$242=$A249)*D$226:D$242*$C$226:$C$242)</f>
        <v>209.133619647612</v>
      </c>
      <c r="E249" s="26" t="n">
        <f aca="false">SUMPRODUCT(($B$226:$B$242=$A249)*E$226:E$242*$C$226:$C$242)</f>
        <v>209.133619647612</v>
      </c>
      <c r="F249" s="26" t="n">
        <f aca="false">SUMPRODUCT(($B$226:$B$242=$A249)*F$226:F$242*$C$226:$C$242)</f>
        <v>209.133619647612</v>
      </c>
      <c r="G249" s="26" t="n">
        <f aca="false">SUMPRODUCT(($B$226:$B$242=$A249)*G$226:G$242*$C$226:$C$242)</f>
        <v>209.133619647612</v>
      </c>
      <c r="H249" s="26" t="n">
        <f aca="false">SUMPRODUCT(($B$226:$B$242=$A249)*H$226:H$242*$C$226:$C$242)</f>
        <v>209.133619647612</v>
      </c>
      <c r="I249" s="26" t="n">
        <f aca="false">SUMPRODUCT(($B$226:$B$242=$A249)*I$226:I$242*$C$226:$C$242)</f>
        <v>209.133619647612</v>
      </c>
      <c r="J249" s="26" t="n">
        <f aca="false">SUMPRODUCT(($B$226:$B$242=$A249)*J$226:J$242*$C$226:$C$242)</f>
        <v>209.133619647612</v>
      </c>
      <c r="K249" s="26" t="n">
        <f aca="false">SUMPRODUCT(($B$226:$B$242=$A249)*K$226:K$242*$C$226:$C$242)</f>
        <v>209.133619647612</v>
      </c>
      <c r="L249" s="26" t="n">
        <f aca="false">SUMPRODUCT(($B$226:$B$242=$A249)*L$226:L$242*$C$226:$C$242)</f>
        <v>209.133619647612</v>
      </c>
      <c r="M249" s="26" t="n">
        <f aca="false">SUMPRODUCT(($B$226:$B$242=$A249)*M$226:M$242*$C$226:$C$242)</f>
        <v>209.133619647612</v>
      </c>
      <c r="N249" s="26" t="n">
        <f aca="false">SUMPRODUCT(($B$226:$B$242=$A249)*N$226:N$242*$C$226:$C$242)</f>
        <v>209.133619647612</v>
      </c>
      <c r="O249" s="26" t="n">
        <f aca="false">SUMPRODUCT(($B$226:$B$242=$A249)*O$226:O$242*$C$226:$C$242)</f>
        <v>209.133619647612</v>
      </c>
      <c r="P249" s="26" t="n">
        <f aca="false">SUMPRODUCT(($B$226:$B$242=$A249)*P$226:P$242*$C$226:$C$242)</f>
        <v>2509.60343577135</v>
      </c>
    </row>
    <row r="250" customFormat="false" ht="15" hidden="false" customHeight="false" outlineLevel="0" collapsed="false">
      <c r="A250" s="4" t="s">
        <v>158</v>
      </c>
      <c r="D250" s="26" t="n">
        <f aca="false">SUMPRODUCT(($B$226:$B$242=$A250)*D$226:D$242*$C$226:$C$242)</f>
        <v>214.672812100315</v>
      </c>
      <c r="E250" s="26" t="n">
        <f aca="false">SUMPRODUCT(($B$226:$B$242=$A250)*E$226:E$242*$C$226:$C$242)</f>
        <v>214.672812100315</v>
      </c>
      <c r="F250" s="26" t="n">
        <f aca="false">SUMPRODUCT(($B$226:$B$242=$A250)*F$226:F$242*$C$226:$C$242)</f>
        <v>214.672812100315</v>
      </c>
      <c r="G250" s="26" t="n">
        <f aca="false">SUMPRODUCT(($B$226:$B$242=$A250)*G$226:G$242*$C$226:$C$242)</f>
        <v>214.672812100315</v>
      </c>
      <c r="H250" s="26" t="n">
        <f aca="false">SUMPRODUCT(($B$226:$B$242=$A250)*H$226:H$242*$C$226:$C$242)</f>
        <v>214.672812100315</v>
      </c>
      <c r="I250" s="26" t="n">
        <f aca="false">SUMPRODUCT(($B$226:$B$242=$A250)*I$226:I$242*$C$226:$C$242)</f>
        <v>214.672812100315</v>
      </c>
      <c r="J250" s="26" t="n">
        <f aca="false">SUMPRODUCT(($B$226:$B$242=$A250)*J$226:J$242*$C$226:$C$242)</f>
        <v>214.672812100315</v>
      </c>
      <c r="K250" s="26" t="n">
        <f aca="false">SUMPRODUCT(($B$226:$B$242=$A250)*K$226:K$242*$C$226:$C$242)</f>
        <v>214.672812100315</v>
      </c>
      <c r="L250" s="26" t="n">
        <f aca="false">SUMPRODUCT(($B$226:$B$242=$A250)*L$226:L$242*$C$226:$C$242)</f>
        <v>214.672812100315</v>
      </c>
      <c r="M250" s="26" t="n">
        <f aca="false">SUMPRODUCT(($B$226:$B$242=$A250)*M$226:M$242*$C$226:$C$242)</f>
        <v>214.672812100315</v>
      </c>
      <c r="N250" s="26" t="n">
        <f aca="false">SUMPRODUCT(($B$226:$B$242=$A250)*N$226:N$242*$C$226:$C$242)</f>
        <v>214.672812100315</v>
      </c>
      <c r="O250" s="26" t="n">
        <f aca="false">SUMPRODUCT(($B$226:$B$242=$A250)*O$226:O$242*$C$226:$C$242)</f>
        <v>214.672812100315</v>
      </c>
      <c r="P250" s="26" t="n">
        <f aca="false">SUMPRODUCT(($B$226:$B$242=$A250)*P$226:P$242*$C$226:$C$242)</f>
        <v>2576.07374520378</v>
      </c>
    </row>
    <row r="251" customFormat="false" ht="15" hidden="false" customHeight="false" outlineLevel="0" collapsed="false">
      <c r="A251" s="4" t="s">
        <v>159</v>
      </c>
      <c r="D251" s="26" t="n">
        <f aca="false">SUMPRODUCT(($B$226:$B$242=$A251)*D$226:D$242*$C$226:$C$242)</f>
        <v>1573.12260216704</v>
      </c>
      <c r="E251" s="26" t="n">
        <f aca="false">SUMPRODUCT(($B$226:$B$242=$A251)*E$226:E$242*$C$226:$C$242)</f>
        <v>1573.12260216704</v>
      </c>
      <c r="F251" s="26" t="n">
        <f aca="false">SUMPRODUCT(($B$226:$B$242=$A251)*F$226:F$242*$C$226:$C$242)</f>
        <v>1573.12260216704</v>
      </c>
      <c r="G251" s="26" t="n">
        <f aca="false">SUMPRODUCT(($B$226:$B$242=$A251)*G$226:G$242*$C$226:$C$242)</f>
        <v>1573.12260216704</v>
      </c>
      <c r="H251" s="26" t="n">
        <f aca="false">SUMPRODUCT(($B$226:$B$242=$A251)*H$226:H$242*$C$226:$C$242)</f>
        <v>1573.12260216704</v>
      </c>
      <c r="I251" s="26" t="n">
        <f aca="false">SUMPRODUCT(($B$226:$B$242=$A251)*I$226:I$242*$C$226:$C$242)</f>
        <v>1573.12260216704</v>
      </c>
      <c r="J251" s="26" t="n">
        <f aca="false">SUMPRODUCT(($B$226:$B$242=$A251)*J$226:J$242*$C$226:$C$242)</f>
        <v>1573.12260216704</v>
      </c>
      <c r="K251" s="26" t="n">
        <f aca="false">SUMPRODUCT(($B$226:$B$242=$A251)*K$226:K$242*$C$226:$C$242)</f>
        <v>1573.12260216704</v>
      </c>
      <c r="L251" s="26" t="n">
        <f aca="false">SUMPRODUCT(($B$226:$B$242=$A251)*L$226:L$242*$C$226:$C$242)</f>
        <v>1573.12260216704</v>
      </c>
      <c r="M251" s="26" t="n">
        <f aca="false">SUMPRODUCT(($B$226:$B$242=$A251)*M$226:M$242*$C$226:$C$242)</f>
        <v>1573.12260216704</v>
      </c>
      <c r="N251" s="26" t="n">
        <f aca="false">SUMPRODUCT(($B$226:$B$242=$A251)*N$226:N$242*$C$226:$C$242)</f>
        <v>1573.12260216704</v>
      </c>
      <c r="O251" s="26" t="n">
        <f aca="false">SUMPRODUCT(($B$226:$B$242=$A251)*O$226:O$242*$C$226:$C$242)</f>
        <v>1573.12260216704</v>
      </c>
      <c r="P251" s="26" t="n">
        <f aca="false">SUMPRODUCT(($B$226:$B$242=$A251)*P$226:P$242*$C$226:$C$242)</f>
        <v>18877.4712260045</v>
      </c>
    </row>
    <row r="252" customFormat="false" ht="15" hidden="false" customHeight="false" outlineLevel="0" collapsed="false">
      <c r="A252" s="4" t="s">
        <v>162</v>
      </c>
      <c r="D252" s="26" t="n">
        <f aca="false">SUMPRODUCT(($B$226:$B$242=$A252)*D$226:D$242*$C$226:$C$242)</f>
        <v>64.3481246873162</v>
      </c>
      <c r="E252" s="26" t="n">
        <f aca="false">SUMPRODUCT(($B$226:$B$242=$A252)*E$226:E$242*$C$226:$C$242)</f>
        <v>64.3481246873162</v>
      </c>
      <c r="F252" s="26" t="n">
        <f aca="false">SUMPRODUCT(($B$226:$B$242=$A252)*F$226:F$242*$C$226:$C$242)</f>
        <v>64.3481246873162</v>
      </c>
      <c r="G252" s="26" t="n">
        <f aca="false">SUMPRODUCT(($B$226:$B$242=$A252)*G$226:G$242*$C$226:$C$242)</f>
        <v>64.3481246873162</v>
      </c>
      <c r="H252" s="26" t="n">
        <f aca="false">SUMPRODUCT(($B$226:$B$242=$A252)*H$226:H$242*$C$226:$C$242)</f>
        <v>64.3481246873162</v>
      </c>
      <c r="I252" s="26" t="n">
        <f aca="false">SUMPRODUCT(($B$226:$B$242=$A252)*I$226:I$242*$C$226:$C$242)</f>
        <v>64.3481246873162</v>
      </c>
      <c r="J252" s="26" t="n">
        <f aca="false">SUMPRODUCT(($B$226:$B$242=$A252)*J$226:J$242*$C$226:$C$242)</f>
        <v>64.3481246873162</v>
      </c>
      <c r="K252" s="26" t="n">
        <f aca="false">SUMPRODUCT(($B$226:$B$242=$A252)*K$226:K$242*$C$226:$C$242)</f>
        <v>64.3481246873162</v>
      </c>
      <c r="L252" s="26" t="n">
        <f aca="false">SUMPRODUCT(($B$226:$B$242=$A252)*L$226:L$242*$C$226:$C$242)</f>
        <v>64.3481246873162</v>
      </c>
      <c r="M252" s="26" t="n">
        <f aca="false">SUMPRODUCT(($B$226:$B$242=$A252)*M$226:M$242*$C$226:$C$242)</f>
        <v>64.3481246873162</v>
      </c>
      <c r="N252" s="26" t="n">
        <f aca="false">SUMPRODUCT(($B$226:$B$242=$A252)*N$226:N$242*$C$226:$C$242)</f>
        <v>64.3481246873162</v>
      </c>
      <c r="O252" s="26" t="n">
        <f aca="false">SUMPRODUCT(($B$226:$B$242=$A252)*O$226:O$242*$C$226:$C$242)</f>
        <v>64.3481246873162</v>
      </c>
      <c r="P252" s="26" t="n">
        <f aca="false">SUMPRODUCT(($B$226:$B$242=$A252)*P$226:P$242*$C$226:$C$242)</f>
        <v>772.177496247794</v>
      </c>
    </row>
    <row r="253" customFormat="false" ht="15" hidden="false" customHeight="false" outlineLevel="0" collapsed="false">
      <c r="A253" s="6" t="s">
        <v>312</v>
      </c>
      <c r="D253" s="27" t="n">
        <f aca="false">SUMPRODUCT(D$226:D$242*parametros_recargas!$D$51:$D$67)</f>
        <v>652.734293893292</v>
      </c>
      <c r="E253" s="27" t="n">
        <f aca="false">SUMPRODUCT(E$226:E$242*parametros_recargas!$D$51:$D$67)</f>
        <v>652.734293893292</v>
      </c>
      <c r="F253" s="27" t="n">
        <f aca="false">SUMPRODUCT(F$226:F$242*parametros_recargas!$D$51:$D$67)</f>
        <v>652.734293893292</v>
      </c>
      <c r="G253" s="27" t="n">
        <f aca="false">SUMPRODUCT(G$226:G$242*parametros_recargas!$D$51:$D$67)</f>
        <v>652.734293893292</v>
      </c>
      <c r="H253" s="27" t="n">
        <f aca="false">SUMPRODUCT(H$226:H$242*parametros_recargas!$D$51:$D$67)</f>
        <v>652.734293893292</v>
      </c>
      <c r="I253" s="27" t="n">
        <f aca="false">SUMPRODUCT(I$226:I$242*parametros_recargas!$D$51:$D$67)</f>
        <v>652.734293893292</v>
      </c>
      <c r="J253" s="27" t="n">
        <f aca="false">SUMPRODUCT(J$226:J$242*parametros_recargas!$D$51:$D$67)</f>
        <v>652.734293893292</v>
      </c>
      <c r="K253" s="27" t="n">
        <f aca="false">SUMPRODUCT(K$226:K$242*parametros_recargas!$D$51:$D$67)</f>
        <v>652.734293893292</v>
      </c>
      <c r="L253" s="27" t="n">
        <f aca="false">SUMPRODUCT(L$226:L$242*parametros_recargas!$D$51:$D$67)</f>
        <v>652.734293893292</v>
      </c>
      <c r="M253" s="27" t="n">
        <f aca="false">SUMPRODUCT(M$226:M$242*parametros_recargas!$D$51:$D$67)</f>
        <v>652.734293893292</v>
      </c>
      <c r="N253" s="27" t="n">
        <f aca="false">SUMPRODUCT(N$226:N$242*parametros_recargas!$D$51:$D$67)</f>
        <v>652.734293893292</v>
      </c>
      <c r="O253" s="27" t="n">
        <f aca="false">SUMPRODUCT(O$226:O$242*parametros_recargas!$D$51:$D$67)</f>
        <v>652.734293893292</v>
      </c>
      <c r="P253" s="27" t="n">
        <f aca="false">SUMPRODUCT(P$226:P$242*parametros_recargas!$D$51:$D$67)</f>
        <v>7832.81152671951</v>
      </c>
    </row>
    <row r="257" customFormat="false" ht="23.85" hidden="false" customHeight="false" outlineLevel="0" collapsed="false">
      <c r="A257" s="28" t="n">
        <v>2034</v>
      </c>
      <c r="B257" s="3" t="s">
        <v>307</v>
      </c>
      <c r="C257" s="3" t="s">
        <v>308</v>
      </c>
      <c r="D257" s="3" t="s">
        <v>133</v>
      </c>
      <c r="E257" s="3" t="s">
        <v>134</v>
      </c>
      <c r="F257" s="3" t="s">
        <v>135</v>
      </c>
      <c r="G257" s="3" t="s">
        <v>136</v>
      </c>
      <c r="H257" s="3" t="s">
        <v>137</v>
      </c>
      <c r="I257" s="3" t="s">
        <v>138</v>
      </c>
      <c r="J257" s="3" t="s">
        <v>139</v>
      </c>
      <c r="K257" s="3" t="s">
        <v>140</v>
      </c>
      <c r="L257" s="3" t="s">
        <v>141</v>
      </c>
      <c r="M257" s="3" t="s">
        <v>142</v>
      </c>
      <c r="N257" s="3" t="s">
        <v>143</v>
      </c>
      <c r="O257" s="3" t="s">
        <v>144</v>
      </c>
      <c r="P257" s="3" t="s">
        <v>67</v>
      </c>
      <c r="Q257" s="3" t="s">
        <v>309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5" t="n">
        <f aca="false">parametros_recargas!C51</f>
        <v>1</v>
      </c>
      <c r="D258" s="26" t="n">
        <f aca="false">datos_base!$J$2*parametros_recargas!$B$45+sobrestock_sustitutos!$J$88/12</f>
        <v>10895.3532620395</v>
      </c>
      <c r="E258" s="26" t="n">
        <f aca="false">datos_base!$J$2*parametros_recargas!$C$45+sobrestock_sustitutos!$J$88/12</f>
        <v>10895.3532620395</v>
      </c>
      <c r="F258" s="26" t="n">
        <f aca="false">datos_base!$J$2*parametros_recargas!$D$45+sobrestock_sustitutos!$J$88/12</f>
        <v>10895.3532620395</v>
      </c>
      <c r="G258" s="26" t="n">
        <f aca="false">datos_base!$J$2*parametros_recargas!$E$45+sobrestock_sustitutos!$J$88/12</f>
        <v>10895.3532620395</v>
      </c>
      <c r="H258" s="26" t="n">
        <f aca="false">datos_base!$J$2*parametros_recargas!$F$45+sobrestock_sustitutos!$J$88/12</f>
        <v>10895.3532620395</v>
      </c>
      <c r="I258" s="26" t="n">
        <f aca="false">datos_base!$J$2*parametros_recargas!$G$45+sobrestock_sustitutos!$J$88/12</f>
        <v>10895.3532620395</v>
      </c>
      <c r="J258" s="26" t="n">
        <f aca="false">datos_base!$J$2*parametros_recargas!$H$45+sobrestock_sustitutos!$J$88/12</f>
        <v>10895.3532620395</v>
      </c>
      <c r="K258" s="26" t="n">
        <f aca="false">datos_base!$J$2*parametros_recargas!$I$45+sobrestock_sustitutos!$J$88/12</f>
        <v>10895.3532620395</v>
      </c>
      <c r="L258" s="26" t="n">
        <f aca="false">datos_base!$J$2*parametros_recargas!$J$45+sobrestock_sustitutos!$J$88/12</f>
        <v>10895.3532620395</v>
      </c>
      <c r="M258" s="26" t="n">
        <f aca="false">datos_base!$J$2*parametros_recargas!$K$45+sobrestock_sustitutos!$J$88/12</f>
        <v>10895.3532620395</v>
      </c>
      <c r="N258" s="26" t="n">
        <f aca="false">datos_base!$J$2*parametros_recargas!$L$45+sobrestock_sustitutos!$J$88/12</f>
        <v>10895.3532620395</v>
      </c>
      <c r="O258" s="26" t="n">
        <f aca="false">datos_base!$J$2*parametros_recargas!$M$45+sobrestock_sustitutos!$J$88/12</f>
        <v>10895.3532620395</v>
      </c>
      <c r="P258" s="7" t="n">
        <f aca="false">SUM(D258:O258)</f>
        <v>130744.239144474</v>
      </c>
      <c r="Q258" s="13" t="n">
        <f aca="false">sobrestock_sustitutos!$J$88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5" t="n">
        <f aca="false">parametros_recargas!C52</f>
        <v>1</v>
      </c>
      <c r="D259" s="26" t="n">
        <f aca="false">datos_base!$J$3*parametros_recargas!$B$45+sobrestock_sustitutos!$J$89/12</f>
        <v>925.962779901761</v>
      </c>
      <c r="E259" s="26" t="n">
        <f aca="false">datos_base!$J$3*parametros_recargas!$C$45+sobrestock_sustitutos!$J$89/12</f>
        <v>925.962779901761</v>
      </c>
      <c r="F259" s="26" t="n">
        <f aca="false">datos_base!$J$3*parametros_recargas!$D$45+sobrestock_sustitutos!$J$89/12</f>
        <v>925.962779901761</v>
      </c>
      <c r="G259" s="26" t="n">
        <f aca="false">datos_base!$J$3*parametros_recargas!$E$45+sobrestock_sustitutos!$J$89/12</f>
        <v>925.962779901761</v>
      </c>
      <c r="H259" s="26" t="n">
        <f aca="false">datos_base!$J$3*parametros_recargas!$F$45+sobrestock_sustitutos!$J$89/12</f>
        <v>925.962779901761</v>
      </c>
      <c r="I259" s="26" t="n">
        <f aca="false">datos_base!$J$3*parametros_recargas!$G$45+sobrestock_sustitutos!$J$89/12</f>
        <v>925.962779901761</v>
      </c>
      <c r="J259" s="26" t="n">
        <f aca="false">datos_base!$J$3*parametros_recargas!$H$45+sobrestock_sustitutos!$J$89/12</f>
        <v>925.962779901761</v>
      </c>
      <c r="K259" s="26" t="n">
        <f aca="false">datos_base!$J$3*parametros_recargas!$I$45+sobrestock_sustitutos!$J$89/12</f>
        <v>925.962779901761</v>
      </c>
      <c r="L259" s="26" t="n">
        <f aca="false">datos_base!$J$3*parametros_recargas!$J$45+sobrestock_sustitutos!$J$89/12</f>
        <v>925.962779901761</v>
      </c>
      <c r="M259" s="26" t="n">
        <f aca="false">datos_base!$J$3*parametros_recargas!$K$45+sobrestock_sustitutos!$J$89/12</f>
        <v>925.962779901761</v>
      </c>
      <c r="N259" s="26" t="n">
        <f aca="false">datos_base!$J$3*parametros_recargas!$L$45+sobrestock_sustitutos!$J$89/12</f>
        <v>925.962779901761</v>
      </c>
      <c r="O259" s="26" t="n">
        <f aca="false">datos_base!$J$3*parametros_recargas!$M$45+sobrestock_sustitutos!$J$89/12</f>
        <v>925.962779901761</v>
      </c>
      <c r="P259" s="7" t="n">
        <f aca="false">SUM(D259:O259)</f>
        <v>11111.5533588211</v>
      </c>
      <c r="Q259" s="13" t="n">
        <f aca="false">sobrestock_sustitutos!$J$89</f>
        <v>127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5" t="n">
        <f aca="false">parametros_recargas!C53</f>
        <v>1</v>
      </c>
      <c r="D260" s="26" t="n">
        <f aca="false">datos_base!$J$4*parametros_recargas!$B$45+sobrestock_sustitutos!$J$90/12</f>
        <v>5646.37960782914</v>
      </c>
      <c r="E260" s="26" t="n">
        <f aca="false">datos_base!$J$4*parametros_recargas!$C$45+sobrestock_sustitutos!$J$90/12</f>
        <v>5646.37960782914</v>
      </c>
      <c r="F260" s="26" t="n">
        <f aca="false">datos_base!$J$4*parametros_recargas!$D$45+sobrestock_sustitutos!$J$90/12</f>
        <v>5646.37960782914</v>
      </c>
      <c r="G260" s="26" t="n">
        <f aca="false">datos_base!$J$4*parametros_recargas!$E$45+sobrestock_sustitutos!$J$90/12</f>
        <v>5646.37960782914</v>
      </c>
      <c r="H260" s="26" t="n">
        <f aca="false">datos_base!$J$4*parametros_recargas!$F$45+sobrestock_sustitutos!$J$90/12</f>
        <v>5646.37960782914</v>
      </c>
      <c r="I260" s="26" t="n">
        <f aca="false">datos_base!$J$4*parametros_recargas!$G$45+sobrestock_sustitutos!$J$90/12</f>
        <v>5646.37960782914</v>
      </c>
      <c r="J260" s="26" t="n">
        <f aca="false">datos_base!$J$4*parametros_recargas!$H$45+sobrestock_sustitutos!$J$90/12</f>
        <v>5646.37960782914</v>
      </c>
      <c r="K260" s="26" t="n">
        <f aca="false">datos_base!$J$4*parametros_recargas!$I$45+sobrestock_sustitutos!$J$90/12</f>
        <v>5646.37960782914</v>
      </c>
      <c r="L260" s="26" t="n">
        <f aca="false">datos_base!$J$4*parametros_recargas!$J$45+sobrestock_sustitutos!$J$90/12</f>
        <v>5646.37960782914</v>
      </c>
      <c r="M260" s="26" t="n">
        <f aca="false">datos_base!$J$4*parametros_recargas!$K$45+sobrestock_sustitutos!$J$90/12</f>
        <v>5646.37960782914</v>
      </c>
      <c r="N260" s="26" t="n">
        <f aca="false">datos_base!$J$4*parametros_recargas!$L$45+sobrestock_sustitutos!$J$90/12</f>
        <v>5646.37960782914</v>
      </c>
      <c r="O260" s="26" t="n">
        <f aca="false">datos_base!$J$4*parametros_recargas!$M$45+sobrestock_sustitutos!$J$90/12</f>
        <v>5646.37960782914</v>
      </c>
      <c r="P260" s="7" t="n">
        <f aca="false">SUM(D260:O260)</f>
        <v>67756.5552939497</v>
      </c>
      <c r="Q260" s="13" t="n">
        <f aca="false">sobrestock_sustitutos!$J$90</f>
        <v>777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5" t="n">
        <f aca="false">parametros_recargas!C54</f>
        <v>1</v>
      </c>
      <c r="D261" s="26" t="n">
        <f aca="false">datos_base!$J$5*parametros_recargas!$B$45+sobrestock_sustitutos!$J$91/12</f>
        <v>334.301821675148</v>
      </c>
      <c r="E261" s="26" t="n">
        <f aca="false">datos_base!$J$5*parametros_recargas!$C$45+sobrestock_sustitutos!$J$91/12</f>
        <v>334.301821675148</v>
      </c>
      <c r="F261" s="26" t="n">
        <f aca="false">datos_base!$J$5*parametros_recargas!$D$45+sobrestock_sustitutos!$J$91/12</f>
        <v>334.301821675148</v>
      </c>
      <c r="G261" s="26" t="n">
        <f aca="false">datos_base!$J$5*parametros_recargas!$E$45+sobrestock_sustitutos!$J$91/12</f>
        <v>334.301821675148</v>
      </c>
      <c r="H261" s="26" t="n">
        <f aca="false">datos_base!$J$5*parametros_recargas!$F$45+sobrestock_sustitutos!$J$91/12</f>
        <v>334.301821675148</v>
      </c>
      <c r="I261" s="26" t="n">
        <f aca="false">datos_base!$J$5*parametros_recargas!$G$45+sobrestock_sustitutos!$J$91/12</f>
        <v>334.301821675148</v>
      </c>
      <c r="J261" s="26" t="n">
        <f aca="false">datos_base!$J$5*parametros_recargas!$H$45+sobrestock_sustitutos!$J$91/12</f>
        <v>334.301821675148</v>
      </c>
      <c r="K261" s="26" t="n">
        <f aca="false">datos_base!$J$5*parametros_recargas!$I$45+sobrestock_sustitutos!$J$91/12</f>
        <v>334.301821675148</v>
      </c>
      <c r="L261" s="26" t="n">
        <f aca="false">datos_base!$J$5*parametros_recargas!$J$45+sobrestock_sustitutos!$J$91/12</f>
        <v>334.301821675148</v>
      </c>
      <c r="M261" s="26" t="n">
        <f aca="false">datos_base!$J$5*parametros_recargas!$K$45+sobrestock_sustitutos!$J$91/12</f>
        <v>334.301821675148</v>
      </c>
      <c r="N261" s="26" t="n">
        <f aca="false">datos_base!$J$5*parametros_recargas!$L$45+sobrestock_sustitutos!$J$91/12</f>
        <v>334.301821675148</v>
      </c>
      <c r="O261" s="26" t="n">
        <f aca="false">datos_base!$J$5*parametros_recargas!$M$45+sobrestock_sustitutos!$J$91/12</f>
        <v>334.301821675148</v>
      </c>
      <c r="P261" s="7" t="n">
        <f aca="false">SUM(D261:O261)</f>
        <v>4011.62186010178</v>
      </c>
      <c r="Q261" s="13" t="n">
        <f aca="false">sobrestock_sustitutos!$J$91</f>
        <v>46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5" t="n">
        <f aca="false">parametros_recargas!C55</f>
        <v>1</v>
      </c>
      <c r="D262" s="26" t="n">
        <f aca="false">datos_base!$J$6*parametros_recargas!$B$45+sobrestock_sustitutos!$J$92/12</f>
        <v>471.351367816733</v>
      </c>
      <c r="E262" s="26" t="n">
        <f aca="false">datos_base!$J$6*parametros_recargas!$C$45+sobrestock_sustitutos!$J$92/12</f>
        <v>471.351367816733</v>
      </c>
      <c r="F262" s="26" t="n">
        <f aca="false">datos_base!$J$6*parametros_recargas!$D$45+sobrestock_sustitutos!$J$92/12</f>
        <v>471.351367816733</v>
      </c>
      <c r="G262" s="26" t="n">
        <f aca="false">datos_base!$J$6*parametros_recargas!$E$45+sobrestock_sustitutos!$J$92/12</f>
        <v>471.351367816733</v>
      </c>
      <c r="H262" s="26" t="n">
        <f aca="false">datos_base!$J$6*parametros_recargas!$F$45+sobrestock_sustitutos!$J$92/12</f>
        <v>471.351367816733</v>
      </c>
      <c r="I262" s="26" t="n">
        <f aca="false">datos_base!$J$6*parametros_recargas!$G$45+sobrestock_sustitutos!$J$92/12</f>
        <v>471.351367816733</v>
      </c>
      <c r="J262" s="26" t="n">
        <f aca="false">datos_base!$J$6*parametros_recargas!$H$45+sobrestock_sustitutos!$J$92/12</f>
        <v>471.351367816733</v>
      </c>
      <c r="K262" s="26" t="n">
        <f aca="false">datos_base!$J$6*parametros_recargas!$I$45+sobrestock_sustitutos!$J$92/12</f>
        <v>471.351367816733</v>
      </c>
      <c r="L262" s="26" t="n">
        <f aca="false">datos_base!$J$6*parametros_recargas!$J$45+sobrestock_sustitutos!$J$92/12</f>
        <v>471.351367816733</v>
      </c>
      <c r="M262" s="26" t="n">
        <f aca="false">datos_base!$J$6*parametros_recargas!$K$45+sobrestock_sustitutos!$J$92/12</f>
        <v>471.351367816733</v>
      </c>
      <c r="N262" s="26" t="n">
        <f aca="false">datos_base!$J$6*parametros_recargas!$L$45+sobrestock_sustitutos!$J$92/12</f>
        <v>471.351367816733</v>
      </c>
      <c r="O262" s="26" t="n">
        <f aca="false">datos_base!$J$6*parametros_recargas!$M$45+sobrestock_sustitutos!$J$92/12</f>
        <v>471.351367816733</v>
      </c>
      <c r="P262" s="7" t="n">
        <f aca="false">SUM(D262:O262)</f>
        <v>5656.21641380079</v>
      </c>
      <c r="Q262" s="13" t="n">
        <f aca="false">sobrestock_sustitutos!$J$92</f>
        <v>65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5" t="n">
        <f aca="false">parametros_recargas!C56</f>
        <v>1</v>
      </c>
      <c r="D263" s="26" t="n">
        <f aca="false">datos_base!$J$7*parametros_recargas!$B$45+sobrestock_sustitutos!$J$93/12</f>
        <v>88.722111645028</v>
      </c>
      <c r="E263" s="26" t="n">
        <f aca="false">datos_base!$J$7*parametros_recargas!$C$45+sobrestock_sustitutos!$J$93/12</f>
        <v>88.722111645028</v>
      </c>
      <c r="F263" s="26" t="n">
        <f aca="false">datos_base!$J$7*parametros_recargas!$D$45+sobrestock_sustitutos!$J$93/12</f>
        <v>88.722111645028</v>
      </c>
      <c r="G263" s="26" t="n">
        <f aca="false">datos_base!$J$7*parametros_recargas!$E$45+sobrestock_sustitutos!$J$93/12</f>
        <v>88.722111645028</v>
      </c>
      <c r="H263" s="26" t="n">
        <f aca="false">datos_base!$J$7*parametros_recargas!$F$45+sobrestock_sustitutos!$J$93/12</f>
        <v>88.722111645028</v>
      </c>
      <c r="I263" s="26" t="n">
        <f aca="false">datos_base!$J$7*parametros_recargas!$G$45+sobrestock_sustitutos!$J$93/12</f>
        <v>88.722111645028</v>
      </c>
      <c r="J263" s="26" t="n">
        <f aca="false">datos_base!$J$7*parametros_recargas!$H$45+sobrestock_sustitutos!$J$93/12</f>
        <v>88.722111645028</v>
      </c>
      <c r="K263" s="26" t="n">
        <f aca="false">datos_base!$J$7*parametros_recargas!$I$45+sobrestock_sustitutos!$J$93/12</f>
        <v>88.722111645028</v>
      </c>
      <c r="L263" s="26" t="n">
        <f aca="false">datos_base!$J$7*parametros_recargas!$J$45+sobrestock_sustitutos!$J$93/12</f>
        <v>88.722111645028</v>
      </c>
      <c r="M263" s="26" t="n">
        <f aca="false">datos_base!$J$7*parametros_recargas!$K$45+sobrestock_sustitutos!$J$93/12</f>
        <v>88.722111645028</v>
      </c>
      <c r="N263" s="26" t="n">
        <f aca="false">datos_base!$J$7*parametros_recargas!$L$45+sobrestock_sustitutos!$J$93/12</f>
        <v>88.722111645028</v>
      </c>
      <c r="O263" s="26" t="n">
        <f aca="false">datos_base!$J$7*parametros_recargas!$M$45+sobrestock_sustitutos!$J$93/12</f>
        <v>88.722111645028</v>
      </c>
      <c r="P263" s="7" t="n">
        <f aca="false">SUM(D263:O263)</f>
        <v>1064.66533974034</v>
      </c>
      <c r="Q263" s="13" t="n">
        <f aca="false">sobrestock_sustitutos!$J$93</f>
        <v>13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5" t="n">
        <f aca="false">parametros_recargas!C57</f>
        <v>3</v>
      </c>
      <c r="D264" s="26" t="n">
        <f aca="false">datos_base!$J$8*parametros_recargas!$B$45+sobrestock_sustitutos!$J$94/12</f>
        <v>46.4571418110107</v>
      </c>
      <c r="E264" s="26" t="n">
        <f aca="false">datos_base!$J$8*parametros_recargas!$C$45+sobrestock_sustitutos!$J$94/12</f>
        <v>46.4571418110107</v>
      </c>
      <c r="F264" s="26" t="n">
        <f aca="false">datos_base!$J$8*parametros_recargas!$D$45+sobrestock_sustitutos!$J$94/12</f>
        <v>46.4571418110107</v>
      </c>
      <c r="G264" s="26" t="n">
        <f aca="false">datos_base!$J$8*parametros_recargas!$E$45+sobrestock_sustitutos!$J$94/12</f>
        <v>46.4571418110107</v>
      </c>
      <c r="H264" s="26" t="n">
        <f aca="false">datos_base!$J$8*parametros_recargas!$F$45+sobrestock_sustitutos!$J$94/12</f>
        <v>46.4571418110107</v>
      </c>
      <c r="I264" s="26" t="n">
        <f aca="false">datos_base!$J$8*parametros_recargas!$G$45+sobrestock_sustitutos!$J$94/12</f>
        <v>46.4571418110107</v>
      </c>
      <c r="J264" s="26" t="n">
        <f aca="false">datos_base!$J$8*parametros_recargas!$H$45+sobrestock_sustitutos!$J$94/12</f>
        <v>46.4571418110107</v>
      </c>
      <c r="K264" s="26" t="n">
        <f aca="false">datos_base!$J$8*parametros_recargas!$I$45+sobrestock_sustitutos!$J$94/12</f>
        <v>46.4571418110107</v>
      </c>
      <c r="L264" s="26" t="n">
        <f aca="false">datos_base!$J$8*parametros_recargas!$J$45+sobrestock_sustitutos!$J$94/12</f>
        <v>46.4571418110107</v>
      </c>
      <c r="M264" s="26" t="n">
        <f aca="false">datos_base!$J$8*parametros_recargas!$K$45+sobrestock_sustitutos!$J$94/12</f>
        <v>46.4571418110107</v>
      </c>
      <c r="N264" s="26" t="n">
        <f aca="false">datos_base!$J$8*parametros_recargas!$L$45+sobrestock_sustitutos!$J$94/12</f>
        <v>46.4571418110107</v>
      </c>
      <c r="O264" s="26" t="n">
        <f aca="false">datos_base!$J$8*parametros_recargas!$M$45+sobrestock_sustitutos!$J$94/12</f>
        <v>46.4571418110107</v>
      </c>
      <c r="P264" s="7" t="n">
        <f aca="false">SUM(D264:O264)</f>
        <v>557.485701732129</v>
      </c>
      <c r="Q264" s="13" t="n">
        <f aca="false">sobrestock_sustitutos!$J$94</f>
        <v>7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5" t="n">
        <f aca="false">parametros_recargas!C58</f>
        <v>1</v>
      </c>
      <c r="D265" s="26" t="n">
        <f aca="false">datos_base!$J$9*parametros_recargas!$B$45+sobrestock_sustitutos!$J$95/12</f>
        <v>26.7742761834888</v>
      </c>
      <c r="E265" s="26" t="n">
        <f aca="false">datos_base!$J$9*parametros_recargas!$C$45+sobrestock_sustitutos!$J$95/12</f>
        <v>26.7742761834888</v>
      </c>
      <c r="F265" s="26" t="n">
        <f aca="false">datos_base!$J$9*parametros_recargas!$D$45+sobrestock_sustitutos!$J$95/12</f>
        <v>26.7742761834888</v>
      </c>
      <c r="G265" s="26" t="n">
        <f aca="false">datos_base!$J$9*parametros_recargas!$E$45+sobrestock_sustitutos!$J$95/12</f>
        <v>26.7742761834888</v>
      </c>
      <c r="H265" s="26" t="n">
        <f aca="false">datos_base!$J$9*parametros_recargas!$F$45+sobrestock_sustitutos!$J$95/12</f>
        <v>26.7742761834888</v>
      </c>
      <c r="I265" s="26" t="n">
        <f aca="false">datos_base!$J$9*parametros_recargas!$G$45+sobrestock_sustitutos!$J$95/12</f>
        <v>26.7742761834888</v>
      </c>
      <c r="J265" s="26" t="n">
        <f aca="false">datos_base!$J$9*parametros_recargas!$H$45+sobrestock_sustitutos!$J$95/12</f>
        <v>26.7742761834888</v>
      </c>
      <c r="K265" s="26" t="n">
        <f aca="false">datos_base!$J$9*parametros_recargas!$I$45+sobrestock_sustitutos!$J$95/12</f>
        <v>26.7742761834888</v>
      </c>
      <c r="L265" s="26" t="n">
        <f aca="false">datos_base!$J$9*parametros_recargas!$J$45+sobrestock_sustitutos!$J$95/12</f>
        <v>26.7742761834888</v>
      </c>
      <c r="M265" s="26" t="n">
        <f aca="false">datos_base!$J$9*parametros_recargas!$K$45+sobrestock_sustitutos!$J$95/12</f>
        <v>26.7742761834888</v>
      </c>
      <c r="N265" s="26" t="n">
        <f aca="false">datos_base!$J$9*parametros_recargas!$L$45+sobrestock_sustitutos!$J$95/12</f>
        <v>26.7742761834888</v>
      </c>
      <c r="O265" s="26" t="n">
        <f aca="false">datos_base!$J$9*parametros_recargas!$M$45+sobrestock_sustitutos!$J$95/12</f>
        <v>26.7742761834888</v>
      </c>
      <c r="P265" s="7" t="n">
        <f aca="false">SUM(D265:O265)</f>
        <v>321.291314201865</v>
      </c>
      <c r="Q265" s="13" t="n">
        <f aca="false">sobrestock_sustitutos!$J$95</f>
        <v>4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5" t="n">
        <f aca="false">parametros_recargas!C59</f>
        <v>1</v>
      </c>
      <c r="D266" s="26" t="n">
        <f aca="false">datos_base!$J$10*parametros_recargas!$B$45+sobrestock_sustitutos!$J$96/12</f>
        <v>232.254760023877</v>
      </c>
      <c r="E266" s="26" t="n">
        <f aca="false">datos_base!$J$10*parametros_recargas!$C$45+sobrestock_sustitutos!$J$96/12</f>
        <v>232.254760023877</v>
      </c>
      <c r="F266" s="26" t="n">
        <f aca="false">datos_base!$J$10*parametros_recargas!$D$45+sobrestock_sustitutos!$J$96/12</f>
        <v>232.254760023877</v>
      </c>
      <c r="G266" s="26" t="n">
        <f aca="false">datos_base!$J$10*parametros_recargas!$E$45+sobrestock_sustitutos!$J$96/12</f>
        <v>232.254760023877</v>
      </c>
      <c r="H266" s="26" t="n">
        <f aca="false">datos_base!$J$10*parametros_recargas!$F$45+sobrestock_sustitutos!$J$96/12</f>
        <v>232.254760023877</v>
      </c>
      <c r="I266" s="26" t="n">
        <f aca="false">datos_base!$J$10*parametros_recargas!$G$45+sobrestock_sustitutos!$J$96/12</f>
        <v>232.254760023877</v>
      </c>
      <c r="J266" s="26" t="n">
        <f aca="false">datos_base!$J$10*parametros_recargas!$H$45+sobrestock_sustitutos!$J$96/12</f>
        <v>232.254760023877</v>
      </c>
      <c r="K266" s="26" t="n">
        <f aca="false">datos_base!$J$10*parametros_recargas!$I$45+sobrestock_sustitutos!$J$96/12</f>
        <v>232.254760023877</v>
      </c>
      <c r="L266" s="26" t="n">
        <f aca="false">datos_base!$J$10*parametros_recargas!$J$45+sobrestock_sustitutos!$J$96/12</f>
        <v>232.254760023877</v>
      </c>
      <c r="M266" s="26" t="n">
        <f aca="false">datos_base!$J$10*parametros_recargas!$K$45+sobrestock_sustitutos!$J$96/12</f>
        <v>232.254760023877</v>
      </c>
      <c r="N266" s="26" t="n">
        <f aca="false">datos_base!$J$10*parametros_recargas!$L$45+sobrestock_sustitutos!$J$96/12</f>
        <v>232.254760023877</v>
      </c>
      <c r="O266" s="26" t="n">
        <f aca="false">datos_base!$J$10*parametros_recargas!$M$45+sobrestock_sustitutos!$J$96/12</f>
        <v>232.254760023877</v>
      </c>
      <c r="P266" s="7" t="n">
        <f aca="false">SUM(D266:O266)</f>
        <v>2787.05712028652</v>
      </c>
      <c r="Q266" s="13" t="n">
        <f aca="false">sobrestock_sustitutos!$J$96</f>
        <v>32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5" t="n">
        <f aca="false">parametros_recargas!C60</f>
        <v>1</v>
      </c>
      <c r="D267" s="26" t="n">
        <f aca="false">datos_base!$J$11*parametros_recargas!$B$45+sobrestock_sustitutos!$J$97/12</f>
        <v>1269.76676369298</v>
      </c>
      <c r="E267" s="26" t="n">
        <f aca="false">datos_base!$J$11*parametros_recargas!$C$45+sobrestock_sustitutos!$J$97/12</f>
        <v>1269.76676369298</v>
      </c>
      <c r="F267" s="26" t="n">
        <f aca="false">datos_base!$J$11*parametros_recargas!$D$45+sobrestock_sustitutos!$J$97/12</f>
        <v>1269.76676369298</v>
      </c>
      <c r="G267" s="26" t="n">
        <f aca="false">datos_base!$J$11*parametros_recargas!$E$45+sobrestock_sustitutos!$J$97/12</f>
        <v>1269.76676369298</v>
      </c>
      <c r="H267" s="26" t="n">
        <f aca="false">datos_base!$J$11*parametros_recargas!$F$45+sobrestock_sustitutos!$J$97/12</f>
        <v>1269.76676369298</v>
      </c>
      <c r="I267" s="26" t="n">
        <f aca="false">datos_base!$J$11*parametros_recargas!$G$45+sobrestock_sustitutos!$J$97/12</f>
        <v>1269.76676369298</v>
      </c>
      <c r="J267" s="26" t="n">
        <f aca="false">datos_base!$J$11*parametros_recargas!$H$45+sobrestock_sustitutos!$J$97/12</f>
        <v>1269.76676369298</v>
      </c>
      <c r="K267" s="26" t="n">
        <f aca="false">datos_base!$J$11*parametros_recargas!$I$45+sobrestock_sustitutos!$J$97/12</f>
        <v>1269.76676369298</v>
      </c>
      <c r="L267" s="26" t="n">
        <f aca="false">datos_base!$J$11*parametros_recargas!$J$45+sobrestock_sustitutos!$J$97/12</f>
        <v>1269.76676369298</v>
      </c>
      <c r="M267" s="26" t="n">
        <f aca="false">datos_base!$J$11*parametros_recargas!$K$45+sobrestock_sustitutos!$J$97/12</f>
        <v>1269.76676369298</v>
      </c>
      <c r="N267" s="26" t="n">
        <f aca="false">datos_base!$J$11*parametros_recargas!$L$45+sobrestock_sustitutos!$J$97/12</f>
        <v>1269.76676369298</v>
      </c>
      <c r="O267" s="26" t="n">
        <f aca="false">datos_base!$J$11*parametros_recargas!$M$45+sobrestock_sustitutos!$J$97/12</f>
        <v>1269.76676369298</v>
      </c>
      <c r="P267" s="7" t="n">
        <f aca="false">SUM(D267:O267)</f>
        <v>15237.2011643158</v>
      </c>
      <c r="Q267" s="13" t="n">
        <f aca="false">sobrestock_sustitutos!$J$97</f>
        <v>175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5" t="n">
        <f aca="false">parametros_recargas!C61</f>
        <v>1</v>
      </c>
      <c r="D268" s="26" t="n">
        <f aca="false">datos_base!$J$12*parametros_recargas!$B$45+sobrestock_sustitutos!$J$98/12</f>
        <v>431.127076532345</v>
      </c>
      <c r="E268" s="26" t="n">
        <f aca="false">datos_base!$J$12*parametros_recargas!$C$45+sobrestock_sustitutos!$J$98/12</f>
        <v>431.127076532345</v>
      </c>
      <c r="F268" s="26" t="n">
        <f aca="false">datos_base!$J$12*parametros_recargas!$D$45+sobrestock_sustitutos!$J$98/12</f>
        <v>431.127076532345</v>
      </c>
      <c r="G268" s="26" t="n">
        <f aca="false">datos_base!$J$12*parametros_recargas!$E$45+sobrestock_sustitutos!$J$98/12</f>
        <v>431.127076532345</v>
      </c>
      <c r="H268" s="26" t="n">
        <f aca="false">datos_base!$J$12*parametros_recargas!$F$45+sobrestock_sustitutos!$J$98/12</f>
        <v>431.127076532345</v>
      </c>
      <c r="I268" s="26" t="n">
        <f aca="false">datos_base!$J$12*parametros_recargas!$G$45+sobrestock_sustitutos!$J$98/12</f>
        <v>431.127076532345</v>
      </c>
      <c r="J268" s="26" t="n">
        <f aca="false">datos_base!$J$12*parametros_recargas!$H$45+sobrestock_sustitutos!$J$98/12</f>
        <v>431.127076532345</v>
      </c>
      <c r="K268" s="26" t="n">
        <f aca="false">datos_base!$J$12*parametros_recargas!$I$45+sobrestock_sustitutos!$J$98/12</f>
        <v>431.127076532345</v>
      </c>
      <c r="L268" s="26" t="n">
        <f aca="false">datos_base!$J$12*parametros_recargas!$J$45+sobrestock_sustitutos!$J$98/12</f>
        <v>431.127076532345</v>
      </c>
      <c r="M268" s="26" t="n">
        <f aca="false">datos_base!$J$12*parametros_recargas!$K$45+sobrestock_sustitutos!$J$98/12</f>
        <v>431.127076532345</v>
      </c>
      <c r="N268" s="26" t="n">
        <f aca="false">datos_base!$J$12*parametros_recargas!$L$45+sobrestock_sustitutos!$J$98/12</f>
        <v>431.127076532345</v>
      </c>
      <c r="O268" s="26" t="n">
        <f aca="false">datos_base!$J$12*parametros_recargas!$M$45+sobrestock_sustitutos!$J$98/12</f>
        <v>431.127076532345</v>
      </c>
      <c r="P268" s="7" t="n">
        <f aca="false">SUM(D268:O268)</f>
        <v>5173.52491838814</v>
      </c>
      <c r="Q268" s="13" t="n">
        <f aca="false">sobrestock_sustitutos!$J$98</f>
        <v>59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5" t="n">
        <f aca="false">parametros_recargas!C62</f>
        <v>1</v>
      </c>
      <c r="D269" s="26" t="n">
        <f aca="false">datos_base!$J$13*parametros_recargas!$B$45+sobrestock_sustitutos!$J$99/12</f>
        <v>70.3308552940766</v>
      </c>
      <c r="E269" s="26" t="n">
        <f aca="false">datos_base!$J$13*parametros_recargas!$C$45+sobrestock_sustitutos!$J$99/12</f>
        <v>70.3308552940766</v>
      </c>
      <c r="F269" s="26" t="n">
        <f aca="false">datos_base!$J$13*parametros_recargas!$D$45+sobrestock_sustitutos!$J$99/12</f>
        <v>70.3308552940766</v>
      </c>
      <c r="G269" s="26" t="n">
        <f aca="false">datos_base!$J$13*parametros_recargas!$E$45+sobrestock_sustitutos!$J$99/12</f>
        <v>70.3308552940766</v>
      </c>
      <c r="H269" s="26" t="n">
        <f aca="false">datos_base!$J$13*parametros_recargas!$F$45+sobrestock_sustitutos!$J$99/12</f>
        <v>70.3308552940766</v>
      </c>
      <c r="I269" s="26" t="n">
        <f aca="false">datos_base!$J$13*parametros_recargas!$G$45+sobrestock_sustitutos!$J$99/12</f>
        <v>70.3308552940766</v>
      </c>
      <c r="J269" s="26" t="n">
        <f aca="false">datos_base!$J$13*parametros_recargas!$H$45+sobrestock_sustitutos!$J$99/12</f>
        <v>70.3308552940766</v>
      </c>
      <c r="K269" s="26" t="n">
        <f aca="false">datos_base!$J$13*parametros_recargas!$I$45+sobrestock_sustitutos!$J$99/12</f>
        <v>70.3308552940766</v>
      </c>
      <c r="L269" s="26" t="n">
        <f aca="false">datos_base!$J$13*parametros_recargas!$J$45+sobrestock_sustitutos!$J$99/12</f>
        <v>70.3308552940766</v>
      </c>
      <c r="M269" s="26" t="n">
        <f aca="false">datos_base!$J$13*parametros_recargas!$K$45+sobrestock_sustitutos!$J$99/12</f>
        <v>70.3308552940766</v>
      </c>
      <c r="N269" s="26" t="n">
        <f aca="false">datos_base!$J$13*parametros_recargas!$L$45+sobrestock_sustitutos!$J$99/12</f>
        <v>70.3308552940766</v>
      </c>
      <c r="O269" s="26" t="n">
        <f aca="false">datos_base!$J$13*parametros_recargas!$M$45+sobrestock_sustitutos!$J$99/12</f>
        <v>70.3308552940766</v>
      </c>
      <c r="P269" s="7" t="n">
        <f aca="false">SUM(D269:O269)</f>
        <v>843.970263528919</v>
      </c>
      <c r="Q269" s="13" t="n">
        <f aca="false">sobrestock_sustitutos!$J$99</f>
        <v>10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5" t="n">
        <f aca="false">parametros_recargas!C63</f>
        <v>1</v>
      </c>
      <c r="D270" s="26" t="n">
        <f aca="false">datos_base!$J$14*parametros_recargas!$B$45+sobrestock_sustitutos!$J$100/12</f>
        <v>24.1585312842397</v>
      </c>
      <c r="E270" s="26" t="n">
        <f aca="false">datos_base!$J$14*parametros_recargas!$C$45+sobrestock_sustitutos!$J$100/12</f>
        <v>24.1585312842397</v>
      </c>
      <c r="F270" s="26" t="n">
        <f aca="false">datos_base!$J$14*parametros_recargas!$D$45+sobrestock_sustitutos!$J$100/12</f>
        <v>24.1585312842397</v>
      </c>
      <c r="G270" s="26" t="n">
        <f aca="false">datos_base!$J$14*parametros_recargas!$E$45+sobrestock_sustitutos!$J$100/12</f>
        <v>24.1585312842397</v>
      </c>
      <c r="H270" s="26" t="n">
        <f aca="false">datos_base!$J$14*parametros_recargas!$F$45+sobrestock_sustitutos!$J$100/12</f>
        <v>24.1585312842397</v>
      </c>
      <c r="I270" s="26" t="n">
        <f aca="false">datos_base!$J$14*parametros_recargas!$G$45+sobrestock_sustitutos!$J$100/12</f>
        <v>24.1585312842397</v>
      </c>
      <c r="J270" s="26" t="n">
        <f aca="false">datos_base!$J$14*parametros_recargas!$H$45+sobrestock_sustitutos!$J$100/12</f>
        <v>24.1585312842397</v>
      </c>
      <c r="K270" s="26" t="n">
        <f aca="false">datos_base!$J$14*parametros_recargas!$I$45+sobrestock_sustitutos!$J$100/12</f>
        <v>24.1585312842397</v>
      </c>
      <c r="L270" s="26" t="n">
        <f aca="false">datos_base!$J$14*parametros_recargas!$J$45+sobrestock_sustitutos!$J$100/12</f>
        <v>24.1585312842397</v>
      </c>
      <c r="M270" s="26" t="n">
        <f aca="false">datos_base!$J$14*parametros_recargas!$K$45+sobrestock_sustitutos!$J$100/12</f>
        <v>24.1585312842397</v>
      </c>
      <c r="N270" s="26" t="n">
        <f aca="false">datos_base!$J$14*parametros_recargas!$L$45+sobrestock_sustitutos!$J$100/12</f>
        <v>24.1585312842397</v>
      </c>
      <c r="O270" s="26" t="n">
        <f aca="false">datos_base!$J$14*parametros_recargas!$M$45+sobrestock_sustitutos!$J$100/12</f>
        <v>24.1585312842397</v>
      </c>
      <c r="P270" s="7" t="n">
        <f aca="false">SUM(D270:O270)</f>
        <v>289.902375410877</v>
      </c>
      <c r="Q270" s="13" t="n">
        <f aca="false">sobrestock_sustitutos!$J$100</f>
        <v>4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5" t="n">
        <f aca="false">parametros_recargas!C64</f>
        <v>3</v>
      </c>
      <c r="D271" s="26" t="n">
        <f aca="false">datos_base!$J$15*parametros_recargas!$B$45+sobrestock_sustitutos!$J$101/12</f>
        <v>57.9227674030619</v>
      </c>
      <c r="E271" s="26" t="n">
        <f aca="false">datos_base!$J$15*parametros_recargas!$C$45+sobrestock_sustitutos!$J$101/12</f>
        <v>57.9227674030619</v>
      </c>
      <c r="F271" s="26" t="n">
        <f aca="false">datos_base!$J$15*parametros_recargas!$D$45+sobrestock_sustitutos!$J$101/12</f>
        <v>57.9227674030619</v>
      </c>
      <c r="G271" s="26" t="n">
        <f aca="false">datos_base!$J$15*parametros_recargas!$E$45+sobrestock_sustitutos!$J$101/12</f>
        <v>57.9227674030619</v>
      </c>
      <c r="H271" s="26" t="n">
        <f aca="false">datos_base!$J$15*parametros_recargas!$F$45+sobrestock_sustitutos!$J$101/12</f>
        <v>57.9227674030619</v>
      </c>
      <c r="I271" s="26" t="n">
        <f aca="false">datos_base!$J$15*parametros_recargas!$G$45+sobrestock_sustitutos!$J$101/12</f>
        <v>57.9227674030619</v>
      </c>
      <c r="J271" s="26" t="n">
        <f aca="false">datos_base!$J$15*parametros_recargas!$H$45+sobrestock_sustitutos!$J$101/12</f>
        <v>57.9227674030619</v>
      </c>
      <c r="K271" s="26" t="n">
        <f aca="false">datos_base!$J$15*parametros_recargas!$I$45+sobrestock_sustitutos!$J$101/12</f>
        <v>57.9227674030619</v>
      </c>
      <c r="L271" s="26" t="n">
        <f aca="false">datos_base!$J$15*parametros_recargas!$J$45+sobrestock_sustitutos!$J$101/12</f>
        <v>57.9227674030619</v>
      </c>
      <c r="M271" s="26" t="n">
        <f aca="false">datos_base!$J$15*parametros_recargas!$K$45+sobrestock_sustitutos!$J$101/12</f>
        <v>57.9227674030619</v>
      </c>
      <c r="N271" s="26" t="n">
        <f aca="false">datos_base!$J$15*parametros_recargas!$L$45+sobrestock_sustitutos!$J$101/12</f>
        <v>57.9227674030619</v>
      </c>
      <c r="O271" s="26" t="n">
        <f aca="false">datos_base!$J$15*parametros_recargas!$M$45+sobrestock_sustitutos!$J$101/12</f>
        <v>57.9227674030619</v>
      </c>
      <c r="P271" s="7" t="n">
        <f aca="false">SUM(D271:O271)</f>
        <v>695.073208836743</v>
      </c>
      <c r="Q271" s="13" t="n">
        <f aca="false">sobrestock_sustitutos!$J$101</f>
        <v>8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5" t="n">
        <f aca="false">parametros_recargas!C65</f>
        <v>3</v>
      </c>
      <c r="D272" s="26" t="n">
        <f aca="false">datos_base!$J$16*parametros_recargas!$B$45+sobrestock_sustitutos!$J$102/12</f>
        <v>127.463421560756</v>
      </c>
      <c r="E272" s="26" t="n">
        <f aca="false">datos_base!$J$16*parametros_recargas!$C$45+sobrestock_sustitutos!$J$102/12</f>
        <v>127.463421560756</v>
      </c>
      <c r="F272" s="26" t="n">
        <f aca="false">datos_base!$J$16*parametros_recargas!$D$45+sobrestock_sustitutos!$J$102/12</f>
        <v>127.463421560756</v>
      </c>
      <c r="G272" s="26" t="n">
        <f aca="false">datos_base!$J$16*parametros_recargas!$E$45+sobrestock_sustitutos!$J$102/12</f>
        <v>127.463421560756</v>
      </c>
      <c r="H272" s="26" t="n">
        <f aca="false">datos_base!$J$16*parametros_recargas!$F$45+sobrestock_sustitutos!$J$102/12</f>
        <v>127.463421560756</v>
      </c>
      <c r="I272" s="26" t="n">
        <f aca="false">datos_base!$J$16*parametros_recargas!$G$45+sobrestock_sustitutos!$J$102/12</f>
        <v>127.463421560756</v>
      </c>
      <c r="J272" s="26" t="n">
        <f aca="false">datos_base!$J$16*parametros_recargas!$H$45+sobrestock_sustitutos!$J$102/12</f>
        <v>127.463421560756</v>
      </c>
      <c r="K272" s="26" t="n">
        <f aca="false">datos_base!$J$16*parametros_recargas!$I$45+sobrestock_sustitutos!$J$102/12</f>
        <v>127.463421560756</v>
      </c>
      <c r="L272" s="26" t="n">
        <f aca="false">datos_base!$J$16*parametros_recargas!$J$45+sobrestock_sustitutos!$J$102/12</f>
        <v>127.463421560756</v>
      </c>
      <c r="M272" s="26" t="n">
        <f aca="false">datos_base!$J$16*parametros_recargas!$K$45+sobrestock_sustitutos!$J$102/12</f>
        <v>127.463421560756</v>
      </c>
      <c r="N272" s="26" t="n">
        <f aca="false">datos_base!$J$16*parametros_recargas!$L$45+sobrestock_sustitutos!$J$102/12</f>
        <v>127.463421560756</v>
      </c>
      <c r="O272" s="26" t="n">
        <f aca="false">datos_base!$J$16*parametros_recargas!$M$45+sobrestock_sustitutos!$J$102/12</f>
        <v>127.463421560756</v>
      </c>
      <c r="P272" s="7" t="n">
        <f aca="false">SUM(D272:O272)</f>
        <v>1529.56105872907</v>
      </c>
      <c r="Q272" s="13" t="n">
        <f aca="false">sobrestock_sustitutos!$J$102</f>
        <v>18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5" t="n">
        <f aca="false">parametros_recargas!C66</f>
        <v>3</v>
      </c>
      <c r="D273" s="26" t="n">
        <f aca="false">datos_base!$J$17*parametros_recargas!$B$45+sobrestock_sustitutos!$J$103/12</f>
        <v>27.8162616986658</v>
      </c>
      <c r="E273" s="26" t="n">
        <f aca="false">datos_base!$J$17*parametros_recargas!$C$45+sobrestock_sustitutos!$J$103/12</f>
        <v>27.8162616986658</v>
      </c>
      <c r="F273" s="26" t="n">
        <f aca="false">datos_base!$J$17*parametros_recargas!$D$45+sobrestock_sustitutos!$J$103/12</f>
        <v>27.8162616986658</v>
      </c>
      <c r="G273" s="26" t="n">
        <f aca="false">datos_base!$J$17*parametros_recargas!$E$45+sobrestock_sustitutos!$J$103/12</f>
        <v>27.8162616986658</v>
      </c>
      <c r="H273" s="26" t="n">
        <f aca="false">datos_base!$J$17*parametros_recargas!$F$45+sobrestock_sustitutos!$J$103/12</f>
        <v>27.8162616986658</v>
      </c>
      <c r="I273" s="26" t="n">
        <f aca="false">datos_base!$J$17*parametros_recargas!$G$45+sobrestock_sustitutos!$J$103/12</f>
        <v>27.8162616986658</v>
      </c>
      <c r="J273" s="26" t="n">
        <f aca="false">datos_base!$J$17*parametros_recargas!$H$45+sobrestock_sustitutos!$J$103/12</f>
        <v>27.8162616986658</v>
      </c>
      <c r="K273" s="26" t="n">
        <f aca="false">datos_base!$J$17*parametros_recargas!$I$45+sobrestock_sustitutos!$J$103/12</f>
        <v>27.8162616986658</v>
      </c>
      <c r="L273" s="26" t="n">
        <f aca="false">datos_base!$J$17*parametros_recargas!$J$45+sobrestock_sustitutos!$J$103/12</f>
        <v>27.8162616986658</v>
      </c>
      <c r="M273" s="26" t="n">
        <f aca="false">datos_base!$J$17*parametros_recargas!$K$45+sobrestock_sustitutos!$J$103/12</f>
        <v>27.8162616986658</v>
      </c>
      <c r="N273" s="26" t="n">
        <f aca="false">datos_base!$J$17*parametros_recargas!$L$45+sobrestock_sustitutos!$J$103/12</f>
        <v>27.8162616986658</v>
      </c>
      <c r="O273" s="26" t="n">
        <f aca="false">datos_base!$J$17*parametros_recargas!$M$45+sobrestock_sustitutos!$J$103/12</f>
        <v>27.8162616986658</v>
      </c>
      <c r="P273" s="7" t="n">
        <f aca="false">SUM(D273:O273)</f>
        <v>333.795140383989</v>
      </c>
      <c r="Q273" s="13" t="n">
        <f aca="false">sobrestock_sustitutos!$J$103</f>
        <v>4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5" t="n">
        <f aca="false">parametros_recargas!C67</f>
        <v>3</v>
      </c>
      <c r="D274" s="26" t="n">
        <f aca="false">datos_base!$J$18*parametros_recargas!$B$45+sobrestock_sustitutos!$J$104/12</f>
        <v>18.5719522237837</v>
      </c>
      <c r="E274" s="26" t="n">
        <f aca="false">datos_base!$J$18*parametros_recargas!$C$45+sobrestock_sustitutos!$J$104/12</f>
        <v>18.5719522237837</v>
      </c>
      <c r="F274" s="26" t="n">
        <f aca="false">datos_base!$J$18*parametros_recargas!$D$45+sobrestock_sustitutos!$J$104/12</f>
        <v>18.5719522237837</v>
      </c>
      <c r="G274" s="26" t="n">
        <f aca="false">datos_base!$J$18*parametros_recargas!$E$45+sobrestock_sustitutos!$J$104/12</f>
        <v>18.5719522237837</v>
      </c>
      <c r="H274" s="26" t="n">
        <f aca="false">datos_base!$J$18*parametros_recargas!$F$45+sobrestock_sustitutos!$J$104/12</f>
        <v>18.5719522237837</v>
      </c>
      <c r="I274" s="26" t="n">
        <f aca="false">datos_base!$J$18*parametros_recargas!$G$45+sobrestock_sustitutos!$J$104/12</f>
        <v>18.5719522237837</v>
      </c>
      <c r="J274" s="26" t="n">
        <f aca="false">datos_base!$J$18*parametros_recargas!$H$45+sobrestock_sustitutos!$J$104/12</f>
        <v>18.5719522237837</v>
      </c>
      <c r="K274" s="26" t="n">
        <f aca="false">datos_base!$J$18*parametros_recargas!$I$45+sobrestock_sustitutos!$J$104/12</f>
        <v>18.5719522237837</v>
      </c>
      <c r="L274" s="26" t="n">
        <f aca="false">datos_base!$J$18*parametros_recargas!$J$45+sobrestock_sustitutos!$J$104/12</f>
        <v>18.5719522237837</v>
      </c>
      <c r="M274" s="26" t="n">
        <f aca="false">datos_base!$J$18*parametros_recargas!$K$45+sobrestock_sustitutos!$J$104/12</f>
        <v>18.5719522237837</v>
      </c>
      <c r="N274" s="26" t="n">
        <f aca="false">datos_base!$J$18*parametros_recargas!$L$45+sobrestock_sustitutos!$J$104/12</f>
        <v>18.5719522237837</v>
      </c>
      <c r="O274" s="26" t="n">
        <f aca="false">datos_base!$J$18*parametros_recargas!$M$45+sobrestock_sustitutos!$J$104/12</f>
        <v>18.5719522237837</v>
      </c>
      <c r="P274" s="7" t="n">
        <f aca="false">SUM(D274:O274)</f>
        <v>222.863426685405</v>
      </c>
      <c r="Q274" s="13" t="n">
        <f aca="false">sobrestock_sustitutos!$J$104</f>
        <v>3</v>
      </c>
    </row>
    <row r="275" customFormat="false" ht="15" hidden="false" customHeight="false" outlineLevel="0" collapsed="false">
      <c r="A275" s="6" t="s">
        <v>310</v>
      </c>
      <c r="D275" s="7" t="n">
        <f aca="false">SUM(D258:D274)</f>
        <v>20694.7147586156</v>
      </c>
      <c r="E275" s="7" t="n">
        <f aca="false">SUM(E258:E274)</f>
        <v>20694.7147586156</v>
      </c>
      <c r="F275" s="7" t="n">
        <f aca="false">SUM(F258:F274)</f>
        <v>20694.7147586156</v>
      </c>
      <c r="G275" s="7" t="n">
        <f aca="false">SUM(G258:G274)</f>
        <v>20694.7147586156</v>
      </c>
      <c r="H275" s="7" t="n">
        <f aca="false">SUM(H258:H274)</f>
        <v>20694.7147586156</v>
      </c>
      <c r="I275" s="7" t="n">
        <f aca="false">SUM(I258:I274)</f>
        <v>20694.7147586156</v>
      </c>
      <c r="J275" s="7" t="n">
        <f aca="false">SUM(J258:J274)</f>
        <v>20694.7147586156</v>
      </c>
      <c r="K275" s="7" t="n">
        <f aca="false">SUM(K258:K274)</f>
        <v>20694.7147586156</v>
      </c>
      <c r="L275" s="7" t="n">
        <f aca="false">SUM(L258:L274)</f>
        <v>20694.7147586156</v>
      </c>
      <c r="M275" s="7" t="n">
        <f aca="false">SUM(M258:M274)</f>
        <v>20694.7147586156</v>
      </c>
      <c r="N275" s="7" t="n">
        <f aca="false">SUM(N258:N274)</f>
        <v>20694.7147586156</v>
      </c>
      <c r="O275" s="7" t="n">
        <f aca="false">SUM(O258:O274)</f>
        <v>20694.7147586156</v>
      </c>
      <c r="P275" s="7" t="n">
        <f aca="false">SUM(P258:P274)</f>
        <v>248336.577103387</v>
      </c>
    </row>
    <row r="276" customFormat="false" ht="15" hidden="false" customHeight="false" outlineLevel="0" collapsed="false">
      <c r="A276" s="6" t="s">
        <v>311</v>
      </c>
    </row>
    <row r="277" customFormat="false" ht="15" hidden="false" customHeight="false" outlineLevel="0" collapsed="false">
      <c r="A277" s="4" t="s">
        <v>151</v>
      </c>
      <c r="D277" s="26" t="n">
        <f aca="false">SUMPRODUCT(($B$258:$B$274=$A277)*D$258:D$274*$C$258:$C$274)</f>
        <v>18497.3206801043</v>
      </c>
      <c r="E277" s="26" t="n">
        <f aca="false">SUMPRODUCT(($B$258:$B$274=$A277)*E$258:E$274*$C$258:$C$274)</f>
        <v>18497.3206801043</v>
      </c>
      <c r="F277" s="26" t="n">
        <f aca="false">SUMPRODUCT(($B$258:$B$274=$A277)*F$258:F$274*$C$258:$C$274)</f>
        <v>18497.3206801043</v>
      </c>
      <c r="G277" s="26" t="n">
        <f aca="false">SUMPRODUCT(($B$258:$B$274=$A277)*G$258:G$274*$C$258:$C$274)</f>
        <v>18497.3206801043</v>
      </c>
      <c r="H277" s="26" t="n">
        <f aca="false">SUMPRODUCT(($B$258:$B$274=$A277)*H$258:H$274*$C$258:$C$274)</f>
        <v>18497.3206801043</v>
      </c>
      <c r="I277" s="26" t="n">
        <f aca="false">SUMPRODUCT(($B$258:$B$274=$A277)*I$258:I$274*$C$258:$C$274)</f>
        <v>18497.3206801043</v>
      </c>
      <c r="J277" s="26" t="n">
        <f aca="false">SUMPRODUCT(($B$258:$B$274=$A277)*J$258:J$274*$C$258:$C$274)</f>
        <v>18497.3206801043</v>
      </c>
      <c r="K277" s="26" t="n">
        <f aca="false">SUMPRODUCT(($B$258:$B$274=$A277)*K$258:K$274*$C$258:$C$274)</f>
        <v>18497.3206801043</v>
      </c>
      <c r="L277" s="26" t="n">
        <f aca="false">SUMPRODUCT(($B$258:$B$274=$A277)*L$258:L$274*$C$258:$C$274)</f>
        <v>18497.3206801043</v>
      </c>
      <c r="M277" s="26" t="n">
        <f aca="false">SUMPRODUCT(($B$258:$B$274=$A277)*M$258:M$274*$C$258:$C$274)</f>
        <v>18497.3206801043</v>
      </c>
      <c r="N277" s="26" t="n">
        <f aca="false">SUMPRODUCT(($B$258:$B$274=$A277)*N$258:N$274*$C$258:$C$274)</f>
        <v>18497.3206801043</v>
      </c>
      <c r="O277" s="26" t="n">
        <f aca="false">SUMPRODUCT(($B$258:$B$274=$A277)*O$258:O$274*$C$258:$C$274)</f>
        <v>18497.3206801043</v>
      </c>
      <c r="P277" s="26" t="n">
        <f aca="false">SUMPRODUCT(($B$258:$B$274=$A277)*P$258:P$274*$C$258:$C$274)</f>
        <v>221967.848161252</v>
      </c>
    </row>
    <row r="278" customFormat="false" ht="15" hidden="false" customHeight="false" outlineLevel="0" collapsed="false">
      <c r="A278" s="4" t="s">
        <v>157</v>
      </c>
      <c r="D278" s="26" t="n">
        <f aca="false">SUMPRODUCT(($B$258:$B$274=$A278)*D$258:D$274*$C$258:$C$274)</f>
        <v>26.7742761834888</v>
      </c>
      <c r="E278" s="26" t="n">
        <f aca="false">SUMPRODUCT(($B$258:$B$274=$A278)*E$258:E$274*$C$258:$C$274)</f>
        <v>26.7742761834888</v>
      </c>
      <c r="F278" s="26" t="n">
        <f aca="false">SUMPRODUCT(($B$258:$B$274=$A278)*F$258:F$274*$C$258:$C$274)</f>
        <v>26.7742761834888</v>
      </c>
      <c r="G278" s="26" t="n">
        <f aca="false">SUMPRODUCT(($B$258:$B$274=$A278)*G$258:G$274*$C$258:$C$274)</f>
        <v>26.7742761834888</v>
      </c>
      <c r="H278" s="26" t="n">
        <f aca="false">SUMPRODUCT(($B$258:$B$274=$A278)*H$258:H$274*$C$258:$C$274)</f>
        <v>26.7742761834888</v>
      </c>
      <c r="I278" s="26" t="n">
        <f aca="false">SUMPRODUCT(($B$258:$B$274=$A278)*I$258:I$274*$C$258:$C$274)</f>
        <v>26.7742761834888</v>
      </c>
      <c r="J278" s="26" t="n">
        <f aca="false">SUMPRODUCT(($B$258:$B$274=$A278)*J$258:J$274*$C$258:$C$274)</f>
        <v>26.7742761834888</v>
      </c>
      <c r="K278" s="26" t="n">
        <f aca="false">SUMPRODUCT(($B$258:$B$274=$A278)*K$258:K$274*$C$258:$C$274)</f>
        <v>26.7742761834888</v>
      </c>
      <c r="L278" s="26" t="n">
        <f aca="false">SUMPRODUCT(($B$258:$B$274=$A278)*L$258:L$274*$C$258:$C$274)</f>
        <v>26.7742761834888</v>
      </c>
      <c r="M278" s="26" t="n">
        <f aca="false">SUMPRODUCT(($B$258:$B$274=$A278)*M$258:M$274*$C$258:$C$274)</f>
        <v>26.7742761834888</v>
      </c>
      <c r="N278" s="26" t="n">
        <f aca="false">SUMPRODUCT(($B$258:$B$274=$A278)*N$258:N$274*$C$258:$C$274)</f>
        <v>26.7742761834888</v>
      </c>
      <c r="O278" s="26" t="n">
        <f aca="false">SUMPRODUCT(($B$258:$B$274=$A278)*O$258:O$274*$C$258:$C$274)</f>
        <v>26.7742761834888</v>
      </c>
      <c r="P278" s="26" t="n">
        <f aca="false">SUMPRODUCT(($B$258:$B$274=$A278)*P$258:P$274*$C$258:$C$274)</f>
        <v>321.291314201865</v>
      </c>
    </row>
    <row r="279" customFormat="false" ht="15" hidden="false" customHeight="false" outlineLevel="0" collapsed="false">
      <c r="A279" s="4" t="s">
        <v>163</v>
      </c>
      <c r="D279" s="26" t="n">
        <f aca="false">SUMPRODUCT(($B$258:$B$274=$A279)*D$258:D$274*$C$258:$C$274)</f>
        <v>24.1585312842397</v>
      </c>
      <c r="E279" s="26" t="n">
        <f aca="false">SUMPRODUCT(($B$258:$B$274=$A279)*E$258:E$274*$C$258:$C$274)</f>
        <v>24.1585312842397</v>
      </c>
      <c r="F279" s="26" t="n">
        <f aca="false">SUMPRODUCT(($B$258:$B$274=$A279)*F$258:F$274*$C$258:$C$274)</f>
        <v>24.1585312842397</v>
      </c>
      <c r="G279" s="26" t="n">
        <f aca="false">SUMPRODUCT(($B$258:$B$274=$A279)*G$258:G$274*$C$258:$C$274)</f>
        <v>24.1585312842397</v>
      </c>
      <c r="H279" s="26" t="n">
        <f aca="false">SUMPRODUCT(($B$258:$B$274=$A279)*H$258:H$274*$C$258:$C$274)</f>
        <v>24.1585312842397</v>
      </c>
      <c r="I279" s="26" t="n">
        <f aca="false">SUMPRODUCT(($B$258:$B$274=$A279)*I$258:I$274*$C$258:$C$274)</f>
        <v>24.1585312842397</v>
      </c>
      <c r="J279" s="26" t="n">
        <f aca="false">SUMPRODUCT(($B$258:$B$274=$A279)*J$258:J$274*$C$258:$C$274)</f>
        <v>24.1585312842397</v>
      </c>
      <c r="K279" s="26" t="n">
        <f aca="false">SUMPRODUCT(($B$258:$B$274=$A279)*K$258:K$274*$C$258:$C$274)</f>
        <v>24.1585312842397</v>
      </c>
      <c r="L279" s="26" t="n">
        <f aca="false">SUMPRODUCT(($B$258:$B$274=$A279)*L$258:L$274*$C$258:$C$274)</f>
        <v>24.1585312842397</v>
      </c>
      <c r="M279" s="26" t="n">
        <f aca="false">SUMPRODUCT(($B$258:$B$274=$A279)*M$258:M$274*$C$258:$C$274)</f>
        <v>24.1585312842397</v>
      </c>
      <c r="N279" s="26" t="n">
        <f aca="false">SUMPRODUCT(($B$258:$B$274=$A279)*N$258:N$274*$C$258:$C$274)</f>
        <v>24.1585312842397</v>
      </c>
      <c r="O279" s="26" t="n">
        <f aca="false">SUMPRODUCT(($B$258:$B$274=$A279)*O$258:O$274*$C$258:$C$274)</f>
        <v>24.1585312842397</v>
      </c>
      <c r="P279" s="26" t="n">
        <f aca="false">SUMPRODUCT(($B$258:$B$274=$A279)*P$258:P$274*$C$258:$C$274)</f>
        <v>289.902375410877</v>
      </c>
    </row>
    <row r="280" customFormat="false" ht="15" hidden="false" customHeight="false" outlineLevel="0" collapsed="false">
      <c r="A280" s="4" t="s">
        <v>154</v>
      </c>
      <c r="D280" s="26" t="n">
        <f aca="false">SUMPRODUCT(($B$258:$B$274=$A280)*D$258:D$274*$C$258:$C$274)</f>
        <v>471.351367816733</v>
      </c>
      <c r="E280" s="26" t="n">
        <f aca="false">SUMPRODUCT(($B$258:$B$274=$A280)*E$258:E$274*$C$258:$C$274)</f>
        <v>471.351367816733</v>
      </c>
      <c r="F280" s="26" t="n">
        <f aca="false">SUMPRODUCT(($B$258:$B$274=$A280)*F$258:F$274*$C$258:$C$274)</f>
        <v>471.351367816733</v>
      </c>
      <c r="G280" s="26" t="n">
        <f aca="false">SUMPRODUCT(($B$258:$B$274=$A280)*G$258:G$274*$C$258:$C$274)</f>
        <v>471.351367816733</v>
      </c>
      <c r="H280" s="26" t="n">
        <f aca="false">SUMPRODUCT(($B$258:$B$274=$A280)*H$258:H$274*$C$258:$C$274)</f>
        <v>471.351367816733</v>
      </c>
      <c r="I280" s="26" t="n">
        <f aca="false">SUMPRODUCT(($B$258:$B$274=$A280)*I$258:I$274*$C$258:$C$274)</f>
        <v>471.351367816733</v>
      </c>
      <c r="J280" s="26" t="n">
        <f aca="false">SUMPRODUCT(($B$258:$B$274=$A280)*J$258:J$274*$C$258:$C$274)</f>
        <v>471.351367816733</v>
      </c>
      <c r="K280" s="26" t="n">
        <f aca="false">SUMPRODUCT(($B$258:$B$274=$A280)*K$258:K$274*$C$258:$C$274)</f>
        <v>471.351367816733</v>
      </c>
      <c r="L280" s="26" t="n">
        <f aca="false">SUMPRODUCT(($B$258:$B$274=$A280)*L$258:L$274*$C$258:$C$274)</f>
        <v>471.351367816733</v>
      </c>
      <c r="M280" s="26" t="n">
        <f aca="false">SUMPRODUCT(($B$258:$B$274=$A280)*M$258:M$274*$C$258:$C$274)</f>
        <v>471.351367816733</v>
      </c>
      <c r="N280" s="26" t="n">
        <f aca="false">SUMPRODUCT(($B$258:$B$274=$A280)*N$258:N$274*$C$258:$C$274)</f>
        <v>471.351367816733</v>
      </c>
      <c r="O280" s="26" t="n">
        <f aca="false">SUMPRODUCT(($B$258:$B$274=$A280)*O$258:O$274*$C$258:$C$274)</f>
        <v>471.351367816733</v>
      </c>
      <c r="P280" s="26" t="n">
        <f aca="false">SUMPRODUCT(($B$258:$B$274=$A280)*P$258:P$274*$C$258:$C$274)</f>
        <v>5656.21641380079</v>
      </c>
    </row>
    <row r="281" customFormat="false" ht="15" hidden="false" customHeight="false" outlineLevel="0" collapsed="false">
      <c r="A281" s="4" t="s">
        <v>155</v>
      </c>
      <c r="D281" s="26" t="n">
        <f aca="false">SUMPRODUCT(($B$258:$B$274=$A281)*D$258:D$274*$C$258:$C$274)</f>
        <v>228.09353707806</v>
      </c>
      <c r="E281" s="26" t="n">
        <f aca="false">SUMPRODUCT(($B$258:$B$274=$A281)*E$258:E$274*$C$258:$C$274)</f>
        <v>228.09353707806</v>
      </c>
      <c r="F281" s="26" t="n">
        <f aca="false">SUMPRODUCT(($B$258:$B$274=$A281)*F$258:F$274*$C$258:$C$274)</f>
        <v>228.09353707806</v>
      </c>
      <c r="G281" s="26" t="n">
        <f aca="false">SUMPRODUCT(($B$258:$B$274=$A281)*G$258:G$274*$C$258:$C$274)</f>
        <v>228.09353707806</v>
      </c>
      <c r="H281" s="26" t="n">
        <f aca="false">SUMPRODUCT(($B$258:$B$274=$A281)*H$258:H$274*$C$258:$C$274)</f>
        <v>228.09353707806</v>
      </c>
      <c r="I281" s="26" t="n">
        <f aca="false">SUMPRODUCT(($B$258:$B$274=$A281)*I$258:I$274*$C$258:$C$274)</f>
        <v>228.09353707806</v>
      </c>
      <c r="J281" s="26" t="n">
        <f aca="false">SUMPRODUCT(($B$258:$B$274=$A281)*J$258:J$274*$C$258:$C$274)</f>
        <v>228.09353707806</v>
      </c>
      <c r="K281" s="26" t="n">
        <f aca="false">SUMPRODUCT(($B$258:$B$274=$A281)*K$258:K$274*$C$258:$C$274)</f>
        <v>228.09353707806</v>
      </c>
      <c r="L281" s="26" t="n">
        <f aca="false">SUMPRODUCT(($B$258:$B$274=$A281)*L$258:L$274*$C$258:$C$274)</f>
        <v>228.09353707806</v>
      </c>
      <c r="M281" s="26" t="n">
        <f aca="false">SUMPRODUCT(($B$258:$B$274=$A281)*M$258:M$274*$C$258:$C$274)</f>
        <v>228.09353707806</v>
      </c>
      <c r="N281" s="26" t="n">
        <f aca="false">SUMPRODUCT(($B$258:$B$274=$A281)*N$258:N$274*$C$258:$C$274)</f>
        <v>228.09353707806</v>
      </c>
      <c r="O281" s="26" t="n">
        <f aca="false">SUMPRODUCT(($B$258:$B$274=$A281)*O$258:O$274*$C$258:$C$274)</f>
        <v>228.09353707806</v>
      </c>
      <c r="P281" s="26" t="n">
        <f aca="false">SUMPRODUCT(($B$258:$B$274=$A281)*P$258:P$274*$C$258:$C$274)</f>
        <v>2737.12244493672</v>
      </c>
    </row>
    <row r="282" customFormat="false" ht="15" hidden="false" customHeight="false" outlineLevel="0" collapsed="false">
      <c r="A282" s="4" t="s">
        <v>158</v>
      </c>
      <c r="D282" s="26" t="n">
        <f aca="false">SUMPRODUCT(($B$258:$B$274=$A282)*D$258:D$274*$C$258:$C$274)</f>
        <v>232.254760023877</v>
      </c>
      <c r="E282" s="26" t="n">
        <f aca="false">SUMPRODUCT(($B$258:$B$274=$A282)*E$258:E$274*$C$258:$C$274)</f>
        <v>232.254760023877</v>
      </c>
      <c r="F282" s="26" t="n">
        <f aca="false">SUMPRODUCT(($B$258:$B$274=$A282)*F$258:F$274*$C$258:$C$274)</f>
        <v>232.254760023877</v>
      </c>
      <c r="G282" s="26" t="n">
        <f aca="false">SUMPRODUCT(($B$258:$B$274=$A282)*G$258:G$274*$C$258:$C$274)</f>
        <v>232.254760023877</v>
      </c>
      <c r="H282" s="26" t="n">
        <f aca="false">SUMPRODUCT(($B$258:$B$274=$A282)*H$258:H$274*$C$258:$C$274)</f>
        <v>232.254760023877</v>
      </c>
      <c r="I282" s="26" t="n">
        <f aca="false">SUMPRODUCT(($B$258:$B$274=$A282)*I$258:I$274*$C$258:$C$274)</f>
        <v>232.254760023877</v>
      </c>
      <c r="J282" s="26" t="n">
        <f aca="false">SUMPRODUCT(($B$258:$B$274=$A282)*J$258:J$274*$C$258:$C$274)</f>
        <v>232.254760023877</v>
      </c>
      <c r="K282" s="26" t="n">
        <f aca="false">SUMPRODUCT(($B$258:$B$274=$A282)*K$258:K$274*$C$258:$C$274)</f>
        <v>232.254760023877</v>
      </c>
      <c r="L282" s="26" t="n">
        <f aca="false">SUMPRODUCT(($B$258:$B$274=$A282)*L$258:L$274*$C$258:$C$274)</f>
        <v>232.254760023877</v>
      </c>
      <c r="M282" s="26" t="n">
        <f aca="false">SUMPRODUCT(($B$258:$B$274=$A282)*M$258:M$274*$C$258:$C$274)</f>
        <v>232.254760023877</v>
      </c>
      <c r="N282" s="26" t="n">
        <f aca="false">SUMPRODUCT(($B$258:$B$274=$A282)*N$258:N$274*$C$258:$C$274)</f>
        <v>232.254760023877</v>
      </c>
      <c r="O282" s="26" t="n">
        <f aca="false">SUMPRODUCT(($B$258:$B$274=$A282)*O$258:O$274*$C$258:$C$274)</f>
        <v>232.254760023877</v>
      </c>
      <c r="P282" s="26" t="n">
        <f aca="false">SUMPRODUCT(($B$258:$B$274=$A282)*P$258:P$274*$C$258:$C$274)</f>
        <v>2787.05712028652</v>
      </c>
    </row>
    <row r="283" customFormat="false" ht="15" hidden="false" customHeight="false" outlineLevel="0" collapsed="false">
      <c r="A283" s="4" t="s">
        <v>159</v>
      </c>
      <c r="D283" s="26" t="n">
        <f aca="false">SUMPRODUCT(($B$258:$B$274=$A283)*D$258:D$274*$C$258:$C$274)</f>
        <v>1700.89384022533</v>
      </c>
      <c r="E283" s="26" t="n">
        <f aca="false">SUMPRODUCT(($B$258:$B$274=$A283)*E$258:E$274*$C$258:$C$274)</f>
        <v>1700.89384022533</v>
      </c>
      <c r="F283" s="26" t="n">
        <f aca="false">SUMPRODUCT(($B$258:$B$274=$A283)*F$258:F$274*$C$258:$C$274)</f>
        <v>1700.89384022533</v>
      </c>
      <c r="G283" s="26" t="n">
        <f aca="false">SUMPRODUCT(($B$258:$B$274=$A283)*G$258:G$274*$C$258:$C$274)</f>
        <v>1700.89384022533</v>
      </c>
      <c r="H283" s="26" t="n">
        <f aca="false">SUMPRODUCT(($B$258:$B$274=$A283)*H$258:H$274*$C$258:$C$274)</f>
        <v>1700.89384022533</v>
      </c>
      <c r="I283" s="26" t="n">
        <f aca="false">SUMPRODUCT(($B$258:$B$274=$A283)*I$258:I$274*$C$258:$C$274)</f>
        <v>1700.89384022533</v>
      </c>
      <c r="J283" s="26" t="n">
        <f aca="false">SUMPRODUCT(($B$258:$B$274=$A283)*J$258:J$274*$C$258:$C$274)</f>
        <v>1700.89384022533</v>
      </c>
      <c r="K283" s="26" t="n">
        <f aca="false">SUMPRODUCT(($B$258:$B$274=$A283)*K$258:K$274*$C$258:$C$274)</f>
        <v>1700.89384022533</v>
      </c>
      <c r="L283" s="26" t="n">
        <f aca="false">SUMPRODUCT(($B$258:$B$274=$A283)*L$258:L$274*$C$258:$C$274)</f>
        <v>1700.89384022533</v>
      </c>
      <c r="M283" s="26" t="n">
        <f aca="false">SUMPRODUCT(($B$258:$B$274=$A283)*M$258:M$274*$C$258:$C$274)</f>
        <v>1700.89384022533</v>
      </c>
      <c r="N283" s="26" t="n">
        <f aca="false">SUMPRODUCT(($B$258:$B$274=$A283)*N$258:N$274*$C$258:$C$274)</f>
        <v>1700.89384022533</v>
      </c>
      <c r="O283" s="26" t="n">
        <f aca="false">SUMPRODUCT(($B$258:$B$274=$A283)*O$258:O$274*$C$258:$C$274)</f>
        <v>1700.89384022533</v>
      </c>
      <c r="P283" s="26" t="n">
        <f aca="false">SUMPRODUCT(($B$258:$B$274=$A283)*P$258:P$274*$C$258:$C$274)</f>
        <v>20410.7260827039</v>
      </c>
    </row>
    <row r="284" customFormat="false" ht="15" hidden="false" customHeight="false" outlineLevel="0" collapsed="false">
      <c r="A284" s="4" t="s">
        <v>162</v>
      </c>
      <c r="D284" s="26" t="n">
        <f aca="false">SUMPRODUCT(($B$258:$B$274=$A284)*D$258:D$274*$C$258:$C$274)</f>
        <v>70.3308552940766</v>
      </c>
      <c r="E284" s="26" t="n">
        <f aca="false">SUMPRODUCT(($B$258:$B$274=$A284)*E$258:E$274*$C$258:$C$274)</f>
        <v>70.3308552940766</v>
      </c>
      <c r="F284" s="26" t="n">
        <f aca="false">SUMPRODUCT(($B$258:$B$274=$A284)*F$258:F$274*$C$258:$C$274)</f>
        <v>70.3308552940766</v>
      </c>
      <c r="G284" s="26" t="n">
        <f aca="false">SUMPRODUCT(($B$258:$B$274=$A284)*G$258:G$274*$C$258:$C$274)</f>
        <v>70.3308552940766</v>
      </c>
      <c r="H284" s="26" t="n">
        <f aca="false">SUMPRODUCT(($B$258:$B$274=$A284)*H$258:H$274*$C$258:$C$274)</f>
        <v>70.3308552940766</v>
      </c>
      <c r="I284" s="26" t="n">
        <f aca="false">SUMPRODUCT(($B$258:$B$274=$A284)*I$258:I$274*$C$258:$C$274)</f>
        <v>70.3308552940766</v>
      </c>
      <c r="J284" s="26" t="n">
        <f aca="false">SUMPRODUCT(($B$258:$B$274=$A284)*J$258:J$274*$C$258:$C$274)</f>
        <v>70.3308552940766</v>
      </c>
      <c r="K284" s="26" t="n">
        <f aca="false">SUMPRODUCT(($B$258:$B$274=$A284)*K$258:K$274*$C$258:$C$274)</f>
        <v>70.3308552940766</v>
      </c>
      <c r="L284" s="26" t="n">
        <f aca="false">SUMPRODUCT(($B$258:$B$274=$A284)*L$258:L$274*$C$258:$C$274)</f>
        <v>70.3308552940766</v>
      </c>
      <c r="M284" s="26" t="n">
        <f aca="false">SUMPRODUCT(($B$258:$B$274=$A284)*M$258:M$274*$C$258:$C$274)</f>
        <v>70.3308552940766</v>
      </c>
      <c r="N284" s="26" t="n">
        <f aca="false">SUMPRODUCT(($B$258:$B$274=$A284)*N$258:N$274*$C$258:$C$274)</f>
        <v>70.3308552940766</v>
      </c>
      <c r="O284" s="26" t="n">
        <f aca="false">SUMPRODUCT(($B$258:$B$274=$A284)*O$258:O$274*$C$258:$C$274)</f>
        <v>70.3308552940766</v>
      </c>
      <c r="P284" s="26" t="n">
        <f aca="false">SUMPRODUCT(($B$258:$B$274=$A284)*P$258:P$274*$C$258:$C$274)</f>
        <v>843.970263528919</v>
      </c>
    </row>
    <row r="285" customFormat="false" ht="15" hidden="false" customHeight="false" outlineLevel="0" collapsed="false">
      <c r="A285" s="6" t="s">
        <v>312</v>
      </c>
      <c r="D285" s="27" t="n">
        <f aca="false">SUMPRODUCT(D$258:D$274*parametros_recargas!$D$51:$D$67)</f>
        <v>709.358621229623</v>
      </c>
      <c r="E285" s="27" t="n">
        <f aca="false">SUMPRODUCT(E$258:E$274*parametros_recargas!$D$51:$D$67)</f>
        <v>709.358621229623</v>
      </c>
      <c r="F285" s="27" t="n">
        <f aca="false">SUMPRODUCT(F$258:F$274*parametros_recargas!$D$51:$D$67)</f>
        <v>709.358621229623</v>
      </c>
      <c r="G285" s="27" t="n">
        <f aca="false">SUMPRODUCT(G$258:G$274*parametros_recargas!$D$51:$D$67)</f>
        <v>709.358621229623</v>
      </c>
      <c r="H285" s="27" t="n">
        <f aca="false">SUMPRODUCT(H$258:H$274*parametros_recargas!$D$51:$D$67)</f>
        <v>709.358621229623</v>
      </c>
      <c r="I285" s="27" t="n">
        <f aca="false">SUMPRODUCT(I$258:I$274*parametros_recargas!$D$51:$D$67)</f>
        <v>709.358621229623</v>
      </c>
      <c r="J285" s="27" t="n">
        <f aca="false">SUMPRODUCT(J$258:J$274*parametros_recargas!$D$51:$D$67)</f>
        <v>709.358621229623</v>
      </c>
      <c r="K285" s="27" t="n">
        <f aca="false">SUMPRODUCT(K$258:K$274*parametros_recargas!$D$51:$D$67)</f>
        <v>709.358621229623</v>
      </c>
      <c r="L285" s="27" t="n">
        <f aca="false">SUMPRODUCT(L$258:L$274*parametros_recargas!$D$51:$D$67)</f>
        <v>709.358621229623</v>
      </c>
      <c r="M285" s="27" t="n">
        <f aca="false">SUMPRODUCT(M$258:M$274*parametros_recargas!$D$51:$D$67)</f>
        <v>709.358621229623</v>
      </c>
      <c r="N285" s="27" t="n">
        <f aca="false">SUMPRODUCT(N$258:N$274*parametros_recargas!$D$51:$D$67)</f>
        <v>709.358621229623</v>
      </c>
      <c r="O285" s="27" t="n">
        <f aca="false">SUMPRODUCT(O$258:O$274*parametros_recargas!$D$51:$D$67)</f>
        <v>709.358621229623</v>
      </c>
      <c r="P285" s="27" t="n">
        <f aca="false">SUMPRODUCT(P$258:P$274*parametros_recargas!$D$51:$D$67)</f>
        <v>8512.30345475548</v>
      </c>
    </row>
    <row r="289" customFormat="false" ht="23.85" hidden="false" customHeight="false" outlineLevel="0" collapsed="false">
      <c r="A289" s="28" t="n">
        <v>2035</v>
      </c>
      <c r="B289" s="3" t="s">
        <v>307</v>
      </c>
      <c r="C289" s="3" t="s">
        <v>308</v>
      </c>
      <c r="D289" s="3" t="s">
        <v>133</v>
      </c>
      <c r="E289" s="3" t="s">
        <v>134</v>
      </c>
      <c r="F289" s="3" t="s">
        <v>135</v>
      </c>
      <c r="G289" s="3" t="s">
        <v>136</v>
      </c>
      <c r="H289" s="3" t="s">
        <v>137</v>
      </c>
      <c r="I289" s="3" t="s">
        <v>138</v>
      </c>
      <c r="J289" s="3" t="s">
        <v>139</v>
      </c>
      <c r="K289" s="3" t="s">
        <v>140</v>
      </c>
      <c r="L289" s="3" t="s">
        <v>141</v>
      </c>
      <c r="M289" s="3" t="s">
        <v>142</v>
      </c>
      <c r="N289" s="3" t="s">
        <v>143</v>
      </c>
      <c r="O289" s="3" t="s">
        <v>144</v>
      </c>
      <c r="P289" s="3" t="s">
        <v>67</v>
      </c>
      <c r="Q289" s="3" t="s">
        <v>309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5" t="n">
        <f aca="false">parametros_recargas!C51</f>
        <v>1</v>
      </c>
      <c r="D290" s="26" t="n">
        <f aca="false">datos_base!$K$2*parametros_recargas!$B$46+sobrestock_sustitutos!$K$88/12</f>
        <v>11642.2378185722</v>
      </c>
      <c r="E290" s="26" t="n">
        <f aca="false">datos_base!$K$2*parametros_recargas!$C$46+sobrestock_sustitutos!$K$88/12</f>
        <v>11642.2378185722</v>
      </c>
      <c r="F290" s="26" t="n">
        <f aca="false">datos_base!$K$2*parametros_recargas!$D$46+sobrestock_sustitutos!$K$88/12</f>
        <v>11642.2378185722</v>
      </c>
      <c r="G290" s="26" t="n">
        <f aca="false">datos_base!$K$2*parametros_recargas!$E$46+sobrestock_sustitutos!$K$88/12</f>
        <v>11642.2378185722</v>
      </c>
      <c r="H290" s="26" t="n">
        <f aca="false">datos_base!$K$2*parametros_recargas!$F$46+sobrestock_sustitutos!$K$88/12</f>
        <v>11642.2378185722</v>
      </c>
      <c r="I290" s="26" t="n">
        <f aca="false">datos_base!$K$2*parametros_recargas!$G$46+sobrestock_sustitutos!$K$88/12</f>
        <v>11642.2378185722</v>
      </c>
      <c r="J290" s="26" t="n">
        <f aca="false">datos_base!$K$2*parametros_recargas!$H$46+sobrestock_sustitutos!$K$88/12</f>
        <v>11642.2378185722</v>
      </c>
      <c r="K290" s="26" t="n">
        <f aca="false">datos_base!$K$2*parametros_recargas!$I$46+sobrestock_sustitutos!$K$88/12</f>
        <v>11642.2378185722</v>
      </c>
      <c r="L290" s="26" t="n">
        <f aca="false">datos_base!$K$2*parametros_recargas!$J$46+sobrestock_sustitutos!$K$88/12</f>
        <v>11642.2378185722</v>
      </c>
      <c r="M290" s="26" t="n">
        <f aca="false">datos_base!$K$2*parametros_recargas!$K$46+sobrestock_sustitutos!$K$88/12</f>
        <v>11642.2378185722</v>
      </c>
      <c r="N290" s="26" t="n">
        <f aca="false">datos_base!$K$2*parametros_recargas!$L$46+sobrestock_sustitutos!$K$88/12</f>
        <v>11642.2378185722</v>
      </c>
      <c r="O290" s="26" t="n">
        <f aca="false">datos_base!$K$2*parametros_recargas!$M$46+sobrestock_sustitutos!$K$88/12</f>
        <v>11642.2378185722</v>
      </c>
      <c r="P290" s="7" t="n">
        <f aca="false">SUM(D290:O290)</f>
        <v>139706.853822866</v>
      </c>
      <c r="Q290" s="13" t="n">
        <f aca="false">sobrestock_sustitutos!$K$88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5" t="n">
        <f aca="false">parametros_recargas!C52</f>
        <v>1</v>
      </c>
      <c r="D291" s="26" t="n">
        <f aca="false">datos_base!$K$3*parametros_recargas!$B$46+sobrestock_sustitutos!$K$89/12</f>
        <v>997.337587495586</v>
      </c>
      <c r="E291" s="26" t="n">
        <f aca="false">datos_base!$K$3*parametros_recargas!$C$46+sobrestock_sustitutos!$K$89/12</f>
        <v>997.337587495586</v>
      </c>
      <c r="F291" s="26" t="n">
        <f aca="false">datos_base!$K$3*parametros_recargas!$D$46+sobrestock_sustitutos!$K$89/12</f>
        <v>997.337587495586</v>
      </c>
      <c r="G291" s="26" t="n">
        <f aca="false">datos_base!$K$3*parametros_recargas!$E$46+sobrestock_sustitutos!$K$89/12</f>
        <v>997.337587495586</v>
      </c>
      <c r="H291" s="26" t="n">
        <f aca="false">datos_base!$K$3*parametros_recargas!$F$46+sobrestock_sustitutos!$K$89/12</f>
        <v>997.337587495586</v>
      </c>
      <c r="I291" s="26" t="n">
        <f aca="false">datos_base!$K$3*parametros_recargas!$G$46+sobrestock_sustitutos!$K$89/12</f>
        <v>997.337587495586</v>
      </c>
      <c r="J291" s="26" t="n">
        <f aca="false">datos_base!$K$3*parametros_recargas!$H$46+sobrestock_sustitutos!$K$89/12</f>
        <v>997.337587495586</v>
      </c>
      <c r="K291" s="26" t="n">
        <f aca="false">datos_base!$K$3*parametros_recargas!$I$46+sobrestock_sustitutos!$K$89/12</f>
        <v>997.337587495586</v>
      </c>
      <c r="L291" s="26" t="n">
        <f aca="false">datos_base!$K$3*parametros_recargas!$J$46+sobrestock_sustitutos!$K$89/12</f>
        <v>997.337587495586</v>
      </c>
      <c r="M291" s="26" t="n">
        <f aca="false">datos_base!$K$3*parametros_recargas!$K$46+sobrestock_sustitutos!$K$89/12</f>
        <v>997.337587495586</v>
      </c>
      <c r="N291" s="26" t="n">
        <f aca="false">datos_base!$K$3*parametros_recargas!$L$46+sobrestock_sustitutos!$K$89/12</f>
        <v>997.337587495586</v>
      </c>
      <c r="O291" s="26" t="n">
        <f aca="false">datos_base!$K$3*parametros_recargas!$M$46+sobrestock_sustitutos!$K$89/12</f>
        <v>997.337587495586</v>
      </c>
      <c r="P291" s="7" t="n">
        <f aca="false">SUM(D291:O291)</f>
        <v>11968.051049947</v>
      </c>
      <c r="Q291" s="13" t="n">
        <f aca="false">sobrestock_sustitutos!$K$89</f>
        <v>138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5" t="n">
        <f aca="false">parametros_recargas!C53</f>
        <v>1</v>
      </c>
      <c r="D292" s="26" t="n">
        <f aca="false">datos_base!$K$4*parametros_recargas!$B$46+sobrestock_sustitutos!$K$90/12</f>
        <v>6066.15465659131</v>
      </c>
      <c r="E292" s="26" t="n">
        <f aca="false">datos_base!$K$4*parametros_recargas!$C$46+sobrestock_sustitutos!$K$90/12</f>
        <v>6066.15465659131</v>
      </c>
      <c r="F292" s="26" t="n">
        <f aca="false">datos_base!$K$4*parametros_recargas!$D$46+sobrestock_sustitutos!$K$90/12</f>
        <v>6066.15465659131</v>
      </c>
      <c r="G292" s="26" t="n">
        <f aca="false">datos_base!$K$4*parametros_recargas!$E$46+sobrestock_sustitutos!$K$90/12</f>
        <v>6066.15465659131</v>
      </c>
      <c r="H292" s="26" t="n">
        <f aca="false">datos_base!$K$4*parametros_recargas!$F$46+sobrestock_sustitutos!$K$90/12</f>
        <v>6066.15465659131</v>
      </c>
      <c r="I292" s="26" t="n">
        <f aca="false">datos_base!$K$4*parametros_recargas!$G$46+sobrestock_sustitutos!$K$90/12</f>
        <v>6066.15465659131</v>
      </c>
      <c r="J292" s="26" t="n">
        <f aca="false">datos_base!$K$4*parametros_recargas!$H$46+sobrestock_sustitutos!$K$90/12</f>
        <v>6066.15465659131</v>
      </c>
      <c r="K292" s="26" t="n">
        <f aca="false">datos_base!$K$4*parametros_recargas!$I$46+sobrestock_sustitutos!$K$90/12</f>
        <v>6066.15465659131</v>
      </c>
      <c r="L292" s="26" t="n">
        <f aca="false">datos_base!$K$4*parametros_recargas!$J$46+sobrestock_sustitutos!$K$90/12</f>
        <v>6066.15465659131</v>
      </c>
      <c r="M292" s="26" t="n">
        <f aca="false">datos_base!$K$4*parametros_recargas!$K$46+sobrestock_sustitutos!$K$90/12</f>
        <v>6066.15465659131</v>
      </c>
      <c r="N292" s="26" t="n">
        <f aca="false">datos_base!$K$4*parametros_recargas!$L$46+sobrestock_sustitutos!$K$90/12</f>
        <v>6066.15465659131</v>
      </c>
      <c r="O292" s="26" t="n">
        <f aca="false">datos_base!$K$4*parametros_recargas!$M$46+sobrestock_sustitutos!$K$90/12</f>
        <v>6066.15465659131</v>
      </c>
      <c r="P292" s="7" t="n">
        <f aca="false">SUM(D292:O292)</f>
        <v>72793.8558790957</v>
      </c>
      <c r="Q292" s="13" t="n">
        <f aca="false">sobrestock_sustitutos!$K$90</f>
        <v>838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5" t="n">
        <f aca="false">parametros_recargas!C54</f>
        <v>1</v>
      </c>
      <c r="D293" s="26" t="n">
        <f aca="false">datos_base!$K$5*parametros_recargas!$B$46+sobrestock_sustitutos!$K$91/12</f>
        <v>359.215108155122</v>
      </c>
      <c r="E293" s="26" t="n">
        <f aca="false">datos_base!$K$5*parametros_recargas!$C$46+sobrestock_sustitutos!$K$91/12</f>
        <v>359.215108155122</v>
      </c>
      <c r="F293" s="26" t="n">
        <f aca="false">datos_base!$K$5*parametros_recargas!$D$46+sobrestock_sustitutos!$K$91/12</f>
        <v>359.215108155122</v>
      </c>
      <c r="G293" s="26" t="n">
        <f aca="false">datos_base!$K$5*parametros_recargas!$E$46+sobrestock_sustitutos!$K$91/12</f>
        <v>359.215108155122</v>
      </c>
      <c r="H293" s="26" t="n">
        <f aca="false">datos_base!$K$5*parametros_recargas!$F$46+sobrestock_sustitutos!$K$91/12</f>
        <v>359.215108155122</v>
      </c>
      <c r="I293" s="26" t="n">
        <f aca="false">datos_base!$K$5*parametros_recargas!$G$46+sobrestock_sustitutos!$K$91/12</f>
        <v>359.215108155122</v>
      </c>
      <c r="J293" s="26" t="n">
        <f aca="false">datos_base!$K$5*parametros_recargas!$H$46+sobrestock_sustitutos!$K$91/12</f>
        <v>359.215108155122</v>
      </c>
      <c r="K293" s="26" t="n">
        <f aca="false">datos_base!$K$5*parametros_recargas!$I$46+sobrestock_sustitutos!$K$91/12</f>
        <v>359.215108155122</v>
      </c>
      <c r="L293" s="26" t="n">
        <f aca="false">datos_base!$K$5*parametros_recargas!$J$46+sobrestock_sustitutos!$K$91/12</f>
        <v>359.215108155122</v>
      </c>
      <c r="M293" s="26" t="n">
        <f aca="false">datos_base!$K$5*parametros_recargas!$K$46+sobrestock_sustitutos!$K$91/12</f>
        <v>359.215108155122</v>
      </c>
      <c r="N293" s="26" t="n">
        <f aca="false">datos_base!$K$5*parametros_recargas!$L$46+sobrestock_sustitutos!$K$91/12</f>
        <v>359.215108155122</v>
      </c>
      <c r="O293" s="26" t="n">
        <f aca="false">datos_base!$K$5*parametros_recargas!$M$46+sobrestock_sustitutos!$K$91/12</f>
        <v>359.215108155122</v>
      </c>
      <c r="P293" s="7" t="n">
        <f aca="false">SUM(D293:O293)</f>
        <v>4310.58129786147</v>
      </c>
      <c r="Q293" s="13" t="n">
        <f aca="false">sobrestock_sustitutos!$K$91</f>
        <v>50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5" t="n">
        <f aca="false">parametros_recargas!C55</f>
        <v>1</v>
      </c>
      <c r="D294" s="26" t="n">
        <f aca="false">datos_base!$K$6*parametros_recargas!$B$46+sobrestock_sustitutos!$K$92/12</f>
        <v>507.081746734774</v>
      </c>
      <c r="E294" s="26" t="n">
        <f aca="false">datos_base!$K$6*parametros_recargas!$C$46+sobrestock_sustitutos!$K$92/12</f>
        <v>507.081746734774</v>
      </c>
      <c r="F294" s="26" t="n">
        <f aca="false">datos_base!$K$6*parametros_recargas!$D$46+sobrestock_sustitutos!$K$92/12</f>
        <v>507.081746734774</v>
      </c>
      <c r="G294" s="26" t="n">
        <f aca="false">datos_base!$K$6*parametros_recargas!$E$46+sobrestock_sustitutos!$K$92/12</f>
        <v>507.081746734774</v>
      </c>
      <c r="H294" s="26" t="n">
        <f aca="false">datos_base!$K$6*parametros_recargas!$F$46+sobrestock_sustitutos!$K$92/12</f>
        <v>507.081746734774</v>
      </c>
      <c r="I294" s="26" t="n">
        <f aca="false">datos_base!$K$6*parametros_recargas!$G$46+sobrestock_sustitutos!$K$92/12</f>
        <v>507.081746734774</v>
      </c>
      <c r="J294" s="26" t="n">
        <f aca="false">datos_base!$K$6*parametros_recargas!$H$46+sobrestock_sustitutos!$K$92/12</f>
        <v>507.081746734774</v>
      </c>
      <c r="K294" s="26" t="n">
        <f aca="false">datos_base!$K$6*parametros_recargas!$I$46+sobrestock_sustitutos!$K$92/12</f>
        <v>507.081746734774</v>
      </c>
      <c r="L294" s="26" t="n">
        <f aca="false">datos_base!$K$6*parametros_recargas!$J$46+sobrestock_sustitutos!$K$92/12</f>
        <v>507.081746734774</v>
      </c>
      <c r="M294" s="26" t="n">
        <f aca="false">datos_base!$K$6*parametros_recargas!$K$46+sobrestock_sustitutos!$K$92/12</f>
        <v>507.081746734774</v>
      </c>
      <c r="N294" s="26" t="n">
        <f aca="false">datos_base!$K$6*parametros_recargas!$L$46+sobrestock_sustitutos!$K$92/12</f>
        <v>507.081746734774</v>
      </c>
      <c r="O294" s="26" t="n">
        <f aca="false">datos_base!$K$6*parametros_recargas!$M$46+sobrestock_sustitutos!$K$92/12</f>
        <v>507.081746734774</v>
      </c>
      <c r="P294" s="7" t="n">
        <f aca="false">SUM(D294:O294)</f>
        <v>6084.98096081728</v>
      </c>
      <c r="Q294" s="13" t="n">
        <f aca="false">sobrestock_sustitutos!$K$92</f>
        <v>70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5" t="n">
        <f aca="false">parametros_recargas!C56</f>
        <v>1</v>
      </c>
      <c r="D295" s="26" t="n">
        <f aca="false">datos_base!$K$7*parametros_recargas!$B$46+sobrestock_sustitutos!$K$93/12</f>
        <v>96.3319027569021</v>
      </c>
      <c r="E295" s="26" t="n">
        <f aca="false">datos_base!$K$7*parametros_recargas!$C$46+sobrestock_sustitutos!$K$93/12</f>
        <v>96.3319027569021</v>
      </c>
      <c r="F295" s="26" t="n">
        <f aca="false">datos_base!$K$7*parametros_recargas!$D$46+sobrestock_sustitutos!$K$93/12</f>
        <v>96.3319027569021</v>
      </c>
      <c r="G295" s="26" t="n">
        <f aca="false">datos_base!$K$7*parametros_recargas!$E$46+sobrestock_sustitutos!$K$93/12</f>
        <v>96.3319027569021</v>
      </c>
      <c r="H295" s="26" t="n">
        <f aca="false">datos_base!$K$7*parametros_recargas!$F$46+sobrestock_sustitutos!$K$93/12</f>
        <v>96.3319027569021</v>
      </c>
      <c r="I295" s="26" t="n">
        <f aca="false">datos_base!$K$7*parametros_recargas!$G$46+sobrestock_sustitutos!$K$93/12</f>
        <v>96.3319027569021</v>
      </c>
      <c r="J295" s="26" t="n">
        <f aca="false">datos_base!$K$7*parametros_recargas!$H$46+sobrestock_sustitutos!$K$93/12</f>
        <v>96.3319027569021</v>
      </c>
      <c r="K295" s="26" t="n">
        <f aca="false">datos_base!$K$7*parametros_recargas!$I$46+sobrestock_sustitutos!$K$93/12</f>
        <v>96.3319027569021</v>
      </c>
      <c r="L295" s="26" t="n">
        <f aca="false">datos_base!$K$7*parametros_recargas!$J$46+sobrestock_sustitutos!$K$93/12</f>
        <v>96.3319027569021</v>
      </c>
      <c r="M295" s="26" t="n">
        <f aca="false">datos_base!$K$7*parametros_recargas!$K$46+sobrestock_sustitutos!$K$93/12</f>
        <v>96.3319027569021</v>
      </c>
      <c r="N295" s="26" t="n">
        <f aca="false">datos_base!$K$7*parametros_recargas!$L$46+sobrestock_sustitutos!$K$93/12</f>
        <v>96.3319027569021</v>
      </c>
      <c r="O295" s="26" t="n">
        <f aca="false">datos_base!$K$7*parametros_recargas!$M$46+sobrestock_sustitutos!$K$93/12</f>
        <v>96.3319027569021</v>
      </c>
      <c r="P295" s="7" t="n">
        <f aca="false">SUM(D295:O295)</f>
        <v>1155.98283308283</v>
      </c>
      <c r="Q295" s="13" t="n">
        <f aca="false">sobrestock_sustitutos!$K$93</f>
        <v>14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5" t="n">
        <f aca="false">parametros_recargas!C57</f>
        <v>3</v>
      </c>
      <c r="D296" s="26" t="n">
        <f aca="false">datos_base!$K$8*parametros_recargas!$B$46+sobrestock_sustitutos!$K$94/12</f>
        <v>50.1903309592544</v>
      </c>
      <c r="E296" s="26" t="n">
        <f aca="false">datos_base!$K$8*parametros_recargas!$C$46+sobrestock_sustitutos!$K$94/12</f>
        <v>50.1903309592544</v>
      </c>
      <c r="F296" s="26" t="n">
        <f aca="false">datos_base!$K$8*parametros_recargas!$D$46+sobrestock_sustitutos!$K$94/12</f>
        <v>50.1903309592544</v>
      </c>
      <c r="G296" s="26" t="n">
        <f aca="false">datos_base!$K$8*parametros_recargas!$E$46+sobrestock_sustitutos!$K$94/12</f>
        <v>50.1903309592544</v>
      </c>
      <c r="H296" s="26" t="n">
        <f aca="false">datos_base!$K$8*parametros_recargas!$F$46+sobrestock_sustitutos!$K$94/12</f>
        <v>50.1903309592544</v>
      </c>
      <c r="I296" s="26" t="n">
        <f aca="false">datos_base!$K$8*parametros_recargas!$G$46+sobrestock_sustitutos!$K$94/12</f>
        <v>50.1903309592544</v>
      </c>
      <c r="J296" s="26" t="n">
        <f aca="false">datos_base!$K$8*parametros_recargas!$H$46+sobrestock_sustitutos!$K$94/12</f>
        <v>50.1903309592544</v>
      </c>
      <c r="K296" s="26" t="n">
        <f aca="false">datos_base!$K$8*parametros_recargas!$I$46+sobrestock_sustitutos!$K$94/12</f>
        <v>50.1903309592544</v>
      </c>
      <c r="L296" s="26" t="n">
        <f aca="false">datos_base!$K$8*parametros_recargas!$J$46+sobrestock_sustitutos!$K$94/12</f>
        <v>50.1903309592544</v>
      </c>
      <c r="M296" s="26" t="n">
        <f aca="false">datos_base!$K$8*parametros_recargas!$K$46+sobrestock_sustitutos!$K$94/12</f>
        <v>50.1903309592544</v>
      </c>
      <c r="N296" s="26" t="n">
        <f aca="false">datos_base!$K$8*parametros_recargas!$L$46+sobrestock_sustitutos!$K$94/12</f>
        <v>50.1903309592544</v>
      </c>
      <c r="O296" s="26" t="n">
        <f aca="false">datos_base!$K$8*parametros_recargas!$M$46+sobrestock_sustitutos!$K$94/12</f>
        <v>50.1903309592544</v>
      </c>
      <c r="P296" s="7" t="n">
        <f aca="false">SUM(D296:O296)</f>
        <v>602.283971511053</v>
      </c>
      <c r="Q296" s="13" t="n">
        <f aca="false">sobrestock_sustitutos!$K$94</f>
        <v>7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5" t="n">
        <f aca="false">parametros_recargas!C58</f>
        <v>1</v>
      </c>
      <c r="D297" s="26" t="n">
        <f aca="false">datos_base!$K$9*parametros_recargas!$B$46+sobrestock_sustitutos!$K$95/12</f>
        <v>29.0102372497506</v>
      </c>
      <c r="E297" s="26" t="n">
        <f aca="false">datos_base!$K$9*parametros_recargas!$C$46+sobrestock_sustitutos!$K$95/12</f>
        <v>29.0102372497506</v>
      </c>
      <c r="F297" s="26" t="n">
        <f aca="false">datos_base!$K$9*parametros_recargas!$D$46+sobrestock_sustitutos!$K$95/12</f>
        <v>29.0102372497506</v>
      </c>
      <c r="G297" s="26" t="n">
        <f aca="false">datos_base!$K$9*parametros_recargas!$E$46+sobrestock_sustitutos!$K$95/12</f>
        <v>29.0102372497506</v>
      </c>
      <c r="H297" s="26" t="n">
        <f aca="false">datos_base!$K$9*parametros_recargas!$F$46+sobrestock_sustitutos!$K$95/12</f>
        <v>29.0102372497506</v>
      </c>
      <c r="I297" s="26" t="n">
        <f aca="false">datos_base!$K$9*parametros_recargas!$G$46+sobrestock_sustitutos!$K$95/12</f>
        <v>29.0102372497506</v>
      </c>
      <c r="J297" s="26" t="n">
        <f aca="false">datos_base!$K$9*parametros_recargas!$H$46+sobrestock_sustitutos!$K$95/12</f>
        <v>29.0102372497506</v>
      </c>
      <c r="K297" s="26" t="n">
        <f aca="false">datos_base!$K$9*parametros_recargas!$I$46+sobrestock_sustitutos!$K$95/12</f>
        <v>29.0102372497506</v>
      </c>
      <c r="L297" s="26" t="n">
        <f aca="false">datos_base!$K$9*parametros_recargas!$J$46+sobrestock_sustitutos!$K$95/12</f>
        <v>29.0102372497506</v>
      </c>
      <c r="M297" s="26" t="n">
        <f aca="false">datos_base!$K$9*parametros_recargas!$K$46+sobrestock_sustitutos!$K$95/12</f>
        <v>29.0102372497506</v>
      </c>
      <c r="N297" s="26" t="n">
        <f aca="false">datos_base!$K$9*parametros_recargas!$L$46+sobrestock_sustitutos!$K$95/12</f>
        <v>29.0102372497506</v>
      </c>
      <c r="O297" s="26" t="n">
        <f aca="false">datos_base!$K$9*parametros_recargas!$M$46+sobrestock_sustitutos!$K$95/12</f>
        <v>29.0102372497506</v>
      </c>
      <c r="P297" s="7" t="n">
        <f aca="false">SUM(D297:O297)</f>
        <v>348.122846997007</v>
      </c>
      <c r="Q297" s="13" t="n">
        <f aca="false">sobrestock_sustitutos!$K$95</f>
        <v>4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5" t="n">
        <f aca="false">parametros_recargas!C59</f>
        <v>1</v>
      </c>
      <c r="D298" s="26" t="n">
        <f aca="false">datos_base!$K$10*parametros_recargas!$B$46+sobrestock_sustitutos!$K$96/12</f>
        <v>250.109733306255</v>
      </c>
      <c r="E298" s="26" t="n">
        <f aca="false">datos_base!$K$10*parametros_recargas!$C$46+sobrestock_sustitutos!$K$96/12</f>
        <v>250.109733306255</v>
      </c>
      <c r="F298" s="26" t="n">
        <f aca="false">datos_base!$K$10*parametros_recargas!$D$46+sobrestock_sustitutos!$K$96/12</f>
        <v>250.109733306255</v>
      </c>
      <c r="G298" s="26" t="n">
        <f aca="false">datos_base!$K$10*parametros_recargas!$E$46+sobrestock_sustitutos!$K$96/12</f>
        <v>250.109733306255</v>
      </c>
      <c r="H298" s="26" t="n">
        <f aca="false">datos_base!$K$10*parametros_recargas!$F$46+sobrestock_sustitutos!$K$96/12</f>
        <v>250.109733306255</v>
      </c>
      <c r="I298" s="26" t="n">
        <f aca="false">datos_base!$K$10*parametros_recargas!$G$46+sobrestock_sustitutos!$K$96/12</f>
        <v>250.109733306255</v>
      </c>
      <c r="J298" s="26" t="n">
        <f aca="false">datos_base!$K$10*parametros_recargas!$H$46+sobrestock_sustitutos!$K$96/12</f>
        <v>250.109733306255</v>
      </c>
      <c r="K298" s="26" t="n">
        <f aca="false">datos_base!$K$10*parametros_recargas!$I$46+sobrestock_sustitutos!$K$96/12</f>
        <v>250.109733306255</v>
      </c>
      <c r="L298" s="26" t="n">
        <f aca="false">datos_base!$K$10*parametros_recargas!$J$46+sobrestock_sustitutos!$K$96/12</f>
        <v>250.109733306255</v>
      </c>
      <c r="M298" s="26" t="n">
        <f aca="false">datos_base!$K$10*parametros_recargas!$K$46+sobrestock_sustitutos!$K$96/12</f>
        <v>250.109733306255</v>
      </c>
      <c r="N298" s="26" t="n">
        <f aca="false">datos_base!$K$10*parametros_recargas!$L$46+sobrestock_sustitutos!$K$96/12</f>
        <v>250.109733306255</v>
      </c>
      <c r="O298" s="26" t="n">
        <f aca="false">datos_base!$K$10*parametros_recargas!$M$46+sobrestock_sustitutos!$K$96/12</f>
        <v>250.109733306255</v>
      </c>
      <c r="P298" s="7" t="n">
        <f aca="false">SUM(D298:O298)</f>
        <v>3001.31679967506</v>
      </c>
      <c r="Q298" s="13" t="n">
        <f aca="false">sobrestock_sustitutos!$K$96</f>
        <v>35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5" t="n">
        <f aca="false">parametros_recargas!C60</f>
        <v>1</v>
      </c>
      <c r="D299" s="26" t="n">
        <f aca="false">datos_base!$K$11*parametros_recargas!$B$46+sobrestock_sustitutos!$K$97/12</f>
        <v>1364.21569837936</v>
      </c>
      <c r="E299" s="26" t="n">
        <f aca="false">datos_base!$K$11*parametros_recargas!$C$46+sobrestock_sustitutos!$K$97/12</f>
        <v>1364.21569837936</v>
      </c>
      <c r="F299" s="26" t="n">
        <f aca="false">datos_base!$K$11*parametros_recargas!$D$46+sobrestock_sustitutos!$K$97/12</f>
        <v>1364.21569837936</v>
      </c>
      <c r="G299" s="26" t="n">
        <f aca="false">datos_base!$K$11*parametros_recargas!$E$46+sobrestock_sustitutos!$K$97/12</f>
        <v>1364.21569837936</v>
      </c>
      <c r="H299" s="26" t="n">
        <f aca="false">datos_base!$K$11*parametros_recargas!$F$46+sobrestock_sustitutos!$K$97/12</f>
        <v>1364.21569837936</v>
      </c>
      <c r="I299" s="26" t="n">
        <f aca="false">datos_base!$K$11*parametros_recargas!$G$46+sobrestock_sustitutos!$K$97/12</f>
        <v>1364.21569837936</v>
      </c>
      <c r="J299" s="26" t="n">
        <f aca="false">datos_base!$K$11*parametros_recargas!$H$46+sobrestock_sustitutos!$K$97/12</f>
        <v>1364.21569837936</v>
      </c>
      <c r="K299" s="26" t="n">
        <f aca="false">datos_base!$K$11*parametros_recargas!$I$46+sobrestock_sustitutos!$K$97/12</f>
        <v>1364.21569837936</v>
      </c>
      <c r="L299" s="26" t="n">
        <f aca="false">datos_base!$K$11*parametros_recargas!$J$46+sobrestock_sustitutos!$K$97/12</f>
        <v>1364.21569837936</v>
      </c>
      <c r="M299" s="26" t="n">
        <f aca="false">datos_base!$K$11*parametros_recargas!$K$46+sobrestock_sustitutos!$K$97/12</f>
        <v>1364.21569837936</v>
      </c>
      <c r="N299" s="26" t="n">
        <f aca="false">datos_base!$K$11*parametros_recargas!$L$46+sobrestock_sustitutos!$K$97/12</f>
        <v>1364.21569837936</v>
      </c>
      <c r="O299" s="26" t="n">
        <f aca="false">datos_base!$K$11*parametros_recargas!$M$46+sobrestock_sustitutos!$K$97/12</f>
        <v>1364.21569837936</v>
      </c>
      <c r="P299" s="7" t="n">
        <f aca="false">SUM(D299:O299)</f>
        <v>16370.5883805524</v>
      </c>
      <c r="Q299" s="13" t="n">
        <f aca="false">sobrestock_sustitutos!$K$97</f>
        <v>189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5" t="n">
        <f aca="false">parametros_recargas!C61</f>
        <v>1</v>
      </c>
      <c r="D300" s="26" t="n">
        <f aca="false">datos_base!$K$12*parametros_recargas!$B$46+sobrestock_sustitutos!$K$98/12</f>
        <v>466.175113826986</v>
      </c>
      <c r="E300" s="26" t="n">
        <f aca="false">datos_base!$K$12*parametros_recargas!$C$46+sobrestock_sustitutos!$K$98/12</f>
        <v>466.175113826986</v>
      </c>
      <c r="F300" s="26" t="n">
        <f aca="false">datos_base!$K$12*parametros_recargas!$D$46+sobrestock_sustitutos!$K$98/12</f>
        <v>466.175113826986</v>
      </c>
      <c r="G300" s="26" t="n">
        <f aca="false">datos_base!$K$12*parametros_recargas!$E$46+sobrestock_sustitutos!$K$98/12</f>
        <v>466.175113826986</v>
      </c>
      <c r="H300" s="26" t="n">
        <f aca="false">datos_base!$K$12*parametros_recargas!$F$46+sobrestock_sustitutos!$K$98/12</f>
        <v>466.175113826986</v>
      </c>
      <c r="I300" s="26" t="n">
        <f aca="false">datos_base!$K$12*parametros_recargas!$G$46+sobrestock_sustitutos!$K$98/12</f>
        <v>466.175113826986</v>
      </c>
      <c r="J300" s="26" t="n">
        <f aca="false">datos_base!$K$12*parametros_recargas!$H$46+sobrestock_sustitutos!$K$98/12</f>
        <v>466.175113826986</v>
      </c>
      <c r="K300" s="26" t="n">
        <f aca="false">datos_base!$K$12*parametros_recargas!$I$46+sobrestock_sustitutos!$K$98/12</f>
        <v>466.175113826986</v>
      </c>
      <c r="L300" s="26" t="n">
        <f aca="false">datos_base!$K$12*parametros_recargas!$J$46+sobrestock_sustitutos!$K$98/12</f>
        <v>466.175113826986</v>
      </c>
      <c r="M300" s="26" t="n">
        <f aca="false">datos_base!$K$12*parametros_recargas!$K$46+sobrestock_sustitutos!$K$98/12</f>
        <v>466.175113826986</v>
      </c>
      <c r="N300" s="26" t="n">
        <f aca="false">datos_base!$K$12*parametros_recargas!$L$46+sobrestock_sustitutos!$K$98/12</f>
        <v>466.175113826986</v>
      </c>
      <c r="O300" s="26" t="n">
        <f aca="false">datos_base!$K$12*parametros_recargas!$M$46+sobrestock_sustitutos!$K$98/12</f>
        <v>466.175113826986</v>
      </c>
      <c r="P300" s="7" t="n">
        <f aca="false">SUM(D300:O300)</f>
        <v>5594.10136592383</v>
      </c>
      <c r="Q300" s="13" t="n">
        <f aca="false">sobrestock_sustitutos!$K$98</f>
        <v>64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5" t="n">
        <f aca="false">parametros_recargas!C62</f>
        <v>1</v>
      </c>
      <c r="D301" s="26" t="n">
        <f aca="false">datos_base!$K$13*parametros_recargas!$B$46+sobrestock_sustitutos!$K$99/12</f>
        <v>76.360103441268</v>
      </c>
      <c r="E301" s="26" t="n">
        <f aca="false">datos_base!$K$13*parametros_recargas!$C$46+sobrestock_sustitutos!$K$99/12</f>
        <v>76.360103441268</v>
      </c>
      <c r="F301" s="26" t="n">
        <f aca="false">datos_base!$K$13*parametros_recargas!$D$46+sobrestock_sustitutos!$K$99/12</f>
        <v>76.360103441268</v>
      </c>
      <c r="G301" s="26" t="n">
        <f aca="false">datos_base!$K$13*parametros_recargas!$E$46+sobrestock_sustitutos!$K$99/12</f>
        <v>76.360103441268</v>
      </c>
      <c r="H301" s="26" t="n">
        <f aca="false">datos_base!$K$13*parametros_recargas!$F$46+sobrestock_sustitutos!$K$99/12</f>
        <v>76.360103441268</v>
      </c>
      <c r="I301" s="26" t="n">
        <f aca="false">datos_base!$K$13*parametros_recargas!$G$46+sobrestock_sustitutos!$K$99/12</f>
        <v>76.360103441268</v>
      </c>
      <c r="J301" s="26" t="n">
        <f aca="false">datos_base!$K$13*parametros_recargas!$H$46+sobrestock_sustitutos!$K$99/12</f>
        <v>76.360103441268</v>
      </c>
      <c r="K301" s="26" t="n">
        <f aca="false">datos_base!$K$13*parametros_recargas!$I$46+sobrestock_sustitutos!$K$99/12</f>
        <v>76.360103441268</v>
      </c>
      <c r="L301" s="26" t="n">
        <f aca="false">datos_base!$K$13*parametros_recargas!$J$46+sobrestock_sustitutos!$K$99/12</f>
        <v>76.360103441268</v>
      </c>
      <c r="M301" s="26" t="n">
        <f aca="false">datos_base!$K$13*parametros_recargas!$K$46+sobrestock_sustitutos!$K$99/12</f>
        <v>76.360103441268</v>
      </c>
      <c r="N301" s="26" t="n">
        <f aca="false">datos_base!$K$13*parametros_recargas!$L$46+sobrestock_sustitutos!$K$99/12</f>
        <v>76.360103441268</v>
      </c>
      <c r="O301" s="26" t="n">
        <f aca="false">datos_base!$K$13*parametros_recargas!$M$46+sobrestock_sustitutos!$K$99/12</f>
        <v>76.360103441268</v>
      </c>
      <c r="P301" s="7" t="n">
        <f aca="false">SUM(D301:O301)</f>
        <v>916.321241295216</v>
      </c>
      <c r="Q301" s="13" t="n">
        <f aca="false">sobrestock_sustitutos!$K$99</f>
        <v>11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5" t="n">
        <f aca="false">parametros_recargas!C63</f>
        <v>1</v>
      </c>
      <c r="D302" s="26" t="n">
        <f aca="false">datos_base!$K$14*parametros_recargas!$B$46+sobrestock_sustitutos!$K$100/12</f>
        <v>26.2348091595509</v>
      </c>
      <c r="E302" s="26" t="n">
        <f aca="false">datos_base!$K$14*parametros_recargas!$C$46+sobrestock_sustitutos!$K$100/12</f>
        <v>26.2348091595509</v>
      </c>
      <c r="F302" s="26" t="n">
        <f aca="false">datos_base!$K$14*parametros_recargas!$D$46+sobrestock_sustitutos!$K$100/12</f>
        <v>26.2348091595509</v>
      </c>
      <c r="G302" s="26" t="n">
        <f aca="false">datos_base!$K$14*parametros_recargas!$E$46+sobrestock_sustitutos!$K$100/12</f>
        <v>26.2348091595509</v>
      </c>
      <c r="H302" s="26" t="n">
        <f aca="false">datos_base!$K$14*parametros_recargas!$F$46+sobrestock_sustitutos!$K$100/12</f>
        <v>26.2348091595509</v>
      </c>
      <c r="I302" s="26" t="n">
        <f aca="false">datos_base!$K$14*parametros_recargas!$G$46+sobrestock_sustitutos!$K$100/12</f>
        <v>26.2348091595509</v>
      </c>
      <c r="J302" s="26" t="n">
        <f aca="false">datos_base!$K$14*parametros_recargas!$H$46+sobrestock_sustitutos!$K$100/12</f>
        <v>26.2348091595509</v>
      </c>
      <c r="K302" s="26" t="n">
        <f aca="false">datos_base!$K$14*parametros_recargas!$I$46+sobrestock_sustitutos!$K$100/12</f>
        <v>26.2348091595509</v>
      </c>
      <c r="L302" s="26" t="n">
        <f aca="false">datos_base!$K$14*parametros_recargas!$J$46+sobrestock_sustitutos!$K$100/12</f>
        <v>26.2348091595509</v>
      </c>
      <c r="M302" s="26" t="n">
        <f aca="false">datos_base!$K$14*parametros_recargas!$K$46+sobrestock_sustitutos!$K$100/12</f>
        <v>26.2348091595509</v>
      </c>
      <c r="N302" s="26" t="n">
        <f aca="false">datos_base!$K$14*parametros_recargas!$L$46+sobrestock_sustitutos!$K$100/12</f>
        <v>26.2348091595509</v>
      </c>
      <c r="O302" s="26" t="n">
        <f aca="false">datos_base!$K$14*parametros_recargas!$M$46+sobrestock_sustitutos!$K$100/12</f>
        <v>26.2348091595509</v>
      </c>
      <c r="P302" s="7" t="n">
        <f aca="false">SUM(D302:O302)</f>
        <v>314.817709914611</v>
      </c>
      <c r="Q302" s="13" t="n">
        <f aca="false">sobrestock_sustitutos!$K$100</f>
        <v>4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5" t="n">
        <f aca="false">parametros_recargas!C64</f>
        <v>3</v>
      </c>
      <c r="D303" s="26" t="n">
        <f aca="false">datos_base!$K$15*parametros_recargas!$B$46+sobrestock_sustitutos!$K$101/12</f>
        <v>62.5512202708012</v>
      </c>
      <c r="E303" s="26" t="n">
        <f aca="false">datos_base!$K$15*parametros_recargas!$C$46+sobrestock_sustitutos!$K$101/12</f>
        <v>62.5512202708012</v>
      </c>
      <c r="F303" s="26" t="n">
        <f aca="false">datos_base!$K$15*parametros_recargas!$D$46+sobrestock_sustitutos!$K$101/12</f>
        <v>62.5512202708012</v>
      </c>
      <c r="G303" s="26" t="n">
        <f aca="false">datos_base!$K$15*parametros_recargas!$E$46+sobrestock_sustitutos!$K$101/12</f>
        <v>62.5512202708012</v>
      </c>
      <c r="H303" s="26" t="n">
        <f aca="false">datos_base!$K$15*parametros_recargas!$F$46+sobrestock_sustitutos!$K$101/12</f>
        <v>62.5512202708012</v>
      </c>
      <c r="I303" s="26" t="n">
        <f aca="false">datos_base!$K$15*parametros_recargas!$G$46+sobrestock_sustitutos!$K$101/12</f>
        <v>62.5512202708012</v>
      </c>
      <c r="J303" s="26" t="n">
        <f aca="false">datos_base!$K$15*parametros_recargas!$H$46+sobrestock_sustitutos!$K$101/12</f>
        <v>62.5512202708012</v>
      </c>
      <c r="K303" s="26" t="n">
        <f aca="false">datos_base!$K$15*parametros_recargas!$I$46+sobrestock_sustitutos!$K$101/12</f>
        <v>62.5512202708012</v>
      </c>
      <c r="L303" s="26" t="n">
        <f aca="false">datos_base!$K$15*parametros_recargas!$J$46+sobrestock_sustitutos!$K$101/12</f>
        <v>62.5512202708012</v>
      </c>
      <c r="M303" s="26" t="n">
        <f aca="false">datos_base!$K$15*parametros_recargas!$K$46+sobrestock_sustitutos!$K$101/12</f>
        <v>62.5512202708012</v>
      </c>
      <c r="N303" s="26" t="n">
        <f aca="false">datos_base!$K$15*parametros_recargas!$L$46+sobrestock_sustitutos!$K$101/12</f>
        <v>62.5512202708012</v>
      </c>
      <c r="O303" s="26" t="n">
        <f aca="false">datos_base!$K$15*parametros_recargas!$M$46+sobrestock_sustitutos!$K$101/12</f>
        <v>62.5512202708012</v>
      </c>
      <c r="P303" s="7" t="n">
        <f aca="false">SUM(D303:O303)</f>
        <v>750.614643249615</v>
      </c>
      <c r="Q303" s="13" t="n">
        <f aca="false">sobrestock_sustitutos!$K$101</f>
        <v>9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5" t="n">
        <f aca="false">parametros_recargas!C65</f>
        <v>3</v>
      </c>
      <c r="D304" s="26" t="n">
        <f aca="false">datos_base!$K$16*parametros_recargas!$B$46+sobrestock_sustitutos!$K$102/12</f>
        <v>137.546017846057</v>
      </c>
      <c r="E304" s="26" t="n">
        <f aca="false">datos_base!$K$16*parametros_recargas!$C$46+sobrestock_sustitutos!$K$102/12</f>
        <v>137.546017846057</v>
      </c>
      <c r="F304" s="26" t="n">
        <f aca="false">datos_base!$K$16*parametros_recargas!$D$46+sobrestock_sustitutos!$K$102/12</f>
        <v>137.546017846057</v>
      </c>
      <c r="G304" s="26" t="n">
        <f aca="false">datos_base!$K$16*parametros_recargas!$E$46+sobrestock_sustitutos!$K$102/12</f>
        <v>137.546017846057</v>
      </c>
      <c r="H304" s="26" t="n">
        <f aca="false">datos_base!$K$16*parametros_recargas!$F$46+sobrestock_sustitutos!$K$102/12</f>
        <v>137.546017846057</v>
      </c>
      <c r="I304" s="26" t="n">
        <f aca="false">datos_base!$K$16*parametros_recargas!$G$46+sobrestock_sustitutos!$K$102/12</f>
        <v>137.546017846057</v>
      </c>
      <c r="J304" s="26" t="n">
        <f aca="false">datos_base!$K$16*parametros_recargas!$H$46+sobrestock_sustitutos!$K$102/12</f>
        <v>137.546017846057</v>
      </c>
      <c r="K304" s="26" t="n">
        <f aca="false">datos_base!$K$16*parametros_recargas!$I$46+sobrestock_sustitutos!$K$102/12</f>
        <v>137.546017846057</v>
      </c>
      <c r="L304" s="26" t="n">
        <f aca="false">datos_base!$K$16*parametros_recargas!$J$46+sobrestock_sustitutos!$K$102/12</f>
        <v>137.546017846057</v>
      </c>
      <c r="M304" s="26" t="n">
        <f aca="false">datos_base!$K$16*parametros_recargas!$K$46+sobrestock_sustitutos!$K$102/12</f>
        <v>137.546017846057</v>
      </c>
      <c r="N304" s="26" t="n">
        <f aca="false">datos_base!$K$16*parametros_recargas!$L$46+sobrestock_sustitutos!$K$102/12</f>
        <v>137.546017846057</v>
      </c>
      <c r="O304" s="26" t="n">
        <f aca="false">datos_base!$K$16*parametros_recargas!$M$46+sobrestock_sustitutos!$K$102/12</f>
        <v>137.546017846057</v>
      </c>
      <c r="P304" s="7" t="n">
        <f aca="false">SUM(D304:O304)</f>
        <v>1650.55221415268</v>
      </c>
      <c r="Q304" s="13" t="n">
        <f aca="false">sobrestock_sustitutos!$K$102</f>
        <v>19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5" t="n">
        <f aca="false">parametros_recargas!C66</f>
        <v>3</v>
      </c>
      <c r="D305" s="26" t="n">
        <f aca="false">datos_base!$K$17*parametros_recargas!$B$46+sobrestock_sustitutos!$K$103/12</f>
        <v>30.0812523990238</v>
      </c>
      <c r="E305" s="26" t="n">
        <f aca="false">datos_base!$K$17*parametros_recargas!$C$46+sobrestock_sustitutos!$K$103/12</f>
        <v>30.0812523990238</v>
      </c>
      <c r="F305" s="26" t="n">
        <f aca="false">datos_base!$K$17*parametros_recargas!$D$46+sobrestock_sustitutos!$K$103/12</f>
        <v>30.0812523990238</v>
      </c>
      <c r="G305" s="26" t="n">
        <f aca="false">datos_base!$K$17*parametros_recargas!$E$46+sobrestock_sustitutos!$K$103/12</f>
        <v>30.0812523990238</v>
      </c>
      <c r="H305" s="26" t="n">
        <f aca="false">datos_base!$K$17*parametros_recargas!$F$46+sobrestock_sustitutos!$K$103/12</f>
        <v>30.0812523990238</v>
      </c>
      <c r="I305" s="26" t="n">
        <f aca="false">datos_base!$K$17*parametros_recargas!$G$46+sobrestock_sustitutos!$K$103/12</f>
        <v>30.0812523990238</v>
      </c>
      <c r="J305" s="26" t="n">
        <f aca="false">datos_base!$K$17*parametros_recargas!$H$46+sobrestock_sustitutos!$K$103/12</f>
        <v>30.0812523990238</v>
      </c>
      <c r="K305" s="26" t="n">
        <f aca="false">datos_base!$K$17*parametros_recargas!$I$46+sobrestock_sustitutos!$K$103/12</f>
        <v>30.0812523990238</v>
      </c>
      <c r="L305" s="26" t="n">
        <f aca="false">datos_base!$K$17*parametros_recargas!$J$46+sobrestock_sustitutos!$K$103/12</f>
        <v>30.0812523990238</v>
      </c>
      <c r="M305" s="26" t="n">
        <f aca="false">datos_base!$K$17*parametros_recargas!$K$46+sobrestock_sustitutos!$K$103/12</f>
        <v>30.0812523990238</v>
      </c>
      <c r="N305" s="26" t="n">
        <f aca="false">datos_base!$K$17*parametros_recargas!$L$46+sobrestock_sustitutos!$K$103/12</f>
        <v>30.0812523990238</v>
      </c>
      <c r="O305" s="26" t="n">
        <f aca="false">datos_base!$K$17*parametros_recargas!$M$46+sobrestock_sustitutos!$K$103/12</f>
        <v>30.0812523990238</v>
      </c>
      <c r="P305" s="7" t="n">
        <f aca="false">SUM(D305:O305)</f>
        <v>360.975028788286</v>
      </c>
      <c r="Q305" s="13" t="n">
        <f aca="false">sobrestock_sustitutos!$K$103</f>
        <v>5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5" t="n">
        <f aca="false">parametros_recargas!C67</f>
        <v>3</v>
      </c>
      <c r="D306" s="26" t="n">
        <f aca="false">datos_base!$K$18*parametros_recargas!$B$46+sobrestock_sustitutos!$K$104/12</f>
        <v>20.0263904486957</v>
      </c>
      <c r="E306" s="26" t="n">
        <f aca="false">datos_base!$K$18*parametros_recargas!$C$46+sobrestock_sustitutos!$K$104/12</f>
        <v>20.0263904486957</v>
      </c>
      <c r="F306" s="26" t="n">
        <f aca="false">datos_base!$K$18*parametros_recargas!$D$46+sobrestock_sustitutos!$K$104/12</f>
        <v>20.0263904486957</v>
      </c>
      <c r="G306" s="26" t="n">
        <f aca="false">datos_base!$K$18*parametros_recargas!$E$46+sobrestock_sustitutos!$K$104/12</f>
        <v>20.0263904486957</v>
      </c>
      <c r="H306" s="26" t="n">
        <f aca="false">datos_base!$K$18*parametros_recargas!$F$46+sobrestock_sustitutos!$K$104/12</f>
        <v>20.0263904486957</v>
      </c>
      <c r="I306" s="26" t="n">
        <f aca="false">datos_base!$K$18*parametros_recargas!$G$46+sobrestock_sustitutos!$K$104/12</f>
        <v>20.0263904486957</v>
      </c>
      <c r="J306" s="26" t="n">
        <f aca="false">datos_base!$K$18*parametros_recargas!$H$46+sobrestock_sustitutos!$K$104/12</f>
        <v>20.0263904486957</v>
      </c>
      <c r="K306" s="26" t="n">
        <f aca="false">datos_base!$K$18*parametros_recargas!$I$46+sobrestock_sustitutos!$K$104/12</f>
        <v>20.0263904486957</v>
      </c>
      <c r="L306" s="26" t="n">
        <f aca="false">datos_base!$K$18*parametros_recargas!$J$46+sobrestock_sustitutos!$K$104/12</f>
        <v>20.0263904486957</v>
      </c>
      <c r="M306" s="26" t="n">
        <f aca="false">datos_base!$K$18*parametros_recargas!$K$46+sobrestock_sustitutos!$K$104/12</f>
        <v>20.0263904486957</v>
      </c>
      <c r="N306" s="26" t="n">
        <f aca="false">datos_base!$K$18*parametros_recargas!$L$46+sobrestock_sustitutos!$K$104/12</f>
        <v>20.0263904486957</v>
      </c>
      <c r="O306" s="26" t="n">
        <f aca="false">datos_base!$K$18*parametros_recargas!$M$46+sobrestock_sustitutos!$K$104/12</f>
        <v>20.0263904486957</v>
      </c>
      <c r="P306" s="7" t="n">
        <f aca="false">SUM(D306:O306)</f>
        <v>240.316685384348</v>
      </c>
      <c r="Q306" s="13" t="n">
        <f aca="false">sobrestock_sustitutos!$K$104</f>
        <v>3</v>
      </c>
    </row>
    <row r="307" customFormat="false" ht="15" hidden="false" customHeight="false" outlineLevel="0" collapsed="false">
      <c r="A307" s="6" t="s">
        <v>310</v>
      </c>
      <c r="D307" s="7" t="n">
        <f aca="false">SUM(D290:D306)</f>
        <v>22180.8597275929</v>
      </c>
      <c r="E307" s="7" t="n">
        <f aca="false">SUM(E290:E306)</f>
        <v>22180.8597275929</v>
      </c>
      <c r="F307" s="7" t="n">
        <f aca="false">SUM(F290:F306)</f>
        <v>22180.8597275929</v>
      </c>
      <c r="G307" s="7" t="n">
        <f aca="false">SUM(G290:G306)</f>
        <v>22180.8597275929</v>
      </c>
      <c r="H307" s="7" t="n">
        <f aca="false">SUM(H290:H306)</f>
        <v>22180.8597275929</v>
      </c>
      <c r="I307" s="7" t="n">
        <f aca="false">SUM(I290:I306)</f>
        <v>22180.8597275929</v>
      </c>
      <c r="J307" s="7" t="n">
        <f aca="false">SUM(J290:J306)</f>
        <v>22180.8597275929</v>
      </c>
      <c r="K307" s="7" t="n">
        <f aca="false">SUM(K290:K306)</f>
        <v>22180.8597275929</v>
      </c>
      <c r="L307" s="7" t="n">
        <f aca="false">SUM(L290:L306)</f>
        <v>22180.8597275929</v>
      </c>
      <c r="M307" s="7" t="n">
        <f aca="false">SUM(M290:M306)</f>
        <v>22180.8597275929</v>
      </c>
      <c r="N307" s="7" t="n">
        <f aca="false">SUM(N290:N306)</f>
        <v>22180.8597275929</v>
      </c>
      <c r="O307" s="7" t="n">
        <f aca="false">SUM(O290:O306)</f>
        <v>22180.8597275929</v>
      </c>
      <c r="P307" s="7" t="n">
        <f aca="false">SUM(P290:P306)</f>
        <v>266170.316731115</v>
      </c>
    </row>
    <row r="308" customFormat="false" ht="15" hidden="false" customHeight="false" outlineLevel="0" collapsed="false">
      <c r="A308" s="6" t="s">
        <v>311</v>
      </c>
    </row>
    <row r="309" customFormat="false" ht="15" hidden="false" customHeight="false" outlineLevel="0" collapsed="false">
      <c r="A309" s="4" t="s">
        <v>151</v>
      </c>
      <c r="D309" s="26" t="n">
        <f aca="false">SUMPRODUCT(($B$290:$B$306=$A309)*D$290:D$306*$C$290:$C$306)</f>
        <v>19815.5598137079</v>
      </c>
      <c r="E309" s="26" t="n">
        <f aca="false">SUMPRODUCT(($B$290:$B$306=$A309)*E$290:E$306*$C$290:$C$306)</f>
        <v>19815.5598137079</v>
      </c>
      <c r="F309" s="26" t="n">
        <f aca="false">SUMPRODUCT(($B$290:$B$306=$A309)*F$290:F$306*$C$290:$C$306)</f>
        <v>19815.5598137079</v>
      </c>
      <c r="G309" s="26" t="n">
        <f aca="false">SUMPRODUCT(($B$290:$B$306=$A309)*G$290:G$306*$C$290:$C$306)</f>
        <v>19815.5598137079</v>
      </c>
      <c r="H309" s="26" t="n">
        <f aca="false">SUMPRODUCT(($B$290:$B$306=$A309)*H$290:H$306*$C$290:$C$306)</f>
        <v>19815.5598137079</v>
      </c>
      <c r="I309" s="26" t="n">
        <f aca="false">SUMPRODUCT(($B$290:$B$306=$A309)*I$290:I$306*$C$290:$C$306)</f>
        <v>19815.5598137079</v>
      </c>
      <c r="J309" s="26" t="n">
        <f aca="false">SUMPRODUCT(($B$290:$B$306=$A309)*J$290:J$306*$C$290:$C$306)</f>
        <v>19815.5598137079</v>
      </c>
      <c r="K309" s="26" t="n">
        <f aca="false">SUMPRODUCT(($B$290:$B$306=$A309)*K$290:K$306*$C$290:$C$306)</f>
        <v>19815.5598137079</v>
      </c>
      <c r="L309" s="26" t="n">
        <f aca="false">SUMPRODUCT(($B$290:$B$306=$A309)*L$290:L$306*$C$290:$C$306)</f>
        <v>19815.5598137079</v>
      </c>
      <c r="M309" s="26" t="n">
        <f aca="false">SUMPRODUCT(($B$290:$B$306=$A309)*M$290:M$306*$C$290:$C$306)</f>
        <v>19815.5598137079</v>
      </c>
      <c r="N309" s="26" t="n">
        <f aca="false">SUMPRODUCT(($B$290:$B$306=$A309)*N$290:N$306*$C$290:$C$306)</f>
        <v>19815.5598137079</v>
      </c>
      <c r="O309" s="26" t="n">
        <f aca="false">SUMPRODUCT(($B$290:$B$306=$A309)*O$290:O$306*$C$290:$C$306)</f>
        <v>19815.5598137079</v>
      </c>
      <c r="P309" s="26" t="n">
        <f aca="false">SUMPRODUCT(($B$290:$B$306=$A309)*P$290:P$306*$C$290:$C$306)</f>
        <v>237786.717764495</v>
      </c>
    </row>
    <row r="310" customFormat="false" ht="15" hidden="false" customHeight="false" outlineLevel="0" collapsed="false">
      <c r="A310" s="4" t="s">
        <v>157</v>
      </c>
      <c r="D310" s="26" t="n">
        <f aca="false">SUMPRODUCT(($B$290:$B$306=$A310)*D$290:D$306*$C$290:$C$306)</f>
        <v>29.0102372497506</v>
      </c>
      <c r="E310" s="26" t="n">
        <f aca="false">SUMPRODUCT(($B$290:$B$306=$A310)*E$290:E$306*$C$290:$C$306)</f>
        <v>29.0102372497506</v>
      </c>
      <c r="F310" s="26" t="n">
        <f aca="false">SUMPRODUCT(($B$290:$B$306=$A310)*F$290:F$306*$C$290:$C$306)</f>
        <v>29.0102372497506</v>
      </c>
      <c r="G310" s="26" t="n">
        <f aca="false">SUMPRODUCT(($B$290:$B$306=$A310)*G$290:G$306*$C$290:$C$306)</f>
        <v>29.0102372497506</v>
      </c>
      <c r="H310" s="26" t="n">
        <f aca="false">SUMPRODUCT(($B$290:$B$306=$A310)*H$290:H$306*$C$290:$C$306)</f>
        <v>29.0102372497506</v>
      </c>
      <c r="I310" s="26" t="n">
        <f aca="false">SUMPRODUCT(($B$290:$B$306=$A310)*I$290:I$306*$C$290:$C$306)</f>
        <v>29.0102372497506</v>
      </c>
      <c r="J310" s="26" t="n">
        <f aca="false">SUMPRODUCT(($B$290:$B$306=$A310)*J$290:J$306*$C$290:$C$306)</f>
        <v>29.0102372497506</v>
      </c>
      <c r="K310" s="26" t="n">
        <f aca="false">SUMPRODUCT(($B$290:$B$306=$A310)*K$290:K$306*$C$290:$C$306)</f>
        <v>29.0102372497506</v>
      </c>
      <c r="L310" s="26" t="n">
        <f aca="false">SUMPRODUCT(($B$290:$B$306=$A310)*L$290:L$306*$C$290:$C$306)</f>
        <v>29.0102372497506</v>
      </c>
      <c r="M310" s="26" t="n">
        <f aca="false">SUMPRODUCT(($B$290:$B$306=$A310)*M$290:M$306*$C$290:$C$306)</f>
        <v>29.0102372497506</v>
      </c>
      <c r="N310" s="26" t="n">
        <f aca="false">SUMPRODUCT(($B$290:$B$306=$A310)*N$290:N$306*$C$290:$C$306)</f>
        <v>29.0102372497506</v>
      </c>
      <c r="O310" s="26" t="n">
        <f aca="false">SUMPRODUCT(($B$290:$B$306=$A310)*O$290:O$306*$C$290:$C$306)</f>
        <v>29.0102372497506</v>
      </c>
      <c r="P310" s="26" t="n">
        <f aca="false">SUMPRODUCT(($B$290:$B$306=$A310)*P$290:P$306*$C$290:$C$306)</f>
        <v>348.122846997007</v>
      </c>
    </row>
    <row r="311" customFormat="false" ht="15" hidden="false" customHeight="false" outlineLevel="0" collapsed="false">
      <c r="A311" s="4" t="s">
        <v>163</v>
      </c>
      <c r="D311" s="26" t="n">
        <f aca="false">SUMPRODUCT(($B$290:$B$306=$A311)*D$290:D$306*$C$290:$C$306)</f>
        <v>26.2348091595509</v>
      </c>
      <c r="E311" s="26" t="n">
        <f aca="false">SUMPRODUCT(($B$290:$B$306=$A311)*E$290:E$306*$C$290:$C$306)</f>
        <v>26.2348091595509</v>
      </c>
      <c r="F311" s="26" t="n">
        <f aca="false">SUMPRODUCT(($B$290:$B$306=$A311)*F$290:F$306*$C$290:$C$306)</f>
        <v>26.2348091595509</v>
      </c>
      <c r="G311" s="26" t="n">
        <f aca="false">SUMPRODUCT(($B$290:$B$306=$A311)*G$290:G$306*$C$290:$C$306)</f>
        <v>26.2348091595509</v>
      </c>
      <c r="H311" s="26" t="n">
        <f aca="false">SUMPRODUCT(($B$290:$B$306=$A311)*H$290:H$306*$C$290:$C$306)</f>
        <v>26.2348091595509</v>
      </c>
      <c r="I311" s="26" t="n">
        <f aca="false">SUMPRODUCT(($B$290:$B$306=$A311)*I$290:I$306*$C$290:$C$306)</f>
        <v>26.2348091595509</v>
      </c>
      <c r="J311" s="26" t="n">
        <f aca="false">SUMPRODUCT(($B$290:$B$306=$A311)*J$290:J$306*$C$290:$C$306)</f>
        <v>26.2348091595509</v>
      </c>
      <c r="K311" s="26" t="n">
        <f aca="false">SUMPRODUCT(($B$290:$B$306=$A311)*K$290:K$306*$C$290:$C$306)</f>
        <v>26.2348091595509</v>
      </c>
      <c r="L311" s="26" t="n">
        <f aca="false">SUMPRODUCT(($B$290:$B$306=$A311)*L$290:L$306*$C$290:$C$306)</f>
        <v>26.2348091595509</v>
      </c>
      <c r="M311" s="26" t="n">
        <f aca="false">SUMPRODUCT(($B$290:$B$306=$A311)*M$290:M$306*$C$290:$C$306)</f>
        <v>26.2348091595509</v>
      </c>
      <c r="N311" s="26" t="n">
        <f aca="false">SUMPRODUCT(($B$290:$B$306=$A311)*N$290:N$306*$C$290:$C$306)</f>
        <v>26.2348091595509</v>
      </c>
      <c r="O311" s="26" t="n">
        <f aca="false">SUMPRODUCT(($B$290:$B$306=$A311)*O$290:O$306*$C$290:$C$306)</f>
        <v>26.2348091595509</v>
      </c>
      <c r="P311" s="26" t="n">
        <f aca="false">SUMPRODUCT(($B$290:$B$306=$A311)*P$290:P$306*$C$290:$C$306)</f>
        <v>314.817709914611</v>
      </c>
    </row>
    <row r="312" customFormat="false" ht="15" hidden="false" customHeight="false" outlineLevel="0" collapsed="false">
      <c r="A312" s="4" t="s">
        <v>154</v>
      </c>
      <c r="D312" s="26" t="n">
        <f aca="false">SUMPRODUCT(($B$290:$B$306=$A312)*D$290:D$306*$C$290:$C$306)</f>
        <v>507.081746734774</v>
      </c>
      <c r="E312" s="26" t="n">
        <f aca="false">SUMPRODUCT(($B$290:$B$306=$A312)*E$290:E$306*$C$290:$C$306)</f>
        <v>507.081746734774</v>
      </c>
      <c r="F312" s="26" t="n">
        <f aca="false">SUMPRODUCT(($B$290:$B$306=$A312)*F$290:F$306*$C$290:$C$306)</f>
        <v>507.081746734774</v>
      </c>
      <c r="G312" s="26" t="n">
        <f aca="false">SUMPRODUCT(($B$290:$B$306=$A312)*G$290:G$306*$C$290:$C$306)</f>
        <v>507.081746734774</v>
      </c>
      <c r="H312" s="26" t="n">
        <f aca="false">SUMPRODUCT(($B$290:$B$306=$A312)*H$290:H$306*$C$290:$C$306)</f>
        <v>507.081746734774</v>
      </c>
      <c r="I312" s="26" t="n">
        <f aca="false">SUMPRODUCT(($B$290:$B$306=$A312)*I$290:I$306*$C$290:$C$306)</f>
        <v>507.081746734774</v>
      </c>
      <c r="J312" s="26" t="n">
        <f aca="false">SUMPRODUCT(($B$290:$B$306=$A312)*J$290:J$306*$C$290:$C$306)</f>
        <v>507.081746734774</v>
      </c>
      <c r="K312" s="26" t="n">
        <f aca="false">SUMPRODUCT(($B$290:$B$306=$A312)*K$290:K$306*$C$290:$C$306)</f>
        <v>507.081746734774</v>
      </c>
      <c r="L312" s="26" t="n">
        <f aca="false">SUMPRODUCT(($B$290:$B$306=$A312)*L$290:L$306*$C$290:$C$306)</f>
        <v>507.081746734774</v>
      </c>
      <c r="M312" s="26" t="n">
        <f aca="false">SUMPRODUCT(($B$290:$B$306=$A312)*M$290:M$306*$C$290:$C$306)</f>
        <v>507.081746734774</v>
      </c>
      <c r="N312" s="26" t="n">
        <f aca="false">SUMPRODUCT(($B$290:$B$306=$A312)*N$290:N$306*$C$290:$C$306)</f>
        <v>507.081746734774</v>
      </c>
      <c r="O312" s="26" t="n">
        <f aca="false">SUMPRODUCT(($B$290:$B$306=$A312)*O$290:O$306*$C$290:$C$306)</f>
        <v>507.081746734774</v>
      </c>
      <c r="P312" s="26" t="n">
        <f aca="false">SUMPRODUCT(($B$290:$B$306=$A312)*P$290:P$306*$C$290:$C$306)</f>
        <v>6084.98096081728</v>
      </c>
    </row>
    <row r="313" customFormat="false" ht="15" hidden="false" customHeight="false" outlineLevel="0" collapsed="false">
      <c r="A313" s="4" t="s">
        <v>155</v>
      </c>
      <c r="D313" s="26" t="n">
        <f aca="false">SUMPRODUCT(($B$290:$B$306=$A313)*D$290:D$306*$C$290:$C$306)</f>
        <v>246.902895634665</v>
      </c>
      <c r="E313" s="26" t="n">
        <f aca="false">SUMPRODUCT(($B$290:$B$306=$A313)*E$290:E$306*$C$290:$C$306)</f>
        <v>246.902895634665</v>
      </c>
      <c r="F313" s="26" t="n">
        <f aca="false">SUMPRODUCT(($B$290:$B$306=$A313)*F$290:F$306*$C$290:$C$306)</f>
        <v>246.902895634665</v>
      </c>
      <c r="G313" s="26" t="n">
        <f aca="false">SUMPRODUCT(($B$290:$B$306=$A313)*G$290:G$306*$C$290:$C$306)</f>
        <v>246.902895634665</v>
      </c>
      <c r="H313" s="26" t="n">
        <f aca="false">SUMPRODUCT(($B$290:$B$306=$A313)*H$290:H$306*$C$290:$C$306)</f>
        <v>246.902895634665</v>
      </c>
      <c r="I313" s="26" t="n">
        <f aca="false">SUMPRODUCT(($B$290:$B$306=$A313)*I$290:I$306*$C$290:$C$306)</f>
        <v>246.902895634665</v>
      </c>
      <c r="J313" s="26" t="n">
        <f aca="false">SUMPRODUCT(($B$290:$B$306=$A313)*J$290:J$306*$C$290:$C$306)</f>
        <v>246.902895634665</v>
      </c>
      <c r="K313" s="26" t="n">
        <f aca="false">SUMPRODUCT(($B$290:$B$306=$A313)*K$290:K$306*$C$290:$C$306)</f>
        <v>246.902895634665</v>
      </c>
      <c r="L313" s="26" t="n">
        <f aca="false">SUMPRODUCT(($B$290:$B$306=$A313)*L$290:L$306*$C$290:$C$306)</f>
        <v>246.902895634665</v>
      </c>
      <c r="M313" s="26" t="n">
        <f aca="false">SUMPRODUCT(($B$290:$B$306=$A313)*M$290:M$306*$C$290:$C$306)</f>
        <v>246.902895634665</v>
      </c>
      <c r="N313" s="26" t="n">
        <f aca="false">SUMPRODUCT(($B$290:$B$306=$A313)*N$290:N$306*$C$290:$C$306)</f>
        <v>246.902895634665</v>
      </c>
      <c r="O313" s="26" t="n">
        <f aca="false">SUMPRODUCT(($B$290:$B$306=$A313)*O$290:O$306*$C$290:$C$306)</f>
        <v>246.902895634665</v>
      </c>
      <c r="P313" s="26" t="n">
        <f aca="false">SUMPRODUCT(($B$290:$B$306=$A313)*P$290:P$306*$C$290:$C$306)</f>
        <v>2962.83474761598</v>
      </c>
    </row>
    <row r="314" customFormat="false" ht="15" hidden="false" customHeight="false" outlineLevel="0" collapsed="false">
      <c r="A314" s="4" t="s">
        <v>158</v>
      </c>
      <c r="D314" s="26" t="n">
        <f aca="false">SUMPRODUCT(($B$290:$B$306=$A314)*D$290:D$306*$C$290:$C$306)</f>
        <v>250.109733306255</v>
      </c>
      <c r="E314" s="26" t="n">
        <f aca="false">SUMPRODUCT(($B$290:$B$306=$A314)*E$290:E$306*$C$290:$C$306)</f>
        <v>250.109733306255</v>
      </c>
      <c r="F314" s="26" t="n">
        <f aca="false">SUMPRODUCT(($B$290:$B$306=$A314)*F$290:F$306*$C$290:$C$306)</f>
        <v>250.109733306255</v>
      </c>
      <c r="G314" s="26" t="n">
        <f aca="false">SUMPRODUCT(($B$290:$B$306=$A314)*G$290:G$306*$C$290:$C$306)</f>
        <v>250.109733306255</v>
      </c>
      <c r="H314" s="26" t="n">
        <f aca="false">SUMPRODUCT(($B$290:$B$306=$A314)*H$290:H$306*$C$290:$C$306)</f>
        <v>250.109733306255</v>
      </c>
      <c r="I314" s="26" t="n">
        <f aca="false">SUMPRODUCT(($B$290:$B$306=$A314)*I$290:I$306*$C$290:$C$306)</f>
        <v>250.109733306255</v>
      </c>
      <c r="J314" s="26" t="n">
        <f aca="false">SUMPRODUCT(($B$290:$B$306=$A314)*J$290:J$306*$C$290:$C$306)</f>
        <v>250.109733306255</v>
      </c>
      <c r="K314" s="26" t="n">
        <f aca="false">SUMPRODUCT(($B$290:$B$306=$A314)*K$290:K$306*$C$290:$C$306)</f>
        <v>250.109733306255</v>
      </c>
      <c r="L314" s="26" t="n">
        <f aca="false">SUMPRODUCT(($B$290:$B$306=$A314)*L$290:L$306*$C$290:$C$306)</f>
        <v>250.109733306255</v>
      </c>
      <c r="M314" s="26" t="n">
        <f aca="false">SUMPRODUCT(($B$290:$B$306=$A314)*M$290:M$306*$C$290:$C$306)</f>
        <v>250.109733306255</v>
      </c>
      <c r="N314" s="26" t="n">
        <f aca="false">SUMPRODUCT(($B$290:$B$306=$A314)*N$290:N$306*$C$290:$C$306)</f>
        <v>250.109733306255</v>
      </c>
      <c r="O314" s="26" t="n">
        <f aca="false">SUMPRODUCT(($B$290:$B$306=$A314)*O$290:O$306*$C$290:$C$306)</f>
        <v>250.109733306255</v>
      </c>
      <c r="P314" s="26" t="n">
        <f aca="false">SUMPRODUCT(($B$290:$B$306=$A314)*P$290:P$306*$C$290:$C$306)</f>
        <v>3001.31679967506</v>
      </c>
    </row>
    <row r="315" customFormat="false" ht="15" hidden="false" customHeight="false" outlineLevel="0" collapsed="false">
      <c r="A315" s="4" t="s">
        <v>159</v>
      </c>
      <c r="D315" s="26" t="n">
        <f aca="false">SUMPRODUCT(($B$290:$B$306=$A315)*D$290:D$306*$C$290:$C$306)</f>
        <v>1830.39081220635</v>
      </c>
      <c r="E315" s="26" t="n">
        <f aca="false">SUMPRODUCT(($B$290:$B$306=$A315)*E$290:E$306*$C$290:$C$306)</f>
        <v>1830.39081220635</v>
      </c>
      <c r="F315" s="26" t="n">
        <f aca="false">SUMPRODUCT(($B$290:$B$306=$A315)*F$290:F$306*$C$290:$C$306)</f>
        <v>1830.39081220635</v>
      </c>
      <c r="G315" s="26" t="n">
        <f aca="false">SUMPRODUCT(($B$290:$B$306=$A315)*G$290:G$306*$C$290:$C$306)</f>
        <v>1830.39081220635</v>
      </c>
      <c r="H315" s="26" t="n">
        <f aca="false">SUMPRODUCT(($B$290:$B$306=$A315)*H$290:H$306*$C$290:$C$306)</f>
        <v>1830.39081220635</v>
      </c>
      <c r="I315" s="26" t="n">
        <f aca="false">SUMPRODUCT(($B$290:$B$306=$A315)*I$290:I$306*$C$290:$C$306)</f>
        <v>1830.39081220635</v>
      </c>
      <c r="J315" s="26" t="n">
        <f aca="false">SUMPRODUCT(($B$290:$B$306=$A315)*J$290:J$306*$C$290:$C$306)</f>
        <v>1830.39081220635</v>
      </c>
      <c r="K315" s="26" t="n">
        <f aca="false">SUMPRODUCT(($B$290:$B$306=$A315)*K$290:K$306*$C$290:$C$306)</f>
        <v>1830.39081220635</v>
      </c>
      <c r="L315" s="26" t="n">
        <f aca="false">SUMPRODUCT(($B$290:$B$306=$A315)*L$290:L$306*$C$290:$C$306)</f>
        <v>1830.39081220635</v>
      </c>
      <c r="M315" s="26" t="n">
        <f aca="false">SUMPRODUCT(($B$290:$B$306=$A315)*M$290:M$306*$C$290:$C$306)</f>
        <v>1830.39081220635</v>
      </c>
      <c r="N315" s="26" t="n">
        <f aca="false">SUMPRODUCT(($B$290:$B$306=$A315)*N$290:N$306*$C$290:$C$306)</f>
        <v>1830.39081220635</v>
      </c>
      <c r="O315" s="26" t="n">
        <f aca="false">SUMPRODUCT(($B$290:$B$306=$A315)*O$290:O$306*$C$290:$C$306)</f>
        <v>1830.39081220635</v>
      </c>
      <c r="P315" s="26" t="n">
        <f aca="false">SUMPRODUCT(($B$290:$B$306=$A315)*P$290:P$306*$C$290:$C$306)</f>
        <v>21964.6897464762</v>
      </c>
    </row>
    <row r="316" customFormat="false" ht="15" hidden="false" customHeight="false" outlineLevel="0" collapsed="false">
      <c r="A316" s="4" t="s">
        <v>162</v>
      </c>
      <c r="D316" s="26" t="n">
        <f aca="false">SUMPRODUCT(($B$290:$B$306=$A316)*D$290:D$306*$C$290:$C$306)</f>
        <v>76.360103441268</v>
      </c>
      <c r="E316" s="26" t="n">
        <f aca="false">SUMPRODUCT(($B$290:$B$306=$A316)*E$290:E$306*$C$290:$C$306)</f>
        <v>76.360103441268</v>
      </c>
      <c r="F316" s="26" t="n">
        <f aca="false">SUMPRODUCT(($B$290:$B$306=$A316)*F$290:F$306*$C$290:$C$306)</f>
        <v>76.360103441268</v>
      </c>
      <c r="G316" s="26" t="n">
        <f aca="false">SUMPRODUCT(($B$290:$B$306=$A316)*G$290:G$306*$C$290:$C$306)</f>
        <v>76.360103441268</v>
      </c>
      <c r="H316" s="26" t="n">
        <f aca="false">SUMPRODUCT(($B$290:$B$306=$A316)*H$290:H$306*$C$290:$C$306)</f>
        <v>76.360103441268</v>
      </c>
      <c r="I316" s="26" t="n">
        <f aca="false">SUMPRODUCT(($B$290:$B$306=$A316)*I$290:I$306*$C$290:$C$306)</f>
        <v>76.360103441268</v>
      </c>
      <c r="J316" s="26" t="n">
        <f aca="false">SUMPRODUCT(($B$290:$B$306=$A316)*J$290:J$306*$C$290:$C$306)</f>
        <v>76.360103441268</v>
      </c>
      <c r="K316" s="26" t="n">
        <f aca="false">SUMPRODUCT(($B$290:$B$306=$A316)*K$290:K$306*$C$290:$C$306)</f>
        <v>76.360103441268</v>
      </c>
      <c r="L316" s="26" t="n">
        <f aca="false">SUMPRODUCT(($B$290:$B$306=$A316)*L$290:L$306*$C$290:$C$306)</f>
        <v>76.360103441268</v>
      </c>
      <c r="M316" s="26" t="n">
        <f aca="false">SUMPRODUCT(($B$290:$B$306=$A316)*M$290:M$306*$C$290:$C$306)</f>
        <v>76.360103441268</v>
      </c>
      <c r="N316" s="26" t="n">
        <f aca="false">SUMPRODUCT(($B$290:$B$306=$A316)*N$290:N$306*$C$290:$C$306)</f>
        <v>76.360103441268</v>
      </c>
      <c r="O316" s="26" t="n">
        <f aca="false">SUMPRODUCT(($B$290:$B$306=$A316)*O$290:O$306*$C$290:$C$306)</f>
        <v>76.360103441268</v>
      </c>
      <c r="P316" s="26" t="n">
        <f aca="false">SUMPRODUCT(($B$290:$B$306=$A316)*P$290:P$306*$C$290:$C$306)</f>
        <v>916.321241295216</v>
      </c>
    </row>
    <row r="317" customFormat="false" ht="15" hidden="false" customHeight="false" outlineLevel="0" collapsed="false">
      <c r="A317" s="6" t="s">
        <v>312</v>
      </c>
      <c r="D317" s="27" t="n">
        <f aca="false">SUMPRODUCT(D$290:D$306*parametros_recargas!$D$51:$D$67)</f>
        <v>766.570325750818</v>
      </c>
      <c r="E317" s="27" t="n">
        <f aca="false">SUMPRODUCT(E$290:E$306*parametros_recargas!$D$51:$D$67)</f>
        <v>766.570325750818</v>
      </c>
      <c r="F317" s="27" t="n">
        <f aca="false">SUMPRODUCT(F$290:F$306*parametros_recargas!$D$51:$D$67)</f>
        <v>766.570325750818</v>
      </c>
      <c r="G317" s="27" t="n">
        <f aca="false">SUMPRODUCT(G$290:G$306*parametros_recargas!$D$51:$D$67)</f>
        <v>766.570325750818</v>
      </c>
      <c r="H317" s="27" t="n">
        <f aca="false">SUMPRODUCT(H$290:H$306*parametros_recargas!$D$51:$D$67)</f>
        <v>766.570325750818</v>
      </c>
      <c r="I317" s="27" t="n">
        <f aca="false">SUMPRODUCT(I$290:I$306*parametros_recargas!$D$51:$D$67)</f>
        <v>766.570325750818</v>
      </c>
      <c r="J317" s="27" t="n">
        <f aca="false">SUMPRODUCT(J$290:J$306*parametros_recargas!$D$51:$D$67)</f>
        <v>766.570325750818</v>
      </c>
      <c r="K317" s="27" t="n">
        <f aca="false">SUMPRODUCT(K$290:K$306*parametros_recargas!$D$51:$D$67)</f>
        <v>766.570325750818</v>
      </c>
      <c r="L317" s="27" t="n">
        <f aca="false">SUMPRODUCT(L$290:L$306*parametros_recargas!$D$51:$D$67)</f>
        <v>766.570325750818</v>
      </c>
      <c r="M317" s="27" t="n">
        <f aca="false">SUMPRODUCT(M$290:M$306*parametros_recargas!$D$51:$D$67)</f>
        <v>766.570325750818</v>
      </c>
      <c r="N317" s="27" t="n">
        <f aca="false">SUMPRODUCT(N$290:N$306*parametros_recargas!$D$51:$D$67)</f>
        <v>766.570325750818</v>
      </c>
      <c r="O317" s="27" t="n">
        <f aca="false">SUMPRODUCT(O$290:O$306*parametros_recargas!$D$51:$D$67)</f>
        <v>766.570325750818</v>
      </c>
      <c r="P317" s="27" t="n">
        <f aca="false">SUMPRODUCT(P$290:P$306*parametros_recargas!$D$51:$D$67)</f>
        <v>9198.84390900982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313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138</v>
      </c>
      <c r="H1" s="3" t="s">
        <v>139</v>
      </c>
      <c r="I1" s="3" t="s">
        <v>140</v>
      </c>
      <c r="J1" s="3" t="s">
        <v>141</v>
      </c>
      <c r="K1" s="3" t="s">
        <v>142</v>
      </c>
      <c r="L1" s="3" t="s">
        <v>143</v>
      </c>
      <c r="M1" s="3" t="s">
        <v>144</v>
      </c>
      <c r="N1" s="3" t="s">
        <v>314</v>
      </c>
      <c r="O1" s="3" t="s">
        <v>315</v>
      </c>
      <c r="P1" s="3" t="s">
        <v>316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6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414.818938349055</v>
      </c>
      <c r="C2" s="26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414.818938349055</v>
      </c>
      <c r="D2" s="26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414.818938349055</v>
      </c>
      <c r="E2" s="26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414.818938349055</v>
      </c>
      <c r="F2" s="26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414.818938349055</v>
      </c>
      <c r="G2" s="26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414.818938349055</v>
      </c>
      <c r="H2" s="26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414.818938349055</v>
      </c>
      <c r="I2" s="26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414.818938349055</v>
      </c>
      <c r="J2" s="26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414.818938349055</v>
      </c>
      <c r="K2" s="26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414.818938349055</v>
      </c>
      <c r="L2" s="26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414.818938349055</v>
      </c>
      <c r="M2" s="26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414.818938349055</v>
      </c>
      <c r="N2" s="7" t="n">
        <f aca="false">SUM(B2:M2)</f>
        <v>4977.82726018866</v>
      </c>
      <c r="O2" s="27" t="n">
        <f aca="false">MAX(B2:M2)</f>
        <v>414.818938349055</v>
      </c>
      <c r="P2" s="15" t="n">
        <f aca="false">O2/parametros_recargas!$B$6</f>
        <v>2.7654595889937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6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414.818938349055</v>
      </c>
      <c r="C3" s="26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414.818938349055</v>
      </c>
      <c r="D3" s="26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414.818938349055</v>
      </c>
      <c r="E3" s="26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414.818938349055</v>
      </c>
      <c r="F3" s="26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414.818938349055</v>
      </c>
      <c r="G3" s="26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414.818938349055</v>
      </c>
      <c r="H3" s="26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414.818938349055</v>
      </c>
      <c r="I3" s="26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414.818938349055</v>
      </c>
      <c r="J3" s="26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414.818938349055</v>
      </c>
      <c r="K3" s="26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414.818938349055</v>
      </c>
      <c r="L3" s="26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414.818938349055</v>
      </c>
      <c r="M3" s="26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414.818938349055</v>
      </c>
      <c r="N3" s="7" t="n">
        <f aca="false">SUM(B3:M3)</f>
        <v>4977.82726018866</v>
      </c>
      <c r="O3" s="27" t="n">
        <f aca="false">MAX(B3:M3)</f>
        <v>414.818938349055</v>
      </c>
      <c r="P3" s="15" t="n">
        <f aca="false">O3/parametros_recargas!$B$6</f>
        <v>2.7654595889937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6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306.929567593787</v>
      </c>
      <c r="C4" s="26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306.929567593787</v>
      </c>
      <c r="D4" s="26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306.929567593787</v>
      </c>
      <c r="E4" s="26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306.929567593787</v>
      </c>
      <c r="F4" s="26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306.929567593787</v>
      </c>
      <c r="G4" s="26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306.929567593787</v>
      </c>
      <c r="H4" s="26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306.929567593787</v>
      </c>
      <c r="I4" s="26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306.929567593787</v>
      </c>
      <c r="J4" s="26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306.929567593787</v>
      </c>
      <c r="K4" s="26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306.929567593787</v>
      </c>
      <c r="L4" s="26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306.929567593787</v>
      </c>
      <c r="M4" s="26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306.929567593787</v>
      </c>
      <c r="N4" s="7" t="n">
        <f aca="false">SUM(B4:M4)</f>
        <v>3683.15481112545</v>
      </c>
      <c r="O4" s="27" t="n">
        <f aca="false">MAX(B4:M4)</f>
        <v>306.929567593787</v>
      </c>
      <c r="P4" s="15" t="n">
        <f aca="false">O4/parametros_recargas!$B$6</f>
        <v>2.04619711729192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6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36.1093608933867</v>
      </c>
      <c r="C5" s="26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36.1093608933867</v>
      </c>
      <c r="D5" s="26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36.1093608933867</v>
      </c>
      <c r="E5" s="26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36.1093608933867</v>
      </c>
      <c r="F5" s="26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36.1093608933867</v>
      </c>
      <c r="G5" s="26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36.1093608933867</v>
      </c>
      <c r="H5" s="26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36.1093608933867</v>
      </c>
      <c r="I5" s="26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36.1093608933867</v>
      </c>
      <c r="J5" s="26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36.1093608933867</v>
      </c>
      <c r="K5" s="26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36.1093608933867</v>
      </c>
      <c r="L5" s="26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36.1093608933867</v>
      </c>
      <c r="M5" s="26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36.1093608933867</v>
      </c>
      <c r="N5" s="7" t="n">
        <f aca="false">SUM(B5:M5)</f>
        <v>433.312330720641</v>
      </c>
      <c r="O5" s="27" t="n">
        <f aca="false">MAX(B5:M5)</f>
        <v>36.1093608933867</v>
      </c>
      <c r="P5" s="15" t="n">
        <f aca="false">O5/parametros_recargas!$B$6</f>
        <v>0.240729072622578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0.40496477983295</v>
      </c>
      <c r="C6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0.40496477983295</v>
      </c>
      <c r="D6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0.40496477983295</v>
      </c>
      <c r="E6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0.40496477983295</v>
      </c>
      <c r="F6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0.40496477983295</v>
      </c>
      <c r="G6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0.40496477983295</v>
      </c>
      <c r="H6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0.40496477983295</v>
      </c>
      <c r="I6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0.40496477983295</v>
      </c>
      <c r="J6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0.40496477983295</v>
      </c>
      <c r="K6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0.40496477983295</v>
      </c>
      <c r="L6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0.40496477983295</v>
      </c>
      <c r="M6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0.40496477983295</v>
      </c>
      <c r="N6" s="7" t="n">
        <f aca="false">SUM(B6:M6)</f>
        <v>4.85957735799541</v>
      </c>
      <c r="O6" s="27" t="n">
        <f aca="false">MAX(B6:M6)</f>
        <v>0.40496477983295</v>
      </c>
      <c r="P6" s="15" t="n">
        <f aca="false">O6/parametros_recargas!$B$6</f>
        <v>0.00269976519888634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17.6834626458417</v>
      </c>
      <c r="C7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17.6834626458417</v>
      </c>
      <c r="D7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17.6834626458417</v>
      </c>
      <c r="E7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17.6834626458417</v>
      </c>
      <c r="F7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17.6834626458417</v>
      </c>
      <c r="G7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17.6834626458417</v>
      </c>
      <c r="H7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17.6834626458417</v>
      </c>
      <c r="I7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17.6834626458417</v>
      </c>
      <c r="J7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17.6834626458417</v>
      </c>
      <c r="K7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17.6834626458417</v>
      </c>
      <c r="L7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17.6834626458417</v>
      </c>
      <c r="M7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17.6834626458417</v>
      </c>
      <c r="N7" s="7" t="n">
        <f aca="false">SUM(B7:M7)</f>
        <v>212.201551750101</v>
      </c>
      <c r="O7" s="27" t="n">
        <f aca="false">MAX(B7:M7)</f>
        <v>17.6834626458417</v>
      </c>
      <c r="P7" s="15" t="n">
        <f aca="false">O7/parametros_recargas!$B$6</f>
        <v>0.117889750972278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8.53800776770297</v>
      </c>
      <c r="C8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8.53800776770297</v>
      </c>
      <c r="D8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8.53800776770297</v>
      </c>
      <c r="E8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8.53800776770297</v>
      </c>
      <c r="F8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8.53800776770297</v>
      </c>
      <c r="G8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8.53800776770297</v>
      </c>
      <c r="H8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8.53800776770297</v>
      </c>
      <c r="I8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8.53800776770297</v>
      </c>
      <c r="J8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8.53800776770297</v>
      </c>
      <c r="K8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8.53800776770297</v>
      </c>
      <c r="L8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8.53800776770297</v>
      </c>
      <c r="M8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8.53800776770297</v>
      </c>
      <c r="N8" s="7" t="n">
        <f aca="false">SUM(B8:M8)</f>
        <v>102.456093212436</v>
      </c>
      <c r="O8" s="27" t="n">
        <f aca="false">MAX(B8:M8)</f>
        <v>8.53800776770297</v>
      </c>
      <c r="P8" s="15" t="n">
        <f aca="false">O8/parametros_recargas!$B$6</f>
        <v>0.0569200517846865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0.26997653471704</v>
      </c>
      <c r="C9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0.26997653471704</v>
      </c>
      <c r="D9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0.26997653471704</v>
      </c>
      <c r="E9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0.26997653471704</v>
      </c>
      <c r="F9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0.26997653471704</v>
      </c>
      <c r="G9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0.26997653471704</v>
      </c>
      <c r="H9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0.26997653471704</v>
      </c>
      <c r="I9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0.26997653471704</v>
      </c>
      <c r="J9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0.26997653471704</v>
      </c>
      <c r="K9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0.26997653471704</v>
      </c>
      <c r="L9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0.26997653471704</v>
      </c>
      <c r="M9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0.26997653471704</v>
      </c>
      <c r="N9" s="7" t="n">
        <f aca="false">SUM(B9:M9)</f>
        <v>3.23971841660448</v>
      </c>
      <c r="O9" s="27" t="n">
        <f aca="false">MAX(B9:M9)</f>
        <v>0.26997653471704</v>
      </c>
      <c r="P9" s="15" t="n">
        <f aca="false">O9/parametros_recargas!$B$6</f>
        <v>0.00179984356478026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361.903538493533</v>
      </c>
      <c r="C10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361.903538493533</v>
      </c>
      <c r="D10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361.903538493533</v>
      </c>
      <c r="E10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361.903538493533</v>
      </c>
      <c r="F10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361.903538493533</v>
      </c>
      <c r="G10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361.903538493533</v>
      </c>
      <c r="H10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361.903538493533</v>
      </c>
      <c r="I10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361.903538493533</v>
      </c>
      <c r="J10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361.903538493533</v>
      </c>
      <c r="K10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361.903538493533</v>
      </c>
      <c r="L10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361.903538493533</v>
      </c>
      <c r="M10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361.903538493533</v>
      </c>
      <c r="N10" s="7" t="n">
        <f aca="false">SUM(B10:M10)</f>
        <v>4342.8424619224</v>
      </c>
      <c r="O10" s="27" t="n">
        <f aca="false">MAX(B10:M10)</f>
        <v>361.903538493533</v>
      </c>
      <c r="P10" s="15" t="n">
        <f aca="false">O10/parametros_recargas!$B$6</f>
        <v>2.41269025662356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26.4914469482618</v>
      </c>
      <c r="C11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26.4914469482618</v>
      </c>
      <c r="D11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26.4914469482618</v>
      </c>
      <c r="E11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26.4914469482618</v>
      </c>
      <c r="F11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26.4914469482618</v>
      </c>
      <c r="G11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26.4914469482618</v>
      </c>
      <c r="H11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26.4914469482618</v>
      </c>
      <c r="I11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26.4914469482618</v>
      </c>
      <c r="J11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26.4914469482618</v>
      </c>
      <c r="K11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26.4914469482618</v>
      </c>
      <c r="L11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26.4914469482618</v>
      </c>
      <c r="M11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26.4914469482618</v>
      </c>
      <c r="N11" s="7" t="n">
        <f aca="false">SUM(B11:M11)</f>
        <v>317.897363379141</v>
      </c>
      <c r="O11" s="27" t="n">
        <f aca="false">MAX(B11:M11)</f>
        <v>26.4914469482618</v>
      </c>
      <c r="P11" s="15" t="n">
        <f aca="false">O11/parametros_recargas!$B$6</f>
        <v>0.176609646321745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0.3614985737137</v>
      </c>
      <c r="C12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0.3614985737137</v>
      </c>
      <c r="D12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0.3614985737137</v>
      </c>
      <c r="E12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0.3614985737137</v>
      </c>
      <c r="F12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0.3614985737137</v>
      </c>
      <c r="G12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0.3614985737137</v>
      </c>
      <c r="H12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0.3614985737137</v>
      </c>
      <c r="I12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0.3614985737137</v>
      </c>
      <c r="J12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0.3614985737137</v>
      </c>
      <c r="K12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0.3614985737137</v>
      </c>
      <c r="L12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0.3614985737137</v>
      </c>
      <c r="M12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0.3614985737137</v>
      </c>
      <c r="N12" s="7" t="n">
        <f aca="false">SUM(B12:M12)</f>
        <v>4.3379828845644</v>
      </c>
      <c r="O12" s="27" t="n">
        <f aca="false">MAX(B12:M12)</f>
        <v>0.3614985737137</v>
      </c>
      <c r="P12" s="15" t="n">
        <f aca="false">O12/parametros_recargas!$B$6</f>
        <v>0.00240999049142467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88.2688264635635</v>
      </c>
      <c r="C13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88.2688264635635</v>
      </c>
      <c r="D13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88.2688264635635</v>
      </c>
      <c r="E13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88.2688264635635</v>
      </c>
      <c r="F13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88.2688264635635</v>
      </c>
      <c r="G13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88.2688264635635</v>
      </c>
      <c r="H13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88.2688264635635</v>
      </c>
      <c r="I13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88.2688264635635</v>
      </c>
      <c r="J13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88.2688264635635</v>
      </c>
      <c r="K13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88.2688264635635</v>
      </c>
      <c r="L13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88.2688264635635</v>
      </c>
      <c r="M13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88.2688264635635</v>
      </c>
      <c r="N13" s="7" t="n">
        <f aca="false">SUM(B13:M13)</f>
        <v>1059.22591756276</v>
      </c>
      <c r="O13" s="27" t="n">
        <f aca="false">MAX(B13:M13)</f>
        <v>88.2688264635635</v>
      </c>
      <c r="P13" s="15" t="n">
        <f aca="false">O13/parametros_recargas!$B$6</f>
        <v>0.588458843090424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83.046130525578</v>
      </c>
      <c r="C14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83.046130525578</v>
      </c>
      <c r="D14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83.046130525578</v>
      </c>
      <c r="E14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83.046130525578</v>
      </c>
      <c r="F14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83.046130525578</v>
      </c>
      <c r="G14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83.046130525578</v>
      </c>
      <c r="H14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83.046130525578</v>
      </c>
      <c r="I14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83.046130525578</v>
      </c>
      <c r="J14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83.046130525578</v>
      </c>
      <c r="K14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83.046130525578</v>
      </c>
      <c r="L14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83.046130525578</v>
      </c>
      <c r="M14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83.046130525578</v>
      </c>
      <c r="N14" s="7" t="n">
        <f aca="false">SUM(B14:M14)</f>
        <v>996.553566306936</v>
      </c>
      <c r="O14" s="27" t="n">
        <f aca="false">MAX(B14:M14)</f>
        <v>83.046130525578</v>
      </c>
      <c r="P14" s="15" t="n">
        <f aca="false">O14/parametros_recargas!$B$6</f>
        <v>0.55364087017052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83.046130525578</v>
      </c>
      <c r="C15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83.046130525578</v>
      </c>
      <c r="D15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83.046130525578</v>
      </c>
      <c r="E15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83.046130525578</v>
      </c>
      <c r="F15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83.046130525578</v>
      </c>
      <c r="G15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83.046130525578</v>
      </c>
      <c r="H15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83.046130525578</v>
      </c>
      <c r="I15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83.046130525578</v>
      </c>
      <c r="J15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83.046130525578</v>
      </c>
      <c r="K15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83.046130525578</v>
      </c>
      <c r="L15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83.046130525578</v>
      </c>
      <c r="M15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83.046130525578</v>
      </c>
      <c r="N15" s="7" t="n">
        <f aca="false">SUM(B15:M15)</f>
        <v>996.553566306936</v>
      </c>
      <c r="O15" s="27" t="n">
        <f aca="false">MAX(B15:M15)</f>
        <v>83.046130525578</v>
      </c>
      <c r="P15" s="15" t="n">
        <f aca="false">O15/parametros_recargas!$B$6</f>
        <v>0.55364087017052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41.4818938349055</v>
      </c>
      <c r="C16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41.4818938349055</v>
      </c>
      <c r="D16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41.4818938349055</v>
      </c>
      <c r="E16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41.4818938349055</v>
      </c>
      <c r="F16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41.4818938349055</v>
      </c>
      <c r="G16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41.4818938349055</v>
      </c>
      <c r="H16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41.4818938349055</v>
      </c>
      <c r="I16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41.4818938349055</v>
      </c>
      <c r="J16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41.4818938349055</v>
      </c>
      <c r="K16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41.4818938349055</v>
      </c>
      <c r="L16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41.4818938349055</v>
      </c>
      <c r="M16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41.4818938349055</v>
      </c>
      <c r="N16" s="7" t="n">
        <f aca="false">SUM(B16:M16)</f>
        <v>497.782726018866</v>
      </c>
      <c r="O16" s="27" t="n">
        <f aca="false">MAX(B16:M16)</f>
        <v>41.4818938349055</v>
      </c>
      <c r="P16" s="15" t="n">
        <f aca="false">O16/parametros_recargas!$B$6</f>
        <v>0.27654595889937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361.093608933867</v>
      </c>
      <c r="C17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361.093608933867</v>
      </c>
      <c r="D17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361.093608933867</v>
      </c>
      <c r="E17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361.093608933867</v>
      </c>
      <c r="F17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361.093608933867</v>
      </c>
      <c r="G17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361.093608933867</v>
      </c>
      <c r="H17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361.093608933867</v>
      </c>
      <c r="I17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361.093608933867</v>
      </c>
      <c r="J17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361.093608933867</v>
      </c>
      <c r="K17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361.093608933867</v>
      </c>
      <c r="L17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361.093608933867</v>
      </c>
      <c r="M17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361.093608933867</v>
      </c>
      <c r="N17" s="7" t="n">
        <f aca="false">SUM(B17:M17)</f>
        <v>4333.12330720641</v>
      </c>
      <c r="O17" s="27" t="n">
        <f aca="false">MAX(B17:M17)</f>
        <v>361.093608933867</v>
      </c>
      <c r="P17" s="15" t="n">
        <f aca="false">O17/parametros_recargas!$B$6</f>
        <v>2.40729072622578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0.40496477983295</v>
      </c>
      <c r="C18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0.40496477983295</v>
      </c>
      <c r="D18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0.40496477983295</v>
      </c>
      <c r="E18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0.40496477983295</v>
      </c>
      <c r="F18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0.40496477983295</v>
      </c>
      <c r="G18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0.40496477983295</v>
      </c>
      <c r="H18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0.40496477983295</v>
      </c>
      <c r="I18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0.40496477983295</v>
      </c>
      <c r="J18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0.40496477983295</v>
      </c>
      <c r="K18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0.40496477983295</v>
      </c>
      <c r="L18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0.40496477983295</v>
      </c>
      <c r="M18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0.40496477983295</v>
      </c>
      <c r="N18" s="7" t="n">
        <f aca="false">SUM(B18:M18)</f>
        <v>4.85957735799541</v>
      </c>
      <c r="O18" s="27" t="n">
        <f aca="false">MAX(B18:M18)</f>
        <v>0.40496477983295</v>
      </c>
      <c r="P18" s="15" t="n">
        <f aca="false">O18/parametros_recargas!$B$6</f>
        <v>0.00269976519888634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0.40496477983295</v>
      </c>
      <c r="C19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0.40496477983295</v>
      </c>
      <c r="D19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0.40496477983295</v>
      </c>
      <c r="E19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0.40496477983295</v>
      </c>
      <c r="F19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0.40496477983295</v>
      </c>
      <c r="G19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0.40496477983295</v>
      </c>
      <c r="H19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0.40496477983295</v>
      </c>
      <c r="I19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0.40496477983295</v>
      </c>
      <c r="J19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0.40496477983295</v>
      </c>
      <c r="K19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0.40496477983295</v>
      </c>
      <c r="L19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0.40496477983295</v>
      </c>
      <c r="M19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0.40496477983295</v>
      </c>
      <c r="N19" s="7" t="n">
        <f aca="false">SUM(B19:M19)</f>
        <v>4.85957735799541</v>
      </c>
      <c r="O19" s="27" t="n">
        <f aca="false">MAX(B19:M19)</f>
        <v>0.40496477983295</v>
      </c>
      <c r="P19" s="15" t="n">
        <f aca="false">O19/parametros_recargas!$B$6</f>
        <v>0.00269976519888634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17.6834626458417</v>
      </c>
      <c r="C20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17.6834626458417</v>
      </c>
      <c r="D20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17.6834626458417</v>
      </c>
      <c r="E20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17.6834626458417</v>
      </c>
      <c r="F20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17.6834626458417</v>
      </c>
      <c r="G20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17.6834626458417</v>
      </c>
      <c r="H20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17.6834626458417</v>
      </c>
      <c r="I20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17.6834626458417</v>
      </c>
      <c r="J20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17.6834626458417</v>
      </c>
      <c r="K20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17.6834626458417</v>
      </c>
      <c r="L20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17.6834626458417</v>
      </c>
      <c r="M20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17.6834626458417</v>
      </c>
      <c r="N20" s="7" t="n">
        <f aca="false">SUM(B20:M20)</f>
        <v>212.201551750101</v>
      </c>
      <c r="O20" s="27" t="n">
        <f aca="false">MAX(B20:M20)</f>
        <v>17.6834626458417</v>
      </c>
      <c r="P20" s="15" t="n">
        <f aca="false">O20/parametros_recargas!$B$6</f>
        <v>0.117889750972278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10.2456093212436</v>
      </c>
      <c r="C21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10.2456093212436</v>
      </c>
      <c r="D21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10.2456093212436</v>
      </c>
      <c r="E21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10.2456093212436</v>
      </c>
      <c r="F21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10.2456093212436</v>
      </c>
      <c r="G21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10.2456093212436</v>
      </c>
      <c r="H21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10.2456093212436</v>
      </c>
      <c r="I21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10.2456093212436</v>
      </c>
      <c r="J21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10.2456093212436</v>
      </c>
      <c r="K21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10.2456093212436</v>
      </c>
      <c r="L21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10.2456093212436</v>
      </c>
      <c r="M21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10.2456093212436</v>
      </c>
      <c r="N21" s="7" t="n">
        <f aca="false">SUM(B21:M21)</f>
        <v>122.947311854923</v>
      </c>
      <c r="O21" s="27" t="n">
        <f aca="false">MAX(B21:M21)</f>
        <v>10.2456093212436</v>
      </c>
      <c r="P21" s="15" t="n">
        <f aca="false">O21/parametros_recargas!$B$6</f>
        <v>0.0683040621416238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361.903538493533</v>
      </c>
      <c r="C22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361.903538493533</v>
      </c>
      <c r="D22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361.903538493533</v>
      </c>
      <c r="E22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361.903538493533</v>
      </c>
      <c r="F22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361.903538493533</v>
      </c>
      <c r="G22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361.903538493533</v>
      </c>
      <c r="H22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361.903538493533</v>
      </c>
      <c r="I22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361.903538493533</v>
      </c>
      <c r="J22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361.903538493533</v>
      </c>
      <c r="K22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361.903538493533</v>
      </c>
      <c r="L22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361.903538493533</v>
      </c>
      <c r="M22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361.903538493533</v>
      </c>
      <c r="N22" s="7" t="n">
        <f aca="false">SUM(B22:M22)</f>
        <v>4342.8424619224</v>
      </c>
      <c r="O22" s="27" t="n">
        <f aca="false">MAX(B22:M22)</f>
        <v>361.903538493533</v>
      </c>
      <c r="P22" s="15" t="n">
        <f aca="false">O22/parametros_recargas!$B$6</f>
        <v>2.41269025662356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361.903538493533</v>
      </c>
      <c r="C23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361.903538493533</v>
      </c>
      <c r="D23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361.903538493533</v>
      </c>
      <c r="E23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361.903538493533</v>
      </c>
      <c r="F23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361.903538493533</v>
      </c>
      <c r="G23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361.903538493533</v>
      </c>
      <c r="H23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361.903538493533</v>
      </c>
      <c r="I23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361.903538493533</v>
      </c>
      <c r="J23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361.903538493533</v>
      </c>
      <c r="K23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361.903538493533</v>
      </c>
      <c r="L23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361.903538493533</v>
      </c>
      <c r="M23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361.903538493533</v>
      </c>
      <c r="N23" s="7" t="n">
        <f aca="false">SUM(B23:M23)</f>
        <v>4342.8424619224</v>
      </c>
      <c r="O23" s="27" t="n">
        <f aca="false">MAX(B23:M23)</f>
        <v>361.903538493533</v>
      </c>
      <c r="P23" s="15" t="n">
        <f aca="false">O23/parametros_recargas!$B$6</f>
        <v>2.41269025662356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26.4914469482618</v>
      </c>
      <c r="C24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26.4914469482618</v>
      </c>
      <c r="D24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26.4914469482618</v>
      </c>
      <c r="E24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26.4914469482618</v>
      </c>
      <c r="F24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26.4914469482618</v>
      </c>
      <c r="G24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26.4914469482618</v>
      </c>
      <c r="H24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26.4914469482618</v>
      </c>
      <c r="I24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26.4914469482618</v>
      </c>
      <c r="J24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26.4914469482618</v>
      </c>
      <c r="K24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26.4914469482618</v>
      </c>
      <c r="L24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26.4914469482618</v>
      </c>
      <c r="M24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26.4914469482618</v>
      </c>
      <c r="N24" s="7" t="n">
        <f aca="false">SUM(B24:M24)</f>
        <v>317.897363379141</v>
      </c>
      <c r="O24" s="27" t="n">
        <f aca="false">MAX(B24:M24)</f>
        <v>26.4914469482618</v>
      </c>
      <c r="P24" s="15" t="n">
        <f aca="false">O24/parametros_recargas!$B$6</f>
        <v>0.176609646321745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0.26997653471704</v>
      </c>
      <c r="C25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0.26997653471704</v>
      </c>
      <c r="D25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0.26997653471704</v>
      </c>
      <c r="E25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0.26997653471704</v>
      </c>
      <c r="F25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0.26997653471704</v>
      </c>
      <c r="G25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0.26997653471704</v>
      </c>
      <c r="H25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0.26997653471704</v>
      </c>
      <c r="I25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0.26997653471704</v>
      </c>
      <c r="J25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0.26997653471704</v>
      </c>
      <c r="K25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0.26997653471704</v>
      </c>
      <c r="L25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0.26997653471704</v>
      </c>
      <c r="M25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0.26997653471704</v>
      </c>
      <c r="N25" s="7" t="n">
        <f aca="false">SUM(B25:M25)</f>
        <v>3.23971841660448</v>
      </c>
      <c r="O25" s="27" t="n">
        <f aca="false">MAX(B25:M25)</f>
        <v>0.26997653471704</v>
      </c>
      <c r="P25" s="15" t="n">
        <f aca="false">O25/parametros_recargas!$B$6</f>
        <v>0.00179984356478026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24.7163513537194</v>
      </c>
      <c r="C26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24.7163513537194</v>
      </c>
      <c r="D26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24.7163513537194</v>
      </c>
      <c r="E26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24.7163513537194</v>
      </c>
      <c r="F26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24.7163513537194</v>
      </c>
      <c r="G26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24.7163513537194</v>
      </c>
      <c r="H26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24.7163513537194</v>
      </c>
      <c r="I26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24.7163513537194</v>
      </c>
      <c r="J26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24.7163513537194</v>
      </c>
      <c r="K26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24.7163513537194</v>
      </c>
      <c r="L26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24.7163513537194</v>
      </c>
      <c r="M26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24.7163513537194</v>
      </c>
      <c r="N26" s="7" t="n">
        <f aca="false">SUM(B26:M26)</f>
        <v>296.596216244633</v>
      </c>
      <c r="O26" s="27" t="n">
        <f aca="false">MAX(B26:M26)</f>
        <v>24.7163513537194</v>
      </c>
      <c r="P26" s="15" t="n">
        <f aca="false">O26/parametros_recargas!$B$6</f>
        <v>0.164775675691463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414.818938349055</v>
      </c>
      <c r="C27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414.818938349055</v>
      </c>
      <c r="D27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414.818938349055</v>
      </c>
      <c r="E27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414.818938349055</v>
      </c>
      <c r="F27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414.818938349055</v>
      </c>
      <c r="G27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414.818938349055</v>
      </c>
      <c r="H27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414.818938349055</v>
      </c>
      <c r="I27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414.818938349055</v>
      </c>
      <c r="J27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414.818938349055</v>
      </c>
      <c r="K27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414.818938349055</v>
      </c>
      <c r="L27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414.818938349055</v>
      </c>
      <c r="M27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414.818938349055</v>
      </c>
      <c r="N27" s="7" t="n">
        <f aca="false">SUM(B27:M27)</f>
        <v>4977.82726018866</v>
      </c>
      <c r="O27" s="27" t="n">
        <f aca="false">MAX(B27:M27)</f>
        <v>414.818938349055</v>
      </c>
      <c r="P27" s="15" t="n">
        <f aca="false">O27/parametros_recargas!$B$6</f>
        <v>2.7654595889937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414.818938349055</v>
      </c>
      <c r="C28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414.818938349055</v>
      </c>
      <c r="D28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414.818938349055</v>
      </c>
      <c r="E28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414.818938349055</v>
      </c>
      <c r="F28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414.818938349055</v>
      </c>
      <c r="G28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414.818938349055</v>
      </c>
      <c r="H28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414.818938349055</v>
      </c>
      <c r="I28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414.818938349055</v>
      </c>
      <c r="J28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414.818938349055</v>
      </c>
      <c r="K28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414.818938349055</v>
      </c>
      <c r="L28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414.818938349055</v>
      </c>
      <c r="M28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414.818938349055</v>
      </c>
      <c r="N28" s="7" t="n">
        <f aca="false">SUM(B28:M28)</f>
        <v>4977.82726018866</v>
      </c>
      <c r="O28" s="27" t="n">
        <f aca="false">MAX(B28:M28)</f>
        <v>414.818938349055</v>
      </c>
      <c r="P28" s="15" t="n">
        <f aca="false">O28/parametros_recargas!$B$6</f>
        <v>2.7654595889937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32.6163145500775</v>
      </c>
      <c r="C29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32.6163145500775</v>
      </c>
      <c r="D29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32.6163145500775</v>
      </c>
      <c r="E29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32.6163145500775</v>
      </c>
      <c r="F29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32.6163145500775</v>
      </c>
      <c r="G29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32.6163145500775</v>
      </c>
      <c r="H29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32.6163145500775</v>
      </c>
      <c r="I29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32.6163145500775</v>
      </c>
      <c r="J29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32.6163145500775</v>
      </c>
      <c r="K29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32.6163145500775</v>
      </c>
      <c r="L29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32.6163145500775</v>
      </c>
      <c r="M29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32.6163145500775</v>
      </c>
      <c r="N29" s="7" t="n">
        <f aca="false">SUM(B29:M29)</f>
        <v>391.395774600931</v>
      </c>
      <c r="O29" s="27" t="n">
        <f aca="false">MAX(B29:M29)</f>
        <v>32.6163145500775</v>
      </c>
      <c r="P29" s="15" t="n">
        <f aca="false">O29/parametros_recargas!$B$6</f>
        <v>0.217442097000517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6" t="n">
        <f aca="false">'Plan mensual'!D29</f>
        <v>12.2839320701282</v>
      </c>
      <c r="C30" s="26" t="n">
        <f aca="false">'Plan mensual'!E29</f>
        <v>12.2839320701282</v>
      </c>
      <c r="D30" s="26" t="n">
        <f aca="false">'Plan mensual'!F29</f>
        <v>12.2839320701282</v>
      </c>
      <c r="E30" s="26" t="n">
        <f aca="false">'Plan mensual'!G29</f>
        <v>12.2839320701282</v>
      </c>
      <c r="F30" s="26" t="n">
        <f aca="false">'Plan mensual'!H29</f>
        <v>12.2839320701282</v>
      </c>
      <c r="G30" s="26" t="n">
        <f aca="false">'Plan mensual'!I29</f>
        <v>12.2839320701282</v>
      </c>
      <c r="H30" s="26" t="n">
        <f aca="false">'Plan mensual'!J29</f>
        <v>12.2839320701282</v>
      </c>
      <c r="I30" s="26" t="n">
        <f aca="false">'Plan mensual'!K29</f>
        <v>12.2839320701282</v>
      </c>
      <c r="J30" s="26" t="n">
        <f aca="false">'Plan mensual'!L29</f>
        <v>12.2839320701282</v>
      </c>
      <c r="K30" s="26" t="n">
        <f aca="false">'Plan mensual'!M29</f>
        <v>12.2839320701282</v>
      </c>
      <c r="L30" s="26" t="n">
        <f aca="false">'Plan mensual'!N29</f>
        <v>12.2839320701282</v>
      </c>
      <c r="M30" s="26" t="n">
        <f aca="false">'Plan mensual'!O29</f>
        <v>12.2839320701282</v>
      </c>
      <c r="N30" s="7" t="n">
        <f aca="false">SUM(B30:M30)</f>
        <v>147.407184841538</v>
      </c>
      <c r="O30" s="27" t="n">
        <f aca="false">MAX(B30:M30)</f>
        <v>12.2839320701282</v>
      </c>
      <c r="P30" s="15" t="n">
        <f aca="false">O30/parametros_recargas!$B$6</f>
        <v>0.0818928804675213</v>
      </c>
    </row>
    <row r="33" customFormat="false" ht="23.85" hidden="false" customHeight="false" outlineLevel="0" collapsed="false">
      <c r="A33" s="3" t="s">
        <v>317</v>
      </c>
      <c r="B33" s="3" t="s">
        <v>133</v>
      </c>
      <c r="C33" s="3" t="s">
        <v>134</v>
      </c>
      <c r="D33" s="3" t="s">
        <v>135</v>
      </c>
      <c r="E33" s="3" t="s">
        <v>136</v>
      </c>
      <c r="F33" s="3" t="s">
        <v>137</v>
      </c>
      <c r="G33" s="3" t="s">
        <v>138</v>
      </c>
      <c r="H33" s="3" t="s">
        <v>139</v>
      </c>
      <c r="I33" s="3" t="s">
        <v>140</v>
      </c>
      <c r="J33" s="3" t="s">
        <v>141</v>
      </c>
      <c r="K33" s="3" t="s">
        <v>142</v>
      </c>
      <c r="L33" s="3" t="s">
        <v>143</v>
      </c>
      <c r="M33" s="3" t="s">
        <v>144</v>
      </c>
      <c r="N33" s="3" t="s">
        <v>314</v>
      </c>
      <c r="O33" s="3" t="s">
        <v>315</v>
      </c>
      <c r="P33" s="3" t="s">
        <v>316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6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1873.72264729046</v>
      </c>
      <c r="C34" s="26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1873.72264729046</v>
      </c>
      <c r="D34" s="26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1873.72264729046</v>
      </c>
      <c r="E34" s="26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1873.72264729046</v>
      </c>
      <c r="F34" s="26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1873.72264729046</v>
      </c>
      <c r="G34" s="26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1873.72264729046</v>
      </c>
      <c r="H34" s="26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1873.72264729046</v>
      </c>
      <c r="I34" s="26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1873.72264729046</v>
      </c>
      <c r="J34" s="26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1873.72264729046</v>
      </c>
      <c r="K34" s="26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1873.72264729046</v>
      </c>
      <c r="L34" s="26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1873.72264729046</v>
      </c>
      <c r="M34" s="26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1873.72264729046</v>
      </c>
      <c r="N34" s="7" t="n">
        <f aca="false">SUM(B34:M34)</f>
        <v>22484.6717674855</v>
      </c>
      <c r="O34" s="27" t="n">
        <f aca="false">MAX(B34:M34)</f>
        <v>1873.72264729046</v>
      </c>
      <c r="P34" s="15" t="n">
        <f aca="false">O34/parametros_recargas!$B$6</f>
        <v>12.4914843152697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6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1873.72264729046</v>
      </c>
      <c r="C35" s="26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1873.72264729046</v>
      </c>
      <c r="D35" s="26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1873.72264729046</v>
      </c>
      <c r="E35" s="26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1873.72264729046</v>
      </c>
      <c r="F35" s="26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1873.72264729046</v>
      </c>
      <c r="G35" s="26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1873.72264729046</v>
      </c>
      <c r="H35" s="26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1873.72264729046</v>
      </c>
      <c r="I35" s="26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1873.72264729046</v>
      </c>
      <c r="J35" s="26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1873.72264729046</v>
      </c>
      <c r="K35" s="26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1873.72264729046</v>
      </c>
      <c r="L35" s="26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1873.72264729046</v>
      </c>
      <c r="M35" s="26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1873.72264729046</v>
      </c>
      <c r="N35" s="7" t="n">
        <f aca="false">SUM(B35:M35)</f>
        <v>22484.6717674855</v>
      </c>
      <c r="O35" s="27" t="n">
        <f aca="false">MAX(B35:M35)</f>
        <v>1873.72264729046</v>
      </c>
      <c r="P35" s="15" t="n">
        <f aca="false">O35/parametros_recargas!$B$6</f>
        <v>12.4914843152697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6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1392.97797481583</v>
      </c>
      <c r="C36" s="26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1392.97797481583</v>
      </c>
      <c r="D36" s="26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1392.97797481583</v>
      </c>
      <c r="E36" s="26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1392.97797481583</v>
      </c>
      <c r="F36" s="26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1392.97797481583</v>
      </c>
      <c r="G36" s="26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1392.97797481583</v>
      </c>
      <c r="H36" s="26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1392.97797481583</v>
      </c>
      <c r="I36" s="26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1392.97797481583</v>
      </c>
      <c r="J36" s="26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1392.97797481583</v>
      </c>
      <c r="K36" s="26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1392.97797481583</v>
      </c>
      <c r="L36" s="26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1392.97797481583</v>
      </c>
      <c r="M36" s="26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1392.97797481583</v>
      </c>
      <c r="N36" s="7" t="n">
        <f aca="false">SUM(B36:M36)</f>
        <v>16715.73569779</v>
      </c>
      <c r="O36" s="27" t="n">
        <f aca="false">MAX(B36:M36)</f>
        <v>1392.97797481583</v>
      </c>
      <c r="P36" s="15" t="n">
        <f aca="false">O36/parametros_recargas!$B$6</f>
        <v>9.28651983210555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6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163.879761743039</v>
      </c>
      <c r="C37" s="26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163.879761743039</v>
      </c>
      <c r="D37" s="26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163.879761743039</v>
      </c>
      <c r="E37" s="26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163.879761743039</v>
      </c>
      <c r="F37" s="26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163.879761743039</v>
      </c>
      <c r="G37" s="26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163.879761743039</v>
      </c>
      <c r="H37" s="26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163.879761743039</v>
      </c>
      <c r="I37" s="26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163.879761743039</v>
      </c>
      <c r="J37" s="26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163.879761743039</v>
      </c>
      <c r="K37" s="26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163.879761743039</v>
      </c>
      <c r="L37" s="26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163.879761743039</v>
      </c>
      <c r="M37" s="26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163.879761743039</v>
      </c>
      <c r="N37" s="7" t="n">
        <f aca="false">SUM(B37:M37)</f>
        <v>1966.55714091647</v>
      </c>
      <c r="O37" s="27" t="n">
        <f aca="false">MAX(B37:M37)</f>
        <v>163.879761743039</v>
      </c>
      <c r="P37" s="15" t="n">
        <f aca="false">O37/parametros_recargas!$B$6</f>
        <v>1.09253174495359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2.87541022411688</v>
      </c>
      <c r="C38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2.87541022411688</v>
      </c>
      <c r="D38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2.87541022411688</v>
      </c>
      <c r="E38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2.87541022411688</v>
      </c>
      <c r="F38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2.87541022411688</v>
      </c>
      <c r="G38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2.87541022411688</v>
      </c>
      <c r="H38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2.87541022411688</v>
      </c>
      <c r="I38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2.87541022411688</v>
      </c>
      <c r="J38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2.87541022411688</v>
      </c>
      <c r="K38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2.87541022411688</v>
      </c>
      <c r="L38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2.87541022411688</v>
      </c>
      <c r="M38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2.87541022411688</v>
      </c>
      <c r="N38" s="7" t="n">
        <f aca="false">SUM(B38:M38)</f>
        <v>34.5049226894026</v>
      </c>
      <c r="O38" s="27" t="n">
        <f aca="false">MAX(B38:M38)</f>
        <v>2.87541022411688</v>
      </c>
      <c r="P38" s="15" t="n">
        <f aca="false">O38/parametros_recargas!$B$6</f>
        <v>0.0191694014941125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83.0179252128024</v>
      </c>
      <c r="C39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83.0179252128024</v>
      </c>
      <c r="D39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83.0179252128024</v>
      </c>
      <c r="E39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83.0179252128024</v>
      </c>
      <c r="F39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83.0179252128024</v>
      </c>
      <c r="G39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83.0179252128024</v>
      </c>
      <c r="H39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83.0179252128024</v>
      </c>
      <c r="I39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83.0179252128024</v>
      </c>
      <c r="J39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83.0179252128024</v>
      </c>
      <c r="K39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83.0179252128024</v>
      </c>
      <c r="L39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83.0179252128024</v>
      </c>
      <c r="M39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83.0179252128024</v>
      </c>
      <c r="N39" s="7" t="n">
        <f aca="false">SUM(B39:M39)</f>
        <v>996.215102553629</v>
      </c>
      <c r="O39" s="27" t="n">
        <f aca="false">MAX(B39:M39)</f>
        <v>83.0179252128024</v>
      </c>
      <c r="P39" s="15" t="n">
        <f aca="false">O39/parametros_recargas!$B$6</f>
        <v>0.553452834752016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34.8563422899651</v>
      </c>
      <c r="C40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34.8563422899651</v>
      </c>
      <c r="D40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34.8563422899651</v>
      </c>
      <c r="E40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34.8563422899651</v>
      </c>
      <c r="F40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34.8563422899651</v>
      </c>
      <c r="G40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34.8563422899651</v>
      </c>
      <c r="H40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34.8563422899651</v>
      </c>
      <c r="I40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34.8563422899651</v>
      </c>
      <c r="J40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34.8563422899651</v>
      </c>
      <c r="K40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34.8563422899651</v>
      </c>
      <c r="L40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34.8563422899651</v>
      </c>
      <c r="M40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34.8563422899651</v>
      </c>
      <c r="N40" s="7" t="n">
        <f aca="false">SUM(B40:M40)</f>
        <v>418.276107479582</v>
      </c>
      <c r="O40" s="27" t="n">
        <f aca="false">MAX(B40:M40)</f>
        <v>34.8563422899651</v>
      </c>
      <c r="P40" s="15" t="n">
        <f aca="false">O40/parametros_recargas!$B$6</f>
        <v>0.232375615266434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1.68272875979221</v>
      </c>
      <c r="C41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1.68272875979221</v>
      </c>
      <c r="D41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1.68272875979221</v>
      </c>
      <c r="E41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1.68272875979221</v>
      </c>
      <c r="F41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1.68272875979221</v>
      </c>
      <c r="G41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1.68272875979221</v>
      </c>
      <c r="H41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1.68272875979221</v>
      </c>
      <c r="I41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1.68272875979221</v>
      </c>
      <c r="J41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1.68272875979221</v>
      </c>
      <c r="K41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1.68272875979221</v>
      </c>
      <c r="L41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1.68272875979221</v>
      </c>
      <c r="M41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1.68272875979221</v>
      </c>
      <c r="N41" s="7" t="n">
        <f aca="false">SUM(B41:M41)</f>
        <v>20.1927451175066</v>
      </c>
      <c r="O41" s="27" t="n">
        <f aca="false">MAX(B41:M41)</f>
        <v>1.68272875979221</v>
      </c>
      <c r="P41" s="15" t="n">
        <f aca="false">O41/parametros_recargas!$B$6</f>
        <v>0.0112181917319481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1644.54843787863</v>
      </c>
      <c r="C42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1644.54843787863</v>
      </c>
      <c r="D42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1644.54843787863</v>
      </c>
      <c r="E42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1644.54843787863</v>
      </c>
      <c r="F42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1644.54843787863</v>
      </c>
      <c r="G42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1644.54843787863</v>
      </c>
      <c r="H42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1644.54843787863</v>
      </c>
      <c r="I42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1644.54843787863</v>
      </c>
      <c r="J42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1644.54843787863</v>
      </c>
      <c r="K42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1644.54843787863</v>
      </c>
      <c r="L42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1644.54843787863</v>
      </c>
      <c r="M42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1644.54843787863</v>
      </c>
      <c r="N42" s="7" t="n">
        <f aca="false">SUM(B42:M42)</f>
        <v>19734.5812545435</v>
      </c>
      <c r="O42" s="27" t="n">
        <f aca="false">MAX(B42:M42)</f>
        <v>1644.54843787863</v>
      </c>
      <c r="P42" s="15" t="n">
        <f aca="false">O42/parametros_recargas!$B$6</f>
        <v>10.9636562525242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119.55699626256</v>
      </c>
      <c r="C43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119.55699626256</v>
      </c>
      <c r="D43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119.55699626256</v>
      </c>
      <c r="E43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119.55699626256</v>
      </c>
      <c r="F43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119.55699626256</v>
      </c>
      <c r="G43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119.55699626256</v>
      </c>
      <c r="H43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119.55699626256</v>
      </c>
      <c r="I43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119.55699626256</v>
      </c>
      <c r="J43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119.55699626256</v>
      </c>
      <c r="K43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119.55699626256</v>
      </c>
      <c r="L43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119.55699626256</v>
      </c>
      <c r="M43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119.55699626256</v>
      </c>
      <c r="N43" s="7" t="n">
        <f aca="false">SUM(B43:M43)</f>
        <v>1434.68395515072</v>
      </c>
      <c r="O43" s="27" t="n">
        <f aca="false">MAX(B43:M43)</f>
        <v>119.55699626256</v>
      </c>
      <c r="P43" s="15" t="n">
        <f aca="false">O43/parametros_recargas!$B$6</f>
        <v>0.797046641750399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1.64167302765451</v>
      </c>
      <c r="C44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1.64167302765451</v>
      </c>
      <c r="D44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1.64167302765451</v>
      </c>
      <c r="E44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1.64167302765451</v>
      </c>
      <c r="F44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1.64167302765451</v>
      </c>
      <c r="G44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1.64167302765451</v>
      </c>
      <c r="H44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1.64167302765451</v>
      </c>
      <c r="I44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1.64167302765451</v>
      </c>
      <c r="J44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1.64167302765451</v>
      </c>
      <c r="K44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1.64167302765451</v>
      </c>
      <c r="L44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1.64167302765451</v>
      </c>
      <c r="M44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1.64167302765451</v>
      </c>
      <c r="N44" s="7" t="n">
        <f aca="false">SUM(B44:M44)</f>
        <v>19.7000763318541</v>
      </c>
      <c r="O44" s="27" t="n">
        <f aca="false">MAX(B44:M44)</f>
        <v>1.64167302765451</v>
      </c>
      <c r="P44" s="15" t="n">
        <f aca="false">O44/parametros_recargas!$B$6</f>
        <v>0.0109444868510301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399.649907021932</v>
      </c>
      <c r="C45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399.649907021932</v>
      </c>
      <c r="D45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399.649907021932</v>
      </c>
      <c r="E45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399.649907021932</v>
      </c>
      <c r="F45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399.649907021932</v>
      </c>
      <c r="G45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399.649907021932</v>
      </c>
      <c r="H45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399.649907021932</v>
      </c>
      <c r="I45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399.649907021932</v>
      </c>
      <c r="J45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399.649907021932</v>
      </c>
      <c r="K45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399.649907021932</v>
      </c>
      <c r="L45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399.649907021932</v>
      </c>
      <c r="M45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399.649907021932</v>
      </c>
      <c r="N45" s="7" t="n">
        <f aca="false">SUM(B45:M45)</f>
        <v>4795.79888426319</v>
      </c>
      <c r="O45" s="27" t="n">
        <f aca="false">MAX(B45:M45)</f>
        <v>399.649907021932</v>
      </c>
      <c r="P45" s="15" t="n">
        <f aca="false">O45/parametros_recargas!$B$6</f>
        <v>2.66433271347955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374.586428794317</v>
      </c>
      <c r="C46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374.586428794317</v>
      </c>
      <c r="D46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374.586428794317</v>
      </c>
      <c r="E46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374.586428794317</v>
      </c>
      <c r="F46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374.586428794317</v>
      </c>
      <c r="G46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374.586428794317</v>
      </c>
      <c r="H46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374.586428794317</v>
      </c>
      <c r="I46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374.586428794317</v>
      </c>
      <c r="J46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374.586428794317</v>
      </c>
      <c r="K46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374.586428794317</v>
      </c>
      <c r="L46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374.586428794317</v>
      </c>
      <c r="M46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374.586428794317</v>
      </c>
      <c r="N46" s="7" t="n">
        <f aca="false">SUM(B46:M46)</f>
        <v>4495.03714553181</v>
      </c>
      <c r="O46" s="27" t="n">
        <f aca="false">MAX(B46:M46)</f>
        <v>374.586428794317</v>
      </c>
      <c r="P46" s="15" t="n">
        <f aca="false">O46/parametros_recargas!$B$6</f>
        <v>2.49724285862878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374.586428794317</v>
      </c>
      <c r="C47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374.586428794317</v>
      </c>
      <c r="D47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374.586428794317</v>
      </c>
      <c r="E47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374.586428794317</v>
      </c>
      <c r="F47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374.586428794317</v>
      </c>
      <c r="G47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374.586428794317</v>
      </c>
      <c r="H47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374.586428794317</v>
      </c>
      <c r="I47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374.586428794317</v>
      </c>
      <c r="J47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374.586428794317</v>
      </c>
      <c r="K47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374.586428794317</v>
      </c>
      <c r="L47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374.586428794317</v>
      </c>
      <c r="M47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374.586428794317</v>
      </c>
      <c r="N47" s="7" t="n">
        <f aca="false">SUM(B47:M47)</f>
        <v>4495.03714553181</v>
      </c>
      <c r="O47" s="27" t="n">
        <f aca="false">MAX(B47:M47)</f>
        <v>374.586428794317</v>
      </c>
      <c r="P47" s="15" t="n">
        <f aca="false">O47/parametros_recargas!$B$6</f>
        <v>2.49724285862878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187.372264729046</v>
      </c>
      <c r="C48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187.372264729046</v>
      </c>
      <c r="D48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187.372264729046</v>
      </c>
      <c r="E48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187.372264729046</v>
      </c>
      <c r="F48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187.372264729046</v>
      </c>
      <c r="G48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187.372264729046</v>
      </c>
      <c r="H48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187.372264729046</v>
      </c>
      <c r="I48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187.372264729046</v>
      </c>
      <c r="J48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187.372264729046</v>
      </c>
      <c r="K48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187.372264729046</v>
      </c>
      <c r="L48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187.372264729046</v>
      </c>
      <c r="M48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187.372264729046</v>
      </c>
      <c r="N48" s="7" t="n">
        <f aca="false">SUM(B48:M48)</f>
        <v>2248.46717674855</v>
      </c>
      <c r="O48" s="27" t="n">
        <f aca="false">MAX(B48:M48)</f>
        <v>187.372264729046</v>
      </c>
      <c r="P48" s="15" t="n">
        <f aca="false">O48/parametros_recargas!$B$6</f>
        <v>1.24914843152697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1638.79761743039</v>
      </c>
      <c r="C49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1638.79761743039</v>
      </c>
      <c r="D49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1638.79761743039</v>
      </c>
      <c r="E49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1638.79761743039</v>
      </c>
      <c r="F49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1638.79761743039</v>
      </c>
      <c r="G49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1638.79761743039</v>
      </c>
      <c r="H49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1638.79761743039</v>
      </c>
      <c r="I49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1638.79761743039</v>
      </c>
      <c r="J49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1638.79761743039</v>
      </c>
      <c r="K49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1638.79761743039</v>
      </c>
      <c r="L49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1638.79761743039</v>
      </c>
      <c r="M49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1638.79761743039</v>
      </c>
      <c r="N49" s="7" t="n">
        <f aca="false">SUM(B49:M49)</f>
        <v>19665.5714091647</v>
      </c>
      <c r="O49" s="27" t="n">
        <f aca="false">MAX(B49:M49)</f>
        <v>1638.79761743039</v>
      </c>
      <c r="P49" s="15" t="n">
        <f aca="false">O49/parametros_recargas!$B$6</f>
        <v>10.9253174495359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2.87541022411688</v>
      </c>
      <c r="C50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2.87541022411688</v>
      </c>
      <c r="D50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2.87541022411688</v>
      </c>
      <c r="E50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2.87541022411688</v>
      </c>
      <c r="F50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2.87541022411688</v>
      </c>
      <c r="G50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2.87541022411688</v>
      </c>
      <c r="H50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2.87541022411688</v>
      </c>
      <c r="I50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2.87541022411688</v>
      </c>
      <c r="J50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2.87541022411688</v>
      </c>
      <c r="K50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2.87541022411688</v>
      </c>
      <c r="L50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2.87541022411688</v>
      </c>
      <c r="M50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2.87541022411688</v>
      </c>
      <c r="N50" s="7" t="n">
        <f aca="false">SUM(B50:M50)</f>
        <v>34.5049226894026</v>
      </c>
      <c r="O50" s="27" t="n">
        <f aca="false">MAX(B50:M50)</f>
        <v>2.87541022411688</v>
      </c>
      <c r="P50" s="15" t="n">
        <f aca="false">O50/parametros_recargas!$B$6</f>
        <v>0.0191694014941125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2.87541022411688</v>
      </c>
      <c r="C51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2.87541022411688</v>
      </c>
      <c r="D51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2.87541022411688</v>
      </c>
      <c r="E51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2.87541022411688</v>
      </c>
      <c r="F51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2.87541022411688</v>
      </c>
      <c r="G51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2.87541022411688</v>
      </c>
      <c r="H51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2.87541022411688</v>
      </c>
      <c r="I51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2.87541022411688</v>
      </c>
      <c r="J51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2.87541022411688</v>
      </c>
      <c r="K51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2.87541022411688</v>
      </c>
      <c r="L51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2.87541022411688</v>
      </c>
      <c r="M51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2.87541022411688</v>
      </c>
      <c r="N51" s="7" t="n">
        <f aca="false">SUM(B51:M51)</f>
        <v>34.5049226894026</v>
      </c>
      <c r="O51" s="27" t="n">
        <f aca="false">MAX(B51:M51)</f>
        <v>2.87541022411688</v>
      </c>
      <c r="P51" s="15" t="n">
        <f aca="false">O51/parametros_recargas!$B$6</f>
        <v>0.0191694014941125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83.0179252128024</v>
      </c>
      <c r="C52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83.0179252128024</v>
      </c>
      <c r="D52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83.0179252128024</v>
      </c>
      <c r="E52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83.0179252128024</v>
      </c>
      <c r="F52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83.0179252128024</v>
      </c>
      <c r="G52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83.0179252128024</v>
      </c>
      <c r="H52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83.0179252128024</v>
      </c>
      <c r="I52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83.0179252128024</v>
      </c>
      <c r="J52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83.0179252128024</v>
      </c>
      <c r="K52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83.0179252128024</v>
      </c>
      <c r="L52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83.0179252128024</v>
      </c>
      <c r="M52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83.0179252128024</v>
      </c>
      <c r="N52" s="7" t="n">
        <f aca="false">SUM(B52:M52)</f>
        <v>996.215102553629</v>
      </c>
      <c r="O52" s="27" t="n">
        <f aca="false">MAX(B52:M52)</f>
        <v>83.0179252128024</v>
      </c>
      <c r="P52" s="15" t="n">
        <f aca="false">O52/parametros_recargas!$B$6</f>
        <v>0.553452834752016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41.8276107479582</v>
      </c>
      <c r="C53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41.8276107479582</v>
      </c>
      <c r="D53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41.8276107479582</v>
      </c>
      <c r="E53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41.8276107479582</v>
      </c>
      <c r="F53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41.8276107479582</v>
      </c>
      <c r="G53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41.8276107479582</v>
      </c>
      <c r="H53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41.8276107479582</v>
      </c>
      <c r="I53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41.8276107479582</v>
      </c>
      <c r="J53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41.8276107479582</v>
      </c>
      <c r="K53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41.8276107479582</v>
      </c>
      <c r="L53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41.8276107479582</v>
      </c>
      <c r="M53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41.8276107479582</v>
      </c>
      <c r="N53" s="7" t="n">
        <f aca="false">SUM(B53:M53)</f>
        <v>501.931328975498</v>
      </c>
      <c r="O53" s="27" t="n">
        <f aca="false">MAX(B53:M53)</f>
        <v>41.8276107479582</v>
      </c>
      <c r="P53" s="15" t="n">
        <f aca="false">O53/parametros_recargas!$B$6</f>
        <v>0.278850738319721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1644.54843787863</v>
      </c>
      <c r="C54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1644.54843787863</v>
      </c>
      <c r="D54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1644.54843787863</v>
      </c>
      <c r="E54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1644.54843787863</v>
      </c>
      <c r="F54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1644.54843787863</v>
      </c>
      <c r="G54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1644.54843787863</v>
      </c>
      <c r="H54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1644.54843787863</v>
      </c>
      <c r="I54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1644.54843787863</v>
      </c>
      <c r="J54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1644.54843787863</v>
      </c>
      <c r="K54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1644.54843787863</v>
      </c>
      <c r="L54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1644.54843787863</v>
      </c>
      <c r="M54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1644.54843787863</v>
      </c>
      <c r="N54" s="7" t="n">
        <f aca="false">SUM(B54:M54)</f>
        <v>19734.5812545435</v>
      </c>
      <c r="O54" s="27" t="n">
        <f aca="false">MAX(B54:M54)</f>
        <v>1644.54843787863</v>
      </c>
      <c r="P54" s="15" t="n">
        <f aca="false">O54/parametros_recargas!$B$6</f>
        <v>10.9636562525242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1644.54843787863</v>
      </c>
      <c r="C55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1644.54843787863</v>
      </c>
      <c r="D55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1644.54843787863</v>
      </c>
      <c r="E55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1644.54843787863</v>
      </c>
      <c r="F55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1644.54843787863</v>
      </c>
      <c r="G55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1644.54843787863</v>
      </c>
      <c r="H55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1644.54843787863</v>
      </c>
      <c r="I55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1644.54843787863</v>
      </c>
      <c r="J55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1644.54843787863</v>
      </c>
      <c r="K55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1644.54843787863</v>
      </c>
      <c r="L55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1644.54843787863</v>
      </c>
      <c r="M55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1644.54843787863</v>
      </c>
      <c r="N55" s="7" t="n">
        <f aca="false">SUM(B55:M55)</f>
        <v>19734.5812545435</v>
      </c>
      <c r="O55" s="27" t="n">
        <f aca="false">MAX(B55:M55)</f>
        <v>1644.54843787863</v>
      </c>
      <c r="P55" s="15" t="n">
        <f aca="false">O55/parametros_recargas!$B$6</f>
        <v>10.9636562525242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119.55699626256</v>
      </c>
      <c r="C56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119.55699626256</v>
      </c>
      <c r="D56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119.55699626256</v>
      </c>
      <c r="E56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119.55699626256</v>
      </c>
      <c r="F56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119.55699626256</v>
      </c>
      <c r="G56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119.55699626256</v>
      </c>
      <c r="H56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119.55699626256</v>
      </c>
      <c r="I56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119.55699626256</v>
      </c>
      <c r="J56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119.55699626256</v>
      </c>
      <c r="K56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119.55699626256</v>
      </c>
      <c r="L56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119.55699626256</v>
      </c>
      <c r="M56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119.55699626256</v>
      </c>
      <c r="N56" s="7" t="n">
        <f aca="false">SUM(B56:M56)</f>
        <v>1434.68395515072</v>
      </c>
      <c r="O56" s="27" t="n">
        <f aca="false">MAX(B56:M56)</f>
        <v>119.55699626256</v>
      </c>
      <c r="P56" s="15" t="n">
        <f aca="false">O56/parametros_recargas!$B$6</f>
        <v>0.797046641750399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1.68272875979221</v>
      </c>
      <c r="C57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1.68272875979221</v>
      </c>
      <c r="D57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1.68272875979221</v>
      </c>
      <c r="E57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1.68272875979221</v>
      </c>
      <c r="F57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1.68272875979221</v>
      </c>
      <c r="G57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1.68272875979221</v>
      </c>
      <c r="H57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1.68272875979221</v>
      </c>
      <c r="I57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1.68272875979221</v>
      </c>
      <c r="J57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1.68272875979221</v>
      </c>
      <c r="K57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1.68272875979221</v>
      </c>
      <c r="L57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1.68272875979221</v>
      </c>
      <c r="M57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1.68272875979221</v>
      </c>
      <c r="N57" s="7" t="n">
        <f aca="false">SUM(B57:M57)</f>
        <v>20.1927451175066</v>
      </c>
      <c r="O57" s="27" t="n">
        <f aca="false">MAX(B57:M57)</f>
        <v>1.68272875979221</v>
      </c>
      <c r="P57" s="15" t="n">
        <f aca="false">O57/parametros_recargas!$B$6</f>
        <v>0.0112181917319481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102.645944691279</v>
      </c>
      <c r="C58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102.645944691279</v>
      </c>
      <c r="D58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102.645944691279</v>
      </c>
      <c r="E58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102.645944691279</v>
      </c>
      <c r="F58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102.645944691279</v>
      </c>
      <c r="G58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102.645944691279</v>
      </c>
      <c r="H58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102.645944691279</v>
      </c>
      <c r="I58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102.645944691279</v>
      </c>
      <c r="J58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102.645944691279</v>
      </c>
      <c r="K58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102.645944691279</v>
      </c>
      <c r="L58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102.645944691279</v>
      </c>
      <c r="M58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102.645944691279</v>
      </c>
      <c r="N58" s="7" t="n">
        <f aca="false">SUM(B58:M58)</f>
        <v>1231.75133629535</v>
      </c>
      <c r="O58" s="27" t="n">
        <f aca="false">MAX(B58:M58)</f>
        <v>102.645944691279</v>
      </c>
      <c r="P58" s="15" t="n">
        <f aca="false">O58/parametros_recargas!$B$6</f>
        <v>0.68430629794186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1873.72264729046</v>
      </c>
      <c r="C59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1873.72264729046</v>
      </c>
      <c r="D59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1873.72264729046</v>
      </c>
      <c r="E59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1873.72264729046</v>
      </c>
      <c r="F59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1873.72264729046</v>
      </c>
      <c r="G59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1873.72264729046</v>
      </c>
      <c r="H59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1873.72264729046</v>
      </c>
      <c r="I59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1873.72264729046</v>
      </c>
      <c r="J59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1873.72264729046</v>
      </c>
      <c r="K59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1873.72264729046</v>
      </c>
      <c r="L59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1873.72264729046</v>
      </c>
      <c r="M59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1873.72264729046</v>
      </c>
      <c r="N59" s="7" t="n">
        <f aca="false">SUM(B59:M59)</f>
        <v>22484.6717674855</v>
      </c>
      <c r="O59" s="27" t="n">
        <f aca="false">MAX(B59:M59)</f>
        <v>1873.72264729046</v>
      </c>
      <c r="P59" s="15" t="n">
        <f aca="false">O59/parametros_recargas!$B$6</f>
        <v>12.4914843152697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1873.72264729046</v>
      </c>
      <c r="C60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1873.72264729046</v>
      </c>
      <c r="D60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1873.72264729046</v>
      </c>
      <c r="E60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1873.72264729046</v>
      </c>
      <c r="F60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1873.72264729046</v>
      </c>
      <c r="G60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1873.72264729046</v>
      </c>
      <c r="H60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1873.72264729046</v>
      </c>
      <c r="I60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1873.72264729046</v>
      </c>
      <c r="J60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1873.72264729046</v>
      </c>
      <c r="K60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1873.72264729046</v>
      </c>
      <c r="L60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1873.72264729046</v>
      </c>
      <c r="M60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1873.72264729046</v>
      </c>
      <c r="N60" s="7" t="n">
        <f aca="false">SUM(B60:M60)</f>
        <v>22484.6717674855</v>
      </c>
      <c r="O60" s="27" t="n">
        <f aca="false">MAX(B60:M60)</f>
        <v>1873.72264729046</v>
      </c>
      <c r="P60" s="15" t="n">
        <f aca="false">O60/parametros_recargas!$B$6</f>
        <v>12.4914843152697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147.574055630572</v>
      </c>
      <c r="C61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147.574055630572</v>
      </c>
      <c r="D61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147.574055630572</v>
      </c>
      <c r="E61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147.574055630572</v>
      </c>
      <c r="F61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147.574055630572</v>
      </c>
      <c r="G61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147.574055630572</v>
      </c>
      <c r="H61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147.574055630572</v>
      </c>
      <c r="I61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147.574055630572</v>
      </c>
      <c r="J61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147.574055630572</v>
      </c>
      <c r="K61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147.574055630572</v>
      </c>
      <c r="L61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147.574055630572</v>
      </c>
      <c r="M61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147.574055630572</v>
      </c>
      <c r="N61" s="7" t="n">
        <f aca="false">SUM(B61:M61)</f>
        <v>1770.88866756687</v>
      </c>
      <c r="O61" s="27" t="n">
        <f aca="false">MAX(B61:M61)</f>
        <v>147.574055630572</v>
      </c>
      <c r="P61" s="15" t="n">
        <f aca="false">O61/parametros_recargas!$B$6</f>
        <v>0.983827037537149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6" t="n">
        <f aca="false">'Plan mensual'!D61</f>
        <v>64.0966690164382</v>
      </c>
      <c r="C62" s="26" t="n">
        <f aca="false">'Plan mensual'!E61</f>
        <v>64.0966690164382</v>
      </c>
      <c r="D62" s="26" t="n">
        <f aca="false">'Plan mensual'!F61</f>
        <v>64.0966690164382</v>
      </c>
      <c r="E62" s="26" t="n">
        <f aca="false">'Plan mensual'!G61</f>
        <v>64.0966690164382</v>
      </c>
      <c r="F62" s="26" t="n">
        <f aca="false">'Plan mensual'!H61</f>
        <v>64.0966690164382</v>
      </c>
      <c r="G62" s="26" t="n">
        <f aca="false">'Plan mensual'!I61</f>
        <v>64.0966690164382</v>
      </c>
      <c r="H62" s="26" t="n">
        <f aca="false">'Plan mensual'!J61</f>
        <v>64.0966690164382</v>
      </c>
      <c r="I62" s="26" t="n">
        <f aca="false">'Plan mensual'!K61</f>
        <v>64.0966690164382</v>
      </c>
      <c r="J62" s="26" t="n">
        <f aca="false">'Plan mensual'!L61</f>
        <v>64.0966690164382</v>
      </c>
      <c r="K62" s="26" t="n">
        <f aca="false">'Plan mensual'!M61</f>
        <v>64.0966690164382</v>
      </c>
      <c r="L62" s="26" t="n">
        <f aca="false">'Plan mensual'!N61</f>
        <v>64.0966690164382</v>
      </c>
      <c r="M62" s="26" t="n">
        <f aca="false">'Plan mensual'!O61</f>
        <v>64.0966690164382</v>
      </c>
      <c r="N62" s="7" t="n">
        <f aca="false">SUM(B62:M62)</f>
        <v>769.160028197259</v>
      </c>
      <c r="O62" s="27" t="n">
        <f aca="false">MAX(B62:M62)</f>
        <v>64.0966690164382</v>
      </c>
      <c r="P62" s="15" t="n">
        <f aca="false">O62/parametros_recargas!$B$6</f>
        <v>0.427311126776255</v>
      </c>
    </row>
    <row r="65" customFormat="false" ht="23.85" hidden="false" customHeight="false" outlineLevel="0" collapsed="false">
      <c r="A65" s="3" t="s">
        <v>318</v>
      </c>
      <c r="B65" s="3" t="s">
        <v>133</v>
      </c>
      <c r="C65" s="3" t="s">
        <v>134</v>
      </c>
      <c r="D65" s="3" t="s">
        <v>135</v>
      </c>
      <c r="E65" s="3" t="s">
        <v>136</v>
      </c>
      <c r="F65" s="3" t="s">
        <v>137</v>
      </c>
      <c r="G65" s="3" t="s">
        <v>138</v>
      </c>
      <c r="H65" s="3" t="s">
        <v>139</v>
      </c>
      <c r="I65" s="3" t="s">
        <v>140</v>
      </c>
      <c r="J65" s="3" t="s">
        <v>141</v>
      </c>
      <c r="K65" s="3" t="s">
        <v>142</v>
      </c>
      <c r="L65" s="3" t="s">
        <v>143</v>
      </c>
      <c r="M65" s="3" t="s">
        <v>144</v>
      </c>
      <c r="N65" s="3" t="s">
        <v>314</v>
      </c>
      <c r="O65" s="3" t="s">
        <v>315</v>
      </c>
      <c r="P65" s="3" t="s">
        <v>316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6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3766.63086696747</v>
      </c>
      <c r="C66" s="26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3766.63086696747</v>
      </c>
      <c r="D66" s="26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3766.63086696747</v>
      </c>
      <c r="E66" s="26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3766.63086696747</v>
      </c>
      <c r="F66" s="26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3766.63086696747</v>
      </c>
      <c r="G66" s="26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3766.63086696747</v>
      </c>
      <c r="H66" s="26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3766.63086696747</v>
      </c>
      <c r="I66" s="26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3766.63086696747</v>
      </c>
      <c r="J66" s="26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3766.63086696747</v>
      </c>
      <c r="K66" s="26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3766.63086696747</v>
      </c>
      <c r="L66" s="26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3766.63086696747</v>
      </c>
      <c r="M66" s="26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3766.63086696747</v>
      </c>
      <c r="N66" s="7" t="n">
        <f aca="false">SUM(B66:M66)</f>
        <v>45199.5704036096</v>
      </c>
      <c r="O66" s="27" t="n">
        <f aca="false">MAX(B66:M66)</f>
        <v>3766.63086696747</v>
      </c>
      <c r="P66" s="15" t="n">
        <f aca="false">O66/parametros_recargas!$B$6</f>
        <v>25.1108724464498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6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3766.63086696747</v>
      </c>
      <c r="C67" s="26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3766.63086696747</v>
      </c>
      <c r="D67" s="26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3766.63086696747</v>
      </c>
      <c r="E67" s="26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3766.63086696747</v>
      </c>
      <c r="F67" s="26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3766.63086696747</v>
      </c>
      <c r="G67" s="26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3766.63086696747</v>
      </c>
      <c r="H67" s="26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3766.63086696747</v>
      </c>
      <c r="I67" s="26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3766.63086696747</v>
      </c>
      <c r="J67" s="26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3766.63086696747</v>
      </c>
      <c r="K67" s="26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3766.63086696747</v>
      </c>
      <c r="L67" s="26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3766.63086696747</v>
      </c>
      <c r="M67" s="26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3766.63086696747</v>
      </c>
      <c r="N67" s="7" t="n">
        <f aca="false">SUM(B67:M67)</f>
        <v>45199.5704036096</v>
      </c>
      <c r="O67" s="27" t="n">
        <f aca="false">MAX(B67:M67)</f>
        <v>3766.63086696747</v>
      </c>
      <c r="P67" s="15" t="n">
        <f aca="false">O67/parametros_recargas!$B$6</f>
        <v>25.1108724464498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6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2756.69930714064</v>
      </c>
      <c r="C68" s="26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2756.69930714064</v>
      </c>
      <c r="D68" s="26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2756.69930714064</v>
      </c>
      <c r="E68" s="26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2756.69930714064</v>
      </c>
      <c r="F68" s="26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2756.69930714064</v>
      </c>
      <c r="G68" s="26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2756.69930714064</v>
      </c>
      <c r="H68" s="26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2756.69930714064</v>
      </c>
      <c r="I68" s="26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2756.69930714064</v>
      </c>
      <c r="J68" s="26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2756.69930714064</v>
      </c>
      <c r="K68" s="26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2756.69930714064</v>
      </c>
      <c r="L68" s="26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2756.69930714064</v>
      </c>
      <c r="M68" s="26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2756.69930714064</v>
      </c>
      <c r="N68" s="7" t="n">
        <f aca="false">SUM(B68:M68)</f>
        <v>33080.3916856876</v>
      </c>
      <c r="O68" s="27" t="n">
        <f aca="false">MAX(B68:M68)</f>
        <v>2756.69930714064</v>
      </c>
      <c r="P68" s="15" t="n">
        <f aca="false">O68/parametros_recargas!$B$6</f>
        <v>18.3779953809376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6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324.317565545957</v>
      </c>
      <c r="C69" s="26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324.317565545957</v>
      </c>
      <c r="D69" s="26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324.317565545957</v>
      </c>
      <c r="E69" s="26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324.317565545957</v>
      </c>
      <c r="F69" s="26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324.317565545957</v>
      </c>
      <c r="G69" s="26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324.317565545957</v>
      </c>
      <c r="H69" s="26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324.317565545957</v>
      </c>
      <c r="I69" s="26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324.317565545957</v>
      </c>
      <c r="J69" s="26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324.317565545957</v>
      </c>
      <c r="K69" s="26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324.317565545957</v>
      </c>
      <c r="L69" s="26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324.317565545957</v>
      </c>
      <c r="M69" s="26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324.317565545957</v>
      </c>
      <c r="N69" s="7" t="n">
        <f aca="false">SUM(B69:M69)</f>
        <v>3891.81078655149</v>
      </c>
      <c r="O69" s="27" t="n">
        <f aca="false">MAX(B69:M69)</f>
        <v>324.317565545957</v>
      </c>
      <c r="P69" s="15" t="n">
        <f aca="false">O69/parametros_recargas!$B$6</f>
        <v>2.16211710363972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5.35570220048698</v>
      </c>
      <c r="C70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5.35570220048698</v>
      </c>
      <c r="D70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5.35570220048698</v>
      </c>
      <c r="E70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5.35570220048698</v>
      </c>
      <c r="F70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5.35570220048698</v>
      </c>
      <c r="G70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5.35570220048698</v>
      </c>
      <c r="H70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5.35570220048698</v>
      </c>
      <c r="I70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5.35570220048698</v>
      </c>
      <c r="J70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5.35570220048698</v>
      </c>
      <c r="K70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5.35570220048698</v>
      </c>
      <c r="L70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5.35570220048698</v>
      </c>
      <c r="M70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5.35570220048698</v>
      </c>
      <c r="N70" s="7" t="n">
        <f aca="false">SUM(B70:M70)</f>
        <v>64.2684264058438</v>
      </c>
      <c r="O70" s="27" t="n">
        <f aca="false">MAX(B70:M70)</f>
        <v>5.35570220048698</v>
      </c>
      <c r="P70" s="15" t="n">
        <f aca="false">O70/parametros_recargas!$B$6</f>
        <v>0.0357046813365799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180.943882430761</v>
      </c>
      <c r="C71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180.943882430761</v>
      </c>
      <c r="D71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180.943882430761</v>
      </c>
      <c r="E71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180.943882430761</v>
      </c>
      <c r="F71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180.943882430761</v>
      </c>
      <c r="G71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180.943882430761</v>
      </c>
      <c r="H71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180.943882430761</v>
      </c>
      <c r="I71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180.943882430761</v>
      </c>
      <c r="J71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180.943882430761</v>
      </c>
      <c r="K71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180.943882430761</v>
      </c>
      <c r="L71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180.943882430761</v>
      </c>
      <c r="M71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180.943882430761</v>
      </c>
      <c r="N71" s="7" t="n">
        <f aca="false">SUM(B71:M71)</f>
        <v>2171.32658916913</v>
      </c>
      <c r="O71" s="27" t="n">
        <f aca="false">MAX(B71:M71)</f>
        <v>180.943882430761</v>
      </c>
      <c r="P71" s="15" t="n">
        <f aca="false">O71/parametros_recargas!$B$6</f>
        <v>1.20629254953841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79.5059503582381</v>
      </c>
      <c r="C72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79.5059503582381</v>
      </c>
      <c r="D72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79.5059503582381</v>
      </c>
      <c r="E72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79.5059503582381</v>
      </c>
      <c r="F72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79.5059503582381</v>
      </c>
      <c r="G72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79.5059503582381</v>
      </c>
      <c r="H72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79.5059503582381</v>
      </c>
      <c r="I72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79.5059503582381</v>
      </c>
      <c r="J72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79.5059503582381</v>
      </c>
      <c r="K72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79.5059503582381</v>
      </c>
      <c r="L72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79.5059503582381</v>
      </c>
      <c r="M72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79.5059503582381</v>
      </c>
      <c r="N72" s="7" t="n">
        <f aca="false">SUM(B72:M72)</f>
        <v>954.071404298857</v>
      </c>
      <c r="O72" s="27" t="n">
        <f aca="false">MAX(B72:M72)</f>
        <v>79.5059503582381</v>
      </c>
      <c r="P72" s="15" t="n">
        <f aca="false">O72/parametros_recargas!$B$6</f>
        <v>0.53003966905492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3.44403081080252</v>
      </c>
      <c r="C73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3.44403081080252</v>
      </c>
      <c r="D73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3.44403081080252</v>
      </c>
      <c r="E73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3.44403081080252</v>
      </c>
      <c r="F73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3.44403081080252</v>
      </c>
      <c r="G73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3.44403081080252</v>
      </c>
      <c r="H73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3.44403081080252</v>
      </c>
      <c r="I73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3.44403081080252</v>
      </c>
      <c r="J73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3.44403081080252</v>
      </c>
      <c r="K73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3.44403081080252</v>
      </c>
      <c r="L73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3.44403081080252</v>
      </c>
      <c r="M73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3.44403081080252</v>
      </c>
      <c r="N73" s="7" t="n">
        <f aca="false">SUM(B73:M73)</f>
        <v>41.3283697296302</v>
      </c>
      <c r="O73" s="27" t="n">
        <f aca="false">MAX(B73:M73)</f>
        <v>3.44403081080252</v>
      </c>
      <c r="P73" s="15" t="n">
        <f aca="false">O73/parametros_recargas!$B$6</f>
        <v>0.0229602054053501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3253.88705986055</v>
      </c>
      <c r="C74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3253.88705986055</v>
      </c>
      <c r="D74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3253.88705986055</v>
      </c>
      <c r="E74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3253.88705986055</v>
      </c>
      <c r="F74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3253.88705986055</v>
      </c>
      <c r="G74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3253.88705986055</v>
      </c>
      <c r="H74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3253.88705986055</v>
      </c>
      <c r="I74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3253.88705986055</v>
      </c>
      <c r="J74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3253.88705986055</v>
      </c>
      <c r="K74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3253.88705986055</v>
      </c>
      <c r="L74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3253.88705986055</v>
      </c>
      <c r="M74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3253.88705986055</v>
      </c>
      <c r="N74" s="7" t="n">
        <f aca="false">SUM(B74:M74)</f>
        <v>39046.6447183266</v>
      </c>
      <c r="O74" s="27" t="n">
        <f aca="false">MAX(B74:M74)</f>
        <v>3253.88705986055</v>
      </c>
      <c r="P74" s="15" t="n">
        <f aca="false">O74/parametros_recargas!$B$6</f>
        <v>21.6925803990703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263.893863599802</v>
      </c>
      <c r="C75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263.893863599802</v>
      </c>
      <c r="D75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263.893863599802</v>
      </c>
      <c r="E75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263.893863599802</v>
      </c>
      <c r="F75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263.893863599802</v>
      </c>
      <c r="G75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263.893863599802</v>
      </c>
      <c r="H75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263.893863599802</v>
      </c>
      <c r="I75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263.893863599802</v>
      </c>
      <c r="J75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263.893863599802</v>
      </c>
      <c r="K75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263.893863599802</v>
      </c>
      <c r="L75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263.893863599802</v>
      </c>
      <c r="M75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263.893863599802</v>
      </c>
      <c r="N75" s="7" t="n">
        <f aca="false">SUM(B75:M75)</f>
        <v>3166.72636319762</v>
      </c>
      <c r="O75" s="27" t="n">
        <f aca="false">MAX(B75:M75)</f>
        <v>263.893863599802</v>
      </c>
      <c r="P75" s="15" t="n">
        <f aca="false">O75/parametros_recargas!$B$6</f>
        <v>1.75929242399868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3.24853135766006</v>
      </c>
      <c r="C76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3.24853135766006</v>
      </c>
      <c r="D76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3.24853135766006</v>
      </c>
      <c r="E76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3.24853135766006</v>
      </c>
      <c r="F76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3.24853135766006</v>
      </c>
      <c r="G76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3.24853135766006</v>
      </c>
      <c r="H76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3.24853135766006</v>
      </c>
      <c r="I76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3.24853135766006</v>
      </c>
      <c r="J76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3.24853135766006</v>
      </c>
      <c r="K76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3.24853135766006</v>
      </c>
      <c r="L76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3.24853135766006</v>
      </c>
      <c r="M76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3.24853135766006</v>
      </c>
      <c r="N76" s="7" t="n">
        <f aca="false">SUM(B76:M76)</f>
        <v>38.9823762919207</v>
      </c>
      <c r="O76" s="27" t="n">
        <f aca="false">MAX(B76:M76)</f>
        <v>3.24853135766006</v>
      </c>
      <c r="P76" s="15" t="n">
        <f aca="false">O76/parametros_recargas!$B$6</f>
        <v>0.0216568757177337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807.609338122722</v>
      </c>
      <c r="C77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807.609338122722</v>
      </c>
      <c r="D77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807.609338122722</v>
      </c>
      <c r="E77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807.609338122722</v>
      </c>
      <c r="F77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807.609338122722</v>
      </c>
      <c r="G77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807.609338122722</v>
      </c>
      <c r="H77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807.609338122722</v>
      </c>
      <c r="I77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807.609338122722</v>
      </c>
      <c r="J77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807.609338122722</v>
      </c>
      <c r="K77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807.609338122722</v>
      </c>
      <c r="L77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807.609338122722</v>
      </c>
      <c r="M77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807.609338122722</v>
      </c>
      <c r="N77" s="7" t="n">
        <f aca="false">SUM(B77:M77)</f>
        <v>9691.31205747267</v>
      </c>
      <c r="O77" s="27" t="n">
        <f aca="false">MAX(B77:M77)</f>
        <v>807.609338122722</v>
      </c>
      <c r="P77" s="15" t="n">
        <f aca="false">O77/parametros_recargas!$B$6</f>
        <v>5.38406225415148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749.676267505947</v>
      </c>
      <c r="C78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749.676267505947</v>
      </c>
      <c r="D78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749.676267505947</v>
      </c>
      <c r="E78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749.676267505947</v>
      </c>
      <c r="F78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749.676267505947</v>
      </c>
      <c r="G78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749.676267505947</v>
      </c>
      <c r="H78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749.676267505947</v>
      </c>
      <c r="I78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749.676267505947</v>
      </c>
      <c r="J78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749.676267505947</v>
      </c>
      <c r="K78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749.676267505947</v>
      </c>
      <c r="L78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749.676267505947</v>
      </c>
      <c r="M78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749.676267505947</v>
      </c>
      <c r="N78" s="7" t="n">
        <f aca="false">SUM(B78:M78)</f>
        <v>8996.11521007137</v>
      </c>
      <c r="O78" s="27" t="n">
        <f aca="false">MAX(B78:M78)</f>
        <v>749.676267505947</v>
      </c>
      <c r="P78" s="15" t="n">
        <f aca="false">O78/parametros_recargas!$B$6</f>
        <v>4.99784178337298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749.676267505947</v>
      </c>
      <c r="C79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749.676267505947</v>
      </c>
      <c r="D79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749.676267505947</v>
      </c>
      <c r="E79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749.676267505947</v>
      </c>
      <c r="F79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749.676267505947</v>
      </c>
      <c r="G79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749.676267505947</v>
      </c>
      <c r="H79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749.676267505947</v>
      </c>
      <c r="I79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749.676267505947</v>
      </c>
      <c r="J79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749.676267505947</v>
      </c>
      <c r="K79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749.676267505947</v>
      </c>
      <c r="L79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749.676267505947</v>
      </c>
      <c r="M79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749.676267505947</v>
      </c>
      <c r="N79" s="7" t="n">
        <f aca="false">SUM(B79:M79)</f>
        <v>8996.11521007137</v>
      </c>
      <c r="O79" s="27" t="n">
        <f aca="false">MAX(B79:M79)</f>
        <v>749.676267505947</v>
      </c>
      <c r="P79" s="15" t="n">
        <f aca="false">O79/parametros_recargas!$B$6</f>
        <v>4.99784178337298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376.663086696747</v>
      </c>
      <c r="C80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376.663086696747</v>
      </c>
      <c r="D80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376.663086696747</v>
      </c>
      <c r="E80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376.663086696747</v>
      </c>
      <c r="F80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376.663086696747</v>
      </c>
      <c r="G80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376.663086696747</v>
      </c>
      <c r="H80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376.663086696747</v>
      </c>
      <c r="I80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376.663086696747</v>
      </c>
      <c r="J80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376.663086696747</v>
      </c>
      <c r="K80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376.663086696747</v>
      </c>
      <c r="L80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376.663086696747</v>
      </c>
      <c r="M80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376.663086696747</v>
      </c>
      <c r="N80" s="7" t="n">
        <f aca="false">SUM(B80:M80)</f>
        <v>4519.95704036097</v>
      </c>
      <c r="O80" s="27" t="n">
        <f aca="false">MAX(B80:M80)</f>
        <v>376.663086696747</v>
      </c>
      <c r="P80" s="15" t="n">
        <f aca="false">O80/parametros_recargas!$B$6</f>
        <v>2.51108724464498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3243.17565545957</v>
      </c>
      <c r="C81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3243.17565545957</v>
      </c>
      <c r="D81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3243.17565545957</v>
      </c>
      <c r="E81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3243.17565545957</v>
      </c>
      <c r="F81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3243.17565545957</v>
      </c>
      <c r="G81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3243.17565545957</v>
      </c>
      <c r="H81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3243.17565545957</v>
      </c>
      <c r="I81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3243.17565545957</v>
      </c>
      <c r="J81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3243.17565545957</v>
      </c>
      <c r="K81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3243.17565545957</v>
      </c>
      <c r="L81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3243.17565545957</v>
      </c>
      <c r="M81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3243.17565545957</v>
      </c>
      <c r="N81" s="7" t="n">
        <f aca="false">SUM(B81:M81)</f>
        <v>38918.1078655149</v>
      </c>
      <c r="O81" s="27" t="n">
        <f aca="false">MAX(B81:M81)</f>
        <v>3243.17565545957</v>
      </c>
      <c r="P81" s="15" t="n">
        <f aca="false">O81/parametros_recargas!$B$6</f>
        <v>21.6211710363971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5.35570220048698</v>
      </c>
      <c r="C82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5.35570220048698</v>
      </c>
      <c r="D82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5.35570220048698</v>
      </c>
      <c r="E82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5.35570220048698</v>
      </c>
      <c r="F82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5.35570220048698</v>
      </c>
      <c r="G82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5.35570220048698</v>
      </c>
      <c r="H82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5.35570220048698</v>
      </c>
      <c r="I82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5.35570220048698</v>
      </c>
      <c r="J82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5.35570220048698</v>
      </c>
      <c r="K82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5.35570220048698</v>
      </c>
      <c r="L82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5.35570220048698</v>
      </c>
      <c r="M82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5.35570220048698</v>
      </c>
      <c r="N82" s="7" t="n">
        <f aca="false">SUM(B82:M82)</f>
        <v>64.2684264058438</v>
      </c>
      <c r="O82" s="27" t="n">
        <f aca="false">MAX(B82:M82)</f>
        <v>5.35570220048698</v>
      </c>
      <c r="P82" s="15" t="n">
        <f aca="false">O82/parametros_recargas!$B$6</f>
        <v>0.0357046813365799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5.35570220048698</v>
      </c>
      <c r="C83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5.35570220048698</v>
      </c>
      <c r="D83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5.35570220048698</v>
      </c>
      <c r="E83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5.35570220048698</v>
      </c>
      <c r="F83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5.35570220048698</v>
      </c>
      <c r="G83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5.35570220048698</v>
      </c>
      <c r="H83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5.35570220048698</v>
      </c>
      <c r="I83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5.35570220048698</v>
      </c>
      <c r="J83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5.35570220048698</v>
      </c>
      <c r="K83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5.35570220048698</v>
      </c>
      <c r="L83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5.35570220048698</v>
      </c>
      <c r="M83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5.35570220048698</v>
      </c>
      <c r="N83" s="7" t="n">
        <f aca="false">SUM(B83:M83)</f>
        <v>64.2684264058438</v>
      </c>
      <c r="O83" s="27" t="n">
        <f aca="false">MAX(B83:M83)</f>
        <v>5.35570220048698</v>
      </c>
      <c r="P83" s="15" t="n">
        <f aca="false">O83/parametros_recargas!$B$6</f>
        <v>0.0357046813365799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180.943882430761</v>
      </c>
      <c r="C84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180.943882430761</v>
      </c>
      <c r="D84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180.943882430761</v>
      </c>
      <c r="E84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180.943882430761</v>
      </c>
      <c r="F84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180.943882430761</v>
      </c>
      <c r="G84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180.943882430761</v>
      </c>
      <c r="H84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180.943882430761</v>
      </c>
      <c r="I84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180.943882430761</v>
      </c>
      <c r="J84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180.943882430761</v>
      </c>
      <c r="K84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180.943882430761</v>
      </c>
      <c r="L84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180.943882430761</v>
      </c>
      <c r="M84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180.943882430761</v>
      </c>
      <c r="N84" s="7" t="n">
        <f aca="false">SUM(B84:M84)</f>
        <v>2171.32658916913</v>
      </c>
      <c r="O84" s="27" t="n">
        <f aca="false">MAX(B84:M84)</f>
        <v>180.943882430761</v>
      </c>
      <c r="P84" s="15" t="n">
        <f aca="false">O84/parametros_recargas!$B$6</f>
        <v>1.20629254953841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95.4071404298857</v>
      </c>
      <c r="C85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95.4071404298857</v>
      </c>
      <c r="D85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95.4071404298857</v>
      </c>
      <c r="E85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95.4071404298857</v>
      </c>
      <c r="F85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95.4071404298857</v>
      </c>
      <c r="G85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95.4071404298857</v>
      </c>
      <c r="H85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95.4071404298857</v>
      </c>
      <c r="I85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95.4071404298857</v>
      </c>
      <c r="J85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95.4071404298857</v>
      </c>
      <c r="K85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95.4071404298857</v>
      </c>
      <c r="L85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95.4071404298857</v>
      </c>
      <c r="M85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95.4071404298857</v>
      </c>
      <c r="N85" s="7" t="n">
        <f aca="false">SUM(B85:M85)</f>
        <v>1144.88568515863</v>
      </c>
      <c r="O85" s="27" t="n">
        <f aca="false">MAX(B85:M85)</f>
        <v>95.4071404298857</v>
      </c>
      <c r="P85" s="15" t="n">
        <f aca="false">O85/parametros_recargas!$B$6</f>
        <v>0.636047602865904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3253.88705986055</v>
      </c>
      <c r="C86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3253.88705986055</v>
      </c>
      <c r="D86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3253.88705986055</v>
      </c>
      <c r="E86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3253.88705986055</v>
      </c>
      <c r="F86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3253.88705986055</v>
      </c>
      <c r="G86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3253.88705986055</v>
      </c>
      <c r="H86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3253.88705986055</v>
      </c>
      <c r="I86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3253.88705986055</v>
      </c>
      <c r="J86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3253.88705986055</v>
      </c>
      <c r="K86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3253.88705986055</v>
      </c>
      <c r="L86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3253.88705986055</v>
      </c>
      <c r="M86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3253.88705986055</v>
      </c>
      <c r="N86" s="7" t="n">
        <f aca="false">SUM(B86:M86)</f>
        <v>39046.6447183266</v>
      </c>
      <c r="O86" s="27" t="n">
        <f aca="false">MAX(B86:M86)</f>
        <v>3253.88705986055</v>
      </c>
      <c r="P86" s="15" t="n">
        <f aca="false">O86/parametros_recargas!$B$6</f>
        <v>21.6925803990703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3253.88705986055</v>
      </c>
      <c r="C87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3253.88705986055</v>
      </c>
      <c r="D87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3253.88705986055</v>
      </c>
      <c r="E87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3253.88705986055</v>
      </c>
      <c r="F87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3253.88705986055</v>
      </c>
      <c r="G87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3253.88705986055</v>
      </c>
      <c r="H87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3253.88705986055</v>
      </c>
      <c r="I87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3253.88705986055</v>
      </c>
      <c r="J87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3253.88705986055</v>
      </c>
      <c r="K87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3253.88705986055</v>
      </c>
      <c r="L87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3253.88705986055</v>
      </c>
      <c r="M87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3253.88705986055</v>
      </c>
      <c r="N87" s="7" t="n">
        <f aca="false">SUM(B87:M87)</f>
        <v>39046.6447183266</v>
      </c>
      <c r="O87" s="27" t="n">
        <f aca="false">MAX(B87:M87)</f>
        <v>3253.88705986055</v>
      </c>
      <c r="P87" s="15" t="n">
        <f aca="false">O87/parametros_recargas!$B$6</f>
        <v>21.6925803990703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263.893863599802</v>
      </c>
      <c r="C88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263.893863599802</v>
      </c>
      <c r="D88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263.893863599802</v>
      </c>
      <c r="E88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263.893863599802</v>
      </c>
      <c r="F88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263.893863599802</v>
      </c>
      <c r="G88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263.893863599802</v>
      </c>
      <c r="H88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263.893863599802</v>
      </c>
      <c r="I88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263.893863599802</v>
      </c>
      <c r="J88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263.893863599802</v>
      </c>
      <c r="K88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263.893863599802</v>
      </c>
      <c r="L88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263.893863599802</v>
      </c>
      <c r="M88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263.893863599802</v>
      </c>
      <c r="N88" s="7" t="n">
        <f aca="false">SUM(B88:M88)</f>
        <v>3166.72636319762</v>
      </c>
      <c r="O88" s="27" t="n">
        <f aca="false">MAX(B88:M88)</f>
        <v>263.893863599802</v>
      </c>
      <c r="P88" s="15" t="n">
        <f aca="false">O88/parametros_recargas!$B$6</f>
        <v>1.75929242399868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3.44403081080252</v>
      </c>
      <c r="C89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3.44403081080252</v>
      </c>
      <c r="D89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3.44403081080252</v>
      </c>
      <c r="E89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3.44403081080252</v>
      </c>
      <c r="F89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3.44403081080252</v>
      </c>
      <c r="G89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3.44403081080252</v>
      </c>
      <c r="H89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3.44403081080252</v>
      </c>
      <c r="I89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3.44403081080252</v>
      </c>
      <c r="J89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3.44403081080252</v>
      </c>
      <c r="K89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3.44403081080252</v>
      </c>
      <c r="L89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3.44403081080252</v>
      </c>
      <c r="M89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3.44403081080252</v>
      </c>
      <c r="N89" s="7" t="n">
        <f aca="false">SUM(B89:M89)</f>
        <v>41.3283697296302</v>
      </c>
      <c r="O89" s="27" t="n">
        <f aca="false">MAX(B89:M89)</f>
        <v>3.44403081080252</v>
      </c>
      <c r="P89" s="15" t="n">
        <f aca="false">O89/parametros_recargas!$B$6</f>
        <v>0.0229602054053501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232.948753435474</v>
      </c>
      <c r="C90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232.948753435474</v>
      </c>
      <c r="D90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232.948753435474</v>
      </c>
      <c r="E90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232.948753435474</v>
      </c>
      <c r="F90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232.948753435474</v>
      </c>
      <c r="G90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232.948753435474</v>
      </c>
      <c r="H90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232.948753435474</v>
      </c>
      <c r="I90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232.948753435474</v>
      </c>
      <c r="J90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232.948753435474</v>
      </c>
      <c r="K90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232.948753435474</v>
      </c>
      <c r="L90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232.948753435474</v>
      </c>
      <c r="M90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232.948753435474</v>
      </c>
      <c r="N90" s="7" t="n">
        <f aca="false">SUM(B90:M90)</f>
        <v>2795.38504122569</v>
      </c>
      <c r="O90" s="27" t="n">
        <f aca="false">MAX(B90:M90)</f>
        <v>232.948753435474</v>
      </c>
      <c r="P90" s="15" t="n">
        <f aca="false">O90/parametros_recargas!$B$6</f>
        <v>1.55299168956983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3766.63086696747</v>
      </c>
      <c r="C91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3766.63086696747</v>
      </c>
      <c r="D91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3766.63086696747</v>
      </c>
      <c r="E91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3766.63086696747</v>
      </c>
      <c r="F91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3766.63086696747</v>
      </c>
      <c r="G91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3766.63086696747</v>
      </c>
      <c r="H91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3766.63086696747</v>
      </c>
      <c r="I91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3766.63086696747</v>
      </c>
      <c r="J91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3766.63086696747</v>
      </c>
      <c r="K91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3766.63086696747</v>
      </c>
      <c r="L91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3766.63086696747</v>
      </c>
      <c r="M91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3766.63086696747</v>
      </c>
      <c r="N91" s="7" t="n">
        <f aca="false">SUM(B91:M91)</f>
        <v>45199.5704036096</v>
      </c>
      <c r="O91" s="27" t="n">
        <f aca="false">MAX(B91:M91)</f>
        <v>3766.63086696747</v>
      </c>
      <c r="P91" s="15" t="n">
        <f aca="false">O91/parametros_recargas!$B$6</f>
        <v>25.1108724464498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3766.63086696747</v>
      </c>
      <c r="C92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3766.63086696747</v>
      </c>
      <c r="D92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3766.63086696747</v>
      </c>
      <c r="E92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3766.63086696747</v>
      </c>
      <c r="F92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3766.63086696747</v>
      </c>
      <c r="G92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3766.63086696747</v>
      </c>
      <c r="H92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3766.63086696747</v>
      </c>
      <c r="I92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3766.63086696747</v>
      </c>
      <c r="J92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3766.63086696747</v>
      </c>
      <c r="K92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3766.63086696747</v>
      </c>
      <c r="L92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3766.63086696747</v>
      </c>
      <c r="M92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3766.63086696747</v>
      </c>
      <c r="N92" s="7" t="n">
        <f aca="false">SUM(B92:M92)</f>
        <v>45199.5704036096</v>
      </c>
      <c r="O92" s="27" t="n">
        <f aca="false">MAX(B92:M92)</f>
        <v>3766.63086696747</v>
      </c>
      <c r="P92" s="15" t="n">
        <f aca="false">O92/parametros_recargas!$B$6</f>
        <v>25.1108724464498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296.030072666848</v>
      </c>
      <c r="C93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296.030072666848</v>
      </c>
      <c r="D93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296.030072666848</v>
      </c>
      <c r="E93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296.030072666848</v>
      </c>
      <c r="F93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296.030072666848</v>
      </c>
      <c r="G93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296.030072666848</v>
      </c>
      <c r="H93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296.030072666848</v>
      </c>
      <c r="I93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296.030072666848</v>
      </c>
      <c r="J93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296.030072666848</v>
      </c>
      <c r="K93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296.030072666848</v>
      </c>
      <c r="L93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296.030072666848</v>
      </c>
      <c r="M93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296.030072666848</v>
      </c>
      <c r="N93" s="7" t="n">
        <f aca="false">SUM(B93:M93)</f>
        <v>3552.36087200218</v>
      </c>
      <c r="O93" s="27" t="n">
        <f aca="false">MAX(B93:M93)</f>
        <v>296.030072666848</v>
      </c>
      <c r="P93" s="15" t="n">
        <f aca="false">O93/parametros_recargas!$B$6</f>
        <v>1.97353381777899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6" t="n">
        <f aca="false">'Plan mensual'!D93</f>
        <v>136.683998202268</v>
      </c>
      <c r="C94" s="26" t="n">
        <f aca="false">'Plan mensual'!E93</f>
        <v>136.683998202268</v>
      </c>
      <c r="D94" s="26" t="n">
        <f aca="false">'Plan mensual'!F93</f>
        <v>136.683998202268</v>
      </c>
      <c r="E94" s="26" t="n">
        <f aca="false">'Plan mensual'!G93</f>
        <v>136.683998202268</v>
      </c>
      <c r="F94" s="26" t="n">
        <f aca="false">'Plan mensual'!H93</f>
        <v>136.683998202268</v>
      </c>
      <c r="G94" s="26" t="n">
        <f aca="false">'Plan mensual'!I93</f>
        <v>136.683998202268</v>
      </c>
      <c r="H94" s="26" t="n">
        <f aca="false">'Plan mensual'!J93</f>
        <v>136.683998202268</v>
      </c>
      <c r="I94" s="26" t="n">
        <f aca="false">'Plan mensual'!K93</f>
        <v>136.683998202268</v>
      </c>
      <c r="J94" s="26" t="n">
        <f aca="false">'Plan mensual'!L93</f>
        <v>136.683998202268</v>
      </c>
      <c r="K94" s="26" t="n">
        <f aca="false">'Plan mensual'!M93</f>
        <v>136.683998202268</v>
      </c>
      <c r="L94" s="26" t="n">
        <f aca="false">'Plan mensual'!N93</f>
        <v>136.683998202268</v>
      </c>
      <c r="M94" s="26" t="n">
        <f aca="false">'Plan mensual'!O93</f>
        <v>136.683998202268</v>
      </c>
      <c r="N94" s="7" t="n">
        <f aca="false">SUM(B94:M94)</f>
        <v>1640.20797842721</v>
      </c>
      <c r="O94" s="27" t="n">
        <f aca="false">MAX(B94:M94)</f>
        <v>136.683998202268</v>
      </c>
      <c r="P94" s="15" t="n">
        <f aca="false">O94/parametros_recargas!$B$6</f>
        <v>0.911226654681784</v>
      </c>
    </row>
    <row r="97" customFormat="false" ht="23.85" hidden="false" customHeight="false" outlineLevel="0" collapsed="false">
      <c r="A97" s="3" t="s">
        <v>319</v>
      </c>
      <c r="B97" s="3" t="s">
        <v>133</v>
      </c>
      <c r="C97" s="3" t="s">
        <v>134</v>
      </c>
      <c r="D97" s="3" t="s">
        <v>135</v>
      </c>
      <c r="E97" s="3" t="s">
        <v>136</v>
      </c>
      <c r="F97" s="3" t="s">
        <v>137</v>
      </c>
      <c r="G97" s="3" t="s">
        <v>138</v>
      </c>
      <c r="H97" s="3" t="s">
        <v>139</v>
      </c>
      <c r="I97" s="3" t="s">
        <v>140</v>
      </c>
      <c r="J97" s="3" t="s">
        <v>141</v>
      </c>
      <c r="K97" s="3" t="s">
        <v>142</v>
      </c>
      <c r="L97" s="3" t="s">
        <v>143</v>
      </c>
      <c r="M97" s="3" t="s">
        <v>144</v>
      </c>
      <c r="N97" s="3" t="s">
        <v>314</v>
      </c>
      <c r="O97" s="3" t="s">
        <v>315</v>
      </c>
      <c r="P97" s="3" t="s">
        <v>316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6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6983.18607367474</v>
      </c>
      <c r="C98" s="26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6983.18607367474</v>
      </c>
      <c r="D98" s="26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6983.18607367474</v>
      </c>
      <c r="E98" s="26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6983.18607367474</v>
      </c>
      <c r="F98" s="26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6983.18607367474</v>
      </c>
      <c r="G98" s="26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6983.18607367474</v>
      </c>
      <c r="H98" s="26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6983.18607367474</v>
      </c>
      <c r="I98" s="26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6983.18607367474</v>
      </c>
      <c r="J98" s="26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6983.18607367474</v>
      </c>
      <c r="K98" s="26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6983.18607367474</v>
      </c>
      <c r="L98" s="26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6983.18607367474</v>
      </c>
      <c r="M98" s="26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6983.18607367474</v>
      </c>
      <c r="N98" s="7" t="n">
        <f aca="false">SUM(B98:M98)</f>
        <v>83798.2328840969</v>
      </c>
      <c r="O98" s="27" t="n">
        <f aca="false">MAX(B98:M98)</f>
        <v>6983.18607367474</v>
      </c>
      <c r="P98" s="15" t="n">
        <f aca="false">O98/parametros_recargas!$B$6</f>
        <v>46.5545738244983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6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6983.18607367474</v>
      </c>
      <c r="C99" s="26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6983.18607367474</v>
      </c>
      <c r="D99" s="26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6983.18607367474</v>
      </c>
      <c r="E99" s="26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6983.18607367474</v>
      </c>
      <c r="F99" s="26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6983.18607367474</v>
      </c>
      <c r="G99" s="26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6983.18607367474</v>
      </c>
      <c r="H99" s="26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6983.18607367474</v>
      </c>
      <c r="I99" s="26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6983.18607367474</v>
      </c>
      <c r="J99" s="26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6983.18607367474</v>
      </c>
      <c r="K99" s="26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6983.18607367474</v>
      </c>
      <c r="L99" s="26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6983.18607367474</v>
      </c>
      <c r="M99" s="26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6983.18607367474</v>
      </c>
      <c r="N99" s="7" t="n">
        <f aca="false">SUM(B99:M99)</f>
        <v>83798.2328840969</v>
      </c>
      <c r="O99" s="27" t="n">
        <f aca="false">MAX(B99:M99)</f>
        <v>6983.18607367474</v>
      </c>
      <c r="P99" s="15" t="n">
        <f aca="false">O99/parametros_recargas!$B$6</f>
        <v>46.5545738244983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6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5111.65784902566</v>
      </c>
      <c r="C100" s="26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5111.65784902566</v>
      </c>
      <c r="D100" s="26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5111.65784902566</v>
      </c>
      <c r="E100" s="26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5111.65784902566</v>
      </c>
      <c r="F100" s="26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5111.65784902566</v>
      </c>
      <c r="G100" s="26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5111.65784902566</v>
      </c>
      <c r="H100" s="26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5111.65784902566</v>
      </c>
      <c r="I100" s="26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5111.65784902566</v>
      </c>
      <c r="J100" s="26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5111.65784902566</v>
      </c>
      <c r="K100" s="26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5111.65784902566</v>
      </c>
      <c r="L100" s="26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5111.65784902566</v>
      </c>
      <c r="M100" s="26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5111.65784902566</v>
      </c>
      <c r="N100" s="7" t="n">
        <f aca="false">SUM(B100:M100)</f>
        <v>61339.894188308</v>
      </c>
      <c r="O100" s="27" t="n">
        <f aca="false">MAX(B100:M100)</f>
        <v>5111.65784902566</v>
      </c>
      <c r="P100" s="15" t="n">
        <f aca="false">O100/parametros_recargas!$B$6</f>
        <v>34.0777189935044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6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601.371511650078</v>
      </c>
      <c r="C101" s="26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601.371511650078</v>
      </c>
      <c r="D101" s="26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601.371511650078</v>
      </c>
      <c r="E101" s="26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601.371511650078</v>
      </c>
      <c r="F101" s="26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601.371511650078</v>
      </c>
      <c r="G101" s="26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601.371511650078</v>
      </c>
      <c r="H101" s="26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601.371511650078</v>
      </c>
      <c r="I101" s="26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601.371511650078</v>
      </c>
      <c r="J101" s="26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601.371511650078</v>
      </c>
      <c r="K101" s="26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601.371511650078</v>
      </c>
      <c r="L101" s="26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601.371511650078</v>
      </c>
      <c r="M101" s="26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601.371511650078</v>
      </c>
      <c r="N101" s="7" t="n">
        <f aca="false">SUM(B101:M101)</f>
        <v>7216.45813980094</v>
      </c>
      <c r="O101" s="27" t="n">
        <f aca="false">MAX(B101:M101)</f>
        <v>601.371511650078</v>
      </c>
      <c r="P101" s="15" t="n">
        <f aca="false">O101/parametros_recargas!$B$6</f>
        <v>4.00914341100052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9.54400419663871</v>
      </c>
      <c r="C102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9.54400419663871</v>
      </c>
      <c r="D102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9.54400419663871</v>
      </c>
      <c r="E102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9.54400419663871</v>
      </c>
      <c r="F102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9.54400419663871</v>
      </c>
      <c r="G102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9.54400419663871</v>
      </c>
      <c r="H102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9.54400419663871</v>
      </c>
      <c r="I102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9.54400419663871</v>
      </c>
      <c r="J102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9.54400419663871</v>
      </c>
      <c r="K102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9.54400419663871</v>
      </c>
      <c r="L102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9.54400419663871</v>
      </c>
      <c r="M102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9.54400419663871</v>
      </c>
      <c r="N102" s="7" t="n">
        <f aca="false">SUM(B102:M102)</f>
        <v>114.528050359665</v>
      </c>
      <c r="O102" s="27" t="n">
        <f aca="false">MAX(B102:M102)</f>
        <v>9.54400419663871</v>
      </c>
      <c r="P102" s="15" t="n">
        <f aca="false">O102/parametros_recargas!$B$6</f>
        <v>0.0636266946442581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328.533298365888</v>
      </c>
      <c r="C103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328.533298365888</v>
      </c>
      <c r="D103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328.533298365888</v>
      </c>
      <c r="E103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328.533298365888</v>
      </c>
      <c r="F103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328.533298365888</v>
      </c>
      <c r="G103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328.533298365888</v>
      </c>
      <c r="H103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328.533298365888</v>
      </c>
      <c r="I103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328.533298365888</v>
      </c>
      <c r="J103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328.533298365888</v>
      </c>
      <c r="K103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328.533298365888</v>
      </c>
      <c r="L103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328.533298365888</v>
      </c>
      <c r="M103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328.533298365888</v>
      </c>
      <c r="N103" s="7" t="n">
        <f aca="false">SUM(B103:M103)</f>
        <v>3942.39958039065</v>
      </c>
      <c r="O103" s="27" t="n">
        <f aca="false">MAX(B103:M103)</f>
        <v>328.533298365888</v>
      </c>
      <c r="P103" s="15" t="n">
        <f aca="false">O103/parametros_recargas!$B$6</f>
        <v>2.19022198910592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149.624366671305</v>
      </c>
      <c r="C104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149.624366671305</v>
      </c>
      <c r="D104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149.624366671305</v>
      </c>
      <c r="E104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149.624366671305</v>
      </c>
      <c r="F104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149.624366671305</v>
      </c>
      <c r="G104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149.624366671305</v>
      </c>
      <c r="H104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149.624366671305</v>
      </c>
      <c r="I104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149.624366671305</v>
      </c>
      <c r="J104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149.624366671305</v>
      </c>
      <c r="K104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149.624366671305</v>
      </c>
      <c r="L104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149.624366671305</v>
      </c>
      <c r="M104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149.624366671305</v>
      </c>
      <c r="N104" s="7" t="n">
        <f aca="false">SUM(B104:M104)</f>
        <v>1795.49240005566</v>
      </c>
      <c r="O104" s="27" t="n">
        <f aca="false">MAX(B104:M104)</f>
        <v>149.624366671305</v>
      </c>
      <c r="P104" s="15" t="n">
        <f aca="false">O104/parametros_recargas!$B$6</f>
        <v>0.997495777808699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6.00446971640631</v>
      </c>
      <c r="C105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6.00446971640631</v>
      </c>
      <c r="D105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6.00446971640631</v>
      </c>
      <c r="E105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6.00446971640631</v>
      </c>
      <c r="F105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6.00446971640631</v>
      </c>
      <c r="G105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6.00446971640631</v>
      </c>
      <c r="H105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6.00446971640631</v>
      </c>
      <c r="I105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6.00446971640631</v>
      </c>
      <c r="J105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6.00446971640631</v>
      </c>
      <c r="K105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6.00446971640631</v>
      </c>
      <c r="L105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6.00446971640631</v>
      </c>
      <c r="M105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6.00446971640631</v>
      </c>
      <c r="N105" s="7" t="n">
        <f aca="false">SUM(B105:M105)</f>
        <v>72.0536365968758</v>
      </c>
      <c r="O105" s="27" t="n">
        <f aca="false">MAX(B105:M105)</f>
        <v>6.00446971640631</v>
      </c>
      <c r="P105" s="15" t="n">
        <f aca="false">O105/parametros_recargas!$B$6</f>
        <v>0.0400297981093754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6032.13742975801</v>
      </c>
      <c r="C106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6032.13742975801</v>
      </c>
      <c r="D106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6032.13742975801</v>
      </c>
      <c r="E106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6032.13742975801</v>
      </c>
      <c r="F106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6032.13742975801</v>
      </c>
      <c r="G106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6032.13742975801</v>
      </c>
      <c r="H106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6032.13742975801</v>
      </c>
      <c r="I106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6032.13742975801</v>
      </c>
      <c r="J106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6032.13742975801</v>
      </c>
      <c r="K106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6032.13742975801</v>
      </c>
      <c r="L106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6032.13742975801</v>
      </c>
      <c r="M106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6032.13742975801</v>
      </c>
      <c r="N106" s="7" t="n">
        <f aca="false">SUM(B106:M106)</f>
        <v>72385.6491570961</v>
      </c>
      <c r="O106" s="27" t="n">
        <f aca="false">MAX(B106:M106)</f>
        <v>6032.13742975801</v>
      </c>
      <c r="P106" s="15" t="n">
        <f aca="false">O106/parametros_recargas!$B$6</f>
        <v>40.2142495317201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484.162134753599</v>
      </c>
      <c r="C107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484.162134753599</v>
      </c>
      <c r="D107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484.162134753599</v>
      </c>
      <c r="E107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484.162134753599</v>
      </c>
      <c r="F107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484.162134753599</v>
      </c>
      <c r="G107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484.162134753599</v>
      </c>
      <c r="H107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484.162134753599</v>
      </c>
      <c r="I107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484.162134753599</v>
      </c>
      <c r="J107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484.162134753599</v>
      </c>
      <c r="K107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484.162134753599</v>
      </c>
      <c r="L107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484.162134753599</v>
      </c>
      <c r="M107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484.162134753599</v>
      </c>
      <c r="N107" s="7" t="n">
        <f aca="false">SUM(B107:M107)</f>
        <v>5809.94561704319</v>
      </c>
      <c r="O107" s="27" t="n">
        <f aca="false">MAX(B107:M107)</f>
        <v>484.162134753599</v>
      </c>
      <c r="P107" s="15" t="n">
        <f aca="false">O107/parametros_recargas!$B$6</f>
        <v>3.22774756502399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6.02325912069742</v>
      </c>
      <c r="C108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6.02325912069742</v>
      </c>
      <c r="D108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6.02325912069742</v>
      </c>
      <c r="E108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6.02325912069742</v>
      </c>
      <c r="F108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6.02325912069742</v>
      </c>
      <c r="G108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6.02325912069742</v>
      </c>
      <c r="H108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6.02325912069742</v>
      </c>
      <c r="I108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6.02325912069742</v>
      </c>
      <c r="J108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6.02325912069742</v>
      </c>
      <c r="K108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6.02325912069742</v>
      </c>
      <c r="L108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6.02325912069742</v>
      </c>
      <c r="M108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6.02325912069742</v>
      </c>
      <c r="N108" s="7" t="n">
        <f aca="false">SUM(B108:M108)</f>
        <v>72.279109448369</v>
      </c>
      <c r="O108" s="27" t="n">
        <f aca="false">MAX(B108:M108)</f>
        <v>6.02325912069742</v>
      </c>
      <c r="P108" s="15" t="n">
        <f aca="false">O108/parametros_recargas!$B$6</f>
        <v>0.0401550608046495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1495.19720424471</v>
      </c>
      <c r="C109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1495.19720424471</v>
      </c>
      <c r="D109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1495.19720424471</v>
      </c>
      <c r="E109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1495.19720424471</v>
      </c>
      <c r="F109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1495.19720424471</v>
      </c>
      <c r="G109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1495.19720424471</v>
      </c>
      <c r="H109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1495.19720424471</v>
      </c>
      <c r="I109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1495.19720424471</v>
      </c>
      <c r="J109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1495.19720424471</v>
      </c>
      <c r="K109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1495.19720424471</v>
      </c>
      <c r="L109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1495.19720424471</v>
      </c>
      <c r="M109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1495.19720424471</v>
      </c>
      <c r="N109" s="7" t="n">
        <f aca="false">SUM(B109:M109)</f>
        <v>17942.3664509366</v>
      </c>
      <c r="O109" s="27" t="n">
        <f aca="false">MAX(B109:M109)</f>
        <v>1495.19720424471</v>
      </c>
      <c r="P109" s="15" t="n">
        <f aca="false">O109/parametros_recargas!$B$6</f>
        <v>9.96798136163143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1391.25192935935</v>
      </c>
      <c r="C110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1391.25192935935</v>
      </c>
      <c r="D110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1391.25192935935</v>
      </c>
      <c r="E110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1391.25192935935</v>
      </c>
      <c r="F110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1391.25192935935</v>
      </c>
      <c r="G110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1391.25192935935</v>
      </c>
      <c r="H110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1391.25192935935</v>
      </c>
      <c r="I110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1391.25192935935</v>
      </c>
      <c r="J110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1391.25192935935</v>
      </c>
      <c r="K110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1391.25192935935</v>
      </c>
      <c r="L110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1391.25192935935</v>
      </c>
      <c r="M110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1391.25192935935</v>
      </c>
      <c r="N110" s="7" t="n">
        <f aca="false">SUM(B110:M110)</f>
        <v>16695.0231523122</v>
      </c>
      <c r="O110" s="27" t="n">
        <f aca="false">MAX(B110:M110)</f>
        <v>1391.25192935935</v>
      </c>
      <c r="P110" s="15" t="n">
        <f aca="false">O110/parametros_recargas!$B$6</f>
        <v>9.27501286239568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1391.25192935935</v>
      </c>
      <c r="C111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1391.25192935935</v>
      </c>
      <c r="D111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1391.25192935935</v>
      </c>
      <c r="E111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1391.25192935935</v>
      </c>
      <c r="F111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1391.25192935935</v>
      </c>
      <c r="G111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1391.25192935935</v>
      </c>
      <c r="H111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1391.25192935935</v>
      </c>
      <c r="I111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1391.25192935935</v>
      </c>
      <c r="J111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1391.25192935935</v>
      </c>
      <c r="K111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1391.25192935935</v>
      </c>
      <c r="L111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1391.25192935935</v>
      </c>
      <c r="M111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1391.25192935935</v>
      </c>
      <c r="N111" s="7" t="n">
        <f aca="false">SUM(B111:M111)</f>
        <v>16695.0231523122</v>
      </c>
      <c r="O111" s="27" t="n">
        <f aca="false">MAX(B111:M111)</f>
        <v>1391.25192935935</v>
      </c>
      <c r="P111" s="15" t="n">
        <f aca="false">O111/parametros_recargas!$B$6</f>
        <v>9.27501286239568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698.318607367474</v>
      </c>
      <c r="C112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698.318607367474</v>
      </c>
      <c r="D112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698.318607367474</v>
      </c>
      <c r="E112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698.318607367474</v>
      </c>
      <c r="F112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698.318607367474</v>
      </c>
      <c r="G112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698.318607367474</v>
      </c>
      <c r="H112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698.318607367474</v>
      </c>
      <c r="I112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698.318607367474</v>
      </c>
      <c r="J112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698.318607367474</v>
      </c>
      <c r="K112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698.318607367474</v>
      </c>
      <c r="L112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698.318607367474</v>
      </c>
      <c r="M112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698.318607367474</v>
      </c>
      <c r="N112" s="7" t="n">
        <f aca="false">SUM(B112:M112)</f>
        <v>8379.82328840969</v>
      </c>
      <c r="O112" s="27" t="n">
        <f aca="false">MAX(B112:M112)</f>
        <v>698.318607367474</v>
      </c>
      <c r="P112" s="15" t="n">
        <f aca="false">O112/parametros_recargas!$B$6</f>
        <v>4.65545738244983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6013.71511650078</v>
      </c>
      <c r="C113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6013.71511650078</v>
      </c>
      <c r="D113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6013.71511650078</v>
      </c>
      <c r="E113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6013.71511650078</v>
      </c>
      <c r="F113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6013.71511650078</v>
      </c>
      <c r="G113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6013.71511650078</v>
      </c>
      <c r="H113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6013.71511650078</v>
      </c>
      <c r="I113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6013.71511650078</v>
      </c>
      <c r="J113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6013.71511650078</v>
      </c>
      <c r="K113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6013.71511650078</v>
      </c>
      <c r="L113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6013.71511650078</v>
      </c>
      <c r="M113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6013.71511650078</v>
      </c>
      <c r="N113" s="7" t="n">
        <f aca="false">SUM(B113:M113)</f>
        <v>72164.5813980094</v>
      </c>
      <c r="O113" s="27" t="n">
        <f aca="false">MAX(B113:M113)</f>
        <v>6013.71511650078</v>
      </c>
      <c r="P113" s="15" t="n">
        <f aca="false">O113/parametros_recargas!$B$6</f>
        <v>40.0914341100052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9.54400419663871</v>
      </c>
      <c r="C114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9.54400419663871</v>
      </c>
      <c r="D114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9.54400419663871</v>
      </c>
      <c r="E114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9.54400419663871</v>
      </c>
      <c r="F114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9.54400419663871</v>
      </c>
      <c r="G114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9.54400419663871</v>
      </c>
      <c r="H114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9.54400419663871</v>
      </c>
      <c r="I114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9.54400419663871</v>
      </c>
      <c r="J114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9.54400419663871</v>
      </c>
      <c r="K114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9.54400419663871</v>
      </c>
      <c r="L114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9.54400419663871</v>
      </c>
      <c r="M114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9.54400419663871</v>
      </c>
      <c r="N114" s="7" t="n">
        <f aca="false">SUM(B114:M114)</f>
        <v>114.528050359665</v>
      </c>
      <c r="O114" s="27" t="n">
        <f aca="false">MAX(B114:M114)</f>
        <v>9.54400419663871</v>
      </c>
      <c r="P114" s="15" t="n">
        <f aca="false">O114/parametros_recargas!$B$6</f>
        <v>0.0636266946442581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8.87830906059113</v>
      </c>
      <c r="C115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8.87830906059113</v>
      </c>
      <c r="D115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8.87830906059113</v>
      </c>
      <c r="E115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8.87830906059113</v>
      </c>
      <c r="F115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8.87830906059113</v>
      </c>
      <c r="G115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8.87830906059113</v>
      </c>
      <c r="H115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8.87830906059113</v>
      </c>
      <c r="I115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8.87830906059113</v>
      </c>
      <c r="J115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8.87830906059113</v>
      </c>
      <c r="K115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8.87830906059113</v>
      </c>
      <c r="L115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8.87830906059113</v>
      </c>
      <c r="M115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8.87830906059113</v>
      </c>
      <c r="N115" s="7" t="n">
        <f aca="false">SUM(B115:M115)</f>
        <v>106.539708727094</v>
      </c>
      <c r="O115" s="27" t="n">
        <f aca="false">MAX(B115:M115)</f>
        <v>8.87830906059113</v>
      </c>
      <c r="P115" s="15" t="n">
        <f aca="false">O115/parametros_recargas!$B$6</f>
        <v>0.0591887270706075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328.533298365888</v>
      </c>
      <c r="C116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328.533298365888</v>
      </c>
      <c r="D116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328.533298365888</v>
      </c>
      <c r="E116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328.533298365888</v>
      </c>
      <c r="F116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328.533298365888</v>
      </c>
      <c r="G116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328.533298365888</v>
      </c>
      <c r="H116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328.533298365888</v>
      </c>
      <c r="I116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328.533298365888</v>
      </c>
      <c r="J116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328.533298365888</v>
      </c>
      <c r="K116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328.533298365888</v>
      </c>
      <c r="L116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328.533298365888</v>
      </c>
      <c r="M116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328.533298365888</v>
      </c>
      <c r="N116" s="7" t="n">
        <f aca="false">SUM(B116:M116)</f>
        <v>3942.39958039065</v>
      </c>
      <c r="O116" s="27" t="n">
        <f aca="false">MAX(B116:M116)</f>
        <v>328.533298365888</v>
      </c>
      <c r="P116" s="15" t="n">
        <f aca="false">O116/parametros_recargas!$B$6</f>
        <v>2.19022198910592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179.549240005566</v>
      </c>
      <c r="C117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179.549240005566</v>
      </c>
      <c r="D117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179.549240005566</v>
      </c>
      <c r="E117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179.549240005566</v>
      </c>
      <c r="F117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179.549240005566</v>
      </c>
      <c r="G117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179.549240005566</v>
      </c>
      <c r="H117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179.549240005566</v>
      </c>
      <c r="I117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179.549240005566</v>
      </c>
      <c r="J117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179.549240005566</v>
      </c>
      <c r="K117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179.549240005566</v>
      </c>
      <c r="L117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179.549240005566</v>
      </c>
      <c r="M117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179.549240005566</v>
      </c>
      <c r="N117" s="7" t="n">
        <f aca="false">SUM(B117:M117)</f>
        <v>2154.59088006679</v>
      </c>
      <c r="O117" s="27" t="n">
        <f aca="false">MAX(B117:M117)</f>
        <v>179.549240005566</v>
      </c>
      <c r="P117" s="15" t="n">
        <f aca="false">O117/parametros_recargas!$B$6</f>
        <v>1.19699493337044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6032.13742975801</v>
      </c>
      <c r="C118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6032.13742975801</v>
      </c>
      <c r="D118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6032.13742975801</v>
      </c>
      <c r="E118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6032.13742975801</v>
      </c>
      <c r="F118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6032.13742975801</v>
      </c>
      <c r="G118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6032.13742975801</v>
      </c>
      <c r="H118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6032.13742975801</v>
      </c>
      <c r="I118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6032.13742975801</v>
      </c>
      <c r="J118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6032.13742975801</v>
      </c>
      <c r="K118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6032.13742975801</v>
      </c>
      <c r="L118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6032.13742975801</v>
      </c>
      <c r="M118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6032.13742975801</v>
      </c>
      <c r="N118" s="7" t="n">
        <f aca="false">SUM(B118:M118)</f>
        <v>72385.6491570961</v>
      </c>
      <c r="O118" s="27" t="n">
        <f aca="false">MAX(B118:M118)</f>
        <v>6032.13742975801</v>
      </c>
      <c r="P118" s="15" t="n">
        <f aca="false">O118/parametros_recargas!$B$6</f>
        <v>40.2142495317201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6032.13742975801</v>
      </c>
      <c r="C119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6032.13742975801</v>
      </c>
      <c r="D119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6032.13742975801</v>
      </c>
      <c r="E119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6032.13742975801</v>
      </c>
      <c r="F119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6032.13742975801</v>
      </c>
      <c r="G119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6032.13742975801</v>
      </c>
      <c r="H119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6032.13742975801</v>
      </c>
      <c r="I119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6032.13742975801</v>
      </c>
      <c r="J119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6032.13742975801</v>
      </c>
      <c r="K119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6032.13742975801</v>
      </c>
      <c r="L119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6032.13742975801</v>
      </c>
      <c r="M119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6032.13742975801</v>
      </c>
      <c r="N119" s="7" t="n">
        <f aca="false">SUM(B119:M119)</f>
        <v>72385.6491570961</v>
      </c>
      <c r="O119" s="27" t="n">
        <f aca="false">MAX(B119:M119)</f>
        <v>6032.13742975801</v>
      </c>
      <c r="P119" s="15" t="n">
        <f aca="false">O119/parametros_recargas!$B$6</f>
        <v>40.2142495317201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484.162134753599</v>
      </c>
      <c r="C120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484.162134753599</v>
      </c>
      <c r="D120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484.162134753599</v>
      </c>
      <c r="E120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484.162134753599</v>
      </c>
      <c r="F120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484.162134753599</v>
      </c>
      <c r="G120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484.162134753599</v>
      </c>
      <c r="H120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484.162134753599</v>
      </c>
      <c r="I120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484.162134753599</v>
      </c>
      <c r="J120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484.162134753599</v>
      </c>
      <c r="K120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484.162134753599</v>
      </c>
      <c r="L120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484.162134753599</v>
      </c>
      <c r="M120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484.162134753599</v>
      </c>
      <c r="N120" s="7" t="n">
        <f aca="false">SUM(B120:M120)</f>
        <v>5809.94561704319</v>
      </c>
      <c r="O120" s="27" t="n">
        <f aca="false">MAX(B120:M120)</f>
        <v>484.162134753599</v>
      </c>
      <c r="P120" s="15" t="n">
        <f aca="false">O120/parametros_recargas!$B$6</f>
        <v>3.22774756502399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6.00446971640631</v>
      </c>
      <c r="C121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6.00446971640631</v>
      </c>
      <c r="D121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6.00446971640631</v>
      </c>
      <c r="E121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6.00446971640631</v>
      </c>
      <c r="F121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6.00446971640631</v>
      </c>
      <c r="G121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6.00446971640631</v>
      </c>
      <c r="H121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6.00446971640631</v>
      </c>
      <c r="I121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6.00446971640631</v>
      </c>
      <c r="J121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6.00446971640631</v>
      </c>
      <c r="K121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6.00446971640631</v>
      </c>
      <c r="L121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6.00446971640631</v>
      </c>
      <c r="M121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6.00446971640631</v>
      </c>
      <c r="N121" s="7" t="n">
        <f aca="false">SUM(B121:M121)</f>
        <v>72.0536365968758</v>
      </c>
      <c r="O121" s="27" t="n">
        <f aca="false">MAX(B121:M121)</f>
        <v>6.00446971640631</v>
      </c>
      <c r="P121" s="15" t="n">
        <f aca="false">O121/parametros_recargas!$B$6</f>
        <v>0.0400297981093754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436.961635828872</v>
      </c>
      <c r="C122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436.961635828872</v>
      </c>
      <c r="D122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436.961635828872</v>
      </c>
      <c r="E122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436.961635828872</v>
      </c>
      <c r="F122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436.961635828872</v>
      </c>
      <c r="G122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436.961635828872</v>
      </c>
      <c r="H122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436.961635828872</v>
      </c>
      <c r="I122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436.961635828872</v>
      </c>
      <c r="J122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436.961635828872</v>
      </c>
      <c r="K122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436.961635828872</v>
      </c>
      <c r="L122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436.961635828872</v>
      </c>
      <c r="M122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436.961635828872</v>
      </c>
      <c r="N122" s="7" t="n">
        <f aca="false">SUM(B122:M122)</f>
        <v>5243.53962994647</v>
      </c>
      <c r="O122" s="27" t="n">
        <f aca="false">MAX(B122:M122)</f>
        <v>436.961635828872</v>
      </c>
      <c r="P122" s="15" t="n">
        <f aca="false">O122/parametros_recargas!$B$6</f>
        <v>2.91307757219248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6983.18607367474</v>
      </c>
      <c r="C123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6983.18607367474</v>
      </c>
      <c r="D123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6983.18607367474</v>
      </c>
      <c r="E123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6983.18607367474</v>
      </c>
      <c r="F123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6983.18607367474</v>
      </c>
      <c r="G123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6983.18607367474</v>
      </c>
      <c r="H123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6983.18607367474</v>
      </c>
      <c r="I123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6983.18607367474</v>
      </c>
      <c r="J123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6983.18607367474</v>
      </c>
      <c r="K123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6983.18607367474</v>
      </c>
      <c r="L123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6983.18607367474</v>
      </c>
      <c r="M123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6983.18607367474</v>
      </c>
      <c r="N123" s="7" t="n">
        <f aca="false">SUM(B123:M123)</f>
        <v>83798.2328840969</v>
      </c>
      <c r="O123" s="27" t="n">
        <f aca="false">MAX(B123:M123)</f>
        <v>6983.18607367474</v>
      </c>
      <c r="P123" s="15" t="n">
        <f aca="false">O123/parametros_recargas!$B$6</f>
        <v>46.5545738244983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6983.18607367474</v>
      </c>
      <c r="C124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6983.18607367474</v>
      </c>
      <c r="D124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6983.18607367474</v>
      </c>
      <c r="E124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6983.18607367474</v>
      </c>
      <c r="F124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6983.18607367474</v>
      </c>
      <c r="G124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6983.18607367474</v>
      </c>
      <c r="H124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6983.18607367474</v>
      </c>
      <c r="I124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6983.18607367474</v>
      </c>
      <c r="J124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6983.18607367474</v>
      </c>
      <c r="K124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6983.18607367474</v>
      </c>
      <c r="L124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6983.18607367474</v>
      </c>
      <c r="M124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6983.18607367474</v>
      </c>
      <c r="N124" s="7" t="n">
        <f aca="false">SUM(B124:M124)</f>
        <v>83798.2328840969</v>
      </c>
      <c r="O124" s="27" t="n">
        <f aca="false">MAX(B124:M124)</f>
        <v>6983.18607367474</v>
      </c>
      <c r="P124" s="15" t="n">
        <f aca="false">O124/parametros_recargas!$B$6</f>
        <v>46.5545738244983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548.679928115892</v>
      </c>
      <c r="C125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548.679928115892</v>
      </c>
      <c r="D125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548.679928115892</v>
      </c>
      <c r="E125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548.679928115892</v>
      </c>
      <c r="F125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548.679928115892</v>
      </c>
      <c r="G125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548.679928115892</v>
      </c>
      <c r="H125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548.679928115892</v>
      </c>
      <c r="I125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548.679928115892</v>
      </c>
      <c r="J125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548.679928115892</v>
      </c>
      <c r="K125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548.679928115892</v>
      </c>
      <c r="L125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548.679928115892</v>
      </c>
      <c r="M125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548.679928115892</v>
      </c>
      <c r="N125" s="7" t="n">
        <f aca="false">SUM(B125:M125)</f>
        <v>6584.15913739071</v>
      </c>
      <c r="O125" s="27" t="n">
        <f aca="false">MAX(B125:M125)</f>
        <v>548.679928115892</v>
      </c>
      <c r="P125" s="15" t="n">
        <f aca="false">O125/parametros_recargas!$B$6</f>
        <v>3.65786618743928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6" t="n">
        <f aca="false">'Plan mensual'!D125</f>
        <v>244.388384926708</v>
      </c>
      <c r="C126" s="26" t="n">
        <f aca="false">'Plan mensual'!E125</f>
        <v>244.388384926708</v>
      </c>
      <c r="D126" s="26" t="n">
        <f aca="false">'Plan mensual'!F125</f>
        <v>244.388384926708</v>
      </c>
      <c r="E126" s="26" t="n">
        <f aca="false">'Plan mensual'!G125</f>
        <v>244.388384926708</v>
      </c>
      <c r="F126" s="26" t="n">
        <f aca="false">'Plan mensual'!H125</f>
        <v>244.388384926708</v>
      </c>
      <c r="G126" s="26" t="n">
        <f aca="false">'Plan mensual'!I125</f>
        <v>244.388384926708</v>
      </c>
      <c r="H126" s="26" t="n">
        <f aca="false">'Plan mensual'!J125</f>
        <v>244.388384926708</v>
      </c>
      <c r="I126" s="26" t="n">
        <f aca="false">'Plan mensual'!K125</f>
        <v>244.388384926708</v>
      </c>
      <c r="J126" s="26" t="n">
        <f aca="false">'Plan mensual'!L125</f>
        <v>244.388384926708</v>
      </c>
      <c r="K126" s="26" t="n">
        <f aca="false">'Plan mensual'!M125</f>
        <v>244.388384926708</v>
      </c>
      <c r="L126" s="26" t="n">
        <f aca="false">'Plan mensual'!N125</f>
        <v>244.388384926708</v>
      </c>
      <c r="M126" s="26" t="n">
        <f aca="false">'Plan mensual'!O125</f>
        <v>244.388384926708</v>
      </c>
      <c r="N126" s="7" t="n">
        <f aca="false">SUM(B126:M126)</f>
        <v>2932.66061912049</v>
      </c>
      <c r="O126" s="27" t="n">
        <f aca="false">MAX(B126:M126)</f>
        <v>244.388384926708</v>
      </c>
      <c r="P126" s="15" t="n">
        <f aca="false">O126/parametros_recargas!$B$6</f>
        <v>1.62925589951139</v>
      </c>
    </row>
    <row r="129" customFormat="false" ht="23.85" hidden="false" customHeight="false" outlineLevel="0" collapsed="false">
      <c r="A129" s="3" t="s">
        <v>320</v>
      </c>
      <c r="B129" s="3" t="s">
        <v>133</v>
      </c>
      <c r="C129" s="3" t="s">
        <v>134</v>
      </c>
      <c r="D129" s="3" t="s">
        <v>135</v>
      </c>
      <c r="E129" s="3" t="s">
        <v>136</v>
      </c>
      <c r="F129" s="3" t="s">
        <v>137</v>
      </c>
      <c r="G129" s="3" t="s">
        <v>138</v>
      </c>
      <c r="H129" s="3" t="s">
        <v>139</v>
      </c>
      <c r="I129" s="3" t="s">
        <v>140</v>
      </c>
      <c r="J129" s="3" t="s">
        <v>141</v>
      </c>
      <c r="K129" s="3" t="s">
        <v>142</v>
      </c>
      <c r="L129" s="3" t="s">
        <v>143</v>
      </c>
      <c r="M129" s="3" t="s">
        <v>144</v>
      </c>
      <c r="N129" s="3" t="s">
        <v>314</v>
      </c>
      <c r="O129" s="3" t="s">
        <v>315</v>
      </c>
      <c r="P129" s="3" t="s">
        <v>316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6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10280.2976069314</v>
      </c>
      <c r="C130" s="26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10280.2976069314</v>
      </c>
      <c r="D130" s="26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10280.2976069314</v>
      </c>
      <c r="E130" s="26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10280.2976069314</v>
      </c>
      <c r="F130" s="26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10280.2976069314</v>
      </c>
      <c r="G130" s="26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10280.2976069314</v>
      </c>
      <c r="H130" s="26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10280.2976069314</v>
      </c>
      <c r="I130" s="26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10280.2976069314</v>
      </c>
      <c r="J130" s="26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10280.2976069314</v>
      </c>
      <c r="K130" s="26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10280.2976069314</v>
      </c>
      <c r="L130" s="26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10280.2976069314</v>
      </c>
      <c r="M130" s="26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10280.2976069314</v>
      </c>
      <c r="N130" s="7" t="n">
        <f aca="false">SUM(B130:M130)</f>
        <v>123363.571283177</v>
      </c>
      <c r="O130" s="27" t="n">
        <f aca="false">MAX(B130:M130)</f>
        <v>10280.2976069314</v>
      </c>
      <c r="P130" s="15" t="n">
        <f aca="false">O130/parametros_recargas!$B$6</f>
        <v>68.5353173795428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6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10280.2976069314</v>
      </c>
      <c r="C131" s="26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10280.2976069314</v>
      </c>
      <c r="D131" s="26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10280.2976069314</v>
      </c>
      <c r="E131" s="26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10280.2976069314</v>
      </c>
      <c r="F131" s="26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10280.2976069314</v>
      </c>
      <c r="G131" s="26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10280.2976069314</v>
      </c>
      <c r="H131" s="26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10280.2976069314</v>
      </c>
      <c r="I131" s="26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10280.2976069314</v>
      </c>
      <c r="J131" s="26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10280.2976069314</v>
      </c>
      <c r="K131" s="26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10280.2976069314</v>
      </c>
      <c r="L131" s="26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10280.2976069314</v>
      </c>
      <c r="M131" s="26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10280.2976069314</v>
      </c>
      <c r="N131" s="7" t="n">
        <f aca="false">SUM(B131:M131)</f>
        <v>123363.571283177</v>
      </c>
      <c r="O131" s="27" t="n">
        <f aca="false">MAX(B131:M131)</f>
        <v>10280.2976069314</v>
      </c>
      <c r="P131" s="15" t="n">
        <f aca="false">O131/parametros_recargas!$B$6</f>
        <v>68.5353173795428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6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7549.99647444082</v>
      </c>
      <c r="C132" s="26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7549.99647444082</v>
      </c>
      <c r="D132" s="26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7549.99647444082</v>
      </c>
      <c r="E132" s="26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7549.99647444082</v>
      </c>
      <c r="F132" s="26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7549.99647444082</v>
      </c>
      <c r="G132" s="26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7549.99647444082</v>
      </c>
      <c r="H132" s="26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7549.99647444082</v>
      </c>
      <c r="I132" s="26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7549.99647444082</v>
      </c>
      <c r="J132" s="26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7549.99647444082</v>
      </c>
      <c r="K132" s="26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7549.99647444082</v>
      </c>
      <c r="L132" s="26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7549.99647444082</v>
      </c>
      <c r="M132" s="26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7549.99647444082</v>
      </c>
      <c r="N132" s="7" t="n">
        <f aca="false">SUM(B132:M132)</f>
        <v>90599.9576932899</v>
      </c>
      <c r="O132" s="27" t="n">
        <f aca="false">MAX(B132:M132)</f>
        <v>7549.99647444082</v>
      </c>
      <c r="P132" s="15" t="n">
        <f aca="false">O132/parametros_recargas!$B$6</f>
        <v>50.3333098296055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6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888.234879345979</v>
      </c>
      <c r="C133" s="26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888.234879345979</v>
      </c>
      <c r="D133" s="26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888.234879345979</v>
      </c>
      <c r="E133" s="26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888.234879345979</v>
      </c>
      <c r="F133" s="26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888.234879345979</v>
      </c>
      <c r="G133" s="26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888.234879345979</v>
      </c>
      <c r="H133" s="26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888.234879345979</v>
      </c>
      <c r="I133" s="26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888.234879345979</v>
      </c>
      <c r="J133" s="26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888.234879345979</v>
      </c>
      <c r="K133" s="26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888.234879345979</v>
      </c>
      <c r="L133" s="26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888.234879345979</v>
      </c>
      <c r="M133" s="26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888.234879345979</v>
      </c>
      <c r="N133" s="7" t="n">
        <f aca="false">SUM(B133:M133)</f>
        <v>10658.8185521518</v>
      </c>
      <c r="O133" s="27" t="n">
        <f aca="false">MAX(B133:M133)</f>
        <v>888.234879345979</v>
      </c>
      <c r="P133" s="15" t="n">
        <f aca="false">O133/parametros_recargas!$B$6</f>
        <v>5.92156586230653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13.2035760659474</v>
      </c>
      <c r="C134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13.2035760659474</v>
      </c>
      <c r="D134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13.2035760659474</v>
      </c>
      <c r="E134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13.2035760659474</v>
      </c>
      <c r="F134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13.2035760659474</v>
      </c>
      <c r="G134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13.2035760659474</v>
      </c>
      <c r="H134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13.2035760659474</v>
      </c>
      <c r="I134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13.2035760659474</v>
      </c>
      <c r="J134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13.2035760659474</v>
      </c>
      <c r="K134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13.2035760659474</v>
      </c>
      <c r="L134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13.2035760659474</v>
      </c>
      <c r="M134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13.2035760659474</v>
      </c>
      <c r="N134" s="7" t="n">
        <f aca="false">SUM(B134:M134)</f>
        <v>158.442912791368</v>
      </c>
      <c r="O134" s="27" t="n">
        <f aca="false">MAX(B134:M134)</f>
        <v>13.2035760659474</v>
      </c>
      <c r="P134" s="15" t="n">
        <f aca="false">O134/parametros_recargas!$B$6</f>
        <v>0.088023840439649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472.500944872011</v>
      </c>
      <c r="C135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472.500944872011</v>
      </c>
      <c r="D135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472.500944872011</v>
      </c>
      <c r="E135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472.500944872011</v>
      </c>
      <c r="F135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472.500944872011</v>
      </c>
      <c r="G135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472.500944872011</v>
      </c>
      <c r="H135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472.500944872011</v>
      </c>
      <c r="I135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472.500944872011</v>
      </c>
      <c r="J135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472.500944872011</v>
      </c>
      <c r="K135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472.500944872011</v>
      </c>
      <c r="L135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472.500944872011</v>
      </c>
      <c r="M135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472.500944872011</v>
      </c>
      <c r="N135" s="7" t="n">
        <f aca="false">SUM(B135:M135)</f>
        <v>5670.01133846413</v>
      </c>
      <c r="O135" s="27" t="n">
        <f aca="false">MAX(B135:M135)</f>
        <v>472.500944872011</v>
      </c>
      <c r="P135" s="15" t="n">
        <f aca="false">O135/parametros_recargas!$B$6</f>
        <v>3.15000629914674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216.373863048336</v>
      </c>
      <c r="C136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216.373863048336</v>
      </c>
      <c r="D136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216.373863048336</v>
      </c>
      <c r="E136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216.373863048336</v>
      </c>
      <c r="F136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216.373863048336</v>
      </c>
      <c r="G136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216.373863048336</v>
      </c>
      <c r="H136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216.373863048336</v>
      </c>
      <c r="I136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216.373863048336</v>
      </c>
      <c r="J136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216.373863048336</v>
      </c>
      <c r="K136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216.373863048336</v>
      </c>
      <c r="L136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216.373863048336</v>
      </c>
      <c r="M136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216.373863048336</v>
      </c>
      <c r="N136" s="7" t="n">
        <f aca="false">SUM(B136:M136)</f>
        <v>2596.48635658004</v>
      </c>
      <c r="O136" s="27" t="n">
        <f aca="false">MAX(B136:M136)</f>
        <v>216.373863048336</v>
      </c>
      <c r="P136" s="15" t="n">
        <f aca="false">O136/parametros_recargas!$B$6</f>
        <v>1.44249242032224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8.60236815538871</v>
      </c>
      <c r="C137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8.60236815538871</v>
      </c>
      <c r="D137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8.60236815538871</v>
      </c>
      <c r="E137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8.60236815538871</v>
      </c>
      <c r="F137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8.60236815538871</v>
      </c>
      <c r="G137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8.60236815538871</v>
      </c>
      <c r="H137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8.60236815538871</v>
      </c>
      <c r="I137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8.60236815538871</v>
      </c>
      <c r="J137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8.60236815538871</v>
      </c>
      <c r="K137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8.60236815538871</v>
      </c>
      <c r="L137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8.60236815538871</v>
      </c>
      <c r="M137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8.60236815538871</v>
      </c>
      <c r="N137" s="7" t="n">
        <f aca="false">SUM(B137:M137)</f>
        <v>103.228417864664</v>
      </c>
      <c r="O137" s="27" t="n">
        <f aca="false">MAX(B137:M137)</f>
        <v>8.60236815538871</v>
      </c>
      <c r="P137" s="15" t="n">
        <f aca="false">O137/parametros_recargas!$B$6</f>
        <v>0.0573491210359247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8907.89173724451</v>
      </c>
      <c r="C138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8907.89173724451</v>
      </c>
      <c r="D138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8907.89173724451</v>
      </c>
      <c r="E138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8907.89173724451</v>
      </c>
      <c r="F138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8907.89173724451</v>
      </c>
      <c r="G138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8907.89173724451</v>
      </c>
      <c r="H138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8907.89173724451</v>
      </c>
      <c r="I138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8907.89173724451</v>
      </c>
      <c r="J138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8907.89173724451</v>
      </c>
      <c r="K138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8907.89173724451</v>
      </c>
      <c r="L138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8907.89173724451</v>
      </c>
      <c r="M138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8907.89173724451</v>
      </c>
      <c r="N138" s="7" t="n">
        <f aca="false">SUM(B138:M138)</f>
        <v>106894.700846934</v>
      </c>
      <c r="O138" s="27" t="n">
        <f aca="false">MAX(B138:M138)</f>
        <v>8907.89173724451</v>
      </c>
      <c r="P138" s="15" t="n">
        <f aca="false">O138/parametros_recargas!$B$6</f>
        <v>59.3859449149634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697.477176075736</v>
      </c>
      <c r="C139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697.477176075736</v>
      </c>
      <c r="D139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697.477176075736</v>
      </c>
      <c r="E139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697.477176075736</v>
      </c>
      <c r="F139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697.477176075736</v>
      </c>
      <c r="G139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697.477176075736</v>
      </c>
      <c r="H139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697.477176075736</v>
      </c>
      <c r="I139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697.477176075736</v>
      </c>
      <c r="J139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697.477176075736</v>
      </c>
      <c r="K139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697.477176075736</v>
      </c>
      <c r="L139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697.477176075736</v>
      </c>
      <c r="M139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697.477176075736</v>
      </c>
      <c r="N139" s="7" t="n">
        <f aca="false">SUM(B139:M139)</f>
        <v>8369.72611290883</v>
      </c>
      <c r="O139" s="27" t="n">
        <f aca="false">MAX(B139:M139)</f>
        <v>697.477176075736</v>
      </c>
      <c r="P139" s="15" t="n">
        <f aca="false">O139/parametros_recargas!$B$6</f>
        <v>4.64984784050491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8.89555236952574</v>
      </c>
      <c r="C140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8.89555236952574</v>
      </c>
      <c r="D140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8.89555236952574</v>
      </c>
      <c r="E140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8.89555236952574</v>
      </c>
      <c r="F140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8.89555236952574</v>
      </c>
      <c r="G140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8.89555236952574</v>
      </c>
      <c r="H140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8.89555236952574</v>
      </c>
      <c r="I140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8.89555236952574</v>
      </c>
      <c r="J140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8.89555236952574</v>
      </c>
      <c r="K140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8.89555236952574</v>
      </c>
      <c r="L140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8.89555236952574</v>
      </c>
      <c r="M140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8.89555236952574</v>
      </c>
      <c r="N140" s="7" t="n">
        <f aca="false">SUM(B140:M140)</f>
        <v>106.746628434309</v>
      </c>
      <c r="O140" s="27" t="n">
        <f aca="false">MAX(B140:M140)</f>
        <v>8.89555236952574</v>
      </c>
      <c r="P140" s="15" t="n">
        <f aca="false">O140/parametros_recargas!$B$6</f>
        <v>0.0593036824635049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2197.80980484789</v>
      </c>
      <c r="C141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2197.80980484789</v>
      </c>
      <c r="D141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2197.80980484789</v>
      </c>
      <c r="E141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2197.80980484789</v>
      </c>
      <c r="F141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2197.80980484789</v>
      </c>
      <c r="G141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2197.80980484789</v>
      </c>
      <c r="H141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2197.80980484789</v>
      </c>
      <c r="I141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2197.80980484789</v>
      </c>
      <c r="J141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2197.80980484789</v>
      </c>
      <c r="K141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2197.80980484789</v>
      </c>
      <c r="L141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2197.80980484789</v>
      </c>
      <c r="M141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2197.80980484789</v>
      </c>
      <c r="N141" s="7" t="n">
        <f aca="false">SUM(B141:M141)</f>
        <v>26373.7176581746</v>
      </c>
      <c r="O141" s="27" t="n">
        <f aca="false">MAX(B141:M141)</f>
        <v>2197.80980484789</v>
      </c>
      <c r="P141" s="15" t="n">
        <f aca="false">O141/parametros_recargas!$B$6</f>
        <v>14.6520653656526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2050.63824978433</v>
      </c>
      <c r="C142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2050.63824978433</v>
      </c>
      <c r="D142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2050.63824978433</v>
      </c>
      <c r="E142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2050.63824978433</v>
      </c>
      <c r="F142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2050.63824978433</v>
      </c>
      <c r="G142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2050.63824978433</v>
      </c>
      <c r="H142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2050.63824978433</v>
      </c>
      <c r="I142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2050.63824978433</v>
      </c>
      <c r="J142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2050.63824978433</v>
      </c>
      <c r="K142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2050.63824978433</v>
      </c>
      <c r="L142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2050.63824978433</v>
      </c>
      <c r="M142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2050.63824978433</v>
      </c>
      <c r="N142" s="7" t="n">
        <f aca="false">SUM(B142:M142)</f>
        <v>24607.6589974119</v>
      </c>
      <c r="O142" s="27" t="n">
        <f aca="false">MAX(B142:M142)</f>
        <v>2050.63824978433</v>
      </c>
      <c r="P142" s="15" t="n">
        <f aca="false">O142/parametros_recargas!$B$6</f>
        <v>13.6709216652288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2050.63824978433</v>
      </c>
      <c r="C143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2050.63824978433</v>
      </c>
      <c r="D143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2050.63824978433</v>
      </c>
      <c r="E143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2050.63824978433</v>
      </c>
      <c r="F143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2050.63824978433</v>
      </c>
      <c r="G143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2050.63824978433</v>
      </c>
      <c r="H143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2050.63824978433</v>
      </c>
      <c r="I143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2050.63824978433</v>
      </c>
      <c r="J143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2050.63824978433</v>
      </c>
      <c r="K143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2050.63824978433</v>
      </c>
      <c r="L143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2050.63824978433</v>
      </c>
      <c r="M143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2050.63824978433</v>
      </c>
      <c r="N143" s="7" t="n">
        <f aca="false">SUM(B143:M143)</f>
        <v>24607.6589974119</v>
      </c>
      <c r="O143" s="27" t="n">
        <f aca="false">MAX(B143:M143)</f>
        <v>2050.63824978433</v>
      </c>
      <c r="P143" s="15" t="n">
        <f aca="false">O143/parametros_recargas!$B$6</f>
        <v>13.6709216652288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1028.02976069314</v>
      </c>
      <c r="C144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1028.02976069314</v>
      </c>
      <c r="D144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1028.02976069314</v>
      </c>
      <c r="E144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1028.02976069314</v>
      </c>
      <c r="F144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1028.02976069314</v>
      </c>
      <c r="G144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1028.02976069314</v>
      </c>
      <c r="H144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1028.02976069314</v>
      </c>
      <c r="I144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1028.02976069314</v>
      </c>
      <c r="J144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1028.02976069314</v>
      </c>
      <c r="K144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1028.02976069314</v>
      </c>
      <c r="L144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1028.02976069314</v>
      </c>
      <c r="M144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1028.02976069314</v>
      </c>
      <c r="N144" s="7" t="n">
        <f aca="false">SUM(B144:M144)</f>
        <v>12336.3571283177</v>
      </c>
      <c r="O144" s="27" t="n">
        <f aca="false">MAX(B144:M144)</f>
        <v>1028.02976069314</v>
      </c>
      <c r="P144" s="15" t="n">
        <f aca="false">O144/parametros_recargas!$B$6</f>
        <v>6.85353173795428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8882.34879345979</v>
      </c>
      <c r="C145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8882.34879345979</v>
      </c>
      <c r="D145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8882.34879345979</v>
      </c>
      <c r="E145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8882.34879345979</v>
      </c>
      <c r="F145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8882.34879345979</v>
      </c>
      <c r="G145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8882.34879345979</v>
      </c>
      <c r="H145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8882.34879345979</v>
      </c>
      <c r="I145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8882.34879345979</v>
      </c>
      <c r="J145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8882.34879345979</v>
      </c>
      <c r="K145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8882.34879345979</v>
      </c>
      <c r="L145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8882.34879345979</v>
      </c>
      <c r="M145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8882.34879345979</v>
      </c>
      <c r="N145" s="7" t="n">
        <f aca="false">SUM(B145:M145)</f>
        <v>106588.185521517</v>
      </c>
      <c r="O145" s="27" t="n">
        <f aca="false">MAX(B145:M145)</f>
        <v>8882.34879345979</v>
      </c>
      <c r="P145" s="15" t="n">
        <f aca="false">O145/parametros_recargas!$B$6</f>
        <v>59.2156586230653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13.2035760659474</v>
      </c>
      <c r="C146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13.2035760659474</v>
      </c>
      <c r="D146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13.2035760659474</v>
      </c>
      <c r="E146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13.2035760659474</v>
      </c>
      <c r="F146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13.2035760659474</v>
      </c>
      <c r="G146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13.2035760659474</v>
      </c>
      <c r="H146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13.2035760659474</v>
      </c>
      <c r="I146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13.2035760659474</v>
      </c>
      <c r="J146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13.2035760659474</v>
      </c>
      <c r="K146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13.2035760659474</v>
      </c>
      <c r="L146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13.2035760659474</v>
      </c>
      <c r="M146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13.2035760659474</v>
      </c>
      <c r="N146" s="7" t="n">
        <f aca="false">SUM(B146:M146)</f>
        <v>158.442912791368</v>
      </c>
      <c r="O146" s="27" t="n">
        <f aca="false">MAX(B146:M146)</f>
        <v>13.2035760659474</v>
      </c>
      <c r="P146" s="15" t="n">
        <f aca="false">O146/parametros_recargas!$B$6</f>
        <v>0.088023840439649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12.3393677187666</v>
      </c>
      <c r="C147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12.3393677187666</v>
      </c>
      <c r="D147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12.3393677187666</v>
      </c>
      <c r="E147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12.3393677187666</v>
      </c>
      <c r="F147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12.3393677187666</v>
      </c>
      <c r="G147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12.3393677187666</v>
      </c>
      <c r="H147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12.3393677187666</v>
      </c>
      <c r="I147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12.3393677187666</v>
      </c>
      <c r="J147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12.3393677187666</v>
      </c>
      <c r="K147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12.3393677187666</v>
      </c>
      <c r="L147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12.3393677187666</v>
      </c>
      <c r="M147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12.3393677187666</v>
      </c>
      <c r="N147" s="7" t="n">
        <f aca="false">SUM(B147:M147)</f>
        <v>148.0724126252</v>
      </c>
      <c r="O147" s="27" t="n">
        <f aca="false">MAX(B147:M147)</f>
        <v>12.3393677187666</v>
      </c>
      <c r="P147" s="15" t="n">
        <f aca="false">O147/parametros_recargas!$B$6</f>
        <v>0.0822624514584442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472.500944872011</v>
      </c>
      <c r="C148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472.500944872011</v>
      </c>
      <c r="D148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472.500944872011</v>
      </c>
      <c r="E148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472.500944872011</v>
      </c>
      <c r="F148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472.500944872011</v>
      </c>
      <c r="G148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472.500944872011</v>
      </c>
      <c r="H148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472.500944872011</v>
      </c>
      <c r="I148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472.500944872011</v>
      </c>
      <c r="J148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472.500944872011</v>
      </c>
      <c r="K148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472.500944872011</v>
      </c>
      <c r="L148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472.500944872011</v>
      </c>
      <c r="M148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472.500944872011</v>
      </c>
      <c r="N148" s="7" t="n">
        <f aca="false">SUM(B148:M148)</f>
        <v>5670.01133846413</v>
      </c>
      <c r="O148" s="27" t="n">
        <f aca="false">MAX(B148:M148)</f>
        <v>472.500944872011</v>
      </c>
      <c r="P148" s="15" t="n">
        <f aca="false">O148/parametros_recargas!$B$6</f>
        <v>3.15000629914674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259.648635658004</v>
      </c>
      <c r="C149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259.648635658004</v>
      </c>
      <c r="D149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259.648635658004</v>
      </c>
      <c r="E149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259.648635658004</v>
      </c>
      <c r="F149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259.648635658004</v>
      </c>
      <c r="G149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259.648635658004</v>
      </c>
      <c r="H149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259.648635658004</v>
      </c>
      <c r="I149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259.648635658004</v>
      </c>
      <c r="J149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259.648635658004</v>
      </c>
      <c r="K149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259.648635658004</v>
      </c>
      <c r="L149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259.648635658004</v>
      </c>
      <c r="M149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259.648635658004</v>
      </c>
      <c r="N149" s="7" t="n">
        <f aca="false">SUM(B149:M149)</f>
        <v>3115.78362789605</v>
      </c>
      <c r="O149" s="27" t="n">
        <f aca="false">MAX(B149:M149)</f>
        <v>259.648635658004</v>
      </c>
      <c r="P149" s="15" t="n">
        <f aca="false">O149/parametros_recargas!$B$6</f>
        <v>1.73099090438669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8907.89173724451</v>
      </c>
      <c r="C150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8907.89173724451</v>
      </c>
      <c r="D150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8907.89173724451</v>
      </c>
      <c r="E150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8907.89173724451</v>
      </c>
      <c r="F150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8907.89173724451</v>
      </c>
      <c r="G150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8907.89173724451</v>
      </c>
      <c r="H150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8907.89173724451</v>
      </c>
      <c r="I150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8907.89173724451</v>
      </c>
      <c r="J150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8907.89173724451</v>
      </c>
      <c r="K150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8907.89173724451</v>
      </c>
      <c r="L150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8907.89173724451</v>
      </c>
      <c r="M150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8907.89173724451</v>
      </c>
      <c r="N150" s="7" t="n">
        <f aca="false">SUM(B150:M150)</f>
        <v>106894.700846934</v>
      </c>
      <c r="O150" s="27" t="n">
        <f aca="false">MAX(B150:M150)</f>
        <v>8907.89173724451</v>
      </c>
      <c r="P150" s="15" t="n">
        <f aca="false">O150/parametros_recargas!$B$6</f>
        <v>59.3859449149634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8907.89173724451</v>
      </c>
      <c r="C151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8907.89173724451</v>
      </c>
      <c r="D151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8907.89173724451</v>
      </c>
      <c r="E151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8907.89173724451</v>
      </c>
      <c r="F151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8907.89173724451</v>
      </c>
      <c r="G151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8907.89173724451</v>
      </c>
      <c r="H151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8907.89173724451</v>
      </c>
      <c r="I151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8907.89173724451</v>
      </c>
      <c r="J151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8907.89173724451</v>
      </c>
      <c r="K151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8907.89173724451</v>
      </c>
      <c r="L151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8907.89173724451</v>
      </c>
      <c r="M151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8907.89173724451</v>
      </c>
      <c r="N151" s="7" t="n">
        <f aca="false">SUM(B151:M151)</f>
        <v>106894.700846934</v>
      </c>
      <c r="O151" s="27" t="n">
        <f aca="false">MAX(B151:M151)</f>
        <v>8907.89173724451</v>
      </c>
      <c r="P151" s="15" t="n">
        <f aca="false">O151/parametros_recargas!$B$6</f>
        <v>59.3859449149634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697.477176075736</v>
      </c>
      <c r="C152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697.477176075736</v>
      </c>
      <c r="D152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697.477176075736</v>
      </c>
      <c r="E152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697.477176075736</v>
      </c>
      <c r="F152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697.477176075736</v>
      </c>
      <c r="G152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697.477176075736</v>
      </c>
      <c r="H152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697.477176075736</v>
      </c>
      <c r="I152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697.477176075736</v>
      </c>
      <c r="J152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697.477176075736</v>
      </c>
      <c r="K152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697.477176075736</v>
      </c>
      <c r="L152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697.477176075736</v>
      </c>
      <c r="M152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697.477176075736</v>
      </c>
      <c r="N152" s="7" t="n">
        <f aca="false">SUM(B152:M152)</f>
        <v>8369.72611290883</v>
      </c>
      <c r="O152" s="27" t="n">
        <f aca="false">MAX(B152:M152)</f>
        <v>697.477176075736</v>
      </c>
      <c r="P152" s="15" t="n">
        <f aca="false">O152/parametros_recargas!$B$6</f>
        <v>4.64984784050491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8.60236815538871</v>
      </c>
      <c r="C153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8.60236815538871</v>
      </c>
      <c r="D153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8.60236815538871</v>
      </c>
      <c r="E153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8.60236815538871</v>
      </c>
      <c r="F153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8.60236815538871</v>
      </c>
      <c r="G153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8.60236815538871</v>
      </c>
      <c r="H153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8.60236815538871</v>
      </c>
      <c r="I153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8.60236815538871</v>
      </c>
      <c r="J153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8.60236815538871</v>
      </c>
      <c r="K153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8.60236815538871</v>
      </c>
      <c r="L153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8.60236815538871</v>
      </c>
      <c r="M153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8.60236815538871</v>
      </c>
      <c r="N153" s="7" t="n">
        <f aca="false">SUM(B153:M153)</f>
        <v>103.228417864664</v>
      </c>
      <c r="O153" s="27" t="n">
        <f aca="false">MAX(B153:M153)</f>
        <v>8.60236815538871</v>
      </c>
      <c r="P153" s="15" t="n">
        <f aca="false">O153/parametros_recargas!$B$6</f>
        <v>0.0573491210359247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631.653921001508</v>
      </c>
      <c r="C154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631.653921001508</v>
      </c>
      <c r="D154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631.653921001508</v>
      </c>
      <c r="E154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631.653921001508</v>
      </c>
      <c r="F154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631.653921001508</v>
      </c>
      <c r="G154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631.653921001508</v>
      </c>
      <c r="H154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631.653921001508</v>
      </c>
      <c r="I154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631.653921001508</v>
      </c>
      <c r="J154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631.653921001508</v>
      </c>
      <c r="K154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631.653921001508</v>
      </c>
      <c r="L154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631.653921001508</v>
      </c>
      <c r="M154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631.653921001508</v>
      </c>
      <c r="N154" s="7" t="n">
        <f aca="false">SUM(B154:M154)</f>
        <v>7579.8470520181</v>
      </c>
      <c r="O154" s="27" t="n">
        <f aca="false">MAX(B154:M154)</f>
        <v>631.653921001508</v>
      </c>
      <c r="P154" s="15" t="n">
        <f aca="false">O154/parametros_recargas!$B$6</f>
        <v>4.21102614001006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10280.2976069314</v>
      </c>
      <c r="C155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10280.2976069314</v>
      </c>
      <c r="D155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10280.2976069314</v>
      </c>
      <c r="E155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10280.2976069314</v>
      </c>
      <c r="F155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10280.2976069314</v>
      </c>
      <c r="G155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10280.2976069314</v>
      </c>
      <c r="H155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10280.2976069314</v>
      </c>
      <c r="I155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10280.2976069314</v>
      </c>
      <c r="J155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10280.2976069314</v>
      </c>
      <c r="K155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10280.2976069314</v>
      </c>
      <c r="L155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10280.2976069314</v>
      </c>
      <c r="M155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10280.2976069314</v>
      </c>
      <c r="N155" s="7" t="n">
        <f aca="false">SUM(B155:M155)</f>
        <v>123363.571283177</v>
      </c>
      <c r="O155" s="27" t="n">
        <f aca="false">MAX(B155:M155)</f>
        <v>10280.2976069314</v>
      </c>
      <c r="P155" s="15" t="n">
        <f aca="false">O155/parametros_recargas!$B$6</f>
        <v>68.5353173795428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10280.2976069314</v>
      </c>
      <c r="C156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10280.2976069314</v>
      </c>
      <c r="D156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10280.2976069314</v>
      </c>
      <c r="E156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10280.2976069314</v>
      </c>
      <c r="F156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10280.2976069314</v>
      </c>
      <c r="G156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10280.2976069314</v>
      </c>
      <c r="H156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10280.2976069314</v>
      </c>
      <c r="I156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10280.2976069314</v>
      </c>
      <c r="J156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10280.2976069314</v>
      </c>
      <c r="K156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10280.2976069314</v>
      </c>
      <c r="L156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10280.2976069314</v>
      </c>
      <c r="M156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10280.2976069314</v>
      </c>
      <c r="N156" s="7" t="n">
        <f aca="false">SUM(B156:M156)</f>
        <v>123363.571283177</v>
      </c>
      <c r="O156" s="27" t="n">
        <f aca="false">MAX(B156:M156)</f>
        <v>10280.2976069314</v>
      </c>
      <c r="P156" s="15" t="n">
        <f aca="false">O156/parametros_recargas!$B$6</f>
        <v>68.5353173795428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807.998884351291</v>
      </c>
      <c r="C157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807.998884351291</v>
      </c>
      <c r="D157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807.998884351291</v>
      </c>
      <c r="E157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807.998884351291</v>
      </c>
      <c r="F157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807.998884351291</v>
      </c>
      <c r="G157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807.998884351291</v>
      </c>
      <c r="H157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807.998884351291</v>
      </c>
      <c r="I157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807.998884351291</v>
      </c>
      <c r="J157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807.998884351291</v>
      </c>
      <c r="K157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807.998884351291</v>
      </c>
      <c r="L157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807.998884351291</v>
      </c>
      <c r="M157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807.998884351291</v>
      </c>
      <c r="N157" s="7" t="n">
        <f aca="false">SUM(B157:M157)</f>
        <v>9695.98661221549</v>
      </c>
      <c r="O157" s="27" t="n">
        <f aca="false">MAX(B157:M157)</f>
        <v>807.998884351291</v>
      </c>
      <c r="P157" s="15" t="n">
        <f aca="false">O157/parametros_recargas!$B$6</f>
        <v>5.38665922900861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6" t="n">
        <f aca="false">'Plan mensual'!D157</f>
        <v>351.971739903438</v>
      </c>
      <c r="C158" s="26" t="n">
        <f aca="false">'Plan mensual'!E157</f>
        <v>351.971739903438</v>
      </c>
      <c r="D158" s="26" t="n">
        <f aca="false">'Plan mensual'!F157</f>
        <v>351.971739903438</v>
      </c>
      <c r="E158" s="26" t="n">
        <f aca="false">'Plan mensual'!G157</f>
        <v>351.971739903438</v>
      </c>
      <c r="F158" s="26" t="n">
        <f aca="false">'Plan mensual'!H157</f>
        <v>351.971739903438</v>
      </c>
      <c r="G158" s="26" t="n">
        <f aca="false">'Plan mensual'!I157</f>
        <v>351.971739903438</v>
      </c>
      <c r="H158" s="26" t="n">
        <f aca="false">'Plan mensual'!J157</f>
        <v>351.971739903438</v>
      </c>
      <c r="I158" s="26" t="n">
        <f aca="false">'Plan mensual'!K157</f>
        <v>351.971739903438</v>
      </c>
      <c r="J158" s="26" t="n">
        <f aca="false">'Plan mensual'!L157</f>
        <v>351.971739903438</v>
      </c>
      <c r="K158" s="26" t="n">
        <f aca="false">'Plan mensual'!M157</f>
        <v>351.971739903438</v>
      </c>
      <c r="L158" s="26" t="n">
        <f aca="false">'Plan mensual'!N157</f>
        <v>351.971739903438</v>
      </c>
      <c r="M158" s="26" t="n">
        <f aca="false">'Plan mensual'!O157</f>
        <v>351.971739903438</v>
      </c>
      <c r="N158" s="7" t="n">
        <f aca="false">SUM(B158:M158)</f>
        <v>4223.66087884125</v>
      </c>
      <c r="O158" s="27" t="n">
        <f aca="false">MAX(B158:M158)</f>
        <v>351.971739903438</v>
      </c>
      <c r="P158" s="15" t="n">
        <f aca="false">O158/parametros_recargas!$B$6</f>
        <v>2.34647826602292</v>
      </c>
    </row>
    <row r="161" customFormat="false" ht="23.85" hidden="false" customHeight="false" outlineLevel="0" collapsed="false">
      <c r="A161" s="3" t="s">
        <v>321</v>
      </c>
      <c r="B161" s="3" t="s">
        <v>133</v>
      </c>
      <c r="C161" s="3" t="s">
        <v>134</v>
      </c>
      <c r="D161" s="3" t="s">
        <v>135</v>
      </c>
      <c r="E161" s="3" t="s">
        <v>136</v>
      </c>
      <c r="F161" s="3" t="s">
        <v>137</v>
      </c>
      <c r="G161" s="3" t="s">
        <v>138</v>
      </c>
      <c r="H161" s="3" t="s">
        <v>139</v>
      </c>
      <c r="I161" s="3" t="s">
        <v>140</v>
      </c>
      <c r="J161" s="3" t="s">
        <v>141</v>
      </c>
      <c r="K161" s="3" t="s">
        <v>142</v>
      </c>
      <c r="L161" s="3" t="s">
        <v>143</v>
      </c>
      <c r="M161" s="3" t="s">
        <v>144</v>
      </c>
      <c r="N161" s="3" t="s">
        <v>314</v>
      </c>
      <c r="O161" s="3" t="s">
        <v>315</v>
      </c>
      <c r="P161" s="3" t="s">
        <v>316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6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13985.4939642785</v>
      </c>
      <c r="C162" s="26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13985.4939642785</v>
      </c>
      <c r="D162" s="26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13985.4939642785</v>
      </c>
      <c r="E162" s="26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13985.4939642785</v>
      </c>
      <c r="F162" s="26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13985.4939642785</v>
      </c>
      <c r="G162" s="26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13985.4939642785</v>
      </c>
      <c r="H162" s="26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13985.4939642785</v>
      </c>
      <c r="I162" s="26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13985.4939642785</v>
      </c>
      <c r="J162" s="26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13985.4939642785</v>
      </c>
      <c r="K162" s="26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13985.4939642785</v>
      </c>
      <c r="L162" s="26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13985.4939642785</v>
      </c>
      <c r="M162" s="26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13985.4939642785</v>
      </c>
      <c r="N162" s="7" t="n">
        <f aca="false">SUM(B162:M162)</f>
        <v>167825.927571342</v>
      </c>
      <c r="O162" s="27" t="n">
        <f aca="false">MAX(B162:M162)</f>
        <v>13985.4939642785</v>
      </c>
      <c r="P162" s="15" t="n">
        <f aca="false">O162/parametros_recargas!$B$6</f>
        <v>93.2366264285236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6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13985.4939642785</v>
      </c>
      <c r="C163" s="26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13985.4939642785</v>
      </c>
      <c r="D163" s="26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13985.4939642785</v>
      </c>
      <c r="E163" s="26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13985.4939642785</v>
      </c>
      <c r="F163" s="26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13985.4939642785</v>
      </c>
      <c r="G163" s="26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13985.4939642785</v>
      </c>
      <c r="H163" s="26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13985.4939642785</v>
      </c>
      <c r="I163" s="26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13985.4939642785</v>
      </c>
      <c r="J163" s="26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13985.4939642785</v>
      </c>
      <c r="K163" s="26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13985.4939642785</v>
      </c>
      <c r="L163" s="26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13985.4939642785</v>
      </c>
      <c r="M163" s="26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13985.4939642785</v>
      </c>
      <c r="N163" s="7" t="n">
        <f aca="false">SUM(B163:M163)</f>
        <v>167825.927571342</v>
      </c>
      <c r="O163" s="27" t="n">
        <f aca="false">MAX(B163:M163)</f>
        <v>13985.4939642785</v>
      </c>
      <c r="P163" s="15" t="n">
        <f aca="false">O163/parametros_recargas!$B$6</f>
        <v>93.2366264285236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6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10310.6221942749</v>
      </c>
      <c r="C164" s="26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10310.6221942749</v>
      </c>
      <c r="D164" s="26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10310.6221942749</v>
      </c>
      <c r="E164" s="26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10310.6221942749</v>
      </c>
      <c r="F164" s="26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10310.6221942749</v>
      </c>
      <c r="G164" s="26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10310.6221942749</v>
      </c>
      <c r="H164" s="26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10310.6221942749</v>
      </c>
      <c r="I164" s="26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10310.6221942749</v>
      </c>
      <c r="J164" s="26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10310.6221942749</v>
      </c>
      <c r="K164" s="26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10310.6221942749</v>
      </c>
      <c r="L164" s="26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10310.6221942749</v>
      </c>
      <c r="M164" s="26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10310.6221942749</v>
      </c>
      <c r="N164" s="7" t="n">
        <f aca="false">SUM(B164:M164)</f>
        <v>123727.466331299</v>
      </c>
      <c r="O164" s="27" t="n">
        <f aca="false">MAX(B164:M164)</f>
        <v>10310.6221942749</v>
      </c>
      <c r="P164" s="15" t="n">
        <f aca="false">O164/parametros_recargas!$B$6</f>
        <v>68.7374812951661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6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1213.01437579705</v>
      </c>
      <c r="C165" s="26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1213.01437579705</v>
      </c>
      <c r="D165" s="26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1213.01437579705</v>
      </c>
      <c r="E165" s="26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1213.01437579705</v>
      </c>
      <c r="F165" s="26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1213.01437579705</v>
      </c>
      <c r="G165" s="26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1213.01437579705</v>
      </c>
      <c r="H165" s="26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1213.01437579705</v>
      </c>
      <c r="I165" s="26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1213.01437579705</v>
      </c>
      <c r="J165" s="26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1213.01437579705</v>
      </c>
      <c r="K165" s="26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1213.01437579705</v>
      </c>
      <c r="L165" s="26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1213.01437579705</v>
      </c>
      <c r="M165" s="26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1213.01437579705</v>
      </c>
      <c r="N165" s="7" t="n">
        <f aca="false">SUM(B165:M165)</f>
        <v>14556.1725095646</v>
      </c>
      <c r="O165" s="27" t="n">
        <f aca="false">MAX(B165:M165)</f>
        <v>1213.01437579705</v>
      </c>
      <c r="P165" s="15" t="n">
        <f aca="false">O165/parametros_recargas!$B$6</f>
        <v>8.08676250531366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17.4785255401079</v>
      </c>
      <c r="C166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17.4785255401079</v>
      </c>
      <c r="D166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17.4785255401079</v>
      </c>
      <c r="E166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17.4785255401079</v>
      </c>
      <c r="F166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17.4785255401079</v>
      </c>
      <c r="G166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17.4785255401079</v>
      </c>
      <c r="H166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17.4785255401079</v>
      </c>
      <c r="I166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17.4785255401079</v>
      </c>
      <c r="J166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17.4785255401079</v>
      </c>
      <c r="K166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17.4785255401079</v>
      </c>
      <c r="L166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17.4785255401079</v>
      </c>
      <c r="M166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17.4785255401079</v>
      </c>
      <c r="N166" s="7" t="n">
        <f aca="false">SUM(B166:M166)</f>
        <v>209.742306481294</v>
      </c>
      <c r="O166" s="27" t="n">
        <f aca="false">MAX(B166:M166)</f>
        <v>17.4785255401079</v>
      </c>
      <c r="P166" s="15" t="n">
        <f aca="false">O166/parametros_recargas!$B$6</f>
        <v>0.116523503600719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625.362259100471</v>
      </c>
      <c r="C167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625.362259100471</v>
      </c>
      <c r="D167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625.362259100471</v>
      </c>
      <c r="E167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625.362259100471</v>
      </c>
      <c r="F167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625.362259100471</v>
      </c>
      <c r="G167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625.362259100471</v>
      </c>
      <c r="H167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625.362259100471</v>
      </c>
      <c r="I167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625.362259100471</v>
      </c>
      <c r="J167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625.362259100471</v>
      </c>
      <c r="K167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625.362259100471</v>
      </c>
      <c r="L167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625.362259100471</v>
      </c>
      <c r="M167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625.362259100471</v>
      </c>
      <c r="N167" s="7" t="n">
        <f aca="false">SUM(B167:M167)</f>
        <v>7504.34710920565</v>
      </c>
      <c r="O167" s="27" t="n">
        <f aca="false">MAX(B167:M167)</f>
        <v>625.362259100471</v>
      </c>
      <c r="P167" s="15" t="n">
        <f aca="false">O167/parametros_recargas!$B$6</f>
        <v>4.16908172733647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287.982356042642</v>
      </c>
      <c r="C168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287.982356042642</v>
      </c>
      <c r="D168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287.982356042642</v>
      </c>
      <c r="E168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287.982356042642</v>
      </c>
      <c r="F168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287.982356042642</v>
      </c>
      <c r="G168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287.982356042642</v>
      </c>
      <c r="H168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287.982356042642</v>
      </c>
      <c r="I168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287.982356042642</v>
      </c>
      <c r="J168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287.982356042642</v>
      </c>
      <c r="K168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287.982356042642</v>
      </c>
      <c r="L168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287.982356042642</v>
      </c>
      <c r="M168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287.982356042642</v>
      </c>
      <c r="N168" s="7" t="n">
        <f aca="false">SUM(B168:M168)</f>
        <v>3455.7882725117</v>
      </c>
      <c r="O168" s="27" t="n">
        <f aca="false">MAX(B168:M168)</f>
        <v>287.982356042642</v>
      </c>
      <c r="P168" s="15" t="n">
        <f aca="false">O168/parametros_recargas!$B$6</f>
        <v>1.91988237361761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11.3107432627464</v>
      </c>
      <c r="C169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11.3107432627464</v>
      </c>
      <c r="D169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11.3107432627464</v>
      </c>
      <c r="E169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11.3107432627464</v>
      </c>
      <c r="F169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11.3107432627464</v>
      </c>
      <c r="G169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11.3107432627464</v>
      </c>
      <c r="H169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11.3107432627464</v>
      </c>
      <c r="I169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11.3107432627464</v>
      </c>
      <c r="J169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11.3107432627464</v>
      </c>
      <c r="K169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11.3107432627464</v>
      </c>
      <c r="L169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11.3107432627464</v>
      </c>
      <c r="M169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11.3107432627464</v>
      </c>
      <c r="N169" s="7" t="n">
        <f aca="false">SUM(B169:M169)</f>
        <v>135.728919152956</v>
      </c>
      <c r="O169" s="27" t="n">
        <f aca="false">MAX(B169:M169)</f>
        <v>11.3107432627464</v>
      </c>
      <c r="P169" s="15" t="n">
        <f aca="false">O169/parametros_recargas!$B$6</f>
        <v>0.0754049550849757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12162.9593079565</v>
      </c>
      <c r="C170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12162.9593079565</v>
      </c>
      <c r="D170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12162.9593079565</v>
      </c>
      <c r="E170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12162.9593079565</v>
      </c>
      <c r="F170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12162.9593079565</v>
      </c>
      <c r="G170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12162.9593079565</v>
      </c>
      <c r="H170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12162.9593079565</v>
      </c>
      <c r="I170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12162.9593079565</v>
      </c>
      <c r="J170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12162.9593079565</v>
      </c>
      <c r="K170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12162.9593079565</v>
      </c>
      <c r="L170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12162.9593079565</v>
      </c>
      <c r="M170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12162.9593079565</v>
      </c>
      <c r="N170" s="7" t="n">
        <f aca="false">SUM(B170:M170)</f>
        <v>145955.511695478</v>
      </c>
      <c r="O170" s="27" t="n">
        <f aca="false">MAX(B170:M170)</f>
        <v>12162.9593079565</v>
      </c>
      <c r="P170" s="15" t="n">
        <f aca="false">O170/parametros_recargas!$B$6</f>
        <v>81.0863953863767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924.655358405859</v>
      </c>
      <c r="C171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924.655358405859</v>
      </c>
      <c r="D171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924.655358405859</v>
      </c>
      <c r="E171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924.655358405859</v>
      </c>
      <c r="F171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924.655358405859</v>
      </c>
      <c r="G171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924.655358405859</v>
      </c>
      <c r="H171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924.655358405859</v>
      </c>
      <c r="I171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924.655358405859</v>
      </c>
      <c r="J171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924.655358405859</v>
      </c>
      <c r="K171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924.655358405859</v>
      </c>
      <c r="L171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924.655358405859</v>
      </c>
      <c r="M171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924.655358405859</v>
      </c>
      <c r="N171" s="7" t="n">
        <f aca="false">SUM(B171:M171)</f>
        <v>11095.8643008703</v>
      </c>
      <c r="O171" s="27" t="n">
        <f aca="false">MAX(B171:M171)</f>
        <v>924.655358405859</v>
      </c>
      <c r="P171" s="15" t="n">
        <f aca="false">O171/parametros_recargas!$B$6</f>
        <v>6.16436905603906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12.1476222835106</v>
      </c>
      <c r="C172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12.1476222835106</v>
      </c>
      <c r="D172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12.1476222835106</v>
      </c>
      <c r="E172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12.1476222835106</v>
      </c>
      <c r="F172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12.1476222835106</v>
      </c>
      <c r="G172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12.1476222835106</v>
      </c>
      <c r="H172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12.1476222835106</v>
      </c>
      <c r="I172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12.1476222835106</v>
      </c>
      <c r="J172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12.1476222835106</v>
      </c>
      <c r="K172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12.1476222835106</v>
      </c>
      <c r="L172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12.1476222835106</v>
      </c>
      <c r="M172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12.1476222835106</v>
      </c>
      <c r="N172" s="7" t="n">
        <f aca="false">SUM(B172:M172)</f>
        <v>145.771467402127</v>
      </c>
      <c r="O172" s="27" t="n">
        <f aca="false">MAX(B172:M172)</f>
        <v>12.1476222835106</v>
      </c>
      <c r="P172" s="15" t="n">
        <f aca="false">O172/parametros_recargas!$B$6</f>
        <v>0.0809841485567373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2984.70747058585</v>
      </c>
      <c r="C173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2984.70747058585</v>
      </c>
      <c r="D173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2984.70747058585</v>
      </c>
      <c r="E173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2984.70747058585</v>
      </c>
      <c r="F173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2984.70747058585</v>
      </c>
      <c r="G173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2984.70747058585</v>
      </c>
      <c r="H173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2984.70747058585</v>
      </c>
      <c r="I173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2984.70747058585</v>
      </c>
      <c r="J173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2984.70747058585</v>
      </c>
      <c r="K173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2984.70747058585</v>
      </c>
      <c r="L173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2984.70747058585</v>
      </c>
      <c r="M173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2984.70747058585</v>
      </c>
      <c r="N173" s="7" t="n">
        <f aca="false">SUM(B173:M173)</f>
        <v>35816.4896470302</v>
      </c>
      <c r="O173" s="27" t="n">
        <f aca="false">MAX(B173:M173)</f>
        <v>2984.70747058585</v>
      </c>
      <c r="P173" s="15" t="n">
        <f aca="false">O173/parametros_recargas!$B$6</f>
        <v>19.8980498039057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2793.65593411518</v>
      </c>
      <c r="C174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2793.65593411518</v>
      </c>
      <c r="D174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2793.65593411518</v>
      </c>
      <c r="E174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2793.65593411518</v>
      </c>
      <c r="F174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2793.65593411518</v>
      </c>
      <c r="G174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2793.65593411518</v>
      </c>
      <c r="H174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2793.65593411518</v>
      </c>
      <c r="I174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2793.65593411518</v>
      </c>
      <c r="J174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2793.65593411518</v>
      </c>
      <c r="K174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2793.65593411518</v>
      </c>
      <c r="L174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2793.65593411518</v>
      </c>
      <c r="M174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2793.65593411518</v>
      </c>
      <c r="N174" s="7" t="n">
        <f aca="false">SUM(B174:M174)</f>
        <v>33523.8712093821</v>
      </c>
      <c r="O174" s="27" t="n">
        <f aca="false">MAX(B174:M174)</f>
        <v>2793.65593411518</v>
      </c>
      <c r="P174" s="15" t="n">
        <f aca="false">O174/parametros_recargas!$B$6</f>
        <v>18.6243728941012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2793.65593411518</v>
      </c>
      <c r="C175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2793.65593411518</v>
      </c>
      <c r="D175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2793.65593411518</v>
      </c>
      <c r="E175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2793.65593411518</v>
      </c>
      <c r="F175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2793.65593411518</v>
      </c>
      <c r="G175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2793.65593411518</v>
      </c>
      <c r="H175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2793.65593411518</v>
      </c>
      <c r="I175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2793.65593411518</v>
      </c>
      <c r="J175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2793.65593411518</v>
      </c>
      <c r="K175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2793.65593411518</v>
      </c>
      <c r="L175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2793.65593411518</v>
      </c>
      <c r="M175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2793.65593411518</v>
      </c>
      <c r="N175" s="7" t="n">
        <f aca="false">SUM(B175:M175)</f>
        <v>33523.8712093821</v>
      </c>
      <c r="O175" s="27" t="n">
        <f aca="false">MAX(B175:M175)</f>
        <v>2793.65593411518</v>
      </c>
      <c r="P175" s="15" t="n">
        <f aca="false">O175/parametros_recargas!$B$6</f>
        <v>18.6243728941012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1398.54939642785</v>
      </c>
      <c r="C176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1398.54939642785</v>
      </c>
      <c r="D176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1398.54939642785</v>
      </c>
      <c r="E176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1398.54939642785</v>
      </c>
      <c r="F176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1398.54939642785</v>
      </c>
      <c r="G176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1398.54939642785</v>
      </c>
      <c r="H176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1398.54939642785</v>
      </c>
      <c r="I176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1398.54939642785</v>
      </c>
      <c r="J176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1398.54939642785</v>
      </c>
      <c r="K176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1398.54939642785</v>
      </c>
      <c r="L176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1398.54939642785</v>
      </c>
      <c r="M176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1398.54939642785</v>
      </c>
      <c r="N176" s="7" t="n">
        <f aca="false">SUM(B176:M176)</f>
        <v>16782.5927571342</v>
      </c>
      <c r="O176" s="27" t="n">
        <f aca="false">MAX(B176:M176)</f>
        <v>1398.54939642785</v>
      </c>
      <c r="P176" s="15" t="n">
        <f aca="false">O176/parametros_recargas!$B$6</f>
        <v>9.32366264285236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12130.1437579705</v>
      </c>
      <c r="C177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12130.1437579705</v>
      </c>
      <c r="D177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12130.1437579705</v>
      </c>
      <c r="E177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12130.1437579705</v>
      </c>
      <c r="F177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12130.1437579705</v>
      </c>
      <c r="G177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12130.1437579705</v>
      </c>
      <c r="H177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12130.1437579705</v>
      </c>
      <c r="I177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12130.1437579705</v>
      </c>
      <c r="J177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12130.1437579705</v>
      </c>
      <c r="K177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12130.1437579705</v>
      </c>
      <c r="L177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12130.1437579705</v>
      </c>
      <c r="M177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12130.1437579705</v>
      </c>
      <c r="N177" s="7" t="n">
        <f aca="false">SUM(B177:M177)</f>
        <v>145561.725095646</v>
      </c>
      <c r="O177" s="27" t="n">
        <f aca="false">MAX(B177:M177)</f>
        <v>12130.1437579705</v>
      </c>
      <c r="P177" s="15" t="n">
        <f aca="false">O177/parametros_recargas!$B$6</f>
        <v>80.8676250531366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17.4785255401079</v>
      </c>
      <c r="C178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17.4785255401079</v>
      </c>
      <c r="D178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17.4785255401079</v>
      </c>
      <c r="E178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17.4785255401079</v>
      </c>
      <c r="F178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17.4785255401079</v>
      </c>
      <c r="G178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17.4785255401079</v>
      </c>
      <c r="H178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17.4785255401079</v>
      </c>
      <c r="I178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17.4785255401079</v>
      </c>
      <c r="J178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17.4785255401079</v>
      </c>
      <c r="K178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17.4785255401079</v>
      </c>
      <c r="L178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17.4785255401079</v>
      </c>
      <c r="M178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17.4785255401079</v>
      </c>
      <c r="N178" s="7" t="n">
        <f aca="false">SUM(B178:M178)</f>
        <v>209.742306481294</v>
      </c>
      <c r="O178" s="27" t="n">
        <f aca="false">MAX(B178:M178)</f>
        <v>17.4785255401079</v>
      </c>
      <c r="P178" s="15" t="n">
        <f aca="false">O178/parametros_recargas!$B$6</f>
        <v>0.116523503600719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15.3370244459102</v>
      </c>
      <c r="C179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15.3370244459102</v>
      </c>
      <c r="D179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15.3370244459102</v>
      </c>
      <c r="E179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15.3370244459102</v>
      </c>
      <c r="F179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15.3370244459102</v>
      </c>
      <c r="G179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15.3370244459102</v>
      </c>
      <c r="H179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15.3370244459102</v>
      </c>
      <c r="I179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15.3370244459102</v>
      </c>
      <c r="J179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15.3370244459102</v>
      </c>
      <c r="K179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15.3370244459102</v>
      </c>
      <c r="L179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15.3370244459102</v>
      </c>
      <c r="M179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15.3370244459102</v>
      </c>
      <c r="N179" s="7" t="n">
        <f aca="false">SUM(B179:M179)</f>
        <v>184.044293350923</v>
      </c>
      <c r="O179" s="27" t="n">
        <f aca="false">MAX(B179:M179)</f>
        <v>15.3370244459102</v>
      </c>
      <c r="P179" s="15" t="n">
        <f aca="false">O179/parametros_recargas!$B$6</f>
        <v>0.102246829639401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625.362259100471</v>
      </c>
      <c r="C180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625.362259100471</v>
      </c>
      <c r="D180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625.362259100471</v>
      </c>
      <c r="E180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625.362259100471</v>
      </c>
      <c r="F180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625.362259100471</v>
      </c>
      <c r="G180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625.362259100471</v>
      </c>
      <c r="H180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625.362259100471</v>
      </c>
      <c r="I180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625.362259100471</v>
      </c>
      <c r="J180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625.362259100471</v>
      </c>
      <c r="K180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625.362259100471</v>
      </c>
      <c r="L180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625.362259100471</v>
      </c>
      <c r="M180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625.362259100471</v>
      </c>
      <c r="N180" s="7" t="n">
        <f aca="false">SUM(B180:M180)</f>
        <v>7504.34710920565</v>
      </c>
      <c r="O180" s="27" t="n">
        <f aca="false">MAX(B180:M180)</f>
        <v>625.362259100471</v>
      </c>
      <c r="P180" s="15" t="n">
        <f aca="false">O180/parametros_recargas!$B$6</f>
        <v>4.16908172733647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345.57882725117</v>
      </c>
      <c r="C181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345.57882725117</v>
      </c>
      <c r="D181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345.57882725117</v>
      </c>
      <c r="E181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345.57882725117</v>
      </c>
      <c r="F181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345.57882725117</v>
      </c>
      <c r="G181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345.57882725117</v>
      </c>
      <c r="H181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345.57882725117</v>
      </c>
      <c r="I181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345.57882725117</v>
      </c>
      <c r="J181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345.57882725117</v>
      </c>
      <c r="K181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345.57882725117</v>
      </c>
      <c r="L181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345.57882725117</v>
      </c>
      <c r="M181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345.57882725117</v>
      </c>
      <c r="N181" s="7" t="n">
        <f aca="false">SUM(B181:M181)</f>
        <v>4146.94592701404</v>
      </c>
      <c r="O181" s="27" t="n">
        <f aca="false">MAX(B181:M181)</f>
        <v>345.57882725117</v>
      </c>
      <c r="P181" s="15" t="n">
        <f aca="false">O181/parametros_recargas!$B$6</f>
        <v>2.30385884834114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12162.9593079565</v>
      </c>
      <c r="C182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12162.9593079565</v>
      </c>
      <c r="D182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12162.9593079565</v>
      </c>
      <c r="E182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12162.9593079565</v>
      </c>
      <c r="F182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12162.9593079565</v>
      </c>
      <c r="G182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12162.9593079565</v>
      </c>
      <c r="H182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12162.9593079565</v>
      </c>
      <c r="I182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12162.9593079565</v>
      </c>
      <c r="J182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12162.9593079565</v>
      </c>
      <c r="K182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12162.9593079565</v>
      </c>
      <c r="L182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12162.9593079565</v>
      </c>
      <c r="M182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12162.9593079565</v>
      </c>
      <c r="N182" s="7" t="n">
        <f aca="false">SUM(B182:M182)</f>
        <v>145955.511695478</v>
      </c>
      <c r="O182" s="27" t="n">
        <f aca="false">MAX(B182:M182)</f>
        <v>12162.9593079565</v>
      </c>
      <c r="P182" s="15" t="n">
        <f aca="false">O182/parametros_recargas!$B$6</f>
        <v>81.0863953863767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12162.9593079565</v>
      </c>
      <c r="C183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12162.9593079565</v>
      </c>
      <c r="D183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12162.9593079565</v>
      </c>
      <c r="E183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12162.9593079565</v>
      </c>
      <c r="F183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12162.9593079565</v>
      </c>
      <c r="G183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12162.9593079565</v>
      </c>
      <c r="H183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12162.9593079565</v>
      </c>
      <c r="I183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12162.9593079565</v>
      </c>
      <c r="J183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12162.9593079565</v>
      </c>
      <c r="K183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12162.9593079565</v>
      </c>
      <c r="L183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12162.9593079565</v>
      </c>
      <c r="M183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12162.9593079565</v>
      </c>
      <c r="N183" s="7" t="n">
        <f aca="false">SUM(B183:M183)</f>
        <v>145955.511695478</v>
      </c>
      <c r="O183" s="27" t="n">
        <f aca="false">MAX(B183:M183)</f>
        <v>12162.9593079565</v>
      </c>
      <c r="P183" s="15" t="n">
        <f aca="false">O183/parametros_recargas!$B$6</f>
        <v>81.0863953863767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924.655358405859</v>
      </c>
      <c r="C184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924.655358405859</v>
      </c>
      <c r="D184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924.655358405859</v>
      </c>
      <c r="E184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924.655358405859</v>
      </c>
      <c r="F184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924.655358405859</v>
      </c>
      <c r="G184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924.655358405859</v>
      </c>
      <c r="H184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924.655358405859</v>
      </c>
      <c r="I184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924.655358405859</v>
      </c>
      <c r="J184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924.655358405859</v>
      </c>
      <c r="K184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924.655358405859</v>
      </c>
      <c r="L184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924.655358405859</v>
      </c>
      <c r="M184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924.655358405859</v>
      </c>
      <c r="N184" s="7" t="n">
        <f aca="false">SUM(B184:M184)</f>
        <v>11095.8643008703</v>
      </c>
      <c r="O184" s="27" t="n">
        <f aca="false">MAX(B184:M184)</f>
        <v>924.655358405859</v>
      </c>
      <c r="P184" s="15" t="n">
        <f aca="false">O184/parametros_recargas!$B$6</f>
        <v>6.16436905603906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11.3107432627464</v>
      </c>
      <c r="C185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11.3107432627464</v>
      </c>
      <c r="D185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11.3107432627464</v>
      </c>
      <c r="E185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11.3107432627464</v>
      </c>
      <c r="F185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11.3107432627464</v>
      </c>
      <c r="G185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11.3107432627464</v>
      </c>
      <c r="H185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11.3107432627464</v>
      </c>
      <c r="I185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11.3107432627464</v>
      </c>
      <c r="J185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11.3107432627464</v>
      </c>
      <c r="K185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11.3107432627464</v>
      </c>
      <c r="L185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11.3107432627464</v>
      </c>
      <c r="M185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11.3107432627464</v>
      </c>
      <c r="N185" s="7" t="n">
        <f aca="false">SUM(B185:M185)</f>
        <v>135.728919152956</v>
      </c>
      <c r="O185" s="27" t="n">
        <f aca="false">MAX(B185:M185)</f>
        <v>11.3107432627464</v>
      </c>
      <c r="P185" s="15" t="n">
        <f aca="false">O185/parametros_recargas!$B$6</f>
        <v>0.0754049550849757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840.282826707636</v>
      </c>
      <c r="C186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840.282826707636</v>
      </c>
      <c r="D186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840.282826707636</v>
      </c>
      <c r="E186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840.282826707636</v>
      </c>
      <c r="F186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840.282826707636</v>
      </c>
      <c r="G186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840.282826707636</v>
      </c>
      <c r="H186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840.282826707636</v>
      </c>
      <c r="I186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840.282826707636</v>
      </c>
      <c r="J186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840.282826707636</v>
      </c>
      <c r="K186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840.282826707636</v>
      </c>
      <c r="L186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840.282826707636</v>
      </c>
      <c r="M186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840.282826707636</v>
      </c>
      <c r="N186" s="7" t="n">
        <f aca="false">SUM(B186:M186)</f>
        <v>10083.3939204916</v>
      </c>
      <c r="O186" s="27" t="n">
        <f aca="false">MAX(B186:M186)</f>
        <v>840.282826707636</v>
      </c>
      <c r="P186" s="15" t="n">
        <f aca="false">O186/parametros_recargas!$B$6</f>
        <v>5.60188551138424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13985.4939642785</v>
      </c>
      <c r="C187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13985.4939642785</v>
      </c>
      <c r="D187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13985.4939642785</v>
      </c>
      <c r="E187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13985.4939642785</v>
      </c>
      <c r="F187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13985.4939642785</v>
      </c>
      <c r="G187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13985.4939642785</v>
      </c>
      <c r="H187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13985.4939642785</v>
      </c>
      <c r="I187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13985.4939642785</v>
      </c>
      <c r="J187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13985.4939642785</v>
      </c>
      <c r="K187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13985.4939642785</v>
      </c>
      <c r="L187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13985.4939642785</v>
      </c>
      <c r="M187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13985.4939642785</v>
      </c>
      <c r="N187" s="7" t="n">
        <f aca="false">SUM(B187:M187)</f>
        <v>167825.927571342</v>
      </c>
      <c r="O187" s="27" t="n">
        <f aca="false">MAX(B187:M187)</f>
        <v>13985.4939642785</v>
      </c>
      <c r="P187" s="15" t="n">
        <f aca="false">O187/parametros_recargas!$B$6</f>
        <v>93.2366264285236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13985.4939642785</v>
      </c>
      <c r="C188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13985.4939642785</v>
      </c>
      <c r="D188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13985.4939642785</v>
      </c>
      <c r="E188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13985.4939642785</v>
      </c>
      <c r="F188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13985.4939642785</v>
      </c>
      <c r="G188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13985.4939642785</v>
      </c>
      <c r="H188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13985.4939642785</v>
      </c>
      <c r="I188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13985.4939642785</v>
      </c>
      <c r="J188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13985.4939642785</v>
      </c>
      <c r="K188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13985.4939642785</v>
      </c>
      <c r="L188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13985.4939642785</v>
      </c>
      <c r="M188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13985.4939642785</v>
      </c>
      <c r="N188" s="7" t="n">
        <f aca="false">SUM(B188:M188)</f>
        <v>167825.927571342</v>
      </c>
      <c r="O188" s="27" t="n">
        <f aca="false">MAX(B188:M188)</f>
        <v>13985.4939642785</v>
      </c>
      <c r="P188" s="15" t="n">
        <f aca="false">O188/parametros_recargas!$B$6</f>
        <v>93.2366264285236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1099.64069340611</v>
      </c>
      <c r="C189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1099.64069340611</v>
      </c>
      <c r="D189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1099.64069340611</v>
      </c>
      <c r="E189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1099.64069340611</v>
      </c>
      <c r="F189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1099.64069340611</v>
      </c>
      <c r="G189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1099.64069340611</v>
      </c>
      <c r="H189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1099.64069340611</v>
      </c>
      <c r="I189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1099.64069340611</v>
      </c>
      <c r="J189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1099.64069340611</v>
      </c>
      <c r="K189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1099.64069340611</v>
      </c>
      <c r="L189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1099.64069340611</v>
      </c>
      <c r="M189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1099.64069340611</v>
      </c>
      <c r="N189" s="7" t="n">
        <f aca="false">SUM(B189:M189)</f>
        <v>13195.6883208733</v>
      </c>
      <c r="O189" s="27" t="n">
        <f aca="false">MAX(B189:M189)</f>
        <v>1099.64069340611</v>
      </c>
      <c r="P189" s="15" t="n">
        <f aca="false">O189/parametros_recargas!$B$6</f>
        <v>7.33093795604071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6" t="n">
        <f aca="false">'Plan mensual'!D189</f>
        <v>467.957713247341</v>
      </c>
      <c r="C190" s="26" t="n">
        <f aca="false">'Plan mensual'!E189</f>
        <v>467.957713247341</v>
      </c>
      <c r="D190" s="26" t="n">
        <f aca="false">'Plan mensual'!F189</f>
        <v>467.957713247341</v>
      </c>
      <c r="E190" s="26" t="n">
        <f aca="false">'Plan mensual'!G189</f>
        <v>467.957713247341</v>
      </c>
      <c r="F190" s="26" t="n">
        <f aca="false">'Plan mensual'!H189</f>
        <v>467.957713247341</v>
      </c>
      <c r="G190" s="26" t="n">
        <f aca="false">'Plan mensual'!I189</f>
        <v>467.957713247341</v>
      </c>
      <c r="H190" s="26" t="n">
        <f aca="false">'Plan mensual'!J189</f>
        <v>467.957713247341</v>
      </c>
      <c r="I190" s="26" t="n">
        <f aca="false">'Plan mensual'!K189</f>
        <v>467.957713247341</v>
      </c>
      <c r="J190" s="26" t="n">
        <f aca="false">'Plan mensual'!L189</f>
        <v>467.957713247341</v>
      </c>
      <c r="K190" s="26" t="n">
        <f aca="false">'Plan mensual'!M189</f>
        <v>467.957713247341</v>
      </c>
      <c r="L190" s="26" t="n">
        <f aca="false">'Plan mensual'!N189</f>
        <v>467.957713247341</v>
      </c>
      <c r="M190" s="26" t="n">
        <f aca="false">'Plan mensual'!O189</f>
        <v>467.957713247341</v>
      </c>
      <c r="N190" s="7" t="n">
        <f aca="false">SUM(B190:M190)</f>
        <v>5615.4925589681</v>
      </c>
      <c r="O190" s="27" t="n">
        <f aca="false">MAX(B190:M190)</f>
        <v>467.957713247341</v>
      </c>
      <c r="P190" s="15" t="n">
        <f aca="false">O190/parametros_recargas!$B$6</f>
        <v>3.11971808831561</v>
      </c>
    </row>
    <row r="193" customFormat="false" ht="23.85" hidden="false" customHeight="false" outlineLevel="0" collapsed="false">
      <c r="A193" s="3" t="s">
        <v>322</v>
      </c>
      <c r="B193" s="3" t="s">
        <v>133</v>
      </c>
      <c r="C193" s="3" t="s">
        <v>134</v>
      </c>
      <c r="D193" s="3" t="s">
        <v>135</v>
      </c>
      <c r="E193" s="3" t="s">
        <v>136</v>
      </c>
      <c r="F193" s="3" t="s">
        <v>137</v>
      </c>
      <c r="G193" s="3" t="s">
        <v>138</v>
      </c>
      <c r="H193" s="3" t="s">
        <v>139</v>
      </c>
      <c r="I193" s="3" t="s">
        <v>140</v>
      </c>
      <c r="J193" s="3" t="s">
        <v>141</v>
      </c>
      <c r="K193" s="3" t="s">
        <v>142</v>
      </c>
      <c r="L193" s="3" t="s">
        <v>143</v>
      </c>
      <c r="M193" s="3" t="s">
        <v>144</v>
      </c>
      <c r="N193" s="3" t="s">
        <v>314</v>
      </c>
      <c r="O193" s="3" t="s">
        <v>315</v>
      </c>
      <c r="P193" s="3" t="s">
        <v>316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6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17370.3624570698</v>
      </c>
      <c r="C194" s="26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17370.3624570698</v>
      </c>
      <c r="D194" s="26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17370.3624570698</v>
      </c>
      <c r="E194" s="26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17370.3624570698</v>
      </c>
      <c r="F194" s="26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17370.3624570698</v>
      </c>
      <c r="G194" s="26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17370.3624570698</v>
      </c>
      <c r="H194" s="26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17370.3624570698</v>
      </c>
      <c r="I194" s="26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17370.3624570698</v>
      </c>
      <c r="J194" s="26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17370.3624570698</v>
      </c>
      <c r="K194" s="26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17370.3624570698</v>
      </c>
      <c r="L194" s="26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17370.3624570698</v>
      </c>
      <c r="M194" s="26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17370.3624570698</v>
      </c>
      <c r="N194" s="7" t="n">
        <f aca="false">SUM(B194:M194)</f>
        <v>208444.349484838</v>
      </c>
      <c r="O194" s="27" t="n">
        <f aca="false">MAX(B194:M194)</f>
        <v>17370.3624570698</v>
      </c>
      <c r="P194" s="15" t="n">
        <f aca="false">O194/parametros_recargas!$B$6</f>
        <v>115.802416380465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6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17370.3624570698</v>
      </c>
      <c r="C195" s="26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17370.3624570698</v>
      </c>
      <c r="D195" s="26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17370.3624570698</v>
      </c>
      <c r="E195" s="26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17370.3624570698</v>
      </c>
      <c r="F195" s="26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17370.3624570698</v>
      </c>
      <c r="G195" s="26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17370.3624570698</v>
      </c>
      <c r="H195" s="26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17370.3624570698</v>
      </c>
      <c r="I195" s="26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17370.3624570698</v>
      </c>
      <c r="J195" s="26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17370.3624570698</v>
      </c>
      <c r="K195" s="26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17370.3624570698</v>
      </c>
      <c r="L195" s="26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17370.3624570698</v>
      </c>
      <c r="M195" s="26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17370.3624570698</v>
      </c>
      <c r="N195" s="7" t="n">
        <f aca="false">SUM(B195:M195)</f>
        <v>208444.349484838</v>
      </c>
      <c r="O195" s="27" t="n">
        <f aca="false">MAX(B195:M195)</f>
        <v>17370.3624570698</v>
      </c>
      <c r="P195" s="15" t="n">
        <f aca="false">O195/parametros_recargas!$B$6</f>
        <v>115.802416380465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6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12825.9338338713</v>
      </c>
      <c r="C196" s="26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12825.9338338713</v>
      </c>
      <c r="D196" s="26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12825.9338338713</v>
      </c>
      <c r="E196" s="26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12825.9338338713</v>
      </c>
      <c r="F196" s="26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12825.9338338713</v>
      </c>
      <c r="G196" s="26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12825.9338338713</v>
      </c>
      <c r="H196" s="26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12825.9338338713</v>
      </c>
      <c r="I196" s="26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12825.9338338713</v>
      </c>
      <c r="J196" s="26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12825.9338338713</v>
      </c>
      <c r="K196" s="26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12825.9338338713</v>
      </c>
      <c r="L196" s="26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12825.9338338713</v>
      </c>
      <c r="M196" s="26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12825.9338338713</v>
      </c>
      <c r="N196" s="7" t="n">
        <f aca="false">SUM(B196:M196)</f>
        <v>153911.206006455</v>
      </c>
      <c r="O196" s="27" t="n">
        <f aca="false">MAX(B196:M196)</f>
        <v>12825.9338338713</v>
      </c>
      <c r="P196" s="15" t="n">
        <f aca="false">O196/parametros_recargas!$B$6</f>
        <v>85.5062255591417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6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1508.93339222015</v>
      </c>
      <c r="C197" s="26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1508.93339222015</v>
      </c>
      <c r="D197" s="26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1508.93339222015</v>
      </c>
      <c r="E197" s="26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1508.93339222015</v>
      </c>
      <c r="F197" s="26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1508.93339222015</v>
      </c>
      <c r="G197" s="26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1508.93339222015</v>
      </c>
      <c r="H197" s="26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1508.93339222015</v>
      </c>
      <c r="I197" s="26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1508.93339222015</v>
      </c>
      <c r="J197" s="26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1508.93339222015</v>
      </c>
      <c r="K197" s="26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1508.93339222015</v>
      </c>
      <c r="L197" s="26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1508.93339222015</v>
      </c>
      <c r="M197" s="26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1508.93339222015</v>
      </c>
      <c r="N197" s="7" t="n">
        <f aca="false">SUM(B197:M197)</f>
        <v>18107.2007066418</v>
      </c>
      <c r="O197" s="27" t="n">
        <f aca="false">MAX(B197:M197)</f>
        <v>1508.93339222015</v>
      </c>
      <c r="P197" s="15" t="n">
        <f aca="false">O197/parametros_recargas!$B$6</f>
        <v>10.0595559481343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22.1274845513753</v>
      </c>
      <c r="C198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22.1274845513753</v>
      </c>
      <c r="D198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22.1274845513753</v>
      </c>
      <c r="E198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22.1274845513753</v>
      </c>
      <c r="F198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22.1274845513753</v>
      </c>
      <c r="G198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22.1274845513753</v>
      </c>
      <c r="H198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22.1274845513753</v>
      </c>
      <c r="I198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22.1274845513753</v>
      </c>
      <c r="J198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22.1274845513753</v>
      </c>
      <c r="K198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22.1274845513753</v>
      </c>
      <c r="L198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22.1274845513753</v>
      </c>
      <c r="M198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22.1274845513753</v>
      </c>
      <c r="N198" s="7" t="n">
        <f aca="false">SUM(B198:M198)</f>
        <v>265.529814616504</v>
      </c>
      <c r="O198" s="27" t="n">
        <f aca="false">MAX(B198:M198)</f>
        <v>22.1274845513753</v>
      </c>
      <c r="P198" s="15" t="n">
        <f aca="false">O198/parametros_recargas!$B$6</f>
        <v>0.147516563675836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768.303456587695</v>
      </c>
      <c r="C199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768.303456587695</v>
      </c>
      <c r="D199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768.303456587695</v>
      </c>
      <c r="E199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768.303456587695</v>
      </c>
      <c r="F199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768.303456587695</v>
      </c>
      <c r="G199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768.303456587695</v>
      </c>
      <c r="H199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768.303456587695</v>
      </c>
      <c r="I199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768.303456587695</v>
      </c>
      <c r="J199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768.303456587695</v>
      </c>
      <c r="K199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768.303456587695</v>
      </c>
      <c r="L199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768.303456587695</v>
      </c>
      <c r="M199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768.303456587695</v>
      </c>
      <c r="N199" s="7" t="n">
        <f aca="false">SUM(B199:M199)</f>
        <v>9219.64147905234</v>
      </c>
      <c r="O199" s="27" t="n">
        <f aca="false">MAX(B199:M199)</f>
        <v>768.303456587695</v>
      </c>
      <c r="P199" s="15" t="n">
        <f aca="false">O199/parametros_recargas!$B$6</f>
        <v>5.12202304391797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353.560548732537</v>
      </c>
      <c r="C200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353.560548732537</v>
      </c>
      <c r="D200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353.560548732537</v>
      </c>
      <c r="E200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353.560548732537</v>
      </c>
      <c r="F200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353.560548732537</v>
      </c>
      <c r="G200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353.560548732537</v>
      </c>
      <c r="H200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353.560548732537</v>
      </c>
      <c r="I200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353.560548732537</v>
      </c>
      <c r="J200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353.560548732537</v>
      </c>
      <c r="K200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353.560548732537</v>
      </c>
      <c r="L200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353.560548732537</v>
      </c>
      <c r="M200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353.560548732537</v>
      </c>
      <c r="N200" s="7" t="n">
        <f aca="false">SUM(B200:M200)</f>
        <v>4242.72658479045</v>
      </c>
      <c r="O200" s="27" t="n">
        <f aca="false">MAX(B200:M200)</f>
        <v>353.560548732537</v>
      </c>
      <c r="P200" s="15" t="n">
        <f aca="false">O200/parametros_recargas!$B$6</f>
        <v>2.35707032488358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14.1564356674622</v>
      </c>
      <c r="C201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14.1564356674622</v>
      </c>
      <c r="D201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14.1564356674622</v>
      </c>
      <c r="E201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14.1564356674622</v>
      </c>
      <c r="F201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14.1564356674622</v>
      </c>
      <c r="G201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14.1564356674622</v>
      </c>
      <c r="H201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14.1564356674622</v>
      </c>
      <c r="I201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14.1564356674622</v>
      </c>
      <c r="J201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14.1564356674622</v>
      </c>
      <c r="K201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14.1564356674622</v>
      </c>
      <c r="L201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14.1564356674622</v>
      </c>
      <c r="M201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14.1564356674622</v>
      </c>
      <c r="N201" s="7" t="n">
        <f aca="false">SUM(B201:M201)</f>
        <v>169.877228009547</v>
      </c>
      <c r="O201" s="27" t="n">
        <f aca="false">MAX(B201:M201)</f>
        <v>14.1564356674622</v>
      </c>
      <c r="P201" s="15" t="n">
        <f aca="false">O201/parametros_recargas!$B$6</f>
        <v>0.0943762377830815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15131.1910628821</v>
      </c>
      <c r="C202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15131.1910628821</v>
      </c>
      <c r="D202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15131.1910628821</v>
      </c>
      <c r="E202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15131.1910628821</v>
      </c>
      <c r="F202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15131.1910628821</v>
      </c>
      <c r="G202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15131.1910628821</v>
      </c>
      <c r="H202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15131.1910628821</v>
      </c>
      <c r="I202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15131.1910628821</v>
      </c>
      <c r="J202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15131.1910628821</v>
      </c>
      <c r="K202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15131.1910628821</v>
      </c>
      <c r="L202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15131.1910628821</v>
      </c>
      <c r="M202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15131.1910628821</v>
      </c>
      <c r="N202" s="7" t="n">
        <f aca="false">SUM(B202:M202)</f>
        <v>181574.292754585</v>
      </c>
      <c r="O202" s="27" t="n">
        <f aca="false">MAX(B202:M202)</f>
        <v>15131.1910628821</v>
      </c>
      <c r="P202" s="15" t="n">
        <f aca="false">O202/parametros_recargas!$B$6</f>
        <v>100.874607085881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1136.02044098769</v>
      </c>
      <c r="C203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1136.02044098769</v>
      </c>
      <c r="D203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1136.02044098769</v>
      </c>
      <c r="E203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1136.02044098769</v>
      </c>
      <c r="F203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1136.02044098769</v>
      </c>
      <c r="G203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1136.02044098769</v>
      </c>
      <c r="H203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1136.02044098769</v>
      </c>
      <c r="I203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1136.02044098769</v>
      </c>
      <c r="J203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1136.02044098769</v>
      </c>
      <c r="K203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1136.02044098769</v>
      </c>
      <c r="L203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1136.02044098769</v>
      </c>
      <c r="M203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1136.02044098769</v>
      </c>
      <c r="N203" s="7" t="n">
        <f aca="false">SUM(B203:M203)</f>
        <v>13632.2452918523</v>
      </c>
      <c r="O203" s="27" t="n">
        <f aca="false">MAX(B203:M203)</f>
        <v>1136.02044098769</v>
      </c>
      <c r="P203" s="15" t="n">
        <f aca="false">O203/parametros_recargas!$B$6</f>
        <v>7.57346960658463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15.1114614067529</v>
      </c>
      <c r="C204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15.1114614067529</v>
      </c>
      <c r="D204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15.1114614067529</v>
      </c>
      <c r="E204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15.1114614067529</v>
      </c>
      <c r="F204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15.1114614067529</v>
      </c>
      <c r="G204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15.1114614067529</v>
      </c>
      <c r="H204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15.1114614067529</v>
      </c>
      <c r="I204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15.1114614067529</v>
      </c>
      <c r="J204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15.1114614067529</v>
      </c>
      <c r="K204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15.1114614067529</v>
      </c>
      <c r="L204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15.1114614067529</v>
      </c>
      <c r="M204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15.1114614067529</v>
      </c>
      <c r="N204" s="7" t="n">
        <f aca="false">SUM(B204:M204)</f>
        <v>181.337536881034</v>
      </c>
      <c r="O204" s="27" t="n">
        <f aca="false">MAX(B204:M204)</f>
        <v>15.1114614067529</v>
      </c>
      <c r="P204" s="15" t="n">
        <f aca="false">O204/parametros_recargas!$B$6</f>
        <v>0.100743076045019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3704.56352839027</v>
      </c>
      <c r="C205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3704.56352839027</v>
      </c>
      <c r="D205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3704.56352839027</v>
      </c>
      <c r="E205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3704.56352839027</v>
      </c>
      <c r="F205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3704.56352839027</v>
      </c>
      <c r="G205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3704.56352839027</v>
      </c>
      <c r="H205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3704.56352839027</v>
      </c>
      <c r="I205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3704.56352839027</v>
      </c>
      <c r="J205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3704.56352839027</v>
      </c>
      <c r="K205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3704.56352839027</v>
      </c>
      <c r="L205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3704.56352839027</v>
      </c>
      <c r="M205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3704.56352839027</v>
      </c>
      <c r="N205" s="7" t="n">
        <f aca="false">SUM(B205:M205)</f>
        <v>44454.7623406832</v>
      </c>
      <c r="O205" s="27" t="n">
        <f aca="false">MAX(B205:M205)</f>
        <v>3704.56352839027</v>
      </c>
      <c r="P205" s="15" t="n">
        <f aca="false">O205/parametros_recargas!$B$6</f>
        <v>24.6970901892685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3471.72371072524</v>
      </c>
      <c r="C206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3471.72371072524</v>
      </c>
      <c r="D206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3471.72371072524</v>
      </c>
      <c r="E206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3471.72371072524</v>
      </c>
      <c r="F206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3471.72371072524</v>
      </c>
      <c r="G206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3471.72371072524</v>
      </c>
      <c r="H206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3471.72371072524</v>
      </c>
      <c r="I206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3471.72371072524</v>
      </c>
      <c r="J206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3471.72371072524</v>
      </c>
      <c r="K206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3471.72371072524</v>
      </c>
      <c r="L206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3471.72371072524</v>
      </c>
      <c r="M206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3471.72371072524</v>
      </c>
      <c r="N206" s="7" t="n">
        <f aca="false">SUM(B206:M206)</f>
        <v>41660.6845287029</v>
      </c>
      <c r="O206" s="27" t="n">
        <f aca="false">MAX(B206:M206)</f>
        <v>3471.72371072524</v>
      </c>
      <c r="P206" s="15" t="n">
        <f aca="false">O206/parametros_recargas!$B$6</f>
        <v>23.1448247381683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3471.72371072524</v>
      </c>
      <c r="C207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3471.72371072524</v>
      </c>
      <c r="D207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3471.72371072524</v>
      </c>
      <c r="E207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3471.72371072524</v>
      </c>
      <c r="F207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3471.72371072524</v>
      </c>
      <c r="G207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3471.72371072524</v>
      </c>
      <c r="H207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3471.72371072524</v>
      </c>
      <c r="I207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3471.72371072524</v>
      </c>
      <c r="J207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3471.72371072524</v>
      </c>
      <c r="K207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3471.72371072524</v>
      </c>
      <c r="L207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3471.72371072524</v>
      </c>
      <c r="M207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3471.72371072524</v>
      </c>
      <c r="N207" s="7" t="n">
        <f aca="false">SUM(B207:M207)</f>
        <v>41660.6845287029</v>
      </c>
      <c r="O207" s="27" t="n">
        <f aca="false">MAX(B207:M207)</f>
        <v>3471.72371072524</v>
      </c>
      <c r="P207" s="15" t="n">
        <f aca="false">O207/parametros_recargas!$B$6</f>
        <v>23.1448247381683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1737.03624570698</v>
      </c>
      <c r="C208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1737.03624570698</v>
      </c>
      <c r="D208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1737.03624570698</v>
      </c>
      <c r="E208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1737.03624570698</v>
      </c>
      <c r="F208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1737.03624570698</v>
      </c>
      <c r="G208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1737.03624570698</v>
      </c>
      <c r="H208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1737.03624570698</v>
      </c>
      <c r="I208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1737.03624570698</v>
      </c>
      <c r="J208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1737.03624570698</v>
      </c>
      <c r="K208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1737.03624570698</v>
      </c>
      <c r="L208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1737.03624570698</v>
      </c>
      <c r="M208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1737.03624570698</v>
      </c>
      <c r="N208" s="7" t="n">
        <f aca="false">SUM(B208:M208)</f>
        <v>20844.4349484838</v>
      </c>
      <c r="O208" s="27" t="n">
        <f aca="false">MAX(B208:M208)</f>
        <v>1737.03624570698</v>
      </c>
      <c r="P208" s="15" t="n">
        <f aca="false">O208/parametros_recargas!$B$6</f>
        <v>11.5802416380465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15089.3339222015</v>
      </c>
      <c r="C209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15089.3339222015</v>
      </c>
      <c r="D209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15089.3339222015</v>
      </c>
      <c r="E209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15089.3339222015</v>
      </c>
      <c r="F209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15089.3339222015</v>
      </c>
      <c r="G209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15089.3339222015</v>
      </c>
      <c r="H209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15089.3339222015</v>
      </c>
      <c r="I209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15089.3339222015</v>
      </c>
      <c r="J209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15089.3339222015</v>
      </c>
      <c r="K209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15089.3339222015</v>
      </c>
      <c r="L209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15089.3339222015</v>
      </c>
      <c r="M209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15089.3339222015</v>
      </c>
      <c r="N209" s="7" t="n">
        <f aca="false">SUM(B209:M209)</f>
        <v>181072.007066418</v>
      </c>
      <c r="O209" s="27" t="n">
        <f aca="false">MAX(B209:M209)</f>
        <v>15089.3339222015</v>
      </c>
      <c r="P209" s="15" t="n">
        <f aca="false">O209/parametros_recargas!$B$6</f>
        <v>100.595559481343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22.1274845513753</v>
      </c>
      <c r="C210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22.1274845513753</v>
      </c>
      <c r="D210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22.1274845513753</v>
      </c>
      <c r="E210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22.1274845513753</v>
      </c>
      <c r="F210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22.1274845513753</v>
      </c>
      <c r="G210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22.1274845513753</v>
      </c>
      <c r="H210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22.1274845513753</v>
      </c>
      <c r="I210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22.1274845513753</v>
      </c>
      <c r="J210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22.1274845513753</v>
      </c>
      <c r="K210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22.1274845513753</v>
      </c>
      <c r="L210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22.1274845513753</v>
      </c>
      <c r="M210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22.1274845513753</v>
      </c>
      <c r="N210" s="7" t="n">
        <f aca="false">SUM(B210:M210)</f>
        <v>265.529814616504</v>
      </c>
      <c r="O210" s="27" t="n">
        <f aca="false">MAX(B210:M210)</f>
        <v>22.1274845513753</v>
      </c>
      <c r="P210" s="15" t="n">
        <f aca="false">O210/parametros_recargas!$B$6</f>
        <v>0.147516563675836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19.7296561292531</v>
      </c>
      <c r="C211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19.7296561292531</v>
      </c>
      <c r="D211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19.7296561292531</v>
      </c>
      <c r="E211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19.7296561292531</v>
      </c>
      <c r="F211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19.7296561292531</v>
      </c>
      <c r="G211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19.7296561292531</v>
      </c>
      <c r="H211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19.7296561292531</v>
      </c>
      <c r="I211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19.7296561292531</v>
      </c>
      <c r="J211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19.7296561292531</v>
      </c>
      <c r="K211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19.7296561292531</v>
      </c>
      <c r="L211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19.7296561292531</v>
      </c>
      <c r="M211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19.7296561292531</v>
      </c>
      <c r="N211" s="7" t="n">
        <f aca="false">SUM(B211:M211)</f>
        <v>236.755873551037</v>
      </c>
      <c r="O211" s="27" t="n">
        <f aca="false">MAX(B211:M211)</f>
        <v>19.7296561292531</v>
      </c>
      <c r="P211" s="15" t="n">
        <f aca="false">O211/parametros_recargas!$B$6</f>
        <v>0.131531040861687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768.303456587695</v>
      </c>
      <c r="C212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768.303456587695</v>
      </c>
      <c r="D212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768.303456587695</v>
      </c>
      <c r="E212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768.303456587695</v>
      </c>
      <c r="F212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768.303456587695</v>
      </c>
      <c r="G212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768.303456587695</v>
      </c>
      <c r="H212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768.303456587695</v>
      </c>
      <c r="I212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768.303456587695</v>
      </c>
      <c r="J212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768.303456587695</v>
      </c>
      <c r="K212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768.303456587695</v>
      </c>
      <c r="L212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768.303456587695</v>
      </c>
      <c r="M212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768.303456587695</v>
      </c>
      <c r="N212" s="7" t="n">
        <f aca="false">SUM(B212:M212)</f>
        <v>9219.64147905234</v>
      </c>
      <c r="O212" s="27" t="n">
        <f aca="false">MAX(B212:M212)</f>
        <v>768.303456587695</v>
      </c>
      <c r="P212" s="15" t="n">
        <f aca="false">O212/parametros_recargas!$B$6</f>
        <v>5.12202304391797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424.272658479045</v>
      </c>
      <c r="C213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424.272658479045</v>
      </c>
      <c r="D213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424.272658479045</v>
      </c>
      <c r="E213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424.272658479045</v>
      </c>
      <c r="F213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424.272658479045</v>
      </c>
      <c r="G213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424.272658479045</v>
      </c>
      <c r="H213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424.272658479045</v>
      </c>
      <c r="I213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424.272658479045</v>
      </c>
      <c r="J213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424.272658479045</v>
      </c>
      <c r="K213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424.272658479045</v>
      </c>
      <c r="L213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424.272658479045</v>
      </c>
      <c r="M213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424.272658479045</v>
      </c>
      <c r="N213" s="7" t="n">
        <f aca="false">SUM(B213:M213)</f>
        <v>5091.27190174853</v>
      </c>
      <c r="O213" s="27" t="n">
        <f aca="false">MAX(B213:M213)</f>
        <v>424.272658479045</v>
      </c>
      <c r="P213" s="15" t="n">
        <f aca="false">O213/parametros_recargas!$B$6</f>
        <v>2.8284843898603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15131.1910628821</v>
      </c>
      <c r="C214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15131.1910628821</v>
      </c>
      <c r="D214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15131.1910628821</v>
      </c>
      <c r="E214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15131.1910628821</v>
      </c>
      <c r="F214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15131.1910628821</v>
      </c>
      <c r="G214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15131.1910628821</v>
      </c>
      <c r="H214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15131.1910628821</v>
      </c>
      <c r="I214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15131.1910628821</v>
      </c>
      <c r="J214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15131.1910628821</v>
      </c>
      <c r="K214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15131.1910628821</v>
      </c>
      <c r="L214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15131.1910628821</v>
      </c>
      <c r="M214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15131.1910628821</v>
      </c>
      <c r="N214" s="7" t="n">
        <f aca="false">SUM(B214:M214)</f>
        <v>181574.292754585</v>
      </c>
      <c r="O214" s="27" t="n">
        <f aca="false">MAX(B214:M214)</f>
        <v>15131.1910628821</v>
      </c>
      <c r="P214" s="15" t="n">
        <f aca="false">O214/parametros_recargas!$B$6</f>
        <v>100.874607085881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15131.1910628821</v>
      </c>
      <c r="C215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15131.1910628821</v>
      </c>
      <c r="D215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15131.1910628821</v>
      </c>
      <c r="E215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15131.1910628821</v>
      </c>
      <c r="F215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15131.1910628821</v>
      </c>
      <c r="G215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15131.1910628821</v>
      </c>
      <c r="H215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15131.1910628821</v>
      </c>
      <c r="I215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15131.1910628821</v>
      </c>
      <c r="J215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15131.1910628821</v>
      </c>
      <c r="K215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15131.1910628821</v>
      </c>
      <c r="L215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15131.1910628821</v>
      </c>
      <c r="M215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15131.1910628821</v>
      </c>
      <c r="N215" s="7" t="n">
        <f aca="false">SUM(B215:M215)</f>
        <v>181574.292754585</v>
      </c>
      <c r="O215" s="27" t="n">
        <f aca="false">MAX(B215:M215)</f>
        <v>15131.1910628821</v>
      </c>
      <c r="P215" s="15" t="n">
        <f aca="false">O215/parametros_recargas!$B$6</f>
        <v>100.874607085881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1136.02044098769</v>
      </c>
      <c r="C216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1136.02044098769</v>
      </c>
      <c r="D216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1136.02044098769</v>
      </c>
      <c r="E216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1136.02044098769</v>
      </c>
      <c r="F216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1136.02044098769</v>
      </c>
      <c r="G216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1136.02044098769</v>
      </c>
      <c r="H216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1136.02044098769</v>
      </c>
      <c r="I216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1136.02044098769</v>
      </c>
      <c r="J216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1136.02044098769</v>
      </c>
      <c r="K216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1136.02044098769</v>
      </c>
      <c r="L216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1136.02044098769</v>
      </c>
      <c r="M216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1136.02044098769</v>
      </c>
      <c r="N216" s="7" t="n">
        <f aca="false">SUM(B216:M216)</f>
        <v>13632.2452918523</v>
      </c>
      <c r="O216" s="27" t="n">
        <f aca="false">MAX(B216:M216)</f>
        <v>1136.02044098769</v>
      </c>
      <c r="P216" s="15" t="n">
        <f aca="false">O216/parametros_recargas!$B$6</f>
        <v>7.57346960658463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14.1564356674622</v>
      </c>
      <c r="C217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14.1564356674622</v>
      </c>
      <c r="D217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14.1564356674622</v>
      </c>
      <c r="E217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14.1564356674622</v>
      </c>
      <c r="F217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14.1564356674622</v>
      </c>
      <c r="G217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14.1564356674622</v>
      </c>
      <c r="H217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14.1564356674622</v>
      </c>
      <c r="I217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14.1564356674622</v>
      </c>
      <c r="J217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14.1564356674622</v>
      </c>
      <c r="K217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14.1564356674622</v>
      </c>
      <c r="L217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14.1564356674622</v>
      </c>
      <c r="M217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14.1564356674622</v>
      </c>
      <c r="N217" s="7" t="n">
        <f aca="false">SUM(B217:M217)</f>
        <v>169.877228009547</v>
      </c>
      <c r="O217" s="27" t="n">
        <f aca="false">MAX(B217:M217)</f>
        <v>14.1564356674622</v>
      </c>
      <c r="P217" s="15" t="n">
        <f aca="false">O217/parametros_recargas!$B$6</f>
        <v>0.0943762377830815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1032.43884345349</v>
      </c>
      <c r="C218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1032.43884345349</v>
      </c>
      <c r="D218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1032.43884345349</v>
      </c>
      <c r="E218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1032.43884345349</v>
      </c>
      <c r="F218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1032.43884345349</v>
      </c>
      <c r="G218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1032.43884345349</v>
      </c>
      <c r="H218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1032.43884345349</v>
      </c>
      <c r="I218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1032.43884345349</v>
      </c>
      <c r="J218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1032.43884345349</v>
      </c>
      <c r="K218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1032.43884345349</v>
      </c>
      <c r="L218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1032.43884345349</v>
      </c>
      <c r="M218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1032.43884345349</v>
      </c>
      <c r="N218" s="7" t="n">
        <f aca="false">SUM(B218:M218)</f>
        <v>12389.2661214419</v>
      </c>
      <c r="O218" s="27" t="n">
        <f aca="false">MAX(B218:M218)</f>
        <v>1032.43884345349</v>
      </c>
      <c r="P218" s="15" t="n">
        <f aca="false">O218/parametros_recargas!$B$6</f>
        <v>6.88292562302327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17370.3624570698</v>
      </c>
      <c r="C219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17370.3624570698</v>
      </c>
      <c r="D219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17370.3624570698</v>
      </c>
      <c r="E219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17370.3624570698</v>
      </c>
      <c r="F219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17370.3624570698</v>
      </c>
      <c r="G219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17370.3624570698</v>
      </c>
      <c r="H219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17370.3624570698</v>
      </c>
      <c r="I219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17370.3624570698</v>
      </c>
      <c r="J219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17370.3624570698</v>
      </c>
      <c r="K219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17370.3624570698</v>
      </c>
      <c r="L219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17370.3624570698</v>
      </c>
      <c r="M219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17370.3624570698</v>
      </c>
      <c r="N219" s="7" t="n">
        <f aca="false">SUM(B219:M219)</f>
        <v>208444.349484838</v>
      </c>
      <c r="O219" s="27" t="n">
        <f aca="false">MAX(B219:M219)</f>
        <v>17370.3624570698</v>
      </c>
      <c r="P219" s="15" t="n">
        <f aca="false">O219/parametros_recargas!$B$6</f>
        <v>115.802416380465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17370.3624570698</v>
      </c>
      <c r="C220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17370.3624570698</v>
      </c>
      <c r="D220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17370.3624570698</v>
      </c>
      <c r="E220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17370.3624570698</v>
      </c>
      <c r="F220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17370.3624570698</v>
      </c>
      <c r="G220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17370.3624570698</v>
      </c>
      <c r="H220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17370.3624570698</v>
      </c>
      <c r="I220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17370.3624570698</v>
      </c>
      <c r="J220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17370.3624570698</v>
      </c>
      <c r="K220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17370.3624570698</v>
      </c>
      <c r="L220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17370.3624570698</v>
      </c>
      <c r="M220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17370.3624570698</v>
      </c>
      <c r="N220" s="7" t="n">
        <f aca="false">SUM(B220:M220)</f>
        <v>208444.349484838</v>
      </c>
      <c r="O220" s="27" t="n">
        <f aca="false">MAX(B220:M220)</f>
        <v>17370.3624570698</v>
      </c>
      <c r="P220" s="15" t="n">
        <f aca="false">O220/parametros_recargas!$B$6</f>
        <v>115.802416380465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1366.05829331675</v>
      </c>
      <c r="C221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1366.05829331675</v>
      </c>
      <c r="D221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1366.05829331675</v>
      </c>
      <c r="E221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1366.05829331675</v>
      </c>
      <c r="F221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1366.05829331675</v>
      </c>
      <c r="G221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1366.05829331675</v>
      </c>
      <c r="H221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1366.05829331675</v>
      </c>
      <c r="I221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1366.05829331675</v>
      </c>
      <c r="J221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1366.05829331675</v>
      </c>
      <c r="K221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1366.05829331675</v>
      </c>
      <c r="L221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1366.05829331675</v>
      </c>
      <c r="M221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1366.05829331675</v>
      </c>
      <c r="N221" s="7" t="n">
        <f aca="false">SUM(B221:M221)</f>
        <v>16392.699519801</v>
      </c>
      <c r="O221" s="27" t="n">
        <f aca="false">MAX(B221:M221)</f>
        <v>1366.05829331675</v>
      </c>
      <c r="P221" s="15" t="n">
        <f aca="false">O221/parametros_recargas!$B$6</f>
        <v>9.10705528877832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6" t="n">
        <f aca="false">'Plan mensual'!D221</f>
        <v>578.536484264516</v>
      </c>
      <c r="C222" s="26" t="n">
        <f aca="false">'Plan mensual'!E221</f>
        <v>578.536484264516</v>
      </c>
      <c r="D222" s="26" t="n">
        <f aca="false">'Plan mensual'!F221</f>
        <v>578.536484264516</v>
      </c>
      <c r="E222" s="26" t="n">
        <f aca="false">'Plan mensual'!G221</f>
        <v>578.536484264516</v>
      </c>
      <c r="F222" s="26" t="n">
        <f aca="false">'Plan mensual'!H221</f>
        <v>578.536484264516</v>
      </c>
      <c r="G222" s="26" t="n">
        <f aca="false">'Plan mensual'!I221</f>
        <v>578.536484264516</v>
      </c>
      <c r="H222" s="26" t="n">
        <f aca="false">'Plan mensual'!J221</f>
        <v>578.536484264516</v>
      </c>
      <c r="I222" s="26" t="n">
        <f aca="false">'Plan mensual'!K221</f>
        <v>578.536484264516</v>
      </c>
      <c r="J222" s="26" t="n">
        <f aca="false">'Plan mensual'!L221</f>
        <v>578.536484264516</v>
      </c>
      <c r="K222" s="26" t="n">
        <f aca="false">'Plan mensual'!M221</f>
        <v>578.536484264516</v>
      </c>
      <c r="L222" s="26" t="n">
        <f aca="false">'Plan mensual'!N221</f>
        <v>578.536484264516</v>
      </c>
      <c r="M222" s="26" t="n">
        <f aca="false">'Plan mensual'!O221</f>
        <v>578.536484264516</v>
      </c>
      <c r="N222" s="7" t="n">
        <f aca="false">SUM(B222:M222)</f>
        <v>6942.4378111742</v>
      </c>
      <c r="O222" s="27" t="n">
        <f aca="false">MAX(B222:M222)</f>
        <v>578.536484264516</v>
      </c>
      <c r="P222" s="15" t="n">
        <f aca="false">O222/parametros_recargas!$B$6</f>
        <v>3.85690989509678</v>
      </c>
    </row>
    <row r="225" customFormat="false" ht="23.85" hidden="false" customHeight="false" outlineLevel="0" collapsed="false">
      <c r="A225" s="3" t="s">
        <v>323</v>
      </c>
      <c r="B225" s="3" t="s">
        <v>133</v>
      </c>
      <c r="C225" s="3" t="s">
        <v>134</v>
      </c>
      <c r="D225" s="3" t="s">
        <v>135</v>
      </c>
      <c r="E225" s="3" t="s">
        <v>136</v>
      </c>
      <c r="F225" s="3" t="s">
        <v>137</v>
      </c>
      <c r="G225" s="3" t="s">
        <v>138</v>
      </c>
      <c r="H225" s="3" t="s">
        <v>139</v>
      </c>
      <c r="I225" s="3" t="s">
        <v>140</v>
      </c>
      <c r="J225" s="3" t="s">
        <v>141</v>
      </c>
      <c r="K225" s="3" t="s">
        <v>142</v>
      </c>
      <c r="L225" s="3" t="s">
        <v>143</v>
      </c>
      <c r="M225" s="3" t="s">
        <v>144</v>
      </c>
      <c r="N225" s="3" t="s">
        <v>314</v>
      </c>
      <c r="O225" s="3" t="s">
        <v>315</v>
      </c>
      <c r="P225" s="3" t="s">
        <v>316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6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19749.6596694838</v>
      </c>
      <c r="C226" s="26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19749.6596694838</v>
      </c>
      <c r="D226" s="26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19749.6596694838</v>
      </c>
      <c r="E226" s="26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19749.6596694838</v>
      </c>
      <c r="F226" s="26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19749.6596694838</v>
      </c>
      <c r="G226" s="26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19749.6596694838</v>
      </c>
      <c r="H226" s="26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19749.6596694838</v>
      </c>
      <c r="I226" s="26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19749.6596694838</v>
      </c>
      <c r="J226" s="26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19749.6596694838</v>
      </c>
      <c r="K226" s="26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19749.6596694838</v>
      </c>
      <c r="L226" s="26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19749.6596694838</v>
      </c>
      <c r="M226" s="26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19749.6596694838</v>
      </c>
      <c r="N226" s="7" t="n">
        <f aca="false">SUM(B226:M226)</f>
        <v>236995.916033806</v>
      </c>
      <c r="O226" s="27" t="n">
        <f aca="false">MAX(B226:M226)</f>
        <v>19749.6596694838</v>
      </c>
      <c r="P226" s="15" t="n">
        <f aca="false">O226/parametros_recargas!$B$6</f>
        <v>131.664397796559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6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19749.6596694838</v>
      </c>
      <c r="C227" s="26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19749.6596694838</v>
      </c>
      <c r="D227" s="26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19749.6596694838</v>
      </c>
      <c r="E227" s="26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19749.6596694838</v>
      </c>
      <c r="F227" s="26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19749.6596694838</v>
      </c>
      <c r="G227" s="26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19749.6596694838</v>
      </c>
      <c r="H227" s="26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19749.6596694838</v>
      </c>
      <c r="I227" s="26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19749.6596694838</v>
      </c>
      <c r="J227" s="26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19749.6596694838</v>
      </c>
      <c r="K227" s="26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19749.6596694838</v>
      </c>
      <c r="L227" s="26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19749.6596694838</v>
      </c>
      <c r="M227" s="26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19749.6596694838</v>
      </c>
      <c r="N227" s="7" t="n">
        <f aca="false">SUM(B227:M227)</f>
        <v>236995.916033806</v>
      </c>
      <c r="O227" s="27" t="n">
        <f aca="false">MAX(B227:M227)</f>
        <v>19749.6596694838</v>
      </c>
      <c r="P227" s="15" t="n">
        <f aca="false">O227/parametros_recargas!$B$6</f>
        <v>131.664397796559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6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14624.8418490856</v>
      </c>
      <c r="C228" s="26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14624.8418490856</v>
      </c>
      <c r="D228" s="26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14624.8418490856</v>
      </c>
      <c r="E228" s="26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14624.8418490856</v>
      </c>
      <c r="F228" s="26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14624.8418490856</v>
      </c>
      <c r="G228" s="26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14624.8418490856</v>
      </c>
      <c r="H228" s="26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14624.8418490856</v>
      </c>
      <c r="I228" s="26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14624.8418490856</v>
      </c>
      <c r="J228" s="26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14624.8418490856</v>
      </c>
      <c r="K228" s="26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14624.8418490856</v>
      </c>
      <c r="L228" s="26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14624.8418490856</v>
      </c>
      <c r="M228" s="26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14624.8418490856</v>
      </c>
      <c r="N228" s="7" t="n">
        <f aca="false">SUM(B228:M228)</f>
        <v>175498.102189027</v>
      </c>
      <c r="O228" s="27" t="n">
        <f aca="false">MAX(B228:M228)</f>
        <v>14624.8418490856</v>
      </c>
      <c r="P228" s="15" t="n">
        <f aca="false">O228/parametros_recargas!$B$6</f>
        <v>97.4989456605704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6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1720.56962930418</v>
      </c>
      <c r="C229" s="26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1720.56962930418</v>
      </c>
      <c r="D229" s="26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1720.56962930418</v>
      </c>
      <c r="E229" s="26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1720.56962930418</v>
      </c>
      <c r="F229" s="26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1720.56962930418</v>
      </c>
      <c r="G229" s="26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1720.56962930418</v>
      </c>
      <c r="H229" s="26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1720.56962930418</v>
      </c>
      <c r="I229" s="26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1720.56962930418</v>
      </c>
      <c r="J229" s="26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1720.56962930418</v>
      </c>
      <c r="K229" s="26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1720.56962930418</v>
      </c>
      <c r="L229" s="26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1720.56962930418</v>
      </c>
      <c r="M229" s="26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1720.56962930418</v>
      </c>
      <c r="N229" s="7" t="n">
        <f aca="false">SUM(B229:M229)</f>
        <v>20646.8355516502</v>
      </c>
      <c r="O229" s="27" t="n">
        <f aca="false">MAX(B229:M229)</f>
        <v>1720.56962930418</v>
      </c>
      <c r="P229" s="15" t="n">
        <f aca="false">O229/parametros_recargas!$B$6</f>
        <v>11.4704641953612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24.5575486276271</v>
      </c>
      <c r="C230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24.5575486276271</v>
      </c>
      <c r="D230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24.5575486276271</v>
      </c>
      <c r="E230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24.5575486276271</v>
      </c>
      <c r="F230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24.5575486276271</v>
      </c>
      <c r="G230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24.5575486276271</v>
      </c>
      <c r="H230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24.5575486276271</v>
      </c>
      <c r="I230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24.5575486276271</v>
      </c>
      <c r="J230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24.5575486276271</v>
      </c>
      <c r="K230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24.5575486276271</v>
      </c>
      <c r="L230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24.5575486276271</v>
      </c>
      <c r="M230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24.5575486276271</v>
      </c>
      <c r="N230" s="7" t="n">
        <f aca="false">SUM(B230:M230)</f>
        <v>294.690583531525</v>
      </c>
      <c r="O230" s="27" t="n">
        <f aca="false">MAX(B230:M230)</f>
        <v>24.5575486276271</v>
      </c>
      <c r="P230" s="15" t="n">
        <f aca="false">O230/parametros_recargas!$B$6</f>
        <v>0.163716990850847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859.922453398465</v>
      </c>
      <c r="C231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859.922453398465</v>
      </c>
      <c r="D231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859.922453398465</v>
      </c>
      <c r="E231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859.922453398465</v>
      </c>
      <c r="F231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859.922453398465</v>
      </c>
      <c r="G231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859.922453398465</v>
      </c>
      <c r="H231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859.922453398465</v>
      </c>
      <c r="I231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859.922453398465</v>
      </c>
      <c r="J231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859.922453398465</v>
      </c>
      <c r="K231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859.922453398465</v>
      </c>
      <c r="L231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859.922453398465</v>
      </c>
      <c r="M231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859.922453398465</v>
      </c>
      <c r="N231" s="7" t="n">
        <f aca="false">SUM(B231:M231)</f>
        <v>10319.0694407816</v>
      </c>
      <c r="O231" s="27" t="n">
        <f aca="false">MAX(B231:M231)</f>
        <v>859.922453398465</v>
      </c>
      <c r="P231" s="15" t="n">
        <f aca="false">O231/parametros_recargas!$B$6</f>
        <v>5.73281635598977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393.280650541761</v>
      </c>
      <c r="C232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393.280650541761</v>
      </c>
      <c r="D232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393.280650541761</v>
      </c>
      <c r="E232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393.280650541761</v>
      </c>
      <c r="F232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393.280650541761</v>
      </c>
      <c r="G232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393.280650541761</v>
      </c>
      <c r="H232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393.280650541761</v>
      </c>
      <c r="I232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393.280650541761</v>
      </c>
      <c r="J232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393.280650541761</v>
      </c>
      <c r="K232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393.280650541761</v>
      </c>
      <c r="L232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393.280650541761</v>
      </c>
      <c r="M232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393.280650541761</v>
      </c>
      <c r="N232" s="7" t="n">
        <f aca="false">SUM(B232:M232)</f>
        <v>4719.36780650113</v>
      </c>
      <c r="O232" s="27" t="n">
        <f aca="false">MAX(B232:M232)</f>
        <v>393.280650541761</v>
      </c>
      <c r="P232" s="15" t="n">
        <f aca="false">O232/parametros_recargas!$B$6</f>
        <v>2.62187100361174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16.087031171829</v>
      </c>
      <c r="C233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16.087031171829</v>
      </c>
      <c r="D233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16.087031171829</v>
      </c>
      <c r="E233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16.087031171829</v>
      </c>
      <c r="F233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16.087031171829</v>
      </c>
      <c r="G233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16.087031171829</v>
      </c>
      <c r="H233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16.087031171829</v>
      </c>
      <c r="I233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16.087031171829</v>
      </c>
      <c r="J233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16.087031171829</v>
      </c>
      <c r="K233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16.087031171829</v>
      </c>
      <c r="L233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16.087031171829</v>
      </c>
      <c r="M233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16.087031171829</v>
      </c>
      <c r="N233" s="7" t="n">
        <f aca="false">SUM(B233:M233)</f>
        <v>193.044374061949</v>
      </c>
      <c r="O233" s="27" t="n">
        <f aca="false">MAX(B233:M233)</f>
        <v>16.087031171829</v>
      </c>
      <c r="P233" s="15" t="n">
        <f aca="false">O233/parametros_recargas!$B$6</f>
        <v>0.10724687447886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17252.266489231</v>
      </c>
      <c r="C234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17252.266489231</v>
      </c>
      <c r="D234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17252.266489231</v>
      </c>
      <c r="E234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17252.266489231</v>
      </c>
      <c r="F234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17252.266489231</v>
      </c>
      <c r="G234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17252.266489231</v>
      </c>
      <c r="H234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17252.266489231</v>
      </c>
      <c r="I234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17252.266489231</v>
      </c>
      <c r="J234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17252.266489231</v>
      </c>
      <c r="K234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17252.266489231</v>
      </c>
      <c r="L234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17252.266489231</v>
      </c>
      <c r="M234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17252.266489231</v>
      </c>
      <c r="N234" s="7" t="n">
        <f aca="false">SUM(B234:M234)</f>
        <v>207027.197870772</v>
      </c>
      <c r="O234" s="27" t="n">
        <f aca="false">MAX(B234:M234)</f>
        <v>17252.266489231</v>
      </c>
      <c r="P234" s="15" t="n">
        <f aca="false">O234/parametros_recargas!$B$6</f>
        <v>115.015109928207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1269.29013511205</v>
      </c>
      <c r="C235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1269.29013511205</v>
      </c>
      <c r="D235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1269.29013511205</v>
      </c>
      <c r="E235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1269.29013511205</v>
      </c>
      <c r="F235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1269.29013511205</v>
      </c>
      <c r="G235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1269.29013511205</v>
      </c>
      <c r="H235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1269.29013511205</v>
      </c>
      <c r="I235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1269.29013511205</v>
      </c>
      <c r="J235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1269.29013511205</v>
      </c>
      <c r="K235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1269.29013511205</v>
      </c>
      <c r="L235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1269.29013511205</v>
      </c>
      <c r="M235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1269.29013511205</v>
      </c>
      <c r="N235" s="7" t="n">
        <f aca="false">SUM(B235:M235)</f>
        <v>15231.4816213447</v>
      </c>
      <c r="O235" s="27" t="n">
        <f aca="false">MAX(B235:M235)</f>
        <v>1269.29013511205</v>
      </c>
      <c r="P235" s="15" t="n">
        <f aca="false">O235/parametros_recargas!$B$6</f>
        <v>8.46193423408036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17.2302538416695</v>
      </c>
      <c r="C236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17.2302538416695</v>
      </c>
      <c r="D236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17.2302538416695</v>
      </c>
      <c r="E236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17.2302538416695</v>
      </c>
      <c r="F236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17.2302538416695</v>
      </c>
      <c r="G236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17.2302538416695</v>
      </c>
      <c r="H236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17.2302538416695</v>
      </c>
      <c r="I236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17.2302538416695</v>
      </c>
      <c r="J236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17.2302538416695</v>
      </c>
      <c r="K236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17.2302538416695</v>
      </c>
      <c r="L236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17.2302538416695</v>
      </c>
      <c r="M236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17.2302538416695</v>
      </c>
      <c r="N236" s="7" t="n">
        <f aca="false">SUM(B236:M236)</f>
        <v>206.763046100034</v>
      </c>
      <c r="O236" s="27" t="n">
        <f aca="false">MAX(B236:M236)</f>
        <v>17.2302538416695</v>
      </c>
      <c r="P236" s="15" t="n">
        <f aca="false">O236/parametros_recargas!$B$6</f>
        <v>0.114868358944463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4207.90866991631</v>
      </c>
      <c r="C237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4207.90866991631</v>
      </c>
      <c r="D237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4207.90866991631</v>
      </c>
      <c r="E237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4207.90866991631</v>
      </c>
      <c r="F237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4207.90866991631</v>
      </c>
      <c r="G237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4207.90866991631</v>
      </c>
      <c r="H237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4207.90866991631</v>
      </c>
      <c r="I237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4207.90866991631</v>
      </c>
      <c r="J237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4207.90866991631</v>
      </c>
      <c r="K237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4207.90866991631</v>
      </c>
      <c r="L237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4207.90866991631</v>
      </c>
      <c r="M237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4207.90866991631</v>
      </c>
      <c r="N237" s="7" t="n">
        <f aca="false">SUM(B237:M237)</f>
        <v>50494.9040389957</v>
      </c>
      <c r="O237" s="27" t="n">
        <f aca="false">MAX(B237:M237)</f>
        <v>4207.90866991631</v>
      </c>
      <c r="P237" s="15" t="n">
        <f aca="false">O237/parametros_recargas!$B$6</f>
        <v>28.0527244661087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3950.47010810938</v>
      </c>
      <c r="C238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3950.47010810938</v>
      </c>
      <c r="D238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3950.47010810938</v>
      </c>
      <c r="E238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3950.47010810938</v>
      </c>
      <c r="F238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3950.47010810938</v>
      </c>
      <c r="G238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3950.47010810938</v>
      </c>
      <c r="H238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3950.47010810938</v>
      </c>
      <c r="I238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3950.47010810938</v>
      </c>
      <c r="J238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3950.47010810938</v>
      </c>
      <c r="K238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3950.47010810938</v>
      </c>
      <c r="L238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3950.47010810938</v>
      </c>
      <c r="M238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3950.47010810938</v>
      </c>
      <c r="N238" s="7" t="n">
        <f aca="false">SUM(B238:M238)</f>
        <v>47405.6412973126</v>
      </c>
      <c r="O238" s="27" t="n">
        <f aca="false">MAX(B238:M238)</f>
        <v>3950.47010810938</v>
      </c>
      <c r="P238" s="15" t="n">
        <f aca="false">O238/parametros_recargas!$B$6</f>
        <v>26.3364673873959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3950.47010810938</v>
      </c>
      <c r="C239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3950.47010810938</v>
      </c>
      <c r="D239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3950.47010810938</v>
      </c>
      <c r="E239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3950.47010810938</v>
      </c>
      <c r="F239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3950.47010810938</v>
      </c>
      <c r="G239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3950.47010810938</v>
      </c>
      <c r="H239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3950.47010810938</v>
      </c>
      <c r="I239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3950.47010810938</v>
      </c>
      <c r="J239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3950.47010810938</v>
      </c>
      <c r="K239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3950.47010810938</v>
      </c>
      <c r="L239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3950.47010810938</v>
      </c>
      <c r="M239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3950.47010810938</v>
      </c>
      <c r="N239" s="7" t="n">
        <f aca="false">SUM(B239:M239)</f>
        <v>47405.6412973126</v>
      </c>
      <c r="O239" s="27" t="n">
        <f aca="false">MAX(B239:M239)</f>
        <v>3950.47010810938</v>
      </c>
      <c r="P239" s="15" t="n">
        <f aca="false">O239/parametros_recargas!$B$6</f>
        <v>26.3364673873959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1974.96596694838</v>
      </c>
      <c r="C240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1974.96596694838</v>
      </c>
      <c r="D240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1974.96596694838</v>
      </c>
      <c r="E240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1974.96596694838</v>
      </c>
      <c r="F240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1974.96596694838</v>
      </c>
      <c r="G240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1974.96596694838</v>
      </c>
      <c r="H240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1974.96596694838</v>
      </c>
      <c r="I240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1974.96596694838</v>
      </c>
      <c r="J240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1974.96596694838</v>
      </c>
      <c r="K240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1974.96596694838</v>
      </c>
      <c r="L240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1974.96596694838</v>
      </c>
      <c r="M240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1974.96596694838</v>
      </c>
      <c r="N240" s="7" t="n">
        <f aca="false">SUM(B240:M240)</f>
        <v>23699.5916033806</v>
      </c>
      <c r="O240" s="27" t="n">
        <f aca="false">MAX(B240:M240)</f>
        <v>1974.96596694838</v>
      </c>
      <c r="P240" s="15" t="n">
        <f aca="false">O240/parametros_recargas!$B$6</f>
        <v>13.1664397796559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17205.6962930418</v>
      </c>
      <c r="C241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17205.6962930418</v>
      </c>
      <c r="D241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17205.6962930418</v>
      </c>
      <c r="E241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17205.6962930418</v>
      </c>
      <c r="F241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17205.6962930418</v>
      </c>
      <c r="G241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17205.6962930418</v>
      </c>
      <c r="H241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17205.6962930418</v>
      </c>
      <c r="I241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17205.6962930418</v>
      </c>
      <c r="J241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17205.6962930418</v>
      </c>
      <c r="K241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17205.6962930418</v>
      </c>
      <c r="L241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17205.6962930418</v>
      </c>
      <c r="M241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17205.6962930418</v>
      </c>
      <c r="N241" s="7" t="n">
        <f aca="false">SUM(B241:M241)</f>
        <v>206468.355516502</v>
      </c>
      <c r="O241" s="27" t="n">
        <f aca="false">MAX(B241:M241)</f>
        <v>17205.6962930418</v>
      </c>
      <c r="P241" s="15" t="n">
        <f aca="false">O241/parametros_recargas!$B$6</f>
        <v>114.704641953612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24.5575486276271</v>
      </c>
      <c r="C242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24.5575486276271</v>
      </c>
      <c r="D242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24.5575486276271</v>
      </c>
      <c r="E242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24.5575486276271</v>
      </c>
      <c r="F242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24.5575486276271</v>
      </c>
      <c r="G242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24.5575486276271</v>
      </c>
      <c r="H242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24.5575486276271</v>
      </c>
      <c r="I242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24.5575486276271</v>
      </c>
      <c r="J242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24.5575486276271</v>
      </c>
      <c r="K242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24.5575486276271</v>
      </c>
      <c r="L242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24.5575486276271</v>
      </c>
      <c r="M242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24.5575486276271</v>
      </c>
      <c r="N242" s="7" t="n">
        <f aca="false">SUM(B242:M242)</f>
        <v>294.690583531525</v>
      </c>
      <c r="O242" s="27" t="n">
        <f aca="false">MAX(B242:M242)</f>
        <v>24.5575486276271</v>
      </c>
      <c r="P242" s="15" t="n">
        <f aca="false">O242/parametros_recargas!$B$6</f>
        <v>0.163716990850847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22.0126475615436</v>
      </c>
      <c r="C243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22.0126475615436</v>
      </c>
      <c r="D243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22.0126475615436</v>
      </c>
      <c r="E243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22.0126475615436</v>
      </c>
      <c r="F243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22.0126475615436</v>
      </c>
      <c r="G243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22.0126475615436</v>
      </c>
      <c r="H243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22.0126475615436</v>
      </c>
      <c r="I243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22.0126475615436</v>
      </c>
      <c r="J243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22.0126475615436</v>
      </c>
      <c r="K243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22.0126475615436</v>
      </c>
      <c r="L243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22.0126475615436</v>
      </c>
      <c r="M243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22.0126475615436</v>
      </c>
      <c r="N243" s="7" t="n">
        <f aca="false">SUM(B243:M243)</f>
        <v>264.151770738523</v>
      </c>
      <c r="O243" s="27" t="n">
        <f aca="false">MAX(B243:M243)</f>
        <v>22.0126475615436</v>
      </c>
      <c r="P243" s="15" t="n">
        <f aca="false">O243/parametros_recargas!$B$6</f>
        <v>0.146750983743624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859.922453398465</v>
      </c>
      <c r="C244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859.922453398465</v>
      </c>
      <c r="D244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859.922453398465</v>
      </c>
      <c r="E244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859.922453398465</v>
      </c>
      <c r="F244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859.922453398465</v>
      </c>
      <c r="G244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859.922453398465</v>
      </c>
      <c r="H244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859.922453398465</v>
      </c>
      <c r="I244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859.922453398465</v>
      </c>
      <c r="J244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859.922453398465</v>
      </c>
      <c r="K244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859.922453398465</v>
      </c>
      <c r="L244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859.922453398465</v>
      </c>
      <c r="M244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859.922453398465</v>
      </c>
      <c r="N244" s="7" t="n">
        <f aca="false">SUM(B244:M244)</f>
        <v>10319.0694407816</v>
      </c>
      <c r="O244" s="27" t="n">
        <f aca="false">MAX(B244:M244)</f>
        <v>859.922453398465</v>
      </c>
      <c r="P244" s="15" t="n">
        <f aca="false">O244/parametros_recargas!$B$6</f>
        <v>5.73281635598977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471.936780650113</v>
      </c>
      <c r="C245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471.936780650113</v>
      </c>
      <c r="D245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471.936780650113</v>
      </c>
      <c r="E245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471.936780650113</v>
      </c>
      <c r="F245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471.936780650113</v>
      </c>
      <c r="G245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471.936780650113</v>
      </c>
      <c r="H245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471.936780650113</v>
      </c>
      <c r="I245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471.936780650113</v>
      </c>
      <c r="J245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471.936780650113</v>
      </c>
      <c r="K245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471.936780650113</v>
      </c>
      <c r="L245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471.936780650113</v>
      </c>
      <c r="M245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471.936780650113</v>
      </c>
      <c r="N245" s="7" t="n">
        <f aca="false">SUM(B245:M245)</f>
        <v>5663.24136780135</v>
      </c>
      <c r="O245" s="27" t="n">
        <f aca="false">MAX(B245:M245)</f>
        <v>471.936780650113</v>
      </c>
      <c r="P245" s="15" t="n">
        <f aca="false">O245/parametros_recargas!$B$6</f>
        <v>3.14624520433408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17252.266489231</v>
      </c>
      <c r="C246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17252.266489231</v>
      </c>
      <c r="D246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17252.266489231</v>
      </c>
      <c r="E246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17252.266489231</v>
      </c>
      <c r="F246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17252.266489231</v>
      </c>
      <c r="G246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17252.266489231</v>
      </c>
      <c r="H246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17252.266489231</v>
      </c>
      <c r="I246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17252.266489231</v>
      </c>
      <c r="J246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17252.266489231</v>
      </c>
      <c r="K246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17252.266489231</v>
      </c>
      <c r="L246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17252.266489231</v>
      </c>
      <c r="M246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17252.266489231</v>
      </c>
      <c r="N246" s="7" t="n">
        <f aca="false">SUM(B246:M246)</f>
        <v>207027.197870772</v>
      </c>
      <c r="O246" s="27" t="n">
        <f aca="false">MAX(B246:M246)</f>
        <v>17252.266489231</v>
      </c>
      <c r="P246" s="15" t="n">
        <f aca="false">O246/parametros_recargas!$B$6</f>
        <v>115.015109928207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17252.266489231</v>
      </c>
      <c r="C247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17252.266489231</v>
      </c>
      <c r="D247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17252.266489231</v>
      </c>
      <c r="E247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17252.266489231</v>
      </c>
      <c r="F247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17252.266489231</v>
      </c>
      <c r="G247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17252.266489231</v>
      </c>
      <c r="H247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17252.266489231</v>
      </c>
      <c r="I247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17252.266489231</v>
      </c>
      <c r="J247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17252.266489231</v>
      </c>
      <c r="K247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17252.266489231</v>
      </c>
      <c r="L247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17252.266489231</v>
      </c>
      <c r="M247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17252.266489231</v>
      </c>
      <c r="N247" s="7" t="n">
        <f aca="false">SUM(B247:M247)</f>
        <v>207027.197870772</v>
      </c>
      <c r="O247" s="27" t="n">
        <f aca="false">MAX(B247:M247)</f>
        <v>17252.266489231</v>
      </c>
      <c r="P247" s="15" t="n">
        <f aca="false">O247/parametros_recargas!$B$6</f>
        <v>115.015109928207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1269.29013511205</v>
      </c>
      <c r="C248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1269.29013511205</v>
      </c>
      <c r="D248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1269.29013511205</v>
      </c>
      <c r="E248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1269.29013511205</v>
      </c>
      <c r="F248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1269.29013511205</v>
      </c>
      <c r="G248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1269.29013511205</v>
      </c>
      <c r="H248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1269.29013511205</v>
      </c>
      <c r="I248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1269.29013511205</v>
      </c>
      <c r="J248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1269.29013511205</v>
      </c>
      <c r="K248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1269.29013511205</v>
      </c>
      <c r="L248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1269.29013511205</v>
      </c>
      <c r="M248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1269.29013511205</v>
      </c>
      <c r="N248" s="7" t="n">
        <f aca="false">SUM(B248:M248)</f>
        <v>15231.4816213447</v>
      </c>
      <c r="O248" s="27" t="n">
        <f aca="false">MAX(B248:M248)</f>
        <v>1269.29013511205</v>
      </c>
      <c r="P248" s="15" t="n">
        <f aca="false">O248/parametros_recargas!$B$6</f>
        <v>8.46193423408036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16.087031171829</v>
      </c>
      <c r="C249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16.087031171829</v>
      </c>
      <c r="D249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16.087031171829</v>
      </c>
      <c r="E249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16.087031171829</v>
      </c>
      <c r="F249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16.087031171829</v>
      </c>
      <c r="G249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16.087031171829</v>
      </c>
      <c r="H249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16.087031171829</v>
      </c>
      <c r="I249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16.087031171829</v>
      </c>
      <c r="J249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16.087031171829</v>
      </c>
      <c r="K249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16.087031171829</v>
      </c>
      <c r="L249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16.087031171829</v>
      </c>
      <c r="M249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16.087031171829</v>
      </c>
      <c r="N249" s="7" t="n">
        <f aca="false">SUM(B249:M249)</f>
        <v>193.044374061949</v>
      </c>
      <c r="O249" s="27" t="n">
        <f aca="false">MAX(B249:M249)</f>
        <v>16.087031171829</v>
      </c>
      <c r="P249" s="15" t="n">
        <f aca="false">O249/parametros_recargas!$B$6</f>
        <v>0.10724687447886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1149.44691503242</v>
      </c>
      <c r="C250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1149.44691503242</v>
      </c>
      <c r="D250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1149.44691503242</v>
      </c>
      <c r="E250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1149.44691503242</v>
      </c>
      <c r="F250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1149.44691503242</v>
      </c>
      <c r="G250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1149.44691503242</v>
      </c>
      <c r="H250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1149.44691503242</v>
      </c>
      <c r="I250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1149.44691503242</v>
      </c>
      <c r="J250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1149.44691503242</v>
      </c>
      <c r="K250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1149.44691503242</v>
      </c>
      <c r="L250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1149.44691503242</v>
      </c>
      <c r="M250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1149.44691503242</v>
      </c>
      <c r="N250" s="7" t="n">
        <f aca="false">SUM(B250:M250)</f>
        <v>13793.362980389</v>
      </c>
      <c r="O250" s="27" t="n">
        <f aca="false">MAX(B250:M250)</f>
        <v>1149.44691503242</v>
      </c>
      <c r="P250" s="15" t="n">
        <f aca="false">O250/parametros_recargas!$B$6</f>
        <v>7.66297943354944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19749.6596694838</v>
      </c>
      <c r="C251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19749.6596694838</v>
      </c>
      <c r="D251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19749.6596694838</v>
      </c>
      <c r="E251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19749.6596694838</v>
      </c>
      <c r="F251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19749.6596694838</v>
      </c>
      <c r="G251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19749.6596694838</v>
      </c>
      <c r="H251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19749.6596694838</v>
      </c>
      <c r="I251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19749.6596694838</v>
      </c>
      <c r="J251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19749.6596694838</v>
      </c>
      <c r="K251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19749.6596694838</v>
      </c>
      <c r="L251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19749.6596694838</v>
      </c>
      <c r="M251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19749.6596694838</v>
      </c>
      <c r="N251" s="7" t="n">
        <f aca="false">SUM(B251:M251)</f>
        <v>236995.916033806</v>
      </c>
      <c r="O251" s="27" t="n">
        <f aca="false">MAX(B251:M251)</f>
        <v>19749.6596694838</v>
      </c>
      <c r="P251" s="15" t="n">
        <f aca="false">O251/parametros_recargas!$B$6</f>
        <v>131.664397796559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19749.6596694838</v>
      </c>
      <c r="C252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19749.6596694838</v>
      </c>
      <c r="D252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19749.6596694838</v>
      </c>
      <c r="E252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19749.6596694838</v>
      </c>
      <c r="F252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19749.6596694838</v>
      </c>
      <c r="G252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19749.6596694838</v>
      </c>
      <c r="H252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19749.6596694838</v>
      </c>
      <c r="I252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19749.6596694838</v>
      </c>
      <c r="J252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19749.6596694838</v>
      </c>
      <c r="K252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19749.6596694838</v>
      </c>
      <c r="L252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19749.6596694838</v>
      </c>
      <c r="M252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19749.6596694838</v>
      </c>
      <c r="N252" s="7" t="n">
        <f aca="false">SUM(B252:M252)</f>
        <v>236995.916033806</v>
      </c>
      <c r="O252" s="27" t="n">
        <f aca="false">MAX(B252:M252)</f>
        <v>19749.6596694838</v>
      </c>
      <c r="P252" s="15" t="n">
        <f aca="false">O252/parametros_recargas!$B$6</f>
        <v>131.664397796559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1553.75406352259</v>
      </c>
      <c r="C253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1553.75406352259</v>
      </c>
      <c r="D253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1553.75406352259</v>
      </c>
      <c r="E253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1553.75406352259</v>
      </c>
      <c r="F253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1553.75406352259</v>
      </c>
      <c r="G253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1553.75406352259</v>
      </c>
      <c r="H253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1553.75406352259</v>
      </c>
      <c r="I253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1553.75406352259</v>
      </c>
      <c r="J253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1553.75406352259</v>
      </c>
      <c r="K253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1553.75406352259</v>
      </c>
      <c r="L253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1553.75406352259</v>
      </c>
      <c r="M253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1553.75406352259</v>
      </c>
      <c r="N253" s="7" t="n">
        <f aca="false">SUM(B253:M253)</f>
        <v>18645.0487622711</v>
      </c>
      <c r="O253" s="27" t="n">
        <f aca="false">MAX(B253:M253)</f>
        <v>1553.75406352259</v>
      </c>
      <c r="P253" s="15" t="n">
        <f aca="false">O253/parametros_recargas!$B$6</f>
        <v>10.3583604234839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6" t="n">
        <f aca="false">'Plan mensual'!D253</f>
        <v>652.734293893292</v>
      </c>
      <c r="C254" s="26" t="n">
        <f aca="false">'Plan mensual'!E253</f>
        <v>652.734293893292</v>
      </c>
      <c r="D254" s="26" t="n">
        <f aca="false">'Plan mensual'!F253</f>
        <v>652.734293893292</v>
      </c>
      <c r="E254" s="26" t="n">
        <f aca="false">'Plan mensual'!G253</f>
        <v>652.734293893292</v>
      </c>
      <c r="F254" s="26" t="n">
        <f aca="false">'Plan mensual'!H253</f>
        <v>652.734293893292</v>
      </c>
      <c r="G254" s="26" t="n">
        <f aca="false">'Plan mensual'!I253</f>
        <v>652.734293893292</v>
      </c>
      <c r="H254" s="26" t="n">
        <f aca="false">'Plan mensual'!J253</f>
        <v>652.734293893292</v>
      </c>
      <c r="I254" s="26" t="n">
        <f aca="false">'Plan mensual'!K253</f>
        <v>652.734293893292</v>
      </c>
      <c r="J254" s="26" t="n">
        <f aca="false">'Plan mensual'!L253</f>
        <v>652.734293893292</v>
      </c>
      <c r="K254" s="26" t="n">
        <f aca="false">'Plan mensual'!M253</f>
        <v>652.734293893292</v>
      </c>
      <c r="L254" s="26" t="n">
        <f aca="false">'Plan mensual'!N253</f>
        <v>652.734293893292</v>
      </c>
      <c r="M254" s="26" t="n">
        <f aca="false">'Plan mensual'!O253</f>
        <v>652.734293893292</v>
      </c>
      <c r="N254" s="7" t="n">
        <f aca="false">SUM(B254:M254)</f>
        <v>7832.81152671951</v>
      </c>
      <c r="O254" s="27" t="n">
        <f aca="false">MAX(B254:M254)</f>
        <v>652.734293893292</v>
      </c>
      <c r="P254" s="15" t="n">
        <f aca="false">O254/parametros_recargas!$B$6</f>
        <v>4.35156195928861</v>
      </c>
    </row>
    <row r="257" customFormat="false" ht="23.85" hidden="false" customHeight="false" outlineLevel="0" collapsed="false">
      <c r="A257" s="3" t="s">
        <v>324</v>
      </c>
      <c r="B257" s="3" t="s">
        <v>133</v>
      </c>
      <c r="C257" s="3" t="s">
        <v>134</v>
      </c>
      <c r="D257" s="3" t="s">
        <v>135</v>
      </c>
      <c r="E257" s="3" t="s">
        <v>136</v>
      </c>
      <c r="F257" s="3" t="s">
        <v>137</v>
      </c>
      <c r="G257" s="3" t="s">
        <v>138</v>
      </c>
      <c r="H257" s="3" t="s">
        <v>139</v>
      </c>
      <c r="I257" s="3" t="s">
        <v>140</v>
      </c>
      <c r="J257" s="3" t="s">
        <v>141</v>
      </c>
      <c r="K257" s="3" t="s">
        <v>142</v>
      </c>
      <c r="L257" s="3" t="s">
        <v>143</v>
      </c>
      <c r="M257" s="3" t="s">
        <v>144</v>
      </c>
      <c r="N257" s="3" t="s">
        <v>314</v>
      </c>
      <c r="O257" s="3" t="s">
        <v>315</v>
      </c>
      <c r="P257" s="3" t="s">
        <v>316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6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21251.1778480101</v>
      </c>
      <c r="C258" s="26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21251.1778480101</v>
      </c>
      <c r="D258" s="26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21251.1778480101</v>
      </c>
      <c r="E258" s="26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21251.1778480101</v>
      </c>
      <c r="F258" s="26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21251.1778480101</v>
      </c>
      <c r="G258" s="26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21251.1778480101</v>
      </c>
      <c r="H258" s="26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21251.1778480101</v>
      </c>
      <c r="I258" s="26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21251.1778480101</v>
      </c>
      <c r="J258" s="26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21251.1778480101</v>
      </c>
      <c r="K258" s="26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21251.1778480101</v>
      </c>
      <c r="L258" s="26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21251.1778480101</v>
      </c>
      <c r="M258" s="26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21251.1778480101</v>
      </c>
      <c r="N258" s="7" t="n">
        <f aca="false">SUM(B258:M258)</f>
        <v>255014.134176122</v>
      </c>
      <c r="O258" s="27" t="n">
        <f aca="false">MAX(B258:M258)</f>
        <v>21251.1778480101</v>
      </c>
      <c r="P258" s="15" t="n">
        <f aca="false">O258/parametros_recargas!$B$6</f>
        <v>141.674518986734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6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21251.1778480101</v>
      </c>
      <c r="C259" s="26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21251.1778480101</v>
      </c>
      <c r="D259" s="26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21251.1778480101</v>
      </c>
      <c r="E259" s="26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21251.1778480101</v>
      </c>
      <c r="F259" s="26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21251.1778480101</v>
      </c>
      <c r="G259" s="26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21251.1778480101</v>
      </c>
      <c r="H259" s="26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21251.1778480101</v>
      </c>
      <c r="I259" s="26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21251.1778480101</v>
      </c>
      <c r="J259" s="26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21251.1778480101</v>
      </c>
      <c r="K259" s="26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21251.1778480101</v>
      </c>
      <c r="L259" s="26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21251.1778480101</v>
      </c>
      <c r="M259" s="26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21251.1778480101</v>
      </c>
      <c r="N259" s="7" t="n">
        <f aca="false">SUM(B259:M259)</f>
        <v>255014.134176122</v>
      </c>
      <c r="O259" s="27" t="n">
        <f aca="false">MAX(B259:M259)</f>
        <v>21251.1778480101</v>
      </c>
      <c r="P259" s="15" t="n">
        <f aca="false">O259/parametros_recargas!$B$6</f>
        <v>141.674518986734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6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15722.7225780887</v>
      </c>
      <c r="C260" s="26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15722.7225780887</v>
      </c>
      <c r="D260" s="26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15722.7225780887</v>
      </c>
      <c r="E260" s="26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15722.7225780887</v>
      </c>
      <c r="F260" s="26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15722.7225780887</v>
      </c>
      <c r="G260" s="26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15722.7225780887</v>
      </c>
      <c r="H260" s="26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15722.7225780887</v>
      </c>
      <c r="I260" s="26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15722.7225780887</v>
      </c>
      <c r="J260" s="26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15722.7225780887</v>
      </c>
      <c r="K260" s="26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15722.7225780887</v>
      </c>
      <c r="L260" s="26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15722.7225780887</v>
      </c>
      <c r="M260" s="26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15722.7225780887</v>
      </c>
      <c r="N260" s="7" t="n">
        <f aca="false">SUM(B260:M260)</f>
        <v>188672.670937064</v>
      </c>
      <c r="O260" s="27" t="n">
        <f aca="false">MAX(B260:M260)</f>
        <v>15722.7225780887</v>
      </c>
      <c r="P260" s="15" t="n">
        <f aca="false">O260/parametros_recargas!$B$6</f>
        <v>104.818150520591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6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1849.73206801043</v>
      </c>
      <c r="C261" s="26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1849.73206801043</v>
      </c>
      <c r="D261" s="26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1849.73206801043</v>
      </c>
      <c r="E261" s="26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1849.73206801043</v>
      </c>
      <c r="F261" s="26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1849.73206801043</v>
      </c>
      <c r="G261" s="26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1849.73206801043</v>
      </c>
      <c r="H261" s="26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1849.73206801043</v>
      </c>
      <c r="I261" s="26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1849.73206801043</v>
      </c>
      <c r="J261" s="26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1849.73206801043</v>
      </c>
      <c r="K261" s="26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1849.73206801043</v>
      </c>
      <c r="L261" s="26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1849.73206801043</v>
      </c>
      <c r="M261" s="26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1849.73206801043</v>
      </c>
      <c r="N261" s="7" t="n">
        <f aca="false">SUM(B261:M261)</f>
        <v>22196.7848161252</v>
      </c>
      <c r="O261" s="27" t="n">
        <f aca="false">MAX(B261:M261)</f>
        <v>1849.73206801043</v>
      </c>
      <c r="P261" s="15" t="n">
        <f aca="false">O261/parametros_recargas!$B$6</f>
        <v>12.3315471200696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26.7742761834888</v>
      </c>
      <c r="C262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26.7742761834888</v>
      </c>
      <c r="D262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26.7742761834888</v>
      </c>
      <c r="E262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26.7742761834888</v>
      </c>
      <c r="F262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26.7742761834888</v>
      </c>
      <c r="G262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26.7742761834888</v>
      </c>
      <c r="H262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26.7742761834888</v>
      </c>
      <c r="I262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26.7742761834888</v>
      </c>
      <c r="J262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26.7742761834888</v>
      </c>
      <c r="K262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26.7742761834888</v>
      </c>
      <c r="L262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26.7742761834888</v>
      </c>
      <c r="M262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26.7742761834888</v>
      </c>
      <c r="N262" s="7" t="n">
        <f aca="false">SUM(B262:M262)</f>
        <v>321.291314201865</v>
      </c>
      <c r="O262" s="27" t="n">
        <f aca="false">MAX(B262:M262)</f>
        <v>26.7742761834888</v>
      </c>
      <c r="P262" s="15" t="n">
        <f aca="false">O262/parametros_recargas!$B$6</f>
        <v>0.178495174556592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931.69966491867</v>
      </c>
      <c r="C263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931.69966491867</v>
      </c>
      <c r="D263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931.69966491867</v>
      </c>
      <c r="E263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931.69966491867</v>
      </c>
      <c r="F263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931.69966491867</v>
      </c>
      <c r="G263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931.69966491867</v>
      </c>
      <c r="H263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931.69966491867</v>
      </c>
      <c r="I263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931.69966491867</v>
      </c>
      <c r="J263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931.69966491867</v>
      </c>
      <c r="K263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931.69966491867</v>
      </c>
      <c r="L263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931.69966491867</v>
      </c>
      <c r="M263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931.69966491867</v>
      </c>
      <c r="N263" s="7" t="n">
        <f aca="false">SUM(B263:M263)</f>
        <v>11180.395979024</v>
      </c>
      <c r="O263" s="27" t="n">
        <f aca="false">MAX(B263:M263)</f>
        <v>931.69966491867</v>
      </c>
      <c r="P263" s="15" t="n">
        <f aca="false">O263/parametros_recargas!$B$6</f>
        <v>6.2113310994578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425.223460056331</v>
      </c>
      <c r="C264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425.223460056331</v>
      </c>
      <c r="D264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425.223460056331</v>
      </c>
      <c r="E264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425.223460056331</v>
      </c>
      <c r="F264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425.223460056331</v>
      </c>
      <c r="G264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425.223460056331</v>
      </c>
      <c r="H264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425.223460056331</v>
      </c>
      <c r="I264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425.223460056331</v>
      </c>
      <c r="J264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425.223460056331</v>
      </c>
      <c r="K264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425.223460056331</v>
      </c>
      <c r="L264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425.223460056331</v>
      </c>
      <c r="M264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425.223460056331</v>
      </c>
      <c r="N264" s="7" t="n">
        <f aca="false">SUM(B264:M264)</f>
        <v>5102.68152067598</v>
      </c>
      <c r="O264" s="27" t="n">
        <f aca="false">MAX(B264:M264)</f>
        <v>425.223460056331</v>
      </c>
      <c r="P264" s="15" t="n">
        <f aca="false">O264/parametros_recargas!$B$6</f>
        <v>2.83482306704221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17.5827138235191</v>
      </c>
      <c r="C265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17.5827138235191</v>
      </c>
      <c r="D265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17.5827138235191</v>
      </c>
      <c r="E265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17.5827138235191</v>
      </c>
      <c r="F265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17.5827138235191</v>
      </c>
      <c r="G265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17.5827138235191</v>
      </c>
      <c r="H265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17.5827138235191</v>
      </c>
      <c r="I265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17.5827138235191</v>
      </c>
      <c r="J265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17.5827138235191</v>
      </c>
      <c r="K265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17.5827138235191</v>
      </c>
      <c r="L265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17.5827138235191</v>
      </c>
      <c r="M265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17.5827138235191</v>
      </c>
      <c r="N265" s="7" t="n">
        <f aca="false">SUM(B265:M265)</f>
        <v>210.99256588223</v>
      </c>
      <c r="O265" s="27" t="n">
        <f aca="false">MAX(B265:M265)</f>
        <v>17.5827138235191</v>
      </c>
      <c r="P265" s="15" t="n">
        <f aca="false">O265/parametros_recargas!$B$6</f>
        <v>0.117218092156794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18548.2534875721</v>
      </c>
      <c r="C266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18548.2534875721</v>
      </c>
      <c r="D266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18548.2534875721</v>
      </c>
      <c r="E266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18548.2534875721</v>
      </c>
      <c r="F266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18548.2534875721</v>
      </c>
      <c r="G266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18548.2534875721</v>
      </c>
      <c r="H266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18548.2534875721</v>
      </c>
      <c r="I266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18548.2534875721</v>
      </c>
      <c r="J266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18548.2534875721</v>
      </c>
      <c r="K266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18548.2534875721</v>
      </c>
      <c r="L266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18548.2534875721</v>
      </c>
      <c r="M266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18548.2534875721</v>
      </c>
      <c r="N266" s="7" t="n">
        <f aca="false">SUM(B266:M266)</f>
        <v>222579.041850865</v>
      </c>
      <c r="O266" s="27" t="n">
        <f aca="false">MAX(B266:M266)</f>
        <v>18548.2534875721</v>
      </c>
      <c r="P266" s="15" t="n">
        <f aca="false">O266/parametros_recargas!$B$6</f>
        <v>123.65502325048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1374.50583879852</v>
      </c>
      <c r="C267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1374.50583879852</v>
      </c>
      <c r="D267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1374.50583879852</v>
      </c>
      <c r="E267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1374.50583879852</v>
      </c>
      <c r="F267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1374.50583879852</v>
      </c>
      <c r="G267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1374.50583879852</v>
      </c>
      <c r="H267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1374.50583879852</v>
      </c>
      <c r="I267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1374.50583879852</v>
      </c>
      <c r="J267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1374.50583879852</v>
      </c>
      <c r="K267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1374.50583879852</v>
      </c>
      <c r="L267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1374.50583879852</v>
      </c>
      <c r="M267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1374.50583879852</v>
      </c>
      <c r="N267" s="7" t="n">
        <f aca="false">SUM(B267:M267)</f>
        <v>16494.0700655822</v>
      </c>
      <c r="O267" s="27" t="n">
        <f aca="false">MAX(B267:M267)</f>
        <v>1374.50583879852</v>
      </c>
      <c r="P267" s="15" t="n">
        <f aca="false">O267/parametros_recargas!$B$6</f>
        <v>9.1633722586568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18.5240949562878</v>
      </c>
      <c r="C268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18.5240949562878</v>
      </c>
      <c r="D268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18.5240949562878</v>
      </c>
      <c r="E268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18.5240949562878</v>
      </c>
      <c r="F268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18.5240949562878</v>
      </c>
      <c r="G268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18.5240949562878</v>
      </c>
      <c r="H268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18.5240949562878</v>
      </c>
      <c r="I268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18.5240949562878</v>
      </c>
      <c r="J268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18.5240949562878</v>
      </c>
      <c r="K268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18.5240949562878</v>
      </c>
      <c r="L268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18.5240949562878</v>
      </c>
      <c r="M268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18.5240949562878</v>
      </c>
      <c r="N268" s="7" t="n">
        <f aca="false">SUM(B268:M268)</f>
        <v>222.289139475454</v>
      </c>
      <c r="O268" s="27" t="n">
        <f aca="false">MAX(B268:M268)</f>
        <v>18.5240949562878</v>
      </c>
      <c r="P268" s="15" t="n">
        <f aca="false">O268/parametros_recargas!$B$6</f>
        <v>0.123493966375252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4529.74546907763</v>
      </c>
      <c r="C269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4529.74546907763</v>
      </c>
      <c r="D269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4529.74546907763</v>
      </c>
      <c r="E269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4529.74546907763</v>
      </c>
      <c r="F269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4529.74546907763</v>
      </c>
      <c r="G269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4529.74546907763</v>
      </c>
      <c r="H269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4529.74546907763</v>
      </c>
      <c r="I269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4529.74546907763</v>
      </c>
      <c r="J269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4529.74546907763</v>
      </c>
      <c r="K269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4529.74546907763</v>
      </c>
      <c r="L269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4529.74546907763</v>
      </c>
      <c r="M269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4529.74546907763</v>
      </c>
      <c r="N269" s="7" t="n">
        <f aca="false">SUM(B269:M269)</f>
        <v>54356.9456289316</v>
      </c>
      <c r="O269" s="27" t="n">
        <f aca="false">MAX(B269:M269)</f>
        <v>4529.74546907763</v>
      </c>
      <c r="P269" s="15" t="n">
        <f aca="false">O269/parametros_recargas!$B$6</f>
        <v>30.1983031271842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4249.37817149402</v>
      </c>
      <c r="C270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4249.37817149402</v>
      </c>
      <c r="D270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4249.37817149402</v>
      </c>
      <c r="E270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4249.37817149402</v>
      </c>
      <c r="F270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4249.37817149402</v>
      </c>
      <c r="G270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4249.37817149402</v>
      </c>
      <c r="H270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4249.37817149402</v>
      </c>
      <c r="I270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4249.37817149402</v>
      </c>
      <c r="J270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4249.37817149402</v>
      </c>
      <c r="K270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4249.37817149402</v>
      </c>
      <c r="L270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4249.37817149402</v>
      </c>
      <c r="M270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4249.37817149402</v>
      </c>
      <c r="N270" s="7" t="n">
        <f aca="false">SUM(B270:M270)</f>
        <v>50992.5380579282</v>
      </c>
      <c r="O270" s="27" t="n">
        <f aca="false">MAX(B270:M270)</f>
        <v>4249.37817149402</v>
      </c>
      <c r="P270" s="15" t="n">
        <f aca="false">O270/parametros_recargas!$B$6</f>
        <v>28.3291878099601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4249.37817149402</v>
      </c>
      <c r="C271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4249.37817149402</v>
      </c>
      <c r="D271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4249.37817149402</v>
      </c>
      <c r="E271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4249.37817149402</v>
      </c>
      <c r="F271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4249.37817149402</v>
      </c>
      <c r="G271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4249.37817149402</v>
      </c>
      <c r="H271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4249.37817149402</v>
      </c>
      <c r="I271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4249.37817149402</v>
      </c>
      <c r="J271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4249.37817149402</v>
      </c>
      <c r="K271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4249.37817149402</v>
      </c>
      <c r="L271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4249.37817149402</v>
      </c>
      <c r="M271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4249.37817149402</v>
      </c>
      <c r="N271" s="7" t="n">
        <f aca="false">SUM(B271:M271)</f>
        <v>50992.5380579282</v>
      </c>
      <c r="O271" s="27" t="n">
        <f aca="false">MAX(B271:M271)</f>
        <v>4249.37817149402</v>
      </c>
      <c r="P271" s="15" t="n">
        <f aca="false">O271/parametros_recargas!$B$6</f>
        <v>28.3291878099601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2125.11778480101</v>
      </c>
      <c r="C272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2125.11778480101</v>
      </c>
      <c r="D272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2125.11778480101</v>
      </c>
      <c r="E272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2125.11778480101</v>
      </c>
      <c r="F272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2125.11778480101</v>
      </c>
      <c r="G272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2125.11778480101</v>
      </c>
      <c r="H272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2125.11778480101</v>
      </c>
      <c r="I272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2125.11778480101</v>
      </c>
      <c r="J272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2125.11778480101</v>
      </c>
      <c r="K272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2125.11778480101</v>
      </c>
      <c r="L272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2125.11778480101</v>
      </c>
      <c r="M272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2125.11778480101</v>
      </c>
      <c r="N272" s="7" t="n">
        <f aca="false">SUM(B272:M272)</f>
        <v>25501.4134176122</v>
      </c>
      <c r="O272" s="27" t="n">
        <f aca="false">MAX(B272:M272)</f>
        <v>2125.11778480101</v>
      </c>
      <c r="P272" s="15" t="n">
        <f aca="false">O272/parametros_recargas!$B$6</f>
        <v>14.1674518986734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18497.3206801043</v>
      </c>
      <c r="C273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18497.3206801043</v>
      </c>
      <c r="D273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18497.3206801043</v>
      </c>
      <c r="E273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18497.3206801043</v>
      </c>
      <c r="F273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18497.3206801043</v>
      </c>
      <c r="G273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18497.3206801043</v>
      </c>
      <c r="H273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18497.3206801043</v>
      </c>
      <c r="I273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18497.3206801043</v>
      </c>
      <c r="J273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18497.3206801043</v>
      </c>
      <c r="K273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18497.3206801043</v>
      </c>
      <c r="L273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18497.3206801043</v>
      </c>
      <c r="M273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18497.3206801043</v>
      </c>
      <c r="N273" s="7" t="n">
        <f aca="false">SUM(B273:M273)</f>
        <v>221967.848161252</v>
      </c>
      <c r="O273" s="27" t="n">
        <f aca="false">MAX(B273:M273)</f>
        <v>18497.3206801043</v>
      </c>
      <c r="P273" s="15" t="n">
        <f aca="false">O273/parametros_recargas!$B$6</f>
        <v>123.315471200696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26.7742761834888</v>
      </c>
      <c r="C274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26.7742761834888</v>
      </c>
      <c r="D274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26.7742761834888</v>
      </c>
      <c r="E274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26.7742761834888</v>
      </c>
      <c r="F274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26.7742761834888</v>
      </c>
      <c r="G274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26.7742761834888</v>
      </c>
      <c r="H274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26.7742761834888</v>
      </c>
      <c r="I274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26.7742761834888</v>
      </c>
      <c r="J274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26.7742761834888</v>
      </c>
      <c r="K274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26.7742761834888</v>
      </c>
      <c r="L274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26.7742761834888</v>
      </c>
      <c r="M274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26.7742761834888</v>
      </c>
      <c r="N274" s="7" t="n">
        <f aca="false">SUM(B274:M274)</f>
        <v>321.291314201865</v>
      </c>
      <c r="O274" s="27" t="n">
        <f aca="false">MAX(B274:M274)</f>
        <v>26.7742761834888</v>
      </c>
      <c r="P274" s="15" t="n">
        <f aca="false">O274/parametros_recargas!$B$6</f>
        <v>0.178495174556592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24.1585312842397</v>
      </c>
      <c r="C275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24.1585312842397</v>
      </c>
      <c r="D275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24.1585312842397</v>
      </c>
      <c r="E275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24.1585312842397</v>
      </c>
      <c r="F275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24.1585312842397</v>
      </c>
      <c r="G275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24.1585312842397</v>
      </c>
      <c r="H275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24.1585312842397</v>
      </c>
      <c r="I275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24.1585312842397</v>
      </c>
      <c r="J275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24.1585312842397</v>
      </c>
      <c r="K275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24.1585312842397</v>
      </c>
      <c r="L275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24.1585312842397</v>
      </c>
      <c r="M275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24.1585312842397</v>
      </c>
      <c r="N275" s="7" t="n">
        <f aca="false">SUM(B275:M275)</f>
        <v>289.902375410877</v>
      </c>
      <c r="O275" s="27" t="n">
        <f aca="false">MAX(B275:M275)</f>
        <v>24.1585312842397</v>
      </c>
      <c r="P275" s="15" t="n">
        <f aca="false">O275/parametros_recargas!$B$6</f>
        <v>0.161056875228265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931.69966491867</v>
      </c>
      <c r="C276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931.69966491867</v>
      </c>
      <c r="D276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931.69966491867</v>
      </c>
      <c r="E276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931.69966491867</v>
      </c>
      <c r="F276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931.69966491867</v>
      </c>
      <c r="G276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931.69966491867</v>
      </c>
      <c r="H276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931.69966491867</v>
      </c>
      <c r="I276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931.69966491867</v>
      </c>
      <c r="J276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931.69966491867</v>
      </c>
      <c r="K276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931.69966491867</v>
      </c>
      <c r="L276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931.69966491867</v>
      </c>
      <c r="M276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931.69966491867</v>
      </c>
      <c r="N276" s="7" t="n">
        <f aca="false">SUM(B276:M276)</f>
        <v>11180.395979024</v>
      </c>
      <c r="O276" s="27" t="n">
        <f aca="false">MAX(B276:M276)</f>
        <v>931.69966491867</v>
      </c>
      <c r="P276" s="15" t="n">
        <f aca="false">O276/parametros_recargas!$B$6</f>
        <v>6.2113310994578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510.268152067598</v>
      </c>
      <c r="C277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510.268152067598</v>
      </c>
      <c r="D277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510.268152067598</v>
      </c>
      <c r="E277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510.268152067598</v>
      </c>
      <c r="F277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510.268152067598</v>
      </c>
      <c r="G277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510.268152067598</v>
      </c>
      <c r="H277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510.268152067598</v>
      </c>
      <c r="I277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510.268152067598</v>
      </c>
      <c r="J277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510.268152067598</v>
      </c>
      <c r="K277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510.268152067598</v>
      </c>
      <c r="L277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510.268152067598</v>
      </c>
      <c r="M277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510.268152067598</v>
      </c>
      <c r="N277" s="7" t="n">
        <f aca="false">SUM(B277:M277)</f>
        <v>6123.21782481117</v>
      </c>
      <c r="O277" s="27" t="n">
        <f aca="false">MAX(B277:M277)</f>
        <v>510.268152067598</v>
      </c>
      <c r="P277" s="15" t="n">
        <f aca="false">O277/parametros_recargas!$B$6</f>
        <v>3.40178768045065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18548.2534875721</v>
      </c>
      <c r="C278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18548.2534875721</v>
      </c>
      <c r="D278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18548.2534875721</v>
      </c>
      <c r="E278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18548.2534875721</v>
      </c>
      <c r="F278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18548.2534875721</v>
      </c>
      <c r="G278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18548.2534875721</v>
      </c>
      <c r="H278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18548.2534875721</v>
      </c>
      <c r="I278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18548.2534875721</v>
      </c>
      <c r="J278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18548.2534875721</v>
      </c>
      <c r="K278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18548.2534875721</v>
      </c>
      <c r="L278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18548.2534875721</v>
      </c>
      <c r="M278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18548.2534875721</v>
      </c>
      <c r="N278" s="7" t="n">
        <f aca="false">SUM(B278:M278)</f>
        <v>222579.041850865</v>
      </c>
      <c r="O278" s="27" t="n">
        <f aca="false">MAX(B278:M278)</f>
        <v>18548.2534875721</v>
      </c>
      <c r="P278" s="15" t="n">
        <f aca="false">O278/parametros_recargas!$B$6</f>
        <v>123.65502325048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18548.2534875721</v>
      </c>
      <c r="C279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18548.2534875721</v>
      </c>
      <c r="D279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18548.2534875721</v>
      </c>
      <c r="E279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18548.2534875721</v>
      </c>
      <c r="F279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18548.2534875721</v>
      </c>
      <c r="G279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18548.2534875721</v>
      </c>
      <c r="H279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18548.2534875721</v>
      </c>
      <c r="I279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18548.2534875721</v>
      </c>
      <c r="J279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18548.2534875721</v>
      </c>
      <c r="K279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18548.2534875721</v>
      </c>
      <c r="L279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18548.2534875721</v>
      </c>
      <c r="M279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18548.2534875721</v>
      </c>
      <c r="N279" s="7" t="n">
        <f aca="false">SUM(B279:M279)</f>
        <v>222579.041850865</v>
      </c>
      <c r="O279" s="27" t="n">
        <f aca="false">MAX(B279:M279)</f>
        <v>18548.2534875721</v>
      </c>
      <c r="P279" s="15" t="n">
        <f aca="false">O279/parametros_recargas!$B$6</f>
        <v>123.65502325048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1374.50583879852</v>
      </c>
      <c r="C280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1374.50583879852</v>
      </c>
      <c r="D280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1374.50583879852</v>
      </c>
      <c r="E280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1374.50583879852</v>
      </c>
      <c r="F280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1374.50583879852</v>
      </c>
      <c r="G280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1374.50583879852</v>
      </c>
      <c r="H280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1374.50583879852</v>
      </c>
      <c r="I280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1374.50583879852</v>
      </c>
      <c r="J280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1374.50583879852</v>
      </c>
      <c r="K280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1374.50583879852</v>
      </c>
      <c r="L280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1374.50583879852</v>
      </c>
      <c r="M280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1374.50583879852</v>
      </c>
      <c r="N280" s="7" t="n">
        <f aca="false">SUM(B280:M280)</f>
        <v>16494.0700655822</v>
      </c>
      <c r="O280" s="27" t="n">
        <f aca="false">MAX(B280:M280)</f>
        <v>1374.50583879852</v>
      </c>
      <c r="P280" s="15" t="n">
        <f aca="false">O280/parametros_recargas!$B$6</f>
        <v>9.1633722586568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17.5827138235191</v>
      </c>
      <c r="C281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17.5827138235191</v>
      </c>
      <c r="D281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17.5827138235191</v>
      </c>
      <c r="E281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17.5827138235191</v>
      </c>
      <c r="F281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17.5827138235191</v>
      </c>
      <c r="G281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17.5827138235191</v>
      </c>
      <c r="H281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17.5827138235191</v>
      </c>
      <c r="I281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17.5827138235191</v>
      </c>
      <c r="J281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17.5827138235191</v>
      </c>
      <c r="K281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17.5827138235191</v>
      </c>
      <c r="L281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17.5827138235191</v>
      </c>
      <c r="M281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17.5827138235191</v>
      </c>
      <c r="N281" s="7" t="n">
        <f aca="false">SUM(B281:M281)</f>
        <v>210.99256588223</v>
      </c>
      <c r="O281" s="27" t="n">
        <f aca="false">MAX(B281:M281)</f>
        <v>17.5827138235191</v>
      </c>
      <c r="P281" s="15" t="n">
        <f aca="false">O281/parametros_recargas!$B$6</f>
        <v>0.117218092156794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1243.37382962828</v>
      </c>
      <c r="C282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1243.37382962828</v>
      </c>
      <c r="D282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1243.37382962828</v>
      </c>
      <c r="E282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1243.37382962828</v>
      </c>
      <c r="F282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1243.37382962828</v>
      </c>
      <c r="G282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1243.37382962828</v>
      </c>
      <c r="H282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1243.37382962828</v>
      </c>
      <c r="I282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1243.37382962828</v>
      </c>
      <c r="J282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1243.37382962828</v>
      </c>
      <c r="K282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1243.37382962828</v>
      </c>
      <c r="L282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1243.37382962828</v>
      </c>
      <c r="M282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1243.37382962828</v>
      </c>
      <c r="N282" s="7" t="n">
        <f aca="false">SUM(B282:M282)</f>
        <v>14920.4859555394</v>
      </c>
      <c r="O282" s="27" t="n">
        <f aca="false">MAX(B282:M282)</f>
        <v>1243.37382962828</v>
      </c>
      <c r="P282" s="15" t="n">
        <f aca="false">O282/parametros_recargas!$B$6</f>
        <v>8.28915886418857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21251.1778480101</v>
      </c>
      <c r="C283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21251.1778480101</v>
      </c>
      <c r="D283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21251.1778480101</v>
      </c>
      <c r="E283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21251.1778480101</v>
      </c>
      <c r="F283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21251.1778480101</v>
      </c>
      <c r="G283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21251.1778480101</v>
      </c>
      <c r="H283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21251.1778480101</v>
      </c>
      <c r="I283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21251.1778480101</v>
      </c>
      <c r="J283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21251.1778480101</v>
      </c>
      <c r="K283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21251.1778480101</v>
      </c>
      <c r="L283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21251.1778480101</v>
      </c>
      <c r="M283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21251.1778480101</v>
      </c>
      <c r="N283" s="7" t="n">
        <f aca="false">SUM(B283:M283)</f>
        <v>255014.134176122</v>
      </c>
      <c r="O283" s="27" t="n">
        <f aca="false">MAX(B283:M283)</f>
        <v>21251.1778480101</v>
      </c>
      <c r="P283" s="15" t="n">
        <f aca="false">O283/parametros_recargas!$B$6</f>
        <v>141.674518986734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21251.1778480101</v>
      </c>
      <c r="C284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21251.1778480101</v>
      </c>
      <c r="D284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21251.1778480101</v>
      </c>
      <c r="E284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21251.1778480101</v>
      </c>
      <c r="F284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21251.1778480101</v>
      </c>
      <c r="G284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21251.1778480101</v>
      </c>
      <c r="H284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21251.1778480101</v>
      </c>
      <c r="I284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21251.1778480101</v>
      </c>
      <c r="J284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21251.1778480101</v>
      </c>
      <c r="K284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21251.1778480101</v>
      </c>
      <c r="L284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21251.1778480101</v>
      </c>
      <c r="M284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21251.1778480101</v>
      </c>
      <c r="N284" s="7" t="n">
        <f aca="false">SUM(B284:M284)</f>
        <v>255014.134176122</v>
      </c>
      <c r="O284" s="27" t="n">
        <f aca="false">MAX(B284:M284)</f>
        <v>21251.1778480101</v>
      </c>
      <c r="P284" s="15" t="n">
        <f aca="false">O284/parametros_recargas!$B$6</f>
        <v>141.674518986734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1671.74599717039</v>
      </c>
      <c r="C285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1671.74599717039</v>
      </c>
      <c r="D285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1671.74599717039</v>
      </c>
      <c r="E285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1671.74599717039</v>
      </c>
      <c r="F285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1671.74599717039</v>
      </c>
      <c r="G285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1671.74599717039</v>
      </c>
      <c r="H285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1671.74599717039</v>
      </c>
      <c r="I285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1671.74599717039</v>
      </c>
      <c r="J285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1671.74599717039</v>
      </c>
      <c r="K285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1671.74599717039</v>
      </c>
      <c r="L285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1671.74599717039</v>
      </c>
      <c r="M285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1671.74599717039</v>
      </c>
      <c r="N285" s="7" t="n">
        <f aca="false">SUM(B285:M285)</f>
        <v>20060.9519660447</v>
      </c>
      <c r="O285" s="27" t="n">
        <f aca="false">MAX(B285:M285)</f>
        <v>1671.74599717039</v>
      </c>
      <c r="P285" s="15" t="n">
        <f aca="false">O285/parametros_recargas!$B$6</f>
        <v>11.1449733144693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6" t="n">
        <f aca="false">'Plan mensual'!D285</f>
        <v>709.358621229623</v>
      </c>
      <c r="C286" s="26" t="n">
        <f aca="false">'Plan mensual'!E285</f>
        <v>709.358621229623</v>
      </c>
      <c r="D286" s="26" t="n">
        <f aca="false">'Plan mensual'!F285</f>
        <v>709.358621229623</v>
      </c>
      <c r="E286" s="26" t="n">
        <f aca="false">'Plan mensual'!G285</f>
        <v>709.358621229623</v>
      </c>
      <c r="F286" s="26" t="n">
        <f aca="false">'Plan mensual'!H285</f>
        <v>709.358621229623</v>
      </c>
      <c r="G286" s="26" t="n">
        <f aca="false">'Plan mensual'!I285</f>
        <v>709.358621229623</v>
      </c>
      <c r="H286" s="26" t="n">
        <f aca="false">'Plan mensual'!J285</f>
        <v>709.358621229623</v>
      </c>
      <c r="I286" s="26" t="n">
        <f aca="false">'Plan mensual'!K285</f>
        <v>709.358621229623</v>
      </c>
      <c r="J286" s="26" t="n">
        <f aca="false">'Plan mensual'!L285</f>
        <v>709.358621229623</v>
      </c>
      <c r="K286" s="26" t="n">
        <f aca="false">'Plan mensual'!M285</f>
        <v>709.358621229623</v>
      </c>
      <c r="L286" s="26" t="n">
        <f aca="false">'Plan mensual'!N285</f>
        <v>709.358621229623</v>
      </c>
      <c r="M286" s="26" t="n">
        <f aca="false">'Plan mensual'!O285</f>
        <v>709.358621229623</v>
      </c>
      <c r="N286" s="7" t="n">
        <f aca="false">SUM(B286:M286)</f>
        <v>8512.30345475548</v>
      </c>
      <c r="O286" s="27" t="n">
        <f aca="false">MAX(B286:M286)</f>
        <v>709.358621229623</v>
      </c>
      <c r="P286" s="15" t="n">
        <f aca="false">O286/parametros_recargas!$B$6</f>
        <v>4.72905747486415</v>
      </c>
    </row>
    <row r="289" customFormat="false" ht="23.85" hidden="false" customHeight="false" outlineLevel="0" collapsed="false">
      <c r="A289" s="3" t="s">
        <v>325</v>
      </c>
      <c r="B289" s="3" t="s">
        <v>133</v>
      </c>
      <c r="C289" s="3" t="s">
        <v>134</v>
      </c>
      <c r="D289" s="3" t="s">
        <v>135</v>
      </c>
      <c r="E289" s="3" t="s">
        <v>136</v>
      </c>
      <c r="F289" s="3" t="s">
        <v>137</v>
      </c>
      <c r="G289" s="3" t="s">
        <v>138</v>
      </c>
      <c r="H289" s="3" t="s">
        <v>139</v>
      </c>
      <c r="I289" s="3" t="s">
        <v>140</v>
      </c>
      <c r="J289" s="3" t="s">
        <v>141</v>
      </c>
      <c r="K289" s="3" t="s">
        <v>142</v>
      </c>
      <c r="L289" s="3" t="s">
        <v>143</v>
      </c>
      <c r="M289" s="3" t="s">
        <v>144</v>
      </c>
      <c r="N289" s="3" t="s">
        <v>314</v>
      </c>
      <c r="O289" s="3" t="s">
        <v>315</v>
      </c>
      <c r="P289" s="3" t="s">
        <v>316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6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22781.6501514406</v>
      </c>
      <c r="C290" s="26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22781.6501514406</v>
      </c>
      <c r="D290" s="26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22781.6501514406</v>
      </c>
      <c r="E290" s="26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22781.6501514406</v>
      </c>
      <c r="F290" s="26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22781.6501514406</v>
      </c>
      <c r="G290" s="26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22781.6501514406</v>
      </c>
      <c r="H290" s="26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22781.6501514406</v>
      </c>
      <c r="I290" s="26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22781.6501514406</v>
      </c>
      <c r="J290" s="26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22781.6501514406</v>
      </c>
      <c r="K290" s="26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22781.6501514406</v>
      </c>
      <c r="L290" s="26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22781.6501514406</v>
      </c>
      <c r="M290" s="26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22781.6501514406</v>
      </c>
      <c r="N290" s="7" t="n">
        <f aca="false">SUM(B290:M290)</f>
        <v>273379.801817287</v>
      </c>
      <c r="O290" s="27" t="n">
        <f aca="false">MAX(B290:M290)</f>
        <v>22781.6501514406</v>
      </c>
      <c r="P290" s="15" t="n">
        <f aca="false">O290/parametros_recargas!$B$6</f>
        <v>151.87766767627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6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22781.6501514406</v>
      </c>
      <c r="C291" s="26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22781.6501514406</v>
      </c>
      <c r="D291" s="26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22781.6501514406</v>
      </c>
      <c r="E291" s="26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22781.6501514406</v>
      </c>
      <c r="F291" s="26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22781.6501514406</v>
      </c>
      <c r="G291" s="26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22781.6501514406</v>
      </c>
      <c r="H291" s="26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22781.6501514406</v>
      </c>
      <c r="I291" s="26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22781.6501514406</v>
      </c>
      <c r="J291" s="26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22781.6501514406</v>
      </c>
      <c r="K291" s="26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22781.6501514406</v>
      </c>
      <c r="L291" s="26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22781.6501514406</v>
      </c>
      <c r="M291" s="26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22781.6501514406</v>
      </c>
      <c r="N291" s="7" t="n">
        <f aca="false">SUM(B291:M291)</f>
        <v>273379.801817287</v>
      </c>
      <c r="O291" s="27" t="n">
        <f aca="false">MAX(B291:M291)</f>
        <v>22781.6501514406</v>
      </c>
      <c r="P291" s="15" t="n">
        <f aca="false">O291/parametros_recargas!$B$6</f>
        <v>151.87766767627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6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16843.2258416518</v>
      </c>
      <c r="C292" s="26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16843.2258416518</v>
      </c>
      <c r="D292" s="26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16843.2258416518</v>
      </c>
      <c r="E292" s="26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16843.2258416518</v>
      </c>
      <c r="F292" s="26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16843.2258416518</v>
      </c>
      <c r="G292" s="26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16843.2258416518</v>
      </c>
      <c r="H292" s="26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16843.2258416518</v>
      </c>
      <c r="I292" s="26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16843.2258416518</v>
      </c>
      <c r="J292" s="26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16843.2258416518</v>
      </c>
      <c r="K292" s="26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16843.2258416518</v>
      </c>
      <c r="L292" s="26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16843.2258416518</v>
      </c>
      <c r="M292" s="26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16843.2258416518</v>
      </c>
      <c r="N292" s="7" t="n">
        <f aca="false">SUM(B292:M292)</f>
        <v>202118.710099821</v>
      </c>
      <c r="O292" s="27" t="n">
        <f aca="false">MAX(B292:M292)</f>
        <v>16843.2258416518</v>
      </c>
      <c r="P292" s="15" t="n">
        <f aca="false">O292/parametros_recargas!$B$6</f>
        <v>112.288172277678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6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1981.55598137079</v>
      </c>
      <c r="C293" s="26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1981.55598137079</v>
      </c>
      <c r="D293" s="26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1981.55598137079</v>
      </c>
      <c r="E293" s="26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1981.55598137079</v>
      </c>
      <c r="F293" s="26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1981.55598137079</v>
      </c>
      <c r="G293" s="26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1981.55598137079</v>
      </c>
      <c r="H293" s="26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1981.55598137079</v>
      </c>
      <c r="I293" s="26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1981.55598137079</v>
      </c>
      <c r="J293" s="26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1981.55598137079</v>
      </c>
      <c r="K293" s="26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1981.55598137079</v>
      </c>
      <c r="L293" s="26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1981.55598137079</v>
      </c>
      <c r="M293" s="26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1981.55598137079</v>
      </c>
      <c r="N293" s="7" t="n">
        <f aca="false">SUM(B293:M293)</f>
        <v>23778.6717764495</v>
      </c>
      <c r="O293" s="27" t="n">
        <f aca="false">MAX(B293:M293)</f>
        <v>1981.55598137079</v>
      </c>
      <c r="P293" s="15" t="n">
        <f aca="false">O293/parametros_recargas!$B$6</f>
        <v>13.2103732091386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29.0102372497506</v>
      </c>
      <c r="C294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29.0102372497506</v>
      </c>
      <c r="D294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29.0102372497506</v>
      </c>
      <c r="E294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29.0102372497506</v>
      </c>
      <c r="F294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29.0102372497506</v>
      </c>
      <c r="G294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29.0102372497506</v>
      </c>
      <c r="H294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29.0102372497506</v>
      </c>
      <c r="I294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29.0102372497506</v>
      </c>
      <c r="J294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29.0102372497506</v>
      </c>
      <c r="K294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29.0102372497506</v>
      </c>
      <c r="L294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29.0102372497506</v>
      </c>
      <c r="M294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29.0102372497506</v>
      </c>
      <c r="N294" s="7" t="n">
        <f aca="false">SUM(B294:M294)</f>
        <v>348.122846997007</v>
      </c>
      <c r="O294" s="27" t="n">
        <f aca="false">MAX(B294:M294)</f>
        <v>29.0102372497506</v>
      </c>
      <c r="P294" s="15" t="n">
        <f aca="false">O294/parametros_recargas!$B$6</f>
        <v>0.193401581665004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1004.09437567569</v>
      </c>
      <c r="C295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1004.09437567569</v>
      </c>
      <c r="D295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1004.09437567569</v>
      </c>
      <c r="E295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1004.09437567569</v>
      </c>
      <c r="F295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1004.09437567569</v>
      </c>
      <c r="G295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1004.09437567569</v>
      </c>
      <c r="H295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1004.09437567569</v>
      </c>
      <c r="I295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1004.09437567569</v>
      </c>
      <c r="J295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1004.09437567569</v>
      </c>
      <c r="K295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1004.09437567569</v>
      </c>
      <c r="L295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1004.09437567569</v>
      </c>
      <c r="M295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1004.09437567569</v>
      </c>
      <c r="N295" s="7" t="n">
        <f aca="false">SUM(B295:M295)</f>
        <v>12049.1325081083</v>
      </c>
      <c r="O295" s="27" t="n">
        <f aca="false">MAX(B295:M295)</f>
        <v>1004.09437567569</v>
      </c>
      <c r="P295" s="15" t="n">
        <f aca="false">O295/parametros_recargas!$B$6</f>
        <v>6.69396250450463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457.597703051588</v>
      </c>
      <c r="C296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457.597703051588</v>
      </c>
      <c r="D296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457.597703051588</v>
      </c>
      <c r="E296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457.597703051588</v>
      </c>
      <c r="F296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457.597703051588</v>
      </c>
      <c r="G296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457.597703051588</v>
      </c>
      <c r="H296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457.597703051588</v>
      </c>
      <c r="I296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457.597703051588</v>
      </c>
      <c r="J296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457.597703051588</v>
      </c>
      <c r="K296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457.597703051588</v>
      </c>
      <c r="L296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457.597703051588</v>
      </c>
      <c r="M296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457.597703051588</v>
      </c>
      <c r="N296" s="7" t="n">
        <f aca="false">SUM(B296:M296)</f>
        <v>5491.17243661905</v>
      </c>
      <c r="O296" s="27" t="n">
        <f aca="false">MAX(B296:M296)</f>
        <v>457.597703051588</v>
      </c>
      <c r="P296" s="15" t="n">
        <f aca="false">O296/parametros_recargas!$B$6</f>
        <v>3.05065135367725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19.090025860317</v>
      </c>
      <c r="C297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19.090025860317</v>
      </c>
      <c r="D297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19.090025860317</v>
      </c>
      <c r="E297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19.090025860317</v>
      </c>
      <c r="F297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19.090025860317</v>
      </c>
      <c r="G297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19.090025860317</v>
      </c>
      <c r="H297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19.090025860317</v>
      </c>
      <c r="I297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19.090025860317</v>
      </c>
      <c r="J297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19.090025860317</v>
      </c>
      <c r="K297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19.090025860317</v>
      </c>
      <c r="L297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19.090025860317</v>
      </c>
      <c r="M297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19.090025860317</v>
      </c>
      <c r="N297" s="7" t="n">
        <f aca="false">SUM(B297:M297)</f>
        <v>229.080310323804</v>
      </c>
      <c r="O297" s="27" t="n">
        <f aca="false">MAX(B297:M297)</f>
        <v>19.090025860317</v>
      </c>
      <c r="P297" s="15" t="n">
        <f aca="false">O297/parametros_recargas!$B$6</f>
        <v>0.12726683906878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19870.8048601173</v>
      </c>
      <c r="C298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19870.8048601173</v>
      </c>
      <c r="D298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19870.8048601173</v>
      </c>
      <c r="E298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19870.8048601173</v>
      </c>
      <c r="F298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19870.8048601173</v>
      </c>
      <c r="G298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19870.8048601173</v>
      </c>
      <c r="H298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19870.8048601173</v>
      </c>
      <c r="I298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19870.8048601173</v>
      </c>
      <c r="J298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19870.8048601173</v>
      </c>
      <c r="K298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19870.8048601173</v>
      </c>
      <c r="L298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19870.8048601173</v>
      </c>
      <c r="M298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19870.8048601173</v>
      </c>
      <c r="N298" s="7" t="n">
        <f aca="false">SUM(B298:M298)</f>
        <v>238449.658321407</v>
      </c>
      <c r="O298" s="27" t="n">
        <f aca="false">MAX(B298:M298)</f>
        <v>19870.8048601173</v>
      </c>
      <c r="P298" s="15" t="n">
        <f aca="false">O298/parametros_recargas!$B$6</f>
        <v>132.472032400782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1480.7821045876</v>
      </c>
      <c r="C299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1480.7821045876</v>
      </c>
      <c r="D299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1480.7821045876</v>
      </c>
      <c r="E299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1480.7821045876</v>
      </c>
      <c r="F299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1480.7821045876</v>
      </c>
      <c r="G299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1480.7821045876</v>
      </c>
      <c r="H299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1480.7821045876</v>
      </c>
      <c r="I299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1480.7821045876</v>
      </c>
      <c r="J299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1480.7821045876</v>
      </c>
      <c r="K299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1480.7821045876</v>
      </c>
      <c r="L299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1480.7821045876</v>
      </c>
      <c r="M299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1480.7821045876</v>
      </c>
      <c r="N299" s="7" t="n">
        <f aca="false">SUM(B299:M299)</f>
        <v>17769.3852550512</v>
      </c>
      <c r="O299" s="27" t="n">
        <f aca="false">MAX(B299:M299)</f>
        <v>1480.7821045876</v>
      </c>
      <c r="P299" s="15" t="n">
        <f aca="false">O299/parametros_recargas!$B$6</f>
        <v>9.87188069725066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19.8445700509577</v>
      </c>
      <c r="C300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19.8445700509577</v>
      </c>
      <c r="D300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19.8445700509577</v>
      </c>
      <c r="E300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19.8445700509577</v>
      </c>
      <c r="F300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19.8445700509577</v>
      </c>
      <c r="G300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19.8445700509577</v>
      </c>
      <c r="H300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19.8445700509577</v>
      </c>
      <c r="I300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19.8445700509577</v>
      </c>
      <c r="J300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19.8445700509577</v>
      </c>
      <c r="K300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19.8445700509577</v>
      </c>
      <c r="L300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19.8445700509577</v>
      </c>
      <c r="M300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19.8445700509577</v>
      </c>
      <c r="N300" s="7" t="n">
        <f aca="false">SUM(B300:M300)</f>
        <v>238.134840611492</v>
      </c>
      <c r="O300" s="27" t="n">
        <f aca="false">MAX(B300:M300)</f>
        <v>19.8445700509577</v>
      </c>
      <c r="P300" s="15" t="n">
        <f aca="false">O300/parametros_recargas!$B$6</f>
        <v>0.132297133673051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4857.55834299082</v>
      </c>
      <c r="C301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4857.55834299082</v>
      </c>
      <c r="D301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4857.55834299082</v>
      </c>
      <c r="E301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4857.55834299082</v>
      </c>
      <c r="F301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4857.55834299082</v>
      </c>
      <c r="G301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4857.55834299082</v>
      </c>
      <c r="H301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4857.55834299082</v>
      </c>
      <c r="I301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4857.55834299082</v>
      </c>
      <c r="J301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4857.55834299082</v>
      </c>
      <c r="K301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4857.55834299082</v>
      </c>
      <c r="L301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4857.55834299082</v>
      </c>
      <c r="M301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4857.55834299082</v>
      </c>
      <c r="N301" s="7" t="n">
        <f aca="false">SUM(B301:M301)</f>
        <v>58290.7001158898</v>
      </c>
      <c r="O301" s="27" t="n">
        <f aca="false">MAX(B301:M301)</f>
        <v>4857.55834299082</v>
      </c>
      <c r="P301" s="15" t="n">
        <f aca="false">O301/parametros_recargas!$B$6</f>
        <v>32.3837222866055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4554.21920375415</v>
      </c>
      <c r="C302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4554.21920375415</v>
      </c>
      <c r="D302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4554.21920375415</v>
      </c>
      <c r="E302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4554.21920375415</v>
      </c>
      <c r="F302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4554.21920375415</v>
      </c>
      <c r="G302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4554.21920375415</v>
      </c>
      <c r="H302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4554.21920375415</v>
      </c>
      <c r="I302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4554.21920375415</v>
      </c>
      <c r="J302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4554.21920375415</v>
      </c>
      <c r="K302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4554.21920375415</v>
      </c>
      <c r="L302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4554.21920375415</v>
      </c>
      <c r="M302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4554.21920375415</v>
      </c>
      <c r="N302" s="7" t="n">
        <f aca="false">SUM(B302:M302)</f>
        <v>54650.6304450498</v>
      </c>
      <c r="O302" s="27" t="n">
        <f aca="false">MAX(B302:M302)</f>
        <v>4554.21920375415</v>
      </c>
      <c r="P302" s="15" t="n">
        <f aca="false">O302/parametros_recargas!$B$6</f>
        <v>30.361461358361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4554.21920375415</v>
      </c>
      <c r="C303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4554.21920375415</v>
      </c>
      <c r="D303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4554.21920375415</v>
      </c>
      <c r="E303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4554.21920375415</v>
      </c>
      <c r="F303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4554.21920375415</v>
      </c>
      <c r="G303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4554.21920375415</v>
      </c>
      <c r="H303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4554.21920375415</v>
      </c>
      <c r="I303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4554.21920375415</v>
      </c>
      <c r="J303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4554.21920375415</v>
      </c>
      <c r="K303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4554.21920375415</v>
      </c>
      <c r="L303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4554.21920375415</v>
      </c>
      <c r="M303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4554.21920375415</v>
      </c>
      <c r="N303" s="7" t="n">
        <f aca="false">SUM(B303:M303)</f>
        <v>54650.6304450498</v>
      </c>
      <c r="O303" s="27" t="n">
        <f aca="false">MAX(B303:M303)</f>
        <v>4554.21920375415</v>
      </c>
      <c r="P303" s="15" t="n">
        <f aca="false">O303/parametros_recargas!$B$6</f>
        <v>30.361461358361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2278.16501514406</v>
      </c>
      <c r="C304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2278.16501514406</v>
      </c>
      <c r="D304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2278.16501514406</v>
      </c>
      <c r="E304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2278.16501514406</v>
      </c>
      <c r="F304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2278.16501514406</v>
      </c>
      <c r="G304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2278.16501514406</v>
      </c>
      <c r="H304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2278.16501514406</v>
      </c>
      <c r="I304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2278.16501514406</v>
      </c>
      <c r="J304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2278.16501514406</v>
      </c>
      <c r="K304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2278.16501514406</v>
      </c>
      <c r="L304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2278.16501514406</v>
      </c>
      <c r="M304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2278.16501514406</v>
      </c>
      <c r="N304" s="7" t="n">
        <f aca="false">SUM(B304:M304)</f>
        <v>27337.9801817287</v>
      </c>
      <c r="O304" s="27" t="n">
        <f aca="false">MAX(B304:M304)</f>
        <v>2278.16501514406</v>
      </c>
      <c r="P304" s="15" t="n">
        <f aca="false">O304/parametros_recargas!$B$6</f>
        <v>15.187766767627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19815.5598137079</v>
      </c>
      <c r="C305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19815.5598137079</v>
      </c>
      <c r="D305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19815.5598137079</v>
      </c>
      <c r="E305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19815.5598137079</v>
      </c>
      <c r="F305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19815.5598137079</v>
      </c>
      <c r="G305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19815.5598137079</v>
      </c>
      <c r="H305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19815.5598137079</v>
      </c>
      <c r="I305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19815.5598137079</v>
      </c>
      <c r="J305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19815.5598137079</v>
      </c>
      <c r="K305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19815.5598137079</v>
      </c>
      <c r="L305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19815.5598137079</v>
      </c>
      <c r="M305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19815.5598137079</v>
      </c>
      <c r="N305" s="7" t="n">
        <f aca="false">SUM(B305:M305)</f>
        <v>237786.717764495</v>
      </c>
      <c r="O305" s="27" t="n">
        <f aca="false">MAX(B305:M305)</f>
        <v>19815.5598137079</v>
      </c>
      <c r="P305" s="15" t="n">
        <f aca="false">O305/parametros_recargas!$B$6</f>
        <v>132.103732091386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29.0102372497506</v>
      </c>
      <c r="C306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29.0102372497506</v>
      </c>
      <c r="D306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29.0102372497506</v>
      </c>
      <c r="E306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29.0102372497506</v>
      </c>
      <c r="F306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29.0102372497506</v>
      </c>
      <c r="G306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29.0102372497506</v>
      </c>
      <c r="H306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29.0102372497506</v>
      </c>
      <c r="I306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29.0102372497506</v>
      </c>
      <c r="J306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29.0102372497506</v>
      </c>
      <c r="K306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29.0102372497506</v>
      </c>
      <c r="L306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29.0102372497506</v>
      </c>
      <c r="M306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29.0102372497506</v>
      </c>
      <c r="N306" s="7" t="n">
        <f aca="false">SUM(B306:M306)</f>
        <v>348.122846997007</v>
      </c>
      <c r="O306" s="27" t="n">
        <f aca="false">MAX(B306:M306)</f>
        <v>29.0102372497506</v>
      </c>
      <c r="P306" s="15" t="n">
        <f aca="false">O306/parametros_recargas!$B$6</f>
        <v>0.193401581665004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26.2348091595509</v>
      </c>
      <c r="C307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26.2348091595509</v>
      </c>
      <c r="D307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26.2348091595509</v>
      </c>
      <c r="E307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26.2348091595509</v>
      </c>
      <c r="F307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26.2348091595509</v>
      </c>
      <c r="G307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26.2348091595509</v>
      </c>
      <c r="H307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26.2348091595509</v>
      </c>
      <c r="I307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26.2348091595509</v>
      </c>
      <c r="J307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26.2348091595509</v>
      </c>
      <c r="K307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26.2348091595509</v>
      </c>
      <c r="L307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26.2348091595509</v>
      </c>
      <c r="M307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26.2348091595509</v>
      </c>
      <c r="N307" s="7" t="n">
        <f aca="false">SUM(B307:M307)</f>
        <v>314.817709914611</v>
      </c>
      <c r="O307" s="27" t="n">
        <f aca="false">MAX(B307:M307)</f>
        <v>26.2348091595509</v>
      </c>
      <c r="P307" s="15" t="n">
        <f aca="false">O307/parametros_recargas!$B$6</f>
        <v>0.174898727730339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1004.09437567569</v>
      </c>
      <c r="C308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1004.09437567569</v>
      </c>
      <c r="D308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1004.09437567569</v>
      </c>
      <c r="E308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1004.09437567569</v>
      </c>
      <c r="F308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1004.09437567569</v>
      </c>
      <c r="G308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1004.09437567569</v>
      </c>
      <c r="H308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1004.09437567569</v>
      </c>
      <c r="I308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1004.09437567569</v>
      </c>
      <c r="J308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1004.09437567569</v>
      </c>
      <c r="K308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1004.09437567569</v>
      </c>
      <c r="L308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1004.09437567569</v>
      </c>
      <c r="M308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1004.09437567569</v>
      </c>
      <c r="N308" s="7" t="n">
        <f aca="false">SUM(B308:M308)</f>
        <v>12049.1325081083</v>
      </c>
      <c r="O308" s="27" t="n">
        <f aca="false">MAX(B308:M308)</f>
        <v>1004.09437567569</v>
      </c>
      <c r="P308" s="15" t="n">
        <f aca="false">O308/parametros_recargas!$B$6</f>
        <v>6.69396250450463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549.117243661905</v>
      </c>
      <c r="C309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549.117243661905</v>
      </c>
      <c r="D309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549.117243661905</v>
      </c>
      <c r="E309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549.117243661905</v>
      </c>
      <c r="F309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549.117243661905</v>
      </c>
      <c r="G309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549.117243661905</v>
      </c>
      <c r="H309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549.117243661905</v>
      </c>
      <c r="I309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549.117243661905</v>
      </c>
      <c r="J309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549.117243661905</v>
      </c>
      <c r="K309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549.117243661905</v>
      </c>
      <c r="L309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549.117243661905</v>
      </c>
      <c r="M309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549.117243661905</v>
      </c>
      <c r="N309" s="7" t="n">
        <f aca="false">SUM(B309:M309)</f>
        <v>6589.40692394286</v>
      </c>
      <c r="O309" s="27" t="n">
        <f aca="false">MAX(B309:M309)</f>
        <v>549.117243661905</v>
      </c>
      <c r="P309" s="15" t="n">
        <f aca="false">O309/parametros_recargas!$B$6</f>
        <v>3.6607816244127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19870.8048601173</v>
      </c>
      <c r="C310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19870.8048601173</v>
      </c>
      <c r="D310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19870.8048601173</v>
      </c>
      <c r="E310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19870.8048601173</v>
      </c>
      <c r="F310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19870.8048601173</v>
      </c>
      <c r="G310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19870.8048601173</v>
      </c>
      <c r="H310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19870.8048601173</v>
      </c>
      <c r="I310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19870.8048601173</v>
      </c>
      <c r="J310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19870.8048601173</v>
      </c>
      <c r="K310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19870.8048601173</v>
      </c>
      <c r="L310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19870.8048601173</v>
      </c>
      <c r="M310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19870.8048601173</v>
      </c>
      <c r="N310" s="7" t="n">
        <f aca="false">SUM(B310:M310)</f>
        <v>238449.658321407</v>
      </c>
      <c r="O310" s="27" t="n">
        <f aca="false">MAX(B310:M310)</f>
        <v>19870.8048601173</v>
      </c>
      <c r="P310" s="15" t="n">
        <f aca="false">O310/parametros_recargas!$B$6</f>
        <v>132.472032400782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19870.8048601173</v>
      </c>
      <c r="C311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19870.8048601173</v>
      </c>
      <c r="D311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19870.8048601173</v>
      </c>
      <c r="E311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19870.8048601173</v>
      </c>
      <c r="F311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19870.8048601173</v>
      </c>
      <c r="G311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19870.8048601173</v>
      </c>
      <c r="H311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19870.8048601173</v>
      </c>
      <c r="I311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19870.8048601173</v>
      </c>
      <c r="J311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19870.8048601173</v>
      </c>
      <c r="K311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19870.8048601173</v>
      </c>
      <c r="L311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19870.8048601173</v>
      </c>
      <c r="M311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19870.8048601173</v>
      </c>
      <c r="N311" s="7" t="n">
        <f aca="false">SUM(B311:M311)</f>
        <v>238449.658321407</v>
      </c>
      <c r="O311" s="27" t="n">
        <f aca="false">MAX(B311:M311)</f>
        <v>19870.8048601173</v>
      </c>
      <c r="P311" s="15" t="n">
        <f aca="false">O311/parametros_recargas!$B$6</f>
        <v>132.472032400782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1480.7821045876</v>
      </c>
      <c r="C312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1480.7821045876</v>
      </c>
      <c r="D312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1480.7821045876</v>
      </c>
      <c r="E312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1480.7821045876</v>
      </c>
      <c r="F312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1480.7821045876</v>
      </c>
      <c r="G312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1480.7821045876</v>
      </c>
      <c r="H312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1480.7821045876</v>
      </c>
      <c r="I312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1480.7821045876</v>
      </c>
      <c r="J312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1480.7821045876</v>
      </c>
      <c r="K312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1480.7821045876</v>
      </c>
      <c r="L312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1480.7821045876</v>
      </c>
      <c r="M312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1480.7821045876</v>
      </c>
      <c r="N312" s="7" t="n">
        <f aca="false">SUM(B312:M312)</f>
        <v>17769.3852550512</v>
      </c>
      <c r="O312" s="27" t="n">
        <f aca="false">MAX(B312:M312)</f>
        <v>1480.7821045876</v>
      </c>
      <c r="P312" s="15" t="n">
        <f aca="false">O312/parametros_recargas!$B$6</f>
        <v>9.87188069725066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19.090025860317</v>
      </c>
      <c r="C313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19.090025860317</v>
      </c>
      <c r="D313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19.090025860317</v>
      </c>
      <c r="E313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19.090025860317</v>
      </c>
      <c r="F313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19.090025860317</v>
      </c>
      <c r="G313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19.090025860317</v>
      </c>
      <c r="H313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19.090025860317</v>
      </c>
      <c r="I313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19.090025860317</v>
      </c>
      <c r="J313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19.090025860317</v>
      </c>
      <c r="K313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19.090025860317</v>
      </c>
      <c r="L313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19.090025860317</v>
      </c>
      <c r="M313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19.090025860317</v>
      </c>
      <c r="N313" s="7" t="n">
        <f aca="false">SUM(B313:M313)</f>
        <v>229.080310323804</v>
      </c>
      <c r="O313" s="27" t="n">
        <f aca="false">MAX(B313:M313)</f>
        <v>19.090025860317</v>
      </c>
      <c r="P313" s="15" t="n">
        <f aca="false">O313/parametros_recargas!$B$6</f>
        <v>0.12726683906878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1338.5436461254</v>
      </c>
      <c r="C314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1338.5436461254</v>
      </c>
      <c r="D314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1338.5436461254</v>
      </c>
      <c r="E314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1338.5436461254</v>
      </c>
      <c r="F314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1338.5436461254</v>
      </c>
      <c r="G314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1338.5436461254</v>
      </c>
      <c r="H314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1338.5436461254</v>
      </c>
      <c r="I314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1338.5436461254</v>
      </c>
      <c r="J314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1338.5436461254</v>
      </c>
      <c r="K314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1338.5436461254</v>
      </c>
      <c r="L314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1338.5436461254</v>
      </c>
      <c r="M314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1338.5436461254</v>
      </c>
      <c r="N314" s="7" t="n">
        <f aca="false">SUM(B314:M314)</f>
        <v>16062.5237535048</v>
      </c>
      <c r="O314" s="27" t="n">
        <f aca="false">MAX(B314:M314)</f>
        <v>1338.5436461254</v>
      </c>
      <c r="P314" s="15" t="n">
        <f aca="false">O314/parametros_recargas!$B$6</f>
        <v>8.92362430750264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22781.6501514406</v>
      </c>
      <c r="C315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22781.6501514406</v>
      </c>
      <c r="D315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22781.6501514406</v>
      </c>
      <c r="E315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22781.6501514406</v>
      </c>
      <c r="F315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22781.6501514406</v>
      </c>
      <c r="G315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22781.6501514406</v>
      </c>
      <c r="H315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22781.6501514406</v>
      </c>
      <c r="I315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22781.6501514406</v>
      </c>
      <c r="J315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22781.6501514406</v>
      </c>
      <c r="K315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22781.6501514406</v>
      </c>
      <c r="L315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22781.6501514406</v>
      </c>
      <c r="M315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22781.6501514406</v>
      </c>
      <c r="N315" s="7" t="n">
        <f aca="false">SUM(B315:M315)</f>
        <v>273379.801817287</v>
      </c>
      <c r="O315" s="27" t="n">
        <f aca="false">MAX(B315:M315)</f>
        <v>22781.6501514406</v>
      </c>
      <c r="P315" s="15" t="n">
        <f aca="false">O315/parametros_recargas!$B$6</f>
        <v>151.87766767627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22781.6501514406</v>
      </c>
      <c r="C316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22781.6501514406</v>
      </c>
      <c r="D316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22781.6501514406</v>
      </c>
      <c r="E316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22781.6501514406</v>
      </c>
      <c r="F316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22781.6501514406</v>
      </c>
      <c r="G316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22781.6501514406</v>
      </c>
      <c r="H316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22781.6501514406</v>
      </c>
      <c r="I316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22781.6501514406</v>
      </c>
      <c r="J316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22781.6501514406</v>
      </c>
      <c r="K316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22781.6501514406</v>
      </c>
      <c r="L316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22781.6501514406</v>
      </c>
      <c r="M316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22781.6501514406</v>
      </c>
      <c r="N316" s="7" t="n">
        <f aca="false">SUM(B316:M316)</f>
        <v>273379.801817287</v>
      </c>
      <c r="O316" s="27" t="n">
        <f aca="false">MAX(B316:M316)</f>
        <v>22781.6501514406</v>
      </c>
      <c r="P316" s="15" t="n">
        <f aca="false">O316/parametros_recargas!$B$6</f>
        <v>151.87766767627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1792.02549857847</v>
      </c>
      <c r="C317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1792.02549857847</v>
      </c>
      <c r="D317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1792.02549857847</v>
      </c>
      <c r="E317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1792.02549857847</v>
      </c>
      <c r="F317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1792.02549857847</v>
      </c>
      <c r="G317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1792.02549857847</v>
      </c>
      <c r="H317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1792.02549857847</v>
      </c>
      <c r="I317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1792.02549857847</v>
      </c>
      <c r="J317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1792.02549857847</v>
      </c>
      <c r="K317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1792.02549857847</v>
      </c>
      <c r="L317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1792.02549857847</v>
      </c>
      <c r="M317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1792.02549857847</v>
      </c>
      <c r="N317" s="7" t="n">
        <f aca="false">SUM(B317:M317)</f>
        <v>21504.3059829417</v>
      </c>
      <c r="O317" s="27" t="n">
        <f aca="false">MAX(B317:M317)</f>
        <v>1792.02549857847</v>
      </c>
      <c r="P317" s="15" t="n">
        <f aca="false">O317/parametros_recargas!$B$6</f>
        <v>11.9468366571898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6" t="n">
        <f aca="false">'Plan mensual'!D317</f>
        <v>766.570325750818</v>
      </c>
      <c r="C318" s="26" t="n">
        <f aca="false">'Plan mensual'!E317</f>
        <v>766.570325750818</v>
      </c>
      <c r="D318" s="26" t="n">
        <f aca="false">'Plan mensual'!F317</f>
        <v>766.570325750818</v>
      </c>
      <c r="E318" s="26" t="n">
        <f aca="false">'Plan mensual'!G317</f>
        <v>766.570325750818</v>
      </c>
      <c r="F318" s="26" t="n">
        <f aca="false">'Plan mensual'!H317</f>
        <v>766.570325750818</v>
      </c>
      <c r="G318" s="26" t="n">
        <f aca="false">'Plan mensual'!I317</f>
        <v>766.570325750818</v>
      </c>
      <c r="H318" s="26" t="n">
        <f aca="false">'Plan mensual'!J317</f>
        <v>766.570325750818</v>
      </c>
      <c r="I318" s="26" t="n">
        <f aca="false">'Plan mensual'!K317</f>
        <v>766.570325750818</v>
      </c>
      <c r="J318" s="26" t="n">
        <f aca="false">'Plan mensual'!L317</f>
        <v>766.570325750818</v>
      </c>
      <c r="K318" s="26" t="n">
        <f aca="false">'Plan mensual'!M317</f>
        <v>766.570325750818</v>
      </c>
      <c r="L318" s="26" t="n">
        <f aca="false">'Plan mensual'!N317</f>
        <v>766.570325750818</v>
      </c>
      <c r="M318" s="26" t="n">
        <f aca="false">'Plan mensual'!O317</f>
        <v>766.570325750818</v>
      </c>
      <c r="N318" s="7" t="n">
        <f aca="false">SUM(B318:M318)</f>
        <v>9198.84390900982</v>
      </c>
      <c r="O318" s="27" t="n">
        <f aca="false">MAX(B318:M318)</f>
        <v>766.570325750818</v>
      </c>
      <c r="P318" s="15" t="n">
        <f aca="false">O318/parametros_recargas!$B$6</f>
        <v>5.11046883833879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3" t="s">
        <v>326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327</v>
      </c>
      <c r="O1" s="3" t="s">
        <v>328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9" t="n">
        <f aca="false">IF(parametros_recargas!$N$72*B34*B66=0,0,'Demanda por puesto'!$P$2/(parametros_recargas!$N$72*B34*B66))</f>
        <v>0.0576137414373688</v>
      </c>
      <c r="C2" s="29" t="n">
        <f aca="false">IF(parametros_recargas!$N$72*C34*C66=0,0,'Demanda por puesto'!$P$34/(parametros_recargas!$N$72*C34*C66))</f>
        <v>0.260239256568119</v>
      </c>
      <c r="D2" s="29" t="n">
        <f aca="false">IF(parametros_recargas!$N$72*D34*D66=0,0,'Demanda por puesto'!$P$66/(parametros_recargas!$N$72*D34*D66))</f>
        <v>0.523143175967704</v>
      </c>
      <c r="E2" s="29" t="n">
        <f aca="false">IF(parametros_recargas!$N$72*E34*E66=0,0,'Demanda por puesto'!$P$98/(parametros_recargas!$N$72*E34*E66))</f>
        <v>0.969886954677048</v>
      </c>
      <c r="F2" s="29" t="n">
        <f aca="false">IF(parametros_recargas!$N$72*F34*F66=0,0,'Demanda por puesto'!$P$130/(parametros_recargas!$N$72*F34*F66))</f>
        <v>1.42781911207381</v>
      </c>
      <c r="G2" s="29" t="n">
        <f aca="false">IF(parametros_recargas!$N$72*G34*G66=0,0,'Demanda por puesto'!$P$162/(parametros_recargas!$N$72*G34*G66))</f>
        <v>1.94242971726091</v>
      </c>
      <c r="H2" s="29" t="n">
        <f aca="false">IF(parametros_recargas!$N$72*H34*H66=0,0,'Demanda por puesto'!$P$194/(parametros_recargas!$N$72*H34*H66))</f>
        <v>2.41255034125969</v>
      </c>
      <c r="I2" s="29" t="n">
        <f aca="false">IF(parametros_recargas!$N$72*I34*I66=0,0,'Demanda por puesto'!$P$226/(parametros_recargas!$N$72*I34*I66))</f>
        <v>2.74300828742831</v>
      </c>
      <c r="J2" s="29" t="n">
        <f aca="false">IF(parametros_recargas!$N$72*J34*J66=0,0,'Demanda por puesto'!$P$258/(parametros_recargas!$N$72*J34*J66))</f>
        <v>2.9515524788903</v>
      </c>
      <c r="K2" s="29" t="n">
        <f aca="false">IF(parametros_recargas!$N$72*K34*K66=0,0,'Demanda por puesto'!$P$290/(parametros_recargas!$N$72*K34*K66))</f>
        <v>3.16411807658897</v>
      </c>
      <c r="N2" s="30" t="s">
        <v>329</v>
      </c>
      <c r="O2" s="4" t="s">
        <v>330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9" t="n">
        <f aca="false">IF(parametros_recargas!$N$73*B35*B67=0,0,'Demanda por puesto'!$P$3/(parametros_recargas!$N$73*B35*B67))</f>
        <v>0.0691364897248425</v>
      </c>
      <c r="C3" s="29" t="n">
        <f aca="false">IF(parametros_recargas!$N$73*C35*C67=0,0,'Demanda por puesto'!$P$35/(parametros_recargas!$N$73*C35*C67))</f>
        <v>0.312287107881743</v>
      </c>
      <c r="D3" s="29" t="n">
        <f aca="false">IF(parametros_recargas!$N$73*D35*D67=0,0,'Demanda por puesto'!$P$67/(parametros_recargas!$N$73*D35*D67))</f>
        <v>0.627771811161245</v>
      </c>
      <c r="E3" s="29" t="n">
        <f aca="false">IF(parametros_recargas!$N$73*E35*E67=0,0,'Demanda por puesto'!$P$99/(parametros_recargas!$N$73*E35*E67))</f>
        <v>1.16386434561246</v>
      </c>
      <c r="F3" s="29" t="n">
        <f aca="false">IF(parametros_recargas!$N$73*F35*F67=0,0,'Demanda por puesto'!$P$131/(parametros_recargas!$N$73*F35*F67))</f>
        <v>1.71338293448857</v>
      </c>
      <c r="G3" s="29" t="n">
        <f aca="false">IF(parametros_recargas!$N$73*G35*G67=0,0,'Demanda por puesto'!$P$163/(parametros_recargas!$N$73*G35*G67))</f>
        <v>2.33091566071309</v>
      </c>
      <c r="H3" s="29" t="n">
        <f aca="false">IF(parametros_recargas!$N$73*H35*H67=0,0,'Demanda por puesto'!$P$195/(parametros_recargas!$N$73*H35*H67))</f>
        <v>2.89506040951163</v>
      </c>
      <c r="I3" s="29" t="n">
        <f aca="false">IF(parametros_recargas!$N$73*I35*I67=0,0,'Demanda por puesto'!$P$227/(parametros_recargas!$N$73*I35*I67))</f>
        <v>3.29160994491397</v>
      </c>
      <c r="J3" s="29" t="n">
        <f aca="false">IF(parametros_recargas!$N$73*J35*J67=0,0,'Demanda por puesto'!$P$259/(parametros_recargas!$N$73*J35*J67))</f>
        <v>3.54186297466836</v>
      </c>
      <c r="K3" s="29" t="n">
        <f aca="false">IF(parametros_recargas!$N$73*K35*K67=0,0,'Demanda por puesto'!$P$291/(parametros_recargas!$N$73*K35*K67))</f>
        <v>3.79694169190676</v>
      </c>
      <c r="N3" s="30" t="s">
        <v>331</v>
      </c>
      <c r="O3" s="4" t="s">
        <v>332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9" t="n">
        <f aca="false">IF(parametros_recargas!$N$74*B36*B68=0,0,'Demanda por puesto'!$P$4/(parametros_recargas!$N$74*B36*B68))</f>
        <v>0.0483129874916147</v>
      </c>
      <c r="C4" s="29" t="n">
        <f aca="false">IF(parametros_recargas!$N$74*C36*C68=0,0,'Demanda por puesto'!$P$36/(parametros_recargas!$N$74*C36*C68))</f>
        <v>0.219265051591381</v>
      </c>
      <c r="D4" s="29" t="n">
        <f aca="false">IF(parametros_recargas!$N$74*D36*D68=0,0,'Demanda por puesto'!$P$68/(parametros_recargas!$N$74*D36*D68))</f>
        <v>0.433924890938804</v>
      </c>
      <c r="E4" s="29" t="n">
        <f aca="false">IF(parametros_recargas!$N$74*E36*E68=0,0,'Demanda por puesto'!$P$100/(parametros_recargas!$N$74*E36*E68))</f>
        <v>0.804612809568854</v>
      </c>
      <c r="F4" s="29" t="n">
        <f aca="false">IF(parametros_recargas!$N$74*F36*F68=0,0,'Demanda por puesto'!$P$132/(parametros_recargas!$N$74*F36*F68))</f>
        <v>1.1884253709768</v>
      </c>
      <c r="G4" s="29" t="n">
        <f aca="false">IF(parametros_recargas!$N$74*G36*G68=0,0,'Demanda por puesto'!$P$164/(parametros_recargas!$N$74*G36*G68))</f>
        <v>1.62296830835809</v>
      </c>
      <c r="H4" s="29" t="n">
        <f aca="false">IF(parametros_recargas!$N$74*H36*H68=0,0,'Demanda por puesto'!$P$196/(parametros_recargas!$N$74*H36*H68))</f>
        <v>2.01889699236862</v>
      </c>
      <c r="I4" s="29" t="n">
        <f aca="false">IF(parametros_recargas!$N$74*I36*I68=0,0,'Demanda por puesto'!$P$228/(parametros_recargas!$N$74*I36*I68))</f>
        <v>2.30205843920791</v>
      </c>
      <c r="J4" s="29" t="n">
        <f aca="false">IF(parametros_recargas!$N$74*J36*J68=0,0,'Demanda por puesto'!$P$260/(parametros_recargas!$N$74*J36*J68))</f>
        <v>2.47487299840285</v>
      </c>
      <c r="K4" s="29" t="n">
        <f aca="false">IF(parametros_recargas!$N$74*K36*K68=0,0,'Demanda por puesto'!$P$292/(parametros_recargas!$N$74*K36*K68))</f>
        <v>2.65124851211185</v>
      </c>
      <c r="N4" s="30" t="s">
        <v>333</v>
      </c>
      <c r="O4" s="4" t="s">
        <v>334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9" t="n">
        <f aca="false">IF(parametros_recargas!$N$75*B37*B69=0,0,'Demanda por puesto'!$P$5/(parametros_recargas!$N$75*B37*B69))</f>
        <v>0.00568388088136643</v>
      </c>
      <c r="C5" s="29" t="n">
        <f aca="false">IF(parametros_recargas!$N$75*C37*C69=0,0,'Demanda por puesto'!$P$37/(parametros_recargas!$N$75*C37*C69))</f>
        <v>0.0257958884225154</v>
      </c>
      <c r="D5" s="29" t="n">
        <f aca="false">IF(parametros_recargas!$N$75*D37*D69=0,0,'Demanda por puesto'!$P$69/(parametros_recargas!$N$75*D37*D69))</f>
        <v>0.0510499871692711</v>
      </c>
      <c r="E5" s="29" t="n">
        <f aca="false">IF(parametros_recargas!$N$75*E37*E69=0,0,'Demanda por puesto'!$P$101/(parametros_recargas!$N$75*E37*E69))</f>
        <v>0.0946603305375123</v>
      </c>
      <c r="F5" s="29" t="n">
        <f aca="false">IF(parametros_recargas!$N$75*F37*F69=0,0,'Demanda por puesto'!$P$133/(parametros_recargas!$N$75*F37*F69))</f>
        <v>0.139814749526682</v>
      </c>
      <c r="G5" s="29" t="n">
        <f aca="false">IF(parametros_recargas!$N$75*G37*G69=0,0,'Demanda por puesto'!$P$165/(parametros_recargas!$N$75*G37*G69))</f>
        <v>0.190937448042128</v>
      </c>
      <c r="H5" s="29" t="n">
        <f aca="false">IF(parametros_recargas!$N$75*H37*H69=0,0,'Demanda por puesto'!$P$197/(parametros_recargas!$N$75*H37*H69))</f>
        <v>0.237517293219838</v>
      </c>
      <c r="I5" s="29" t="n">
        <f aca="false">IF(parametros_recargas!$N$75*I37*I69=0,0,'Demanda por puesto'!$P$229/(parametros_recargas!$N$75*I37*I69))</f>
        <v>0.270830404612696</v>
      </c>
      <c r="J5" s="29" t="n">
        <f aca="false">IF(parametros_recargas!$N$75*J37*J69=0,0,'Demanda por puesto'!$P$261/(parametros_recargas!$N$75*J37*J69))</f>
        <v>0.291161529223865</v>
      </c>
      <c r="K5" s="29" t="n">
        <f aca="false">IF(parametros_recargas!$N$75*K37*K69=0,0,'Demanda por puesto'!$P$293/(parametros_recargas!$N$75*K37*K69))</f>
        <v>0.311911589660218</v>
      </c>
      <c r="N5" s="30" t="s">
        <v>335</v>
      </c>
      <c r="O5" s="4" t="s">
        <v>336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9" t="n">
        <f aca="false">IF(parametros_recargas!$N$76*B38*B70=0,0,'Demanda por puesto'!$P$6/(parametros_recargas!$N$76*B38*B70))</f>
        <v>6.37444560848163E-005</v>
      </c>
      <c r="C6" s="29" t="n">
        <f aca="false">IF(parametros_recargas!$N$76*C38*C70=0,0,'Demanda por puesto'!$P$38/(parametros_recargas!$N$76*C38*C70))</f>
        <v>0.00045261086861099</v>
      </c>
      <c r="D6" s="29" t="n">
        <f aca="false">IF(parametros_recargas!$N$76*D38*D70=0,0,'Demanda por puesto'!$P$70/(parametros_recargas!$N$76*D38*D70))</f>
        <v>0.000843027198224803</v>
      </c>
      <c r="E6" s="29" t="n">
        <f aca="false">IF(parametros_recargas!$N$76*E38*E70=0,0,'Demanda por puesto'!$P$102/(parametros_recargas!$N$76*E38*E70))</f>
        <v>0.00150229695687832</v>
      </c>
      <c r="F6" s="29" t="n">
        <f aca="false">IF(parametros_recargas!$N$76*F38*F70=0,0,'Demanda por puesto'!$P$134/(parametros_recargas!$N$76*F38*F70))</f>
        <v>0.00207834067704727</v>
      </c>
      <c r="G6" s="29" t="n">
        <f aca="false">IF(parametros_recargas!$N$76*G38*G70=0,0,'Demanda por puesto'!$P$166/(parametros_recargas!$N$76*G38*G70))</f>
        <v>0.00275124939057253</v>
      </c>
      <c r="H6" s="29" t="n">
        <f aca="false">IF(parametros_recargas!$N$76*H38*H70=0,0,'Demanda por puesto'!$P$198/(parametros_recargas!$N$76*H38*H70))</f>
        <v>0.00348302997567945</v>
      </c>
      <c r="I6" s="29" t="n">
        <f aca="false">IF(parametros_recargas!$N$76*I38*I70=0,0,'Demanda por puesto'!$P$230/(parametros_recargas!$N$76*I38*I70))</f>
        <v>0.00386554006175612</v>
      </c>
      <c r="J6" s="29" t="n">
        <f aca="false">IF(parametros_recargas!$N$76*J38*J70=0,0,'Demanda por puesto'!$P$262/(parametros_recargas!$N$76*J38*J70))</f>
        <v>0.00421446939925286</v>
      </c>
      <c r="K6" s="29" t="n">
        <f aca="false">IF(parametros_recargas!$N$76*K38*K70=0,0,'Demanda por puesto'!$P$294/(parametros_recargas!$N$76*K38*K70))</f>
        <v>0.00456642623375704</v>
      </c>
      <c r="N6" s="30" t="s">
        <v>337</v>
      </c>
      <c r="O6" s="4" t="s">
        <v>338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9" t="n">
        <f aca="false">IF(parametros_recargas!$N$77*B39*B71=0,0,'Demanda por puesto'!$P$7/(parametros_recargas!$N$77*B39*B71))</f>
        <v>0.00343845107002478</v>
      </c>
      <c r="C7" s="29" t="n">
        <f aca="false">IF(parametros_recargas!$N$77*C39*C71=0,0,'Demanda por puesto'!$P$39/(parametros_recargas!$N$77*C39*C71))</f>
        <v>0.0161423743469338</v>
      </c>
      <c r="D7" s="29" t="n">
        <f aca="false">IF(parametros_recargas!$N$77*D39*D71=0,0,'Demanda por puesto'!$P$71/(parametros_recargas!$N$77*D39*D71))</f>
        <v>0.0351835326948702</v>
      </c>
      <c r="E7" s="29" t="n">
        <f aca="false">IF(parametros_recargas!$N$77*E39*E71=0,0,'Demanda por puesto'!$P$103/(parametros_recargas!$N$77*E39*E71))</f>
        <v>0.0638814746822559</v>
      </c>
      <c r="F7" s="29" t="n">
        <f aca="false">IF(parametros_recargas!$N$77*F39*F71=0,0,'Demanda por puesto'!$P$135/(parametros_recargas!$N$77*F39*F71))</f>
        <v>0.0918751837251132</v>
      </c>
      <c r="G7" s="29" t="n">
        <f aca="false">IF(parametros_recargas!$N$77*G39*G71=0,0,'Demanda por puesto'!$P$167/(parametros_recargas!$N$77*G39*G71))</f>
        <v>0.121598217047314</v>
      </c>
      <c r="H7" s="29" t="n">
        <f aca="false">IF(parametros_recargas!$N$77*H39*H71=0,0,'Demanda por puesto'!$P$199/(parametros_recargas!$N$77*H39*H71))</f>
        <v>0.149392338780941</v>
      </c>
      <c r="I7" s="29" t="n">
        <f aca="false">IF(parametros_recargas!$N$77*I39*I71=0,0,'Demanda por puesto'!$P$231/(parametros_recargas!$N$77*I39*I71))</f>
        <v>0.167207143716368</v>
      </c>
      <c r="J7" s="29" t="n">
        <f aca="false">IF(parametros_recargas!$N$77*J39*J71=0,0,'Demanda por puesto'!$P$263/(parametros_recargas!$N$77*J39*J71))</f>
        <v>0.181163823734186</v>
      </c>
      <c r="K7" s="29" t="n">
        <f aca="false">IF(parametros_recargas!$N$77*K39*K71=0,0,'Demanda por puesto'!$P$295/(parametros_recargas!$N$77*K39*K71))</f>
        <v>0.195240573048052</v>
      </c>
      <c r="N7" s="30" t="s">
        <v>339</v>
      </c>
      <c r="O7" s="4" t="s">
        <v>340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9" t="n">
        <f aca="false">IF(parametros_recargas!$N$78*B40*B72=0,0,'Demanda por puesto'!$P$8/(parametros_recargas!$N$78*B40*B72))</f>
        <v>0.00324128072662798</v>
      </c>
      <c r="C8" s="29" t="n">
        <f aca="false">IF(parametros_recargas!$N$78*C40*C72=0,0,'Demanda por puesto'!$P$40/(parametros_recargas!$N$78*C40*C72))</f>
        <v>0.0132325003137831</v>
      </c>
      <c r="D8" s="29" t="n">
        <f aca="false">IF(parametros_recargas!$N$78*D40*D72=0,0,'Demanda por puesto'!$P$72/(parametros_recargas!$N$78*D40*D72))</f>
        <v>0.0301828144878496</v>
      </c>
      <c r="E8" s="29" t="n">
        <f aca="false">IF(parametros_recargas!$N$78*E40*E72=0,0,'Demanda por puesto'!$P$104/(parametros_recargas!$N$78*E40*E72))</f>
        <v>0.0568018429029953</v>
      </c>
      <c r="F8" s="29" t="n">
        <f aca="false">IF(parametros_recargas!$N$78*F40*F72=0,0,'Demanda por puesto'!$P$136/(parametros_recargas!$N$78*F40*F72))</f>
        <v>0.0821419294905722</v>
      </c>
      <c r="G8" s="29" t="n">
        <f aca="false">IF(parametros_recargas!$N$78*G40*G72=0,0,'Demanda por puesto'!$P$168/(parametros_recargas!$N$78*G40*G72))</f>
        <v>0.109326635164336</v>
      </c>
      <c r="H8" s="29" t="n">
        <f aca="false">IF(parametros_recargas!$N$78*H40*H72=0,0,'Demanda por puesto'!$P$200/(parametros_recargas!$N$78*H40*H72))</f>
        <v>0.134222060166982</v>
      </c>
      <c r="I8" s="29" t="n">
        <f aca="false">IF(parametros_recargas!$N$78*I40*I72=0,0,'Demanda por puesto'!$P$232/(parametros_recargas!$N$78*I40*I72))</f>
        <v>0.149300987705668</v>
      </c>
      <c r="J8" s="29" t="n">
        <f aca="false">IF(parametros_recargas!$N$78*J40*J72=0,0,'Demanda por puesto'!$P$264/(parametros_recargas!$N$78*J40*J72))</f>
        <v>0.161427424651015</v>
      </c>
      <c r="K8" s="29" t="n">
        <f aca="false">IF(parametros_recargas!$N$78*K40*K72=0,0,'Demanda por puesto'!$P$296/(parametros_recargas!$N$78*K40*K72))</f>
        <v>0.173717646528843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9" t="n">
        <f aca="false">IF(parametros_recargas!$N$79*B41*B73=0,0,'Demanda por puesto'!$P$9/(parametros_recargas!$N$79*B41*B73))</f>
        <v>0.000232479793784118</v>
      </c>
      <c r="C9" s="29" t="n">
        <f aca="false">IF(parametros_recargas!$N$79*C41*C73=0,0,'Demanda por puesto'!$P$41/(parametros_recargas!$N$79*C41*C73))</f>
        <v>0.0014490164320433</v>
      </c>
      <c r="D9" s="29" t="n">
        <f aca="false">IF(parametros_recargas!$N$79*D41*D73=0,0,'Demanda por puesto'!$P$73/(parametros_recargas!$N$79*D41*D73))</f>
        <v>0.00296569319819106</v>
      </c>
      <c r="E9" s="29" t="n">
        <f aca="false">IF(parametros_recargas!$N$79*E41*E73=0,0,'Demanda por puesto'!$P$105/(parametros_recargas!$N$79*E41*E73))</f>
        <v>0.00517051558912766</v>
      </c>
      <c r="F9" s="29" t="n">
        <f aca="false">IF(parametros_recargas!$N$79*F41*F73=0,0,'Demanda por puesto'!$P$137/(parametros_recargas!$N$79*F41*F73))</f>
        <v>0.00740759480047361</v>
      </c>
      <c r="G9" s="29" t="n">
        <f aca="false">IF(parametros_recargas!$N$79*G41*G73=0,0,'Demanda por puesto'!$P$169/(parametros_recargas!$N$79*G41*G73))</f>
        <v>0.00973980669847603</v>
      </c>
      <c r="H9" s="29" t="n">
        <f aca="false">IF(parametros_recargas!$N$79*H41*H73=0,0,'Demanda por puesto'!$P$201/(parametros_recargas!$N$79*H41*H73))</f>
        <v>0.0121902640469814</v>
      </c>
      <c r="I9" s="29" t="n">
        <f aca="false">IF(parametros_recargas!$N$79*I41*I73=0,0,'Demanda por puesto'!$P$233/(parametros_recargas!$N$79*I41*I73))</f>
        <v>0.0138527212868528</v>
      </c>
      <c r="J9" s="29" t="n">
        <f aca="false">IF(parametros_recargas!$N$79*J41*J73=0,0,'Demanda por puesto'!$P$265/(parametros_recargas!$N$79*J41*J73))</f>
        <v>0.0151406702369193</v>
      </c>
      <c r="K9" s="29" t="n">
        <f aca="false">IF(parametros_recargas!$N$79*K41*K73=0,0,'Demanda por puesto'!$P$297/(parametros_recargas!$N$79*K41*K73))</f>
        <v>0.0164386333797174</v>
      </c>
      <c r="N9" s="6" t="s">
        <v>84</v>
      </c>
      <c r="O9" s="31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9" t="n">
        <f aca="false">IF(parametros_recargas!$N$80*B42*B74=0,0,'Demanda por puesto'!$P$10/(parametros_recargas!$N$80*B42*B74))</f>
        <v>0.0663489820571478</v>
      </c>
      <c r="C10" s="29" t="n">
        <f aca="false">IF(parametros_recargas!$N$80*C42*C74=0,0,'Demanda por puesto'!$P$42/(parametros_recargas!$N$80*C42*C74))</f>
        <v>0.301500546944415</v>
      </c>
      <c r="D10" s="29" t="n">
        <f aca="false">IF(parametros_recargas!$N$80*D42*D74=0,0,'Demanda por puesto'!$P$74/(parametros_recargas!$N$80*D42*D74))</f>
        <v>0.596545960974434</v>
      </c>
      <c r="E10" s="29" t="n">
        <f aca="false">IF(parametros_recargas!$N$80*E42*E74=0,0,'Demanda por puesto'!$P$106/(parametros_recargas!$N$80*E42*E74))</f>
        <v>1.1058918621223</v>
      </c>
      <c r="F10" s="29" t="n">
        <f aca="false">IF(parametros_recargas!$N$80*F42*F74=0,0,'Demanda por puesto'!$P$138/(parametros_recargas!$N$80*F42*F74))</f>
        <v>1.63311348516149</v>
      </c>
      <c r="G10" s="29" t="n">
        <f aca="false">IF(parametros_recargas!$N$80*G42*G74=0,0,'Demanda por puesto'!$P$170/(parametros_recargas!$N$80*G42*G74))</f>
        <v>2.22987587312536</v>
      </c>
      <c r="H10" s="29" t="n">
        <f aca="false">IF(parametros_recargas!$N$80*H42*H74=0,0,'Demanda por puesto'!$P$202/(parametros_recargas!$N$80*H42*H74))</f>
        <v>2.77405169486172</v>
      </c>
      <c r="I10" s="29" t="n">
        <f aca="false">IF(parametros_recargas!$N$80*I42*I74=0,0,'Demanda por puesto'!$P$234/(parametros_recargas!$N$80*I42*I74))</f>
        <v>3.16291552302569</v>
      </c>
      <c r="J10" s="29" t="n">
        <f aca="false">IF(parametros_recargas!$N$80*J42*J74=0,0,'Demanda por puesto'!$P$266/(parametros_recargas!$N$80*J42*J74))</f>
        <v>3.40051313938821</v>
      </c>
      <c r="K10" s="29" t="n">
        <f aca="false">IF(parametros_recargas!$N$80*K42*K74=0,0,'Demanda por puesto'!$P$298/(parametros_recargas!$N$80*K42*K74))</f>
        <v>3.6429808910215</v>
      </c>
      <c r="N10" s="6" t="s">
        <v>86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9" t="n">
        <f aca="false">IF(parametros_recargas!$N$81*B43*B75=0,0,'Demanda por puesto'!$P$11/(parametros_recargas!$N$81*B43*B75))</f>
        <v>0.00863424937572976</v>
      </c>
      <c r="C11" s="29" t="n">
        <f aca="false">IF(parametros_recargas!$N$81*C43*C75=0,0,'Demanda por puesto'!$P$43/(parametros_recargas!$N$81*C43*C75))</f>
        <v>0.0389667247077973</v>
      </c>
      <c r="D11" s="29" t="n">
        <f aca="false">IF(parametros_recargas!$N$81*D43*D75=0,0,'Demanda por puesto'!$P$75/(parametros_recargas!$N$81*D43*D75))</f>
        <v>0.0860098518399354</v>
      </c>
      <c r="E11" s="29" t="n">
        <f aca="false">IF(parametros_recargas!$N$81*E43*E75=0,0,'Demanda por puesto'!$P$107/(parametros_recargas!$N$81*E43*E75))</f>
        <v>0.15780099206784</v>
      </c>
      <c r="F11" s="29" t="n">
        <f aca="false">IF(parametros_recargas!$N$81*F43*F75=0,0,'Demanda por puesto'!$P$139/(parametros_recargas!$N$81*F43*F75))</f>
        <v>0.227325894424684</v>
      </c>
      <c r="G11" s="29" t="n">
        <f aca="false">IF(parametros_recargas!$N$81*G43*G75=0,0,'Demanda por puesto'!$P$171/(parametros_recargas!$N$81*G43*G75))</f>
        <v>0.301369153850798</v>
      </c>
      <c r="H11" s="29" t="n">
        <f aca="false">IF(parametros_recargas!$N$81*H43*H75=0,0,'Demanda por puesto'!$P$203/(parametros_recargas!$N$81*H43*H75))</f>
        <v>0.370258514099693</v>
      </c>
      <c r="I11" s="29" t="n">
        <f aca="false">IF(parametros_recargas!$N$81*I43*I75=0,0,'Demanda por puesto'!$P$235/(parametros_recargas!$N$81*I43*I75))</f>
        <v>0.41369456255504</v>
      </c>
      <c r="J11" s="29" t="n">
        <f aca="false">IF(parametros_recargas!$N$81*J43*J75=0,0,'Demanda por puesto'!$P$267/(parametros_recargas!$N$81*J43*J75))</f>
        <v>0.447987088200999</v>
      </c>
      <c r="K11" s="29" t="n">
        <f aca="false">IF(parametros_recargas!$N$81*K43*K75=0,0,'Demanda por puesto'!$P$299/(parametros_recargas!$N$81*K43*K75))</f>
        <v>0.482625278532254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9" t="n">
        <f aca="false">IF(parametros_recargas!$N$82*B44*B76=0,0,'Demanda por puesto'!$P$12/(parametros_recargas!$N$82*B44*B76))</f>
        <v>0.00212882493409179</v>
      </c>
      <c r="C12" s="29" t="n">
        <f aca="false">IF(parametros_recargas!$N$82*C44*C76=0,0,'Demanda por puesto'!$P$44/(parametros_recargas!$N$82*C44*C76))</f>
        <v>0.00966763005174322</v>
      </c>
      <c r="D12" s="29" t="n">
        <f aca="false">IF(parametros_recargas!$N$82*D44*D76=0,0,'Demanda por puesto'!$P$76/(parametros_recargas!$N$82*D44*D76))</f>
        <v>0.0191302402173315</v>
      </c>
      <c r="E12" s="29" t="n">
        <f aca="false">IF(parametros_recargas!$N$82*E44*E76=0,0,'Demanda por puesto'!$P$108/(parametros_recargas!$N$82*E44*E76))</f>
        <v>0.0354703037107737</v>
      </c>
      <c r="F12" s="29" t="n">
        <f aca="false">IF(parametros_recargas!$N$82*F44*F76=0,0,'Demanda por puesto'!$P$140/(parametros_recargas!$N$82*F44*F76))</f>
        <v>0.0523849195094294</v>
      </c>
      <c r="G12" s="29" t="n">
        <f aca="false">IF(parametros_recargas!$N$82*G44*G76=0,0,'Demanda por puesto'!$P$172/(parametros_recargas!$N$82*G44*G76))</f>
        <v>0.0715359978917846</v>
      </c>
      <c r="H12" s="29" t="n">
        <f aca="false">IF(parametros_recargas!$N$82*H44*H76=0,0,'Demanda por puesto'!$P$204/(parametros_recargas!$N$82*H44*H76))</f>
        <v>0.0889897171731001</v>
      </c>
      <c r="I12" s="29" t="n">
        <f aca="false">IF(parametros_recargas!$N$82*I44*I76=0,0,'Demanda por puesto'!$P$236/(parametros_recargas!$N$82*I44*I76))</f>
        <v>0.101467050400942</v>
      </c>
      <c r="J12" s="29" t="n">
        <f aca="false">IF(parametros_recargas!$N$82*J44*J76=0,0,'Demanda por puesto'!$P$268/(parametros_recargas!$N$82*J44*J76))</f>
        <v>0.109086336964806</v>
      </c>
      <c r="K12" s="29" t="n">
        <f aca="false">IF(parametros_recargas!$N$82*K44*K76=0,0,'Demanda por puesto'!$P$300/(parametros_recargas!$N$82*K44*K76))</f>
        <v>0.116862468077862</v>
      </c>
      <c r="N12" s="2" t="s">
        <v>341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9" t="n">
        <f aca="false">IF(parametros_recargas!$N$83*B45*B77=0,0,'Demanda por puesto'!$P$13/(parametros_recargas!$N$83*B45*B77))</f>
        <v>0.0493651585036966</v>
      </c>
      <c r="C13" s="29" t="n">
        <f aca="false">IF(parametros_recargas!$N$83*C45*C77=0,0,'Demanda por puesto'!$P$45/(parametros_recargas!$N$83*C45*C77))</f>
        <v>0.223507910964118</v>
      </c>
      <c r="D13" s="29" t="n">
        <f aca="false">IF(parametros_recargas!$N$83*D45*D77=0,0,'Demanda por puesto'!$P$77/(parametros_recargas!$N$83*D45*D77))</f>
        <v>0.451663000209374</v>
      </c>
      <c r="E13" s="29" t="n">
        <f aca="false">IF(parametros_recargas!$N$83*E45*E77=0,0,'Demanda por puesto'!$P$109/(parametros_recargas!$N$83*E45*E77))</f>
        <v>0.836202880892415</v>
      </c>
      <c r="F13" s="29" t="n">
        <f aca="false">IF(parametros_recargas!$N$83*F45*F77=0,0,'Demanda por puesto'!$P$141/(parametros_recargas!$N$83*F45*F77))</f>
        <v>1.22914548345197</v>
      </c>
      <c r="G13" s="29" t="n">
        <f aca="false">IF(parametros_recargas!$N$83*G45*G77=0,0,'Demanda por puesto'!$P$173/(parametros_recargas!$N$83*G45*G77))</f>
        <v>1.66922528910542</v>
      </c>
      <c r="H13" s="29" t="n">
        <f aca="false">IF(parametros_recargas!$N$83*H45*H77=0,0,'Demanda por puesto'!$P$205/(parametros_recargas!$N$83*H45*H77))</f>
        <v>2.07181145476641</v>
      </c>
      <c r="I13" s="29" t="n">
        <f aca="false">IF(parametros_recargas!$N$83*I45*I77=0,0,'Demanda por puesto'!$P$237/(parametros_recargas!$N$83*I45*I77))</f>
        <v>2.35331188576801</v>
      </c>
      <c r="J13" s="29" t="n">
        <f aca="false">IF(parametros_recargas!$N$83*J45*J77=0,0,'Demanda por puesto'!$P$269/(parametros_recargas!$N$83*J45*J77))</f>
        <v>2.53330209566934</v>
      </c>
      <c r="K13" s="29" t="n">
        <f aca="false">IF(parametros_recargas!$N$83*K45*K77=0,0,'Demanda por puesto'!$P$301/(parametros_recargas!$N$83*K45*K77))</f>
        <v>2.71663448070968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9" t="n">
        <f aca="false">IF(parametros_recargas!$N$84*B46*B78=0,0,'Demanda por puesto'!$P$14/(parametros_recargas!$N$84*B46*B78))</f>
        <v>0.027682043508526</v>
      </c>
      <c r="C14" s="29" t="n">
        <f aca="false">IF(parametros_recargas!$N$84*C46*C78=0,0,'Demanda por puesto'!$P$46/(parametros_recargas!$N$84*C46*C78))</f>
        <v>0.124862142931439</v>
      </c>
      <c r="D14" s="29" t="n">
        <f aca="false">IF(parametros_recargas!$N$84*D46*D78=0,0,'Demanda por puesto'!$P$78/(parametros_recargas!$N$84*D46*D78))</f>
        <v>0.249892089168649</v>
      </c>
      <c r="E14" s="29" t="n">
        <f aca="false">IF(parametros_recargas!$N$84*E46*E78=0,0,'Demanda por puesto'!$P$110/(parametros_recargas!$N$84*E46*E78))</f>
        <v>0.463750643119784</v>
      </c>
      <c r="F14" s="29" t="n">
        <f aca="false">IF(parametros_recargas!$N$84*F46*F78=0,0,'Demanda por puesto'!$P$142/(parametros_recargas!$N$84*F46*F78))</f>
        <v>0.683546083261442</v>
      </c>
      <c r="G14" s="29" t="n">
        <f aca="false">IF(parametros_recargas!$N$84*G46*G78=0,0,'Demanda por puesto'!$P$174/(parametros_recargas!$N$84*G46*G78))</f>
        <v>0.931218644705059</v>
      </c>
      <c r="H14" s="29" t="n">
        <f aca="false">IF(parametros_recargas!$N$84*H46*H78=0,0,'Demanda por puesto'!$P$206/(parametros_recargas!$N$84*H46*H78))</f>
        <v>1.15724123690841</v>
      </c>
      <c r="I14" s="29" t="n">
        <f aca="false">IF(parametros_recargas!$N$84*I46*I78=0,0,'Demanda por puesto'!$P$238/(parametros_recargas!$N$84*I46*I78))</f>
        <v>1.31682336936979</v>
      </c>
      <c r="J14" s="29" t="n">
        <f aca="false">IF(parametros_recargas!$N$84*J46*J78=0,0,'Demanda por puesto'!$P$270/(parametros_recargas!$N$84*J46*J78))</f>
        <v>1.41645939049801</v>
      </c>
      <c r="K14" s="29" t="n">
        <f aca="false">IF(parametros_recargas!$N$84*K46*K78=0,0,'Demanda por puesto'!$P$302/(parametros_recargas!$N$84*K46*K78))</f>
        <v>1.51807306791805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9" t="n">
        <f aca="false">IF(parametros_recargas!$N$85*B47*B79=0,0,'Demanda por puesto'!$P$15/(parametros_recargas!$N$85*B47*B79))</f>
        <v>0.0130720761012484</v>
      </c>
      <c r="C15" s="29" t="n">
        <f aca="false">IF(parametros_recargas!$N$85*C47*C79=0,0,'Demanda por puesto'!$P$47/(parametros_recargas!$N$85*C47*C79))</f>
        <v>0.0589626786065129</v>
      </c>
      <c r="D15" s="29" t="n">
        <f aca="false">IF(parametros_recargas!$N$85*D47*D79=0,0,'Demanda por puesto'!$P$79/(parametros_recargas!$N$85*D47*D79))</f>
        <v>0.118004597662973</v>
      </c>
      <c r="E15" s="29" t="n">
        <f aca="false">IF(parametros_recargas!$N$85*E47*E79=0,0,'Demanda por puesto'!$P$111/(parametros_recargas!$N$85*E47*E79))</f>
        <v>0.218993359251009</v>
      </c>
      <c r="F15" s="29" t="n">
        <f aca="false">IF(parametros_recargas!$N$85*F47*F79=0,0,'Demanda por puesto'!$P$143/(parametros_recargas!$N$85*F47*F79))</f>
        <v>0.322785650429014</v>
      </c>
      <c r="G15" s="29" t="n">
        <f aca="false">IF(parametros_recargas!$N$85*G47*G79=0,0,'Demanda por puesto'!$P$175/(parametros_recargas!$N$85*G47*G79))</f>
        <v>0.439742137777389</v>
      </c>
      <c r="H15" s="29" t="n">
        <f aca="false">IF(parametros_recargas!$N$85*H47*H79=0,0,'Demanda por puesto'!$P$207/(parametros_recargas!$N$85*H47*H79))</f>
        <v>0.546475028540085</v>
      </c>
      <c r="I15" s="29" t="n">
        <f aca="false">IF(parametros_recargas!$N$85*I47*I79=0,0,'Demanda por puesto'!$P$239/(parametros_recargas!$N$85*I47*I79))</f>
        <v>0.621833257757959</v>
      </c>
      <c r="J15" s="29" t="n">
        <f aca="false">IF(parametros_recargas!$N$85*J47*J79=0,0,'Demanda por puesto'!$P$271/(parametros_recargas!$N$85*J47*J79))</f>
        <v>0.668883601068502</v>
      </c>
      <c r="K15" s="29" t="n">
        <f aca="false">IF(parametros_recargas!$N$85*K47*K79=0,0,'Demanda por puesto'!$P$303/(parametros_recargas!$N$85*K47*K79))</f>
        <v>0.716867837627968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9" t="n">
        <f aca="false">IF(parametros_recargas!$N$86*B48*B80=0,0,'Demanda por puesto'!$P$16/(parametros_recargas!$N$86*B48*B80))</f>
        <v>0.0576137414373688</v>
      </c>
      <c r="C16" s="29" t="n">
        <f aca="false">IF(parametros_recargas!$N$86*C48*C80=0,0,'Demanda por puesto'!$P$48/(parametros_recargas!$N$86*C48*C80))</f>
        <v>0.260239256568119</v>
      </c>
      <c r="D16" s="29" t="n">
        <f aca="false">IF(parametros_recargas!$N$86*D48*D80=0,0,'Demanda por puesto'!$P$80/(parametros_recargas!$N$86*D48*D80))</f>
        <v>0.523143175967704</v>
      </c>
      <c r="E16" s="29" t="n">
        <f aca="false">IF(parametros_recargas!$N$86*E48*E80=0,0,'Demanda por puesto'!$P$112/(parametros_recargas!$N$86*E48*E80))</f>
        <v>0.969886954677048</v>
      </c>
      <c r="F16" s="29" t="n">
        <f aca="false">IF(parametros_recargas!$N$86*F48*F80=0,0,'Demanda por puesto'!$P$144/(parametros_recargas!$N$86*F48*F80))</f>
        <v>1.42781911207381</v>
      </c>
      <c r="G16" s="29" t="n">
        <f aca="false">IF(parametros_recargas!$N$86*G48*G80=0,0,'Demanda por puesto'!$P$176/(parametros_recargas!$N$86*G48*G80))</f>
        <v>1.94242971726091</v>
      </c>
      <c r="H16" s="29" t="n">
        <f aca="false">IF(parametros_recargas!$N$86*H48*H80=0,0,'Demanda por puesto'!$P$208/(parametros_recargas!$N$86*H48*H80))</f>
        <v>2.41255034125969</v>
      </c>
      <c r="I16" s="29" t="n">
        <f aca="false">IF(parametros_recargas!$N$86*I48*I80=0,0,'Demanda por puesto'!$P$240/(parametros_recargas!$N$86*I48*I80))</f>
        <v>2.74300828742831</v>
      </c>
      <c r="J16" s="29" t="n">
        <f aca="false">IF(parametros_recargas!$N$86*J48*J80=0,0,'Demanda por puesto'!$P$272/(parametros_recargas!$N$86*J48*J80))</f>
        <v>2.9515524788903</v>
      </c>
      <c r="K16" s="29" t="n">
        <f aca="false">IF(parametros_recargas!$N$86*K48*K80=0,0,'Demanda por puesto'!$P$304/(parametros_recargas!$N$86*K48*K80))</f>
        <v>3.16411807658897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9" t="n">
        <f aca="false">IF(parametros_recargas!$N$87*B49*B81=0,0,'Demanda por puesto'!$P$17/(parametros_recargas!$N$87*B49*B81))</f>
        <v>0.0708813380499814</v>
      </c>
      <c r="C17" s="29" t="n">
        <f aca="false">IF(parametros_recargas!$N$87*C49*C81=0,0,'Demanda por puesto'!$P$49/(parametros_recargas!$N$87*C49*C81))</f>
        <v>0.321689902680781</v>
      </c>
      <c r="D17" s="29" t="n">
        <f aca="false">IF(parametros_recargas!$N$87*D49*D81=0,0,'Demanda por puesto'!$P$81/(parametros_recargas!$N$87*D49*D81))</f>
        <v>0.636623369405027</v>
      </c>
      <c r="E17" s="29" t="n">
        <f aca="false">IF(parametros_recargas!$N$87*E49*E81=0,0,'Demanda por puesto'!$P$113/(parametros_recargas!$N$87*E49*E81))</f>
        <v>1.18047000435015</v>
      </c>
      <c r="F17" s="29" t="n">
        <f aca="false">IF(parametros_recargas!$N$87*F49*F81=0,0,'Demanda por puesto'!$P$145/(parametros_recargas!$N$87*F49*F81))</f>
        <v>1.74357217056803</v>
      </c>
      <c r="G17" s="29" t="n">
        <f aca="false">IF(parametros_recargas!$N$87*G49*G81=0,0,'Demanda por puesto'!$P$177/(parametros_recargas!$N$87*G49*G81))</f>
        <v>2.38110229323125</v>
      </c>
      <c r="H17" s="29" t="n">
        <f aca="false">IF(parametros_recargas!$N$87*H49*H81=0,0,'Demanda por puesto'!$P$209/(parametros_recargas!$N$87*H49*H81))</f>
        <v>2.96198036250622</v>
      </c>
      <c r="I17" s="29" t="n">
        <f aca="false">IF(parametros_recargas!$N$87*I49*I81=0,0,'Demanda por puesto'!$P$241/(parametros_recargas!$N$87*I49*I81))</f>
        <v>3.37741445752303</v>
      </c>
      <c r="J17" s="29" t="n">
        <f aca="false">IF(parametros_recargas!$N$87*J49*J81=0,0,'Demanda por puesto'!$P$273/(parametros_recargas!$N$87*J49*J81))</f>
        <v>3.63095554090937</v>
      </c>
      <c r="K17" s="29" t="n">
        <f aca="false">IF(parametros_recargas!$N$87*K49*K81=0,0,'Demanda por puesto'!$P$305/(parametros_recargas!$N$87*K49*K81))</f>
        <v>3.8897210004686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9" t="n">
        <f aca="false">IF(parametros_recargas!$N$88*B50*B82=0,0,'Demanda por puesto'!$P$18/(parametros_recargas!$N$88*B50*B82))</f>
        <v>0.00010499086884558</v>
      </c>
      <c r="C18" s="29" t="n">
        <f aca="false">IF(parametros_recargas!$N$88*C50*C82=0,0,'Demanda por puesto'!$P$50/(parametros_recargas!$N$88*C50*C82))</f>
        <v>0.000745476724771043</v>
      </c>
      <c r="D18" s="29" t="n">
        <f aca="false">IF(parametros_recargas!$N$88*D50*D82=0,0,'Demanda por puesto'!$P$82/(parametros_recargas!$N$88*D50*D82))</f>
        <v>0.00138851538531144</v>
      </c>
      <c r="E18" s="29" t="n">
        <f aca="false">IF(parametros_recargas!$N$88*E50*E82=0,0,'Demanda por puesto'!$P$114/(parametros_recargas!$N$88*E50*E82))</f>
        <v>0.00247437145838781</v>
      </c>
      <c r="F18" s="29" t="n">
        <f aca="false">IF(parametros_recargas!$N$88*F50*F82=0,0,'Demanda por puesto'!$P$146/(parametros_recargas!$N$88*F50*F82))</f>
        <v>0.0034231493504308</v>
      </c>
      <c r="G18" s="29" t="n">
        <f aca="false">IF(parametros_recargas!$N$88*G50*G82=0,0,'Demanda por puesto'!$P$178/(parametros_recargas!$N$88*G50*G82))</f>
        <v>0.00453146958447241</v>
      </c>
      <c r="H18" s="29" t="n">
        <f aca="false">IF(parametros_recargas!$N$88*H50*H82=0,0,'Demanda por puesto'!$P$210/(parametros_recargas!$N$88*H50*H82))</f>
        <v>0.00573675525406028</v>
      </c>
      <c r="I18" s="29" t="n">
        <f aca="false">IF(parametros_recargas!$N$88*I50*I82=0,0,'Demanda por puesto'!$P$242/(parametros_recargas!$N$88*I50*I82))</f>
        <v>0.00636677186642184</v>
      </c>
      <c r="J18" s="29" t="n">
        <f aca="false">IF(parametros_recargas!$N$88*J50*J82=0,0,'Demanda por puesto'!$P$274/(parametros_recargas!$N$88*J50*J82))</f>
        <v>0.00694147901053412</v>
      </c>
      <c r="K18" s="29" t="n">
        <f aca="false">IF(parametros_recargas!$N$88*K50*K82=0,0,'Demanda por puesto'!$P$306/(parametros_recargas!$N$88*K50*K82))</f>
        <v>0.00752117262030571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9" t="n">
        <f aca="false">IF(parametros_recargas!$N$89*B51*B83=0,0,'Demanda por puesto'!$P$19/(parametros_recargas!$N$89*B51*B83))</f>
        <v>0.000367468040959529</v>
      </c>
      <c r="C19" s="29" t="n">
        <f aca="false">IF(parametros_recargas!$N$89*C51*C83=0,0,'Demanda por puesto'!$P$51/(parametros_recargas!$N$89*C51*C83))</f>
        <v>0.00260916853669865</v>
      </c>
      <c r="D19" s="29" t="n">
        <f aca="false">IF(parametros_recargas!$N$89*D51*D83=0,0,'Demanda por puesto'!$P$83/(parametros_recargas!$N$89*D51*D83))</f>
        <v>0.00485980384859004</v>
      </c>
      <c r="E19" s="29" t="n">
        <f aca="false">IF(parametros_recargas!$N$89*E51*E83=0,0,'Demanda por puesto'!$P$115/(parametros_recargas!$N$89*E51*E83))</f>
        <v>0.00805624340683269</v>
      </c>
      <c r="F19" s="29" t="n">
        <f aca="false">IF(parametros_recargas!$N$89*F51*F83=0,0,'Demanda por puesto'!$P$147/(parametros_recargas!$N$89*F51*F83))</f>
        <v>0.0111968336707327</v>
      </c>
      <c r="G19" s="29" t="n">
        <f aca="false">IF(parametros_recargas!$N$89*G51*G83=0,0,'Demanda por puesto'!$P$179/(parametros_recargas!$N$89*G51*G83))</f>
        <v>0.0139169295898074</v>
      </c>
      <c r="H19" s="29" t="n">
        <f aca="false">IF(parametros_recargas!$N$89*H51*H83=0,0,'Demanda por puesto'!$P$211/(parametros_recargas!$N$89*H51*H83))</f>
        <v>0.0179028361172852</v>
      </c>
      <c r="I19" s="29" t="n">
        <f aca="false">IF(parametros_recargas!$N$89*I51*I83=0,0,'Demanda por puesto'!$P$243/(parametros_recargas!$N$89*I51*I83))</f>
        <v>0.0199744394539933</v>
      </c>
      <c r="J19" s="29" t="n">
        <f aca="false">IF(parametros_recargas!$N$89*J51*J83=0,0,'Demanda por puesto'!$P$275/(parametros_recargas!$N$89*J51*J83))</f>
        <v>0.0219216302394027</v>
      </c>
      <c r="K19" s="29" t="n">
        <f aca="false">IF(parametros_recargas!$N$89*K51*K83=0,0,'Demanda por puesto'!$P$307/(parametros_recargas!$N$89*K51*K83))</f>
        <v>0.0238056601632962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9" t="n">
        <f aca="false">IF(parametros_recargas!$N$90*B52*B84=0,0,'Demanda por puesto'!$P$20/(parametros_recargas!$N$90*B52*B84))</f>
        <v>0.00327471530478551</v>
      </c>
      <c r="C20" s="29" t="n">
        <f aca="false">IF(parametros_recargas!$N$90*C52*C84=0,0,'Demanda por puesto'!$P$52/(parametros_recargas!$N$90*C52*C84))</f>
        <v>0.0153736898542227</v>
      </c>
      <c r="D20" s="29" t="n">
        <f aca="false">IF(parametros_recargas!$N$90*D52*D84=0,0,'Demanda por puesto'!$P$84/(parametros_recargas!$N$90*D52*D84))</f>
        <v>0.0335081263760669</v>
      </c>
      <c r="E20" s="29" t="n">
        <f aca="false">IF(parametros_recargas!$N$90*E52*E84=0,0,'Demanda por puesto'!$P$116/(parametros_recargas!$N$90*E52*E84))</f>
        <v>0.0608394996973866</v>
      </c>
      <c r="F20" s="29" t="n">
        <f aca="false">IF(parametros_recargas!$N$90*F52*F84=0,0,'Demanda por puesto'!$P$148/(parametros_recargas!$N$90*F52*F84))</f>
        <v>0.0875001749762983</v>
      </c>
      <c r="G20" s="29" t="n">
        <f aca="false">IF(parametros_recargas!$N$90*G52*G84=0,0,'Demanda por puesto'!$P$180/(parametros_recargas!$N$90*G52*G84))</f>
        <v>0.115807825759346</v>
      </c>
      <c r="H20" s="29" t="n">
        <f aca="false">IF(parametros_recargas!$N$90*H52*H84=0,0,'Demanda por puesto'!$P$212/(parametros_recargas!$N$90*H52*H84))</f>
        <v>0.14227841788661</v>
      </c>
      <c r="I20" s="29" t="n">
        <f aca="false">IF(parametros_recargas!$N$90*I52*I84=0,0,'Demanda por puesto'!$P$244/(parametros_recargas!$N$90*I52*I84))</f>
        <v>0.159244898777494</v>
      </c>
      <c r="J20" s="29" t="n">
        <f aca="false">IF(parametros_recargas!$N$90*J52*J84=0,0,'Demanda por puesto'!$P$276/(parametros_recargas!$N$90*J52*J84))</f>
        <v>0.172536974984939</v>
      </c>
      <c r="K20" s="29" t="n">
        <f aca="false">IF(parametros_recargas!$N$90*K52*K84=0,0,'Demanda por puesto'!$P$308/(parametros_recargas!$N$90*K52*K84))</f>
        <v>0.185943402902906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9" t="n">
        <f aca="false">IF(parametros_recargas!$N$91*B53*B85=0,0,'Demanda por puesto'!$P$21/(parametros_recargas!$N$91*B53*B85))</f>
        <v>0.00455360414277492</v>
      </c>
      <c r="C21" s="29" t="n">
        <f aca="false">IF(parametros_recargas!$N$91*C53*C85=0,0,'Demanda por puesto'!$P$53/(parametros_recargas!$N$91*C53*C85))</f>
        <v>0.0185900492213147</v>
      </c>
      <c r="D21" s="29" t="n">
        <f aca="false">IF(parametros_recargas!$N$91*D53*D85=0,0,'Demanda por puesto'!$P$85/(parametros_recargas!$N$91*D53*D85))</f>
        <v>0.0424031735243936</v>
      </c>
      <c r="E21" s="29" t="n">
        <f aca="false">IF(parametros_recargas!$N$91*E53*E85=0,0,'Demanda por puesto'!$P$117/(parametros_recargas!$N$91*E53*E85))</f>
        <v>0.0797996622246959</v>
      </c>
      <c r="F21" s="29" t="n">
        <f aca="false">IF(parametros_recargas!$N$91*F53*F85=0,0,'Demanda por puesto'!$P$149/(parametros_recargas!$N$91*F53*F85))</f>
        <v>0.115399393625779</v>
      </c>
      <c r="G21" s="29" t="n">
        <f aca="false">IF(parametros_recargas!$N$91*G53*G85=0,0,'Demanda por puesto'!$P$181/(parametros_recargas!$N$91*G53*G85))</f>
        <v>0.153590589889409</v>
      </c>
      <c r="H21" s="29" t="n">
        <f aca="false">IF(parametros_recargas!$N$91*H53*H85=0,0,'Demanda por puesto'!$P$213/(parametros_recargas!$N$91*H53*H85))</f>
        <v>0.188565625990686</v>
      </c>
      <c r="I21" s="29" t="n">
        <f aca="false">IF(parametros_recargas!$N$91*I53*I85=0,0,'Demanda por puesto'!$P$245/(parametros_recargas!$N$91*I53*I85))</f>
        <v>0.209749680288939</v>
      </c>
      <c r="J21" s="29" t="n">
        <f aca="false">IF(parametros_recargas!$N$91*J53*J85=0,0,'Demanda por puesto'!$P$277/(parametros_recargas!$N$91*J53*J85))</f>
        <v>0.226785845363377</v>
      </c>
      <c r="K21" s="29" t="n">
        <f aca="false">IF(parametros_recargas!$N$91*K53*K85=0,0,'Demanda por puesto'!$P$309/(parametros_recargas!$N$91*K53*K85))</f>
        <v>0.24405210829418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9" t="n">
        <f aca="false">IF(parametros_recargas!$N$92*B54*B86=0,0,'Demanda por puesto'!$P$22/(parametros_recargas!$N$92*B54*B86))</f>
        <v>0.0804230085541185</v>
      </c>
      <c r="C22" s="29" t="n">
        <f aca="false">IF(parametros_recargas!$N$92*C54*C86=0,0,'Demanda por puesto'!$P$54/(parametros_recargas!$N$92*C54*C86))</f>
        <v>0.365455208417472</v>
      </c>
      <c r="D22" s="29" t="n">
        <f aca="false">IF(parametros_recargas!$N$92*D54*D86=0,0,'Demanda por puesto'!$P$86/(parametros_recargas!$N$92*D54*D86))</f>
        <v>0.723086013302344</v>
      </c>
      <c r="E22" s="29" t="n">
        <f aca="false">IF(parametros_recargas!$N$92*E54*E86=0,0,'Demanda por puesto'!$P$118/(parametros_recargas!$N$92*E54*E86))</f>
        <v>1.34047498439067</v>
      </c>
      <c r="F22" s="29" t="n">
        <f aca="false">IF(parametros_recargas!$N$92*F54*F86=0,0,'Demanda por puesto'!$P$150/(parametros_recargas!$N$92*F54*F86))</f>
        <v>1.97953149716545</v>
      </c>
      <c r="G22" s="29" t="n">
        <f aca="false">IF(parametros_recargas!$N$92*G54*G86=0,0,'Demanda por puesto'!$P$182/(parametros_recargas!$N$92*G54*G86))</f>
        <v>2.70287984621256</v>
      </c>
      <c r="H22" s="29" t="n">
        <f aca="false">IF(parametros_recargas!$N$92*H54*H86=0,0,'Demanda por puesto'!$P$214/(parametros_recargas!$N$92*H54*H86))</f>
        <v>3.36248690286269</v>
      </c>
      <c r="I22" s="29" t="n">
        <f aca="false">IF(parametros_recargas!$N$92*I54*I86=0,0,'Demanda por puesto'!$P$246/(parametros_recargas!$N$92*I54*I86))</f>
        <v>3.83383699760689</v>
      </c>
      <c r="J22" s="29" t="n">
        <f aca="false">IF(parametros_recargas!$N$92*J54*J86=0,0,'Demanda por puesto'!$P$278/(parametros_recargas!$N$92*J54*J86))</f>
        <v>4.12183410834935</v>
      </c>
      <c r="K22" s="29" t="n">
        <f aca="false">IF(parametros_recargas!$N$92*K54*K86=0,0,'Demanda por puesto'!$P$310/(parametros_recargas!$N$92*K54*K86))</f>
        <v>4.41573441335939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9" t="n">
        <f aca="false">IF(parametros_recargas!$N$93*B55*B87=0,0,'Demanda por puesto'!$P$23/(parametros_recargas!$N$93*B55*B87))</f>
        <v>0.0489239968704221</v>
      </c>
      <c r="C23" s="29" t="n">
        <f aca="false">IF(parametros_recargas!$N$93*C55*C87=0,0,'Demanda por puesto'!$P$55/(parametros_recargas!$N$93*C55*C87))</f>
        <v>0.222318585120629</v>
      </c>
      <c r="D23" s="29" t="n">
        <f aca="false">IF(parametros_recargas!$N$93*D55*D87=0,0,'Demanda por puesto'!$P$87/(parametros_recargas!$N$93*D55*D87))</f>
        <v>0.439877324758926</v>
      </c>
      <c r="E23" s="29" t="n">
        <f aca="false">IF(parametros_recargas!$N$93*E55*E87=0,0,'Demanda por puesto'!$P$119/(parametros_recargas!$N$93*E55*E87))</f>
        <v>0.815455615504324</v>
      </c>
      <c r="F23" s="29" t="n">
        <f aca="false">IF(parametros_recargas!$N$93*F55*F87=0,0,'Demanda por puesto'!$P$151/(parametros_recargas!$N$93*F55*F87))</f>
        <v>1.20421499410898</v>
      </c>
      <c r="G23" s="29" t="n">
        <f aca="false">IF(parametros_recargas!$N$93*G55*G87=0,0,'Demanda por puesto'!$P$183/(parametros_recargas!$N$93*G55*G87))</f>
        <v>1.64425190644597</v>
      </c>
      <c r="H23" s="29" t="n">
        <f aca="false">IF(parametros_recargas!$N$93*H55*H87=0,0,'Demanda por puesto'!$P$215/(parametros_recargas!$N$93*H55*H87))</f>
        <v>2.04551286590814</v>
      </c>
      <c r="I23" s="29" t="n">
        <f aca="false">IF(parametros_recargas!$N$93*I55*I87=0,0,'Demanda por puesto'!$P$247/(parametros_recargas!$N$93*I55*I87))</f>
        <v>2.33225084021086</v>
      </c>
      <c r="J23" s="29" t="n">
        <f aca="false">IF(parametros_recargas!$N$93*J55*J87=0,0,'Demanda por puesto'!$P$279/(parametros_recargas!$N$93*J55*J87))</f>
        <v>2.50744908257919</v>
      </c>
      <c r="K23" s="29" t="n">
        <f aca="false">IF(parametros_recargas!$N$93*K55*K87=0,0,'Demanda por puesto'!$P$311/(parametros_recargas!$N$93*K55*K87))</f>
        <v>2.68623843479363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9" t="n">
        <f aca="false">IF(parametros_recargas!$N$94*B56*B88=0,0,'Demanda por puesto'!$P$24/(parametros_recargas!$N$94*B56*B88))</f>
        <v>0.00833989996519352</v>
      </c>
      <c r="C24" s="29" t="n">
        <f aca="false">IF(parametros_recargas!$N$94*C56*C88=0,0,'Demanda por puesto'!$P$56/(parametros_recargas!$N$94*C56*C88))</f>
        <v>0.0376383136382133</v>
      </c>
      <c r="D24" s="29" t="n">
        <f aca="false">IF(parametros_recargas!$N$94*D56*D88=0,0,'Demanda por puesto'!$P$88/(parametros_recargas!$N$94*D56*D88))</f>
        <v>0.0830776977999376</v>
      </c>
      <c r="E24" s="29" t="n">
        <f aca="false">IF(parametros_recargas!$N$94*E56*E88=0,0,'Demanda por puesto'!$P$120/(parametros_recargas!$N$94*E56*E88))</f>
        <v>0.1524214127928</v>
      </c>
      <c r="F24" s="29" t="n">
        <f aca="false">IF(parametros_recargas!$N$94*F56*F88=0,0,'Demanda por puesto'!$P$152/(parametros_recargas!$N$94*F56*F88))</f>
        <v>0.219576148023843</v>
      </c>
      <c r="G24" s="29" t="n">
        <f aca="false">IF(parametros_recargas!$N$94*G56*G88=0,0,'Demanda por puesto'!$P$184/(parametros_recargas!$N$94*G56*G88))</f>
        <v>0.291095205424067</v>
      </c>
      <c r="H24" s="29" t="n">
        <f aca="false">IF(parametros_recargas!$N$94*H56*H88=0,0,'Demanda por puesto'!$P$216/(parametros_recargas!$N$94*H56*H88))</f>
        <v>0.357636064755385</v>
      </c>
      <c r="I24" s="29" t="n">
        <f aca="false">IF(parametros_recargas!$N$94*I56*I88=0,0,'Demanda por puesto'!$P$248/(parametros_recargas!$N$94*I56*I88))</f>
        <v>0.399591338831573</v>
      </c>
      <c r="J24" s="29" t="n">
        <f aca="false">IF(parametros_recargas!$N$94*J56*J88=0,0,'Demanda por puesto'!$P$280/(parametros_recargas!$N$94*J56*J88))</f>
        <v>0.432714801103238</v>
      </c>
      <c r="K24" s="29" t="n">
        <f aca="false">IF(parametros_recargas!$N$94*K56*K88=0,0,'Demanda por puesto'!$P$312/(parametros_recargas!$N$94*K56*K88))</f>
        <v>0.466172144036837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9" t="n">
        <f aca="false">IF(parametros_recargas!$N$95*B57*B89=0,0,'Demanda por puesto'!$P$25/(parametros_recargas!$N$95*B57*B89))</f>
        <v>0.000214981314682087</v>
      </c>
      <c r="C25" s="29" t="n">
        <f aca="false">IF(parametros_recargas!$N$95*C57*C89=0,0,'Demanda por puesto'!$P$57/(parametros_recargas!$N$95*C57*C89))</f>
        <v>0.0013399506790938</v>
      </c>
      <c r="D25" s="29" t="n">
        <f aca="false">IF(parametros_recargas!$N$95*D57*D89=0,0,'Demanda por puesto'!$P$89/(parametros_recargas!$N$95*D57*D89))</f>
        <v>0.00274246897897238</v>
      </c>
      <c r="E25" s="29" t="n">
        <f aca="false">IF(parametros_recargas!$N$95*E57*E89=0,0,'Demanda por puesto'!$P$121/(parametros_recargas!$N$95*E57*E89))</f>
        <v>0.00478133699639762</v>
      </c>
      <c r="F25" s="29" t="n">
        <f aca="false">IF(parametros_recargas!$N$95*F57*F89=0,0,'Demanda por puesto'!$P$153/(parametros_recargas!$N$95*F57*F89))</f>
        <v>0.00685003390151323</v>
      </c>
      <c r="G25" s="29" t="n">
        <f aca="false">IF(parametros_recargas!$N$95*G57*G89=0,0,'Demanda por puesto'!$P$185/(parametros_recargas!$N$95*G57*G89))</f>
        <v>0.00900670296848321</v>
      </c>
      <c r="H25" s="29" t="n">
        <f aca="false">IF(parametros_recargas!$N$95*H57*H89=0,0,'Demanda por puesto'!$P$217/(parametros_recargas!$N$95*H57*H89))</f>
        <v>0.011272717290757</v>
      </c>
      <c r="I25" s="29" t="n">
        <f aca="false">IF(parametros_recargas!$N$95*I57*I89=0,0,'Demanda por puesto'!$P$249/(parametros_recargas!$N$95*I57*I89))</f>
        <v>0.0128100433405305</v>
      </c>
      <c r="J25" s="29" t="n">
        <f aca="false">IF(parametros_recargas!$N$95*J57*J89=0,0,'Demanda por puesto'!$P$281/(parametros_recargas!$N$95*J57*J89))</f>
        <v>0.014001049896506</v>
      </c>
      <c r="K25" s="29" t="n">
        <f aca="false">IF(parametros_recargas!$N$95*K57*K89=0,0,'Demanda por puesto'!$P$313/(parametros_recargas!$N$95*K57*K89))</f>
        <v>0.0152013168887709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9" t="n">
        <f aca="false">IF(parametros_recargas!$N$96*B58*B90=0,0,'Demanda por puesto'!$P$26/(parametros_recargas!$N$96*B58*B90))</f>
        <v>0.00183084084101625</v>
      </c>
      <c r="C26" s="29" t="n">
        <f aca="false">IF(parametros_recargas!$N$96*C58*C90=0,0,'Demanda por puesto'!$P$58/(parametros_recargas!$N$96*C58*C90))</f>
        <v>0.00760340331046511</v>
      </c>
      <c r="D26" s="29" t="n">
        <f aca="false">IF(parametros_recargas!$N$96*D58*D90=0,0,'Demanda por puesto'!$P$90/(parametros_recargas!$N$96*D58*D90))</f>
        <v>0.0172554632174425</v>
      </c>
      <c r="E26" s="29" t="n">
        <f aca="false">IF(parametros_recargas!$N$96*E58*E90=0,0,'Demanda por puesto'!$P$122/(parametros_recargas!$N$96*E58*E90))</f>
        <v>0.0323675285799165</v>
      </c>
      <c r="F26" s="29" t="n">
        <f aca="false">IF(parametros_recargas!$N$96*F58*F90=0,0,'Demanda por puesto'!$P$154/(parametros_recargas!$N$96*F58*F90))</f>
        <v>0.0467891793334451</v>
      </c>
      <c r="G26" s="29" t="n">
        <f aca="false">IF(parametros_recargas!$N$96*G58*G90=0,0,'Demanda por puesto'!$P$186/(parametros_recargas!$N$96*G58*G90))</f>
        <v>0.0622431723487138</v>
      </c>
      <c r="H26" s="29" t="n">
        <f aca="false">IF(parametros_recargas!$N$96*H58*H90=0,0,'Demanda por puesto'!$P$218/(parametros_recargas!$N$96*H58*H90))</f>
        <v>0.0764769513669252</v>
      </c>
      <c r="I26" s="29" t="n">
        <f aca="false">IF(parametros_recargas!$N$96*I58*I90=0,0,'Demanda por puesto'!$P$250/(parametros_recargas!$N$96*I58*I90))</f>
        <v>0.0851442159283272</v>
      </c>
      <c r="J26" s="29" t="n">
        <f aca="false">IF(parametros_recargas!$N$96*J58*J90=0,0,'Demanda por puesto'!$P$282/(parametros_recargas!$N$96*J58*J90))</f>
        <v>0.0921017651576507</v>
      </c>
      <c r="K26" s="29" t="n">
        <f aca="false">IF(parametros_recargas!$N$96*K58*K90=0,0,'Demanda por puesto'!$P$314/(parametros_recargas!$N$96*K58*K90))</f>
        <v>0.0991513811944738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9" t="n">
        <f aca="false">IF(parametros_recargas!$N$97*B59*B91=0,0,'Demanda por puesto'!$P$27/(parametros_recargas!$N$97*B59*B91))</f>
        <v>0.0614546575331934</v>
      </c>
      <c r="C27" s="29" t="n">
        <f aca="false">IF(parametros_recargas!$N$97*C59*C91=0,0,'Demanda por puesto'!$P$59/(parametros_recargas!$N$97*C59*C91))</f>
        <v>0.277588540339327</v>
      </c>
      <c r="D27" s="29" t="n">
        <f aca="false">IF(parametros_recargas!$N$97*D59*D91=0,0,'Demanda por puesto'!$P$91/(parametros_recargas!$N$97*D59*D91))</f>
        <v>0.558019387698884</v>
      </c>
      <c r="E27" s="29" t="n">
        <f aca="false">IF(parametros_recargas!$N$97*E59*E91=0,0,'Demanda por puesto'!$P$123/(parametros_recargas!$N$97*E59*E91))</f>
        <v>1.03454608498885</v>
      </c>
      <c r="F27" s="29" t="n">
        <f aca="false">IF(parametros_recargas!$N$97*F59*F91=0,0,'Demanda por puesto'!$P$155/(parametros_recargas!$N$97*F59*F91))</f>
        <v>1.52300705287873</v>
      </c>
      <c r="G27" s="29" t="n">
        <f aca="false">IF(parametros_recargas!$N$97*G59*G91=0,0,'Demanda por puesto'!$P$187/(parametros_recargas!$N$97*G59*G91))</f>
        <v>2.07192503174497</v>
      </c>
      <c r="H27" s="29" t="n">
        <f aca="false">IF(parametros_recargas!$N$97*H59*H91=0,0,'Demanda por puesto'!$P$219/(parametros_recargas!$N$97*H59*H91))</f>
        <v>2.57338703067701</v>
      </c>
      <c r="I27" s="29" t="n">
        <f aca="false">IF(parametros_recargas!$N$97*I59*I91=0,0,'Demanda por puesto'!$P$251/(parametros_recargas!$N$97*I59*I91))</f>
        <v>2.9258755065902</v>
      </c>
      <c r="J27" s="29" t="n">
        <f aca="false">IF(parametros_recargas!$N$97*J59*J91=0,0,'Demanda por puesto'!$P$283/(parametros_recargas!$N$97*J59*J91))</f>
        <v>3.14832264414965</v>
      </c>
      <c r="K27" s="29" t="n">
        <f aca="false">IF(parametros_recargas!$N$97*K59*K91=0,0,'Demanda por puesto'!$P$315/(parametros_recargas!$N$97*K59*K91))</f>
        <v>3.3750592816949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9" t="n">
        <f aca="false">IF(parametros_recargas!$N$98*B60*B92=0,0,'Demanda por puesto'!$P$28/(parametros_recargas!$N$98*B60*B92))</f>
        <v>0.0660637568481829</v>
      </c>
      <c r="C28" s="29" t="n">
        <f aca="false">IF(parametros_recargas!$N$98*C60*C92=0,0,'Demanda por puesto'!$P$60/(parametros_recargas!$N$98*C60*C92))</f>
        <v>0.298407680864777</v>
      </c>
      <c r="D28" s="29" t="n">
        <f aca="false">IF(parametros_recargas!$N$98*D60*D92=0,0,'Demanda por puesto'!$P$92/(parametros_recargas!$N$98*D60*D92))</f>
        <v>0.599870841776301</v>
      </c>
      <c r="E28" s="29" t="n">
        <f aca="false">IF(parametros_recargas!$N$98*E60*E92=0,0,'Demanda por puesto'!$P$124/(parametros_recargas!$N$98*E60*E92))</f>
        <v>1.11213704136301</v>
      </c>
      <c r="F28" s="29" t="n">
        <f aca="false">IF(parametros_recargas!$N$98*F60*F92=0,0,'Demanda por puesto'!$P$156/(parametros_recargas!$N$98*F60*F92))</f>
        <v>1.63723258184463</v>
      </c>
      <c r="G28" s="29" t="n">
        <f aca="false">IF(parametros_recargas!$N$98*G60*G92=0,0,'Demanda por puesto'!$P$188/(parametros_recargas!$N$98*G60*G92))</f>
        <v>2.22731940912584</v>
      </c>
      <c r="H28" s="29" t="n">
        <f aca="false">IF(parametros_recargas!$N$98*H60*H92=0,0,'Demanda por puesto'!$P$220/(parametros_recargas!$N$98*H60*H92))</f>
        <v>2.76639105797778</v>
      </c>
      <c r="I28" s="29" t="n">
        <f aca="false">IF(parametros_recargas!$N$98*I60*I92=0,0,'Demanda por puesto'!$P$252/(parametros_recargas!$N$98*I60*I92))</f>
        <v>3.14531616958446</v>
      </c>
      <c r="J28" s="29" t="n">
        <f aca="false">IF(parametros_recargas!$N$98*J60*J92=0,0,'Demanda por puesto'!$P$284/(parametros_recargas!$N$98*J60*J92))</f>
        <v>3.38444684246087</v>
      </c>
      <c r="K28" s="29" t="n">
        <f aca="false">IF(parametros_recargas!$N$98*K60*K92=0,0,'Demanda por puesto'!$P$316/(parametros_recargas!$N$98*K60*K92))</f>
        <v>3.62818872782202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9" t="n">
        <f aca="false">IF(parametros_recargas!$N$99*B61*B93=0,0,'Demanda por puesto'!$P$29/(parametros_recargas!$N$99*B61*B93))</f>
        <v>0.023556227175056</v>
      </c>
      <c r="C29" s="29" t="n">
        <f aca="false">IF(parametros_recargas!$N$99*C61*C93=0,0,'Demanda por puesto'!$P$61/(parametros_recargas!$N$99*C61*C93))</f>
        <v>0.106581262399858</v>
      </c>
      <c r="D29" s="29" t="n">
        <f aca="false">IF(parametros_recargas!$N$99*D61*D93=0,0,'Demanda por puesto'!$P$93/(parametros_recargas!$N$99*D61*D93))</f>
        <v>0.213799496926057</v>
      </c>
      <c r="E29" s="29" t="n">
        <f aca="false">IF(parametros_recargas!$N$99*E61*E93=0,0,'Demanda por puesto'!$P$125/(parametros_recargas!$N$99*E61*E93))</f>
        <v>0.396268836972589</v>
      </c>
      <c r="F29" s="29" t="n">
        <f aca="false">IF(parametros_recargas!$N$99*F61*F93=0,0,'Demanda por puesto'!$P$157/(parametros_recargas!$N$99*F61*F93))</f>
        <v>0.583554749809266</v>
      </c>
      <c r="G29" s="29" t="n">
        <f aca="false">IF(parametros_recargas!$N$99*G61*G93=0,0,'Demanda por puesto'!$P$189/(parametros_recargas!$N$99*G61*G93))</f>
        <v>0.794184945237744</v>
      </c>
      <c r="H29" s="29" t="n">
        <f aca="false">IF(parametros_recargas!$N$99*H61*H93=0,0,'Demanda por puesto'!$P$221/(parametros_recargas!$N$99*H61*H93))</f>
        <v>0.986597656284318</v>
      </c>
      <c r="I29" s="29" t="n">
        <f aca="false">IF(parametros_recargas!$N$99*I61*I93=0,0,'Demanda por puesto'!$P$253/(parametros_recargas!$N$99*I61*I93))</f>
        <v>1.12215571254409</v>
      </c>
      <c r="J29" s="29" t="n">
        <f aca="false">IF(parametros_recargas!$N$99*J61*J93=0,0,'Demanda por puesto'!$P$285/(parametros_recargas!$N$99*J61*J93))</f>
        <v>1.2073721090675</v>
      </c>
      <c r="K29" s="29" t="n">
        <f aca="false">IF(parametros_recargas!$N$99*K61*K93=0,0,'Demanda por puesto'!$P$317/(parametros_recargas!$N$99*K61*K93))</f>
        <v>1.29424063786223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9" t="n">
        <f aca="false">IF(parametros_recargas!$N$100*B62*B94=0,0,'Demanda por puesto'!$P$30/(parametros_recargas!$N$100*B62*B94))</f>
        <v>0.00686990275033096</v>
      </c>
      <c r="C30" s="29" t="n">
        <f aca="false">IF(parametros_recargas!$N$100*C62*C94=0,0,'Demanda por puesto'!$P$62/(parametros_recargas!$N$100*C62*C94))</f>
        <v>0.0358466556351192</v>
      </c>
      <c r="D30" s="29" t="n">
        <f aca="false">IF(parametros_recargas!$N$100*D62*D94=0,0,'Demanda por puesto'!$P$94/(parametros_recargas!$N$100*D62*D94))</f>
        <v>0.0764417915871941</v>
      </c>
      <c r="E30" s="29" t="n">
        <f aca="false">IF(parametros_recargas!$N$100*E62*E94=0,0,'Demanda por puesto'!$P$126/(parametros_recargas!$N$100*E62*E94))</f>
        <v>0.136676467125677</v>
      </c>
      <c r="F30" s="29" t="n">
        <f aca="false">IF(parametros_recargas!$N$100*F62*F94=0,0,'Demanda por puesto'!$P$158/(parametros_recargas!$N$100*F62*F94))</f>
        <v>0.196843454538589</v>
      </c>
      <c r="G30" s="29" t="n">
        <f aca="false">IF(parametros_recargas!$N$100*G62*G94=0,0,'Demanda por puesto'!$P$190/(parametros_recargas!$N$100*G62*G94))</f>
        <v>0.261709684075365</v>
      </c>
      <c r="H30" s="29" t="n">
        <f aca="false">IF(parametros_recargas!$N$100*H62*H94=0,0,'Demanda por puesto'!$P$222/(parametros_recargas!$N$100*H62*H94))</f>
        <v>0.32355188564423</v>
      </c>
      <c r="I30" s="29" t="n">
        <f aca="false">IF(parametros_recargas!$N$100*I62*I94=0,0,'Demanda por puesto'!$P$254/(parametros_recargas!$N$100*I62*I94))</f>
        <v>0.365047697695878</v>
      </c>
      <c r="J30" s="29" t="n">
        <f aca="false">IF(parametros_recargas!$N$100*J62*J94=0,0,'Demanda por puesto'!$P$286/(parametros_recargas!$N$100*J62*J94))</f>
        <v>0.396715377058049</v>
      </c>
      <c r="K30" s="29" t="n">
        <f aca="false">IF(parametros_recargas!$N$100*K62*K94=0,0,'Demanda por puesto'!$P$318/(parametros_recargas!$N$100*K62*K94))</f>
        <v>0.428711552549532</v>
      </c>
    </row>
    <row r="31" customFormat="false" ht="15" hidden="false" customHeight="false" outlineLevel="0" collapsed="false">
      <c r="A31" s="6" t="s">
        <v>342</v>
      </c>
      <c r="B31" s="31" t="n">
        <f aca="false">MAX(B2:B30)</f>
        <v>0.0804230085541185</v>
      </c>
      <c r="C31" s="31" t="n">
        <f aca="false">MAX(C2:C30)</f>
        <v>0.365455208417472</v>
      </c>
      <c r="D31" s="31" t="n">
        <f aca="false">MAX(D2:D30)</f>
        <v>0.723086013302344</v>
      </c>
      <c r="E31" s="31" t="n">
        <f aca="false">MAX(E2:E30)</f>
        <v>1.34047498439067</v>
      </c>
      <c r="F31" s="31" t="n">
        <f aca="false">MAX(F2:F30)</f>
        <v>1.97953149716545</v>
      </c>
      <c r="G31" s="31" t="n">
        <f aca="false">MAX(G2:G30)</f>
        <v>2.70287984621256</v>
      </c>
      <c r="H31" s="31" t="n">
        <f aca="false">MAX(H2:H30)</f>
        <v>3.36248690286269</v>
      </c>
      <c r="I31" s="31" t="n">
        <f aca="false">MAX(I2:I30)</f>
        <v>3.83383699760689</v>
      </c>
      <c r="J31" s="31" t="n">
        <f aca="false">MAX(J2:J30)</f>
        <v>4.12183410834935</v>
      </c>
      <c r="K31" s="31" t="n">
        <f aca="false">MAX(K2:K30)</f>
        <v>4.41573441335939</v>
      </c>
    </row>
    <row r="33" customFormat="false" ht="15" hidden="false" customHeight="false" outlineLevel="0" collapsed="false">
      <c r="A33" s="3" t="s">
        <v>343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344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345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346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347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IF(parametros_recargas!$N$72=0,0,ROUNDUP('Demanda por puesto'!$P$2/(parametros_recargas!$N$72*$O$9),0))</f>
        <v>1</v>
      </c>
      <c r="C98" s="25" t="n">
        <f aca="false">IF(parametros_recargas!$N$72=0,0,ROUNDUP('Demanda por puesto'!$P$34/(parametros_recargas!$N$72*$O$9),0))</f>
        <v>1</v>
      </c>
      <c r="D98" s="25" t="n">
        <f aca="false">IF(parametros_recargas!$N$72=0,0,ROUNDUP('Demanda por puesto'!$P$66/(parametros_recargas!$N$72*$O$9),0))</f>
        <v>1</v>
      </c>
      <c r="E98" s="25" t="n">
        <f aca="false">IF(parametros_recargas!$N$72=0,0,ROUNDUP('Demanda por puesto'!$P$98/(parametros_recargas!$N$72*$O$9),0))</f>
        <v>2</v>
      </c>
      <c r="F98" s="25" t="n">
        <f aca="false">IF(parametros_recargas!$N$72=0,0,ROUNDUP('Demanda por puesto'!$P$130/(parametros_recargas!$N$72*$O$9),0))</f>
        <v>2</v>
      </c>
      <c r="G98" s="25" t="n">
        <f aca="false">IF(parametros_recargas!$N$72=0,0,ROUNDUP('Demanda por puesto'!$P$162/(parametros_recargas!$N$72*$O$9),0))</f>
        <v>3</v>
      </c>
      <c r="H98" s="25" t="n">
        <f aca="false">IF(parametros_recargas!$N$72=0,0,ROUNDUP('Demanda por puesto'!$P$194/(parametros_recargas!$N$72*$O$9),0))</f>
        <v>3</v>
      </c>
      <c r="I98" s="25" t="n">
        <f aca="false">IF(parametros_recargas!$N$72=0,0,ROUNDUP('Demanda por puesto'!$P$226/(parametros_recargas!$N$72*$O$9),0))</f>
        <v>4</v>
      </c>
      <c r="J98" s="25" t="n">
        <f aca="false">IF(parametros_recargas!$N$72=0,0,ROUNDUP('Demanda por puesto'!$P$258/(parametros_recargas!$N$72*$O$9),0))</f>
        <v>4</v>
      </c>
      <c r="K98" s="25" t="n">
        <f aca="false">IF(parametros_recargas!$N$72=0,0,ROUNDUP('Demanda por puesto'!$P$290/(parametros_recargas!$N$72*$O$9),0))</f>
        <v>4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IF(parametros_recargas!$N$73=0,0,ROUNDUP('Demanda por puesto'!$P$3/(parametros_recargas!$N$73*$O$9),0))</f>
        <v>1</v>
      </c>
      <c r="C99" s="25" t="n">
        <f aca="false">IF(parametros_recargas!$N$73=0,0,ROUNDUP('Demanda por puesto'!$P$35/(parametros_recargas!$N$73*$O$9),0))</f>
        <v>1</v>
      </c>
      <c r="D99" s="25" t="n">
        <f aca="false">IF(parametros_recargas!$N$73=0,0,ROUNDUP('Demanda por puesto'!$P$67/(parametros_recargas!$N$73*$O$9),0))</f>
        <v>1</v>
      </c>
      <c r="E99" s="25" t="n">
        <f aca="false">IF(parametros_recargas!$N$73=0,0,ROUNDUP('Demanda por puesto'!$P$99/(parametros_recargas!$N$73*$O$9),0))</f>
        <v>2</v>
      </c>
      <c r="F99" s="25" t="n">
        <f aca="false">IF(parametros_recargas!$N$73=0,0,ROUNDUP('Demanda por puesto'!$P$131/(parametros_recargas!$N$73*$O$9),0))</f>
        <v>2</v>
      </c>
      <c r="G99" s="25" t="n">
        <f aca="false">IF(parametros_recargas!$N$73=0,0,ROUNDUP('Demanda por puesto'!$P$163/(parametros_recargas!$N$73*$O$9),0))</f>
        <v>3</v>
      </c>
      <c r="H99" s="25" t="n">
        <f aca="false">IF(parametros_recargas!$N$73=0,0,ROUNDUP('Demanda por puesto'!$P$195/(parametros_recargas!$N$73*$O$9),0))</f>
        <v>4</v>
      </c>
      <c r="I99" s="25" t="n">
        <f aca="false">IF(parametros_recargas!$N$73=0,0,ROUNDUP('Demanda por puesto'!$P$227/(parametros_recargas!$N$73*$O$9),0))</f>
        <v>4</v>
      </c>
      <c r="J99" s="25" t="n">
        <f aca="false">IF(parametros_recargas!$N$73=0,0,ROUNDUP('Demanda por puesto'!$P$259/(parametros_recargas!$N$73*$O$9),0))</f>
        <v>4</v>
      </c>
      <c r="K99" s="25" t="n">
        <f aca="false">IF(parametros_recargas!$N$73=0,0,ROUNDUP('Demanda por puesto'!$P$291/(parametros_recargas!$N$73*$O$9),0))</f>
        <v>5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IF(parametros_recargas!$N$74=0,0,ROUNDUP('Demanda por puesto'!$P$4/(parametros_recargas!$N$74*$O$9),0))</f>
        <v>1</v>
      </c>
      <c r="C100" s="25" t="n">
        <f aca="false">IF(parametros_recargas!$N$74=0,0,ROUNDUP('Demanda por puesto'!$P$36/(parametros_recargas!$N$74*$O$9),0))</f>
        <v>1</v>
      </c>
      <c r="D100" s="25" t="n">
        <f aca="false">IF(parametros_recargas!$N$74=0,0,ROUNDUP('Demanda por puesto'!$P$68/(parametros_recargas!$N$74*$O$9),0))</f>
        <v>1</v>
      </c>
      <c r="E100" s="25" t="n">
        <f aca="false">IF(parametros_recargas!$N$74=0,0,ROUNDUP('Demanda por puesto'!$P$100/(parametros_recargas!$N$74*$O$9),0))</f>
        <v>1</v>
      </c>
      <c r="F100" s="25" t="n">
        <f aca="false">IF(parametros_recargas!$N$74=0,0,ROUNDUP('Demanda por puesto'!$P$132/(parametros_recargas!$N$74*$O$9),0))</f>
        <v>2</v>
      </c>
      <c r="G100" s="25" t="n">
        <f aca="false">IF(parametros_recargas!$N$74=0,0,ROUNDUP('Demanda por puesto'!$P$164/(parametros_recargas!$N$74*$O$9),0))</f>
        <v>2</v>
      </c>
      <c r="H100" s="25" t="n">
        <f aca="false">IF(parametros_recargas!$N$74=0,0,ROUNDUP('Demanda por puesto'!$P$196/(parametros_recargas!$N$74*$O$9),0))</f>
        <v>3</v>
      </c>
      <c r="I100" s="25" t="n">
        <f aca="false">IF(parametros_recargas!$N$74=0,0,ROUNDUP('Demanda por puesto'!$P$228/(parametros_recargas!$N$74*$O$9),0))</f>
        <v>3</v>
      </c>
      <c r="J100" s="25" t="n">
        <f aca="false">IF(parametros_recargas!$N$74=0,0,ROUNDUP('Demanda por puesto'!$P$260/(parametros_recargas!$N$74*$O$9),0))</f>
        <v>3</v>
      </c>
      <c r="K100" s="25" t="n">
        <f aca="false">IF(parametros_recargas!$N$74=0,0,ROUNDUP('Demanda por puesto'!$P$292/(parametros_recargas!$N$74*$O$9),0))</f>
        <v>3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IF(parametros_recargas!$N$75=0,0,ROUNDUP('Demanda por puesto'!$P$5/(parametros_recargas!$N$75*$O$9),0))</f>
        <v>1</v>
      </c>
      <c r="C101" s="25" t="n">
        <f aca="false">IF(parametros_recargas!$N$75=0,0,ROUNDUP('Demanda por puesto'!$P$37/(parametros_recargas!$N$75*$O$9),0))</f>
        <v>1</v>
      </c>
      <c r="D101" s="25" t="n">
        <f aca="false">IF(parametros_recargas!$N$75=0,0,ROUNDUP('Demanda por puesto'!$P$69/(parametros_recargas!$N$75*$O$9),0))</f>
        <v>1</v>
      </c>
      <c r="E101" s="25" t="n">
        <f aca="false">IF(parametros_recargas!$N$75=0,0,ROUNDUP('Demanda por puesto'!$P$101/(parametros_recargas!$N$75*$O$9),0))</f>
        <v>1</v>
      </c>
      <c r="F101" s="25" t="n">
        <f aca="false">IF(parametros_recargas!$N$75=0,0,ROUNDUP('Demanda por puesto'!$P$133/(parametros_recargas!$N$75*$O$9),0))</f>
        <v>1</v>
      </c>
      <c r="G101" s="25" t="n">
        <f aca="false">IF(parametros_recargas!$N$75=0,0,ROUNDUP('Demanda por puesto'!$P$165/(parametros_recargas!$N$75*$O$9),0))</f>
        <v>1</v>
      </c>
      <c r="H101" s="25" t="n">
        <f aca="false">IF(parametros_recargas!$N$75=0,0,ROUNDUP('Demanda por puesto'!$P$197/(parametros_recargas!$N$75*$O$9),0))</f>
        <v>1</v>
      </c>
      <c r="I101" s="25" t="n">
        <f aca="false">IF(parametros_recargas!$N$75=0,0,ROUNDUP('Demanda por puesto'!$P$229/(parametros_recargas!$N$75*$O$9),0))</f>
        <v>1</v>
      </c>
      <c r="J101" s="25" t="n">
        <f aca="false">IF(parametros_recargas!$N$75=0,0,ROUNDUP('Demanda por puesto'!$P$261/(parametros_recargas!$N$75*$O$9),0))</f>
        <v>1</v>
      </c>
      <c r="K101" s="25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IF(parametros_recargas!$N$76=0,0,ROUNDUP('Demanda por puesto'!$P$6/(parametros_recargas!$N$76*$O$9),0))</f>
        <v>1</v>
      </c>
      <c r="C102" s="25" t="n">
        <f aca="false">IF(parametros_recargas!$N$76=0,0,ROUNDUP('Demanda por puesto'!$P$38/(parametros_recargas!$N$76*$O$9),0))</f>
        <v>1</v>
      </c>
      <c r="D102" s="25" t="n">
        <f aca="false">IF(parametros_recargas!$N$76=0,0,ROUNDUP('Demanda por puesto'!$P$70/(parametros_recargas!$N$76*$O$9),0))</f>
        <v>1</v>
      </c>
      <c r="E102" s="25" t="n">
        <f aca="false">IF(parametros_recargas!$N$76=0,0,ROUNDUP('Demanda por puesto'!$P$102/(parametros_recargas!$N$76*$O$9),0))</f>
        <v>1</v>
      </c>
      <c r="F102" s="25" t="n">
        <f aca="false">IF(parametros_recargas!$N$76=0,0,ROUNDUP('Demanda por puesto'!$P$134/(parametros_recargas!$N$76*$O$9),0))</f>
        <v>1</v>
      </c>
      <c r="G102" s="25" t="n">
        <f aca="false">IF(parametros_recargas!$N$76=0,0,ROUNDUP('Demanda por puesto'!$P$166/(parametros_recargas!$N$76*$O$9),0))</f>
        <v>1</v>
      </c>
      <c r="H102" s="25" t="n">
        <f aca="false">IF(parametros_recargas!$N$76=0,0,ROUNDUP('Demanda por puesto'!$P$198/(parametros_recargas!$N$76*$O$9),0))</f>
        <v>1</v>
      </c>
      <c r="I102" s="25" t="n">
        <f aca="false">IF(parametros_recargas!$N$76=0,0,ROUNDUP('Demanda por puesto'!$P$230/(parametros_recargas!$N$76*$O$9),0))</f>
        <v>1</v>
      </c>
      <c r="J102" s="25" t="n">
        <f aca="false">IF(parametros_recargas!$N$76=0,0,ROUNDUP('Demanda por puesto'!$P$262/(parametros_recargas!$N$76*$O$9),0))</f>
        <v>1</v>
      </c>
      <c r="K102" s="25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IF(parametros_recargas!$N$77=0,0,ROUNDUP('Demanda por puesto'!$P$7/(parametros_recargas!$N$77*$O$9),0))</f>
        <v>1</v>
      </c>
      <c r="C103" s="25" t="n">
        <f aca="false">IF(parametros_recargas!$N$77=0,0,ROUNDUP('Demanda por puesto'!$P$39/(parametros_recargas!$N$77*$O$9),0))</f>
        <v>1</v>
      </c>
      <c r="D103" s="25" t="n">
        <f aca="false">IF(parametros_recargas!$N$77=0,0,ROUNDUP('Demanda por puesto'!$P$71/(parametros_recargas!$N$77*$O$9),0))</f>
        <v>1</v>
      </c>
      <c r="E103" s="25" t="n">
        <f aca="false">IF(parametros_recargas!$N$77=0,0,ROUNDUP('Demanda por puesto'!$P$103/(parametros_recargas!$N$77*$O$9),0))</f>
        <v>1</v>
      </c>
      <c r="F103" s="25" t="n">
        <f aca="false">IF(parametros_recargas!$N$77=0,0,ROUNDUP('Demanda por puesto'!$P$135/(parametros_recargas!$N$77*$O$9),0))</f>
        <v>1</v>
      </c>
      <c r="G103" s="25" t="n">
        <f aca="false">IF(parametros_recargas!$N$77=0,0,ROUNDUP('Demanda por puesto'!$P$167/(parametros_recargas!$N$77*$O$9),0))</f>
        <v>1</v>
      </c>
      <c r="H103" s="25" t="n">
        <f aca="false">IF(parametros_recargas!$N$77=0,0,ROUNDUP('Demanda por puesto'!$P$199/(parametros_recargas!$N$77*$O$9),0))</f>
        <v>1</v>
      </c>
      <c r="I103" s="25" t="n">
        <f aca="false">IF(parametros_recargas!$N$77=0,0,ROUNDUP('Demanda por puesto'!$P$231/(parametros_recargas!$N$77*$O$9),0))</f>
        <v>1</v>
      </c>
      <c r="J103" s="25" t="n">
        <f aca="false">IF(parametros_recargas!$N$77=0,0,ROUNDUP('Demanda por puesto'!$P$263/(parametros_recargas!$N$77*$O$9),0))</f>
        <v>1</v>
      </c>
      <c r="K103" s="25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IF(parametros_recargas!$N$78=0,0,ROUNDUP('Demanda por puesto'!$P$8/(parametros_recargas!$N$78*$O$9),0))</f>
        <v>1</v>
      </c>
      <c r="C104" s="25" t="n">
        <f aca="false">IF(parametros_recargas!$N$78=0,0,ROUNDUP('Demanda por puesto'!$P$40/(parametros_recargas!$N$78*$O$9),0))</f>
        <v>1</v>
      </c>
      <c r="D104" s="25" t="n">
        <f aca="false">IF(parametros_recargas!$N$78=0,0,ROUNDUP('Demanda por puesto'!$P$72/(parametros_recargas!$N$78*$O$9),0))</f>
        <v>1</v>
      </c>
      <c r="E104" s="25" t="n">
        <f aca="false">IF(parametros_recargas!$N$78=0,0,ROUNDUP('Demanda por puesto'!$P$104/(parametros_recargas!$N$78*$O$9),0))</f>
        <v>1</v>
      </c>
      <c r="F104" s="25" t="n">
        <f aca="false">IF(parametros_recargas!$N$78=0,0,ROUNDUP('Demanda por puesto'!$P$136/(parametros_recargas!$N$78*$O$9),0))</f>
        <v>1</v>
      </c>
      <c r="G104" s="25" t="n">
        <f aca="false">IF(parametros_recargas!$N$78=0,0,ROUNDUP('Demanda por puesto'!$P$168/(parametros_recargas!$N$78*$O$9),0))</f>
        <v>1</v>
      </c>
      <c r="H104" s="25" t="n">
        <f aca="false">IF(parametros_recargas!$N$78=0,0,ROUNDUP('Demanda por puesto'!$P$200/(parametros_recargas!$N$78*$O$9),0))</f>
        <v>1</v>
      </c>
      <c r="I104" s="25" t="n">
        <f aca="false">IF(parametros_recargas!$N$78=0,0,ROUNDUP('Demanda por puesto'!$P$232/(parametros_recargas!$N$78*$O$9),0))</f>
        <v>1</v>
      </c>
      <c r="J104" s="25" t="n">
        <f aca="false">IF(parametros_recargas!$N$78=0,0,ROUNDUP('Demanda por puesto'!$P$264/(parametros_recargas!$N$78*$O$9),0))</f>
        <v>1</v>
      </c>
      <c r="K104" s="25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IF(parametros_recargas!$N$79=0,0,ROUNDUP('Demanda por puesto'!$P$9/(parametros_recargas!$N$79*$O$9),0))</f>
        <v>1</v>
      </c>
      <c r="C105" s="25" t="n">
        <f aca="false">IF(parametros_recargas!$N$79=0,0,ROUNDUP('Demanda por puesto'!$P$41/(parametros_recargas!$N$79*$O$9),0))</f>
        <v>1</v>
      </c>
      <c r="D105" s="25" t="n">
        <f aca="false">IF(parametros_recargas!$N$79=0,0,ROUNDUP('Demanda por puesto'!$P$73/(parametros_recargas!$N$79*$O$9),0))</f>
        <v>1</v>
      </c>
      <c r="E105" s="25" t="n">
        <f aca="false">IF(parametros_recargas!$N$79=0,0,ROUNDUP('Demanda por puesto'!$P$105/(parametros_recargas!$N$79*$O$9),0))</f>
        <v>1</v>
      </c>
      <c r="F105" s="25" t="n">
        <f aca="false">IF(parametros_recargas!$N$79=0,0,ROUNDUP('Demanda por puesto'!$P$137/(parametros_recargas!$N$79*$O$9),0))</f>
        <v>1</v>
      </c>
      <c r="G105" s="25" t="n">
        <f aca="false">IF(parametros_recargas!$N$79=0,0,ROUNDUP('Demanda por puesto'!$P$169/(parametros_recargas!$N$79*$O$9),0))</f>
        <v>1</v>
      </c>
      <c r="H105" s="25" t="n">
        <f aca="false">IF(parametros_recargas!$N$79=0,0,ROUNDUP('Demanda por puesto'!$P$201/(parametros_recargas!$N$79*$O$9),0))</f>
        <v>1</v>
      </c>
      <c r="I105" s="25" t="n">
        <f aca="false">IF(parametros_recargas!$N$79=0,0,ROUNDUP('Demanda por puesto'!$P$233/(parametros_recargas!$N$79*$O$9),0))</f>
        <v>1</v>
      </c>
      <c r="J105" s="25" t="n">
        <f aca="false">IF(parametros_recargas!$N$79=0,0,ROUNDUP('Demanda por puesto'!$P$265/(parametros_recargas!$N$79*$O$9),0))</f>
        <v>1</v>
      </c>
      <c r="K105" s="25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IF(parametros_recargas!$N$80=0,0,ROUNDUP('Demanda por puesto'!$P$10/(parametros_recargas!$N$80*$O$9),0))</f>
        <v>1</v>
      </c>
      <c r="C106" s="25" t="n">
        <f aca="false">IF(parametros_recargas!$N$80=0,0,ROUNDUP('Demanda por puesto'!$P$42/(parametros_recargas!$N$80*$O$9),0))</f>
        <v>1</v>
      </c>
      <c r="D106" s="25" t="n">
        <f aca="false">IF(parametros_recargas!$N$80=0,0,ROUNDUP('Demanda por puesto'!$P$74/(parametros_recargas!$N$80*$O$9),0))</f>
        <v>1</v>
      </c>
      <c r="E106" s="25" t="n">
        <f aca="false">IF(parametros_recargas!$N$80=0,0,ROUNDUP('Demanda por puesto'!$P$106/(parametros_recargas!$N$80*$O$9),0))</f>
        <v>2</v>
      </c>
      <c r="F106" s="25" t="n">
        <f aca="false">IF(parametros_recargas!$N$80=0,0,ROUNDUP('Demanda por puesto'!$P$138/(parametros_recargas!$N$80*$O$9),0))</f>
        <v>2</v>
      </c>
      <c r="G106" s="25" t="n">
        <f aca="false">IF(parametros_recargas!$N$80=0,0,ROUNDUP('Demanda por puesto'!$P$170/(parametros_recargas!$N$80*$O$9),0))</f>
        <v>3</v>
      </c>
      <c r="H106" s="25" t="n">
        <f aca="false">IF(parametros_recargas!$N$80=0,0,ROUNDUP('Demanda por puesto'!$P$202/(parametros_recargas!$N$80*$O$9),0))</f>
        <v>4</v>
      </c>
      <c r="I106" s="25" t="n">
        <f aca="false">IF(parametros_recargas!$N$80=0,0,ROUNDUP('Demanda por puesto'!$P$234/(parametros_recargas!$N$80*$O$9),0))</f>
        <v>4</v>
      </c>
      <c r="J106" s="25" t="n">
        <f aca="false">IF(parametros_recargas!$N$80=0,0,ROUNDUP('Demanda por puesto'!$P$266/(parametros_recargas!$N$80*$O$9),0))</f>
        <v>4</v>
      </c>
      <c r="K106" s="25" t="n">
        <f aca="false">IF(parametros_recargas!$N$80=0,0,ROUNDUP('Demanda por puesto'!$P$298/(parametros_recargas!$N$80*$O$9),0))</f>
        <v>5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IF(parametros_recargas!$N$81=0,0,ROUNDUP('Demanda por puesto'!$P$11/(parametros_recargas!$N$81*$O$9),0))</f>
        <v>1</v>
      </c>
      <c r="C107" s="25" t="n">
        <f aca="false">IF(parametros_recargas!$N$81=0,0,ROUNDUP('Demanda por puesto'!$P$43/(parametros_recargas!$N$81*$O$9),0))</f>
        <v>1</v>
      </c>
      <c r="D107" s="25" t="n">
        <f aca="false">IF(parametros_recargas!$N$81=0,0,ROUNDUP('Demanda por puesto'!$P$75/(parametros_recargas!$N$81*$O$9),0))</f>
        <v>1</v>
      </c>
      <c r="E107" s="25" t="n">
        <f aca="false">IF(parametros_recargas!$N$81=0,0,ROUNDUP('Demanda por puesto'!$P$107/(parametros_recargas!$N$81*$O$9),0))</f>
        <v>1</v>
      </c>
      <c r="F107" s="25" t="n">
        <f aca="false">IF(parametros_recargas!$N$81=0,0,ROUNDUP('Demanda por puesto'!$P$139/(parametros_recargas!$N$81*$O$9),0))</f>
        <v>1</v>
      </c>
      <c r="G107" s="25" t="n">
        <f aca="false">IF(parametros_recargas!$N$81=0,0,ROUNDUP('Demanda por puesto'!$P$171/(parametros_recargas!$N$81*$O$9),0))</f>
        <v>1</v>
      </c>
      <c r="H107" s="25" t="n">
        <f aca="false">IF(parametros_recargas!$N$81=0,0,ROUNDUP('Demanda por puesto'!$P$203/(parametros_recargas!$N$81*$O$9),0))</f>
        <v>1</v>
      </c>
      <c r="I107" s="25" t="n">
        <f aca="false">IF(parametros_recargas!$N$81=0,0,ROUNDUP('Demanda por puesto'!$P$235/(parametros_recargas!$N$81*$O$9),0))</f>
        <v>1</v>
      </c>
      <c r="J107" s="25" t="n">
        <f aca="false">IF(parametros_recargas!$N$81=0,0,ROUNDUP('Demanda por puesto'!$P$267/(parametros_recargas!$N$81*$O$9),0))</f>
        <v>1</v>
      </c>
      <c r="K107" s="25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IF(parametros_recargas!$N$82=0,0,ROUNDUP('Demanda por puesto'!$P$12/(parametros_recargas!$N$82*$O$9),0))</f>
        <v>1</v>
      </c>
      <c r="C108" s="25" t="n">
        <f aca="false">IF(parametros_recargas!$N$82=0,0,ROUNDUP('Demanda por puesto'!$P$44/(parametros_recargas!$N$82*$O$9),0))</f>
        <v>1</v>
      </c>
      <c r="D108" s="25" t="n">
        <f aca="false">IF(parametros_recargas!$N$82=0,0,ROUNDUP('Demanda por puesto'!$P$76/(parametros_recargas!$N$82*$O$9),0))</f>
        <v>1</v>
      </c>
      <c r="E108" s="25" t="n">
        <f aca="false">IF(parametros_recargas!$N$82=0,0,ROUNDUP('Demanda por puesto'!$P$108/(parametros_recargas!$N$82*$O$9),0))</f>
        <v>1</v>
      </c>
      <c r="F108" s="25" t="n">
        <f aca="false">IF(parametros_recargas!$N$82=0,0,ROUNDUP('Demanda por puesto'!$P$140/(parametros_recargas!$N$82*$O$9),0))</f>
        <v>1</v>
      </c>
      <c r="G108" s="25" t="n">
        <f aca="false">IF(parametros_recargas!$N$82=0,0,ROUNDUP('Demanda por puesto'!$P$172/(parametros_recargas!$N$82*$O$9),0))</f>
        <v>1</v>
      </c>
      <c r="H108" s="25" t="n">
        <f aca="false">IF(parametros_recargas!$N$82=0,0,ROUNDUP('Demanda por puesto'!$P$204/(parametros_recargas!$N$82*$O$9),0))</f>
        <v>1</v>
      </c>
      <c r="I108" s="25" t="n">
        <f aca="false">IF(parametros_recargas!$N$82=0,0,ROUNDUP('Demanda por puesto'!$P$236/(parametros_recargas!$N$82*$O$9),0))</f>
        <v>1</v>
      </c>
      <c r="J108" s="25" t="n">
        <f aca="false">IF(parametros_recargas!$N$82=0,0,ROUNDUP('Demanda por puesto'!$P$268/(parametros_recargas!$N$82*$O$9),0))</f>
        <v>1</v>
      </c>
      <c r="K108" s="25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IF(parametros_recargas!$N$83=0,0,ROUNDUP('Demanda por puesto'!$P$13/(parametros_recargas!$N$83*$O$9),0))</f>
        <v>1</v>
      </c>
      <c r="C109" s="25" t="n">
        <f aca="false">IF(parametros_recargas!$N$83=0,0,ROUNDUP('Demanda por puesto'!$P$45/(parametros_recargas!$N$83*$O$9),0))</f>
        <v>1</v>
      </c>
      <c r="D109" s="25" t="n">
        <f aca="false">IF(parametros_recargas!$N$83=0,0,ROUNDUP('Demanda por puesto'!$P$77/(parametros_recargas!$N$83*$O$9),0))</f>
        <v>1</v>
      </c>
      <c r="E109" s="25" t="n">
        <f aca="false">IF(parametros_recargas!$N$83=0,0,ROUNDUP('Demanda por puesto'!$P$109/(parametros_recargas!$N$83*$O$9),0))</f>
        <v>1</v>
      </c>
      <c r="F109" s="25" t="n">
        <f aca="false">IF(parametros_recargas!$N$83=0,0,ROUNDUP('Demanda por puesto'!$P$141/(parametros_recargas!$N$83*$O$9),0))</f>
        <v>2</v>
      </c>
      <c r="G109" s="25" t="n">
        <f aca="false">IF(parametros_recargas!$N$83=0,0,ROUNDUP('Demanda por puesto'!$P$173/(parametros_recargas!$N$83*$O$9),0))</f>
        <v>2</v>
      </c>
      <c r="H109" s="25" t="n">
        <f aca="false">IF(parametros_recargas!$N$83=0,0,ROUNDUP('Demanda por puesto'!$P$205/(parametros_recargas!$N$83*$O$9),0))</f>
        <v>3</v>
      </c>
      <c r="I109" s="25" t="n">
        <f aca="false">IF(parametros_recargas!$N$83=0,0,ROUNDUP('Demanda por puesto'!$P$237/(parametros_recargas!$N$83*$O$9),0))</f>
        <v>3</v>
      </c>
      <c r="J109" s="25" t="n">
        <f aca="false">IF(parametros_recargas!$N$83=0,0,ROUNDUP('Demanda por puesto'!$P$269/(parametros_recargas!$N$83*$O$9),0))</f>
        <v>3</v>
      </c>
      <c r="K109" s="25" t="n">
        <f aca="false">IF(parametros_recargas!$N$83=0,0,ROUNDUP('Demanda por puesto'!$P$301/(parametros_recargas!$N$83*$O$9),0))</f>
        <v>4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IF(parametros_recargas!$N$84=0,0,ROUNDUP('Demanda por puesto'!$P$14/(parametros_recargas!$N$84*$O$9),0))</f>
        <v>1</v>
      </c>
      <c r="C110" s="25" t="n">
        <f aca="false">IF(parametros_recargas!$N$84=0,0,ROUNDUP('Demanda por puesto'!$P$46/(parametros_recargas!$N$84*$O$9),0))</f>
        <v>1</v>
      </c>
      <c r="D110" s="25" t="n">
        <f aca="false">IF(parametros_recargas!$N$84=0,0,ROUNDUP('Demanda por puesto'!$P$78/(parametros_recargas!$N$84*$O$9),0))</f>
        <v>1</v>
      </c>
      <c r="E110" s="25" t="n">
        <f aca="false">IF(parametros_recargas!$N$84=0,0,ROUNDUP('Demanda por puesto'!$P$110/(parametros_recargas!$N$84*$O$9),0))</f>
        <v>1</v>
      </c>
      <c r="F110" s="25" t="n">
        <f aca="false">IF(parametros_recargas!$N$84=0,0,ROUNDUP('Demanda por puesto'!$P$142/(parametros_recargas!$N$84*$O$9),0))</f>
        <v>1</v>
      </c>
      <c r="G110" s="25" t="n">
        <f aca="false">IF(parametros_recargas!$N$84=0,0,ROUNDUP('Demanda por puesto'!$P$174/(parametros_recargas!$N$84*$O$9),0))</f>
        <v>2</v>
      </c>
      <c r="H110" s="25" t="n">
        <f aca="false">IF(parametros_recargas!$N$84=0,0,ROUNDUP('Demanda por puesto'!$P$206/(parametros_recargas!$N$84*$O$9),0))</f>
        <v>2</v>
      </c>
      <c r="I110" s="25" t="n">
        <f aca="false">IF(parametros_recargas!$N$84=0,0,ROUNDUP('Demanda por puesto'!$P$238/(parametros_recargas!$N$84*$O$9),0))</f>
        <v>2</v>
      </c>
      <c r="J110" s="25" t="n">
        <f aca="false">IF(parametros_recargas!$N$84=0,0,ROUNDUP('Demanda por puesto'!$P$270/(parametros_recargas!$N$84*$O$9),0))</f>
        <v>2</v>
      </c>
      <c r="K110" s="25" t="n">
        <f aca="false">IF(parametros_recargas!$N$84=0,0,ROUNDUP('Demanda por puesto'!$P$302/(parametros_recargas!$N$84*$O$9),0))</f>
        <v>2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IF(parametros_recargas!$N$85=0,0,ROUNDUP('Demanda por puesto'!$P$15/(parametros_recargas!$N$85*$O$9),0))</f>
        <v>1</v>
      </c>
      <c r="C111" s="25" t="n">
        <f aca="false">IF(parametros_recargas!$N$85=0,0,ROUNDUP('Demanda por puesto'!$P$47/(parametros_recargas!$N$85*$O$9),0))</f>
        <v>1</v>
      </c>
      <c r="D111" s="25" t="n">
        <f aca="false">IF(parametros_recargas!$N$85=0,0,ROUNDUP('Demanda por puesto'!$P$79/(parametros_recargas!$N$85*$O$9),0))</f>
        <v>1</v>
      </c>
      <c r="E111" s="25" t="n">
        <f aca="false">IF(parametros_recargas!$N$85=0,0,ROUNDUP('Demanda por puesto'!$P$111/(parametros_recargas!$N$85*$O$9),0))</f>
        <v>1</v>
      </c>
      <c r="F111" s="25" t="n">
        <f aca="false">IF(parametros_recargas!$N$85=0,0,ROUNDUP('Demanda por puesto'!$P$143/(parametros_recargas!$N$85*$O$9),0))</f>
        <v>1</v>
      </c>
      <c r="G111" s="25" t="n">
        <f aca="false">IF(parametros_recargas!$N$85=0,0,ROUNDUP('Demanda por puesto'!$P$175/(parametros_recargas!$N$85*$O$9),0))</f>
        <v>1</v>
      </c>
      <c r="H111" s="25" t="n">
        <f aca="false">IF(parametros_recargas!$N$85=0,0,ROUNDUP('Demanda por puesto'!$P$207/(parametros_recargas!$N$85*$O$9),0))</f>
        <v>1</v>
      </c>
      <c r="I111" s="25" t="n">
        <f aca="false">IF(parametros_recargas!$N$85=0,0,ROUNDUP('Demanda por puesto'!$P$239/(parametros_recargas!$N$85*$O$9),0))</f>
        <v>1</v>
      </c>
      <c r="J111" s="25" t="n">
        <f aca="false">IF(parametros_recargas!$N$85=0,0,ROUNDUP('Demanda por puesto'!$P$271/(parametros_recargas!$N$85*$O$9),0))</f>
        <v>1</v>
      </c>
      <c r="K111" s="25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IF(parametros_recargas!$N$86=0,0,ROUNDUP('Demanda por puesto'!$P$16/(parametros_recargas!$N$86*$O$9),0))</f>
        <v>1</v>
      </c>
      <c r="C112" s="25" t="n">
        <f aca="false">IF(parametros_recargas!$N$86=0,0,ROUNDUP('Demanda por puesto'!$P$48/(parametros_recargas!$N$86*$O$9),0))</f>
        <v>1</v>
      </c>
      <c r="D112" s="25" t="n">
        <f aca="false">IF(parametros_recargas!$N$86=0,0,ROUNDUP('Demanda por puesto'!$P$80/(parametros_recargas!$N$86*$O$9),0))</f>
        <v>1</v>
      </c>
      <c r="E112" s="25" t="n">
        <f aca="false">IF(parametros_recargas!$N$86=0,0,ROUNDUP('Demanda por puesto'!$P$112/(parametros_recargas!$N$86*$O$9),0))</f>
        <v>2</v>
      </c>
      <c r="F112" s="25" t="n">
        <f aca="false">IF(parametros_recargas!$N$86=0,0,ROUNDUP('Demanda por puesto'!$P$144/(parametros_recargas!$N$86*$O$9),0))</f>
        <v>2</v>
      </c>
      <c r="G112" s="25" t="n">
        <f aca="false">IF(parametros_recargas!$N$86=0,0,ROUNDUP('Demanda por puesto'!$P$176/(parametros_recargas!$N$86*$O$9),0))</f>
        <v>3</v>
      </c>
      <c r="H112" s="25" t="n">
        <f aca="false">IF(parametros_recargas!$N$86=0,0,ROUNDUP('Demanda por puesto'!$P$208/(parametros_recargas!$N$86*$O$9),0))</f>
        <v>3</v>
      </c>
      <c r="I112" s="25" t="n">
        <f aca="false">IF(parametros_recargas!$N$86=0,0,ROUNDUP('Demanda por puesto'!$P$240/(parametros_recargas!$N$86*$O$9),0))</f>
        <v>4</v>
      </c>
      <c r="J112" s="25" t="n">
        <f aca="false">IF(parametros_recargas!$N$86=0,0,ROUNDUP('Demanda por puesto'!$P$272/(parametros_recargas!$N$86*$O$9),0))</f>
        <v>4</v>
      </c>
      <c r="K112" s="25" t="n">
        <f aca="false">IF(parametros_recargas!$N$86=0,0,ROUNDUP('Demanda por puesto'!$P$304/(parametros_recargas!$N$86*$O$9),0))</f>
        <v>4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IF(parametros_recargas!$N$87=0,0,ROUNDUP('Demanda por puesto'!$P$17/(parametros_recargas!$N$87*$O$9),0))</f>
        <v>1</v>
      </c>
      <c r="C113" s="25" t="n">
        <f aca="false">IF(parametros_recargas!$N$87=0,0,ROUNDUP('Demanda por puesto'!$P$49/(parametros_recargas!$N$87*$O$9),0))</f>
        <v>1</v>
      </c>
      <c r="D113" s="25" t="n">
        <f aca="false">IF(parametros_recargas!$N$87=0,0,ROUNDUP('Demanda por puesto'!$P$81/(parametros_recargas!$N$87*$O$9),0))</f>
        <v>1</v>
      </c>
      <c r="E113" s="25" t="n">
        <f aca="false">IF(parametros_recargas!$N$87=0,0,ROUNDUP('Demanda por puesto'!$P$113/(parametros_recargas!$N$87*$O$9),0))</f>
        <v>2</v>
      </c>
      <c r="F113" s="25" t="n">
        <f aca="false">IF(parametros_recargas!$N$87=0,0,ROUNDUP('Demanda por puesto'!$P$145/(parametros_recargas!$N$87*$O$9),0))</f>
        <v>2</v>
      </c>
      <c r="G113" s="25" t="n">
        <f aca="false">IF(parametros_recargas!$N$87=0,0,ROUNDUP('Demanda por puesto'!$P$177/(parametros_recargas!$N$87*$O$9),0))</f>
        <v>3</v>
      </c>
      <c r="H113" s="25" t="n">
        <f aca="false">IF(parametros_recargas!$N$87=0,0,ROUNDUP('Demanda por puesto'!$P$209/(parametros_recargas!$N$87*$O$9),0))</f>
        <v>4</v>
      </c>
      <c r="I113" s="25" t="n">
        <f aca="false">IF(parametros_recargas!$N$87=0,0,ROUNDUP('Demanda por puesto'!$P$241/(parametros_recargas!$N$87*$O$9),0))</f>
        <v>4</v>
      </c>
      <c r="J113" s="25" t="n">
        <f aca="false">IF(parametros_recargas!$N$87=0,0,ROUNDUP('Demanda por puesto'!$P$273/(parametros_recargas!$N$87*$O$9),0))</f>
        <v>5</v>
      </c>
      <c r="K113" s="25" t="n">
        <f aca="false">IF(parametros_recargas!$N$87=0,0,ROUNDUP('Demanda por puesto'!$P$305/(parametros_recargas!$N$87*$O$9),0))</f>
        <v>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IF(parametros_recargas!$N$88=0,0,ROUNDUP('Demanda por puesto'!$P$18/(parametros_recargas!$N$88*$O$9),0))</f>
        <v>1</v>
      </c>
      <c r="C114" s="25" t="n">
        <f aca="false">IF(parametros_recargas!$N$88=0,0,ROUNDUP('Demanda por puesto'!$P$50/(parametros_recargas!$N$88*$O$9),0))</f>
        <v>1</v>
      </c>
      <c r="D114" s="25" t="n">
        <f aca="false">IF(parametros_recargas!$N$88=0,0,ROUNDUP('Demanda por puesto'!$P$82/(parametros_recargas!$N$88*$O$9),0))</f>
        <v>1</v>
      </c>
      <c r="E114" s="25" t="n">
        <f aca="false">IF(parametros_recargas!$N$88=0,0,ROUNDUP('Demanda por puesto'!$P$114/(parametros_recargas!$N$88*$O$9),0))</f>
        <v>1</v>
      </c>
      <c r="F114" s="25" t="n">
        <f aca="false">IF(parametros_recargas!$N$88=0,0,ROUNDUP('Demanda por puesto'!$P$146/(parametros_recargas!$N$88*$O$9),0))</f>
        <v>1</v>
      </c>
      <c r="G114" s="25" t="n">
        <f aca="false">IF(parametros_recargas!$N$88=0,0,ROUNDUP('Demanda por puesto'!$P$178/(parametros_recargas!$N$88*$O$9),0))</f>
        <v>1</v>
      </c>
      <c r="H114" s="25" t="n">
        <f aca="false">IF(parametros_recargas!$N$88=0,0,ROUNDUP('Demanda por puesto'!$P$210/(parametros_recargas!$N$88*$O$9),0))</f>
        <v>1</v>
      </c>
      <c r="I114" s="25" t="n">
        <f aca="false">IF(parametros_recargas!$N$88=0,0,ROUNDUP('Demanda por puesto'!$P$242/(parametros_recargas!$N$88*$O$9),0))</f>
        <v>1</v>
      </c>
      <c r="J114" s="25" t="n">
        <f aca="false">IF(parametros_recargas!$N$88=0,0,ROUNDUP('Demanda por puesto'!$P$274/(parametros_recargas!$N$88*$O$9),0))</f>
        <v>1</v>
      </c>
      <c r="K114" s="25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IF(parametros_recargas!$N$89=0,0,ROUNDUP('Demanda por puesto'!$P$19/(parametros_recargas!$N$89*$O$9),0))</f>
        <v>1</v>
      </c>
      <c r="C115" s="25" t="n">
        <f aca="false">IF(parametros_recargas!$N$89=0,0,ROUNDUP('Demanda por puesto'!$P$51/(parametros_recargas!$N$89*$O$9),0))</f>
        <v>1</v>
      </c>
      <c r="D115" s="25" t="n">
        <f aca="false">IF(parametros_recargas!$N$89=0,0,ROUNDUP('Demanda por puesto'!$P$83/(parametros_recargas!$N$89*$O$9),0))</f>
        <v>1</v>
      </c>
      <c r="E115" s="25" t="n">
        <f aca="false">IF(parametros_recargas!$N$89=0,0,ROUNDUP('Demanda por puesto'!$P$115/(parametros_recargas!$N$89*$O$9),0))</f>
        <v>1</v>
      </c>
      <c r="F115" s="25" t="n">
        <f aca="false">IF(parametros_recargas!$N$89=0,0,ROUNDUP('Demanda por puesto'!$P$147/(parametros_recargas!$N$89*$O$9),0))</f>
        <v>1</v>
      </c>
      <c r="G115" s="25" t="n">
        <f aca="false">IF(parametros_recargas!$N$89=0,0,ROUNDUP('Demanda por puesto'!$P$179/(parametros_recargas!$N$89*$O$9),0))</f>
        <v>1</v>
      </c>
      <c r="H115" s="25" t="n">
        <f aca="false">IF(parametros_recargas!$N$89=0,0,ROUNDUP('Demanda por puesto'!$P$211/(parametros_recargas!$N$89*$O$9),0))</f>
        <v>1</v>
      </c>
      <c r="I115" s="25" t="n">
        <f aca="false">IF(parametros_recargas!$N$89=0,0,ROUNDUP('Demanda por puesto'!$P$243/(parametros_recargas!$N$89*$O$9),0))</f>
        <v>1</v>
      </c>
      <c r="J115" s="25" t="n">
        <f aca="false">IF(parametros_recargas!$N$89=0,0,ROUNDUP('Demanda por puesto'!$P$275/(parametros_recargas!$N$89*$O$9),0))</f>
        <v>1</v>
      </c>
      <c r="K115" s="25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IF(parametros_recargas!$N$90=0,0,ROUNDUP('Demanda por puesto'!$P$20/(parametros_recargas!$N$90*$O$9),0))</f>
        <v>1</v>
      </c>
      <c r="C116" s="25" t="n">
        <f aca="false">IF(parametros_recargas!$N$90=0,0,ROUNDUP('Demanda por puesto'!$P$52/(parametros_recargas!$N$90*$O$9),0))</f>
        <v>1</v>
      </c>
      <c r="D116" s="25" t="n">
        <f aca="false">IF(parametros_recargas!$N$90=0,0,ROUNDUP('Demanda por puesto'!$P$84/(parametros_recargas!$N$90*$O$9),0))</f>
        <v>1</v>
      </c>
      <c r="E116" s="25" t="n">
        <f aca="false">IF(parametros_recargas!$N$90=0,0,ROUNDUP('Demanda por puesto'!$P$116/(parametros_recargas!$N$90*$O$9),0))</f>
        <v>1</v>
      </c>
      <c r="F116" s="25" t="n">
        <f aca="false">IF(parametros_recargas!$N$90=0,0,ROUNDUP('Demanda por puesto'!$P$148/(parametros_recargas!$N$90*$O$9),0))</f>
        <v>1</v>
      </c>
      <c r="G116" s="25" t="n">
        <f aca="false">IF(parametros_recargas!$N$90=0,0,ROUNDUP('Demanda por puesto'!$P$180/(parametros_recargas!$N$90*$O$9),0))</f>
        <v>1</v>
      </c>
      <c r="H116" s="25" t="n">
        <f aca="false">IF(parametros_recargas!$N$90=0,0,ROUNDUP('Demanda por puesto'!$P$212/(parametros_recargas!$N$90*$O$9),0))</f>
        <v>1</v>
      </c>
      <c r="I116" s="25" t="n">
        <f aca="false">IF(parametros_recargas!$N$90=0,0,ROUNDUP('Demanda por puesto'!$P$244/(parametros_recargas!$N$90*$O$9),0))</f>
        <v>1</v>
      </c>
      <c r="J116" s="25" t="n">
        <f aca="false">IF(parametros_recargas!$N$90=0,0,ROUNDUP('Demanda por puesto'!$P$276/(parametros_recargas!$N$90*$O$9),0))</f>
        <v>1</v>
      </c>
      <c r="K116" s="25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IF(parametros_recargas!$N$91=0,0,ROUNDUP('Demanda por puesto'!$P$21/(parametros_recargas!$N$91*$O$9),0))</f>
        <v>1</v>
      </c>
      <c r="C117" s="25" t="n">
        <f aca="false">IF(parametros_recargas!$N$91=0,0,ROUNDUP('Demanda por puesto'!$P$53/(parametros_recargas!$N$91*$O$9),0))</f>
        <v>1</v>
      </c>
      <c r="D117" s="25" t="n">
        <f aca="false">IF(parametros_recargas!$N$91=0,0,ROUNDUP('Demanda por puesto'!$P$85/(parametros_recargas!$N$91*$O$9),0))</f>
        <v>1</v>
      </c>
      <c r="E117" s="25" t="n">
        <f aca="false">IF(parametros_recargas!$N$91=0,0,ROUNDUP('Demanda por puesto'!$P$117/(parametros_recargas!$N$91*$O$9),0))</f>
        <v>1</v>
      </c>
      <c r="F117" s="25" t="n">
        <f aca="false">IF(parametros_recargas!$N$91=0,0,ROUNDUP('Demanda por puesto'!$P$149/(parametros_recargas!$N$91*$O$9),0))</f>
        <v>1</v>
      </c>
      <c r="G117" s="25" t="n">
        <f aca="false">IF(parametros_recargas!$N$91=0,0,ROUNDUP('Demanda por puesto'!$P$181/(parametros_recargas!$N$91*$O$9),0))</f>
        <v>1</v>
      </c>
      <c r="H117" s="25" t="n">
        <f aca="false">IF(parametros_recargas!$N$91=0,0,ROUNDUP('Demanda por puesto'!$P$213/(parametros_recargas!$N$91*$O$9),0))</f>
        <v>1</v>
      </c>
      <c r="I117" s="25" t="n">
        <f aca="false">IF(parametros_recargas!$N$91=0,0,ROUNDUP('Demanda por puesto'!$P$245/(parametros_recargas!$N$91*$O$9),0))</f>
        <v>1</v>
      </c>
      <c r="J117" s="25" t="n">
        <f aca="false">IF(parametros_recargas!$N$91=0,0,ROUNDUP('Demanda por puesto'!$P$277/(parametros_recargas!$N$91*$O$9),0))</f>
        <v>1</v>
      </c>
      <c r="K117" s="25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IF(parametros_recargas!$N$92=0,0,ROUNDUP('Demanda por puesto'!$P$22/(parametros_recargas!$N$92*$O$9),0))</f>
        <v>1</v>
      </c>
      <c r="C118" s="25" t="n">
        <f aca="false">IF(parametros_recargas!$N$92=0,0,ROUNDUP('Demanda por puesto'!$P$54/(parametros_recargas!$N$92*$O$9),0))</f>
        <v>1</v>
      </c>
      <c r="D118" s="25" t="n">
        <f aca="false">IF(parametros_recargas!$N$92=0,0,ROUNDUP('Demanda por puesto'!$P$86/(parametros_recargas!$N$92*$O$9),0))</f>
        <v>1</v>
      </c>
      <c r="E118" s="25" t="n">
        <f aca="false">IF(parametros_recargas!$N$92=0,0,ROUNDUP('Demanda por puesto'!$P$118/(parametros_recargas!$N$92*$O$9),0))</f>
        <v>2</v>
      </c>
      <c r="F118" s="25" t="n">
        <f aca="false">IF(parametros_recargas!$N$92=0,0,ROUNDUP('Demanda por puesto'!$P$150/(parametros_recargas!$N$92*$O$9),0))</f>
        <v>3</v>
      </c>
      <c r="G118" s="25" t="n">
        <f aca="false">IF(parametros_recargas!$N$92=0,0,ROUNDUP('Demanda por puesto'!$P$182/(parametros_recargas!$N$92*$O$9),0))</f>
        <v>4</v>
      </c>
      <c r="H118" s="25" t="n">
        <f aca="false">IF(parametros_recargas!$N$92=0,0,ROUNDUP('Demanda por puesto'!$P$214/(parametros_recargas!$N$92*$O$9),0))</f>
        <v>4</v>
      </c>
      <c r="I118" s="25" t="n">
        <f aca="false">IF(parametros_recargas!$N$92=0,0,ROUNDUP('Demanda por puesto'!$P$246/(parametros_recargas!$N$92*$O$9),0))</f>
        <v>5</v>
      </c>
      <c r="J118" s="25" t="n">
        <f aca="false">IF(parametros_recargas!$N$92=0,0,ROUNDUP('Demanda por puesto'!$P$278/(parametros_recargas!$N$92*$O$9),0))</f>
        <v>5</v>
      </c>
      <c r="K118" s="25" t="n">
        <f aca="false">IF(parametros_recargas!$N$92=0,0,ROUNDUP('Demanda por puesto'!$P$310/(parametros_recargas!$N$92*$O$9),0))</f>
        <v>5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IF(parametros_recargas!$N$93=0,0,ROUNDUP('Demanda por puesto'!$P$23/(parametros_recargas!$N$93*$O$9),0))</f>
        <v>1</v>
      </c>
      <c r="C119" s="25" t="n">
        <f aca="false">IF(parametros_recargas!$N$93=0,0,ROUNDUP('Demanda por puesto'!$P$55/(parametros_recargas!$N$93*$O$9),0))</f>
        <v>1</v>
      </c>
      <c r="D119" s="25" t="n">
        <f aca="false">IF(parametros_recargas!$N$93=0,0,ROUNDUP('Demanda por puesto'!$P$87/(parametros_recargas!$N$93*$O$9),0))</f>
        <v>1</v>
      </c>
      <c r="E119" s="25" t="n">
        <f aca="false">IF(parametros_recargas!$N$93=0,0,ROUNDUP('Demanda por puesto'!$P$119/(parametros_recargas!$N$93*$O$9),0))</f>
        <v>1</v>
      </c>
      <c r="F119" s="25" t="n">
        <f aca="false">IF(parametros_recargas!$N$93=0,0,ROUNDUP('Demanda por puesto'!$P$151/(parametros_recargas!$N$93*$O$9),0))</f>
        <v>2</v>
      </c>
      <c r="G119" s="25" t="n">
        <f aca="false">IF(parametros_recargas!$N$93=0,0,ROUNDUP('Demanda por puesto'!$P$183/(parametros_recargas!$N$93*$O$9),0))</f>
        <v>2</v>
      </c>
      <c r="H119" s="25" t="n">
        <f aca="false">IF(parametros_recargas!$N$93=0,0,ROUNDUP('Demanda por puesto'!$P$215/(parametros_recargas!$N$93*$O$9),0))</f>
        <v>3</v>
      </c>
      <c r="I119" s="25" t="n">
        <f aca="false">IF(parametros_recargas!$N$93=0,0,ROUNDUP('Demanda por puesto'!$P$247/(parametros_recargas!$N$93*$O$9),0))</f>
        <v>3</v>
      </c>
      <c r="J119" s="25" t="n">
        <f aca="false">IF(parametros_recargas!$N$93=0,0,ROUNDUP('Demanda por puesto'!$P$279/(parametros_recargas!$N$93*$O$9),0))</f>
        <v>3</v>
      </c>
      <c r="K119" s="25" t="n">
        <f aca="false">IF(parametros_recargas!$N$93=0,0,ROUNDUP('Demanda por puesto'!$P$311/(parametros_recargas!$N$93*$O$9),0))</f>
        <v>3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IF(parametros_recargas!$N$94=0,0,ROUNDUP('Demanda por puesto'!$P$24/(parametros_recargas!$N$94*$O$9),0))</f>
        <v>1</v>
      </c>
      <c r="C120" s="25" t="n">
        <f aca="false">IF(parametros_recargas!$N$94=0,0,ROUNDUP('Demanda por puesto'!$P$56/(parametros_recargas!$N$94*$O$9),0))</f>
        <v>1</v>
      </c>
      <c r="D120" s="25" t="n">
        <f aca="false">IF(parametros_recargas!$N$94=0,0,ROUNDUP('Demanda por puesto'!$P$88/(parametros_recargas!$N$94*$O$9),0))</f>
        <v>1</v>
      </c>
      <c r="E120" s="25" t="n">
        <f aca="false">IF(parametros_recargas!$N$94=0,0,ROUNDUP('Demanda por puesto'!$P$120/(parametros_recargas!$N$94*$O$9),0))</f>
        <v>1</v>
      </c>
      <c r="F120" s="25" t="n">
        <f aca="false">IF(parametros_recargas!$N$94=0,0,ROUNDUP('Demanda por puesto'!$P$152/(parametros_recargas!$N$94*$O$9),0))</f>
        <v>1</v>
      </c>
      <c r="G120" s="25" t="n">
        <f aca="false">IF(parametros_recargas!$N$94=0,0,ROUNDUP('Demanda por puesto'!$P$184/(parametros_recargas!$N$94*$O$9),0))</f>
        <v>1</v>
      </c>
      <c r="H120" s="25" t="n">
        <f aca="false">IF(parametros_recargas!$N$94=0,0,ROUNDUP('Demanda por puesto'!$P$216/(parametros_recargas!$N$94*$O$9),0))</f>
        <v>1</v>
      </c>
      <c r="I120" s="25" t="n">
        <f aca="false">IF(parametros_recargas!$N$94=0,0,ROUNDUP('Demanda por puesto'!$P$248/(parametros_recargas!$N$94*$O$9),0))</f>
        <v>1</v>
      </c>
      <c r="J120" s="25" t="n">
        <f aca="false">IF(parametros_recargas!$N$94=0,0,ROUNDUP('Demanda por puesto'!$P$280/(parametros_recargas!$N$94*$O$9),0))</f>
        <v>1</v>
      </c>
      <c r="K120" s="25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IF(parametros_recargas!$N$95=0,0,ROUNDUP('Demanda por puesto'!$P$25/(parametros_recargas!$N$95*$O$9),0))</f>
        <v>1</v>
      </c>
      <c r="C121" s="25" t="n">
        <f aca="false">IF(parametros_recargas!$N$95=0,0,ROUNDUP('Demanda por puesto'!$P$57/(parametros_recargas!$N$95*$O$9),0))</f>
        <v>1</v>
      </c>
      <c r="D121" s="25" t="n">
        <f aca="false">IF(parametros_recargas!$N$95=0,0,ROUNDUP('Demanda por puesto'!$P$89/(parametros_recargas!$N$95*$O$9),0))</f>
        <v>1</v>
      </c>
      <c r="E121" s="25" t="n">
        <f aca="false">IF(parametros_recargas!$N$95=0,0,ROUNDUP('Demanda por puesto'!$P$121/(parametros_recargas!$N$95*$O$9),0))</f>
        <v>1</v>
      </c>
      <c r="F121" s="25" t="n">
        <f aca="false">IF(parametros_recargas!$N$95=0,0,ROUNDUP('Demanda por puesto'!$P$153/(parametros_recargas!$N$95*$O$9),0))</f>
        <v>1</v>
      </c>
      <c r="G121" s="25" t="n">
        <f aca="false">IF(parametros_recargas!$N$95=0,0,ROUNDUP('Demanda por puesto'!$P$185/(parametros_recargas!$N$95*$O$9),0))</f>
        <v>1</v>
      </c>
      <c r="H121" s="25" t="n">
        <f aca="false">IF(parametros_recargas!$N$95=0,0,ROUNDUP('Demanda por puesto'!$P$217/(parametros_recargas!$N$95*$O$9),0))</f>
        <v>1</v>
      </c>
      <c r="I121" s="25" t="n">
        <f aca="false">IF(parametros_recargas!$N$95=0,0,ROUNDUP('Demanda por puesto'!$P$249/(parametros_recargas!$N$95*$O$9),0))</f>
        <v>1</v>
      </c>
      <c r="J121" s="25" t="n">
        <f aca="false">IF(parametros_recargas!$N$95=0,0,ROUNDUP('Demanda por puesto'!$P$281/(parametros_recargas!$N$95*$O$9),0))</f>
        <v>1</v>
      </c>
      <c r="K121" s="25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IF(parametros_recargas!$N$96=0,0,ROUNDUP('Demanda por puesto'!$P$26/(parametros_recargas!$N$96*$O$9),0))</f>
        <v>1</v>
      </c>
      <c r="C122" s="25" t="n">
        <f aca="false">IF(parametros_recargas!$N$96=0,0,ROUNDUP('Demanda por puesto'!$P$58/(parametros_recargas!$N$96*$O$9),0))</f>
        <v>1</v>
      </c>
      <c r="D122" s="25" t="n">
        <f aca="false">IF(parametros_recargas!$N$96=0,0,ROUNDUP('Demanda por puesto'!$P$90/(parametros_recargas!$N$96*$O$9),0))</f>
        <v>1</v>
      </c>
      <c r="E122" s="25" t="n">
        <f aca="false">IF(parametros_recargas!$N$96=0,0,ROUNDUP('Demanda por puesto'!$P$122/(parametros_recargas!$N$96*$O$9),0))</f>
        <v>1</v>
      </c>
      <c r="F122" s="25" t="n">
        <f aca="false">IF(parametros_recargas!$N$96=0,0,ROUNDUP('Demanda por puesto'!$P$154/(parametros_recargas!$N$96*$O$9),0))</f>
        <v>1</v>
      </c>
      <c r="G122" s="25" t="n">
        <f aca="false">IF(parametros_recargas!$N$96=0,0,ROUNDUP('Demanda por puesto'!$P$186/(parametros_recargas!$N$96*$O$9),0))</f>
        <v>1</v>
      </c>
      <c r="H122" s="25" t="n">
        <f aca="false">IF(parametros_recargas!$N$96=0,0,ROUNDUP('Demanda por puesto'!$P$218/(parametros_recargas!$N$96*$O$9),0))</f>
        <v>1</v>
      </c>
      <c r="I122" s="25" t="n">
        <f aca="false">IF(parametros_recargas!$N$96=0,0,ROUNDUP('Demanda por puesto'!$P$250/(parametros_recargas!$N$96*$O$9),0))</f>
        <v>1</v>
      </c>
      <c r="J122" s="25" t="n">
        <f aca="false">IF(parametros_recargas!$N$96=0,0,ROUNDUP('Demanda por puesto'!$P$282/(parametros_recargas!$N$96*$O$9),0))</f>
        <v>1</v>
      </c>
      <c r="K122" s="25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IF(parametros_recargas!$N$97=0,0,ROUNDUP('Demanda por puesto'!$P$27/(parametros_recargas!$N$97*$O$9),0))</f>
        <v>1</v>
      </c>
      <c r="C123" s="25" t="n">
        <f aca="false">IF(parametros_recargas!$N$97=0,0,ROUNDUP('Demanda por puesto'!$P$59/(parametros_recargas!$N$97*$O$9),0))</f>
        <v>1</v>
      </c>
      <c r="D123" s="25" t="n">
        <f aca="false">IF(parametros_recargas!$N$97=0,0,ROUNDUP('Demanda por puesto'!$P$91/(parametros_recargas!$N$97*$O$9),0))</f>
        <v>1</v>
      </c>
      <c r="E123" s="25" t="n">
        <f aca="false">IF(parametros_recargas!$N$97=0,0,ROUNDUP('Demanda por puesto'!$P$123/(parametros_recargas!$N$97*$O$9),0))</f>
        <v>2</v>
      </c>
      <c r="F123" s="25" t="n">
        <f aca="false">IF(parametros_recargas!$N$97=0,0,ROUNDUP('Demanda por puesto'!$P$155/(parametros_recargas!$N$97*$O$9),0))</f>
        <v>2</v>
      </c>
      <c r="G123" s="25" t="n">
        <f aca="false">IF(parametros_recargas!$N$97=0,0,ROUNDUP('Demanda por puesto'!$P$187/(parametros_recargas!$N$97*$O$9),0))</f>
        <v>3</v>
      </c>
      <c r="H123" s="25" t="n">
        <f aca="false">IF(parametros_recargas!$N$97=0,0,ROUNDUP('Demanda por puesto'!$P$219/(parametros_recargas!$N$97*$O$9),0))</f>
        <v>3</v>
      </c>
      <c r="I123" s="25" t="n">
        <f aca="false">IF(parametros_recargas!$N$97=0,0,ROUNDUP('Demanda por puesto'!$P$251/(parametros_recargas!$N$97*$O$9),0))</f>
        <v>4</v>
      </c>
      <c r="J123" s="25" t="n">
        <f aca="false">IF(parametros_recargas!$N$97=0,0,ROUNDUP('Demanda por puesto'!$P$283/(parametros_recargas!$N$97*$O$9),0))</f>
        <v>4</v>
      </c>
      <c r="K123" s="25" t="n">
        <f aca="false">IF(parametros_recargas!$N$97=0,0,ROUNDUP('Demanda por puesto'!$P$315/(parametros_recargas!$N$97*$O$9),0))</f>
        <v>4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IF(parametros_recargas!$N$98=0,0,ROUNDUP('Demanda por puesto'!$P$28/(parametros_recargas!$N$98*$O$9),0))</f>
        <v>1</v>
      </c>
      <c r="C124" s="25" t="n">
        <f aca="false">IF(parametros_recargas!$N$98=0,0,ROUNDUP('Demanda por puesto'!$P$60/(parametros_recargas!$N$98*$O$9),0))</f>
        <v>1</v>
      </c>
      <c r="D124" s="25" t="n">
        <f aca="false">IF(parametros_recargas!$N$98=0,0,ROUNDUP('Demanda por puesto'!$P$92/(parametros_recargas!$N$98*$O$9),0))</f>
        <v>1</v>
      </c>
      <c r="E124" s="25" t="n">
        <f aca="false">IF(parametros_recargas!$N$98=0,0,ROUNDUP('Demanda por puesto'!$P$124/(parametros_recargas!$N$98*$O$9),0))</f>
        <v>2</v>
      </c>
      <c r="F124" s="25" t="n">
        <f aca="false">IF(parametros_recargas!$N$98=0,0,ROUNDUP('Demanda por puesto'!$P$156/(parametros_recargas!$N$98*$O$9),0))</f>
        <v>2</v>
      </c>
      <c r="G124" s="25" t="n">
        <f aca="false">IF(parametros_recargas!$N$98=0,0,ROUNDUP('Demanda por puesto'!$P$188/(parametros_recargas!$N$98*$O$9),0))</f>
        <v>3</v>
      </c>
      <c r="H124" s="25" t="n">
        <f aca="false">IF(parametros_recargas!$N$98=0,0,ROUNDUP('Demanda por puesto'!$P$220/(parametros_recargas!$N$98*$O$9),0))</f>
        <v>4</v>
      </c>
      <c r="I124" s="25" t="n">
        <f aca="false">IF(parametros_recargas!$N$98=0,0,ROUNDUP('Demanda por puesto'!$P$252/(parametros_recargas!$N$98*$O$9),0))</f>
        <v>4</v>
      </c>
      <c r="J124" s="25" t="n">
        <f aca="false">IF(parametros_recargas!$N$98=0,0,ROUNDUP('Demanda por puesto'!$P$284/(parametros_recargas!$N$98*$O$9),0))</f>
        <v>4</v>
      </c>
      <c r="K124" s="25" t="n">
        <f aca="false">IF(parametros_recargas!$N$98=0,0,ROUNDUP('Demanda por puesto'!$P$316/(parametros_recargas!$N$98*$O$9),0))</f>
        <v>5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IF(parametros_recargas!$N$99=0,0,ROUNDUP('Demanda por puesto'!$P$29/(parametros_recargas!$N$99*$O$9),0))</f>
        <v>1</v>
      </c>
      <c r="C125" s="25" t="n">
        <f aca="false">IF(parametros_recargas!$N$99=0,0,ROUNDUP('Demanda por puesto'!$P$61/(parametros_recargas!$N$99*$O$9),0))</f>
        <v>1</v>
      </c>
      <c r="D125" s="25" t="n">
        <f aca="false">IF(parametros_recargas!$N$99=0,0,ROUNDUP('Demanda por puesto'!$P$93/(parametros_recargas!$N$99*$O$9),0))</f>
        <v>1</v>
      </c>
      <c r="E125" s="25" t="n">
        <f aca="false">IF(parametros_recargas!$N$99=0,0,ROUNDUP('Demanda por puesto'!$P$125/(parametros_recargas!$N$99*$O$9),0))</f>
        <v>1</v>
      </c>
      <c r="F125" s="25" t="n">
        <f aca="false">IF(parametros_recargas!$N$99=0,0,ROUNDUP('Demanda por puesto'!$P$157/(parametros_recargas!$N$99*$O$9),0))</f>
        <v>1</v>
      </c>
      <c r="G125" s="25" t="n">
        <f aca="false">IF(parametros_recargas!$N$99=0,0,ROUNDUP('Demanda por puesto'!$P$189/(parametros_recargas!$N$99*$O$9),0))</f>
        <v>1</v>
      </c>
      <c r="H125" s="25" t="n">
        <f aca="false">IF(parametros_recargas!$N$99=0,0,ROUNDUP('Demanda por puesto'!$P$221/(parametros_recargas!$N$99*$O$9),0))</f>
        <v>2</v>
      </c>
      <c r="I125" s="25" t="n">
        <f aca="false">IF(parametros_recargas!$N$99=0,0,ROUNDUP('Demanda por puesto'!$P$253/(parametros_recargas!$N$99*$O$9),0))</f>
        <v>2</v>
      </c>
      <c r="J125" s="25" t="n">
        <f aca="false">IF(parametros_recargas!$N$99=0,0,ROUNDUP('Demanda por puesto'!$P$285/(parametros_recargas!$N$99*$O$9),0))</f>
        <v>2</v>
      </c>
      <c r="K125" s="25" t="n">
        <f aca="false">IF(parametros_recargas!$N$99=0,0,ROUNDUP('Demanda por puesto'!$P$317/(parametros_recargas!$N$99*$O$9),0))</f>
        <v>2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IF(parametros_recargas!$N$100=0,0,ROUNDUP('Demanda por puesto'!$P$30/(parametros_recargas!$N$100*$O$9),0))</f>
        <v>1</v>
      </c>
      <c r="C126" s="25" t="n">
        <f aca="false">IF(parametros_recargas!$N$100=0,0,ROUNDUP('Demanda por puesto'!$P$62/(parametros_recargas!$N$100*$O$9),0))</f>
        <v>1</v>
      </c>
      <c r="D126" s="25" t="n">
        <f aca="false">IF(parametros_recargas!$N$100=0,0,ROUNDUP('Demanda por puesto'!$P$94/(parametros_recargas!$N$100*$O$9),0))</f>
        <v>1</v>
      </c>
      <c r="E126" s="25" t="n">
        <f aca="false">IF(parametros_recargas!$N$100=0,0,ROUNDUP('Demanda por puesto'!$P$126/(parametros_recargas!$N$100*$O$9),0))</f>
        <v>1</v>
      </c>
      <c r="F126" s="25" t="n">
        <f aca="false">IF(parametros_recargas!$N$100=0,0,ROUNDUP('Demanda por puesto'!$P$158/(parametros_recargas!$N$100*$O$9),0))</f>
        <v>1</v>
      </c>
      <c r="G126" s="25" t="n">
        <f aca="false">IF(parametros_recargas!$N$100=0,0,ROUNDUP('Demanda por puesto'!$P$190/(parametros_recargas!$N$100*$O$9),0))</f>
        <v>1</v>
      </c>
      <c r="H126" s="25" t="n">
        <f aca="false">IF(parametros_recargas!$N$100=0,0,ROUNDUP('Demanda por puesto'!$P$222/(parametros_recargas!$N$100*$O$9),0))</f>
        <v>1</v>
      </c>
      <c r="I126" s="25" t="n">
        <f aca="false">IF(parametros_recargas!$N$100=0,0,ROUNDUP('Demanda por puesto'!$P$254/(parametros_recargas!$N$100*$O$9),0))</f>
        <v>1</v>
      </c>
      <c r="J126" s="25" t="n">
        <f aca="false">IF(parametros_recargas!$N$100=0,0,ROUNDUP('Demanda por puesto'!$P$286/(parametros_recargas!$N$100*$O$9),0))</f>
        <v>1</v>
      </c>
      <c r="K126" s="25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348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37</v>
      </c>
      <c r="F127" s="16" t="n">
        <f aca="false">SUM(F98:F126)</f>
        <v>41</v>
      </c>
      <c r="G127" s="16" t="n">
        <f aca="false">SUM(G98:G126)</f>
        <v>50</v>
      </c>
      <c r="H127" s="16" t="n">
        <f aca="false">SUM(H98:H126)</f>
        <v>58</v>
      </c>
      <c r="I127" s="16" t="n">
        <f aca="false">SUM(I98:I126)</f>
        <v>62</v>
      </c>
      <c r="J127" s="16" t="n">
        <f aca="false">SUM(J98:J126)</f>
        <v>63</v>
      </c>
      <c r="K127" s="16" t="n">
        <f aca="false">SUM(K98:K126)</f>
        <v>67</v>
      </c>
    </row>
    <row r="129" customFormat="false" ht="15" hidden="false" customHeight="false" outlineLevel="0" collapsed="false">
      <c r="A129" s="3" t="s">
        <v>349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Agrega turno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Agrega turno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Agrega turno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Agrega turno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Agrega turno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Agrega turno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Agrega turno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Agrega turno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Agrega turno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Agrega turno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Agrega turno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Agrega turno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Agrega turno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Agrega turno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Agrega turno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Agrega turno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Agrega turno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Agrega turno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Agrega turno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Agrega turno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Agrega turno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Agrega turno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Agrega turno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Agrega turno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Agrega turno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Agrega turno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Agrega turno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Agrega turno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Agrega turno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Agrega turno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Agrega turno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Agrega turno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Agrega turno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Agrega turno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Agrega turno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2026-10-18T20:20:04Z</dcterms:created>
  <dc:creator>openpyxl</dc:creator>
  <dc:description/>
  <dc:language>en-US</dc:language>
  <cp:lastModifiedBy/>
  <dcterms:modified xsi:type="dcterms:W3CDTF">2026-10-18T20:20:05Z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