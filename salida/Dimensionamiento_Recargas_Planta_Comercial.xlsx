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Links" sheetId="1" state="visible" r:id="rId3"/>
    <sheet name="PROY_Indexado" sheetId="2" state="visible" r:id="rId4"/>
    <sheet name="datos_base" sheetId="3" state="visible" r:id="rId5"/>
    <sheet name="parametros_recargas" sheetId="4" state="visible" r:id="rId6"/>
    <sheet name="sobrestock_sustitutos" sheetId="5" state="visible" r:id="rId7"/>
    <sheet name="Plan mensual" sheetId="6" state="visible" r:id="rId8"/>
    <sheet name="Demanda por puesto" sheetId="7" state="visible" r:id="rId9"/>
    <sheet name="Resumen Capacida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<sst xmlns="http://schemas.openxmlformats.org/spreadsheetml/2006/main" count="1067" uniqueCount="469">
  <si>
    <t xml:space="preserve">Links de los IMPORTRANGE</t>
  </si>
  <si>
    <t xml:space="preserve">Pegar en la columna B el link del Google Sheet de cada archivo; todas las fórmulas IMPORTRANGE leen el link de esta hoja. Hasta que se pegue, esas celdas muestran el último valor conocido o un error de referencia.</t>
  </si>
  <si>
    <t xml:space="preserve">Archivo</t>
  </si>
  <si>
    <t xml:space="preserve">Link</t>
  </si>
  <si>
    <t xml:space="preserve">Qué se importa</t>
  </si>
  <si>
    <t xml:space="preserve">Proyecciones</t>
  </si>
  <si>
    <t xml:space="preserve">https://docs.google.com/spreadsheets/d/1xc4xDAwSYT3l-RulPYtcePxiCninrbQGzaBUsgO0YEs/edit?gid=1764491891#gid=1764491891</t>
  </si>
  <si>
    <t xml:space="preserve">Indexado Dim Técnico: recargas por tipo (B27:K43), % por zona (U61:U74), % por planta (V61 y V63)</t>
  </si>
  <si>
    <t xml:space="preserve">Dimensionamiento Manuales</t>
  </si>
  <si>
    <t xml:space="preserve">PEGAR ACÁ EL LINK DEL GOOGLE SHEET</t>
  </si>
  <si>
    <t xml:space="preserve">parametros_manuales K32, K33, K38, K39, K40 y K42: tiempos de PH, secado, carga, ensamblaje, presurización y etiquetado (equivalencia del rodante)</t>
  </si>
  <si>
    <t xml:space="preserve">Dimensionamiento Carros</t>
  </si>
  <si>
    <t xml:space="preserve">parametros_carros I29, I30, I33 e I34: tiempos ponderados de PH, secado, carga y presurización, y montaje y etiquetado (equivalencia del rodante)</t>
  </si>
  <si>
    <t xml:space="preserve">MRP (FLAMA_MRP)</t>
  </si>
  <si>
    <t xml:space="preserve">ESTACIONALIDAD C4:N6: perfiles de producción E01 (1 kg), E02 (2,5 a 10 kg) y E03 (rodantes), con los que llegan de fábrica los sustitutos ABC nuevos</t>
  </si>
  <si>
    <t xml:space="preserve">Proyecciones — Indexado Dim Técnico</t>
  </si>
  <si>
    <t xml:space="preserve">Recargas por tipo</t>
  </si>
  <si>
    <t xml:space="preserve">ABC 1 kg</t>
  </si>
  <si>
    <t xml:space="preserve">ABC 2,5 kg</t>
  </si>
  <si>
    <t xml:space="preserve">ABC 5 kg</t>
  </si>
  <si>
    <t xml:space="preserve">ABC 10 kg</t>
  </si>
  <si>
    <t xml:space="preserve">Agua 10 l</t>
  </si>
  <si>
    <t xml:space="preserve">AFFF 10 l</t>
  </si>
  <si>
    <t xml:space="preserve">AFFF 50 l s/ruedas</t>
  </si>
  <si>
    <t xml:space="preserve">BC 5 kg</t>
  </si>
  <si>
    <t xml:space="preserve">Sales K 6 l</t>
  </si>
  <si>
    <t xml:space="preserve">CO₂ 2 kg</t>
  </si>
  <si>
    <t xml:space="preserve">CO₂ 5 kg</t>
  </si>
  <si>
    <t xml:space="preserve">HCFC/HFC 5 kg</t>
  </si>
  <si>
    <t xml:space="preserve">Clase D 9 l</t>
  </si>
  <si>
    <t xml:space="preserve">ABC 25 kg s/ruedas</t>
  </si>
  <si>
    <t xml:space="preserve">ABC 50 kg s/ruedas</t>
  </si>
  <si>
    <t xml:space="preserve">ABC 70 kg s/ruedas</t>
  </si>
  <si>
    <t xml:space="preserve">ABC 100 kg s/ruedas</t>
  </si>
  <si>
    <t xml:space="preserve">Recargas total</t>
  </si>
  <si>
    <t xml:space="preserve">Recargas por zona y planta (PBA Interior queda fuera: la atienden distribuidores ajenos)</t>
  </si>
  <si>
    <t xml:space="preserve">Zona</t>
  </si>
  <si>
    <t xml:space="preserve">% zonal 2035</t>
  </si>
  <si>
    <t xml:space="preserve">Planta</t>
  </si>
  <si>
    <t xml:space="preserve">CABA Norte</t>
  </si>
  <si>
    <t xml:space="preserve">Comercial</t>
  </si>
  <si>
    <t xml:space="preserve">CABA Este</t>
  </si>
  <si>
    <t xml:space="preserve">CABA Sur</t>
  </si>
  <si>
    <t xml:space="preserve">Industrial</t>
  </si>
  <si>
    <t xml:space="preserve">CABA Oeste</t>
  </si>
  <si>
    <t xml:space="preserve">PBA Sur 1er (Avellaneda)</t>
  </si>
  <si>
    <t xml:space="preserve">PBA Sur 2do cordón</t>
  </si>
  <si>
    <t xml:space="preserve">PBA Sur 3er cordón</t>
  </si>
  <si>
    <t xml:space="preserve">PBA Norte 1er cordón</t>
  </si>
  <si>
    <t xml:space="preserve">PBA Norte 2do cordón</t>
  </si>
  <si>
    <t xml:space="preserve">PBA Norte 3er cordón</t>
  </si>
  <si>
    <t xml:space="preserve">PBA Oeste 1er cordón</t>
  </si>
  <si>
    <t xml:space="preserve">PBA Oeste 2do cordón</t>
  </si>
  <si>
    <t xml:space="preserve">PBA Oeste 3er cordón</t>
  </si>
  <si>
    <t xml:space="preserve">PBA Interior</t>
  </si>
  <si>
    <t xml:space="preserve">Fuera</t>
  </si>
  <si>
    <t xml:space="preserve">% de recargas</t>
  </si>
  <si>
    <t xml:space="preserve">Control: suma de sus zonas</t>
  </si>
  <si>
    <t xml:space="preserve">Comercial (Proyecciones V61)</t>
  </si>
  <si>
    <t xml:space="preserve">Industrial (Proyecciones V63)</t>
  </si>
  <si>
    <t xml:space="preserve">Fuera: PBA Interior (distribuidores ajenos)</t>
  </si>
  <si>
    <t xml:space="preserve">Total (tiene que dar 100 %)</t>
  </si>
  <si>
    <t xml:space="preserve">Tasas de Proyecciones (hojas PROYECCION por rubro; iguales para todos los tipos)</t>
  </si>
  <si>
    <t xml:space="preserve">Concepto</t>
  </si>
  <si>
    <t xml:space="preserve">Valor</t>
  </si>
  <si>
    <t xml:space="preserve">Uso en este archivo</t>
  </si>
  <si>
    <t xml:space="preserve">Mat Usados ÷ RECARGAS An</t>
  </si>
  <si>
    <t xml:space="preserve">Se usa: equipos que llegan descargados por uso</t>
  </si>
  <si>
    <t xml:space="preserve">Mat PH ÷ RECARGAS An</t>
  </si>
  <si>
    <t xml:space="preserve">Se usa: equipos que no pasan la PH y se inutilizan</t>
  </si>
  <si>
    <t xml:space="preserve">Mat Rot ÷ RECARGAS An</t>
  </si>
  <si>
    <t xml:space="preserve">Se usa: equipos rotos que se inutilizan</t>
  </si>
  <si>
    <t xml:space="preserve">Mat Fin VU ÷ RECARGAS An</t>
  </si>
  <si>
    <t xml:space="preserve">No se usa: Proyecciones aplica la misma vida útil a todos los tipos; acá va la del Anexo E (20 años, CO₂ 30)</t>
  </si>
  <si>
    <t xml:space="preserve">Planta de este archivo</t>
  </si>
  <si>
    <t xml:space="preserve">% de recargas de esta planta</t>
  </si>
  <si>
    <t xml:space="preserve">Recargas de mercado 2035 por tipo y rubro en las zonas de la planta comercial (hojas PROYECCION &lt;rubro&gt;)</t>
  </si>
  <si>
    <t xml:space="preserve">Tipo</t>
  </si>
  <si>
    <t xml:space="preserve">Automotor</t>
  </si>
  <si>
    <t xml:space="preserve">Edificios</t>
  </si>
  <si>
    <t xml:space="preserve">Educación</t>
  </si>
  <si>
    <t xml:space="preserve">Hoteles</t>
  </si>
  <si>
    <t xml:space="preserve">Industrias / almacenes</t>
  </si>
  <si>
    <t xml:space="preserve">Salud</t>
  </si>
  <si>
    <t xml:space="preserve">Supermercados</t>
  </si>
  <si>
    <t xml:space="preserve">Total</t>
  </si>
  <si>
    <t xml:space="preserve">Carros repartidos 25/55/12/8 % entre 25, 50, 70 y 100 kg, como PxQ (Corregido) filas 66 a 69. Comercial: CABA y PBA sin zona Sur ni Interior; industrial: CABA Sur y PBA Sur.</t>
  </si>
  <si>
    <t xml:space="preserve">Tipo de matafuego</t>
  </si>
  <si>
    <t xml:space="preserve">Recargas Total</t>
  </si>
  <si>
    <t xml:space="preserve">Parámetro</t>
  </si>
  <si>
    <t xml:space="preserve">Fuente / criterio</t>
  </si>
  <si>
    <t xml:space="preserve">Días hábiles por mes</t>
  </si>
  <si>
    <t xml:space="preserve">240 días hábiles por año ÷ 12</t>
  </si>
  <si>
    <t xml:space="preserve">Horas por día (1 turno)</t>
  </si>
  <si>
    <t xml:space="preserve">Refrigerio (min/turno)</t>
  </si>
  <si>
    <t xml:space="preserve">Horas productivas por turno</t>
  </si>
  <si>
    <t xml:space="preserve">Horas productivas por mes (1 turno)</t>
  </si>
  <si>
    <t xml:space="preserve">Umbral de aprovechamiento</t>
  </si>
  <si>
    <t xml:space="preserve">10 % de holgura para variabilidad, averías y mantenimiento</t>
  </si>
  <si>
    <t xml:space="preserve">Turnos máximos por día</t>
  </si>
  <si>
    <t xml:space="preserve">hasta 2 turnos de 8 h; después se agrega máquina</t>
  </si>
  <si>
    <t xml:space="preserve">Equivalencia de un rodante (u. equivalentes)</t>
  </si>
  <si>
    <t xml:space="preserve">Promedio de la relación de tiempos carros ÷ manuales de FLAMA en las operaciones comunes (bloque EQUIVALENCIA DE UN RODANTE, al final de esta hoja)</t>
  </si>
  <si>
    <t xml:space="preserve">Año de inicio del 2° turno (antes: más máquinas)</t>
  </si>
  <si>
    <t xml:space="preserve">Prioridad del aprovechamiento: antes de ese año se agrega máquina u operario; desde ese año, turno</t>
  </si>
  <si>
    <t xml:space="preserve">CRITERIOS DE RECARGA POR AGENTE — PLANTA COMERCIAL (qué le pasa al equipo en el año)</t>
  </si>
  <si>
    <t xml:space="preserve">Qué le pasa al equipo</t>
  </si>
  <si>
    <t xml:space="preserve">Unidad</t>
  </si>
  <si>
    <t xml:space="preserve">Fuente</t>
  </si>
  <si>
    <t xml:space="preserve">Estado</t>
  </si>
  <si>
    <t xml:space="preserve">ABC</t>
  </si>
  <si>
    <t xml:space="preserve">BC</t>
  </si>
  <si>
    <t xml:space="preserve">Clase D</t>
  </si>
  <si>
    <t xml:space="preserve">Agua</t>
  </si>
  <si>
    <t xml:space="preserve">AFFF</t>
  </si>
  <si>
    <t xml:space="preserve">Sales K</t>
  </si>
  <si>
    <t xml:space="preserve">CO₂</t>
  </si>
  <si>
    <t xml:space="preserve">Halogenado</t>
  </si>
  <si>
    <t xml:space="preserve">Explicación</t>
  </si>
  <si>
    <t xml:space="preserve">Intervalo de prueba hidráulica</t>
  </si>
  <si>
    <t xml:space="preserve">años</t>
  </si>
  <si>
    <t xml:space="preserve">IRAM 3517-2:2020, Anexo E</t>
  </si>
  <si>
    <t xml:space="preserve">Norma</t>
  </si>
  <si>
    <t xml:space="preserve">Polvos, CO₂ y halogenados cada 5 años; agua, AFFF y sales K cada 2</t>
  </si>
  <si>
    <t xml:space="preserve">Vence la prueba hidráulica</t>
  </si>
  <si>
    <t xml:space="preserve">% por año</t>
  </si>
  <si>
    <t xml:space="preserve">1 ÷ intervalo</t>
  </si>
  <si>
    <t xml:space="preserve">9.7.2: en régimen vence la PH de 1 de cada 5 (o 1 de cada 2) equipos por año</t>
  </si>
  <si>
    <t xml:space="preserve">Golpe o abolladura leve: va a PH</t>
  </si>
  <si>
    <t xml:space="preserve">Criterio del grupo</t>
  </si>
  <si>
    <t xml:space="preserve">A confirmar</t>
  </si>
  <si>
    <t xml:space="preserve">9.7.1.2 y Word (inspección visual). El Dimensionamiento Técnico V2 usaba 25 % de PH en polvos: 20 % por vencimiento + 5 % por daño</t>
  </si>
  <si>
    <t xml:space="preserve">Pasa por prueba hidráulica</t>
  </si>
  <si>
    <t xml:space="preserve">Vence + golpe</t>
  </si>
  <si>
    <t xml:space="preserve">Cálculo</t>
  </si>
  <si>
    <t xml:space="preserve">Vida útil</t>
  </si>
  <si>
    <t xml:space="preserve">CO₂: 30 años (IRAM 3509)</t>
  </si>
  <si>
    <t xml:space="preserve">Llega al fin de la vida útil</t>
  </si>
  <si>
    <t xml:space="preserve">1 ÷ vida útil</t>
  </si>
  <si>
    <t xml:space="preserve">Se inutiliza en la recepción (Word, operación 1)</t>
  </si>
  <si>
    <t xml:space="preserve">No pasa la prueba hidráulica</t>
  </si>
  <si>
    <t xml:space="preserve">Proyecciones (Mat PH)</t>
  </si>
  <si>
    <t xml:space="preserve">Dato</t>
  </si>
  <si>
    <t xml:space="preserve">Equivale a 1 de cada 10 de los que se prueban (2 % ÷ 20 %), en línea con lo que informan los servicios de PH</t>
  </si>
  <si>
    <t xml:space="preserve">Se rompe en el uso</t>
  </si>
  <si>
    <t xml:space="preserve">Proyecciones (Mat Rot)</t>
  </si>
  <si>
    <t xml:space="preserve">Se inutiliza</t>
  </si>
  <si>
    <t xml:space="preserve">Fin de vida + no pasa la PH + roto</t>
  </si>
  <si>
    <t xml:space="preserve">9.12 y Anexo G</t>
  </si>
  <si>
    <t xml:space="preserve">Llega descargado por uso</t>
  </si>
  <si>
    <t xml:space="preserve">Proyecciones (Mat Usados)</t>
  </si>
  <si>
    <t xml:space="preserve">9.2.2: se recarga después de usarlo. El polvo sin presión no se descarga; el CO₂ descargado va directo a la carga</t>
  </si>
  <si>
    <t xml:space="preserve">Cambio obligatorio del agente</t>
  </si>
  <si>
    <t xml:space="preserve">Norma y Word</t>
  </si>
  <si>
    <t xml:space="preserve">ABC: dígito del año de fabricación (9.9.4 a). BC: siempre polvo nuevo (Word). Clase D: se descarga y carga a mano. Agua, AFFF y sales K: el agente se cambia cada año (Anexo E). CO₂ y halogenados se reutilizan</t>
  </si>
  <si>
    <t xml:space="preserve">Hay que abrir la válvula (daño, pérdida de peso o presión)</t>
  </si>
  <si>
    <t xml:space="preserve">Criterio</t>
  </si>
  <si>
    <t xml:space="preserve">Solo CO₂ y halogenados: el resto se abre siempre. Word: se recupera el agente por daño, cambio de piezas o pérdida de peso o presión</t>
  </si>
  <si>
    <t xml:space="preserve">Se pinta</t>
  </si>
  <si>
    <t xml:space="preserve">9.10: óxido, metal a la vista, pérdida de brillo o repintado parcial; no fija el %. El Dimensionamiento Técnico V2 usaba 15 %</t>
  </si>
  <si>
    <t xml:space="preserve">Humedad interior al desarmar (secado extra)</t>
  </si>
  <si>
    <t xml:space="preserve">Word, operación 7: se seca también si en el desarme aparece humedad</t>
  </si>
  <si>
    <t xml:space="preserve">Ensayos de laboratorio por día</t>
  </si>
  <si>
    <t xml:space="preserve">ensayos/día</t>
  </si>
  <si>
    <t xml:space="preserve">Criterio (Word)</t>
  </si>
  <si>
    <t xml:space="preserve">Word, operación 5: control periódico de la tolva de polvo recuperado (uno por día), dudas en el visor y lotes nuevos sin Sello IRAM. El BC se carga con polvo nuevo con sello</t>
  </si>
  <si>
    <t xml:space="preserve">Ensayos de laboratorio por equipo</t>
  </si>
  <si>
    <t xml:space="preserve">ensayos/u.</t>
  </si>
  <si>
    <t xml:space="preserve">Ensayos por día × días del año ÷ recargas del agente en 2035</t>
  </si>
  <si>
    <t xml:space="preserve">1 control diario de la tolva repartido en las recargas del agente en 2035</t>
  </si>
  <si>
    <t xml:space="preserve">Estado: Norma = lo fija IRAM 3517-2; Dato = Proyecciones; A confirmar (fondo gris) = criterio del grupo que falta confirmar en la visita al recargador; Cálculo = sale de las filas de arriba.</t>
  </si>
  <si>
    <t xml:space="preserve">Cada puesto de CAPACIDAD POR PUESTO toma estas filas en la columna de su agente (ver la columna Cuándo pasa). Cambiar un valor acá cambia la ruta de todos los puestos que lo usan.</t>
  </si>
  <si>
    <t xml:space="preserve">ESTACIONALIDAD DE LAS RECARGAS POR RUBRO (% de las recargas del año en cada mes)</t>
  </si>
  <si>
    <t xml:space="preserve">IRAM 3517-2:2020 9.2.1 (mantenimiento al menos anual) y 9.4.14 (la tarjeta fija el mes y año del próximo): cada equipo vuelve en el mes de su último mantenimiento. Solo hay estacionalidad donde una regla o un calendario fija el mes para todo el rubro.</t>
  </si>
  <si>
    <t xml:space="preserve">Rubro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</si>
  <si>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</si>
  <si>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</si>
  <si>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</si>
  <si>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</si>
  <si>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</si>
  <si>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</si>
  <si>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</si>
  <si>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</si>
  <si>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</si>
  <si>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</si>
  <si>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</si>
  <si>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</si>
  <si>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VTV de PBA y CABA: el mes sale de la terminación de la patente (2 en febrero ... 0 en octubre y 1 en noviembre; diciembre y enero quedan para rezagados) y la VTV revisa que el matafuego tenga la carga vigente: se recarga en ese mes. Los exentos (PBA: menos de 2 años de patentado) recargan en el aniversario de la compra</t>
  </si>
  <si>
    <t xml:space="preserve">Sin mes fijo: la recarga vale 1 año desde que se hace y queda en la tarjeta (CABA, Ley 6116; PBA, Dec. 4992/90). La declaración jurada anual del administrador (CABA, Ley 941; PBA, Ley 14.701, hasta el 31/3) no fija el mes</t>
  </si>
  <si>
    <t xml:space="preserve">Las escuelas estatales recargan en febrero, con los fondos de inicio del ciclo lectivo que la DGCyE gira a los Consejos Escolares antes del comienzo de clases (2 de marzo); las privadas, parejo</t>
  </si>
  <si>
    <t xml:space="preserve">Sin mes fijo: el registro de alojamientos (CABA, Ley 4631) no fija un mes para incendio; rige la vigencia de 1 año de la recarga (Ley 6116) y, en PBA, el control de Bomberos cada 6 meses (Dec. 12/2005)</t>
  </si>
  <si>
    <t xml:space="preserve">Sin mes fijo: el relevamiento de riesgos (RGRL, Res. SRT 463/09 y 529/09) se renueva con el contrato de la ART y Bomberos PBA controla cada 6 meses (Dec. 12/2005). Las paradas de enero (INDEC) no fijan el mes de la recarga</t>
  </si>
  <si>
    <t xml:space="preserve">Sin mes fijo: funcionan todo el año; rigen la vigencia de 1 año de la recarga (Ley 6116, Dec. 4992/90) y el control de Bomberos cada 6 meses (Dec. 12/2005)</t>
  </si>
  <si>
    <t xml:space="preserve">Sin mes fijo: constancia antisiniestral vigente con control de Bomberos cada 6 meses (Dec. 12/2005, PBA) y recarga anual desde su fecha (Ley 6116, Dec. 4992/90)</t>
  </si>
  <si>
    <t xml:space="preserve">Dato de la estacionalidad</t>
  </si>
  <si>
    <t xml:space="preserve">Escuelas de gestión estatal (% de las unidades educativas)</t>
  </si>
  <si>
    <t xml:space="preserve">PBA: 68,2 % estatal y 31,8 % privada (HCD PBA, proyecto 13-14 D-1382, con el Relevamiento Anual)</t>
  </si>
  <si>
    <t xml:space="preserve">Patentamientos 2025 por mes (u.)</t>
  </si>
  <si>
    <t xml:space="preserve">ACARA, total del mercado</t>
  </si>
  <si>
    <t xml:space="preserve">Patentamientos 2024 (u.)</t>
  </si>
  <si>
    <t xml:space="preserve">ACARA</t>
  </si>
  <si>
    <t xml:space="preserve">Flota circulante 2025 (u.)</t>
  </si>
  <si>
    <t xml:space="preserve">AFAC, Flota Vehicular Circulante 2025</t>
  </si>
  <si>
    <t xml:space="preserve">Exentos de VTV (% de la flota)</t>
  </si>
  <si>
    <t xml:space="preserve">PBA: VTV anual desde los 2 años de patentado → patentados 2024 + 2025 ÷ flota</t>
  </si>
  <si>
    <t xml:space="preserve">Fuentes: VTV PBA (vtv.gba.gob.ar, plazos; anexo del cronograma en normas.gba.gob.ar) y CABA (buenosaires.gob.ar); revisión del matafuego en la VTV (iProfesional); 2 años de exención en PBA (Ámbito, oct. 2025); ACARA (El Economista, MDZ); AFAC 2025. DGCyE: fondos de inicio del ciclo lectivo a los Consejos Escolares (Ámbito 8/2/2022; 2026); calendario escolar PBA 2026.</t>
  </si>
  <si>
    <t xml:space="preserve">Edificios y comercios: CABA Leyes 941, 4631 y 6116; PBA Ley 14.701 y Decretos 4992/90 y 12/2005; Res. SRT 463/09 y 529/09. Ninguna fija un mes del calendario: la recarga vence a los 12 meses de hecha (IRAM 3517-2 9.2.1 y 9.4.14), así que esos rubros quedan parejos.</t>
  </si>
  <si>
    <t xml:space="preserve">Pico de verano en autos: lo informan recargadores de Córdoba, Mendoza, Paraná y Rafaela (prensa local; Córdoba: 12 % de las ITV del año en enero). En el AMBA no hay dato: a confirmar en la visita al recargador.</t>
  </si>
  <si>
    <t xml:space="preserve">TIPOS DE MATAFUEGO Y PERFIL MENSUAL DE RECARGAS (mix de rubros de la planta × estacionalidad de cada rubro)</t>
  </si>
  <si>
    <t xml:space="preserve">Agente (ruta)</t>
  </si>
  <si>
    <t xml:space="preserve">u. equivalentes por recipiente</t>
  </si>
  <si>
    <t xml:space="preserve">Manguera con PH anual (1 = sí)</t>
  </si>
  <si>
    <t xml:space="preserve">Mes pico</t>
  </si>
  <si>
    <t xml:space="preserve">Fuente de la manguera</t>
  </si>
  <si>
    <t xml:space="preserve">No: tobera sin manguera</t>
  </si>
  <si>
    <t xml:space="preserve">No: la manguera no tiene cierre en el extremo</t>
  </si>
  <si>
    <t xml:space="preserve">Sí, 9.7.1.4 a): lanza con cierre (rodante, IRAM 3541)</t>
  </si>
  <si>
    <t xml:space="preserve">No: difusor de brazo, sin manguera (catálogo FLAMA)</t>
  </si>
  <si>
    <t xml:space="preserve">Sí, 9.7.1.4 b): manguera de CO₂ (difusor con manga)</t>
  </si>
  <si>
    <t xml:space="preserve">Sí, 9.7.1.4 a): válvula de cierre en la manguera (rodante, IRAM 3550)</t>
  </si>
  <si>
    <t xml:space="preserve">Toda la planta (recargas 2035; lo importan el MRP y Recargas.xlsx)</t>
  </si>
  <si>
    <t xml:space="preserve">CAPACIDAD POR PUESTO (fracción de cada agente que pasa por el puesto; cilindro nuevo: 1 = pasa)</t>
  </si>
  <si>
    <t xml:space="preserve">N°</t>
  </si>
  <si>
    <t xml:space="preserve">Puesto / operación</t>
  </si>
  <si>
    <t xml:space="preserve">Máquina / equipo</t>
  </si>
  <si>
    <t xml:space="preserve">Recurso</t>
  </si>
  <si>
    <t xml:space="preserve">Cilindro nuevo (alta de sustituto)</t>
  </si>
  <si>
    <t xml:space="preserve">Tiempo tipo (s/u)</t>
  </si>
  <si>
    <t xml:space="preserve">Cap. real (u/h)</t>
  </si>
  <si>
    <t xml:space="preserve">Cap. real (u/mes, 1 turno)</t>
  </si>
  <si>
    <t xml:space="preserve">Desglose del tiempo (s)</t>
  </si>
  <si>
    <t xml:space="preserve">Nota</t>
  </si>
  <si>
    <t xml:space="preserve">Cuándo pasa (Word de recargas, tabla de operaciones, y norma)</t>
  </si>
  <si>
    <t xml:space="preserve">Recepción y registro</t>
  </si>
  <si>
    <t xml:space="preserve">Autoelevador + tablet e impresora de etiquetas; jaulas A y B</t>
  </si>
  <si>
    <t xml:space="preserve">Manual</t>
  </si>
  <si>
    <t xml:space="preserve">Cargar jaulas 12,5 + descargar y controlar contra remito 12,5 + datos en el sistema 40 + separar por agente 10. Lo que se hace en el cliente no cuenta.</t>
  </si>
  <si>
    <t xml:space="preserve">Siempre (operación 1)</t>
  </si>
  <si>
    <t xml:space="preserve">Inspección visual</t>
  </si>
  <si>
    <t xml:space="preserve">Mesa con goma, lámpara con lupa, PC</t>
  </si>
  <si>
    <t xml:space="preserve">Escanear 5 + exterior 30 + válvula, manómetro y manguera 25 + fecha PH 10 + registro 15 + bandeja 5</t>
  </si>
  <si>
    <t xml:space="preserve">Antes 70 s; los pasos suman 90 s</t>
  </si>
  <si>
    <t xml:space="preserve">Siempre (operación 2)</t>
  </si>
  <si>
    <t xml:space="preserve">Descarga ABC — ruta recuperable</t>
  </si>
  <si>
    <t xml:space="preserve">Máquina neumática Yukon (tolva 240 kg)</t>
  </si>
  <si>
    <t xml:space="preserve">Máquina</t>
  </si>
  <si>
    <t xml:space="preserve">Escanear y agitado 15 + descargar mirando el visor 60 + tapar 10 (el retiro de válvula se cuenta en Desarme)</t>
  </si>
  <si>
    <t xml:space="preserve">ABC que llega con presión y no cambia el polvo (operación 3). Sin presión pasa directo a desarme</t>
  </si>
  <si>
    <t xml:space="preserve">Descarga ABC — ruta descarte</t>
  </si>
  <si>
    <t xml:space="preserve">Tambor Yukon M-000030</t>
  </si>
  <si>
    <t xml:space="preserve">Igual que la ruta recuperable, al tambor</t>
  </si>
  <si>
    <t xml:space="preserve">ABC con presión al que le toca el cambio de polvo por el dígito del año (9.9.4 a)</t>
  </si>
  <si>
    <t xml:space="preserve">Descarga BC</t>
  </si>
  <si>
    <t xml:space="preserve">Tambor Yukon M-000030 dedicado BC</t>
  </si>
  <si>
    <t xml:space="preserve">Igual que ABC; todo a descarte</t>
  </si>
  <si>
    <t xml:space="preserve">BC con presión: el polvo BC se cambia siempre</t>
  </si>
  <si>
    <t xml:space="preserve">Descarga de agua / AFFF / sales K</t>
  </si>
  <si>
    <t xml:space="preserve">IBC 1.000 l (AFFF) y tanque 600 l (agua)</t>
  </si>
  <si>
    <t xml:space="preserve">Escanear 10 + quitar lanza 10 + acoplar 15 + vaciar 60 + llevar a desarme 10</t>
  </si>
  <si>
    <t xml:space="preserve">Antes 180 s; los pasos suman 105 s. Sales K: misma ruta que agua y AFFF</t>
  </si>
  <si>
    <t xml:space="preserve">Con presión: el agente se cambia todos los años (Anexo E)</t>
  </si>
  <si>
    <t xml:space="preserve">Recuperación de CO₂</t>
  </si>
  <si>
    <t xml:space="preserve">Trasvasadora CO₂ 103/D1 (misma máquina que la carga)</t>
  </si>
  <si>
    <t xml:space="preserve">Pesar 20 + conectar 20 + bombear 120 + verificar y pesar 20 + desconectar 15 + registrar 10</t>
  </si>
  <si>
    <t xml:space="preserve">CO₂ que va a PH o que hay que abrir por daño o pérdida de peso</t>
  </si>
  <si>
    <t xml:space="preserve">Recuperación de halogenado</t>
  </si>
  <si>
    <t xml:space="preserve">Unidad THB/BP (misma máquina que la carga)</t>
  </si>
  <si>
    <t xml:space="preserve">Preparar y verificar cilindro de paso 60 + pesar 20 + conectar 30 + recuperar 300 + pesar ambos 40 + anotar 15</t>
  </si>
  <si>
    <t xml:space="preserve">Halogenado que va a PH, que llega usado o que hay que abrir</t>
  </si>
  <si>
    <t xml:space="preserve">Desarme y limpieza — recinto</t>
  </si>
  <si>
    <t xml:space="preserve">Lanza de soplado + aspiradora industrial + llaves</t>
  </si>
  <si>
    <t xml:space="preserve">Verificar 5 + retirar válvula 30 + marbete 5 + bandeja 10 + soplar 20 + limpieza profunda 120 × % ABC con PH + tapar 5</t>
  </si>
  <si>
    <t xml:space="preserve">Antes 90 s con 25 % de PH; los pasos suman 105 s con el mismo 25 %</t>
  </si>
  <si>
    <t xml:space="preserve">Siempre en polvos (operación 4); la limpieza profunda, solo si va a PH</t>
  </si>
  <si>
    <t xml:space="preserve">Desarme e inspección interior — zona general</t>
  </si>
  <si>
    <t xml:space="preserve">Boroscopio Klein ET19 + llaves</t>
  </si>
  <si>
    <t xml:space="preserve">Confirmar vacío 10 + retirar válvula 40 + boroscopio 60 + enjuague 90 × 40 % + foto 15 + tapar 15</t>
  </si>
  <si>
    <t xml:space="preserve">CO₂ y halogenados cuando se abren; agua, AFFF y sales K siempre</t>
  </si>
  <si>
    <t xml:space="preserve">Laboratorio — Puffer y mufla</t>
  </si>
  <si>
    <t xml:space="preserve">Puffer Yukon M-100150 + mufla ORL-0</t>
  </si>
  <si>
    <t xml:space="preserve">Tiempo por ENSAYO: registro 300 + mufla 600 + Puffer 1.800 + dictamen 60 + carga 120 + liberar tolva 300</t>
  </si>
  <si>
    <t xml:space="preserve">Control periódico de la tolva, dudas en el visor y lotes de polvo nuevo sin Sello IRAM (operación 5; 9.9.3)</t>
  </si>
  <si>
    <t xml:space="preserve">Prueba hidráulica</t>
  </si>
  <si>
    <t xml:space="preserve">Máquina PH Yukon 300 kg/cm²</t>
  </si>
  <si>
    <t xml:space="preserve">Verificar con patrón 12 + escanear 20 + llenar y conectar 90 + ensayo 90 + vaciar y retirar 75 + registrar 15. CO₂ lleva además ultrasonido y acuñado</t>
  </si>
  <si>
    <t xml:space="preserve">PH vencida o que vence antes del próximo mantenimiento, o daño menor (operación 6; 9.7.2, Anexo E y 9.7.1.2)</t>
  </si>
  <si>
    <t xml:space="preserve">Secado</t>
  </si>
  <si>
    <t xml:space="preserve">Secadora Yukon de 6 recipientes</t>
  </si>
  <si>
    <t xml:space="preserve">Colocar 15 + 15 min ÷ 6 recipientes = 150 + retirar 15</t>
  </si>
  <si>
    <t xml:space="preserve">Agua, AFFF y sales K no se secan: se vuelven a llenar</t>
  </si>
  <si>
    <t xml:space="preserve">Después de la PH, el mismo día; en polvos también si hay humedad al desarmar (operación 7)</t>
  </si>
  <si>
    <t xml:space="preserve">Inspección interior con videoscopio</t>
  </si>
  <si>
    <t xml:space="preserve">Videoscopio + mesa con soporte en V</t>
  </si>
  <si>
    <t xml:space="preserve">Recorrer con la sonda 60 + guardar foto 15 + tapar 10</t>
  </si>
  <si>
    <t xml:space="preserve">Con el secado (operación 7)</t>
  </si>
  <si>
    <t xml:space="preserve">Pintura</t>
  </si>
  <si>
    <t xml:space="preserve">Cabina con extracción, HVLP, lámparas IR, amoladora</t>
  </si>
  <si>
    <t xml:space="preserve">Sin desglose de pasos en el original</t>
  </si>
  <si>
    <t xml:space="preserve">Óxido, metal a la vista, pérdida de brillo o color, o repintado parcial (operación 8; 9.10)</t>
  </si>
  <si>
    <t xml:space="preserve">Carga de polvo ABC</t>
  </si>
  <si>
    <t xml:space="preserve">Máquina neumática Yukon con corte por peso</t>
  </si>
  <si>
    <t xml:space="preserve">Contraste por turno 6 + tara 15 + carga 45 + pesar 15 + rosca 15 + registrar 10</t>
  </si>
  <si>
    <t xml:space="preserve">Antes 90 s; los pasos suman 106 s</t>
  </si>
  <si>
    <t xml:space="preserve">Siempre (operación 9)</t>
  </si>
  <si>
    <t xml:space="preserve">Carga de polvo BC</t>
  </si>
  <si>
    <t xml:space="preserve">Cargadora portátil Yukon dedicada BC</t>
  </si>
  <si>
    <t xml:space="preserve">Contraste 10 + tara 15 + carga portátil 75 + pesar 15 + rosca 15 + registrar 10</t>
  </si>
  <si>
    <t xml:space="preserve">Siempre</t>
  </si>
  <si>
    <t xml:space="preserve">Descarga y carga Clase D</t>
  </si>
  <si>
    <t xml:space="preserve">Recipiente exclusivo + embudo + balanza</t>
  </si>
  <si>
    <t xml:space="preserve">Descarga manual 180 + tara 15 + carga con embudo 240 + ajuste 30 + rosca 15 + registro 10</t>
  </si>
  <si>
    <t xml:space="preserve">Supuesto del original (no está en el documento de procesos)</t>
  </si>
  <si>
    <t xml:space="preserve">Siempre: carga manual con embudo para no contaminar el agente</t>
  </si>
  <si>
    <t xml:space="preserve">Carga de agua / AFFF / sales K</t>
  </si>
  <si>
    <t xml:space="preserve">Red + tanque de premezcla con bomba 40 l/min + balanza</t>
  </si>
  <si>
    <t xml:space="preserve">Contraste y premezcla 20 + tara 10 + cargar 30 + corregir 15 + rosca 15 + registrar 10</t>
  </si>
  <si>
    <t xml:space="preserve">Siempre: el agente se cambia cada año (Anexo E)</t>
  </si>
  <si>
    <t xml:space="preserve">Carga de CO₂</t>
  </si>
  <si>
    <t xml:space="preserve">Trasvasadora CO₂ 103/D1 + manifold</t>
  </si>
  <si>
    <t xml:space="preserve">Tarar y programar 30 + elegir origen 10 + abrir manifold 15 + llenar 150 + pesar 25 + registrar 10</t>
  </si>
  <si>
    <t xml:space="preserve">CO₂ que se abrió o que llega usado</t>
  </si>
  <si>
    <t xml:space="preserve">Ensamblaje y marbete — recinto</t>
  </si>
  <si>
    <t xml:space="preserve">Morsa + llave dinamométrica</t>
  </si>
  <si>
    <t xml:space="preserve">Escanear 10 + revisar piezas 30 + o-ring 20 + marbete 10 + enroscar 30 + manguera y repuestos 20</t>
  </si>
  <si>
    <t xml:space="preserve">Siempre (operación 10)</t>
  </si>
  <si>
    <t xml:space="preserve">Presurización — recinto</t>
  </si>
  <si>
    <t xml:space="preserve">Pinza Yukon M-000150 + regulador</t>
  </si>
  <si>
    <t xml:space="preserve">Contraste por turno 3 + fijar presión 15 + colocar 10 + presurizar 20 + pasador 15 + registrar 10</t>
  </si>
  <si>
    <t xml:space="preserve">Siempre (operación 11)</t>
  </si>
  <si>
    <t xml:space="preserve">Ensamblaje y presurización — zona general</t>
  </si>
  <si>
    <t xml:space="preserve">Morsa + dinamométrica + pinza Yukon</t>
  </si>
  <si>
    <t xml:space="preserve">Ensamblaje 120 + presurización 50. CO₂ no se presuriza y halogenados se presurizan en la carga</t>
  </si>
  <si>
    <t xml:space="preserve">CO₂ y halogenados que se abrieron; agua, AFFF y sales K siempre</t>
  </si>
  <si>
    <t xml:space="preserve">Carga y presurización de halogenado</t>
  </si>
  <si>
    <t xml:space="preserve">Unidad THB/BP + pinza</t>
  </si>
  <si>
    <t xml:space="preserve">Cargar 300 + presurizar 40 + agitar y repetir 60 + pesar y registrar 30</t>
  </si>
  <si>
    <t xml:space="preserve">Halogenado que se abrió o que llega usado</t>
  </si>
  <si>
    <t xml:space="preserve">Control de peso (CO₂ y halogenados sin recarga)</t>
  </si>
  <si>
    <t xml:space="preserve">Balanza</t>
  </si>
  <si>
    <t xml:space="preserve">Pesar y comparar 30 + registrar 10</t>
  </si>
  <si>
    <t xml:space="preserve">Anexo E: control anual de la masa</t>
  </si>
  <si>
    <t xml:space="preserve">CO₂ y halogenados que no se abren: control anual de la masa (Anexo E)</t>
  </si>
  <si>
    <t xml:space="preserve">Ensayo de pérdidas</t>
  </si>
  <si>
    <t xml:space="preserve">Tanque de inmersión inox (6 posiciones); spray en rodantes</t>
  </si>
  <si>
    <t xml:space="preserve">Preparar por turno 5 + bajar y observar en tandas de 6: 45 + sacar 10 + secar 10 + registrar 10</t>
  </si>
  <si>
    <t xml:space="preserve">Siempre (operación 12)</t>
  </si>
  <si>
    <t xml:space="preserve">Precinto, etiqueta y despacho</t>
  </si>
  <si>
    <t xml:space="preserve">Dispensador + impresora + jaulas</t>
  </si>
  <si>
    <t xml:space="preserve">Precinto 15 + etiqueta 25 + revisión final 15 + cerrar OT 10 + jaula 15 + remito 6</t>
  </si>
  <si>
    <t xml:space="preserve">Antes 80 s; los pasos suman 86 s</t>
  </si>
  <si>
    <t xml:space="preserve">Siempre (operación 13)</t>
  </si>
  <si>
    <t xml:space="preserve">Inutilización y disposición final</t>
  </si>
  <si>
    <t xml:space="preserve">Taladro de columna con prensa en V</t>
  </si>
  <si>
    <t xml:space="preserve">Confirmar 30 + perforar 120 + desarmar y cortar manguera 90 + residuos 60 + foto y acta 90</t>
  </si>
  <si>
    <t xml:space="preserve">9.12 y Anexo G: acta de inutilización</t>
  </si>
  <si>
    <t xml:space="preserve">Vida útil vencida, no pasa la PH o roto (operación 14; 9.12)</t>
  </si>
  <si>
    <t xml:space="preserve">PH de mangueras (CO₂ y rodantes)</t>
  </si>
  <si>
    <t xml:space="preserve">Máquina PH Yukon 300 kg/cm² (misma que la PH de recipientes)</t>
  </si>
  <si>
    <t xml:space="preserve">—</t>
  </si>
  <si>
    <t xml:space="preserve">Mismos pasos que la PH del recipiente: patrón 12 + escanear 20 + llenar y conectar 90 + ensayo 90 + vaciar y retirar 75 + registrar 15</t>
  </si>
  <si>
    <t xml:space="preserve">9.7.1.4: PH anual de mangueras de CO₂ y con cierre en el extremo (tabla 5). Demanda = fila Mangueras del Plan mensual. Criterio: tiempo igual al de la PH del recipiente; falta el rótulo plástico</t>
  </si>
  <si>
    <t xml:space="preserve">Mangueras de CO₂ y con cierre en el extremo, todos los años (9.7.1.4)</t>
  </si>
  <si>
    <t xml:space="preserve">PERFIL DE LLEGADA DE LOS SUSTITUTOS ABC NUEVOS (perfiles de producción del MRP)</t>
  </si>
  <si>
    <t xml:space="preserve">Solo pasan por la ruta del cilindro nuevo los que llegan como cilindro vacío (planta comercial). IMPORTRANGE de la hoja ESTACIONALIDAD del MRP (link en la hoja Links).</t>
  </si>
  <si>
    <t xml:space="preserve">Perfil del MRP</t>
  </si>
  <si>
    <t xml:space="preserve">Tipos ABC que lo siguen</t>
  </si>
  <si>
    <t xml:space="preserve">E01 automotor (1 kg)</t>
  </si>
  <si>
    <t xml:space="preserve">E02 manual comercial (2,5 a 10 kg)</t>
  </si>
  <si>
    <t xml:space="preserve">ABC 2,5 kg, ABC 5 kg, ABC 10 kg</t>
  </si>
  <si>
    <t xml:space="preserve">E03 rodantes (25 a 100 kg)</t>
  </si>
  <si>
    <t xml:space="preserve">ABC 25 kg s/ruedas, ABC 50 kg s/ruedas, ABC 70 kg s/ruedas, ABC 100 kg s/ruedas</t>
  </si>
  <si>
    <t xml:space="preserve">EQUIVALENCIA DE UN RODANTE (tiempos de fábrica de FLAMA: Manuales y Carros)</t>
  </si>
  <si>
    <t xml:space="preserve">Cuántos manuales equivale un carro en las operaciones que tienen la fábrica y la recarga: tiempo del carro (ponderado con el mix 2035) ÷ tiempo del manual. IMPORTRANGE: los links van en la hoja Links.</t>
  </si>
  <si>
    <t xml:space="preserve">Operación común</t>
  </si>
  <si>
    <t xml:space="preserve">Manual (s/u)</t>
  </si>
  <si>
    <t xml:space="preserve">Carro (min/u)</t>
  </si>
  <si>
    <t xml:space="preserve">Carro ÷ manual</t>
  </si>
  <si>
    <t xml:space="preserve">Origen</t>
  </si>
  <si>
    <t xml:space="preserve">Manuales, parametros_manuales K32 (tiempo tipo); Carros, parametros_carros I29 (tiempo ponderado)</t>
  </si>
  <si>
    <t xml:space="preserve">Manuales, parametros_manuales K33 (tiempo tipo); Carros, parametros_carros I30 (tiempo ponderado)</t>
  </si>
  <si>
    <t xml:space="preserve">Carga de polvo y presurización</t>
  </si>
  <si>
    <t xml:space="preserve">Manuales, parametros_manuales K38 + K40 (tiempo tipo); Carros, parametros_carros I33 (tiempo ponderado)</t>
  </si>
  <si>
    <t xml:space="preserve">Ensamblaje / montaje, precinto y etiquetado</t>
  </si>
  <si>
    <t xml:space="preserve">Manuales, parametros_manuales K39 + K42 (tiempo tipo); Carros, parametros_carros I34 (tiempo ponderado)</t>
  </si>
  <si>
    <t xml:space="preserve">Equivalencia de un rodante (promedio)</t>
  </si>
  <si>
    <t xml:space="preserve">Va a B9 y de ahí a la columna u. equivalentes de los rodantes (AFFF 50 l y ABC 25 a 100 kg). El Dimensionamiento Técnico V2 usaba 3 (supuesto)</t>
  </si>
  <si>
    <t xml:space="preserve">SUSTITUTOS (IRAM 3517-2:2020, 9.4.5)</t>
  </si>
  <si>
    <t xml:space="preserve">Mismo tipo que el equipo retirado. Sale con el camión que retira el lote y vuelve con el que devuelve los recargados: nunca se deja en otro cliente en ese viaje.</t>
  </si>
  <si>
    <t xml:space="preserve">Día de retiro</t>
  </si>
  <si>
    <t xml:space="preserve">El sustituto sale con el camión que retira el lote</t>
  </si>
  <si>
    <t xml:space="preserve">Día de devolución</t>
  </si>
  <si>
    <t xml:space="preserve">Vuelve con el camión que devuelve el lote recargado</t>
  </si>
  <si>
    <t xml:space="preserve">Minutos productivos por turno</t>
  </si>
  <si>
    <t xml:space="preserve">Comercial: los ABC llegan de la planta industrial como cilindro vacío y se cargan acá. Industrial: los ABC salen terminados de la línea. El resto se compra</t>
  </si>
  <si>
    <t xml:space="preserve">Turnos por día desde el año del 2° turno</t>
  </si>
  <si>
    <t xml:space="preserve">Antes de ese año la planta trabaja 1 turno</t>
  </si>
  <si>
    <t xml:space="preserve">Año del 2° turno</t>
  </si>
  <si>
    <t xml:space="preserve">El mismo del aprovechamiento</t>
  </si>
  <si>
    <t xml:space="preserve">Superficie por matafuego (m²)</t>
  </si>
  <si>
    <t xml:space="preserve">Dec. 351/79, art. 176: un matafuego cada 200 m² como mínimo (control de sentido del lote)</t>
  </si>
  <si>
    <t xml:space="preserve">PASO 1 — Lote, días en planta y ciclo por rubro</t>
  </si>
  <si>
    <t xml:space="preserve">El lote del cliente viaja junto en su jaula: días en planta = minutos del lote ÷ minutos de planta por día, redondeado hacia arriba (mínimo 1). Ciclo = retiro + días en planta + devolución.</t>
  </si>
  <si>
    <t xml:space="preserve">% de las recargas (mercado, zonas de la planta)</t>
  </si>
  <si>
    <t xml:space="preserve">Lote por cliente (equipos que se retiran juntos)</t>
  </si>
  <si>
    <t xml:space="preserve">Superficie mínima que protege el lote (m²)</t>
  </si>
  <si>
    <t xml:space="preserve">Minutos de operación por equipo (mix del rubro)</t>
  </si>
  <si>
    <t xml:space="preserve">Minutos del lote en planta</t>
  </si>
  <si>
    <t xml:space="preserve">Días en planta con 1 turno</t>
  </si>
  <si>
    <t xml:space="preserve">Días en planta con 2 turnos</t>
  </si>
  <si>
    <t xml:space="preserve">Ciclo del sustituto con 1 turno (días)</t>
  </si>
  <si>
    <t xml:space="preserve">Ciclo del sustituto con 2 turnos (días)</t>
  </si>
  <si>
    <t xml:space="preserve">Lote: u. por cliente de Recargas.xlsx (hoja Supuestos), dato del grupo. La superficie es un control de sentido con la dotación mínima del Dec. 351/79, art. 176.</t>
  </si>
  <si>
    <t xml:space="preserve">PASO 2 — Tipos (el ciclo de cada tipo pesa los rubros según sus recargas)</t>
  </si>
  <si>
    <t xml:space="preserve">Lleva sustituto (1 = sí)</t>
  </si>
  <si>
    <t xml:space="preserve">Minutos de operación por equipo</t>
  </si>
  <si>
    <t xml:space="preserve">Ciclo con 1 turno (días)</t>
  </si>
  <si>
    <t xml:space="preserve">Ciclo con 2 turnos (días)</t>
  </si>
  <si>
    <t xml:space="preserve">Origen del alta</t>
  </si>
  <si>
    <t xml:space="preserve">Automotor: sin canje</t>
  </si>
  <si>
    <t xml:space="preserve">PASO 3 — Stock (u.)</t>
  </si>
  <si>
    <t xml:space="preserve">Stock = recargas del año × % del mes pico del tipo ÷ días del mes × ciclo (con 2 turnos desde el año del 2° turno), redondeado hacia arriba. El stock del año anterior se mantiene en planta (9.4.5 y 9.2.1): entra al Plan mensual por la ruta de su tipo, 1/12 por mes</t>
  </si>
  <si>
    <t xml:space="preserve">PASO 4 — Alta anual (u.)</t>
  </si>
  <si>
    <t xml:space="preserve">Alta = lo que crece el stock + stock del año anterior × % que se inutiliza (parametros_recargas fila 21, columna de su agente). Cada alta lleva faja amarilla y tarjeta</t>
  </si>
  <si>
    <t xml:space="preserve">Fábrica: cilindro vacío (se carga en esta planta)</t>
  </si>
  <si>
    <t xml:space="preserve">Fábrica: terminado (sale de la línea)</t>
  </si>
  <si>
    <t xml:space="preserve">Compra</t>
  </si>
  <si>
    <t xml:space="preserve">Kits de sustituto</t>
  </si>
  <si>
    <t xml:space="preserve">Manuales importa B73:K76 (ABC 1 a 10 kg) y Carros B86:K89 (25 a 100 kg). Comercial: los recibe como cilindro vacío y los carga acá (ruta del cilindro nuevo); industrial: salen terminados de la línea (proceso completo).</t>
  </si>
  <si>
    <t xml:space="preserve">Agente</t>
  </si>
  <si>
    <t xml:space="preserve">u. equiv.</t>
  </si>
  <si>
    <t xml:space="preserve">Total recipientes (con mantenimiento de sustitutos)</t>
  </si>
  <si>
    <t xml:space="preserve">Por agente (u. equivalentes)</t>
  </si>
  <si>
    <t xml:space="preserve">Mangueras con PH anual (u.)</t>
  </si>
  <si>
    <t xml:space="preserve">Sustitutos ABC nuevos como cilindro vacío (u. equiv.)</t>
  </si>
  <si>
    <t xml:space="preserve">Año 2026</t>
  </si>
  <si>
    <t xml:space="preserve">Total anual</t>
  </si>
  <si>
    <t xml:space="preserve">Demanda mes pico (u/mes)</t>
  </si>
  <si>
    <t xml:space="preserve">Demanda (u/h, 1 turno)</t>
  </si>
  <si>
    <t xml:space="preserve">Año 2027</t>
  </si>
  <si>
    <t xml:space="preserve">Año 2028</t>
  </si>
  <si>
    <t xml:space="preserve">Año 2029</t>
  </si>
  <si>
    <t xml:space="preserve">Año 2030</t>
  </si>
  <si>
    <t xml:space="preserve">Año 2031</t>
  </si>
  <si>
    <t xml:space="preserve">Año 2032</t>
  </si>
  <si>
    <t xml:space="preserve">Año 2033</t>
  </si>
  <si>
    <t xml:space="preserve">Año 2034</t>
  </si>
  <si>
    <t xml:space="preserve">Año 2035</t>
  </si>
  <si>
    <t xml:space="preserve">Aprovechamiento consolidado (recargas + mantenimiento y alta de sustitutos)</t>
  </si>
  <si>
    <t xml:space="preserve">Color</t>
  </si>
  <si>
    <t xml:space="preserve">Cuándo</t>
  </si>
  <si>
    <t xml:space="preserve">OK</t>
  </si>
  <si>
    <t xml:space="preserve">Aprovechamiento dentro del umbral</t>
  </si>
  <si>
    <t xml:space="preserve">Agrega turno</t>
  </si>
  <si>
    <t xml:space="preserve">Solo en el año del 2° turno, a todos los puestos que lo necesitan hasta el final del horizonte</t>
  </si>
  <si>
    <t xml:space="preserve">Agrega máquina</t>
  </si>
  <si>
    <t xml:space="preserve">Antes del año del 2° turno, o en ese año si con 2 turnos no alcanza hasta el final; después, nunca</t>
  </si>
  <si>
    <t xml:space="preserve">Agrega operario (puesto manual)</t>
  </si>
  <si>
    <t xml:space="preserve">Lo mismo que máquina, en un puesto manual</t>
  </si>
  <si>
    <t xml:space="preserve">Tercerizado</t>
  </si>
  <si>
    <t xml:space="preserve">Recurso cargado como Tercerizado en parametros</t>
  </si>
  <si>
    <t xml:space="preserve">Revisar</t>
  </si>
  <si>
    <t xml:space="preserve">Se cargó a mano un plan que pasa el umbral</t>
  </si>
  <si>
    <t xml:space="preserve">Año de inicio del 2° turno</t>
  </si>
  <si>
    <t xml:space="preserve">Antes del año del 2° turno se agrega máquina u operario; en ese año entran todos los turnos y las máquinas que hagan falta hasta 2035; después no se agrega nada. Ningún puesto pasa el umbral. Se pueden cambiar a mano; los colores se recalculan solos.</t>
  </si>
  <si>
    <t xml:space="preserve">Aprovechamiento máximo</t>
  </si>
  <si>
    <t xml:space="preserve">Máquinas en el puesto</t>
  </si>
  <si>
    <t xml:space="preserve">TOTAL máquinas / puestos</t>
  </si>
  <si>
    <t xml:space="preserve">Turnos del puesto</t>
  </si>
  <si>
    <t xml:space="preserve">Turnos de la planta (máximo)</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</si>
</sst>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0.00"/>
    <numFmt numFmtId="169" formatCode="0%"/>
    <numFmt numFmtId="170" formatCode="0.0"/>
    <numFmt numFmtId="171" formatCode="0.0000"/>
    <numFmt numFmtId="172" formatCode="#,##0.0"/>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name val="Arial"/>
      <family val="0"/>
      <charset val="1"/>
    </font>
    <font>
      <b val="true"/>
      <sz val="10"/>
      <name val="Arial"/>
      <family val="0"/>
      <charset val="1"/>
    </font>
    <font>
      <sz val="10"/>
      <name val="Arial"/>
      <family val="0"/>
      <charset val="1"/>
    </font>
    <font>
      <b val="true"/>
      <sz val="10"/>
      <color rgb="FFFFFFFF"/>
      <name val="Arial"/>
      <family val="0"/>
      <charset val="1"/>
    </font>
  </fonts>
  <fills count="9">
    <fill>
      <patternFill patternType="none"/>
    </fill>
    <fill>
      <patternFill patternType="gray125"/>
    </fill>
    <fill>
      <patternFill patternType="solid">
        <fgColor rgb="FFF2F2F2"/>
        <bgColor rgb="FFFFFFFF"/>
      </patternFill>
    </fill>
    <fill>
      <patternFill patternType="solid">
        <fgColor rgb="FF000000"/>
        <bgColor rgb="FF003300"/>
      </patternFill>
    </fill>
    <fill>
      <patternFill patternType="solid">
        <fgColor rgb="FF4A86E8"/>
        <bgColor rgb="FF666699"/>
      </patternFill>
    </fill>
    <fill>
      <patternFill patternType="solid">
        <fgColor rgb="FFFF00FF"/>
        <bgColor rgb="FFFF00FF"/>
      </patternFill>
    </fill>
    <fill>
      <patternFill patternType="solid">
        <fgColor rgb="FFE06666"/>
        <bgColor rgb="FFFF6600"/>
      </patternFill>
    </fill>
    <fill>
      <patternFill patternType="solid">
        <fgColor rgb="FFFF9900"/>
        <bgColor rgb="FFFFCC00"/>
      </patternFill>
    </fill>
    <fill>
      <patternFill patternType="solid">
        <fgColor rgb="FFFFFF00"/>
        <bgColor rgb="FFFFFF00"/>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true" applyProtection="false">
      <alignment horizontal="right" vertical="center" textRotation="0" wrapText="fals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8" fontId="6"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right" vertical="center" textRotation="0" wrapText="fals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xf numFmtId="170" fontId="6" fillId="0" borderId="1" xfId="0" applyFont="true" applyBorder="true" applyAlignment="true" applyProtection="false">
      <alignment horizontal="right" vertical="center" textRotation="0" wrapText="false" indent="0" shrinkToFit="false"/>
      <protection locked="true" hidden="false"/>
    </xf>
    <xf numFmtId="166" fontId="7" fillId="2" borderId="1" xfId="0" applyFont="true" applyBorder="true" applyAlignment="true" applyProtection="false">
      <alignment horizontal="right" vertical="center" textRotation="0" wrapText="false" indent="0" shrinkToFit="false"/>
      <protection locked="true" hidden="false"/>
    </xf>
    <xf numFmtId="167" fontId="7" fillId="2" borderId="1" xfId="0" applyFont="true" applyBorder="true" applyAlignment="true" applyProtection="false">
      <alignment horizontal="right" vertical="center" textRotation="0" wrapText="false" indent="0" shrinkToFit="false"/>
      <protection locked="true" hidden="false"/>
    </xf>
    <xf numFmtId="171" fontId="6" fillId="0" borderId="1" xfId="0" applyFont="true" applyBorder="true" applyAlignment="true" applyProtection="false">
      <alignment horizontal="right" vertical="center" textRotation="0" wrapText="false" indent="0" shrinkToFit="false"/>
      <protection locked="true" hidden="false"/>
    </xf>
    <xf numFmtId="169"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right" vertical="center" textRotation="0" wrapText="false" indent="0" shrinkToFit="false"/>
      <protection locked="true" hidden="false"/>
    </xf>
    <xf numFmtId="172" fontId="7" fillId="0" borderId="1" xfId="0" applyFont="true" applyBorder="true" applyAlignment="true" applyProtection="false">
      <alignment horizontal="right" vertical="center" textRotation="0" wrapText="false" indent="0" shrinkToFit="false"/>
      <protection locked="true" hidden="false"/>
    </xf>
    <xf numFmtId="172" fontId="6" fillId="0" borderId="1" xfId="0" applyFont="true" applyBorder="true" applyAlignment="true" applyProtection="false">
      <alignment horizontal="right"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7" fillId="6" borderId="1" xfId="0" applyFont="true" applyBorder="true" applyAlignment="true" applyProtection="false">
      <alignment horizontal="left"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4" fontId="7" fillId="8"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FFF00"/>
        </patternFill>
      </fill>
    </dxf>
    <dxf>
      <fill>
        <patternFill>
          <bgColor rgb="FFFF9900"/>
        </patternFill>
      </fill>
    </dxf>
    <dxf>
      <fill>
        <patternFill>
          <bgColor rgb="FF4A86E8"/>
        </patternFill>
      </fill>
    </dxf>
    <dxf>
      <fill>
        <patternFill>
          <bgColor rgb="FFFF00FF"/>
        </patternFill>
      </fill>
    </dxf>
    <dxf>
      <fill>
        <patternFill>
          <bgColor rgb="FFE066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96"/>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3" t="s">
        <v>3</v>
      </c>
      <c r="C3" s="3" t="s">
        <v>4</v>
      </c>
    </row>
    <row r="4" customFormat="false" ht="23.85" hidden="false" customHeight="false" outlineLevel="0" collapsed="false">
      <c r="A4" s="4" t="s">
        <v>5</v>
      </c>
      <c r="B4" s="5" t="s">
        <v>6</v>
      </c>
      <c r="C4" s="5" t="s">
        <v>7</v>
      </c>
    </row>
    <row r="5" customFormat="false" ht="23.85" hidden="false" customHeight="false" outlineLevel="0" collapsed="false">
      <c r="A5" s="4" t="s">
        <v>8</v>
      </c>
      <c r="B5" s="5" t="s">
        <v>9</v>
      </c>
      <c r="C5" s="5" t="s">
        <v>10</v>
      </c>
    </row>
    <row r="6" customFormat="false" ht="15" hidden="false" customHeight="false" outlineLevel="0" collapsed="false">
      <c r="A6" s="4" t="s">
        <v>11</v>
      </c>
      <c r="B6" s="5" t="s">
        <v>9</v>
      </c>
      <c r="C6" s="5" t="s">
        <v>12</v>
      </c>
    </row>
    <row r="7" customFormat="false" ht="23.85" hidden="false" customHeight="false" outlineLevel="0" collapsed="false">
      <c r="A7" s="4" t="s">
        <v>13</v>
      </c>
      <c r="B7" s="5" t="s">
        <v>9</v>
      </c>
      <c r="C7" s="5"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1" min="2" style="0" width="13"/>
    <col collapsed="false" customWidth="true" hidden="false" outlineLevel="0" max="12" min="12" style="0" width="50"/>
  </cols>
  <sheetData>
    <row r="1" customFormat="false" ht="15" hidden="false" customHeight="false" outlineLevel="0" collapsed="false">
      <c r="A1" s="1" t="s">
        <v>15</v>
      </c>
    </row>
    <row r="3" customFormat="false" ht="15" hidden="false" customHeight="false" outlineLevel="0" collapsed="false">
      <c r="A3" s="6" t="s">
        <v>16</v>
      </c>
      <c r="B3" s="6" t="n">
        <v>2026</v>
      </c>
      <c r="C3" s="6" t="n">
        <v>2027</v>
      </c>
      <c r="D3" s="6" t="n">
        <v>2028</v>
      </c>
      <c r="E3" s="6" t="n">
        <v>2029</v>
      </c>
      <c r="F3" s="6" t="n">
        <v>2030</v>
      </c>
      <c r="G3" s="6" t="n">
        <v>2031</v>
      </c>
      <c r="H3" s="6" t="n">
        <v>2032</v>
      </c>
      <c r="I3" s="6" t="n">
        <v>2033</v>
      </c>
      <c r="J3" s="6" t="n">
        <v>2034</v>
      </c>
      <c r="K3" s="6" t="n">
        <v>2035</v>
      </c>
    </row>
    <row r="4" customFormat="false" ht="15" hidden="false" customHeight="false" outlineLevel="0" collapsed="false">
      <c r="A4" s="5" t="s">
        <v>17</v>
      </c>
      <c r="B4" s="7" t="n">
        <f aca="false">IFERROR(__xludf.DUMMYFUNCTION("IMPORTRANGE(Links!$B$4,""Indexado Dim Técnico!B27:K43"")"),3477.482124)</f>
        <v>3477.482124</v>
      </c>
      <c r="C4" s="7" t="n">
        <f aca="false">IFERROR(__xludf.DUMMYFUNCTION("""COMPUTED_VALUE"""),16970.58564)</f>
        <v>16970.58564</v>
      </c>
      <c r="D4" s="7" t="n">
        <f aca="false">IFERROR(__xludf.DUMMYFUNCTION("""COMPUTED_VALUE"""),30546.08951)</f>
        <v>30546.08951</v>
      </c>
      <c r="E4" s="7" t="n">
        <f aca="false">IFERROR(__xludf.DUMMYFUNCTION("""COMPUTED_VALUE"""),56048.31106)</f>
        <v>56048.31106</v>
      </c>
      <c r="F4" s="7" t="n">
        <f aca="false">IFERROR(__xludf.DUMMYFUNCTION("""COMPUTED_VALUE"""),84270.22613)</f>
        <v>84270.22613</v>
      </c>
      <c r="G4" s="7" t="n">
        <f aca="false">IFERROR(__xludf.DUMMYFUNCTION("""COMPUTED_VALUE"""),117407.8231)</f>
        <v>117407.8231</v>
      </c>
      <c r="H4" s="7" t="n">
        <f aca="false">IFERROR(__xludf.DUMMYFUNCTION("""COMPUTED_VALUE"""),147610.6356)</f>
        <v>147610.6356</v>
      </c>
      <c r="I4" s="7" t="n">
        <f aca="false">IFERROR(__xludf.DUMMYFUNCTION("""COMPUTED_VALUE"""),171404.3607)</f>
        <v>171404.3607</v>
      </c>
      <c r="J4" s="7" t="n">
        <f aca="false">IFERROR(__xludf.DUMMYFUNCTION("""COMPUTED_VALUE"""),183690.566)</f>
        <v>183690.566</v>
      </c>
      <c r="K4" s="7" t="n">
        <f aca="false">IFERROR(__xludf.DUMMYFUNCTION("""COMPUTED_VALUE"""),196282.6907)</f>
        <v>196282.6907</v>
      </c>
    </row>
    <row r="5" customFormat="false" ht="15" hidden="false" customHeight="false" outlineLevel="0" collapsed="false">
      <c r="A5" s="5" t="s">
        <v>18</v>
      </c>
      <c r="B5" s="7" t="n">
        <f aca="false">IFERROR(__xludf.DUMMYFUNCTION("""COMPUTED_VALUE"""),329.996668)</f>
        <v>329.996668</v>
      </c>
      <c r="C5" s="7" t="n">
        <f aca="false">IFERROR(__xludf.DUMMYFUNCTION("""COMPUTED_VALUE"""),1287.414024)</f>
        <v>1287.414024</v>
      </c>
      <c r="D5" s="7" t="n">
        <f aca="false">IFERROR(__xludf.DUMMYFUNCTION("""COMPUTED_VALUE"""),2947.169216)</f>
        <v>2947.169216</v>
      </c>
      <c r="E5" s="7" t="n">
        <f aca="false">IFERROR(__xludf.DUMMYFUNCTION("""COMPUTED_VALUE"""),5426.043269)</f>
        <v>5426.043269</v>
      </c>
      <c r="F5" s="7" t="n">
        <f aca="false">IFERROR(__xludf.DUMMYFUNCTION("""COMPUTED_VALUE"""),7850.875806)</f>
        <v>7850.875806</v>
      </c>
      <c r="G5" s="7" t="n">
        <f aca="false">IFERROR(__xludf.DUMMYFUNCTION("""COMPUTED_VALUE"""),10423.94365)</f>
        <v>10423.94365</v>
      </c>
      <c r="H5" s="7" t="n">
        <f aca="false">IFERROR(__xludf.DUMMYFUNCTION("""COMPUTED_VALUE"""),12809.89571)</f>
        <v>12809.89571</v>
      </c>
      <c r="I5" s="7" t="n">
        <f aca="false">IFERROR(__xludf.DUMMYFUNCTION("""COMPUTED_VALUE"""),14263.06831)</f>
        <v>14263.06831</v>
      </c>
      <c r="J5" s="7" t="n">
        <f aca="false">IFERROR(__xludf.DUMMYFUNCTION("""COMPUTED_VALUE"""),15432.86983)</f>
        <v>15432.86983</v>
      </c>
      <c r="K5" s="7" t="n">
        <f aca="false">IFERROR(__xludf.DUMMYFUNCTION("""COMPUTED_VALUE"""),16620.76117)</f>
        <v>16620.76117</v>
      </c>
    </row>
    <row r="6" customFormat="false" ht="15" hidden="false" customHeight="false" outlineLevel="0" collapsed="false">
      <c r="A6" s="5" t="s">
        <v>19</v>
      </c>
      <c r="B6" s="7" t="n">
        <f aca="false">IFERROR(__xludf.DUMMYFUNCTION("""COMPUTED_VALUE"""),1950.394097)</f>
        <v>1950.394097</v>
      </c>
      <c r="C6" s="7" t="n">
        <f aca="false">IFERROR(__xludf.DUMMYFUNCTION("""COMPUTED_VALUE"""),7852.61852)</f>
        <v>7852.61852</v>
      </c>
      <c r="D6" s="7" t="n">
        <f aca="false">IFERROR(__xludf.DUMMYFUNCTION("""COMPUTED_VALUE"""),17775.85701)</f>
        <v>17775.85701</v>
      </c>
      <c r="E6" s="7" t="n">
        <f aca="false">IFERROR(__xludf.DUMMYFUNCTION("""COMPUTED_VALUE"""),33605.56835)</f>
        <v>33605.56835</v>
      </c>
      <c r="F6" s="7" t="n">
        <f aca="false">IFERROR(__xludf.DUMMYFUNCTION("""COMPUTED_VALUE"""),48407.57189)</f>
        <v>48407.57189</v>
      </c>
      <c r="G6" s="7" t="n">
        <f aca="false">IFERROR(__xludf.DUMMYFUNCTION("""COMPUTED_VALUE"""),64323.04276)</f>
        <v>64323.04276</v>
      </c>
      <c r="H6" s="7" t="n">
        <f aca="false">IFERROR(__xludf.DUMMYFUNCTION("""COMPUTED_VALUE"""),78721.10039)</f>
        <v>78721.10039</v>
      </c>
      <c r="I6" s="7" t="n">
        <f aca="false">IFERROR(__xludf.DUMMYFUNCTION("""COMPUTED_VALUE"""),87237.2124)</f>
        <v>87237.2124</v>
      </c>
      <c r="J6" s="7" t="n">
        <f aca="false">IFERROR(__xludf.DUMMYFUNCTION("""COMPUTED_VALUE"""),94103.66761)</f>
        <v>94103.66761</v>
      </c>
      <c r="K6" s="7" t="n">
        <f aca="false">IFERROR(__xludf.DUMMYFUNCTION("""COMPUTED_VALUE"""),101095.1762)</f>
        <v>101095.1762</v>
      </c>
    </row>
    <row r="7" customFormat="false" ht="15" hidden="false" customHeight="false" outlineLevel="0" collapsed="false">
      <c r="A7" s="5" t="s">
        <v>20</v>
      </c>
      <c r="B7" s="7" t="n">
        <f aca="false">IFERROR(__xludf.DUMMYFUNCTION("""COMPUTED_VALUE"""),118.343632)</f>
        <v>118.343632</v>
      </c>
      <c r="C7" s="7" t="n">
        <f aca="false">IFERROR(__xludf.DUMMYFUNCTION("""COMPUTED_VALUE"""),437.716578)</f>
        <v>437.716578</v>
      </c>
      <c r="D7" s="7" t="n">
        <f aca="false">IFERROR(__xludf.DUMMYFUNCTION("""COMPUTED_VALUE"""),1024.974821)</f>
        <v>1024.974821</v>
      </c>
      <c r="E7" s="7" t="n">
        <f aca="false">IFERROR(__xludf.DUMMYFUNCTION("""COMPUTED_VALUE"""),1960.409862)</f>
        <v>1960.409862</v>
      </c>
      <c r="F7" s="7" t="n">
        <f aca="false">IFERROR(__xludf.DUMMYFUNCTION("""COMPUTED_VALUE"""),2844.976846)</f>
        <v>2844.976846</v>
      </c>
      <c r="G7" s="7" t="n">
        <f aca="false">IFERROR(__xludf.DUMMYFUNCTION("""COMPUTED_VALUE"""),3810.390622)</f>
        <v>3810.390622</v>
      </c>
      <c r="H7" s="7" t="n">
        <f aca="false">IFERROR(__xludf.DUMMYFUNCTION("""COMPUTED_VALUE"""),4663.67807)</f>
        <v>4663.67807</v>
      </c>
      <c r="I7" s="7" t="n">
        <f aca="false">IFERROR(__xludf.DUMMYFUNCTION("""COMPUTED_VALUE"""),5164.514584)</f>
        <v>5164.514584</v>
      </c>
      <c r="J7" s="7" t="n">
        <f aca="false">IFERROR(__xludf.DUMMYFUNCTION("""COMPUTED_VALUE"""),5571.544328)</f>
        <v>5571.544328</v>
      </c>
      <c r="K7" s="7" t="n">
        <f aca="false">IFERROR(__xludf.DUMMYFUNCTION("""COMPUTED_VALUE"""),5985.950855)</f>
        <v>5985.950855</v>
      </c>
    </row>
    <row r="8" customFormat="false" ht="15" hidden="false" customHeight="false" outlineLevel="0" collapsed="false">
      <c r="A8" s="5" t="s">
        <v>21</v>
      </c>
      <c r="B8" s="7" t="n">
        <f aca="false">IFERROR(__xludf.DUMMYFUNCTION("""COMPUTED_VALUE"""),159.308736)</f>
        <v>159.308736</v>
      </c>
      <c r="C8" s="7" t="n">
        <f aca="false">IFERROR(__xludf.DUMMYFUNCTION("""COMPUTED_VALUE"""),643.423542)</f>
        <v>643.423542</v>
      </c>
      <c r="D8" s="7" t="n">
        <f aca="false">IFERROR(__xludf.DUMMYFUNCTION("""COMPUTED_VALUE"""),1474.362741)</f>
        <v>1474.362741</v>
      </c>
      <c r="E8" s="7" t="n">
        <f aca="false">IFERROR(__xludf.DUMMYFUNCTION("""COMPUTED_VALUE"""),2766.451205)</f>
        <v>2766.451205</v>
      </c>
      <c r="F8" s="7" t="n">
        <f aca="false">IFERROR(__xludf.DUMMYFUNCTION("""COMPUTED_VALUE"""),3991.465221)</f>
        <v>3991.465221</v>
      </c>
      <c r="G8" s="7" t="n">
        <f aca="false">IFERROR(__xludf.DUMMYFUNCTION("""COMPUTED_VALUE"""),5335.75578)</f>
        <v>5335.75578</v>
      </c>
      <c r="H8" s="7" t="n">
        <f aca="false">IFERROR(__xludf.DUMMYFUNCTION("""COMPUTED_VALUE"""),6538.958887)</f>
        <v>6538.958887</v>
      </c>
      <c r="I8" s="7" t="n">
        <f aca="false">IFERROR(__xludf.DUMMYFUNCTION("""COMPUTED_VALUE"""),7269.819681)</f>
        <v>7269.819681</v>
      </c>
      <c r="J8" s="7" t="n">
        <f aca="false">IFERROR(__xludf.DUMMYFUNCTION("""COMPUTED_VALUE"""),7855.44139)</f>
        <v>7855.44139</v>
      </c>
      <c r="K8" s="7" t="n">
        <f aca="false">IFERROR(__xludf.DUMMYFUNCTION("""COMPUTED_VALUE"""),8450.814081)</f>
        <v>8450.814081</v>
      </c>
    </row>
    <row r="9" customFormat="false" ht="15" hidden="false" customHeight="false" outlineLevel="0" collapsed="false">
      <c r="A9" s="5" t="s">
        <v>22</v>
      </c>
      <c r="B9" s="7" t="n">
        <f aca="false">IFERROR(__xludf.DUMMYFUNCTION("""COMPUTED_VALUE"""),22.758391)</f>
        <v>22.758391</v>
      </c>
      <c r="C9" s="7" t="n">
        <f aca="false">IFERROR(__xludf.DUMMYFUNCTION("""COMPUTED_VALUE"""),161.315751)</f>
        <v>161.315751</v>
      </c>
      <c r="D9" s="7" t="n">
        <f aca="false">IFERROR(__xludf.DUMMYFUNCTION("""COMPUTED_VALUE"""),316.607276)</f>
        <v>316.607276</v>
      </c>
      <c r="E9" s="7" t="n">
        <f aca="false">IFERROR(__xludf.DUMMYFUNCTION("""COMPUTED_VALUE"""),527.39462)</f>
        <v>527.39462</v>
      </c>
      <c r="F9" s="7" t="n">
        <f aca="false">IFERROR(__xludf.DUMMYFUNCTION("""COMPUTED_VALUE"""),743.788946)</f>
        <v>743.788946</v>
      </c>
      <c r="G9" s="7" t="n">
        <f aca="false">IFERROR(__xludf.DUMMYFUNCTION("""COMPUTED_VALUE"""),962.874335)</f>
        <v>962.874335</v>
      </c>
      <c r="H9" s="7" t="n">
        <f aca="false">IFERROR(__xludf.DUMMYFUNCTION("""COMPUTED_VALUE"""),1194.942207)</f>
        <v>1194.942207</v>
      </c>
      <c r="I9" s="7" t="n">
        <f aca="false">IFERROR(__xludf.DUMMYFUNCTION("""COMPUTED_VALUE"""),1351.617183)</f>
        <v>1351.617183</v>
      </c>
      <c r="J9" s="7" t="n">
        <f aca="false">IFERROR(__xludf.DUMMYFUNCTION("""COMPUTED_VALUE"""),1477.54886)</f>
        <v>1477.54886</v>
      </c>
      <c r="K9" s="7" t="n">
        <f aca="false">IFERROR(__xludf.DUMMYFUNCTION("""COMPUTED_VALUE"""),1604.441422)</f>
        <v>1604.441422</v>
      </c>
    </row>
    <row r="10" customFormat="false" ht="15" hidden="false" customHeight="false" outlineLevel="0" collapsed="false">
      <c r="A10" s="5" t="s">
        <v>23</v>
      </c>
      <c r="B10" s="7" t="n">
        <f aca="false">IFERROR(__xludf.DUMMYFUNCTION("""COMPUTED_VALUE"""),11.379195)</f>
        <v>11.379195</v>
      </c>
      <c r="C10" s="7" t="n">
        <f aca="false">IFERROR(__xludf.DUMMYFUNCTION("""COMPUTED_VALUE"""),83.22352)</f>
        <v>83.22352</v>
      </c>
      <c r="D10" s="7" t="n">
        <f aca="false">IFERROR(__xludf.DUMMYFUNCTION("""COMPUTED_VALUE"""),164.463834)</f>
        <v>164.463834</v>
      </c>
      <c r="E10" s="7" t="n">
        <f aca="false">IFERROR(__xludf.DUMMYFUNCTION("""COMPUTED_VALUE"""),281.341145)</f>
        <v>281.341145</v>
      </c>
      <c r="F10" s="7" t="n">
        <f aca="false">IFERROR(__xludf.DUMMYFUNCTION("""COMPUTED_VALUE"""),398.902509)</f>
        <v>398.902509</v>
      </c>
      <c r="G10" s="7" t="n">
        <f aca="false">IFERROR(__xludf.DUMMYFUNCTION("""COMPUTED_VALUE"""),514.527284)</f>
        <v>514.527284</v>
      </c>
      <c r="H10" s="7" t="n">
        <f aca="false">IFERROR(__xludf.DUMMYFUNCTION("""COMPUTED_VALUE"""),629.065505)</f>
        <v>629.065505</v>
      </c>
      <c r="I10" s="7" t="n">
        <f aca="false">IFERROR(__xludf.DUMMYFUNCTION("""COMPUTED_VALUE"""),711.178024)</f>
        <v>711.178024</v>
      </c>
      <c r="J10" s="7" t="n">
        <f aca="false">IFERROR(__xludf.DUMMYFUNCTION("""COMPUTED_VALUE"""),773.41098)</f>
        <v>773.41098</v>
      </c>
      <c r="K10" s="7" t="n">
        <f aca="false">IFERROR(__xludf.DUMMYFUNCTION("""COMPUTED_VALUE"""),836.350805)</f>
        <v>836.350805</v>
      </c>
    </row>
    <row r="11" customFormat="false" ht="15" hidden="false" customHeight="false" outlineLevel="0" collapsed="false">
      <c r="A11" s="5" t="s">
        <v>24</v>
      </c>
      <c r="B11" s="7" t="n">
        <f aca="false">IFERROR(__xludf.DUMMYFUNCTION("""COMPUTED_VALUE"""),6.827517)</f>
        <v>6.827517</v>
      </c>
      <c r="C11" s="7" t="n">
        <f aca="false">IFERROR(__xludf.DUMMYFUNCTION("""COMPUTED_VALUE"""),47.073112)</f>
        <v>47.073112</v>
      </c>
      <c r="D11" s="7" t="n">
        <f aca="false">IFERROR(__xludf.DUMMYFUNCTION("""COMPUTED_VALUE"""),88.889676)</f>
        <v>88.889676</v>
      </c>
      <c r="E11" s="7" t="n">
        <f aca="false">IFERROR(__xludf.DUMMYFUNCTION("""COMPUTED_VALUE"""),159.502491)</f>
        <v>159.502491</v>
      </c>
      <c r="F11" s="7" t="n">
        <f aca="false">IFERROR(__xludf.DUMMYFUNCTION("""COMPUTED_VALUE"""),219.796202)</f>
        <v>219.796202</v>
      </c>
      <c r="G11" s="7" t="n">
        <f aca="false">IFERROR(__xludf.DUMMYFUNCTION("""COMPUTED_VALUE"""),291.869853)</f>
        <v>291.869853</v>
      </c>
      <c r="H11" s="7" t="n">
        <f aca="false">IFERROR(__xludf.DUMMYFUNCTION("""COMPUTED_VALUE"""),368.844169)</f>
        <v>368.844169</v>
      </c>
      <c r="I11" s="7" t="n">
        <f aca="false">IFERROR(__xludf.DUMMYFUNCTION("""COMPUTED_VALUE"""),408.408953)</f>
        <v>408.408953</v>
      </c>
      <c r="J11" s="7" t="n">
        <f aca="false">IFERROR(__xludf.DUMMYFUNCTION("""COMPUTED_VALUE"""),445.781944)</f>
        <v>445.781944</v>
      </c>
      <c r="K11" s="7" t="n">
        <f aca="false">IFERROR(__xludf.DUMMYFUNCTION("""COMPUTED_VALUE"""),483.479203)</f>
        <v>483.479203</v>
      </c>
    </row>
    <row r="12" customFormat="false" ht="15" hidden="false" customHeight="false" outlineLevel="0" collapsed="false">
      <c r="A12" s="5" t="s">
        <v>25</v>
      </c>
      <c r="B12" s="7" t="n">
        <f aca="false">IFERROR(__xludf.DUMMYFUNCTION("""COMPUTED_VALUE"""),81.930207)</f>
        <v>81.930207</v>
      </c>
      <c r="C12" s="7" t="n">
        <f aca="false">IFERROR(__xludf.DUMMYFUNCTION("""COMPUTED_VALUE"""),335.398855)</f>
        <v>335.398855</v>
      </c>
      <c r="D12" s="7" t="n">
        <f aca="false">IFERROR(__xludf.DUMMYFUNCTION("""COMPUTED_VALUE"""),746.598352)</f>
        <v>746.598352</v>
      </c>
      <c r="E12" s="7" t="n">
        <f aca="false">IFERROR(__xludf.DUMMYFUNCTION("""COMPUTED_VALUE"""),1358.899837)</f>
        <v>1358.899837</v>
      </c>
      <c r="F12" s="7" t="n">
        <f aca="false">IFERROR(__xludf.DUMMYFUNCTION("""COMPUTED_VALUE"""),1961.125522)</f>
        <v>1961.125522</v>
      </c>
      <c r="G12" s="7" t="n">
        <f aca="false">IFERROR(__xludf.DUMMYFUNCTION("""COMPUTED_VALUE"""),2598.541412)</f>
        <v>2598.541412</v>
      </c>
      <c r="H12" s="7" t="n">
        <f aca="false">IFERROR(__xludf.DUMMYFUNCTION("""COMPUTED_VALUE"""),3197.263477)</f>
        <v>3197.263477</v>
      </c>
      <c r="I12" s="7" t="n">
        <f aca="false">IFERROR(__xludf.DUMMYFUNCTION("""COMPUTED_VALUE"""),3578.539452)</f>
        <v>3578.539452</v>
      </c>
      <c r="J12" s="7" t="n">
        <f aca="false">IFERROR(__xludf.DUMMYFUNCTION("""COMPUTED_VALUE"""),3870.747997)</f>
        <v>3870.747997</v>
      </c>
      <c r="K12" s="7" t="n">
        <f aca="false">IFERROR(__xludf.DUMMYFUNCTION("""COMPUTED_VALUE"""),4167.559622)</f>
        <v>4167.559622</v>
      </c>
    </row>
    <row r="13" customFormat="false" ht="15" hidden="false" customHeight="false" outlineLevel="0" collapsed="false">
      <c r="A13" s="5" t="s">
        <v>26</v>
      </c>
      <c r="B13" s="7" t="n">
        <f aca="false">IFERROR(__xludf.DUMMYFUNCTION("""COMPUTED_VALUE"""),450.616139)</f>
        <v>450.616139</v>
      </c>
      <c r="C13" s="7" t="n">
        <f aca="false">IFERROR(__xludf.DUMMYFUNCTION("""COMPUTED_VALUE"""),1697.18149)</f>
        <v>1697.18149</v>
      </c>
      <c r="D13" s="7" t="n">
        <f aca="false">IFERROR(__xludf.DUMMYFUNCTION("""COMPUTED_VALUE"""),3955.196858)</f>
        <v>3955.196858</v>
      </c>
      <c r="E13" s="7" t="n">
        <f aca="false">IFERROR(__xludf.DUMMYFUNCTION("""COMPUTED_VALUE"""),7561.26033)</f>
        <v>7561.26033</v>
      </c>
      <c r="F13" s="7" t="n">
        <f aca="false">IFERROR(__xludf.DUMMYFUNCTION("""COMPUTED_VALUE"""),10920.14481)</f>
        <v>10920.14481</v>
      </c>
      <c r="G13" s="7" t="n">
        <f aca="false">IFERROR(__xludf.DUMMYFUNCTION("""COMPUTED_VALUE"""),14514.88522)</f>
        <v>14514.88522</v>
      </c>
      <c r="H13" s="7" t="n">
        <f aca="false">IFERROR(__xludf.DUMMYFUNCTION("""COMPUTED_VALUE"""),17746.49927)</f>
        <v>17746.49927</v>
      </c>
      <c r="I13" s="7" t="n">
        <f aca="false">IFERROR(__xludf.DUMMYFUNCTION("""COMPUTED_VALUE"""),19617.20546)</f>
        <v>19617.20546</v>
      </c>
      <c r="J13" s="7" t="n">
        <f aca="false">IFERROR(__xludf.DUMMYFUNCTION("""COMPUTED_VALUE"""),21161.80625)</f>
        <v>21161.80625</v>
      </c>
      <c r="K13" s="7" t="n">
        <f aca="false">IFERROR(__xludf.DUMMYFUNCTION("""COMPUTED_VALUE"""),22734.50171)</f>
        <v>22734.50171</v>
      </c>
    </row>
    <row r="14" customFormat="false" ht="15" hidden="false" customHeight="false" outlineLevel="0" collapsed="false">
      <c r="A14" s="5" t="s">
        <v>27</v>
      </c>
      <c r="B14" s="7" t="n">
        <f aca="false">IFERROR(__xludf.DUMMYFUNCTION("""COMPUTED_VALUE"""),125.17115)</f>
        <v>125.17115</v>
      </c>
      <c r="C14" s="7" t="n">
        <f aca="false">IFERROR(__xludf.DUMMYFUNCTION("""COMPUTED_VALUE"""),643.630371)</f>
        <v>643.630371</v>
      </c>
      <c r="D14" s="7" t="n">
        <f aca="false">IFERROR(__xludf.DUMMYFUNCTION("""COMPUTED_VALUE"""),1375.626719)</f>
        <v>1375.626719</v>
      </c>
      <c r="E14" s="7" t="n">
        <f aca="false">IFERROR(__xludf.DUMMYFUNCTION("""COMPUTED_VALUE"""),2460.284265)</f>
        <v>2460.284265</v>
      </c>
      <c r="F14" s="7" t="n">
        <f aca="false">IFERROR(__xludf.DUMMYFUNCTION("""COMPUTED_VALUE"""),3545.257683)</f>
        <v>3545.257683</v>
      </c>
      <c r="G14" s="7" t="n">
        <f aca="false">IFERROR(__xludf.DUMMYFUNCTION("""COMPUTED_VALUE"""),4723.461784)</f>
        <v>4723.461784</v>
      </c>
      <c r="H14" s="7" t="n">
        <f aca="false">IFERROR(__xludf.DUMMYFUNCTION("""COMPUTED_VALUE"""),5853.905178)</f>
        <v>5853.905178</v>
      </c>
      <c r="I14" s="7" t="n">
        <f aca="false">IFERROR(__xludf.DUMMYFUNCTION("""COMPUTED_VALUE"""),6608.459909)</f>
        <v>6608.459909</v>
      </c>
      <c r="J14" s="7" t="n">
        <f aca="false">IFERROR(__xludf.DUMMYFUNCTION("""COMPUTED_VALUE"""),7185.708397)</f>
        <v>7185.708397</v>
      </c>
      <c r="K14" s="7" t="n">
        <f aca="false">IFERROR(__xludf.DUMMYFUNCTION("""COMPUTED_VALUE"""),7769.577127)</f>
        <v>7769.577127</v>
      </c>
    </row>
    <row r="15" customFormat="false" ht="15" hidden="false" customHeight="false" outlineLevel="0" collapsed="false">
      <c r="A15" s="5" t="s">
        <v>28</v>
      </c>
      <c r="B15" s="7" t="n">
        <f aca="false">IFERROR(__xludf.DUMMYFUNCTION("""COMPUTED_VALUE"""),18.206713)</f>
        <v>18.206713</v>
      </c>
      <c r="C15" s="7" t="n">
        <f aca="false">IFERROR(__xludf.DUMMYFUNCTION("""COMPUTED_VALUE"""),112.075122)</f>
        <v>112.075122</v>
      </c>
      <c r="D15" s="7" t="n">
        <f aca="false">IFERROR(__xludf.DUMMYFUNCTION("""COMPUTED_VALUE"""),230.854041)</f>
        <v>230.854041</v>
      </c>
      <c r="E15" s="7" t="n">
        <f aca="false">IFERROR(__xludf.DUMMYFUNCTION("""COMPUTED_VALUE"""),400.715334)</f>
        <v>400.715334</v>
      </c>
      <c r="F15" s="7" t="n">
        <f aca="false">IFERROR(__xludf.DUMMYFUNCTION("""COMPUTED_VALUE"""),574.507789)</f>
        <v>574.507789</v>
      </c>
      <c r="G15" s="7" t="n">
        <f aca="false">IFERROR(__xludf.DUMMYFUNCTION("""COMPUTED_VALUE"""),754.345623)</f>
        <v>754.345623</v>
      </c>
      <c r="H15" s="7" t="n">
        <f aca="false">IFERROR(__xludf.DUMMYFUNCTION("""COMPUTED_VALUE"""),944.84884)</f>
        <v>944.84884</v>
      </c>
      <c r="I15" s="7" t="n">
        <f aca="false">IFERROR(__xludf.DUMMYFUNCTION("""COMPUTED_VALUE"""),1072.234671)</f>
        <v>1072.234671</v>
      </c>
      <c r="J15" s="7" t="n">
        <f aca="false">IFERROR(__xludf.DUMMYFUNCTION("""COMPUTED_VALUE"""),1171.695753)</f>
        <v>1171.695753</v>
      </c>
      <c r="K15" s="7" t="n">
        <f aca="false">IFERROR(__xludf.DUMMYFUNCTION("""COMPUTED_VALUE"""),1271.941099)</f>
        <v>1271.941099</v>
      </c>
    </row>
    <row r="16" customFormat="false" ht="15" hidden="false" customHeight="false" outlineLevel="0" collapsed="false">
      <c r="A16" s="5" t="s">
        <v>29</v>
      </c>
      <c r="B16" s="7" t="n">
        <f aca="false">IFERROR(__xludf.DUMMYFUNCTION("""COMPUTED_VALUE"""),6.827517)</f>
        <v>6.827517</v>
      </c>
      <c r="C16" s="7" t="n">
        <f aca="false">IFERROR(__xludf.DUMMYFUNCTION("""COMPUTED_VALUE"""),47.073112)</f>
        <v>47.073112</v>
      </c>
      <c r="D16" s="7" t="n">
        <f aca="false">IFERROR(__xludf.DUMMYFUNCTION("""COMPUTED_VALUE"""),88.889676)</f>
        <v>88.889676</v>
      </c>
      <c r="E16" s="7" t="n">
        <f aca="false">IFERROR(__xludf.DUMMYFUNCTION("""COMPUTED_VALUE"""),148.279182)</f>
        <v>148.279182</v>
      </c>
      <c r="F16" s="7" t="n">
        <f aca="false">IFERROR(__xludf.DUMMYFUNCTION("""COMPUTED_VALUE"""),205.226053)</f>
        <v>205.226053</v>
      </c>
      <c r="G16" s="7" t="n">
        <f aca="false">IFERROR(__xludf.DUMMYFUNCTION("""COMPUTED_VALUE"""),255.765145)</f>
        <v>255.765145</v>
      </c>
      <c r="H16" s="7" t="n">
        <f aca="false">IFERROR(__xludf.DUMMYFUNCTION("""COMPUTED_VALUE"""),328.417902)</f>
        <v>328.417902</v>
      </c>
      <c r="I16" s="7" t="n">
        <f aca="false">IFERROR(__xludf.DUMMYFUNCTION("""COMPUTED_VALUE"""),366.908071)</f>
        <v>366.908071</v>
      </c>
      <c r="J16" s="7" t="n">
        <f aca="false">IFERROR(__xludf.DUMMYFUNCTION("""COMPUTED_VALUE"""),401.681707)</f>
        <v>401.681707</v>
      </c>
      <c r="K16" s="7" t="n">
        <f aca="false">IFERROR(__xludf.DUMMYFUNCTION("""COMPUTED_VALUE"""),436.686782)</f>
        <v>436.686782</v>
      </c>
    </row>
    <row r="17" customFormat="false" ht="15" hidden="false" customHeight="false" outlineLevel="0" collapsed="false">
      <c r="A17" s="5" t="s">
        <v>30</v>
      </c>
      <c r="B17" s="7" t="n">
        <f aca="false">IFERROR(__xludf.DUMMYFUNCTION("""COMPUTED_VALUE"""),17.637753)</f>
        <v>17.637753</v>
      </c>
      <c r="C17" s="7" t="n">
        <f aca="false">IFERROR(__xludf.DUMMYFUNCTION("""COMPUTED_VALUE"""),85.987819)</f>
        <v>85.987819</v>
      </c>
      <c r="D17" s="7" t="n">
        <f aca="false">IFERROR(__xludf.DUMMYFUNCTION("""COMPUTED_VALUE"""),186.869567)</f>
        <v>186.869567</v>
      </c>
      <c r="E17" s="7" t="n">
        <f aca="false">IFERROR(__xludf.DUMMYFUNCTION("""COMPUTED_VALUE"""),336.583621)</f>
        <v>336.583621</v>
      </c>
      <c r="F17" s="7" t="n">
        <f aca="false">IFERROR(__xludf.DUMMYFUNCTION("""COMPUTED_VALUE"""),484.132598)</f>
        <v>484.132598</v>
      </c>
      <c r="G17" s="7" t="n">
        <f aca="false">IFERROR(__xludf.DUMMYFUNCTION("""COMPUTED_VALUE"""),643.220385)</f>
        <v>643.220385</v>
      </c>
      <c r="H17" s="7" t="n">
        <f aca="false">IFERROR(__xludf.DUMMYFUNCTION("""COMPUTED_VALUE"""),792.431742)</f>
        <v>792.431742</v>
      </c>
      <c r="I17" s="7" t="n">
        <f aca="false">IFERROR(__xludf.DUMMYFUNCTION("""COMPUTED_VALUE"""),889.677707)</f>
        <v>889.677707</v>
      </c>
      <c r="J17" s="7" t="n">
        <f aca="false">IFERROR(__xludf.DUMMYFUNCTION("""COMPUTED_VALUE"""),965.31111)</f>
        <v>965.31111</v>
      </c>
      <c r="K17" s="7" t="n">
        <f aca="false">IFERROR(__xludf.DUMMYFUNCTION("""COMPUTED_VALUE"""),1041.939702)</f>
        <v>1041.939702</v>
      </c>
    </row>
    <row r="18" customFormat="false" ht="15" hidden="false" customHeight="false" outlineLevel="0" collapsed="false">
      <c r="A18" s="5" t="s">
        <v>31</v>
      </c>
      <c r="B18" s="7" t="n">
        <f aca="false">IFERROR(__xludf.DUMMYFUNCTION("""COMPUTED_VALUE"""),38.803056)</f>
        <v>38.803056</v>
      </c>
      <c r="C18" s="7" t="n">
        <f aca="false">IFERROR(__xludf.DUMMYFUNCTION("""COMPUTED_VALUE"""),189.173203)</f>
        <v>189.173203</v>
      </c>
      <c r="D18" s="7" t="n">
        <f aca="false">IFERROR(__xludf.DUMMYFUNCTION("""COMPUTED_VALUE"""),411.113048)</f>
        <v>411.113048</v>
      </c>
      <c r="E18" s="7" t="n">
        <f aca="false">IFERROR(__xludf.DUMMYFUNCTION("""COMPUTED_VALUE"""),740.483966)</f>
        <v>740.483966</v>
      </c>
      <c r="F18" s="7" t="n">
        <f aca="false">IFERROR(__xludf.DUMMYFUNCTION("""COMPUTED_VALUE"""),1065.091715)</f>
        <v>1065.091715</v>
      </c>
      <c r="G18" s="7" t="n">
        <f aca="false">IFERROR(__xludf.DUMMYFUNCTION("""COMPUTED_VALUE"""),1415.084848)</f>
        <v>1415.084848</v>
      </c>
      <c r="H18" s="7" t="n">
        <f aca="false">IFERROR(__xludf.DUMMYFUNCTION("""COMPUTED_VALUE"""),1743.349833)</f>
        <v>1743.349833</v>
      </c>
      <c r="I18" s="7" t="n">
        <f aca="false">IFERROR(__xludf.DUMMYFUNCTION("""COMPUTED_VALUE"""),1957.290955)</f>
        <v>1957.290955</v>
      </c>
      <c r="J18" s="7" t="n">
        <f aca="false">IFERROR(__xludf.DUMMYFUNCTION("""COMPUTED_VALUE"""),2123.684441)</f>
        <v>2123.684441</v>
      </c>
      <c r="K18" s="7" t="n">
        <f aca="false">IFERROR(__xludf.DUMMYFUNCTION("""COMPUTED_VALUE"""),2292.267343)</f>
        <v>2292.267343</v>
      </c>
    </row>
    <row r="19" customFormat="false" ht="15" hidden="false" customHeight="false" outlineLevel="0" collapsed="false">
      <c r="A19" s="5" t="s">
        <v>32</v>
      </c>
      <c r="B19" s="7" t="n">
        <f aca="false">IFERROR(__xludf.DUMMYFUNCTION("""COMPUTED_VALUE"""),8.466121)</f>
        <v>8.466121</v>
      </c>
      <c r="C19" s="7" t="n">
        <f aca="false">IFERROR(__xludf.DUMMYFUNCTION("""COMPUTED_VALUE"""),41.274153)</f>
        <v>41.274153</v>
      </c>
      <c r="D19" s="7" t="n">
        <f aca="false">IFERROR(__xludf.DUMMYFUNCTION("""COMPUTED_VALUE"""),89.697392)</f>
        <v>89.697392</v>
      </c>
      <c r="E19" s="7" t="n">
        <f aca="false">IFERROR(__xludf.DUMMYFUNCTION("""COMPUTED_VALUE"""),161.560138)</f>
        <v>161.560138</v>
      </c>
      <c r="F19" s="7" t="n">
        <f aca="false">IFERROR(__xludf.DUMMYFUNCTION("""COMPUTED_VALUE"""),232.383647)</f>
        <v>232.383647</v>
      </c>
      <c r="G19" s="7" t="n">
        <f aca="false">IFERROR(__xludf.DUMMYFUNCTION("""COMPUTED_VALUE"""),308.745785)</f>
        <v>308.745785</v>
      </c>
      <c r="H19" s="7" t="n">
        <f aca="false">IFERROR(__xludf.DUMMYFUNCTION("""COMPUTED_VALUE"""),380.367236)</f>
        <v>380.367236</v>
      </c>
      <c r="I19" s="7" t="n">
        <f aca="false">IFERROR(__xludf.DUMMYFUNCTION("""COMPUTED_VALUE"""),427.045299)</f>
        <v>427.045299</v>
      </c>
      <c r="J19" s="7" t="n">
        <f aca="false">IFERROR(__xludf.DUMMYFUNCTION("""COMPUTED_VALUE"""),463.349333)</f>
        <v>463.349333</v>
      </c>
      <c r="K19" s="7" t="n">
        <f aca="false">IFERROR(__xludf.DUMMYFUNCTION("""COMPUTED_VALUE"""),500.131057)</f>
        <v>500.131057</v>
      </c>
    </row>
    <row r="20" customFormat="false" ht="15" hidden="false" customHeight="false" outlineLevel="0" collapsed="false">
      <c r="A20" s="5" t="s">
        <v>33</v>
      </c>
      <c r="B20" s="7" t="n">
        <f aca="false">IFERROR(__xludf.DUMMYFUNCTION("""COMPUTED_VALUE"""),5.644081)</f>
        <v>5.644081</v>
      </c>
      <c r="C20" s="7" t="n">
        <f aca="false">IFERROR(__xludf.DUMMYFUNCTION("""COMPUTED_VALUE"""),27.516102)</f>
        <v>27.516102</v>
      </c>
      <c r="D20" s="7" t="n">
        <f aca="false">IFERROR(__xludf.DUMMYFUNCTION("""COMPUTED_VALUE"""),59.798262)</f>
        <v>59.798262</v>
      </c>
      <c r="E20" s="7" t="n">
        <f aca="false">IFERROR(__xludf.DUMMYFUNCTION("""COMPUTED_VALUE"""),107.706759)</f>
        <v>107.706759</v>
      </c>
      <c r="F20" s="7" t="n">
        <f aca="false">IFERROR(__xludf.DUMMYFUNCTION("""COMPUTED_VALUE"""),154.922431)</f>
        <v>154.922431</v>
      </c>
      <c r="G20" s="7" t="n">
        <f aca="false">IFERROR(__xludf.DUMMYFUNCTION("""COMPUTED_VALUE"""),205.830523)</f>
        <v>205.830523</v>
      </c>
      <c r="H20" s="7" t="n">
        <f aca="false">IFERROR(__xludf.DUMMYFUNCTION("""COMPUTED_VALUE"""),253.578158)</f>
        <v>253.578158</v>
      </c>
      <c r="I20" s="7" t="n">
        <f aca="false">IFERROR(__xludf.DUMMYFUNCTION("""COMPUTED_VALUE"""),284.696866)</f>
        <v>284.696866</v>
      </c>
      <c r="J20" s="7" t="n">
        <f aca="false">IFERROR(__xludf.DUMMYFUNCTION("""COMPUTED_VALUE"""),308.899555)</f>
        <v>308.899555</v>
      </c>
      <c r="K20" s="7" t="n">
        <f aca="false">IFERROR(__xludf.DUMMYFUNCTION("""COMPUTED_VALUE"""),333.420704)</f>
        <v>333.420704</v>
      </c>
    </row>
    <row r="21" customFormat="false" ht="15" hidden="false" customHeight="false" outlineLevel="0" collapsed="false">
      <c r="A21" s="4" t="s">
        <v>34</v>
      </c>
      <c r="B21" s="8" t="n">
        <f aca="false">SUM(B4:B20)</f>
        <v>6829.793097</v>
      </c>
      <c r="C21" s="8" t="n">
        <f aca="false">SUM(C4:C20)</f>
        <v>30662.680914</v>
      </c>
      <c r="D21" s="8" t="n">
        <f aca="false">SUM(D4:D20)</f>
        <v>61483.057999</v>
      </c>
      <c r="E21" s="8" t="n">
        <f aca="false">SUM(E4:E20)</f>
        <v>114050.795434</v>
      </c>
      <c r="F21" s="8" t="n">
        <f aca="false">SUM(F4:F20)</f>
        <v>167870.395798</v>
      </c>
      <c r="G21" s="8" t="n">
        <f aca="false">SUM(G4:G20)</f>
        <v>228490.108109</v>
      </c>
      <c r="H21" s="8" t="n">
        <f aca="false">SUM(H4:H20)</f>
        <v>283777.782174</v>
      </c>
      <c r="I21" s="8" t="n">
        <f aca="false">SUM(I4:I20)</f>
        <v>322612.238225</v>
      </c>
      <c r="J21" s="8" t="n">
        <f aca="false">SUM(J4:J20)</f>
        <v>347003.715485</v>
      </c>
      <c r="K21" s="8" t="n">
        <f aca="false">SUM(K4:K20)</f>
        <v>371907.689582</v>
      </c>
    </row>
    <row r="23" customFormat="false" ht="15" hidden="false" customHeight="false" outlineLevel="0" collapsed="false">
      <c r="A23" s="1" t="s">
        <v>35</v>
      </c>
    </row>
    <row r="24" customFormat="false" ht="15" hidden="false" customHeight="false" outlineLevel="0" collapsed="false">
      <c r="A24" s="6" t="s">
        <v>36</v>
      </c>
      <c r="B24" s="6" t="s">
        <v>37</v>
      </c>
      <c r="C24" s="6" t="s">
        <v>38</v>
      </c>
    </row>
    <row r="25" customFormat="false" ht="15" hidden="false" customHeight="false" outlineLevel="0" collapsed="false">
      <c r="A25" s="5" t="s">
        <v>39</v>
      </c>
      <c r="B25" s="9" t="n">
        <f aca="false">IFERROR(__xludf.DUMMYFUNCTION("IMPORTRANGE(Links!$B$4,""Indexado Dim Técnico!U61:U74"")"),0.0521797399)</f>
        <v>0.0521797399</v>
      </c>
      <c r="C25" s="10" t="s">
        <v>40</v>
      </c>
    </row>
    <row r="26" customFormat="false" ht="15" hidden="false" customHeight="false" outlineLevel="0" collapsed="false">
      <c r="A26" s="5" t="s">
        <v>41</v>
      </c>
      <c r="B26" s="9" t="n">
        <f aca="false">IFERROR(__xludf.DUMMYFUNCTION("""COMPUTED_VALUE"""),0.0798836162)</f>
        <v>0.0798836162</v>
      </c>
      <c r="C26" s="10" t="s">
        <v>40</v>
      </c>
    </row>
    <row r="27" customFormat="false" ht="15" hidden="false" customHeight="false" outlineLevel="0" collapsed="false">
      <c r="A27" s="5" t="s">
        <v>42</v>
      </c>
      <c r="B27" s="9" t="n">
        <f aca="false">IFERROR(__xludf.DUMMYFUNCTION("""COMPUTED_VALUE"""),0.059817286)</f>
        <v>0.059817286</v>
      </c>
      <c r="C27" s="10" t="s">
        <v>43</v>
      </c>
    </row>
    <row r="28" customFormat="false" ht="15" hidden="false" customHeight="false" outlineLevel="0" collapsed="false">
      <c r="A28" s="5" t="s">
        <v>44</v>
      </c>
      <c r="B28" s="9" t="n">
        <f aca="false">IFERROR(__xludf.DUMMYFUNCTION("""COMPUTED_VALUE"""),0.0637650712)</f>
        <v>0.0637650712</v>
      </c>
      <c r="C28" s="10" t="s">
        <v>40</v>
      </c>
    </row>
    <row r="29" customFormat="false" ht="15" hidden="false" customHeight="false" outlineLevel="0" collapsed="false">
      <c r="A29" s="5" t="s">
        <v>45</v>
      </c>
      <c r="B29" s="9" t="n">
        <f aca="false">IFERROR(__xludf.DUMMYFUNCTION("""COMPUTED_VALUE"""),0.0676801452)</f>
        <v>0.0676801452</v>
      </c>
      <c r="C29" s="10" t="s">
        <v>43</v>
      </c>
    </row>
    <row r="30" customFormat="false" ht="15" hidden="false" customHeight="false" outlineLevel="0" collapsed="false">
      <c r="A30" s="5" t="s">
        <v>46</v>
      </c>
      <c r="B30" s="9" t="n">
        <f aca="false">IFERROR(__xludf.DUMMYFUNCTION("""COMPUTED_VALUE"""),0.0932172985)</f>
        <v>0.0932172985</v>
      </c>
      <c r="C30" s="10" t="s">
        <v>43</v>
      </c>
    </row>
    <row r="31" customFormat="false" ht="15" hidden="false" customHeight="false" outlineLevel="0" collapsed="false">
      <c r="A31" s="5" t="s">
        <v>47</v>
      </c>
      <c r="B31" s="9" t="n">
        <f aca="false">IFERROR(__xludf.DUMMYFUNCTION("""COMPUTED_VALUE"""),0.0675217758)</f>
        <v>0.0675217758</v>
      </c>
      <c r="C31" s="10" t="s">
        <v>43</v>
      </c>
    </row>
    <row r="32" customFormat="false" ht="15" hidden="false" customHeight="false" outlineLevel="0" collapsed="false">
      <c r="A32" s="5" t="s">
        <v>48</v>
      </c>
      <c r="B32" s="9" t="n">
        <f aca="false">IFERROR(__xludf.DUMMYFUNCTION("""COMPUTED_VALUE"""),0.0533558834)</f>
        <v>0.0533558834</v>
      </c>
      <c r="C32" s="10" t="s">
        <v>40</v>
      </c>
    </row>
    <row r="33" customFormat="false" ht="15" hidden="false" customHeight="false" outlineLevel="0" collapsed="false">
      <c r="A33" s="5" t="s">
        <v>49</v>
      </c>
      <c r="B33" s="9" t="n">
        <f aca="false">IFERROR(__xludf.DUMMYFUNCTION("""COMPUTED_VALUE"""),0.0885682049)</f>
        <v>0.0885682049</v>
      </c>
      <c r="C33" s="10" t="s">
        <v>40</v>
      </c>
    </row>
    <row r="34" customFormat="false" ht="15" hidden="false" customHeight="false" outlineLevel="0" collapsed="false">
      <c r="A34" s="5" t="s">
        <v>50</v>
      </c>
      <c r="B34" s="9" t="n">
        <f aca="false">IFERROR(__xludf.DUMMYFUNCTION("""COMPUTED_VALUE"""),0.0471361107)</f>
        <v>0.0471361107</v>
      </c>
      <c r="C34" s="10" t="s">
        <v>40</v>
      </c>
    </row>
    <row r="35" customFormat="false" ht="15" hidden="false" customHeight="false" outlineLevel="0" collapsed="false">
      <c r="A35" s="5" t="s">
        <v>51</v>
      </c>
      <c r="B35" s="9" t="n">
        <f aca="false">IFERROR(__xludf.DUMMYFUNCTION("""COMPUTED_VALUE"""),0.0848900664)</f>
        <v>0.0848900664</v>
      </c>
      <c r="C35" s="10" t="s">
        <v>40</v>
      </c>
    </row>
    <row r="36" customFormat="false" ht="15" hidden="false" customHeight="false" outlineLevel="0" collapsed="false">
      <c r="A36" s="5" t="s">
        <v>52</v>
      </c>
      <c r="B36" s="9" t="n">
        <f aca="false">IFERROR(__xludf.DUMMYFUNCTION("""COMPUTED_VALUE"""),0.0672643024)</f>
        <v>0.0672643024</v>
      </c>
      <c r="C36" s="10" t="s">
        <v>40</v>
      </c>
    </row>
    <row r="37" customFormat="false" ht="15" hidden="false" customHeight="false" outlineLevel="0" collapsed="false">
      <c r="A37" s="5" t="s">
        <v>53</v>
      </c>
      <c r="B37" s="9" t="n">
        <f aca="false">IFERROR(__xludf.DUMMYFUNCTION("""COMPUTED_VALUE"""),0.0174767438)</f>
        <v>0.0174767438</v>
      </c>
      <c r="C37" s="10" t="s">
        <v>40</v>
      </c>
    </row>
    <row r="38" customFormat="false" ht="15" hidden="false" customHeight="false" outlineLevel="0" collapsed="false">
      <c r="A38" s="5" t="s">
        <v>54</v>
      </c>
      <c r="B38" s="9" t="n">
        <f aca="false">IFERROR(__xludf.DUMMYFUNCTION("""COMPUTED_VALUE"""),0.1572437555)</f>
        <v>0.1572437555</v>
      </c>
      <c r="C38" s="10" t="s">
        <v>55</v>
      </c>
    </row>
    <row r="39" customFormat="false" ht="23.85" hidden="false" customHeight="false" outlineLevel="0" collapsed="false">
      <c r="A39" s="6" t="s">
        <v>38</v>
      </c>
      <c r="B39" s="6" t="s">
        <v>56</v>
      </c>
      <c r="C39" s="6" t="s">
        <v>57</v>
      </c>
    </row>
    <row r="40" customFormat="false" ht="15" hidden="false" customHeight="false" outlineLevel="0" collapsed="false">
      <c r="A40" s="4" t="s">
        <v>58</v>
      </c>
      <c r="B40" s="9" t="n">
        <f aca="false">IFERROR(__xludf.DUMMYFUNCTION("IMPORTRANGE(Links!$B$4,""Indexado Dim Técnico!V61"")"),0.5545197389)</f>
        <v>0.5545197389</v>
      </c>
      <c r="C40" s="9" t="n">
        <f aca="false">SUMIF($C$25:$C$38,"Comercial",$B$25:$B$38)</f>
        <v>0.5545197389</v>
      </c>
    </row>
    <row r="41" customFormat="false" ht="15" hidden="false" customHeight="false" outlineLevel="0" collapsed="false">
      <c r="A41" s="4" t="s">
        <v>59</v>
      </c>
      <c r="B41" s="9" t="n">
        <f aca="false">IFERROR(__xludf.DUMMYFUNCTION("IMPORTRANGE(Links!$B$4,""Indexado Dim Técnico!V63"")"),0.2882365055)</f>
        <v>0.2882365055</v>
      </c>
      <c r="C41" s="9" t="n">
        <f aca="false">SUMIF($C$25:$C$38,"Industrial",$B$25:$B$38)</f>
        <v>0.2882365055</v>
      </c>
    </row>
    <row r="42" customFormat="false" ht="15" hidden="false" customHeight="false" outlineLevel="0" collapsed="false">
      <c r="A42" s="5" t="s">
        <v>60</v>
      </c>
      <c r="B42" s="9" t="n">
        <f aca="false">SUMIF($C$25:$C$38,"Fuera",$B$25:$B$38)</f>
        <v>0.1572437555</v>
      </c>
    </row>
    <row r="43" customFormat="false" ht="15" hidden="false" customHeight="false" outlineLevel="0" collapsed="false">
      <c r="A43" s="5" t="s">
        <v>61</v>
      </c>
      <c r="B43" s="9" t="n">
        <f aca="false">SUM(B40:B42)</f>
        <v>0.9999999999</v>
      </c>
    </row>
    <row r="44" customFormat="false" ht="15" hidden="false" customHeight="false" outlineLevel="0" collapsed="false">
      <c r="A44" s="1" t="s">
        <v>62</v>
      </c>
    </row>
    <row r="45" customFormat="false" ht="15" hidden="false" customHeight="true" outlineLevel="0" collapsed="false">
      <c r="A45" s="6" t="s">
        <v>63</v>
      </c>
      <c r="B45" s="6" t="s">
        <v>64</v>
      </c>
      <c r="C45" s="6" t="s">
        <v>65</v>
      </c>
      <c r="D45" s="6"/>
      <c r="E45" s="6"/>
      <c r="F45" s="6"/>
      <c r="G45" s="6"/>
      <c r="H45" s="6"/>
      <c r="I45" s="6"/>
      <c r="J45" s="6"/>
      <c r="K45" s="6"/>
      <c r="L45" s="6"/>
    </row>
    <row r="46" customFormat="false" ht="15" hidden="false" customHeight="true" outlineLevel="0" collapsed="false">
      <c r="A46" s="5" t="s">
        <v>66</v>
      </c>
      <c r="B46" s="9" t="n">
        <v>0.05</v>
      </c>
      <c r="C46" s="5" t="s">
        <v>67</v>
      </c>
      <c r="D46" s="5"/>
      <c r="E46" s="5"/>
      <c r="F46" s="5"/>
      <c r="G46" s="5"/>
      <c r="H46" s="5"/>
      <c r="I46" s="5"/>
      <c r="J46" s="5"/>
      <c r="K46" s="5"/>
      <c r="L46" s="5"/>
    </row>
    <row r="47" customFormat="false" ht="15" hidden="false" customHeight="true" outlineLevel="0" collapsed="false">
      <c r="A47" s="5" t="s">
        <v>68</v>
      </c>
      <c r="B47" s="9" t="n">
        <v>0.02</v>
      </c>
      <c r="C47" s="5" t="s">
        <v>69</v>
      </c>
      <c r="D47" s="5"/>
      <c r="E47" s="5"/>
      <c r="F47" s="5"/>
      <c r="G47" s="5"/>
      <c r="H47" s="5"/>
      <c r="I47" s="5"/>
      <c r="J47" s="5"/>
      <c r="K47" s="5"/>
      <c r="L47" s="5"/>
    </row>
    <row r="48" customFormat="false" ht="15" hidden="false" customHeight="true" outlineLevel="0" collapsed="false">
      <c r="A48" s="5" t="s">
        <v>70</v>
      </c>
      <c r="B48" s="9" t="n">
        <v>0.01</v>
      </c>
      <c r="C48" s="5" t="s">
        <v>71</v>
      </c>
      <c r="D48" s="5"/>
      <c r="E48" s="5"/>
      <c r="F48" s="5"/>
      <c r="G48" s="5"/>
      <c r="H48" s="5"/>
      <c r="I48" s="5"/>
      <c r="J48" s="5"/>
      <c r="K48" s="5"/>
      <c r="L48" s="5"/>
    </row>
    <row r="49" customFormat="false" ht="15" hidden="false" customHeight="true" outlineLevel="0" collapsed="false">
      <c r="A49" s="5" t="s">
        <v>72</v>
      </c>
      <c r="B49" s="9" t="n">
        <v>0.0330204131377009</v>
      </c>
      <c r="C49" s="5" t="s">
        <v>73</v>
      </c>
      <c r="D49" s="5"/>
      <c r="E49" s="5"/>
      <c r="F49" s="5"/>
      <c r="G49" s="5"/>
      <c r="H49" s="5"/>
      <c r="I49" s="5"/>
      <c r="J49" s="5"/>
      <c r="K49" s="5"/>
      <c r="L49" s="5"/>
    </row>
    <row r="51" customFormat="false" ht="15" hidden="false" customHeight="false" outlineLevel="0" collapsed="false">
      <c r="A51" s="4" t="s">
        <v>74</v>
      </c>
      <c r="B51" s="10" t="s">
        <v>40</v>
      </c>
    </row>
    <row r="52" customFormat="false" ht="15" hidden="false" customHeight="false" outlineLevel="0" collapsed="false">
      <c r="A52" s="4" t="s">
        <v>75</v>
      </c>
      <c r="B52" s="11" t="n">
        <f aca="false">IF(B51="Comercial",B40,B41)</f>
        <v>0.5545197389</v>
      </c>
    </row>
    <row r="54" customFormat="false" ht="15" hidden="false" customHeight="false" outlineLevel="0" collapsed="false">
      <c r="A54" s="1" t="s">
        <v>76</v>
      </c>
    </row>
    <row r="56" customFormat="false" ht="23.85" hidden="false" customHeight="false" outlineLevel="0" collapsed="false">
      <c r="A56" s="6" t="s">
        <v>77</v>
      </c>
      <c r="B56" s="6" t="s">
        <v>78</v>
      </c>
      <c r="C56" s="6" t="s">
        <v>79</v>
      </c>
      <c r="D56" s="6" t="s">
        <v>80</v>
      </c>
      <c r="E56" s="6" t="s">
        <v>81</v>
      </c>
      <c r="F56" s="6" t="s">
        <v>82</v>
      </c>
      <c r="G56" s="6" t="s">
        <v>83</v>
      </c>
      <c r="H56" s="6" t="s">
        <v>84</v>
      </c>
      <c r="I56" s="6" t="s">
        <v>85</v>
      </c>
    </row>
    <row r="57" customFormat="false" ht="15" hidden="false" customHeight="false" outlineLevel="0" collapsed="false">
      <c r="A57" s="10" t="str">
        <f aca="false">A4</f>
        <v>ABC 1 kg</v>
      </c>
      <c r="B57" s="7" t="n">
        <v>2251135</v>
      </c>
      <c r="C57" s="7" t="n">
        <v>0</v>
      </c>
      <c r="D57" s="7" t="n">
        <v>0</v>
      </c>
      <c r="E57" s="7" t="n">
        <v>3578.5</v>
      </c>
      <c r="F57" s="7" t="n">
        <v>0</v>
      </c>
      <c r="G57" s="7" t="n">
        <v>0</v>
      </c>
      <c r="H57" s="7" t="n">
        <v>530</v>
      </c>
      <c r="I57" s="8" t="n">
        <f aca="false">SUM(B57:H57)</f>
        <v>2255243.5</v>
      </c>
    </row>
    <row r="58" customFormat="false" ht="15" hidden="false" customHeight="false" outlineLevel="0" collapsed="false">
      <c r="A58" s="10" t="str">
        <f aca="false">A5</f>
        <v>ABC 2,5 kg</v>
      </c>
      <c r="B58" s="7" t="n">
        <v>0</v>
      </c>
      <c r="C58" s="7" t="n">
        <v>100435.9</v>
      </c>
      <c r="D58" s="7" t="n">
        <v>14173.8</v>
      </c>
      <c r="E58" s="7" t="n">
        <v>45655.1</v>
      </c>
      <c r="F58" s="7" t="n">
        <v>0</v>
      </c>
      <c r="G58" s="7" t="n">
        <v>7336.9</v>
      </c>
      <c r="H58" s="7" t="n">
        <v>6153</v>
      </c>
      <c r="I58" s="8" t="n">
        <f aca="false">SUM(B58:H58)</f>
        <v>173754.7</v>
      </c>
    </row>
    <row r="59" customFormat="false" ht="15" hidden="false" customHeight="false" outlineLevel="0" collapsed="false">
      <c r="A59" s="10" t="str">
        <f aca="false">A6</f>
        <v>ABC 5 kg</v>
      </c>
      <c r="B59" s="7" t="n">
        <v>69628</v>
      </c>
      <c r="C59" s="7" t="n">
        <v>732591.4</v>
      </c>
      <c r="D59" s="7" t="n">
        <v>52786.7</v>
      </c>
      <c r="E59" s="7" t="n">
        <v>8847.8</v>
      </c>
      <c r="F59" s="7" t="n">
        <v>113431.7</v>
      </c>
      <c r="G59" s="7" t="n">
        <v>46903.8</v>
      </c>
      <c r="H59" s="7" t="n">
        <v>5342</v>
      </c>
      <c r="I59" s="8" t="n">
        <f aca="false">SUM(B59:H59)</f>
        <v>1029531.4</v>
      </c>
    </row>
    <row r="60" customFormat="false" ht="15" hidden="false" customHeight="false" outlineLevel="0" collapsed="false">
      <c r="A60" s="10" t="str">
        <f aca="false">A7</f>
        <v>ABC 10 kg</v>
      </c>
      <c r="B60" s="7" t="n">
        <v>0</v>
      </c>
      <c r="C60" s="7" t="n">
        <v>44900.8</v>
      </c>
      <c r="D60" s="7" t="n">
        <v>5673.3</v>
      </c>
      <c r="E60" s="7" t="n">
        <v>2123.5</v>
      </c>
      <c r="F60" s="7" t="n">
        <v>0</v>
      </c>
      <c r="G60" s="7" t="n">
        <v>6270.5</v>
      </c>
      <c r="H60" s="7" t="n">
        <v>0</v>
      </c>
      <c r="I60" s="8" t="n">
        <f aca="false">SUM(B60:H60)</f>
        <v>58968.1</v>
      </c>
    </row>
    <row r="61" customFormat="false" ht="15" hidden="false" customHeight="false" outlineLevel="0" collapsed="false">
      <c r="A61" s="10" t="str">
        <f aca="false">A8</f>
        <v>Agua 10 l</v>
      </c>
      <c r="B61" s="7" t="n">
        <v>0</v>
      </c>
      <c r="C61" s="7" t="n">
        <v>56716.8</v>
      </c>
      <c r="D61" s="7" t="n">
        <v>4876.4</v>
      </c>
      <c r="E61" s="7" t="n">
        <v>1415.6</v>
      </c>
      <c r="F61" s="7" t="n">
        <v>12568.5</v>
      </c>
      <c r="G61" s="7" t="n">
        <v>8958.8</v>
      </c>
      <c r="H61" s="7" t="n">
        <v>562</v>
      </c>
      <c r="I61" s="8" t="n">
        <f aca="false">SUM(B61:H61)</f>
        <v>85098.1</v>
      </c>
    </row>
    <row r="62" customFormat="false" ht="15" hidden="false" customHeight="false" outlineLevel="0" collapsed="false">
      <c r="A62" s="10" t="str">
        <f aca="false">A9</f>
        <v>AFFF 10 l</v>
      </c>
      <c r="B62" s="7" t="n">
        <v>0</v>
      </c>
      <c r="C62" s="7" t="n">
        <v>0</v>
      </c>
      <c r="D62" s="7" t="n">
        <v>0</v>
      </c>
      <c r="E62" s="7" t="n">
        <v>0</v>
      </c>
      <c r="F62" s="7" t="n">
        <v>15671.5</v>
      </c>
      <c r="G62" s="7" t="n">
        <v>0</v>
      </c>
      <c r="H62" s="7" t="n">
        <v>0</v>
      </c>
      <c r="I62" s="8" t="n">
        <f aca="false">SUM(B62:H62)</f>
        <v>15671.5</v>
      </c>
    </row>
    <row r="63" customFormat="false" ht="15" hidden="false" customHeight="false" outlineLevel="0" collapsed="false">
      <c r="A63" s="10" t="str">
        <f aca="false">A10</f>
        <v>AFFF 50 l s/ruedas</v>
      </c>
      <c r="B63" s="7" t="n">
        <v>0</v>
      </c>
      <c r="C63" s="7" t="n">
        <v>0</v>
      </c>
      <c r="D63" s="7" t="n">
        <v>0</v>
      </c>
      <c r="E63" s="7" t="n">
        <v>0</v>
      </c>
      <c r="F63" s="7" t="n">
        <v>9151.4</v>
      </c>
      <c r="G63" s="7" t="n">
        <v>0</v>
      </c>
      <c r="H63" s="7" t="n">
        <v>0</v>
      </c>
      <c r="I63" s="8" t="n">
        <f aca="false">SUM(B63:H63)</f>
        <v>9151.4</v>
      </c>
    </row>
    <row r="64" customFormat="false" ht="15" hidden="false" customHeight="false" outlineLevel="0" collapsed="false">
      <c r="A64" s="10" t="str">
        <f aca="false">A11</f>
        <v>BC 5 kg</v>
      </c>
      <c r="B64" s="7" t="n">
        <v>0</v>
      </c>
      <c r="C64" s="7" t="n">
        <v>0</v>
      </c>
      <c r="D64" s="7" t="n">
        <v>0</v>
      </c>
      <c r="E64" s="7" t="n">
        <v>0</v>
      </c>
      <c r="F64" s="7" t="n">
        <v>4634.7</v>
      </c>
      <c r="G64" s="7" t="n">
        <v>0</v>
      </c>
      <c r="H64" s="7" t="n">
        <v>0</v>
      </c>
      <c r="I64" s="8" t="n">
        <f aca="false">SUM(B64:H64)</f>
        <v>4634.7</v>
      </c>
    </row>
    <row r="65" customFormat="false" ht="15" hidden="false" customHeight="false" outlineLevel="0" collapsed="false">
      <c r="A65" s="10" t="str">
        <f aca="false">A12</f>
        <v>Sales K 6 l</v>
      </c>
      <c r="B65" s="7" t="n">
        <v>0</v>
      </c>
      <c r="C65" s="7" t="n">
        <v>20087.2</v>
      </c>
      <c r="D65" s="7" t="n">
        <v>4459</v>
      </c>
      <c r="E65" s="7" t="n">
        <v>3539.1</v>
      </c>
      <c r="F65" s="7" t="n">
        <v>8169.7</v>
      </c>
      <c r="G65" s="7" t="n">
        <v>2804.4</v>
      </c>
      <c r="H65" s="7" t="n">
        <v>0</v>
      </c>
      <c r="I65" s="8" t="n">
        <f aca="false">SUM(B65:H65)</f>
        <v>39059.4</v>
      </c>
    </row>
    <row r="66" customFormat="false" ht="15" hidden="false" customHeight="false" outlineLevel="0" collapsed="false">
      <c r="A66" s="10" t="str">
        <f aca="false">A13</f>
        <v>CO₂ 2 kg</v>
      </c>
      <c r="B66" s="7" t="n">
        <v>0</v>
      </c>
      <c r="C66" s="7" t="n">
        <v>183147.8</v>
      </c>
      <c r="D66" s="7" t="n">
        <v>19050.2</v>
      </c>
      <c r="E66" s="7" t="n">
        <v>3539.1</v>
      </c>
      <c r="F66" s="7" t="n">
        <v>6402.2</v>
      </c>
      <c r="G66" s="7" t="n">
        <v>10549.9</v>
      </c>
      <c r="H66" s="7" t="n">
        <v>0</v>
      </c>
      <c r="I66" s="8" t="n">
        <f aca="false">SUM(B66:H66)</f>
        <v>222689.2</v>
      </c>
    </row>
    <row r="67" customFormat="false" ht="15" hidden="false" customHeight="false" outlineLevel="0" collapsed="false">
      <c r="A67" s="10" t="str">
        <f aca="false">A14</f>
        <v>CO₂ 5 kg</v>
      </c>
      <c r="B67" s="7" t="n">
        <v>0</v>
      </c>
      <c r="C67" s="7" t="n">
        <v>25995.2</v>
      </c>
      <c r="D67" s="7" t="n">
        <v>891.8</v>
      </c>
      <c r="E67" s="7" t="n">
        <v>1769.6</v>
      </c>
      <c r="F67" s="7" t="n">
        <v>32678.6</v>
      </c>
      <c r="G67" s="7" t="n">
        <v>11830.5</v>
      </c>
      <c r="H67" s="7" t="n">
        <v>2530</v>
      </c>
      <c r="I67" s="8" t="n">
        <f aca="false">SUM(B67:H67)</f>
        <v>75695.7</v>
      </c>
    </row>
    <row r="68" customFormat="false" ht="15" hidden="false" customHeight="false" outlineLevel="0" collapsed="false">
      <c r="A68" s="10" t="str">
        <f aca="false">A15</f>
        <v>HCFC/HFC 5 kg</v>
      </c>
      <c r="B68" s="7" t="n">
        <v>0</v>
      </c>
      <c r="C68" s="7" t="n">
        <v>0</v>
      </c>
      <c r="D68" s="7" t="n">
        <v>0</v>
      </c>
      <c r="E68" s="7" t="n">
        <v>0</v>
      </c>
      <c r="F68" s="7" t="n">
        <v>9269.4</v>
      </c>
      <c r="G68" s="7" t="n">
        <v>2425.5</v>
      </c>
      <c r="H68" s="7" t="n">
        <v>0</v>
      </c>
      <c r="I68" s="8" t="n">
        <f aca="false">SUM(B68:H68)</f>
        <v>11694.9</v>
      </c>
    </row>
    <row r="69" customFormat="false" ht="15" hidden="false" customHeight="false" outlineLevel="0" collapsed="false">
      <c r="A69" s="10" t="str">
        <f aca="false">A16</f>
        <v>Clase D 9 l</v>
      </c>
      <c r="B69" s="7" t="n">
        <v>0</v>
      </c>
      <c r="C69" s="7" t="n">
        <v>0</v>
      </c>
      <c r="D69" s="7" t="n">
        <v>0</v>
      </c>
      <c r="E69" s="7" t="n">
        <v>0</v>
      </c>
      <c r="F69" s="7" t="n">
        <v>3535</v>
      </c>
      <c r="G69" s="7" t="n">
        <v>0</v>
      </c>
      <c r="H69" s="7" t="n">
        <v>0</v>
      </c>
      <c r="I69" s="8" t="n">
        <f aca="false">SUM(B69:H69)</f>
        <v>3535</v>
      </c>
    </row>
    <row r="70" customFormat="false" ht="15" hidden="false" customHeight="false" outlineLevel="0" collapsed="false">
      <c r="A70" s="10" t="str">
        <f aca="false">A17</f>
        <v>ABC 25 kg s/ruedas</v>
      </c>
      <c r="B70" s="7" t="n">
        <v>0</v>
      </c>
      <c r="C70" s="7" t="n">
        <v>4431</v>
      </c>
      <c r="D70" s="7" t="n">
        <v>199.2</v>
      </c>
      <c r="E70" s="7" t="n">
        <v>177</v>
      </c>
      <c r="F70" s="7" t="n">
        <v>4055.3</v>
      </c>
      <c r="G70" s="7" t="n">
        <v>1364.4</v>
      </c>
      <c r="H70" s="7" t="n">
        <v>0</v>
      </c>
      <c r="I70" s="8" t="n">
        <f aca="false">SUM(B70:H70)</f>
        <v>10226.9</v>
      </c>
    </row>
    <row r="71" customFormat="false" ht="15" hidden="false" customHeight="false" outlineLevel="0" collapsed="false">
      <c r="A71" s="10" t="str">
        <f aca="false">A18</f>
        <v>ABC 50 kg s/ruedas</v>
      </c>
      <c r="B71" s="7" t="n">
        <v>0</v>
      </c>
      <c r="C71" s="7" t="n">
        <v>9748.2</v>
      </c>
      <c r="D71" s="7" t="n">
        <v>438.3</v>
      </c>
      <c r="E71" s="7" t="n">
        <v>389.3</v>
      </c>
      <c r="F71" s="7" t="n">
        <v>8921.8</v>
      </c>
      <c r="G71" s="7" t="n">
        <v>3001.6</v>
      </c>
      <c r="H71" s="7" t="n">
        <v>0</v>
      </c>
      <c r="I71" s="8" t="n">
        <f aca="false">SUM(B71:H71)</f>
        <v>22499.2</v>
      </c>
    </row>
    <row r="72" customFormat="false" ht="15" hidden="false" customHeight="false" outlineLevel="0" collapsed="false">
      <c r="A72" s="10" t="str">
        <f aca="false">A19</f>
        <v>ABC 70 kg s/ruedas</v>
      </c>
      <c r="B72" s="7" t="n">
        <v>0</v>
      </c>
      <c r="C72" s="7" t="n">
        <v>2126.9</v>
      </c>
      <c r="D72" s="7" t="n">
        <v>95.6</v>
      </c>
      <c r="E72" s="7" t="n">
        <v>84.9</v>
      </c>
      <c r="F72" s="7" t="n">
        <v>1946.6</v>
      </c>
      <c r="G72" s="7" t="n">
        <v>654.9</v>
      </c>
      <c r="H72" s="7" t="n">
        <v>0</v>
      </c>
      <c r="I72" s="8" t="n">
        <f aca="false">SUM(B72:H72)</f>
        <v>4908.9</v>
      </c>
    </row>
    <row r="73" customFormat="false" ht="15" hidden="false" customHeight="false" outlineLevel="0" collapsed="false">
      <c r="A73" s="10" t="str">
        <f aca="false">A20</f>
        <v>ABC 100 kg s/ruedas</v>
      </c>
      <c r="B73" s="7" t="n">
        <v>0</v>
      </c>
      <c r="C73" s="7" t="n">
        <v>1417.9</v>
      </c>
      <c r="D73" s="7" t="n">
        <v>63.8</v>
      </c>
      <c r="E73" s="7" t="n">
        <v>56.6</v>
      </c>
      <c r="F73" s="7" t="n">
        <v>1297.7</v>
      </c>
      <c r="G73" s="7" t="n">
        <v>436.6</v>
      </c>
      <c r="H73" s="7" t="n">
        <v>0</v>
      </c>
      <c r="I73" s="8" t="n">
        <f aca="false">SUM(B73:H73)</f>
        <v>3272.6</v>
      </c>
    </row>
    <row r="74" customFormat="false" ht="15" hidden="false" customHeight="false" outlineLevel="0" collapsed="false">
      <c r="A74" s="2" t="s">
        <v>86</v>
      </c>
    </row>
  </sheetData>
  <mergeCells count="5">
    <mergeCell ref="C45:L45"/>
    <mergeCell ref="C46:L46"/>
    <mergeCell ref="C47:L47"/>
    <mergeCell ref="C48:L48"/>
    <mergeCell ref="C49:L49"/>
  </mergeCells>
  <dataValidations count="1">
    <dataValidation allowBlank="false" errorStyle="stop" operator="between" showDropDown="false" showErrorMessage="false" showInputMessage="false" sqref="C25:C38" type="list">
      <formula1>"Comercial,Industrial,Fuera"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1" min="2" style="0" width="11"/>
  </cols>
  <sheetData>
    <row r="1" customFormat="false" ht="15" hidden="false" customHeight="false" outlineLevel="0" collapsed="false">
      <c r="A1" s="6" t="s">
        <v>87</v>
      </c>
      <c r="B1" s="6" t="n">
        <f aca="false">PROY_Indexado!B3</f>
        <v>2026</v>
      </c>
      <c r="C1" s="6" t="n">
        <f aca="false">PROY_Indexado!C3</f>
        <v>2027</v>
      </c>
      <c r="D1" s="6" t="n">
        <f aca="false">PROY_Indexado!D3</f>
        <v>2028</v>
      </c>
      <c r="E1" s="6" t="n">
        <f aca="false">PROY_Indexado!E3</f>
        <v>2029</v>
      </c>
      <c r="F1" s="6" t="n">
        <f aca="false">PROY_Indexado!F3</f>
        <v>2030</v>
      </c>
      <c r="G1" s="6" t="n">
        <f aca="false">PROY_Indexado!G3</f>
        <v>2031</v>
      </c>
      <c r="H1" s="6" t="n">
        <f aca="false">PROY_Indexado!H3</f>
        <v>2032</v>
      </c>
      <c r="I1" s="6" t="n">
        <f aca="false">PROY_Indexado!I3</f>
        <v>2033</v>
      </c>
      <c r="J1" s="6" t="n">
        <f aca="false">PROY_Indexado!J3</f>
        <v>2034</v>
      </c>
      <c r="K1" s="6" t="n">
        <f aca="false">PROY_Indexado!K3</f>
        <v>2035</v>
      </c>
    </row>
    <row r="2" customFormat="false" ht="15" hidden="false" customHeight="false" outlineLevel="0" collapsed="false">
      <c r="A2" s="10" t="str">
        <f aca="false">PROY_Indexado!A4</f>
        <v>ABC 1 kg</v>
      </c>
      <c r="B2" s="7" t="n">
        <f aca="false">PROY_Indexado!B4*PROY_Indexado!$B$52</f>
        <v>1928.3324794299</v>
      </c>
      <c r="C2" s="7" t="n">
        <f aca="false">PROY_Indexado!C4*PROY_Indexado!$B$52</f>
        <v>9410.52471807289</v>
      </c>
      <c r="D2" s="7" t="n">
        <f aca="false">PROY_Indexado!D4*PROY_Indexado!$B$52</f>
        <v>16938.4095795012</v>
      </c>
      <c r="E2" s="7" t="n">
        <f aca="false">PROY_Indexado!E4*PROY_Indexado!$B$52</f>
        <v>31079.8948147772</v>
      </c>
      <c r="F2" s="7" t="n">
        <f aca="false">PROY_Indexado!F4*PROY_Indexado!$B$52</f>
        <v>46729.5037906516</v>
      </c>
      <c r="G2" s="7" t="n">
        <f aca="false">PROY_Indexado!G4*PROY_Indexado!$B$52</f>
        <v>65104.9554102294</v>
      </c>
      <c r="H2" s="7" t="n">
        <f aca="false">PROY_Indexado!H4*PROY_Indexado!$B$52</f>
        <v>81853.011111775</v>
      </c>
      <c r="I2" s="7" t="n">
        <f aca="false">PROY_Indexado!I4*PROY_Indexado!$B$52</f>
        <v>95047.1013416854</v>
      </c>
      <c r="J2" s="7" t="n">
        <f aca="false">PROY_Indexado!J4*PROY_Indexado!$B$52</f>
        <v>101860.044696713</v>
      </c>
      <c r="K2" s="7" t="n">
        <f aca="false">PROY_Indexado!K4*PROY_Indexado!$B$52</f>
        <v>108842.626397553</v>
      </c>
    </row>
    <row r="3" customFormat="false" ht="15" hidden="false" customHeight="false" outlineLevel="0" collapsed="false">
      <c r="A3" s="10" t="str">
        <f aca="false">PROY_Indexado!A5</f>
        <v>ABC 2,5 kg</v>
      </c>
      <c r="B3" s="7" t="n">
        <f aca="false">PROY_Indexado!B5*PROY_Indexado!$B$52</f>
        <v>182.98966617723</v>
      </c>
      <c r="C3" s="7" t="n">
        <f aca="false">PROY_Indexado!C5*PROY_Indexado!$B$52</f>
        <v>713.896488444678</v>
      </c>
      <c r="D3" s="7" t="n">
        <f aca="false">PROY_Indexado!D5*PROY_Indexado!$B$52</f>
        <v>1634.26350415044</v>
      </c>
      <c r="E3" s="7" t="n">
        <f aca="false">PROY_Indexado!E5*PROY_Indexado!$B$52</f>
        <v>3008.84809678598</v>
      </c>
      <c r="F3" s="7" t="n">
        <f aca="false">PROY_Indexado!F5*PROY_Indexado!$B$52</f>
        <v>4353.46560207945</v>
      </c>
      <c r="G3" s="7" t="n">
        <f aca="false">PROY_Indexado!G5*PROY_Indexado!$B$52</f>
        <v>5780.28251110631</v>
      </c>
      <c r="H3" s="7" t="n">
        <f aca="false">PROY_Indexado!H5*PROY_Indexado!$B$52</f>
        <v>7103.34002444543</v>
      </c>
      <c r="I3" s="7" t="n">
        <f aca="false">PROY_Indexado!I5*PROY_Indexado!$B$52</f>
        <v>7909.15291517406</v>
      </c>
      <c r="J3" s="7" t="n">
        <f aca="false">PROY_Indexado!J5*PROY_Indexado!$B$52</f>
        <v>8557.83094860929</v>
      </c>
      <c r="K3" s="7" t="n">
        <f aca="false">PROY_Indexado!K5*PROY_Indexado!$B$52</f>
        <v>9216.54014430766</v>
      </c>
    </row>
    <row r="4" customFormat="false" ht="15" hidden="false" customHeight="false" outlineLevel="0" collapsed="false">
      <c r="A4" s="10" t="str">
        <f aca="false">PROY_Indexado!A6</f>
        <v>ABC 5 kg</v>
      </c>
      <c r="B4" s="7" t="n">
        <f aca="false">PROY_Indexado!B6*PROY_Indexado!$B$52</f>
        <v>1081.53202542054</v>
      </c>
      <c r="C4" s="7" t="n">
        <f aca="false">PROY_Indexado!C6*PROY_Indexado!$B$52</f>
        <v>4354.4319713917</v>
      </c>
      <c r="D4" s="7" t="n">
        <f aca="false">PROY_Indexado!D6*PROY_Indexado!$B$52</f>
        <v>9857.06358790893</v>
      </c>
      <c r="E4" s="7" t="n">
        <f aca="false">PROY_Indexado!E6*PROY_Indexado!$B$52</f>
        <v>18634.9509870281</v>
      </c>
      <c r="F4" s="7" t="n">
        <f aca="false">PROY_Indexado!F6*PROY_Indexado!$B$52</f>
        <v>26842.9541252258</v>
      </c>
      <c r="G4" s="7" t="n">
        <f aca="false">PROY_Indexado!G6*PROY_Indexado!$B$52</f>
        <v>35668.3968765287</v>
      </c>
      <c r="H4" s="7" t="n">
        <f aca="false">PROY_Indexado!H6*PROY_Indexado!$B$52</f>
        <v>43652.4040341835</v>
      </c>
      <c r="I4" s="7" t="n">
        <f aca="false">PROY_Indexado!I6*PROY_Indexado!$B$52</f>
        <v>48374.7562424118</v>
      </c>
      <c r="J4" s="7" t="n">
        <f aca="false">PROY_Indexado!J6*PROY_Indexado!$B$52</f>
        <v>52182.3411926296</v>
      </c>
      <c r="K4" s="7" t="n">
        <f aca="false">PROY_Indexado!K6*PROY_Indexado!$B$52</f>
        <v>56059.2707104735</v>
      </c>
    </row>
    <row r="5" customFormat="false" ht="15" hidden="false" customHeight="false" outlineLevel="0" collapsed="false">
      <c r="A5" s="10" t="str">
        <f aca="false">PROY_Indexado!A7</f>
        <v>ABC 10 kg</v>
      </c>
      <c r="B5" s="7" t="n">
        <f aca="false">PROY_Indexado!B7*PROY_Indexado!$B$52</f>
        <v>65.6238799171177</v>
      </c>
      <c r="C5" s="7" t="n">
        <f aca="false">PROY_Indexado!C7*PROY_Indexado!$B$52</f>
        <v>242.722482544761</v>
      </c>
      <c r="D5" s="7" t="n">
        <f aca="false">PROY_Indexado!D7*PROY_Indexado!$B$52</f>
        <v>568.368770119994</v>
      </c>
      <c r="E5" s="7" t="n">
        <f aca="false">PROY_Indexado!E7*PROY_Indexado!$B$52</f>
        <v>1087.08596481323</v>
      </c>
      <c r="F5" s="7" t="n">
        <f aca="false">PROY_Indexado!F7*PROY_Indexado!$B$52</f>
        <v>1577.59581782047</v>
      </c>
      <c r="G5" s="7" t="n">
        <f aca="false">PROY_Indexado!G7*PROY_Indexado!$B$52</f>
        <v>2112.93681281845</v>
      </c>
      <c r="H5" s="7" t="n">
        <f aca="false">PROY_Indexado!H7*PROY_Indexado!$B$52</f>
        <v>2586.10154569006</v>
      </c>
      <c r="I5" s="7" t="n">
        <f aca="false">PROY_Indexado!I7*PROY_Indexado!$B$52</f>
        <v>2863.82527866492</v>
      </c>
      <c r="J5" s="7" t="n">
        <f aca="false">PROY_Indexado!J7*PROY_Indexado!$B$52</f>
        <v>3089.53130603234</v>
      </c>
      <c r="K5" s="7" t="n">
        <f aca="false">PROY_Indexado!K7*PROY_Indexado!$B$52</f>
        <v>3319.32790518283</v>
      </c>
    </row>
    <row r="6" customFormat="false" ht="15" hidden="false" customHeight="false" outlineLevel="0" collapsed="false">
      <c r="A6" s="10" t="str">
        <f aca="false">PROY_Indexado!A8</f>
        <v>Agua 10 l</v>
      </c>
      <c r="B6" s="7" t="n">
        <f aca="false">PROY_Indexado!B8*PROY_Indexado!$B$52</f>
        <v>88.339838691209</v>
      </c>
      <c r="C6" s="7" t="n">
        <f aca="false">PROY_Indexado!C8*PROY_Indexado!$B$52</f>
        <v>356.791054511953</v>
      </c>
      <c r="D6" s="7" t="n">
        <f aca="false">PROY_Indexado!D8*PROY_Indexado!$B$52</f>
        <v>817.563242183208</v>
      </c>
      <c r="E6" s="7" t="n">
        <f aca="false">PROY_Indexado!E8*PROY_Indexado!$B$52</f>
        <v>1534.05179987619</v>
      </c>
      <c r="F6" s="7" t="n">
        <f aca="false">PROY_Indexado!F8*PROY_Indexado!$B$52</f>
        <v>2213.34625217735</v>
      </c>
      <c r="G6" s="7" t="n">
        <f aca="false">PROY_Indexado!G8*PROY_Indexado!$B$52</f>
        <v>2958.78190195977</v>
      </c>
      <c r="H6" s="7" t="n">
        <f aca="false">PROY_Indexado!H8*PROY_Indexado!$B$52</f>
        <v>3625.98177469707</v>
      </c>
      <c r="I6" s="7" t="n">
        <f aca="false">PROY_Indexado!I8*PROY_Indexado!$B$52</f>
        <v>4031.2585113582</v>
      </c>
      <c r="J6" s="7" t="n">
        <f aca="false">PROY_Indexado!J8*PROY_Indexado!$B$52</f>
        <v>4355.99730852705</v>
      </c>
      <c r="K6" s="7" t="n">
        <f aca="false">PROY_Indexado!K8*PROY_Indexado!$B$52</f>
        <v>4686.14321768856</v>
      </c>
    </row>
    <row r="7" customFormat="false" ht="15" hidden="false" customHeight="false" outlineLevel="0" collapsed="false">
      <c r="A7" s="10" t="str">
        <f aca="false">PROY_Indexado!A9</f>
        <v>AFFF 10 l</v>
      </c>
      <c r="B7" s="7" t="n">
        <f aca="false">PROY_Indexado!B9*PROY_Indexado!$B$52</f>
        <v>12.6199770351041</v>
      </c>
      <c r="C7" s="7" t="n">
        <f aca="false">PROY_Indexado!C9*PROY_Indexado!$B$52</f>
        <v>89.4527681249774</v>
      </c>
      <c r="D7" s="7" t="n">
        <f aca="false">PROY_Indexado!D9*PROY_Indexado!$B$52</f>
        <v>175.56498402136</v>
      </c>
      <c r="E7" s="7" t="n">
        <f aca="false">PROY_Indexado!E9*PROY_Indexado!$B$52</f>
        <v>292.450726979665</v>
      </c>
      <c r="F7" s="7" t="n">
        <f aca="false">PROY_Indexado!F9*PROY_Indexado!$B$52</f>
        <v>412.445652132626</v>
      </c>
      <c r="G7" s="7" t="n">
        <f aca="false">PROY_Indexado!G9*PROY_Indexado!$B$52</f>
        <v>533.932824837711</v>
      </c>
      <c r="H7" s="7" t="n">
        <f aca="false">PROY_Indexado!H9*PROY_Indexado!$B$52</f>
        <v>662.61904062623</v>
      </c>
      <c r="I7" s="7" t="n">
        <f aca="false">PROY_Indexado!I9*PROY_Indexado!$B$52</f>
        <v>749.498407409914</v>
      </c>
      <c r="J7" s="7" t="n">
        <f aca="false">PROY_Indexado!J9*PROY_Indexado!$B$52</f>
        <v>819.330008059193</v>
      </c>
      <c r="K7" s="7" t="n">
        <f aca="false">PROY_Indexado!K9*PROY_Indexado!$B$52</f>
        <v>889.694438407785</v>
      </c>
    </row>
    <row r="8" customFormat="false" ht="15" hidden="false" customHeight="false" outlineLevel="0" collapsed="false">
      <c r="A8" s="10" t="str">
        <f aca="false">PROY_Indexado!A10</f>
        <v>AFFF 50 l s/ruedas</v>
      </c>
      <c r="B8" s="7" t="n">
        <f aca="false">PROY_Indexado!B10*PROY_Indexado!$B$52</f>
        <v>6.30998824029218</v>
      </c>
      <c r="C8" s="7" t="n">
        <f aca="false">PROY_Indexado!C10*PROY_Indexado!$B$52</f>
        <v>46.1490845807389</v>
      </c>
      <c r="D8" s="7" t="n">
        <f aca="false">PROY_Indexado!D10*PROY_Indexado!$B$52</f>
        <v>91.1984422881729</v>
      </c>
      <c r="E8" s="7" t="n">
        <f aca="false">PROY_Indexado!E10*PROY_Indexado!$B$52</f>
        <v>156.009218267227</v>
      </c>
      <c r="F8" s="7" t="n">
        <f aca="false">PROY_Indexado!F10*PROY_Indexado!$B$52</f>
        <v>221.199315137235</v>
      </c>
      <c r="G8" s="7" t="n">
        <f aca="false">PROY_Indexado!G10*PROY_Indexado!$B$52</f>
        <v>285.315535180606</v>
      </c>
      <c r="H8" s="7" t="n">
        <f aca="false">PROY_Indexado!H10*PROY_Indexado!$B$52</f>
        <v>348.829239583597</v>
      </c>
      <c r="I8" s="7" t="n">
        <f aca="false">PROY_Indexado!I10*PROY_Indexado!$B$52</f>
        <v>394.362252179898</v>
      </c>
      <c r="J8" s="7" t="n">
        <f aca="false">PROY_Indexado!J10*PROY_Indexado!$B$52</f>
        <v>428.871654691993</v>
      </c>
      <c r="K8" s="7" t="n">
        <f aca="false">PROY_Indexado!K10*PROY_Indexado!$B$52</f>
        <v>463.773030017405</v>
      </c>
    </row>
    <row r="9" customFormat="false" ht="15" hidden="false" customHeight="false" outlineLevel="0" collapsed="false">
      <c r="A9" s="10" t="str">
        <f aca="false">PROY_Indexado!A11</f>
        <v>BC 5 kg</v>
      </c>
      <c r="B9" s="7" t="n">
        <f aca="false">PROY_Indexado!B11*PROY_Indexado!$B$52</f>
        <v>3.78599294417531</v>
      </c>
      <c r="C9" s="7" t="n">
        <f aca="false">PROY_Indexado!C11*PROY_Indexado!$B$52</f>
        <v>26.1029697754505</v>
      </c>
      <c r="D9" s="7" t="n">
        <f aca="false">PROY_Indexado!D11*PROY_Indexado!$B$52</f>
        <v>49.2910799264256</v>
      </c>
      <c r="E9" s="7" t="n">
        <f aca="false">PROY_Indexado!E11*PROY_Indexado!$B$52</f>
        <v>88.4472796632196</v>
      </c>
      <c r="F9" s="7" t="n">
        <f aca="false">PROY_Indexado!F11*PROY_Indexado!$B$52</f>
        <v>121.881332544252</v>
      </c>
      <c r="G9" s="7" t="n">
        <f aca="false">PROY_Indexado!G11*PROY_Indexado!$B$52</f>
        <v>161.847594678341</v>
      </c>
      <c r="H9" s="7" t="n">
        <f aca="false">PROY_Indexado!H11*PROY_Indexado!$B$52</f>
        <v>204.531372288667</v>
      </c>
      <c r="I9" s="7" t="n">
        <f aca="false">PROY_Indexado!I11*PROY_Indexado!$B$52</f>
        <v>226.470825981982</v>
      </c>
      <c r="J9" s="7" t="n">
        <f aca="false">PROY_Indexado!J11*PROY_Indexado!$B$52</f>
        <v>247.194887193214</v>
      </c>
      <c r="K9" s="7" t="n">
        <f aca="false">PROY_Indexado!K11*PROY_Indexado!$B$52</f>
        <v>268.09876141114</v>
      </c>
    </row>
    <row r="10" customFormat="false" ht="15" hidden="false" customHeight="false" outlineLevel="0" collapsed="false">
      <c r="A10" s="10" t="str">
        <f aca="false">PROY_Indexado!A12</f>
        <v>Sales K 6 l</v>
      </c>
      <c r="B10" s="7" t="n">
        <f aca="false">PROY_Indexado!B12*PROY_Indexado!$B$52</f>
        <v>45.4319169936629</v>
      </c>
      <c r="C10" s="7" t="n">
        <f aca="false">PROY_Indexado!C12*PROY_Indexado!$B$52</f>
        <v>185.985285501959</v>
      </c>
      <c r="D10" s="7" t="n">
        <f aca="false">PROY_Indexado!D12*PROY_Indexado!$B$52</f>
        <v>414.00352321421</v>
      </c>
      <c r="E10" s="7" t="n">
        <f aca="false">PROY_Indexado!E12*PROY_Indexado!$B$52</f>
        <v>753.536782804492</v>
      </c>
      <c r="F10" s="7" t="n">
        <f aca="false">PROY_Indexado!F12*PROY_Indexado!$B$52</f>
        <v>1087.48281240957</v>
      </c>
      <c r="G10" s="7" t="n">
        <f aca="false">PROY_Indexado!G12*PROY_Indexado!$B$52</f>
        <v>1440.94250530308</v>
      </c>
      <c r="H10" s="7" t="n">
        <f aca="false">PROY_Indexado!H12*PROY_Indexado!$B$52</f>
        <v>1772.94570846055</v>
      </c>
      <c r="I10" s="7" t="n">
        <f aca="false">PROY_Indexado!I12*PROY_Indexado!$B$52</f>
        <v>1984.37076256639</v>
      </c>
      <c r="J10" s="7" t="n">
        <f aca="false">PROY_Indexado!J12*PROY_Indexado!$B$52</f>
        <v>2146.40616864414</v>
      </c>
      <c r="K10" s="7" t="n">
        <f aca="false">PROY_Indexado!K12*PROY_Indexado!$B$52</f>
        <v>2310.99407344162</v>
      </c>
    </row>
    <row r="11" customFormat="false" ht="15" hidden="false" customHeight="false" outlineLevel="0" collapsed="false">
      <c r="A11" s="10" t="str">
        <f aca="false">PROY_Indexado!A13</f>
        <v>CO₂ 2 kg</v>
      </c>
      <c r="B11" s="7" t="n">
        <f aca="false">PROY_Indexado!B13*PROY_Indexado!$B$52</f>
        <v>249.875543742406</v>
      </c>
      <c r="C11" s="7" t="n">
        <f aca="false">PROY_Indexado!C13*PROY_Indexado!$B$52</f>
        <v>941.120636700713</v>
      </c>
      <c r="D11" s="7" t="n">
        <f aca="false">PROY_Indexado!D13*PROY_Indexado!$B$52</f>
        <v>2193.23472899626</v>
      </c>
      <c r="E11" s="7" t="n">
        <f aca="false">PROY_Indexado!E13*PROY_Indexado!$B$52</f>
        <v>4192.86810394653</v>
      </c>
      <c r="F11" s="7" t="n">
        <f aca="false">PROY_Indexado!F13*PROY_Indexado!$B$52</f>
        <v>6055.43584879139</v>
      </c>
      <c r="G11" s="7" t="n">
        <f aca="false">PROY_Indexado!G13*PROY_Indexado!$B$52</f>
        <v>8048.79036235787</v>
      </c>
      <c r="H11" s="7" t="n">
        <f aca="false">PROY_Indexado!H13*PROY_Indexado!$B$52</f>
        <v>9840.78414158944</v>
      </c>
      <c r="I11" s="7" t="n">
        <f aca="false">PROY_Indexado!I13*PROY_Indexado!$B$52</f>
        <v>10878.1276496269</v>
      </c>
      <c r="J11" s="7" t="n">
        <f aca="false">PROY_Indexado!J13*PROY_Indexado!$B$52</f>
        <v>11734.6392764024</v>
      </c>
      <c r="K11" s="7" t="n">
        <f aca="false">PROY_Indexado!K13*PROY_Indexado!$B$52</f>
        <v>12606.7299522508</v>
      </c>
    </row>
    <row r="12" customFormat="false" ht="15" hidden="false" customHeight="false" outlineLevel="0" collapsed="false">
      <c r="A12" s="10" t="str">
        <f aca="false">PROY_Indexado!A14</f>
        <v>CO₂ 5 kg</v>
      </c>
      <c r="B12" s="7" t="n">
        <f aca="false">PROY_Indexado!B14*PROY_Indexado!$B$52</f>
        <v>69.4098734158127</v>
      </c>
      <c r="C12" s="7" t="n">
        <f aca="false">PROY_Indexado!C14*PROY_Indexado!$B$52</f>
        <v>356.90574527503</v>
      </c>
      <c r="D12" s="7" t="n">
        <f aca="false">PROY_Indexado!D14*PROY_Indexado!$B$52</f>
        <v>762.812169043744</v>
      </c>
      <c r="E12" s="7" t="n">
        <f aca="false">PROY_Indexado!E14*PROY_Indexado!$B$52</f>
        <v>1364.27618824758</v>
      </c>
      <c r="F12" s="7" t="n">
        <f aca="false">PROY_Indexado!F14*PROY_Indexado!$B$52</f>
        <v>1965.91536471038</v>
      </c>
      <c r="G12" s="7" t="n">
        <f aca="false">PROY_Indexado!G14*PROY_Indexado!$B$52</f>
        <v>2619.25279516781</v>
      </c>
      <c r="H12" s="7" t="n">
        <f aca="false">PROY_Indexado!H14*PROY_Indexado!$B$52</f>
        <v>3246.10597084992</v>
      </c>
      <c r="I12" s="7" t="n">
        <f aca="false">PROY_Indexado!I14*PROY_Indexado!$B$52</f>
        <v>3664.5214632698</v>
      </c>
      <c r="J12" s="7" t="n">
        <f aca="false">PROY_Indexado!J14*PROY_Indexado!$B$52</f>
        <v>3984.61714411598</v>
      </c>
      <c r="K12" s="7" t="n">
        <f aca="false">PROY_Indexado!K14*PROY_Indexado!$B$52</f>
        <v>4308.38387982745</v>
      </c>
    </row>
    <row r="13" customFormat="false" ht="15" hidden="false" customHeight="false" outlineLevel="0" collapsed="false">
      <c r="A13" s="10" t="str">
        <f aca="false">PROY_Indexado!A15</f>
        <v>HCFC/HFC 5 kg</v>
      </c>
      <c r="B13" s="7" t="n">
        <f aca="false">PROY_Indexado!B15*PROY_Indexado!$B$52</f>
        <v>10.0959817389872</v>
      </c>
      <c r="C13" s="7" t="n">
        <f aca="false">PROY_Indexado!C15*PROY_Indexado!$B$52</f>
        <v>62.1478673886256</v>
      </c>
      <c r="D13" s="7" t="n">
        <f aca="false">PROY_Indexado!D15*PROY_Indexado!$B$52</f>
        <v>128.01312253933</v>
      </c>
      <c r="E13" s="7" t="n">
        <f aca="false">PROY_Indexado!E15*PROY_Indexado!$B$52</f>
        <v>222.204562382906</v>
      </c>
      <c r="F13" s="7" t="n">
        <f aca="false">PROY_Indexado!F15*PROY_Indexado!$B$52</f>
        <v>318.575909152296</v>
      </c>
      <c r="G13" s="7" t="n">
        <f aca="false">PROY_Indexado!G15*PROY_Indexado!$B$52</f>
        <v>418.299537906318</v>
      </c>
      <c r="H13" s="7" t="n">
        <f aca="false">PROY_Indexado!H15*PROY_Indexado!$B$52</f>
        <v>523.937332056768</v>
      </c>
      <c r="I13" s="7" t="n">
        <f aca="false">PROY_Indexado!I15*PROY_Indexado!$B$52</f>
        <v>594.575289802447</v>
      </c>
      <c r="J13" s="7" t="n">
        <f aca="false">PROY_Indexado!J15*PROY_Indexado!$B$52</f>
        <v>649.728423023799</v>
      </c>
      <c r="K13" s="7" t="n">
        <f aca="false">PROY_Indexado!K15*PROY_Indexado!$B$52</f>
        <v>705.316446113659</v>
      </c>
    </row>
    <row r="14" customFormat="false" ht="15" hidden="false" customHeight="false" outlineLevel="0" collapsed="false">
      <c r="A14" s="10" t="str">
        <f aca="false">PROY_Indexado!A16</f>
        <v>Clase D 9 l</v>
      </c>
      <c r="B14" s="7" t="n">
        <f aca="false">PROY_Indexado!B16*PROY_Indexado!$B$52</f>
        <v>3.78599294417531</v>
      </c>
      <c r="C14" s="7" t="n">
        <f aca="false">PROY_Indexado!C16*PROY_Indexado!$B$52</f>
        <v>26.1029697754505</v>
      </c>
      <c r="D14" s="7" t="n">
        <f aca="false">PROY_Indexado!D16*PROY_Indexado!$B$52</f>
        <v>49.2910799264256</v>
      </c>
      <c r="E14" s="7" t="n">
        <f aca="false">PROY_Indexado!E16*PROY_Indexado!$B$52</f>
        <v>82.2237332869456</v>
      </c>
      <c r="F14" s="7" t="n">
        <f aca="false">PROY_Indexado!F16*PROY_Indexado!$B$52</f>
        <v>113.801897325038</v>
      </c>
      <c r="G14" s="7" t="n">
        <f aca="false">PROY_Indexado!G16*PROY_Indexado!$B$52</f>
        <v>141.826821425121</v>
      </c>
      <c r="H14" s="7" t="n">
        <f aca="false">PROY_Indexado!H16*PROY_Indexado!$B$52</f>
        <v>182.114209267126</v>
      </c>
      <c r="I14" s="7" t="n">
        <f aca="false">PROY_Indexado!I16*PROY_Indexado!$B$52</f>
        <v>203.457767731223</v>
      </c>
      <c r="J14" s="7" t="n">
        <f aca="false">PROY_Indexado!J16*PROY_Indexado!$B$52</f>
        <v>222.740435286546</v>
      </c>
      <c r="K14" s="7" t="n">
        <f aca="false">PROY_Indexado!K16*PROY_Indexado!$B$52</f>
        <v>242.151440335721</v>
      </c>
    </row>
    <row r="15" customFormat="false" ht="15" hidden="false" customHeight="false" outlineLevel="0" collapsed="false">
      <c r="A15" s="10" t="str">
        <f aca="false">PROY_Indexado!A17</f>
        <v>ABC 25 kg s/ruedas</v>
      </c>
      <c r="B15" s="7" t="n">
        <f aca="false">PROY_Indexado!B17*PROY_Indexado!$B$52</f>
        <v>9.78048218834269</v>
      </c>
      <c r="C15" s="7" t="n">
        <f aca="false">PROY_Indexado!C17*PROY_Indexado!$B$52</f>
        <v>47.6819429404605</v>
      </c>
      <c r="D15" s="7" t="n">
        <f aca="false">PROY_Indexado!D17*PROY_Indexado!$B$52</f>
        <v>103.622863501196</v>
      </c>
      <c r="E15" s="7" t="n">
        <f aca="false">PROY_Indexado!E17*PROY_Indexado!$B$52</f>
        <v>186.642261634937</v>
      </c>
      <c r="F15" s="7" t="n">
        <f aca="false">PROY_Indexado!F17*PROY_Indexado!$B$52</f>
        <v>268.461081835939</v>
      </c>
      <c r="G15" s="7" t="n">
        <f aca="false">PROY_Indexado!G17*PROY_Indexado!$B$52</f>
        <v>356.678399945357</v>
      </c>
      <c r="H15" s="7" t="n">
        <f aca="false">PROY_Indexado!H17*PROY_Indexado!$B$52</f>
        <v>439.419042669912</v>
      </c>
      <c r="I15" s="7" t="n">
        <f aca="false">PROY_Indexado!I17*PROY_Indexado!$B$52</f>
        <v>493.343849790791</v>
      </c>
      <c r="J15" s="7" t="n">
        <f aca="false">PROY_Indexado!J17*PROY_Indexado!$B$52</f>
        <v>535.284064674469</v>
      </c>
      <c r="K15" s="7" t="n">
        <f aca="false">PROY_Indexado!K17*PROY_Indexado!$B$52</f>
        <v>577.776131502584</v>
      </c>
    </row>
    <row r="16" customFormat="false" ht="15" hidden="false" customHeight="false" outlineLevel="0" collapsed="false">
      <c r="A16" s="10" t="str">
        <f aca="false">PROY_Indexado!A18</f>
        <v>ABC 50 kg s/ruedas</v>
      </c>
      <c r="B16" s="7" t="n">
        <f aca="false">PROY_Indexado!B18*PROY_Indexado!$B$52</f>
        <v>21.5170604816421</v>
      </c>
      <c r="C16" s="7" t="n">
        <f aca="false">PROY_Indexado!C18*PROY_Indexado!$B$52</f>
        <v>104.900275134437</v>
      </c>
      <c r="D16" s="7" t="n">
        <f aca="false">PROY_Indexado!D18*PROY_Indexado!$B$52</f>
        <v>227.970300035343</v>
      </c>
      <c r="E16" s="7" t="n">
        <f aca="false">PROY_Indexado!E18*PROY_Indexado!$B$52</f>
        <v>410.612975485956</v>
      </c>
      <c r="F16" s="7" t="n">
        <f aca="false">PROY_Indexado!F18*PROY_Indexado!$B$52</f>
        <v>590.614379706353</v>
      </c>
      <c r="G16" s="7" t="n">
        <f aca="false">PROY_Indexado!G18*PROY_Indexado!$B$52</f>
        <v>784.692480434306</v>
      </c>
      <c r="H16" s="7" t="n">
        <f aca="false">PROY_Indexado!H18*PROY_Indexado!$B$52</f>
        <v>966.721894206519</v>
      </c>
      <c r="I16" s="7" t="n">
        <f aca="false">PROY_Indexado!I18*PROY_Indexado!$B$52</f>
        <v>1085.35646931793</v>
      </c>
      <c r="J16" s="7" t="n">
        <f aca="false">PROY_Indexado!J18*PROY_Indexado!$B$52</f>
        <v>1177.62494172931</v>
      </c>
      <c r="K16" s="7" t="n">
        <f aca="false">PROY_Indexado!K18*PROY_Indexado!$B$52</f>
        <v>1271.10748852936</v>
      </c>
    </row>
    <row r="17" customFormat="false" ht="15" hidden="false" customHeight="false" outlineLevel="0" collapsed="false">
      <c r="A17" s="10" t="str">
        <f aca="false">PROY_Indexado!A19</f>
        <v>ABC 70 kg s/ruedas</v>
      </c>
      <c r="B17" s="7" t="n">
        <f aca="false">PROY_Indexado!B19*PROY_Indexado!$B$52</f>
        <v>4.69463120641581</v>
      </c>
      <c r="C17" s="7" t="n">
        <f aca="false">PROY_Indexado!C19*PROY_Indexado!$B$52</f>
        <v>22.8873325448787</v>
      </c>
      <c r="D17" s="7" t="n">
        <f aca="false">PROY_Indexado!D19*PROY_Indexado!$B$52</f>
        <v>49.7389743918509</v>
      </c>
      <c r="E17" s="7" t="n">
        <f aca="false">PROY_Indexado!E19*PROY_Indexado!$B$52</f>
        <v>89.588285540408</v>
      </c>
      <c r="F17" s="7" t="n">
        <f aca="false">PROY_Indexado!F19*PROY_Indexado!$B$52</f>
        <v>128.86131925907</v>
      </c>
      <c r="G17" s="7" t="n">
        <f aca="false">PROY_Indexado!G19*PROY_Indexado!$B$52</f>
        <v>171.205632084676</v>
      </c>
      <c r="H17" s="7" t="n">
        <f aca="false">PROY_Indexado!H19*PROY_Indexado!$B$52</f>
        <v>210.921140392835</v>
      </c>
      <c r="I17" s="7" t="n">
        <f aca="false">PROY_Indexado!I19*PROY_Indexado!$B$52</f>
        <v>236.805047699952</v>
      </c>
      <c r="J17" s="7" t="n">
        <f aca="false">PROY_Indexado!J19*PROY_Indexado!$B$52</f>
        <v>256.936351154649</v>
      </c>
      <c r="K17" s="7" t="n">
        <f aca="false">PROY_Indexado!K19*PROY_Indexado!$B$52</f>
        <v>277.332543143421</v>
      </c>
    </row>
    <row r="18" customFormat="false" ht="15" hidden="false" customHeight="false" outlineLevel="0" collapsed="false">
      <c r="A18" s="10" t="str">
        <f aca="false">PROY_Indexado!A20</f>
        <v>ABC 100 kg s/ruedas</v>
      </c>
      <c r="B18" s="7" t="n">
        <f aca="false">PROY_Indexado!B20*PROY_Indexado!$B$52</f>
        <v>3.12975432245045</v>
      </c>
      <c r="C18" s="7" t="n">
        <f aca="false">PROY_Indexado!C20*PROY_Indexado!$B$52</f>
        <v>15.2582216965858</v>
      </c>
      <c r="D18" s="7" t="n">
        <f aca="false">PROY_Indexado!D20*PROY_Indexado!$B$52</f>
        <v>33.1593166309138</v>
      </c>
      <c r="E18" s="7" t="n">
        <f aca="false">PROY_Indexado!E20*PROY_Indexado!$B$52</f>
        <v>59.7255238784452</v>
      </c>
      <c r="F18" s="7" t="n">
        <f aca="false">PROY_Indexado!F20*PROY_Indexado!$B$52</f>
        <v>85.9075459878733</v>
      </c>
      <c r="G18" s="7" t="n">
        <f aca="false">PROY_Indexado!G20*PROY_Indexado!$B$52</f>
        <v>114.13708787161</v>
      </c>
      <c r="H18" s="7" t="n">
        <f aca="false">PROY_Indexado!H20*PROY_Indexado!$B$52</f>
        <v>140.614093964903</v>
      </c>
      <c r="I18" s="7" t="n">
        <f aca="false">PROY_Indexado!I20*PROY_Indexado!$B$52</f>
        <v>157.870031799968</v>
      </c>
      <c r="J18" s="7" t="n">
        <f aca="false">PROY_Indexado!J20*PROY_Indexado!$B$52</f>
        <v>171.290900584926</v>
      </c>
      <c r="K18" s="7" t="n">
        <f aca="false">PROY_Indexado!K20*PROY_Indexado!$B$52</f>
        <v>184.888361725934</v>
      </c>
    </row>
    <row r="19" customFormat="false" ht="15" hidden="false" customHeight="false" outlineLevel="0" collapsed="false">
      <c r="A19" s="4" t="s">
        <v>88</v>
      </c>
      <c r="B19" s="8" t="n">
        <f aca="false">SUM(B2:B18)</f>
        <v>3787.25508488946</v>
      </c>
      <c r="C19" s="8" t="n">
        <f aca="false">SUM(C2:C18)</f>
        <v>17003.0618144053</v>
      </c>
      <c r="D19" s="8" t="n">
        <f aca="false">SUM(D2:D18)</f>
        <v>34093.569268379</v>
      </c>
      <c r="E19" s="8" t="n">
        <f aca="false">SUM(E2:E18)</f>
        <v>63243.417305399</v>
      </c>
      <c r="F19" s="8" t="n">
        <f aca="false">SUM(F2:F18)</f>
        <v>93087.4480469466</v>
      </c>
      <c r="G19" s="8" t="n">
        <f aca="false">SUM(G2:G18)</f>
        <v>126702.275089835</v>
      </c>
      <c r="H19" s="8" t="n">
        <f aca="false">SUM(H2:H18)</f>
        <v>157360.381676748</v>
      </c>
      <c r="I19" s="8" t="n">
        <f aca="false">SUM(I2:I18)</f>
        <v>178894.854106472</v>
      </c>
      <c r="J19" s="8" t="n">
        <f aca="false">SUM(J2:J18)</f>
        <v>192420.409708072</v>
      </c>
      <c r="K19" s="8" t="n">
        <f aca="false">SUM(K2:K18)</f>
        <v>206230.154921913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30"/>
    <col collapsed="false" customWidth="true" hidden="false" outlineLevel="0" max="3" min="3" style="0" width="34"/>
    <col collapsed="false" customWidth="true" hidden="false" outlineLevel="0" max="4" min="4" style="0" width="11"/>
    <col collapsed="false" customWidth="true" hidden="false" outlineLevel="0" max="12" min="5"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70"/>
    <col collapsed="false" customWidth="true" hidden="false" outlineLevel="0" max="18" min="18" style="0" width="60"/>
    <col collapsed="false" customWidth="true" hidden="false" outlineLevel="0" max="19" min="19" style="0" width="70"/>
  </cols>
  <sheetData>
    <row r="1" customFormat="false" ht="15" hidden="false" customHeight="true" outlineLevel="0" collapsed="false">
      <c r="A1" s="6" t="s">
        <v>89</v>
      </c>
      <c r="B1" s="6" t="s">
        <v>64</v>
      </c>
      <c r="C1" s="6" t="s">
        <v>90</v>
      </c>
      <c r="D1" s="6"/>
      <c r="E1" s="6"/>
      <c r="F1" s="6"/>
      <c r="G1" s="6"/>
      <c r="H1" s="6"/>
      <c r="I1" s="6"/>
      <c r="J1" s="6"/>
      <c r="K1" s="6"/>
      <c r="L1" s="6"/>
      <c r="M1" s="6"/>
      <c r="N1" s="6"/>
      <c r="O1" s="6"/>
      <c r="P1" s="6"/>
      <c r="Q1" s="6"/>
    </row>
    <row r="2" customFormat="false" ht="15" hidden="false" customHeight="true" outlineLevel="0" collapsed="false">
      <c r="A2" s="5" t="s">
        <v>91</v>
      </c>
      <c r="B2" s="12" t="n">
        <v>20</v>
      </c>
      <c r="C2" s="5" t="s">
        <v>92</v>
      </c>
      <c r="D2" s="5"/>
      <c r="E2" s="5"/>
      <c r="F2" s="5"/>
      <c r="G2" s="5"/>
      <c r="H2" s="5"/>
      <c r="I2" s="5"/>
      <c r="J2" s="5"/>
      <c r="K2" s="5"/>
      <c r="L2" s="5"/>
      <c r="M2" s="5"/>
      <c r="N2" s="5"/>
      <c r="O2" s="5"/>
      <c r="P2" s="5"/>
      <c r="Q2" s="5"/>
    </row>
    <row r="3" customFormat="false" ht="15" hidden="false" customHeight="false" outlineLevel="0" collapsed="false">
      <c r="A3" s="5" t="s">
        <v>93</v>
      </c>
      <c r="B3" s="12" t="n">
        <v>8</v>
      </c>
      <c r="C3" s="5"/>
      <c r="D3" s="5"/>
      <c r="E3" s="5"/>
      <c r="F3" s="5"/>
      <c r="G3" s="5"/>
      <c r="H3" s="5"/>
      <c r="I3" s="5"/>
      <c r="J3" s="5"/>
      <c r="K3" s="5"/>
      <c r="L3" s="5"/>
      <c r="M3" s="5"/>
      <c r="N3" s="5"/>
      <c r="O3" s="5"/>
      <c r="P3" s="5"/>
      <c r="Q3" s="5"/>
    </row>
    <row r="4" customFormat="false" ht="15" hidden="false" customHeight="false" outlineLevel="0" collapsed="false">
      <c r="A4" s="5" t="s">
        <v>94</v>
      </c>
      <c r="B4" s="12" t="n">
        <v>30</v>
      </c>
      <c r="C4" s="5"/>
      <c r="D4" s="5"/>
      <c r="E4" s="5"/>
      <c r="F4" s="5"/>
      <c r="G4" s="5"/>
      <c r="H4" s="5"/>
      <c r="I4" s="5"/>
      <c r="J4" s="5"/>
      <c r="K4" s="5"/>
      <c r="L4" s="5"/>
      <c r="M4" s="5"/>
      <c r="N4" s="5"/>
      <c r="O4" s="5"/>
      <c r="P4" s="5"/>
      <c r="Q4" s="5"/>
    </row>
    <row r="5" customFormat="false" ht="15" hidden="false" customHeight="false" outlineLevel="0" collapsed="false">
      <c r="A5" s="5" t="s">
        <v>95</v>
      </c>
      <c r="B5" s="13" t="n">
        <f aca="false">B3-B4/60</f>
        <v>7.5</v>
      </c>
      <c r="C5" s="5"/>
      <c r="D5" s="5"/>
      <c r="E5" s="5"/>
      <c r="F5" s="5"/>
      <c r="G5" s="5"/>
      <c r="H5" s="5"/>
      <c r="I5" s="5"/>
      <c r="J5" s="5"/>
      <c r="K5" s="5"/>
      <c r="L5" s="5"/>
      <c r="M5" s="5"/>
      <c r="N5" s="5"/>
      <c r="O5" s="5"/>
      <c r="P5" s="5"/>
      <c r="Q5" s="5"/>
    </row>
    <row r="6" customFormat="false" ht="15" hidden="false" customHeight="false" outlineLevel="0" collapsed="false">
      <c r="A6" s="5" t="s">
        <v>96</v>
      </c>
      <c r="B6" s="14" t="n">
        <f aca="false">B2*B5</f>
        <v>150</v>
      </c>
      <c r="C6" s="5"/>
      <c r="D6" s="5"/>
      <c r="E6" s="5"/>
      <c r="F6" s="5"/>
      <c r="G6" s="5"/>
      <c r="H6" s="5"/>
      <c r="I6" s="5"/>
      <c r="J6" s="5"/>
      <c r="K6" s="5"/>
      <c r="L6" s="5"/>
      <c r="M6" s="5"/>
      <c r="N6" s="5"/>
      <c r="O6" s="5"/>
      <c r="P6" s="5"/>
      <c r="Q6" s="5"/>
    </row>
    <row r="7" customFormat="false" ht="15" hidden="false" customHeight="true" outlineLevel="0" collapsed="false">
      <c r="A7" s="5" t="s">
        <v>97</v>
      </c>
      <c r="B7" s="15" t="n">
        <v>0.9</v>
      </c>
      <c r="C7" s="5" t="s">
        <v>98</v>
      </c>
      <c r="D7" s="5"/>
      <c r="E7" s="5"/>
      <c r="F7" s="5"/>
      <c r="G7" s="5"/>
      <c r="H7" s="5"/>
      <c r="I7" s="5"/>
      <c r="J7" s="5"/>
      <c r="K7" s="5"/>
      <c r="L7" s="5"/>
      <c r="M7" s="5"/>
      <c r="N7" s="5"/>
      <c r="O7" s="5"/>
      <c r="P7" s="5"/>
      <c r="Q7" s="5"/>
    </row>
    <row r="8" customFormat="false" ht="15" hidden="false" customHeight="true" outlineLevel="0" collapsed="false">
      <c r="A8" s="5" t="s">
        <v>99</v>
      </c>
      <c r="B8" s="12" t="n">
        <v>2</v>
      </c>
      <c r="C8" s="5" t="s">
        <v>100</v>
      </c>
      <c r="D8" s="5"/>
      <c r="E8" s="5"/>
      <c r="F8" s="5"/>
      <c r="G8" s="5"/>
      <c r="H8" s="5"/>
      <c r="I8" s="5"/>
      <c r="J8" s="5"/>
      <c r="K8" s="5"/>
      <c r="L8" s="5"/>
      <c r="M8" s="5"/>
      <c r="N8" s="5"/>
      <c r="O8" s="5"/>
      <c r="P8" s="5"/>
      <c r="Q8" s="5"/>
    </row>
    <row r="9" customFormat="false" ht="15" hidden="false" customHeight="true" outlineLevel="0" collapsed="false">
      <c r="A9" s="5" t="s">
        <v>101</v>
      </c>
      <c r="B9" s="16" t="n">
        <f aca="false">D120</f>
        <v>6.360853875</v>
      </c>
      <c r="C9" s="5" t="s">
        <v>102</v>
      </c>
      <c r="D9" s="5"/>
      <c r="E9" s="5"/>
      <c r="F9" s="5"/>
      <c r="G9" s="5"/>
      <c r="H9" s="5"/>
      <c r="I9" s="5"/>
      <c r="J9" s="5"/>
      <c r="K9" s="5"/>
      <c r="L9" s="5"/>
      <c r="M9" s="5"/>
      <c r="N9" s="5"/>
      <c r="O9" s="5"/>
      <c r="P9" s="5"/>
      <c r="Q9" s="5"/>
    </row>
    <row r="10" customFormat="false" ht="15" hidden="false" customHeight="true" outlineLevel="0" collapsed="false">
      <c r="A10" s="5" t="s">
        <v>103</v>
      </c>
      <c r="B10" s="12" t="n">
        <v>2032</v>
      </c>
      <c r="C10" s="5" t="s">
        <v>104</v>
      </c>
      <c r="D10" s="5"/>
      <c r="E10" s="5"/>
      <c r="F10" s="5"/>
      <c r="G10" s="5"/>
      <c r="H10" s="5"/>
      <c r="I10" s="5"/>
      <c r="J10" s="5"/>
      <c r="K10" s="5"/>
      <c r="L10" s="5"/>
      <c r="M10" s="5"/>
      <c r="N10" s="5"/>
      <c r="O10" s="5"/>
      <c r="P10" s="5"/>
      <c r="Q10" s="5"/>
    </row>
    <row r="11" customFormat="false" ht="15" hidden="false" customHeight="false" outlineLevel="0" collapsed="false">
      <c r="A11" s="1" t="s">
        <v>105</v>
      </c>
    </row>
    <row r="12" customFormat="false" ht="15" hidden="false" customHeight="true" outlineLevel="0" collapsed="false">
      <c r="A12" s="6" t="s">
        <v>106</v>
      </c>
      <c r="B12" s="6" t="s">
        <v>107</v>
      </c>
      <c r="C12" s="6" t="s">
        <v>108</v>
      </c>
      <c r="D12" s="6" t="s">
        <v>109</v>
      </c>
      <c r="E12" s="6" t="s">
        <v>110</v>
      </c>
      <c r="F12" s="6" t="s">
        <v>111</v>
      </c>
      <c r="G12" s="6" t="s">
        <v>112</v>
      </c>
      <c r="H12" s="6" t="s">
        <v>113</v>
      </c>
      <c r="I12" s="6" t="s">
        <v>114</v>
      </c>
      <c r="J12" s="6" t="s">
        <v>115</v>
      </c>
      <c r="K12" s="6" t="s">
        <v>116</v>
      </c>
      <c r="L12" s="6" t="s">
        <v>117</v>
      </c>
      <c r="M12" s="6" t="s">
        <v>118</v>
      </c>
      <c r="N12" s="6"/>
      <c r="O12" s="6"/>
      <c r="P12" s="6"/>
      <c r="Q12" s="6"/>
      <c r="R12" s="6"/>
      <c r="S12" s="6"/>
    </row>
    <row r="13" customFormat="false" ht="30" hidden="false" customHeight="true" outlineLevel="0" collapsed="false">
      <c r="A13" s="5" t="s">
        <v>119</v>
      </c>
      <c r="B13" s="10" t="s">
        <v>120</v>
      </c>
      <c r="C13" s="5" t="s">
        <v>121</v>
      </c>
      <c r="D13" s="10" t="s">
        <v>122</v>
      </c>
      <c r="E13" s="12" t="n">
        <v>5</v>
      </c>
      <c r="F13" s="12" t="n">
        <v>5</v>
      </c>
      <c r="G13" s="12" t="n">
        <v>5</v>
      </c>
      <c r="H13" s="12" t="n">
        <v>2</v>
      </c>
      <c r="I13" s="12" t="n">
        <v>2</v>
      </c>
      <c r="J13" s="12" t="n">
        <v>2</v>
      </c>
      <c r="K13" s="12" t="n">
        <v>5</v>
      </c>
      <c r="L13" s="12" t="n">
        <v>5</v>
      </c>
      <c r="M13" s="5" t="s">
        <v>123</v>
      </c>
      <c r="N13" s="5"/>
      <c r="O13" s="5"/>
      <c r="P13" s="5"/>
      <c r="Q13" s="5"/>
      <c r="R13" s="5"/>
      <c r="S13" s="5"/>
    </row>
    <row r="14" customFormat="false" ht="30" hidden="false" customHeight="true" outlineLevel="0" collapsed="false">
      <c r="A14" s="5" t="s">
        <v>124</v>
      </c>
      <c r="B14" s="10" t="s">
        <v>125</v>
      </c>
      <c r="C14" s="5" t="s">
        <v>126</v>
      </c>
      <c r="D14" s="10" t="s">
        <v>122</v>
      </c>
      <c r="E14" s="9" t="n">
        <f aca="false">1/E13</f>
        <v>0.2</v>
      </c>
      <c r="F14" s="9" t="n">
        <f aca="false">1/F13</f>
        <v>0.2</v>
      </c>
      <c r="G14" s="9" t="n">
        <f aca="false">1/G13</f>
        <v>0.2</v>
      </c>
      <c r="H14" s="9" t="n">
        <f aca="false">1/H13</f>
        <v>0.5</v>
      </c>
      <c r="I14" s="9" t="n">
        <f aca="false">1/I13</f>
        <v>0.5</v>
      </c>
      <c r="J14" s="9" t="n">
        <f aca="false">1/J13</f>
        <v>0.5</v>
      </c>
      <c r="K14" s="9" t="n">
        <f aca="false">1/K13</f>
        <v>0.2</v>
      </c>
      <c r="L14" s="9" t="n">
        <f aca="false">1/L13</f>
        <v>0.2</v>
      </c>
      <c r="M14" s="5" t="s">
        <v>127</v>
      </c>
      <c r="N14" s="5"/>
      <c r="O14" s="5"/>
      <c r="P14" s="5"/>
      <c r="Q14" s="5"/>
      <c r="R14" s="5"/>
      <c r="S14" s="5"/>
    </row>
    <row r="15" customFormat="false" ht="30" hidden="false" customHeight="true" outlineLevel="0" collapsed="false">
      <c r="A15" s="5" t="s">
        <v>128</v>
      </c>
      <c r="B15" s="10" t="s">
        <v>125</v>
      </c>
      <c r="C15" s="5" t="s">
        <v>129</v>
      </c>
      <c r="D15" s="10" t="s">
        <v>130</v>
      </c>
      <c r="E15" s="17" t="n">
        <v>0.05</v>
      </c>
      <c r="F15" s="17" t="n">
        <v>0.05</v>
      </c>
      <c r="G15" s="17" t="n">
        <v>0.05</v>
      </c>
      <c r="H15" s="17" t="n">
        <v>0.05</v>
      </c>
      <c r="I15" s="17" t="n">
        <v>0.05</v>
      </c>
      <c r="J15" s="17" t="n">
        <v>0.05</v>
      </c>
      <c r="K15" s="17" t="n">
        <v>0.05</v>
      </c>
      <c r="L15" s="17" t="n">
        <v>0.05</v>
      </c>
      <c r="M15" s="5" t="s">
        <v>131</v>
      </c>
      <c r="N15" s="5"/>
      <c r="O15" s="5"/>
      <c r="P15" s="5"/>
      <c r="Q15" s="5"/>
      <c r="R15" s="5"/>
      <c r="S15" s="5"/>
    </row>
    <row r="16" customFormat="false" ht="30" hidden="false" customHeight="true" outlineLevel="0" collapsed="false">
      <c r="A16" s="4" t="s">
        <v>132</v>
      </c>
      <c r="B16" s="10" t="s">
        <v>125</v>
      </c>
      <c r="C16" s="5" t="s">
        <v>133</v>
      </c>
      <c r="D16" s="10" t="s">
        <v>134</v>
      </c>
      <c r="E16" s="11" t="n">
        <f aca="false">E14+E15</f>
        <v>0.25</v>
      </c>
      <c r="F16" s="11" t="n">
        <f aca="false">F14+F15</f>
        <v>0.25</v>
      </c>
      <c r="G16" s="11" t="n">
        <f aca="false">G14+G15</f>
        <v>0.25</v>
      </c>
      <c r="H16" s="11" t="n">
        <f aca="false">H14+H15</f>
        <v>0.55</v>
      </c>
      <c r="I16" s="11" t="n">
        <f aca="false">I14+I15</f>
        <v>0.55</v>
      </c>
      <c r="J16" s="11" t="n">
        <f aca="false">J14+J15</f>
        <v>0.55</v>
      </c>
      <c r="K16" s="11" t="n">
        <f aca="false">K14+K15</f>
        <v>0.25</v>
      </c>
      <c r="L16" s="11" t="n">
        <f aca="false">L14+L15</f>
        <v>0.25</v>
      </c>
      <c r="M16" s="5"/>
      <c r="N16" s="5"/>
      <c r="O16" s="5"/>
      <c r="P16" s="5"/>
      <c r="Q16" s="5"/>
      <c r="R16" s="5"/>
      <c r="S16" s="5"/>
    </row>
    <row r="17" customFormat="false" ht="30" hidden="false" customHeight="true" outlineLevel="0" collapsed="false">
      <c r="A17" s="5" t="s">
        <v>135</v>
      </c>
      <c r="B17" s="10" t="s">
        <v>120</v>
      </c>
      <c r="C17" s="5" t="s">
        <v>121</v>
      </c>
      <c r="D17" s="10" t="s">
        <v>122</v>
      </c>
      <c r="E17" s="12" t="n">
        <v>20</v>
      </c>
      <c r="F17" s="12" t="n">
        <v>20</v>
      </c>
      <c r="G17" s="12" t="n">
        <v>20</v>
      </c>
      <c r="H17" s="12" t="n">
        <v>20</v>
      </c>
      <c r="I17" s="12" t="n">
        <v>20</v>
      </c>
      <c r="J17" s="12" t="n">
        <v>20</v>
      </c>
      <c r="K17" s="12" t="n">
        <v>30</v>
      </c>
      <c r="L17" s="12" t="n">
        <v>20</v>
      </c>
      <c r="M17" s="5" t="s">
        <v>136</v>
      </c>
      <c r="N17" s="5"/>
      <c r="O17" s="5"/>
      <c r="P17" s="5"/>
      <c r="Q17" s="5"/>
      <c r="R17" s="5"/>
      <c r="S17" s="5"/>
    </row>
    <row r="18" customFormat="false" ht="30" hidden="false" customHeight="true" outlineLevel="0" collapsed="false">
      <c r="A18" s="5" t="s">
        <v>137</v>
      </c>
      <c r="B18" s="10" t="s">
        <v>125</v>
      </c>
      <c r="C18" s="5" t="s">
        <v>138</v>
      </c>
      <c r="D18" s="10" t="s">
        <v>122</v>
      </c>
      <c r="E18" s="9" t="n">
        <f aca="false">1/E17</f>
        <v>0.05</v>
      </c>
      <c r="F18" s="9" t="n">
        <f aca="false">1/F17</f>
        <v>0.05</v>
      </c>
      <c r="G18" s="9" t="n">
        <f aca="false">1/G17</f>
        <v>0.05</v>
      </c>
      <c r="H18" s="9" t="n">
        <f aca="false">1/H17</f>
        <v>0.05</v>
      </c>
      <c r="I18" s="9" t="n">
        <f aca="false">1/I17</f>
        <v>0.05</v>
      </c>
      <c r="J18" s="9" t="n">
        <f aca="false">1/J17</f>
        <v>0.05</v>
      </c>
      <c r="K18" s="9" t="n">
        <f aca="false">1/K17</f>
        <v>0.0333333333333333</v>
      </c>
      <c r="L18" s="9" t="n">
        <f aca="false">1/L17</f>
        <v>0.05</v>
      </c>
      <c r="M18" s="5" t="s">
        <v>139</v>
      </c>
      <c r="N18" s="5"/>
      <c r="O18" s="5"/>
      <c r="P18" s="5"/>
      <c r="Q18" s="5"/>
      <c r="R18" s="5"/>
      <c r="S18" s="5"/>
    </row>
    <row r="19" customFormat="false" ht="30" hidden="false" customHeight="true" outlineLevel="0" collapsed="false">
      <c r="A19" s="5" t="s">
        <v>140</v>
      </c>
      <c r="B19" s="10" t="s">
        <v>125</v>
      </c>
      <c r="C19" s="5" t="s">
        <v>141</v>
      </c>
      <c r="D19" s="10" t="s">
        <v>142</v>
      </c>
      <c r="E19" s="9" t="n">
        <f aca="false">PROY_Indexado!$B$47</f>
        <v>0.02</v>
      </c>
      <c r="F19" s="9" t="n">
        <f aca="false">PROY_Indexado!$B$47</f>
        <v>0.02</v>
      </c>
      <c r="G19" s="9" t="n">
        <f aca="false">PROY_Indexado!$B$47</f>
        <v>0.02</v>
      </c>
      <c r="H19" s="9" t="n">
        <f aca="false">PROY_Indexado!$B$47</f>
        <v>0.02</v>
      </c>
      <c r="I19" s="9" t="n">
        <f aca="false">PROY_Indexado!$B$47</f>
        <v>0.02</v>
      </c>
      <c r="J19" s="9" t="n">
        <f aca="false">PROY_Indexado!$B$47</f>
        <v>0.02</v>
      </c>
      <c r="K19" s="9" t="n">
        <f aca="false">PROY_Indexado!$B$47</f>
        <v>0.02</v>
      </c>
      <c r="L19" s="9" t="n">
        <f aca="false">PROY_Indexado!$B$47</f>
        <v>0.02</v>
      </c>
      <c r="M19" s="5" t="s">
        <v>143</v>
      </c>
      <c r="N19" s="5"/>
      <c r="O19" s="5"/>
      <c r="P19" s="5"/>
      <c r="Q19" s="5"/>
      <c r="R19" s="5"/>
      <c r="S19" s="5"/>
    </row>
    <row r="20" customFormat="false" ht="30" hidden="false" customHeight="true" outlineLevel="0" collapsed="false">
      <c r="A20" s="5" t="s">
        <v>144</v>
      </c>
      <c r="B20" s="10" t="s">
        <v>125</v>
      </c>
      <c r="C20" s="5" t="s">
        <v>145</v>
      </c>
      <c r="D20" s="10" t="s">
        <v>142</v>
      </c>
      <c r="E20" s="9" t="n">
        <f aca="false">PROY_Indexado!$B$48</f>
        <v>0.01</v>
      </c>
      <c r="F20" s="9" t="n">
        <f aca="false">PROY_Indexado!$B$48</f>
        <v>0.01</v>
      </c>
      <c r="G20" s="9" t="n">
        <f aca="false">PROY_Indexado!$B$48</f>
        <v>0.01</v>
      </c>
      <c r="H20" s="9" t="n">
        <f aca="false">PROY_Indexado!$B$48</f>
        <v>0.01</v>
      </c>
      <c r="I20" s="9" t="n">
        <f aca="false">PROY_Indexado!$B$48</f>
        <v>0.01</v>
      </c>
      <c r="J20" s="9" t="n">
        <f aca="false">PROY_Indexado!$B$48</f>
        <v>0.01</v>
      </c>
      <c r="K20" s="9" t="n">
        <f aca="false">PROY_Indexado!$B$48</f>
        <v>0.01</v>
      </c>
      <c r="L20" s="9" t="n">
        <f aca="false">PROY_Indexado!$B$48</f>
        <v>0.01</v>
      </c>
      <c r="M20" s="5"/>
      <c r="N20" s="5"/>
      <c r="O20" s="5"/>
      <c r="P20" s="5"/>
      <c r="Q20" s="5"/>
      <c r="R20" s="5"/>
      <c r="S20" s="5"/>
    </row>
    <row r="21" customFormat="false" ht="30" hidden="false" customHeight="true" outlineLevel="0" collapsed="false">
      <c r="A21" s="4" t="s">
        <v>146</v>
      </c>
      <c r="B21" s="10" t="s">
        <v>125</v>
      </c>
      <c r="C21" s="5" t="s">
        <v>147</v>
      </c>
      <c r="D21" s="10" t="s">
        <v>134</v>
      </c>
      <c r="E21" s="11" t="n">
        <f aca="false">E18+E19+E20</f>
        <v>0.08</v>
      </c>
      <c r="F21" s="11" t="n">
        <f aca="false">F18+F19+F20</f>
        <v>0.08</v>
      </c>
      <c r="G21" s="11" t="n">
        <f aca="false">G18+G19+G20</f>
        <v>0.08</v>
      </c>
      <c r="H21" s="11" t="n">
        <f aca="false">H18+H19+H20</f>
        <v>0.08</v>
      </c>
      <c r="I21" s="11" t="n">
        <f aca="false">I18+I19+I20</f>
        <v>0.08</v>
      </c>
      <c r="J21" s="11" t="n">
        <f aca="false">J18+J19+J20</f>
        <v>0.08</v>
      </c>
      <c r="K21" s="11" t="n">
        <f aca="false">K18+K19+K20</f>
        <v>0.0633333333333333</v>
      </c>
      <c r="L21" s="11" t="n">
        <f aca="false">L18+L19+L20</f>
        <v>0.08</v>
      </c>
      <c r="M21" s="5" t="s">
        <v>148</v>
      </c>
      <c r="N21" s="5"/>
      <c r="O21" s="5"/>
      <c r="P21" s="5"/>
      <c r="Q21" s="5"/>
      <c r="R21" s="5"/>
      <c r="S21" s="5"/>
    </row>
    <row r="22" customFormat="false" ht="30" hidden="false" customHeight="true" outlineLevel="0" collapsed="false">
      <c r="A22" s="5" t="s">
        <v>149</v>
      </c>
      <c r="B22" s="10" t="s">
        <v>125</v>
      </c>
      <c r="C22" s="5" t="s">
        <v>150</v>
      </c>
      <c r="D22" s="10" t="s">
        <v>142</v>
      </c>
      <c r="E22" s="9" t="n">
        <f aca="false">PROY_Indexado!$B$46</f>
        <v>0.05</v>
      </c>
      <c r="F22" s="9" t="n">
        <f aca="false">PROY_Indexado!$B$46</f>
        <v>0.05</v>
      </c>
      <c r="G22" s="9" t="n">
        <f aca="false">PROY_Indexado!$B$46</f>
        <v>0.05</v>
      </c>
      <c r="H22" s="9" t="n">
        <f aca="false">PROY_Indexado!$B$46</f>
        <v>0.05</v>
      </c>
      <c r="I22" s="9" t="n">
        <f aca="false">PROY_Indexado!$B$46</f>
        <v>0.05</v>
      </c>
      <c r="J22" s="9" t="n">
        <f aca="false">PROY_Indexado!$B$46</f>
        <v>0.05</v>
      </c>
      <c r="K22" s="9" t="n">
        <f aca="false">PROY_Indexado!$B$46</f>
        <v>0.05</v>
      </c>
      <c r="L22" s="9" t="n">
        <f aca="false">PROY_Indexado!$B$46</f>
        <v>0.05</v>
      </c>
      <c r="M22" s="5" t="s">
        <v>151</v>
      </c>
      <c r="N22" s="5"/>
      <c r="O22" s="5"/>
      <c r="P22" s="5"/>
      <c r="Q22" s="5"/>
      <c r="R22" s="5"/>
      <c r="S22" s="5"/>
    </row>
    <row r="23" customFormat="false" ht="30" hidden="false" customHeight="true" outlineLevel="0" collapsed="false">
      <c r="A23" s="5" t="s">
        <v>152</v>
      </c>
      <c r="B23" s="10" t="s">
        <v>125</v>
      </c>
      <c r="C23" s="5" t="s">
        <v>153</v>
      </c>
      <c r="D23" s="10" t="s">
        <v>122</v>
      </c>
      <c r="E23" s="9" t="n">
        <f aca="false">1/10</f>
        <v>0.1</v>
      </c>
      <c r="F23" s="9" t="n">
        <v>1</v>
      </c>
      <c r="G23" s="9" t="n">
        <v>1</v>
      </c>
      <c r="H23" s="9" t="n">
        <v>1</v>
      </c>
      <c r="I23" s="9" t="n">
        <v>1</v>
      </c>
      <c r="J23" s="9" t="n">
        <v>1</v>
      </c>
      <c r="K23" s="9" t="n">
        <v>0</v>
      </c>
      <c r="L23" s="9" t="n">
        <v>0</v>
      </c>
      <c r="M23" s="5" t="s">
        <v>154</v>
      </c>
      <c r="N23" s="5"/>
      <c r="O23" s="5"/>
      <c r="P23" s="5"/>
      <c r="Q23" s="5"/>
      <c r="R23" s="5"/>
      <c r="S23" s="5"/>
    </row>
    <row r="24" customFormat="false" ht="30" hidden="false" customHeight="true" outlineLevel="0" collapsed="false">
      <c r="A24" s="5" t="s">
        <v>155</v>
      </c>
      <c r="B24" s="10" t="s">
        <v>125</v>
      </c>
      <c r="C24" s="5" t="s">
        <v>156</v>
      </c>
      <c r="D24" s="10" t="s">
        <v>130</v>
      </c>
      <c r="E24" s="17" t="n">
        <v>0</v>
      </c>
      <c r="F24" s="17" t="n">
        <v>0</v>
      </c>
      <c r="G24" s="17" t="n">
        <v>0</v>
      </c>
      <c r="H24" s="17" t="n">
        <v>0</v>
      </c>
      <c r="I24" s="17" t="n">
        <v>0</v>
      </c>
      <c r="J24" s="17" t="n">
        <v>0</v>
      </c>
      <c r="K24" s="17" t="n">
        <v>0.05</v>
      </c>
      <c r="L24" s="17" t="n">
        <v>0.05</v>
      </c>
      <c r="M24" s="5" t="s">
        <v>157</v>
      </c>
      <c r="N24" s="5"/>
      <c r="O24" s="5"/>
      <c r="P24" s="5"/>
      <c r="Q24" s="5"/>
      <c r="R24" s="5"/>
      <c r="S24" s="5"/>
    </row>
    <row r="25" customFormat="false" ht="30" hidden="false" customHeight="true" outlineLevel="0" collapsed="false">
      <c r="A25" s="5" t="s">
        <v>158</v>
      </c>
      <c r="B25" s="10" t="s">
        <v>125</v>
      </c>
      <c r="C25" s="5" t="s">
        <v>129</v>
      </c>
      <c r="D25" s="10" t="s">
        <v>130</v>
      </c>
      <c r="E25" s="17" t="n">
        <v>0.15</v>
      </c>
      <c r="F25" s="17" t="n">
        <v>0.15</v>
      </c>
      <c r="G25" s="17" t="n">
        <v>0.15</v>
      </c>
      <c r="H25" s="17" t="n">
        <v>0.15</v>
      </c>
      <c r="I25" s="17" t="n">
        <v>0.15</v>
      </c>
      <c r="J25" s="17" t="n">
        <v>0.15</v>
      </c>
      <c r="K25" s="17" t="n">
        <v>0.15</v>
      </c>
      <c r="L25" s="17" t="n">
        <v>0.15</v>
      </c>
      <c r="M25" s="5" t="s">
        <v>159</v>
      </c>
      <c r="N25" s="5"/>
      <c r="O25" s="5"/>
      <c r="P25" s="5"/>
      <c r="Q25" s="5"/>
      <c r="R25" s="5"/>
      <c r="S25" s="5"/>
    </row>
    <row r="26" customFormat="false" ht="30" hidden="false" customHeight="true" outlineLevel="0" collapsed="false">
      <c r="A26" s="5" t="s">
        <v>160</v>
      </c>
      <c r="B26" s="10" t="s">
        <v>125</v>
      </c>
      <c r="C26" s="5" t="s">
        <v>156</v>
      </c>
      <c r="D26" s="10" t="s">
        <v>130</v>
      </c>
      <c r="E26" s="17" t="n">
        <v>0.01</v>
      </c>
      <c r="F26" s="17" t="n">
        <v>0.01</v>
      </c>
      <c r="G26" s="17" t="n">
        <v>0.01</v>
      </c>
      <c r="H26" s="17" t="n">
        <v>0</v>
      </c>
      <c r="I26" s="17" t="n">
        <v>0</v>
      </c>
      <c r="J26" s="17" t="n">
        <v>0</v>
      </c>
      <c r="K26" s="17" t="n">
        <v>0</v>
      </c>
      <c r="L26" s="17" t="n">
        <v>0</v>
      </c>
      <c r="M26" s="5" t="s">
        <v>161</v>
      </c>
      <c r="N26" s="5"/>
      <c r="O26" s="5"/>
      <c r="P26" s="5"/>
      <c r="Q26" s="5"/>
      <c r="R26" s="5"/>
      <c r="S26" s="5"/>
    </row>
    <row r="27" customFormat="false" ht="30" hidden="false" customHeight="true" outlineLevel="0" collapsed="false">
      <c r="A27" s="5" t="s">
        <v>162</v>
      </c>
      <c r="B27" s="10" t="s">
        <v>163</v>
      </c>
      <c r="C27" s="5" t="s">
        <v>164</v>
      </c>
      <c r="D27" s="10" t="s">
        <v>130</v>
      </c>
      <c r="E27" s="18" t="n">
        <v>1</v>
      </c>
      <c r="F27" s="18" t="n">
        <v>0</v>
      </c>
      <c r="G27" s="18" t="n">
        <v>0</v>
      </c>
      <c r="H27" s="18" t="n">
        <v>0</v>
      </c>
      <c r="I27" s="18" t="n">
        <v>0</v>
      </c>
      <c r="J27" s="18" t="n">
        <v>0</v>
      </c>
      <c r="K27" s="18" t="n">
        <v>0</v>
      </c>
      <c r="L27" s="18" t="n">
        <v>0</v>
      </c>
      <c r="M27" s="5" t="s">
        <v>165</v>
      </c>
      <c r="N27" s="5"/>
      <c r="O27" s="5"/>
      <c r="P27" s="5"/>
      <c r="Q27" s="5"/>
      <c r="R27" s="5"/>
      <c r="S27" s="5"/>
    </row>
    <row r="28" customFormat="false" ht="30" hidden="false" customHeight="true" outlineLevel="0" collapsed="false">
      <c r="A28" s="4" t="s">
        <v>166</v>
      </c>
      <c r="B28" s="10" t="s">
        <v>167</v>
      </c>
      <c r="C28" s="5" t="s">
        <v>168</v>
      </c>
      <c r="D28" s="10" t="s">
        <v>134</v>
      </c>
      <c r="E28" s="19" t="n">
        <f aca="false">IF(E27=0,0,E27*$B$2*12/SUMIF($B$55:$B$71,E$12,datos_base!$K$2:$K$18))</f>
        <v>0.00133519615686059</v>
      </c>
      <c r="F28" s="19" t="n">
        <f aca="false">IF(F27=0,0,F27*$B$2*12/SUMIF($B$55:$B$71,F$12,datos_base!$K$2:$K$18))</f>
        <v>0</v>
      </c>
      <c r="G28" s="19" t="n">
        <f aca="false">IF(G27=0,0,G27*$B$2*12/SUMIF($B$55:$B$71,G$12,datos_base!$K$2:$K$18))</f>
        <v>0</v>
      </c>
      <c r="H28" s="19" t="n">
        <f aca="false">IF(H27=0,0,H27*$B$2*12/SUMIF($B$55:$B$71,H$12,datos_base!$K$2:$K$18))</f>
        <v>0</v>
      </c>
      <c r="I28" s="19" t="n">
        <f aca="false">IF(I27=0,0,I27*$B$2*12/SUMIF($B$55:$B$71,I$12,datos_base!$K$2:$K$18))</f>
        <v>0</v>
      </c>
      <c r="J28" s="19" t="n">
        <f aca="false">IF(J27=0,0,J27*$B$2*12/SUMIF($B$55:$B$71,J$12,datos_base!$K$2:$K$18))</f>
        <v>0</v>
      </c>
      <c r="K28" s="19" t="n">
        <f aca="false">IF(K27=0,0,K27*$B$2*12/SUMIF($B$55:$B$71,K$12,datos_base!$K$2:$K$18))</f>
        <v>0</v>
      </c>
      <c r="L28" s="19" t="n">
        <f aca="false">IF(L27=0,0,L27*$B$2*12/SUMIF($B$55:$B$71,L$12,datos_base!$K$2:$K$18))</f>
        <v>0</v>
      </c>
      <c r="M28" s="5" t="s">
        <v>169</v>
      </c>
      <c r="N28" s="5"/>
      <c r="O28" s="5"/>
      <c r="P28" s="5"/>
      <c r="Q28" s="5"/>
      <c r="R28" s="5"/>
      <c r="S28" s="5"/>
    </row>
    <row r="29" customFormat="false" ht="15" hidden="false" customHeight="false" outlineLevel="0" collapsed="false">
      <c r="A29" s="2" t="s">
        <v>170</v>
      </c>
    </row>
    <row r="30" customFormat="false" ht="15" hidden="false" customHeight="false" outlineLevel="0" collapsed="false">
      <c r="A30" s="2" t="s">
        <v>171</v>
      </c>
    </row>
    <row r="32" customFormat="false" ht="15" hidden="false" customHeight="false" outlineLevel="0" collapsed="false">
      <c r="A32" s="1" t="s">
        <v>172</v>
      </c>
    </row>
    <row r="33" customFormat="false" ht="15" hidden="false" customHeight="false" outlineLevel="0" collapsed="false">
      <c r="A33" s="2" t="s">
        <v>173</v>
      </c>
    </row>
    <row r="34" customFormat="false" ht="15" hidden="false" customHeight="true" outlineLevel="0" collapsed="false">
      <c r="A34" s="6" t="s">
        <v>174</v>
      </c>
      <c r="B34" s="6" t="s">
        <v>90</v>
      </c>
      <c r="C34" s="6"/>
      <c r="D34" s="6"/>
      <c r="E34" s="6" t="s">
        <v>175</v>
      </c>
      <c r="F34" s="6" t="s">
        <v>176</v>
      </c>
      <c r="G34" s="6" t="s">
        <v>177</v>
      </c>
      <c r="H34" s="6" t="s">
        <v>178</v>
      </c>
      <c r="I34" s="6" t="s">
        <v>179</v>
      </c>
      <c r="J34" s="6" t="s">
        <v>180</v>
      </c>
      <c r="K34" s="6" t="s">
        <v>181</v>
      </c>
      <c r="L34" s="6" t="s">
        <v>182</v>
      </c>
      <c r="M34" s="6" t="s">
        <v>183</v>
      </c>
      <c r="N34" s="6" t="s">
        <v>184</v>
      </c>
      <c r="O34" s="6" t="s">
        <v>185</v>
      </c>
      <c r="P34" s="6" t="s">
        <v>186</v>
      </c>
      <c r="Q34" s="6" t="s">
        <v>85</v>
      </c>
    </row>
    <row r="35" customFormat="false" ht="54" hidden="false" customHeight="true" outlineLevel="0" collapsed="false">
      <c r="A35" s="4" t="s">
        <v>78</v>
      </c>
      <c r="B35" s="5" t="s">
        <v>187</v>
      </c>
      <c r="C35" s="5"/>
      <c r="D35" s="5"/>
      <c r="E35" s="9" t="n">
        <f aca="false">$B$48*E$45/$Q$45</f>
        <v>0.00735238492719494</v>
      </c>
      <c r="F35" s="9" t="n">
        <f aca="false">(1-$B$48)/10+$B$48*F$45/$Q$45</f>
        <v>0.0981059093482913</v>
      </c>
      <c r="G35" s="9" t="n">
        <f aca="false">(1-$B$48)/10+$B$48*G$45/$Q$45</f>
        <v>0.0986889802872471</v>
      </c>
      <c r="H35" s="9" t="n">
        <f aca="false">(1-$B$48)/10+$B$48*H$45/$Q$45</f>
        <v>0.0993953583138234</v>
      </c>
      <c r="I35" s="9" t="n">
        <f aca="false">(1-$B$48)/10+$B$48*I$45/$Q$45</f>
        <v>0.0994322332077878</v>
      </c>
      <c r="J35" s="9" t="n">
        <f aca="false">(1-$B$48)/10+$B$48*J$45/$Q$45</f>
        <v>0.0990964158931013</v>
      </c>
      <c r="K35" s="9" t="n">
        <f aca="false">(1-$B$48)/10+$B$48*K$45/$Q$45</f>
        <v>0.100152679112986</v>
      </c>
      <c r="L35" s="9" t="n">
        <f aca="false">(1-$B$48)/10+$B$48*L$45/$Q$45</f>
        <v>0.0993577373959928</v>
      </c>
      <c r="M35" s="9" t="n">
        <f aca="false">(1-$B$48)/10+$B$48*M$45/$Q$45</f>
        <v>0.0994816839326416</v>
      </c>
      <c r="N35" s="9" t="n">
        <f aca="false">(1-$B$48)/10+$B$48*N$45/$Q$45</f>
        <v>0.0990719036803504</v>
      </c>
      <c r="O35" s="9" t="n">
        <f aca="false">(1-$B$48)/10+$B$48*O$45/$Q$45</f>
        <v>0.0973072375119662</v>
      </c>
      <c r="P35" s="9" t="n">
        <f aca="false">$B$48*P$45/$Q$45</f>
        <v>0.00255747638861682</v>
      </c>
      <c r="Q35" s="20" t="n">
        <f aca="false">SUM(E35:P35)</f>
        <v>1</v>
      </c>
    </row>
    <row r="36" customFormat="false" ht="54" hidden="false" customHeight="true" outlineLevel="0" collapsed="false">
      <c r="A36" s="4" t="s">
        <v>79</v>
      </c>
      <c r="B36" s="5" t="s">
        <v>188</v>
      </c>
      <c r="C36" s="5"/>
      <c r="D36" s="5"/>
      <c r="E36" s="9" t="n">
        <f aca="false">1/12</f>
        <v>0.0833333333333333</v>
      </c>
      <c r="F36" s="9" t="n">
        <f aca="false">1/12</f>
        <v>0.0833333333333333</v>
      </c>
      <c r="G36" s="9" t="n">
        <f aca="false">1/12</f>
        <v>0.0833333333333333</v>
      </c>
      <c r="H36" s="9" t="n">
        <f aca="false">1/12</f>
        <v>0.0833333333333333</v>
      </c>
      <c r="I36" s="9" t="n">
        <f aca="false">1/12</f>
        <v>0.0833333333333333</v>
      </c>
      <c r="J36" s="9" t="n">
        <f aca="false">1/12</f>
        <v>0.0833333333333333</v>
      </c>
      <c r="K36" s="9" t="n">
        <f aca="false">1/12</f>
        <v>0.0833333333333333</v>
      </c>
      <c r="L36" s="9" t="n">
        <f aca="false">1/12</f>
        <v>0.0833333333333333</v>
      </c>
      <c r="M36" s="9" t="n">
        <f aca="false">1/12</f>
        <v>0.0833333333333333</v>
      </c>
      <c r="N36" s="9" t="n">
        <f aca="false">1/12</f>
        <v>0.0833333333333333</v>
      </c>
      <c r="O36" s="9" t="n">
        <f aca="false">1/12</f>
        <v>0.0833333333333333</v>
      </c>
      <c r="P36" s="9" t="n">
        <f aca="false">1/12</f>
        <v>0.0833333333333333</v>
      </c>
      <c r="Q36" s="20" t="n">
        <f aca="false">SUM(E36:P36)</f>
        <v>1</v>
      </c>
    </row>
    <row r="37" customFormat="false" ht="54" hidden="false" customHeight="true" outlineLevel="0" collapsed="false">
      <c r="A37" s="4" t="s">
        <v>80</v>
      </c>
      <c r="B37" s="5" t="s">
        <v>189</v>
      </c>
      <c r="C37" s="5"/>
      <c r="D37" s="5"/>
      <c r="E37" s="9" t="n">
        <f aca="false">(1-$B$44)/12</f>
        <v>0.0265</v>
      </c>
      <c r="F37" s="9" t="n">
        <f aca="false">$B$44+(1-$B$44)/12</f>
        <v>0.7085</v>
      </c>
      <c r="G37" s="9" t="n">
        <f aca="false">(1-$B$44)/12</f>
        <v>0.0265</v>
      </c>
      <c r="H37" s="9" t="n">
        <f aca="false">(1-$B$44)/12</f>
        <v>0.0265</v>
      </c>
      <c r="I37" s="9" t="n">
        <f aca="false">(1-$B$44)/12</f>
        <v>0.0265</v>
      </c>
      <c r="J37" s="9" t="n">
        <f aca="false">(1-$B$44)/12</f>
        <v>0.0265</v>
      </c>
      <c r="K37" s="9" t="n">
        <f aca="false">(1-$B$44)/12</f>
        <v>0.0265</v>
      </c>
      <c r="L37" s="9" t="n">
        <f aca="false">(1-$B$44)/12</f>
        <v>0.0265</v>
      </c>
      <c r="M37" s="9" t="n">
        <f aca="false">(1-$B$44)/12</f>
        <v>0.0265</v>
      </c>
      <c r="N37" s="9" t="n">
        <f aca="false">(1-$B$44)/12</f>
        <v>0.0265</v>
      </c>
      <c r="O37" s="9" t="n">
        <f aca="false">(1-$B$44)/12</f>
        <v>0.0265</v>
      </c>
      <c r="P37" s="9" t="n">
        <f aca="false">(1-$B$44)/12</f>
        <v>0.0265</v>
      </c>
      <c r="Q37" s="20" t="n">
        <f aca="false">SUM(E37:P37)</f>
        <v>1</v>
      </c>
    </row>
    <row r="38" customFormat="false" ht="54" hidden="false" customHeight="true" outlineLevel="0" collapsed="false">
      <c r="A38" s="4" t="s">
        <v>81</v>
      </c>
      <c r="B38" s="5" t="s">
        <v>190</v>
      </c>
      <c r="C38" s="5"/>
      <c r="D38" s="5"/>
      <c r="E38" s="9" t="n">
        <f aca="false">1/12</f>
        <v>0.0833333333333333</v>
      </c>
      <c r="F38" s="9" t="n">
        <f aca="false">1/12</f>
        <v>0.0833333333333333</v>
      </c>
      <c r="G38" s="9" t="n">
        <f aca="false">1/12</f>
        <v>0.0833333333333333</v>
      </c>
      <c r="H38" s="9" t="n">
        <f aca="false">1/12</f>
        <v>0.0833333333333333</v>
      </c>
      <c r="I38" s="9" t="n">
        <f aca="false">1/12</f>
        <v>0.0833333333333333</v>
      </c>
      <c r="J38" s="9" t="n">
        <f aca="false">1/12</f>
        <v>0.0833333333333333</v>
      </c>
      <c r="K38" s="9" t="n">
        <f aca="false">1/12</f>
        <v>0.0833333333333333</v>
      </c>
      <c r="L38" s="9" t="n">
        <f aca="false">1/12</f>
        <v>0.0833333333333333</v>
      </c>
      <c r="M38" s="9" t="n">
        <f aca="false">1/12</f>
        <v>0.0833333333333333</v>
      </c>
      <c r="N38" s="9" t="n">
        <f aca="false">1/12</f>
        <v>0.0833333333333333</v>
      </c>
      <c r="O38" s="9" t="n">
        <f aca="false">1/12</f>
        <v>0.0833333333333333</v>
      </c>
      <c r="P38" s="9" t="n">
        <f aca="false">1/12</f>
        <v>0.0833333333333333</v>
      </c>
      <c r="Q38" s="20" t="n">
        <f aca="false">SUM(E38:P38)</f>
        <v>1</v>
      </c>
    </row>
    <row r="39" customFormat="false" ht="54" hidden="false" customHeight="true" outlineLevel="0" collapsed="false">
      <c r="A39" s="4" t="s">
        <v>82</v>
      </c>
      <c r="B39" s="5" t="s">
        <v>191</v>
      </c>
      <c r="C39" s="5"/>
      <c r="D39" s="5"/>
      <c r="E39" s="9" t="n">
        <f aca="false">1/12</f>
        <v>0.0833333333333333</v>
      </c>
      <c r="F39" s="9" t="n">
        <f aca="false">1/12</f>
        <v>0.0833333333333333</v>
      </c>
      <c r="G39" s="9" t="n">
        <f aca="false">1/12</f>
        <v>0.0833333333333333</v>
      </c>
      <c r="H39" s="9" t="n">
        <f aca="false">1/12</f>
        <v>0.0833333333333333</v>
      </c>
      <c r="I39" s="9" t="n">
        <f aca="false">1/12</f>
        <v>0.0833333333333333</v>
      </c>
      <c r="J39" s="9" t="n">
        <f aca="false">1/12</f>
        <v>0.0833333333333333</v>
      </c>
      <c r="K39" s="9" t="n">
        <f aca="false">1/12</f>
        <v>0.0833333333333333</v>
      </c>
      <c r="L39" s="9" t="n">
        <f aca="false">1/12</f>
        <v>0.0833333333333333</v>
      </c>
      <c r="M39" s="9" t="n">
        <f aca="false">1/12</f>
        <v>0.0833333333333333</v>
      </c>
      <c r="N39" s="9" t="n">
        <f aca="false">1/12</f>
        <v>0.0833333333333333</v>
      </c>
      <c r="O39" s="9" t="n">
        <f aca="false">1/12</f>
        <v>0.0833333333333333</v>
      </c>
      <c r="P39" s="9" t="n">
        <f aca="false">1/12</f>
        <v>0.0833333333333333</v>
      </c>
      <c r="Q39" s="20" t="n">
        <f aca="false">SUM(E39:P39)</f>
        <v>1</v>
      </c>
    </row>
    <row r="40" customFormat="false" ht="54" hidden="false" customHeight="true" outlineLevel="0" collapsed="false">
      <c r="A40" s="4" t="s">
        <v>83</v>
      </c>
      <c r="B40" s="5" t="s">
        <v>192</v>
      </c>
      <c r="C40" s="5"/>
      <c r="D40" s="5"/>
      <c r="E40" s="9" t="n">
        <f aca="false">1/12</f>
        <v>0.0833333333333333</v>
      </c>
      <c r="F40" s="9" t="n">
        <f aca="false">1/12</f>
        <v>0.0833333333333333</v>
      </c>
      <c r="G40" s="9" t="n">
        <f aca="false">1/12</f>
        <v>0.0833333333333333</v>
      </c>
      <c r="H40" s="9" t="n">
        <f aca="false">1/12</f>
        <v>0.0833333333333333</v>
      </c>
      <c r="I40" s="9" t="n">
        <f aca="false">1/12</f>
        <v>0.0833333333333333</v>
      </c>
      <c r="J40" s="9" t="n">
        <f aca="false">1/12</f>
        <v>0.0833333333333333</v>
      </c>
      <c r="K40" s="9" t="n">
        <f aca="false">1/12</f>
        <v>0.0833333333333333</v>
      </c>
      <c r="L40" s="9" t="n">
        <f aca="false">1/12</f>
        <v>0.0833333333333333</v>
      </c>
      <c r="M40" s="9" t="n">
        <f aca="false">1/12</f>
        <v>0.0833333333333333</v>
      </c>
      <c r="N40" s="9" t="n">
        <f aca="false">1/12</f>
        <v>0.0833333333333333</v>
      </c>
      <c r="O40" s="9" t="n">
        <f aca="false">1/12</f>
        <v>0.0833333333333333</v>
      </c>
      <c r="P40" s="9" t="n">
        <f aca="false">1/12</f>
        <v>0.0833333333333333</v>
      </c>
      <c r="Q40" s="20" t="n">
        <f aca="false">SUM(E40:P40)</f>
        <v>1</v>
      </c>
    </row>
    <row r="41" customFormat="false" ht="54" hidden="false" customHeight="true" outlineLevel="0" collapsed="false">
      <c r="A41" s="4" t="s">
        <v>84</v>
      </c>
      <c r="B41" s="5" t="s">
        <v>193</v>
      </c>
      <c r="C41" s="5"/>
      <c r="D41" s="5"/>
      <c r="E41" s="9" t="n">
        <f aca="false">1/12</f>
        <v>0.0833333333333333</v>
      </c>
      <c r="F41" s="9" t="n">
        <f aca="false">1/12</f>
        <v>0.0833333333333333</v>
      </c>
      <c r="G41" s="9" t="n">
        <f aca="false">1/12</f>
        <v>0.0833333333333333</v>
      </c>
      <c r="H41" s="9" t="n">
        <f aca="false">1/12</f>
        <v>0.0833333333333333</v>
      </c>
      <c r="I41" s="9" t="n">
        <f aca="false">1/12</f>
        <v>0.0833333333333333</v>
      </c>
      <c r="J41" s="9" t="n">
        <f aca="false">1/12</f>
        <v>0.0833333333333333</v>
      </c>
      <c r="K41" s="9" t="n">
        <f aca="false">1/12</f>
        <v>0.0833333333333333</v>
      </c>
      <c r="L41" s="9" t="n">
        <f aca="false">1/12</f>
        <v>0.0833333333333333</v>
      </c>
      <c r="M41" s="9" t="n">
        <f aca="false">1/12</f>
        <v>0.0833333333333333</v>
      </c>
      <c r="N41" s="9" t="n">
        <f aca="false">1/12</f>
        <v>0.0833333333333333</v>
      </c>
      <c r="O41" s="9" t="n">
        <f aca="false">1/12</f>
        <v>0.0833333333333333</v>
      </c>
      <c r="P41" s="9" t="n">
        <f aca="false">1/12</f>
        <v>0.0833333333333333</v>
      </c>
      <c r="Q41" s="20" t="n">
        <f aca="false">SUM(E41:P41)</f>
        <v>1</v>
      </c>
    </row>
    <row r="43" customFormat="false" ht="15" hidden="false" customHeight="true" outlineLevel="0" collapsed="false">
      <c r="A43" s="6" t="s">
        <v>194</v>
      </c>
      <c r="B43" s="6" t="s">
        <v>64</v>
      </c>
      <c r="C43" s="6" t="s">
        <v>108</v>
      </c>
      <c r="D43" s="6"/>
      <c r="E43" s="6" t="s">
        <v>175</v>
      </c>
      <c r="F43" s="6" t="s">
        <v>176</v>
      </c>
      <c r="G43" s="6" t="s">
        <v>177</v>
      </c>
      <c r="H43" s="6" t="s">
        <v>178</v>
      </c>
      <c r="I43" s="6" t="s">
        <v>179</v>
      </c>
      <c r="J43" s="6" t="s">
        <v>180</v>
      </c>
      <c r="K43" s="6" t="s">
        <v>181</v>
      </c>
      <c r="L43" s="6" t="s">
        <v>182</v>
      </c>
      <c r="M43" s="6" t="s">
        <v>183</v>
      </c>
      <c r="N43" s="6" t="s">
        <v>184</v>
      </c>
      <c r="O43" s="6" t="s">
        <v>185</v>
      </c>
      <c r="P43" s="6" t="s">
        <v>186</v>
      </c>
      <c r="Q43" s="6" t="s">
        <v>85</v>
      </c>
    </row>
    <row r="44" customFormat="false" ht="23.85" hidden="false" customHeight="true" outlineLevel="0" collapsed="false">
      <c r="A44" s="5" t="s">
        <v>195</v>
      </c>
      <c r="B44" s="9" t="n">
        <v>0.682</v>
      </c>
      <c r="C44" s="5" t="s">
        <v>196</v>
      </c>
      <c r="D44" s="5"/>
    </row>
    <row r="45" customFormat="false" ht="15" hidden="false" customHeight="true" outlineLevel="0" collapsed="false">
      <c r="A45" s="5" t="s">
        <v>197</v>
      </c>
      <c r="C45" s="5" t="s">
        <v>198</v>
      </c>
      <c r="D45" s="5"/>
      <c r="E45" s="7" t="n">
        <v>68988</v>
      </c>
      <c r="F45" s="7" t="n">
        <v>42918</v>
      </c>
      <c r="G45" s="7" t="n">
        <v>48389</v>
      </c>
      <c r="H45" s="7" t="n">
        <v>55017</v>
      </c>
      <c r="I45" s="7" t="n">
        <v>55363</v>
      </c>
      <c r="J45" s="7" t="n">
        <v>52212</v>
      </c>
      <c r="K45" s="7" t="n">
        <v>62123</v>
      </c>
      <c r="L45" s="7" t="n">
        <v>54664</v>
      </c>
      <c r="M45" s="7" t="n">
        <v>55827</v>
      </c>
      <c r="N45" s="7" t="n">
        <v>51982</v>
      </c>
      <c r="O45" s="7" t="n">
        <v>35424</v>
      </c>
      <c r="P45" s="7" t="n">
        <v>23997</v>
      </c>
      <c r="Q45" s="8" t="n">
        <f aca="false">SUM(E45:P45)</f>
        <v>606904</v>
      </c>
    </row>
    <row r="46" customFormat="false" ht="15" hidden="false" customHeight="true" outlineLevel="0" collapsed="false">
      <c r="A46" s="5" t="s">
        <v>199</v>
      </c>
      <c r="B46" s="7" t="n">
        <v>414041</v>
      </c>
      <c r="C46" s="5" t="s">
        <v>200</v>
      </c>
      <c r="D46" s="5"/>
    </row>
    <row r="47" customFormat="false" ht="15" hidden="false" customHeight="true" outlineLevel="0" collapsed="false">
      <c r="A47" s="5" t="s">
        <v>201</v>
      </c>
      <c r="B47" s="7" t="n">
        <v>15784385</v>
      </c>
      <c r="C47" s="5" t="s">
        <v>202</v>
      </c>
      <c r="D47" s="5"/>
    </row>
    <row r="48" customFormat="false" ht="23.85" hidden="false" customHeight="true" outlineLevel="0" collapsed="false">
      <c r="A48" s="5" t="s">
        <v>203</v>
      </c>
      <c r="B48" s="11" t="n">
        <f aca="false">(B46+Q45)/B47</f>
        <v>0.0646806955101513</v>
      </c>
      <c r="C48" s="5" t="s">
        <v>204</v>
      </c>
      <c r="D48" s="5"/>
    </row>
    <row r="49" customFormat="false" ht="15" hidden="false" customHeight="false" outlineLevel="0" collapsed="false">
      <c r="A49" s="2" t="s">
        <v>205</v>
      </c>
    </row>
    <row r="50" customFormat="false" ht="15" hidden="false" customHeight="false" outlineLevel="0" collapsed="false">
      <c r="A50" s="2" t="s">
        <v>206</v>
      </c>
    </row>
    <row r="51" customFormat="false" ht="15" hidden="false" customHeight="false" outlineLevel="0" collapsed="false">
      <c r="A51" s="2" t="s">
        <v>207</v>
      </c>
    </row>
    <row r="53" customFormat="false" ht="15" hidden="false" customHeight="false" outlineLevel="0" collapsed="false">
      <c r="A53" s="1" t="s">
        <v>208</v>
      </c>
    </row>
    <row r="54" customFormat="false" ht="35.05" hidden="false" customHeight="false" outlineLevel="0" collapsed="false">
      <c r="A54" s="6" t="s">
        <v>77</v>
      </c>
      <c r="B54" s="6" t="s">
        <v>209</v>
      </c>
      <c r="C54" s="6" t="s">
        <v>210</v>
      </c>
      <c r="D54" s="6" t="s">
        <v>211</v>
      </c>
      <c r="E54" s="6" t="s">
        <v>175</v>
      </c>
      <c r="F54" s="6" t="s">
        <v>176</v>
      </c>
      <c r="G54" s="6" t="s">
        <v>177</v>
      </c>
      <c r="H54" s="6" t="s">
        <v>178</v>
      </c>
      <c r="I54" s="6" t="s">
        <v>179</v>
      </c>
      <c r="J54" s="6" t="s">
        <v>180</v>
      </c>
      <c r="K54" s="6" t="s">
        <v>181</v>
      </c>
      <c r="L54" s="6" t="s">
        <v>182</v>
      </c>
      <c r="M54" s="6" t="s">
        <v>183</v>
      </c>
      <c r="N54" s="6" t="s">
        <v>184</v>
      </c>
      <c r="O54" s="6" t="s">
        <v>185</v>
      </c>
      <c r="P54" s="6" t="s">
        <v>186</v>
      </c>
      <c r="Q54" s="6" t="s">
        <v>212</v>
      </c>
      <c r="R54" s="6" t="s">
        <v>213</v>
      </c>
    </row>
    <row r="55" customFormat="false" ht="15" hidden="false" customHeight="false" outlineLevel="0" collapsed="false">
      <c r="A55" s="10" t="str">
        <f aca="false">datos_base!A2</f>
        <v>ABC 1 kg</v>
      </c>
      <c r="B55" s="10" t="s">
        <v>110</v>
      </c>
      <c r="C55" s="12" t="n">
        <v>1</v>
      </c>
      <c r="D55" s="12" t="n">
        <v>0</v>
      </c>
      <c r="E55" s="9" t="n">
        <f aca="false">IF(SUM(PROY_Indexado!$B$57:$H$57)=0,1/12,(PROY_Indexado!$B$57*E$35+PROY_Indexado!$C$57*E$36+PROY_Indexado!$D$57*E$37+PROY_Indexado!$E$57*E$38+PROY_Indexado!$F$57*E$39+PROY_Indexado!$G$57*E$40+PROY_Indexado!$H$57*E$41)/SUM(PROY_Indexado!$B$57:$H$57))</f>
        <v>0.00749080356204596</v>
      </c>
      <c r="F55" s="9" t="n">
        <f aca="false">IF(SUM(PROY_Indexado!$B$57:$H$57)=0,1/12,(PROY_Indexado!$B$57*F$35+PROY_Indexado!$C$57*F$36+PROY_Indexado!$D$57*F$37+PROY_Indexado!$E$57*F$38+PROY_Indexado!$F$57*F$39+PROY_Indexado!$G$57*F$40+PROY_Indexado!$H$57*F$41)/SUM(PROY_Indexado!$B$57:$H$57))</f>
        <v>0.0980789973414249</v>
      </c>
      <c r="G55" s="9" t="n">
        <f aca="false">IF(SUM(PROY_Indexado!$B$57:$H$57)=0,1/12,(PROY_Indexado!$B$57*G$35+PROY_Indexado!$C$57*G$36+PROY_Indexado!$D$57*G$37+PROY_Indexado!$E$57*G$38+PROY_Indexado!$F$57*G$39+PROY_Indexado!$G$57*G$40+PROY_Indexado!$H$57*G$41)/SUM(PROY_Indexado!$B$57:$H$57))</f>
        <v>0.0986610060682725</v>
      </c>
      <c r="H55" s="9" t="n">
        <f aca="false">IF(SUM(PROY_Indexado!$B$57:$H$57)=0,1/12,(PROY_Indexado!$B$57*H$35+PROY_Indexado!$C$57*H$36+PROY_Indexado!$D$57*H$37+PROY_Indexado!$E$57*H$38+PROY_Indexado!$F$57*H$39+PROY_Indexado!$G$57*H$40+PROY_Indexado!$H$57*H$41)/SUM(PROY_Indexado!$B$57:$H$57))</f>
        <v>0.0993660972474985</v>
      </c>
      <c r="I55" s="9" t="n">
        <f aca="false">IF(SUM(PROY_Indexado!$B$57:$H$57)=0,1/12,(PROY_Indexado!$B$57*I$35+PROY_Indexado!$C$57*I$36+PROY_Indexado!$D$57*I$37+PROY_Indexado!$E$57*I$38+PROY_Indexado!$F$57*I$39+PROY_Indexado!$G$57*I$40+PROY_Indexado!$H$57*I$41)/SUM(PROY_Indexado!$B$57:$H$57))</f>
        <v>0.0994029049644587</v>
      </c>
      <c r="J55" s="9" t="n">
        <f aca="false">IF(SUM(PROY_Indexado!$B$57:$H$57)=0,1/12,(PROY_Indexado!$B$57*J$35+PROY_Indexado!$C$57*J$36+PROY_Indexado!$D$57*J$37+PROY_Indexado!$E$57*J$38+PROY_Indexado!$F$57*J$39+PROY_Indexado!$G$57*J$40+PROY_Indexado!$H$57*J$41)/SUM(PROY_Indexado!$B$57:$H$57))</f>
        <v>0.0990676994264772</v>
      </c>
      <c r="K55" s="9" t="n">
        <f aca="false">IF(SUM(PROY_Indexado!$B$57:$H$57)=0,1/12,(PROY_Indexado!$B$57*K$35+PROY_Indexado!$C$57*K$36+PROY_Indexado!$D$57*K$37+PROY_Indexado!$E$57*K$38+PROY_Indexado!$F$57*K$39+PROY_Indexado!$G$57*K$40+PROY_Indexado!$H$57*K$41)/SUM(PROY_Indexado!$B$57:$H$57))</f>
        <v>0.100122038394086</v>
      </c>
      <c r="L55" s="9" t="n">
        <f aca="false">IF(SUM(PROY_Indexado!$B$57:$H$57)=0,1/12,(PROY_Indexado!$B$57*L$35+PROY_Indexado!$C$57*L$36+PROY_Indexado!$D$57*L$37+PROY_Indexado!$E$57*L$38+PROY_Indexado!$F$57*L$39+PROY_Indexado!$G$57*L$40+PROY_Indexado!$H$57*L$41)/SUM(PROY_Indexado!$B$57:$H$57))</f>
        <v>0.0993285448657443</v>
      </c>
      <c r="M55" s="9" t="n">
        <f aca="false">IF(SUM(PROY_Indexado!$B$57:$H$57)=0,1/12,(PROY_Indexado!$B$57*M$35+PROY_Indexado!$C$57*M$36+PROY_Indexado!$D$57*M$37+PROY_Indexado!$E$57*M$38+PROY_Indexado!$F$57*M$39+PROY_Indexado!$G$57*M$40+PROY_Indexado!$H$57*M$41)/SUM(PROY_Indexado!$B$57:$H$57))</f>
        <v>0.0994522656022319</v>
      </c>
      <c r="N55" s="9" t="n">
        <f aca="false">IF(SUM(PROY_Indexado!$B$57:$H$57)=0,1/12,(PROY_Indexado!$B$57*N$35+PROY_Indexado!$C$57*N$36+PROY_Indexado!$D$57*N$37+PROY_Indexado!$E$57*N$38+PROY_Indexado!$F$57*N$39+PROY_Indexado!$G$57*N$40+PROY_Indexado!$H$57*N$41)/SUM(PROY_Indexado!$B$57:$H$57))</f>
        <v>0.0990432318689603</v>
      </c>
      <c r="O55" s="9" t="n">
        <f aca="false">IF(SUM(PROY_Indexado!$B$57:$H$57)=0,1/12,(PROY_Indexado!$B$57*O$35+PROY_Indexado!$C$57*O$36+PROY_Indexado!$D$57*O$37+PROY_Indexado!$E$57*O$38+PROY_Indexado!$F$57*O$39+PROY_Indexado!$G$57*O$40+PROY_Indexado!$H$57*O$41)/SUM(PROY_Indexado!$B$57:$H$57))</f>
        <v>0.0972817804891135</v>
      </c>
      <c r="P55" s="9" t="n">
        <f aca="false">IF(SUM(PROY_Indexado!$B$57:$H$57)=0,1/12,(PROY_Indexado!$B$57*P$35+PROY_Indexado!$C$57*P$36+PROY_Indexado!$D$57*P$37+PROY_Indexado!$E$57*P$38+PROY_Indexado!$F$57*P$39+PROY_Indexado!$G$57*P$40+PROY_Indexado!$H$57*P$41)/SUM(PROY_Indexado!$B$57:$H$57))</f>
        <v>0.0027046301696863</v>
      </c>
      <c r="Q55" s="11" t="n">
        <f aca="false">MAX(E55:P55)</f>
        <v>0.100122038394086</v>
      </c>
      <c r="R55" s="5" t="s">
        <v>214</v>
      </c>
    </row>
    <row r="56" customFormat="false" ht="15" hidden="false" customHeight="false" outlineLevel="0" collapsed="false">
      <c r="A56" s="10" t="str">
        <f aca="false">datos_base!A3</f>
        <v>ABC 2,5 kg</v>
      </c>
      <c r="B56" s="10" t="s">
        <v>110</v>
      </c>
      <c r="C56" s="12" t="n">
        <v>1</v>
      </c>
      <c r="D56" s="12" t="n">
        <v>0</v>
      </c>
      <c r="E56" s="9" t="n">
        <f aca="false">IF(SUM(PROY_Indexado!$B$58:$H$58)=0,1/12,(PROY_Indexado!$B$58*E$35+PROY_Indexado!$C$58*E$36+PROY_Indexado!$D$58*E$37+PROY_Indexado!$E$58*E$38+PROY_Indexado!$F$58*E$39+PROY_Indexado!$G$58*E$40+PROY_Indexado!$H$58*E$41)/SUM(PROY_Indexado!$B$58:$H$58))</f>
        <v>0.0786972325544767</v>
      </c>
      <c r="F56" s="9" t="n">
        <f aca="false">IF(SUM(PROY_Indexado!$B$58:$H$58)=0,1/12,(PROY_Indexado!$B$58*F$35+PROY_Indexado!$C$58*F$36+PROY_Indexado!$D$58*F$37+PROY_Indexado!$E$58*F$38+PROY_Indexado!$F$58*F$39+PROY_Indexado!$G$58*F$40+PROY_Indexado!$H$58*F$41)/SUM(PROY_Indexado!$B$58:$H$58))</f>
        <v>0.134330441900756</v>
      </c>
      <c r="G56" s="9" t="n">
        <f aca="false">IF(SUM(PROY_Indexado!$B$58:$H$58)=0,1/12,(PROY_Indexado!$B$58*G$35+PROY_Indexado!$C$58*G$36+PROY_Indexado!$D$58*G$37+PROY_Indexado!$E$58*G$38+PROY_Indexado!$F$58*G$39+PROY_Indexado!$G$58*G$40+PROY_Indexado!$H$58*G$41)/SUM(PROY_Indexado!$B$58:$H$58))</f>
        <v>0.0786972325544767</v>
      </c>
      <c r="H56" s="9" t="n">
        <f aca="false">IF(SUM(PROY_Indexado!$B$58:$H$58)=0,1/12,(PROY_Indexado!$B$58*H$35+PROY_Indexado!$C$58*H$36+PROY_Indexado!$D$58*H$37+PROY_Indexado!$E$58*H$38+PROY_Indexado!$F$58*H$39+PROY_Indexado!$G$58*H$40+PROY_Indexado!$H$58*H$41)/SUM(PROY_Indexado!$B$58:$H$58))</f>
        <v>0.0786972325544767</v>
      </c>
      <c r="I56" s="9" t="n">
        <f aca="false">IF(SUM(PROY_Indexado!$B$58:$H$58)=0,1/12,(PROY_Indexado!$B$58*I$35+PROY_Indexado!$C$58*I$36+PROY_Indexado!$D$58*I$37+PROY_Indexado!$E$58*I$38+PROY_Indexado!$F$58*I$39+PROY_Indexado!$G$58*I$40+PROY_Indexado!$H$58*I$41)/SUM(PROY_Indexado!$B$58:$H$58))</f>
        <v>0.0786972325544767</v>
      </c>
      <c r="J56" s="9" t="n">
        <f aca="false">IF(SUM(PROY_Indexado!$B$58:$H$58)=0,1/12,(PROY_Indexado!$B$58*J$35+PROY_Indexado!$C$58*J$36+PROY_Indexado!$D$58*J$37+PROY_Indexado!$E$58*J$38+PROY_Indexado!$F$58*J$39+PROY_Indexado!$G$58*J$40+PROY_Indexado!$H$58*J$41)/SUM(PROY_Indexado!$B$58:$H$58))</f>
        <v>0.0786972325544767</v>
      </c>
      <c r="K56" s="9" t="n">
        <f aca="false">IF(SUM(PROY_Indexado!$B$58:$H$58)=0,1/12,(PROY_Indexado!$B$58*K$35+PROY_Indexado!$C$58*K$36+PROY_Indexado!$D$58*K$37+PROY_Indexado!$E$58*K$38+PROY_Indexado!$F$58*K$39+PROY_Indexado!$G$58*K$40+PROY_Indexado!$H$58*K$41)/SUM(PROY_Indexado!$B$58:$H$58))</f>
        <v>0.0786972325544767</v>
      </c>
      <c r="L56" s="9" t="n">
        <f aca="false">IF(SUM(PROY_Indexado!$B$58:$H$58)=0,1/12,(PROY_Indexado!$B$58*L$35+PROY_Indexado!$C$58*L$36+PROY_Indexado!$D$58*L$37+PROY_Indexado!$E$58*L$38+PROY_Indexado!$F$58*L$39+PROY_Indexado!$G$58*L$40+PROY_Indexado!$H$58*L$41)/SUM(PROY_Indexado!$B$58:$H$58))</f>
        <v>0.0786972325544767</v>
      </c>
      <c r="M56" s="9" t="n">
        <f aca="false">IF(SUM(PROY_Indexado!$B$58:$H$58)=0,1/12,(PROY_Indexado!$B$58*M$35+PROY_Indexado!$C$58*M$36+PROY_Indexado!$D$58*M$37+PROY_Indexado!$E$58*M$38+PROY_Indexado!$F$58*M$39+PROY_Indexado!$G$58*M$40+PROY_Indexado!$H$58*M$41)/SUM(PROY_Indexado!$B$58:$H$58))</f>
        <v>0.0786972325544767</v>
      </c>
      <c r="N56" s="9" t="n">
        <f aca="false">IF(SUM(PROY_Indexado!$B$58:$H$58)=0,1/12,(PROY_Indexado!$B$58*N$35+PROY_Indexado!$C$58*N$36+PROY_Indexado!$D$58*N$37+PROY_Indexado!$E$58*N$38+PROY_Indexado!$F$58*N$39+PROY_Indexado!$G$58*N$40+PROY_Indexado!$H$58*N$41)/SUM(PROY_Indexado!$B$58:$H$58))</f>
        <v>0.0786972325544767</v>
      </c>
      <c r="O56" s="9" t="n">
        <f aca="false">IF(SUM(PROY_Indexado!$B$58:$H$58)=0,1/12,(PROY_Indexado!$B$58*O$35+PROY_Indexado!$C$58*O$36+PROY_Indexado!$D$58*O$37+PROY_Indexado!$E$58*O$38+PROY_Indexado!$F$58*O$39+PROY_Indexado!$G$58*O$40+PROY_Indexado!$H$58*O$41)/SUM(PROY_Indexado!$B$58:$H$58))</f>
        <v>0.0786972325544767</v>
      </c>
      <c r="P56" s="9" t="n">
        <f aca="false">IF(SUM(PROY_Indexado!$B$58:$H$58)=0,1/12,(PROY_Indexado!$B$58*P$35+PROY_Indexado!$C$58*P$36+PROY_Indexado!$D$58*P$37+PROY_Indexado!$E$58*P$38+PROY_Indexado!$F$58*P$39+PROY_Indexado!$G$58*P$40+PROY_Indexado!$H$58*P$41)/SUM(PROY_Indexado!$B$58:$H$58))</f>
        <v>0.0786972325544767</v>
      </c>
      <c r="Q56" s="11" t="n">
        <f aca="false">MAX(E56:P56)</f>
        <v>0.134330441900756</v>
      </c>
      <c r="R56" s="5" t="s">
        <v>215</v>
      </c>
    </row>
    <row r="57" customFormat="false" ht="15" hidden="false" customHeight="false" outlineLevel="0" collapsed="false">
      <c r="A57" s="10" t="str">
        <f aca="false">datos_base!A4</f>
        <v>ABC 5 kg</v>
      </c>
      <c r="B57" s="10" t="s">
        <v>110</v>
      </c>
      <c r="C57" s="12" t="n">
        <v>1</v>
      </c>
      <c r="D57" s="12" t="n">
        <v>0</v>
      </c>
      <c r="E57" s="9" t="n">
        <f aca="false">IF(SUM(PROY_Indexado!$B$59:$H$59)=0,1/12,(PROY_Indexado!$B$59*E$35+PROY_Indexado!$C$59*E$36+PROY_Indexado!$D$59*E$37+PROY_Indexado!$E$59*E$38+PROY_Indexado!$F$59*E$39+PROY_Indexado!$G$59*E$40+PROY_Indexado!$H$59*E$41)/SUM(PROY_Indexado!$B$59:$H$59))</f>
        <v>0.0752806934699069</v>
      </c>
      <c r="F57" s="9" t="n">
        <f aca="false">IF(SUM(PROY_Indexado!$B$59:$H$59)=0,1/12,(PROY_Indexado!$B$59*F$35+PROY_Indexado!$C$59*F$36+PROY_Indexado!$D$59*F$37+PROY_Indexado!$E$59*F$38+PROY_Indexado!$F$59*F$39+PROY_Indexado!$G$59*F$40+PROY_Indexado!$H$59*F$41)/SUM(PROY_Indexado!$B$59:$H$59))</f>
        <v>0.116386303068985</v>
      </c>
      <c r="G57" s="9" t="n">
        <f aca="false">IF(SUM(PROY_Indexado!$B$59:$H$59)=0,1/12,(PROY_Indexado!$B$59*G$35+PROY_Indexado!$C$59*G$36+PROY_Indexado!$D$59*G$37+PROY_Indexado!$E$59*G$38+PROY_Indexado!$F$59*G$39+PROY_Indexado!$G$59*G$40+PROY_Indexado!$H$59*G$41)/SUM(PROY_Indexado!$B$59:$H$59))</f>
        <v>0.0814578576260751</v>
      </c>
      <c r="H57" s="9" t="n">
        <f aca="false">IF(SUM(PROY_Indexado!$B$59:$H$59)=0,1/12,(PROY_Indexado!$B$59*H$35+PROY_Indexado!$C$59*H$36+PROY_Indexado!$D$59*H$37+PROY_Indexado!$E$59*H$38+PROY_Indexado!$F$59*H$39+PROY_Indexado!$G$59*H$40+PROY_Indexado!$H$59*H$41)/SUM(PROY_Indexado!$B$59:$H$59))</f>
        <v>0.0815056305150171</v>
      </c>
      <c r="I57" s="9" t="n">
        <f aca="false">IF(SUM(PROY_Indexado!$B$59:$H$59)=0,1/12,(PROY_Indexado!$B$59*I$35+PROY_Indexado!$C$59*I$36+PROY_Indexado!$D$59*I$37+PROY_Indexado!$E$59*I$38+PROY_Indexado!$F$59*I$39+PROY_Indexado!$G$59*I$40+PROY_Indexado!$H$59*I$41)/SUM(PROY_Indexado!$B$59:$H$59))</f>
        <v>0.0815081243924422</v>
      </c>
      <c r="J57" s="9" t="n">
        <f aca="false">IF(SUM(PROY_Indexado!$B$59:$H$59)=0,1/12,(PROY_Indexado!$B$59*J$35+PROY_Indexado!$C$59*J$36+PROY_Indexado!$D$59*J$37+PROY_Indexado!$E$59*J$38+PROY_Indexado!$F$59*J$39+PROY_Indexado!$G$59*J$40+PROY_Indexado!$H$59*J$41)/SUM(PROY_Indexado!$B$59:$H$59))</f>
        <v>0.0814854128093016</v>
      </c>
      <c r="K57" s="9" t="n">
        <f aca="false">IF(SUM(PROY_Indexado!$B$59:$H$59)=0,1/12,(PROY_Indexado!$B$59*K$35+PROY_Indexado!$C$59*K$36+PROY_Indexado!$D$59*K$37+PROY_Indexado!$E$59*K$38+PROY_Indexado!$F$59*K$39+PROY_Indexado!$G$59*K$40+PROY_Indexado!$H$59*K$41)/SUM(PROY_Indexado!$B$59:$H$59))</f>
        <v>0.0815568487028296</v>
      </c>
      <c r="L57" s="9" t="n">
        <f aca="false">IF(SUM(PROY_Indexado!$B$59:$H$59)=0,1/12,(PROY_Indexado!$B$59*L$35+PROY_Indexado!$C$59*L$36+PROY_Indexado!$D$59*L$37+PROY_Indexado!$E$59*L$38+PROY_Indexado!$F$59*L$39+PROY_Indexado!$G$59*L$40+PROY_Indexado!$H$59*L$41)/SUM(PROY_Indexado!$B$59:$H$59))</f>
        <v>0.0815030861834244</v>
      </c>
      <c r="M57" s="9" t="n">
        <f aca="false">IF(SUM(PROY_Indexado!$B$59:$H$59)=0,1/12,(PROY_Indexado!$B$59*M$35+PROY_Indexado!$C$59*M$36+PROY_Indexado!$D$59*M$37+PROY_Indexado!$E$59*M$38+PROY_Indexado!$F$59*M$39+PROY_Indexado!$G$59*M$40+PROY_Indexado!$H$59*M$41)/SUM(PROY_Indexado!$B$59:$H$59))</f>
        <v>0.0815114687829777</v>
      </c>
      <c r="N57" s="9" t="n">
        <f aca="false">IF(SUM(PROY_Indexado!$B$59:$H$59)=0,1/12,(PROY_Indexado!$B$59*N$35+PROY_Indexado!$C$59*N$36+PROY_Indexado!$D$59*N$37+PROY_Indexado!$E$59*N$38+PROY_Indexado!$F$59*N$39+PROY_Indexado!$G$59*N$40+PROY_Indexado!$H$59*N$41)/SUM(PROY_Indexado!$B$59:$H$59))</f>
        <v>0.0814837550295103</v>
      </c>
      <c r="O57" s="9" t="n">
        <f aca="false">IF(SUM(PROY_Indexado!$B$59:$H$59)=0,1/12,(PROY_Indexado!$B$59*O$35+PROY_Indexado!$C$59*O$36+PROY_Indexado!$D$59*O$37+PROY_Indexado!$E$59*O$38+PROY_Indexado!$F$59*O$39+PROY_Indexado!$G$59*O$40+PROY_Indexado!$H$59*O$41)/SUM(PROY_Indexado!$B$59:$H$59))</f>
        <v>0.0813644093000141</v>
      </c>
      <c r="P57" s="9" t="n">
        <f aca="false">IF(SUM(PROY_Indexado!$B$59:$H$59)=0,1/12,(PROY_Indexado!$B$59*P$35+PROY_Indexado!$C$59*P$36+PROY_Indexado!$D$59*P$37+PROY_Indexado!$E$59*P$38+PROY_Indexado!$F$59*P$39+PROY_Indexado!$G$59*P$40+PROY_Indexado!$H$59*P$41)/SUM(PROY_Indexado!$B$59:$H$59))</f>
        <v>0.0749564101195165</v>
      </c>
      <c r="Q57" s="11" t="n">
        <f aca="false">MAX(E57:P57)</f>
        <v>0.116386303068985</v>
      </c>
      <c r="R57" s="5" t="s">
        <v>215</v>
      </c>
    </row>
    <row r="58" customFormat="false" ht="15" hidden="false" customHeight="false" outlineLevel="0" collapsed="false">
      <c r="A58" s="10" t="str">
        <f aca="false">datos_base!A5</f>
        <v>ABC 10 kg</v>
      </c>
      <c r="B58" s="10" t="s">
        <v>110</v>
      </c>
      <c r="C58" s="12" t="n">
        <v>1</v>
      </c>
      <c r="D58" s="12" t="n">
        <v>0</v>
      </c>
      <c r="E58" s="9" t="n">
        <f aca="false">IF(SUM(PROY_Indexado!$B$60:$H$60)=0,1/12,(PROY_Indexado!$B$60*E$35+PROY_Indexado!$C$60*E$36+PROY_Indexado!$D$60*E$37+PROY_Indexado!$E$60*E$38+PROY_Indexado!$F$60*E$39+PROY_Indexado!$G$60*E$40+PROY_Indexado!$H$60*E$41)/SUM(PROY_Indexado!$B$60:$H$60))</f>
        <v>0.0778654184776741</v>
      </c>
      <c r="F58" s="9" t="n">
        <f aca="false">IF(SUM(PROY_Indexado!$B$60:$H$60)=0,1/12,(PROY_Indexado!$B$60*F$35+PROY_Indexado!$C$60*F$36+PROY_Indexado!$D$60*F$37+PROY_Indexado!$E$60*F$38+PROY_Indexado!$F$60*F$39+PROY_Indexado!$G$60*F$40+PROY_Indexado!$H$60*F$41)/SUM(PROY_Indexado!$B$60:$H$60))</f>
        <v>0.143480396745585</v>
      </c>
      <c r="G58" s="9" t="n">
        <f aca="false">IF(SUM(PROY_Indexado!$B$60:$H$60)=0,1/12,(PROY_Indexado!$B$60*G$35+PROY_Indexado!$C$60*G$36+PROY_Indexado!$D$60*G$37+PROY_Indexado!$E$60*G$38+PROY_Indexado!$F$60*G$39+PROY_Indexado!$G$60*G$40+PROY_Indexado!$H$60*G$41)/SUM(PROY_Indexado!$B$60:$H$60))</f>
        <v>0.0778654184776741</v>
      </c>
      <c r="H58" s="9" t="n">
        <f aca="false">IF(SUM(PROY_Indexado!$B$60:$H$60)=0,1/12,(PROY_Indexado!$B$60*H$35+PROY_Indexado!$C$60*H$36+PROY_Indexado!$D$60*H$37+PROY_Indexado!$E$60*H$38+PROY_Indexado!$F$60*H$39+PROY_Indexado!$G$60*H$40+PROY_Indexado!$H$60*H$41)/SUM(PROY_Indexado!$B$60:$H$60))</f>
        <v>0.0778654184776741</v>
      </c>
      <c r="I58" s="9" t="n">
        <f aca="false">IF(SUM(PROY_Indexado!$B$60:$H$60)=0,1/12,(PROY_Indexado!$B$60*I$35+PROY_Indexado!$C$60*I$36+PROY_Indexado!$D$60*I$37+PROY_Indexado!$E$60*I$38+PROY_Indexado!$F$60*I$39+PROY_Indexado!$G$60*I$40+PROY_Indexado!$H$60*I$41)/SUM(PROY_Indexado!$B$60:$H$60))</f>
        <v>0.0778654184776741</v>
      </c>
      <c r="J58" s="9" t="n">
        <f aca="false">IF(SUM(PROY_Indexado!$B$60:$H$60)=0,1/12,(PROY_Indexado!$B$60*J$35+PROY_Indexado!$C$60*J$36+PROY_Indexado!$D$60*J$37+PROY_Indexado!$E$60*J$38+PROY_Indexado!$F$60*J$39+PROY_Indexado!$G$60*J$40+PROY_Indexado!$H$60*J$41)/SUM(PROY_Indexado!$B$60:$H$60))</f>
        <v>0.0778654184776741</v>
      </c>
      <c r="K58" s="9" t="n">
        <f aca="false">IF(SUM(PROY_Indexado!$B$60:$H$60)=0,1/12,(PROY_Indexado!$B$60*K$35+PROY_Indexado!$C$60*K$36+PROY_Indexado!$D$60*K$37+PROY_Indexado!$E$60*K$38+PROY_Indexado!$F$60*K$39+PROY_Indexado!$G$60*K$40+PROY_Indexado!$H$60*K$41)/SUM(PROY_Indexado!$B$60:$H$60))</f>
        <v>0.0778654184776741</v>
      </c>
      <c r="L58" s="9" t="n">
        <f aca="false">IF(SUM(PROY_Indexado!$B$60:$H$60)=0,1/12,(PROY_Indexado!$B$60*L$35+PROY_Indexado!$C$60*L$36+PROY_Indexado!$D$60*L$37+PROY_Indexado!$E$60*L$38+PROY_Indexado!$F$60*L$39+PROY_Indexado!$G$60*L$40+PROY_Indexado!$H$60*L$41)/SUM(PROY_Indexado!$B$60:$H$60))</f>
        <v>0.0778654184776741</v>
      </c>
      <c r="M58" s="9" t="n">
        <f aca="false">IF(SUM(PROY_Indexado!$B$60:$H$60)=0,1/12,(PROY_Indexado!$B$60*M$35+PROY_Indexado!$C$60*M$36+PROY_Indexado!$D$60*M$37+PROY_Indexado!$E$60*M$38+PROY_Indexado!$F$60*M$39+PROY_Indexado!$G$60*M$40+PROY_Indexado!$H$60*M$41)/SUM(PROY_Indexado!$B$60:$H$60))</f>
        <v>0.0778654184776741</v>
      </c>
      <c r="N58" s="9" t="n">
        <f aca="false">IF(SUM(PROY_Indexado!$B$60:$H$60)=0,1/12,(PROY_Indexado!$B$60*N$35+PROY_Indexado!$C$60*N$36+PROY_Indexado!$D$60*N$37+PROY_Indexado!$E$60*N$38+PROY_Indexado!$F$60*N$39+PROY_Indexado!$G$60*N$40+PROY_Indexado!$H$60*N$41)/SUM(PROY_Indexado!$B$60:$H$60))</f>
        <v>0.0778654184776741</v>
      </c>
      <c r="O58" s="9" t="n">
        <f aca="false">IF(SUM(PROY_Indexado!$B$60:$H$60)=0,1/12,(PROY_Indexado!$B$60*O$35+PROY_Indexado!$C$60*O$36+PROY_Indexado!$D$60*O$37+PROY_Indexado!$E$60*O$38+PROY_Indexado!$F$60*O$39+PROY_Indexado!$G$60*O$40+PROY_Indexado!$H$60*O$41)/SUM(PROY_Indexado!$B$60:$H$60))</f>
        <v>0.0778654184776741</v>
      </c>
      <c r="P58" s="9" t="n">
        <f aca="false">IF(SUM(PROY_Indexado!$B$60:$H$60)=0,1/12,(PROY_Indexado!$B$60*P$35+PROY_Indexado!$C$60*P$36+PROY_Indexado!$D$60*P$37+PROY_Indexado!$E$60*P$38+PROY_Indexado!$F$60*P$39+PROY_Indexado!$G$60*P$40+PROY_Indexado!$H$60*P$41)/SUM(PROY_Indexado!$B$60:$H$60))</f>
        <v>0.0778654184776741</v>
      </c>
      <c r="Q58" s="11" t="n">
        <f aca="false">MAX(E58:P58)</f>
        <v>0.143480396745585</v>
      </c>
      <c r="R58" s="5" t="s">
        <v>215</v>
      </c>
    </row>
    <row r="59" customFormat="false" ht="15" hidden="false" customHeight="false" outlineLevel="0" collapsed="false">
      <c r="A59" s="10" t="str">
        <f aca="false">datos_base!A6</f>
        <v>Agua 10 l</v>
      </c>
      <c r="B59" s="10" t="s">
        <v>113</v>
      </c>
      <c r="C59" s="12" t="n">
        <v>1</v>
      </c>
      <c r="D59" s="12" t="n">
        <v>0</v>
      </c>
      <c r="E59" s="9" t="n">
        <f aca="false">IF(SUM(PROY_Indexado!$B$61:$H$61)=0,1/12,(PROY_Indexado!$B$61*E$35+PROY_Indexado!$C$61*E$36+PROY_Indexado!$D$61*E$37+PROY_Indexado!$E$61*E$38+PROY_Indexado!$F$61*E$39+PROY_Indexado!$G$61*E$40+PROY_Indexado!$H$61*E$41)/SUM(PROY_Indexado!$B$61:$H$61))</f>
        <v>0.0800765970881449</v>
      </c>
      <c r="F59" s="9" t="n">
        <f aca="false">IF(SUM(PROY_Indexado!$B$61:$H$61)=0,1/12,(PROY_Indexado!$B$61*F$35+PROY_Indexado!$C$61*F$36+PROY_Indexado!$D$61*F$37+PROY_Indexado!$E$61*F$38+PROY_Indexado!$F$61*F$39+PROY_Indexado!$G$61*F$40+PROY_Indexado!$H$61*F$41)/SUM(PROY_Indexado!$B$61:$H$61))</f>
        <v>0.119157432030406</v>
      </c>
      <c r="G59" s="9" t="n">
        <f aca="false">IF(SUM(PROY_Indexado!$B$61:$H$61)=0,1/12,(PROY_Indexado!$B$61*G$35+PROY_Indexado!$C$61*G$36+PROY_Indexado!$D$61*G$37+PROY_Indexado!$E$61*G$38+PROY_Indexado!$F$61*G$39+PROY_Indexado!$G$61*G$40+PROY_Indexado!$H$61*G$41)/SUM(PROY_Indexado!$B$61:$H$61))</f>
        <v>0.0800765970881449</v>
      </c>
      <c r="H59" s="9" t="n">
        <f aca="false">IF(SUM(PROY_Indexado!$B$61:$H$61)=0,1/12,(PROY_Indexado!$B$61*H$35+PROY_Indexado!$C$61*H$36+PROY_Indexado!$D$61*H$37+PROY_Indexado!$E$61*H$38+PROY_Indexado!$F$61*H$39+PROY_Indexado!$G$61*H$40+PROY_Indexado!$H$61*H$41)/SUM(PROY_Indexado!$B$61:$H$61))</f>
        <v>0.0800765970881449</v>
      </c>
      <c r="I59" s="9" t="n">
        <f aca="false">IF(SUM(PROY_Indexado!$B$61:$H$61)=0,1/12,(PROY_Indexado!$B$61*I$35+PROY_Indexado!$C$61*I$36+PROY_Indexado!$D$61*I$37+PROY_Indexado!$E$61*I$38+PROY_Indexado!$F$61*I$39+PROY_Indexado!$G$61*I$40+PROY_Indexado!$H$61*I$41)/SUM(PROY_Indexado!$B$61:$H$61))</f>
        <v>0.0800765970881449</v>
      </c>
      <c r="J59" s="9" t="n">
        <f aca="false">IF(SUM(PROY_Indexado!$B$61:$H$61)=0,1/12,(PROY_Indexado!$B$61*J$35+PROY_Indexado!$C$61*J$36+PROY_Indexado!$D$61*J$37+PROY_Indexado!$E$61*J$38+PROY_Indexado!$F$61*J$39+PROY_Indexado!$G$61*J$40+PROY_Indexado!$H$61*J$41)/SUM(PROY_Indexado!$B$61:$H$61))</f>
        <v>0.0800765970881449</v>
      </c>
      <c r="K59" s="9" t="n">
        <f aca="false">IF(SUM(PROY_Indexado!$B$61:$H$61)=0,1/12,(PROY_Indexado!$B$61*K$35+PROY_Indexado!$C$61*K$36+PROY_Indexado!$D$61*K$37+PROY_Indexado!$E$61*K$38+PROY_Indexado!$F$61*K$39+PROY_Indexado!$G$61*K$40+PROY_Indexado!$H$61*K$41)/SUM(PROY_Indexado!$B$61:$H$61))</f>
        <v>0.0800765970881449</v>
      </c>
      <c r="L59" s="9" t="n">
        <f aca="false">IF(SUM(PROY_Indexado!$B$61:$H$61)=0,1/12,(PROY_Indexado!$B$61*L$35+PROY_Indexado!$C$61*L$36+PROY_Indexado!$D$61*L$37+PROY_Indexado!$E$61*L$38+PROY_Indexado!$F$61*L$39+PROY_Indexado!$G$61*L$40+PROY_Indexado!$H$61*L$41)/SUM(PROY_Indexado!$B$61:$H$61))</f>
        <v>0.0800765970881449</v>
      </c>
      <c r="M59" s="9" t="n">
        <f aca="false">IF(SUM(PROY_Indexado!$B$61:$H$61)=0,1/12,(PROY_Indexado!$B$61*M$35+PROY_Indexado!$C$61*M$36+PROY_Indexado!$D$61*M$37+PROY_Indexado!$E$61*M$38+PROY_Indexado!$F$61*M$39+PROY_Indexado!$G$61*M$40+PROY_Indexado!$H$61*M$41)/SUM(PROY_Indexado!$B$61:$H$61))</f>
        <v>0.0800765970881449</v>
      </c>
      <c r="N59" s="9" t="n">
        <f aca="false">IF(SUM(PROY_Indexado!$B$61:$H$61)=0,1/12,(PROY_Indexado!$B$61*N$35+PROY_Indexado!$C$61*N$36+PROY_Indexado!$D$61*N$37+PROY_Indexado!$E$61*N$38+PROY_Indexado!$F$61*N$39+PROY_Indexado!$G$61*N$40+PROY_Indexado!$H$61*N$41)/SUM(PROY_Indexado!$B$61:$H$61))</f>
        <v>0.0800765970881449</v>
      </c>
      <c r="O59" s="9" t="n">
        <f aca="false">IF(SUM(PROY_Indexado!$B$61:$H$61)=0,1/12,(PROY_Indexado!$B$61*O$35+PROY_Indexado!$C$61*O$36+PROY_Indexado!$D$61*O$37+PROY_Indexado!$E$61*O$38+PROY_Indexado!$F$61*O$39+PROY_Indexado!$G$61*O$40+PROY_Indexado!$H$61*O$41)/SUM(PROY_Indexado!$B$61:$H$61))</f>
        <v>0.0800765970881449</v>
      </c>
      <c r="P59" s="9" t="n">
        <f aca="false">IF(SUM(PROY_Indexado!$B$61:$H$61)=0,1/12,(PROY_Indexado!$B$61*P$35+PROY_Indexado!$C$61*P$36+PROY_Indexado!$D$61*P$37+PROY_Indexado!$E$61*P$38+PROY_Indexado!$F$61*P$39+PROY_Indexado!$G$61*P$40+PROY_Indexado!$H$61*P$41)/SUM(PROY_Indexado!$B$61:$H$61))</f>
        <v>0.0800765970881449</v>
      </c>
      <c r="Q59" s="11" t="n">
        <f aca="false">MAX(E59:P59)</f>
        <v>0.119157432030406</v>
      </c>
      <c r="R59" s="5" t="s">
        <v>215</v>
      </c>
    </row>
    <row r="60" customFormat="false" ht="15" hidden="false" customHeight="false" outlineLevel="0" collapsed="false">
      <c r="A60" s="10" t="str">
        <f aca="false">datos_base!A7</f>
        <v>AFFF 10 l</v>
      </c>
      <c r="B60" s="10" t="s">
        <v>114</v>
      </c>
      <c r="C60" s="12" t="n">
        <v>1</v>
      </c>
      <c r="D60" s="12" t="n">
        <v>0</v>
      </c>
      <c r="E60" s="9" t="n">
        <f aca="false">IF(SUM(PROY_Indexado!$B$62:$H$62)=0,1/12,(PROY_Indexado!$B$62*E$35+PROY_Indexado!$C$62*E$36+PROY_Indexado!$D$62*E$37+PROY_Indexado!$E$62*E$38+PROY_Indexado!$F$62*E$39+PROY_Indexado!$G$62*E$40+PROY_Indexado!$H$62*E$41)/SUM(PROY_Indexado!$B$62:$H$62))</f>
        <v>0.0833333333333333</v>
      </c>
      <c r="F60" s="9" t="n">
        <f aca="false">IF(SUM(PROY_Indexado!$B$62:$H$62)=0,1/12,(PROY_Indexado!$B$62*F$35+PROY_Indexado!$C$62*F$36+PROY_Indexado!$D$62*F$37+PROY_Indexado!$E$62*F$38+PROY_Indexado!$F$62*F$39+PROY_Indexado!$G$62*F$40+PROY_Indexado!$H$62*F$41)/SUM(PROY_Indexado!$B$62:$H$62))</f>
        <v>0.0833333333333333</v>
      </c>
      <c r="G60" s="9" t="n">
        <f aca="false">IF(SUM(PROY_Indexado!$B$62:$H$62)=0,1/12,(PROY_Indexado!$B$62*G$35+PROY_Indexado!$C$62*G$36+PROY_Indexado!$D$62*G$37+PROY_Indexado!$E$62*G$38+PROY_Indexado!$F$62*G$39+PROY_Indexado!$G$62*G$40+PROY_Indexado!$H$62*G$41)/SUM(PROY_Indexado!$B$62:$H$62))</f>
        <v>0.0833333333333333</v>
      </c>
      <c r="H60" s="9" t="n">
        <f aca="false">IF(SUM(PROY_Indexado!$B$62:$H$62)=0,1/12,(PROY_Indexado!$B$62*H$35+PROY_Indexado!$C$62*H$36+PROY_Indexado!$D$62*H$37+PROY_Indexado!$E$62*H$38+PROY_Indexado!$F$62*H$39+PROY_Indexado!$G$62*H$40+PROY_Indexado!$H$62*H$41)/SUM(PROY_Indexado!$B$62:$H$62))</f>
        <v>0.0833333333333333</v>
      </c>
      <c r="I60" s="9" t="n">
        <f aca="false">IF(SUM(PROY_Indexado!$B$62:$H$62)=0,1/12,(PROY_Indexado!$B$62*I$35+PROY_Indexado!$C$62*I$36+PROY_Indexado!$D$62*I$37+PROY_Indexado!$E$62*I$38+PROY_Indexado!$F$62*I$39+PROY_Indexado!$G$62*I$40+PROY_Indexado!$H$62*I$41)/SUM(PROY_Indexado!$B$62:$H$62))</f>
        <v>0.0833333333333333</v>
      </c>
      <c r="J60" s="9" t="n">
        <f aca="false">IF(SUM(PROY_Indexado!$B$62:$H$62)=0,1/12,(PROY_Indexado!$B$62*J$35+PROY_Indexado!$C$62*J$36+PROY_Indexado!$D$62*J$37+PROY_Indexado!$E$62*J$38+PROY_Indexado!$F$62*J$39+PROY_Indexado!$G$62*J$40+PROY_Indexado!$H$62*J$41)/SUM(PROY_Indexado!$B$62:$H$62))</f>
        <v>0.0833333333333333</v>
      </c>
      <c r="K60" s="9" t="n">
        <f aca="false">IF(SUM(PROY_Indexado!$B$62:$H$62)=0,1/12,(PROY_Indexado!$B$62*K$35+PROY_Indexado!$C$62*K$36+PROY_Indexado!$D$62*K$37+PROY_Indexado!$E$62*K$38+PROY_Indexado!$F$62*K$39+PROY_Indexado!$G$62*K$40+PROY_Indexado!$H$62*K$41)/SUM(PROY_Indexado!$B$62:$H$62))</f>
        <v>0.0833333333333333</v>
      </c>
      <c r="L60" s="9" t="n">
        <f aca="false">IF(SUM(PROY_Indexado!$B$62:$H$62)=0,1/12,(PROY_Indexado!$B$62*L$35+PROY_Indexado!$C$62*L$36+PROY_Indexado!$D$62*L$37+PROY_Indexado!$E$62*L$38+PROY_Indexado!$F$62*L$39+PROY_Indexado!$G$62*L$40+PROY_Indexado!$H$62*L$41)/SUM(PROY_Indexado!$B$62:$H$62))</f>
        <v>0.0833333333333333</v>
      </c>
      <c r="M60" s="9" t="n">
        <f aca="false">IF(SUM(PROY_Indexado!$B$62:$H$62)=0,1/12,(PROY_Indexado!$B$62*M$35+PROY_Indexado!$C$62*M$36+PROY_Indexado!$D$62*M$37+PROY_Indexado!$E$62*M$38+PROY_Indexado!$F$62*M$39+PROY_Indexado!$G$62*M$40+PROY_Indexado!$H$62*M$41)/SUM(PROY_Indexado!$B$62:$H$62))</f>
        <v>0.0833333333333333</v>
      </c>
      <c r="N60" s="9" t="n">
        <f aca="false">IF(SUM(PROY_Indexado!$B$62:$H$62)=0,1/12,(PROY_Indexado!$B$62*N$35+PROY_Indexado!$C$62*N$36+PROY_Indexado!$D$62*N$37+PROY_Indexado!$E$62*N$38+PROY_Indexado!$F$62*N$39+PROY_Indexado!$G$62*N$40+PROY_Indexado!$H$62*N$41)/SUM(PROY_Indexado!$B$62:$H$62))</f>
        <v>0.0833333333333333</v>
      </c>
      <c r="O60" s="9" t="n">
        <f aca="false">IF(SUM(PROY_Indexado!$B$62:$H$62)=0,1/12,(PROY_Indexado!$B$62*O$35+PROY_Indexado!$C$62*O$36+PROY_Indexado!$D$62*O$37+PROY_Indexado!$E$62*O$38+PROY_Indexado!$F$62*O$39+PROY_Indexado!$G$62*O$40+PROY_Indexado!$H$62*O$41)/SUM(PROY_Indexado!$B$62:$H$62))</f>
        <v>0.0833333333333333</v>
      </c>
      <c r="P60" s="9" t="n">
        <f aca="false">IF(SUM(PROY_Indexado!$B$62:$H$62)=0,1/12,(PROY_Indexado!$B$62*P$35+PROY_Indexado!$C$62*P$36+PROY_Indexado!$D$62*P$37+PROY_Indexado!$E$62*P$38+PROY_Indexado!$F$62*P$39+PROY_Indexado!$G$62*P$40+PROY_Indexado!$H$62*P$41)/SUM(PROY_Indexado!$B$62:$H$62))</f>
        <v>0.0833333333333333</v>
      </c>
      <c r="Q60" s="11" t="n">
        <f aca="false">MAX(E60:P60)</f>
        <v>0.0833333333333333</v>
      </c>
      <c r="R60" s="5" t="s">
        <v>215</v>
      </c>
    </row>
    <row r="61" customFormat="false" ht="15" hidden="false" customHeight="false" outlineLevel="0" collapsed="false">
      <c r="A61" s="10" t="str">
        <f aca="false">datos_base!A8</f>
        <v>AFFF 50 l s/ruedas</v>
      </c>
      <c r="B61" s="10" t="s">
        <v>114</v>
      </c>
      <c r="C61" s="16" t="n">
        <f aca="false">$B$9</f>
        <v>6.360853875</v>
      </c>
      <c r="D61" s="12" t="n">
        <v>1</v>
      </c>
      <c r="E61" s="9" t="n">
        <f aca="false">IF(SUM(PROY_Indexado!$B$63:$H$63)=0,1/12,(PROY_Indexado!$B$63*E$35+PROY_Indexado!$C$63*E$36+PROY_Indexado!$D$63*E$37+PROY_Indexado!$E$63*E$38+PROY_Indexado!$F$63*E$39+PROY_Indexado!$G$63*E$40+PROY_Indexado!$H$63*E$41)/SUM(PROY_Indexado!$B$63:$H$63))</f>
        <v>0.0833333333333333</v>
      </c>
      <c r="F61" s="9" t="n">
        <f aca="false">IF(SUM(PROY_Indexado!$B$63:$H$63)=0,1/12,(PROY_Indexado!$B$63*F$35+PROY_Indexado!$C$63*F$36+PROY_Indexado!$D$63*F$37+PROY_Indexado!$E$63*F$38+PROY_Indexado!$F$63*F$39+PROY_Indexado!$G$63*F$40+PROY_Indexado!$H$63*F$41)/SUM(PROY_Indexado!$B$63:$H$63))</f>
        <v>0.0833333333333333</v>
      </c>
      <c r="G61" s="9" t="n">
        <f aca="false">IF(SUM(PROY_Indexado!$B$63:$H$63)=0,1/12,(PROY_Indexado!$B$63*G$35+PROY_Indexado!$C$63*G$36+PROY_Indexado!$D$63*G$37+PROY_Indexado!$E$63*G$38+PROY_Indexado!$F$63*G$39+PROY_Indexado!$G$63*G$40+PROY_Indexado!$H$63*G$41)/SUM(PROY_Indexado!$B$63:$H$63))</f>
        <v>0.0833333333333333</v>
      </c>
      <c r="H61" s="9" t="n">
        <f aca="false">IF(SUM(PROY_Indexado!$B$63:$H$63)=0,1/12,(PROY_Indexado!$B$63*H$35+PROY_Indexado!$C$63*H$36+PROY_Indexado!$D$63*H$37+PROY_Indexado!$E$63*H$38+PROY_Indexado!$F$63*H$39+PROY_Indexado!$G$63*H$40+PROY_Indexado!$H$63*H$41)/SUM(PROY_Indexado!$B$63:$H$63))</f>
        <v>0.0833333333333333</v>
      </c>
      <c r="I61" s="9" t="n">
        <f aca="false">IF(SUM(PROY_Indexado!$B$63:$H$63)=0,1/12,(PROY_Indexado!$B$63*I$35+PROY_Indexado!$C$63*I$36+PROY_Indexado!$D$63*I$37+PROY_Indexado!$E$63*I$38+PROY_Indexado!$F$63*I$39+PROY_Indexado!$G$63*I$40+PROY_Indexado!$H$63*I$41)/SUM(PROY_Indexado!$B$63:$H$63))</f>
        <v>0.0833333333333333</v>
      </c>
      <c r="J61" s="9" t="n">
        <f aca="false">IF(SUM(PROY_Indexado!$B$63:$H$63)=0,1/12,(PROY_Indexado!$B$63*J$35+PROY_Indexado!$C$63*J$36+PROY_Indexado!$D$63*J$37+PROY_Indexado!$E$63*J$38+PROY_Indexado!$F$63*J$39+PROY_Indexado!$G$63*J$40+PROY_Indexado!$H$63*J$41)/SUM(PROY_Indexado!$B$63:$H$63))</f>
        <v>0.0833333333333333</v>
      </c>
      <c r="K61" s="9" t="n">
        <f aca="false">IF(SUM(PROY_Indexado!$B$63:$H$63)=0,1/12,(PROY_Indexado!$B$63*K$35+PROY_Indexado!$C$63*K$36+PROY_Indexado!$D$63*K$37+PROY_Indexado!$E$63*K$38+PROY_Indexado!$F$63*K$39+PROY_Indexado!$G$63*K$40+PROY_Indexado!$H$63*K$41)/SUM(PROY_Indexado!$B$63:$H$63))</f>
        <v>0.0833333333333333</v>
      </c>
      <c r="L61" s="9" t="n">
        <f aca="false">IF(SUM(PROY_Indexado!$B$63:$H$63)=0,1/12,(PROY_Indexado!$B$63*L$35+PROY_Indexado!$C$63*L$36+PROY_Indexado!$D$63*L$37+PROY_Indexado!$E$63*L$38+PROY_Indexado!$F$63*L$39+PROY_Indexado!$G$63*L$40+PROY_Indexado!$H$63*L$41)/SUM(PROY_Indexado!$B$63:$H$63))</f>
        <v>0.0833333333333333</v>
      </c>
      <c r="M61" s="9" t="n">
        <f aca="false">IF(SUM(PROY_Indexado!$B$63:$H$63)=0,1/12,(PROY_Indexado!$B$63*M$35+PROY_Indexado!$C$63*M$36+PROY_Indexado!$D$63*M$37+PROY_Indexado!$E$63*M$38+PROY_Indexado!$F$63*M$39+PROY_Indexado!$G$63*M$40+PROY_Indexado!$H$63*M$41)/SUM(PROY_Indexado!$B$63:$H$63))</f>
        <v>0.0833333333333333</v>
      </c>
      <c r="N61" s="9" t="n">
        <f aca="false">IF(SUM(PROY_Indexado!$B$63:$H$63)=0,1/12,(PROY_Indexado!$B$63*N$35+PROY_Indexado!$C$63*N$36+PROY_Indexado!$D$63*N$37+PROY_Indexado!$E$63*N$38+PROY_Indexado!$F$63*N$39+PROY_Indexado!$G$63*N$40+PROY_Indexado!$H$63*N$41)/SUM(PROY_Indexado!$B$63:$H$63))</f>
        <v>0.0833333333333333</v>
      </c>
      <c r="O61" s="9" t="n">
        <f aca="false">IF(SUM(PROY_Indexado!$B$63:$H$63)=0,1/12,(PROY_Indexado!$B$63*O$35+PROY_Indexado!$C$63*O$36+PROY_Indexado!$D$63*O$37+PROY_Indexado!$E$63*O$38+PROY_Indexado!$F$63*O$39+PROY_Indexado!$G$63*O$40+PROY_Indexado!$H$63*O$41)/SUM(PROY_Indexado!$B$63:$H$63))</f>
        <v>0.0833333333333333</v>
      </c>
      <c r="P61" s="9" t="n">
        <f aca="false">IF(SUM(PROY_Indexado!$B$63:$H$63)=0,1/12,(PROY_Indexado!$B$63*P$35+PROY_Indexado!$C$63*P$36+PROY_Indexado!$D$63*P$37+PROY_Indexado!$E$63*P$38+PROY_Indexado!$F$63*P$39+PROY_Indexado!$G$63*P$40+PROY_Indexado!$H$63*P$41)/SUM(PROY_Indexado!$B$63:$H$63))</f>
        <v>0.0833333333333333</v>
      </c>
      <c r="Q61" s="11" t="n">
        <f aca="false">MAX(E61:P61)</f>
        <v>0.0833333333333333</v>
      </c>
      <c r="R61" s="5" t="s">
        <v>216</v>
      </c>
    </row>
    <row r="62" customFormat="false" ht="15" hidden="false" customHeight="false" outlineLevel="0" collapsed="false">
      <c r="A62" s="10" t="str">
        <f aca="false">datos_base!A9</f>
        <v>BC 5 kg</v>
      </c>
      <c r="B62" s="10" t="s">
        <v>111</v>
      </c>
      <c r="C62" s="12" t="n">
        <v>1</v>
      </c>
      <c r="D62" s="12" t="n">
        <v>0</v>
      </c>
      <c r="E62" s="9" t="n">
        <f aca="false">IF(SUM(PROY_Indexado!$B$64:$H$64)=0,1/12,(PROY_Indexado!$B$64*E$35+PROY_Indexado!$C$64*E$36+PROY_Indexado!$D$64*E$37+PROY_Indexado!$E$64*E$38+PROY_Indexado!$F$64*E$39+PROY_Indexado!$G$64*E$40+PROY_Indexado!$H$64*E$41)/SUM(PROY_Indexado!$B$64:$H$64))</f>
        <v>0.0833333333333333</v>
      </c>
      <c r="F62" s="9" t="n">
        <f aca="false">IF(SUM(PROY_Indexado!$B$64:$H$64)=0,1/12,(PROY_Indexado!$B$64*F$35+PROY_Indexado!$C$64*F$36+PROY_Indexado!$D$64*F$37+PROY_Indexado!$E$64*F$38+PROY_Indexado!$F$64*F$39+PROY_Indexado!$G$64*F$40+PROY_Indexado!$H$64*F$41)/SUM(PROY_Indexado!$B$64:$H$64))</f>
        <v>0.0833333333333333</v>
      </c>
      <c r="G62" s="9" t="n">
        <f aca="false">IF(SUM(PROY_Indexado!$B$64:$H$64)=0,1/12,(PROY_Indexado!$B$64*G$35+PROY_Indexado!$C$64*G$36+PROY_Indexado!$D$64*G$37+PROY_Indexado!$E$64*G$38+PROY_Indexado!$F$64*G$39+PROY_Indexado!$G$64*G$40+PROY_Indexado!$H$64*G$41)/SUM(PROY_Indexado!$B$64:$H$64))</f>
        <v>0.0833333333333333</v>
      </c>
      <c r="H62" s="9" t="n">
        <f aca="false">IF(SUM(PROY_Indexado!$B$64:$H$64)=0,1/12,(PROY_Indexado!$B$64*H$35+PROY_Indexado!$C$64*H$36+PROY_Indexado!$D$64*H$37+PROY_Indexado!$E$64*H$38+PROY_Indexado!$F$64*H$39+PROY_Indexado!$G$64*H$40+PROY_Indexado!$H$64*H$41)/SUM(PROY_Indexado!$B$64:$H$64))</f>
        <v>0.0833333333333333</v>
      </c>
      <c r="I62" s="9" t="n">
        <f aca="false">IF(SUM(PROY_Indexado!$B$64:$H$64)=0,1/12,(PROY_Indexado!$B$64*I$35+PROY_Indexado!$C$64*I$36+PROY_Indexado!$D$64*I$37+PROY_Indexado!$E$64*I$38+PROY_Indexado!$F$64*I$39+PROY_Indexado!$G$64*I$40+PROY_Indexado!$H$64*I$41)/SUM(PROY_Indexado!$B$64:$H$64))</f>
        <v>0.0833333333333333</v>
      </c>
      <c r="J62" s="9" t="n">
        <f aca="false">IF(SUM(PROY_Indexado!$B$64:$H$64)=0,1/12,(PROY_Indexado!$B$64*J$35+PROY_Indexado!$C$64*J$36+PROY_Indexado!$D$64*J$37+PROY_Indexado!$E$64*J$38+PROY_Indexado!$F$64*J$39+PROY_Indexado!$G$64*J$40+PROY_Indexado!$H$64*J$41)/SUM(PROY_Indexado!$B$64:$H$64))</f>
        <v>0.0833333333333333</v>
      </c>
      <c r="K62" s="9" t="n">
        <f aca="false">IF(SUM(PROY_Indexado!$B$64:$H$64)=0,1/12,(PROY_Indexado!$B$64*K$35+PROY_Indexado!$C$64*K$36+PROY_Indexado!$D$64*K$37+PROY_Indexado!$E$64*K$38+PROY_Indexado!$F$64*K$39+PROY_Indexado!$G$64*K$40+PROY_Indexado!$H$64*K$41)/SUM(PROY_Indexado!$B$64:$H$64))</f>
        <v>0.0833333333333333</v>
      </c>
      <c r="L62" s="9" t="n">
        <f aca="false">IF(SUM(PROY_Indexado!$B$64:$H$64)=0,1/12,(PROY_Indexado!$B$64*L$35+PROY_Indexado!$C$64*L$36+PROY_Indexado!$D$64*L$37+PROY_Indexado!$E$64*L$38+PROY_Indexado!$F$64*L$39+PROY_Indexado!$G$64*L$40+PROY_Indexado!$H$64*L$41)/SUM(PROY_Indexado!$B$64:$H$64))</f>
        <v>0.0833333333333333</v>
      </c>
      <c r="M62" s="9" t="n">
        <f aca="false">IF(SUM(PROY_Indexado!$B$64:$H$64)=0,1/12,(PROY_Indexado!$B$64*M$35+PROY_Indexado!$C$64*M$36+PROY_Indexado!$D$64*M$37+PROY_Indexado!$E$64*M$38+PROY_Indexado!$F$64*M$39+PROY_Indexado!$G$64*M$40+PROY_Indexado!$H$64*M$41)/SUM(PROY_Indexado!$B$64:$H$64))</f>
        <v>0.0833333333333333</v>
      </c>
      <c r="N62" s="9" t="n">
        <f aca="false">IF(SUM(PROY_Indexado!$B$64:$H$64)=0,1/12,(PROY_Indexado!$B$64*N$35+PROY_Indexado!$C$64*N$36+PROY_Indexado!$D$64*N$37+PROY_Indexado!$E$64*N$38+PROY_Indexado!$F$64*N$39+PROY_Indexado!$G$64*N$40+PROY_Indexado!$H$64*N$41)/SUM(PROY_Indexado!$B$64:$H$64))</f>
        <v>0.0833333333333333</v>
      </c>
      <c r="O62" s="9" t="n">
        <f aca="false">IF(SUM(PROY_Indexado!$B$64:$H$64)=0,1/12,(PROY_Indexado!$B$64*O$35+PROY_Indexado!$C$64*O$36+PROY_Indexado!$D$64*O$37+PROY_Indexado!$E$64*O$38+PROY_Indexado!$F$64*O$39+PROY_Indexado!$G$64*O$40+PROY_Indexado!$H$64*O$41)/SUM(PROY_Indexado!$B$64:$H$64))</f>
        <v>0.0833333333333333</v>
      </c>
      <c r="P62" s="9" t="n">
        <f aca="false">IF(SUM(PROY_Indexado!$B$64:$H$64)=0,1/12,(PROY_Indexado!$B$64*P$35+PROY_Indexado!$C$64*P$36+PROY_Indexado!$D$64*P$37+PROY_Indexado!$E$64*P$38+PROY_Indexado!$F$64*P$39+PROY_Indexado!$G$64*P$40+PROY_Indexado!$H$64*P$41)/SUM(PROY_Indexado!$B$64:$H$64))</f>
        <v>0.0833333333333333</v>
      </c>
      <c r="Q62" s="11" t="n">
        <f aca="false">MAX(E62:P62)</f>
        <v>0.0833333333333333</v>
      </c>
      <c r="R62" s="5" t="s">
        <v>215</v>
      </c>
    </row>
    <row r="63" customFormat="false" ht="15" hidden="false" customHeight="false" outlineLevel="0" collapsed="false">
      <c r="A63" s="10" t="str">
        <f aca="false">datos_base!A10</f>
        <v>Sales K 6 l</v>
      </c>
      <c r="B63" s="10" t="s">
        <v>115</v>
      </c>
      <c r="C63" s="12" t="n">
        <v>1</v>
      </c>
      <c r="D63" s="12" t="n">
        <v>0</v>
      </c>
      <c r="E63" s="9" t="n">
        <f aca="false">IF(SUM(PROY_Indexado!$B$65:$H$65)=0,1/12,(PROY_Indexado!$B$65*E$35+PROY_Indexado!$C$65*E$36+PROY_Indexado!$D$65*E$37+PROY_Indexado!$E$65*E$38+PROY_Indexado!$F$65*E$39+PROY_Indexado!$G$65*E$40+PROY_Indexado!$H$65*E$41)/SUM(PROY_Indexado!$B$65:$H$65))</f>
        <v>0.07684527070735</v>
      </c>
      <c r="F63" s="9" t="n">
        <f aca="false">IF(SUM(PROY_Indexado!$B$65:$H$65)=0,1/12,(PROY_Indexado!$B$65*F$35+PROY_Indexado!$C$65*F$36+PROY_Indexado!$D$65*F$37+PROY_Indexado!$E$65*F$38+PROY_Indexado!$F$65*F$39+PROY_Indexado!$G$65*F$40+PROY_Indexado!$H$65*F$41)/SUM(PROY_Indexado!$B$65:$H$65))</f>
        <v>0.15470202221915</v>
      </c>
      <c r="G63" s="9" t="n">
        <f aca="false">IF(SUM(PROY_Indexado!$B$65:$H$65)=0,1/12,(PROY_Indexado!$B$65*G$35+PROY_Indexado!$C$65*G$36+PROY_Indexado!$D$65*G$37+PROY_Indexado!$E$65*G$38+PROY_Indexado!$F$65*G$39+PROY_Indexado!$G$65*G$40+PROY_Indexado!$H$65*G$41)/SUM(PROY_Indexado!$B$65:$H$65))</f>
        <v>0.07684527070735</v>
      </c>
      <c r="H63" s="9" t="n">
        <f aca="false">IF(SUM(PROY_Indexado!$B$65:$H$65)=0,1/12,(PROY_Indexado!$B$65*H$35+PROY_Indexado!$C$65*H$36+PROY_Indexado!$D$65*H$37+PROY_Indexado!$E$65*H$38+PROY_Indexado!$F$65*H$39+PROY_Indexado!$G$65*H$40+PROY_Indexado!$H$65*H$41)/SUM(PROY_Indexado!$B$65:$H$65))</f>
        <v>0.07684527070735</v>
      </c>
      <c r="I63" s="9" t="n">
        <f aca="false">IF(SUM(PROY_Indexado!$B$65:$H$65)=0,1/12,(PROY_Indexado!$B$65*I$35+PROY_Indexado!$C$65*I$36+PROY_Indexado!$D$65*I$37+PROY_Indexado!$E$65*I$38+PROY_Indexado!$F$65*I$39+PROY_Indexado!$G$65*I$40+PROY_Indexado!$H$65*I$41)/SUM(PROY_Indexado!$B$65:$H$65))</f>
        <v>0.07684527070735</v>
      </c>
      <c r="J63" s="9" t="n">
        <f aca="false">IF(SUM(PROY_Indexado!$B$65:$H$65)=0,1/12,(PROY_Indexado!$B$65*J$35+PROY_Indexado!$C$65*J$36+PROY_Indexado!$D$65*J$37+PROY_Indexado!$E$65*J$38+PROY_Indexado!$F$65*J$39+PROY_Indexado!$G$65*J$40+PROY_Indexado!$H$65*J$41)/SUM(PROY_Indexado!$B$65:$H$65))</f>
        <v>0.07684527070735</v>
      </c>
      <c r="K63" s="9" t="n">
        <f aca="false">IF(SUM(PROY_Indexado!$B$65:$H$65)=0,1/12,(PROY_Indexado!$B$65*K$35+PROY_Indexado!$C$65*K$36+PROY_Indexado!$D$65*K$37+PROY_Indexado!$E$65*K$38+PROY_Indexado!$F$65*K$39+PROY_Indexado!$G$65*K$40+PROY_Indexado!$H$65*K$41)/SUM(PROY_Indexado!$B$65:$H$65))</f>
        <v>0.07684527070735</v>
      </c>
      <c r="L63" s="9" t="n">
        <f aca="false">IF(SUM(PROY_Indexado!$B$65:$H$65)=0,1/12,(PROY_Indexado!$B$65*L$35+PROY_Indexado!$C$65*L$36+PROY_Indexado!$D$65*L$37+PROY_Indexado!$E$65*L$38+PROY_Indexado!$F$65*L$39+PROY_Indexado!$G$65*L$40+PROY_Indexado!$H$65*L$41)/SUM(PROY_Indexado!$B$65:$H$65))</f>
        <v>0.07684527070735</v>
      </c>
      <c r="M63" s="9" t="n">
        <f aca="false">IF(SUM(PROY_Indexado!$B$65:$H$65)=0,1/12,(PROY_Indexado!$B$65*M$35+PROY_Indexado!$C$65*M$36+PROY_Indexado!$D$65*M$37+PROY_Indexado!$E$65*M$38+PROY_Indexado!$F$65*M$39+PROY_Indexado!$G$65*M$40+PROY_Indexado!$H$65*M$41)/SUM(PROY_Indexado!$B$65:$H$65))</f>
        <v>0.07684527070735</v>
      </c>
      <c r="N63" s="9" t="n">
        <f aca="false">IF(SUM(PROY_Indexado!$B$65:$H$65)=0,1/12,(PROY_Indexado!$B$65*N$35+PROY_Indexado!$C$65*N$36+PROY_Indexado!$D$65*N$37+PROY_Indexado!$E$65*N$38+PROY_Indexado!$F$65*N$39+PROY_Indexado!$G$65*N$40+PROY_Indexado!$H$65*N$41)/SUM(PROY_Indexado!$B$65:$H$65))</f>
        <v>0.07684527070735</v>
      </c>
      <c r="O63" s="9" t="n">
        <f aca="false">IF(SUM(PROY_Indexado!$B$65:$H$65)=0,1/12,(PROY_Indexado!$B$65*O$35+PROY_Indexado!$C$65*O$36+PROY_Indexado!$D$65*O$37+PROY_Indexado!$E$65*O$38+PROY_Indexado!$F$65*O$39+PROY_Indexado!$G$65*O$40+PROY_Indexado!$H$65*O$41)/SUM(PROY_Indexado!$B$65:$H$65))</f>
        <v>0.07684527070735</v>
      </c>
      <c r="P63" s="9" t="n">
        <f aca="false">IF(SUM(PROY_Indexado!$B$65:$H$65)=0,1/12,(PROY_Indexado!$B$65*P$35+PROY_Indexado!$C$65*P$36+PROY_Indexado!$D$65*P$37+PROY_Indexado!$E$65*P$38+PROY_Indexado!$F$65*P$39+PROY_Indexado!$G$65*P$40+PROY_Indexado!$H$65*P$41)/SUM(PROY_Indexado!$B$65:$H$65))</f>
        <v>0.07684527070735</v>
      </c>
      <c r="Q63" s="11" t="n">
        <f aca="false">MAX(E63:P63)</f>
        <v>0.15470202221915</v>
      </c>
      <c r="R63" s="5" t="s">
        <v>215</v>
      </c>
    </row>
    <row r="64" customFormat="false" ht="15" hidden="false" customHeight="false" outlineLevel="0" collapsed="false">
      <c r="A64" s="10" t="str">
        <f aca="false">datos_base!A11</f>
        <v>CO₂ 2 kg</v>
      </c>
      <c r="B64" s="10" t="s">
        <v>116</v>
      </c>
      <c r="C64" s="12" t="n">
        <v>1</v>
      </c>
      <c r="D64" s="12" t="n">
        <v>0</v>
      </c>
      <c r="E64" s="9" t="n">
        <f aca="false">IF(SUM(PROY_Indexado!$B$66:$H$66)=0,1/12,(PROY_Indexado!$B$66*E$35+PROY_Indexado!$C$66*E$36+PROY_Indexado!$D$66*E$37+PROY_Indexado!$E$66*E$38+PROY_Indexado!$F$66*E$39+PROY_Indexado!$G$66*E$40+PROY_Indexado!$H$66*E$41)/SUM(PROY_Indexado!$B$66:$H$66))</f>
        <v>0.07847146142097</v>
      </c>
      <c r="F64" s="9" t="n">
        <f aca="false">IF(SUM(PROY_Indexado!$B$66:$H$66)=0,1/12,(PROY_Indexado!$B$66*F$35+PROY_Indexado!$C$66*F$36+PROY_Indexado!$D$66*F$37+PROY_Indexado!$E$66*F$38+PROY_Indexado!$F$66*F$39+PROY_Indexado!$G$66*F$40+PROY_Indexado!$H$66*F$41)/SUM(PROY_Indexado!$B$66:$H$66))</f>
        <v>0.13681392436933</v>
      </c>
      <c r="G64" s="9" t="n">
        <f aca="false">IF(SUM(PROY_Indexado!$B$66:$H$66)=0,1/12,(PROY_Indexado!$B$66*G$35+PROY_Indexado!$C$66*G$36+PROY_Indexado!$D$66*G$37+PROY_Indexado!$E$66*G$38+PROY_Indexado!$F$66*G$39+PROY_Indexado!$G$66*G$40+PROY_Indexado!$H$66*G$41)/SUM(PROY_Indexado!$B$66:$H$66))</f>
        <v>0.07847146142097</v>
      </c>
      <c r="H64" s="9" t="n">
        <f aca="false">IF(SUM(PROY_Indexado!$B$66:$H$66)=0,1/12,(PROY_Indexado!$B$66*H$35+PROY_Indexado!$C$66*H$36+PROY_Indexado!$D$66*H$37+PROY_Indexado!$E$66*H$38+PROY_Indexado!$F$66*H$39+PROY_Indexado!$G$66*H$40+PROY_Indexado!$H$66*H$41)/SUM(PROY_Indexado!$B$66:$H$66))</f>
        <v>0.07847146142097</v>
      </c>
      <c r="I64" s="9" t="n">
        <f aca="false">IF(SUM(PROY_Indexado!$B$66:$H$66)=0,1/12,(PROY_Indexado!$B$66*I$35+PROY_Indexado!$C$66*I$36+PROY_Indexado!$D$66*I$37+PROY_Indexado!$E$66*I$38+PROY_Indexado!$F$66*I$39+PROY_Indexado!$G$66*I$40+PROY_Indexado!$H$66*I$41)/SUM(PROY_Indexado!$B$66:$H$66))</f>
        <v>0.07847146142097</v>
      </c>
      <c r="J64" s="9" t="n">
        <f aca="false">IF(SUM(PROY_Indexado!$B$66:$H$66)=0,1/12,(PROY_Indexado!$B$66*J$35+PROY_Indexado!$C$66*J$36+PROY_Indexado!$D$66*J$37+PROY_Indexado!$E$66*J$38+PROY_Indexado!$F$66*J$39+PROY_Indexado!$G$66*J$40+PROY_Indexado!$H$66*J$41)/SUM(PROY_Indexado!$B$66:$H$66))</f>
        <v>0.07847146142097</v>
      </c>
      <c r="K64" s="9" t="n">
        <f aca="false">IF(SUM(PROY_Indexado!$B$66:$H$66)=0,1/12,(PROY_Indexado!$B$66*K$35+PROY_Indexado!$C$66*K$36+PROY_Indexado!$D$66*K$37+PROY_Indexado!$E$66*K$38+PROY_Indexado!$F$66*K$39+PROY_Indexado!$G$66*K$40+PROY_Indexado!$H$66*K$41)/SUM(PROY_Indexado!$B$66:$H$66))</f>
        <v>0.07847146142097</v>
      </c>
      <c r="L64" s="9" t="n">
        <f aca="false">IF(SUM(PROY_Indexado!$B$66:$H$66)=0,1/12,(PROY_Indexado!$B$66*L$35+PROY_Indexado!$C$66*L$36+PROY_Indexado!$D$66*L$37+PROY_Indexado!$E$66*L$38+PROY_Indexado!$F$66*L$39+PROY_Indexado!$G$66*L$40+PROY_Indexado!$H$66*L$41)/SUM(PROY_Indexado!$B$66:$H$66))</f>
        <v>0.07847146142097</v>
      </c>
      <c r="M64" s="9" t="n">
        <f aca="false">IF(SUM(PROY_Indexado!$B$66:$H$66)=0,1/12,(PROY_Indexado!$B$66*M$35+PROY_Indexado!$C$66*M$36+PROY_Indexado!$D$66*M$37+PROY_Indexado!$E$66*M$38+PROY_Indexado!$F$66*M$39+PROY_Indexado!$G$66*M$40+PROY_Indexado!$H$66*M$41)/SUM(PROY_Indexado!$B$66:$H$66))</f>
        <v>0.07847146142097</v>
      </c>
      <c r="N64" s="9" t="n">
        <f aca="false">IF(SUM(PROY_Indexado!$B$66:$H$66)=0,1/12,(PROY_Indexado!$B$66*N$35+PROY_Indexado!$C$66*N$36+PROY_Indexado!$D$66*N$37+PROY_Indexado!$E$66*N$38+PROY_Indexado!$F$66*N$39+PROY_Indexado!$G$66*N$40+PROY_Indexado!$H$66*N$41)/SUM(PROY_Indexado!$B$66:$H$66))</f>
        <v>0.07847146142097</v>
      </c>
      <c r="O64" s="9" t="n">
        <f aca="false">IF(SUM(PROY_Indexado!$B$66:$H$66)=0,1/12,(PROY_Indexado!$B$66*O$35+PROY_Indexado!$C$66*O$36+PROY_Indexado!$D$66*O$37+PROY_Indexado!$E$66*O$38+PROY_Indexado!$F$66*O$39+PROY_Indexado!$G$66*O$40+PROY_Indexado!$H$66*O$41)/SUM(PROY_Indexado!$B$66:$H$66))</f>
        <v>0.07847146142097</v>
      </c>
      <c r="P64" s="9" t="n">
        <f aca="false">IF(SUM(PROY_Indexado!$B$66:$H$66)=0,1/12,(PROY_Indexado!$B$66*P$35+PROY_Indexado!$C$66*P$36+PROY_Indexado!$D$66*P$37+PROY_Indexado!$E$66*P$38+PROY_Indexado!$F$66*P$39+PROY_Indexado!$G$66*P$40+PROY_Indexado!$H$66*P$41)/SUM(PROY_Indexado!$B$66:$H$66))</f>
        <v>0.07847146142097</v>
      </c>
      <c r="Q64" s="11" t="n">
        <f aca="false">MAX(E64:P64)</f>
        <v>0.13681392436933</v>
      </c>
      <c r="R64" s="5" t="s">
        <v>217</v>
      </c>
    </row>
    <row r="65" customFormat="false" ht="15" hidden="false" customHeight="false" outlineLevel="0" collapsed="false">
      <c r="A65" s="10" t="str">
        <f aca="false">datos_base!A12</f>
        <v>CO₂ 5 kg</v>
      </c>
      <c r="B65" s="10" t="s">
        <v>116</v>
      </c>
      <c r="C65" s="12" t="n">
        <v>1</v>
      </c>
      <c r="D65" s="12" t="n">
        <v>1</v>
      </c>
      <c r="E65" s="9" t="n">
        <f aca="false">IF(SUM(PROY_Indexado!$B$67:$H$67)=0,1/12,(PROY_Indexado!$B$67*E$35+PROY_Indexado!$C$67*E$36+PROY_Indexado!$D$67*E$37+PROY_Indexado!$E$67*E$38+PROY_Indexado!$F$67*E$39+PROY_Indexado!$G$67*E$40+PROY_Indexado!$H$67*E$41)/SUM(PROY_Indexado!$B$67:$H$67))</f>
        <v>0.0826637580910584</v>
      </c>
      <c r="F65" s="9" t="n">
        <f aca="false">IF(SUM(PROY_Indexado!$B$67:$H$67)=0,1/12,(PROY_Indexado!$B$67*F$35+PROY_Indexado!$C$67*F$36+PROY_Indexado!$D$67*F$37+PROY_Indexado!$E$67*F$38+PROY_Indexado!$F$67*F$39+PROY_Indexado!$G$67*F$40+PROY_Indexado!$H$67*F$41)/SUM(PROY_Indexado!$B$67:$H$67))</f>
        <v>0.090698660998357</v>
      </c>
      <c r="G65" s="9" t="n">
        <f aca="false">IF(SUM(PROY_Indexado!$B$67:$H$67)=0,1/12,(PROY_Indexado!$B$67*G$35+PROY_Indexado!$C$67*G$36+PROY_Indexado!$D$67*G$37+PROY_Indexado!$E$67*G$38+PROY_Indexado!$F$67*G$39+PROY_Indexado!$G$67*G$40+PROY_Indexado!$H$67*G$41)/SUM(PROY_Indexado!$B$67:$H$67))</f>
        <v>0.0826637580910584</v>
      </c>
      <c r="H65" s="9" t="n">
        <f aca="false">IF(SUM(PROY_Indexado!$B$67:$H$67)=0,1/12,(PROY_Indexado!$B$67*H$35+PROY_Indexado!$C$67*H$36+PROY_Indexado!$D$67*H$37+PROY_Indexado!$E$67*H$38+PROY_Indexado!$F$67*H$39+PROY_Indexado!$G$67*H$40+PROY_Indexado!$H$67*H$41)/SUM(PROY_Indexado!$B$67:$H$67))</f>
        <v>0.0826637580910584</v>
      </c>
      <c r="I65" s="9" t="n">
        <f aca="false">IF(SUM(PROY_Indexado!$B$67:$H$67)=0,1/12,(PROY_Indexado!$B$67*I$35+PROY_Indexado!$C$67*I$36+PROY_Indexado!$D$67*I$37+PROY_Indexado!$E$67*I$38+PROY_Indexado!$F$67*I$39+PROY_Indexado!$G$67*I$40+PROY_Indexado!$H$67*I$41)/SUM(PROY_Indexado!$B$67:$H$67))</f>
        <v>0.0826637580910584</v>
      </c>
      <c r="J65" s="9" t="n">
        <f aca="false">IF(SUM(PROY_Indexado!$B$67:$H$67)=0,1/12,(PROY_Indexado!$B$67*J$35+PROY_Indexado!$C$67*J$36+PROY_Indexado!$D$67*J$37+PROY_Indexado!$E$67*J$38+PROY_Indexado!$F$67*J$39+PROY_Indexado!$G$67*J$40+PROY_Indexado!$H$67*J$41)/SUM(PROY_Indexado!$B$67:$H$67))</f>
        <v>0.0826637580910584</v>
      </c>
      <c r="K65" s="9" t="n">
        <f aca="false">IF(SUM(PROY_Indexado!$B$67:$H$67)=0,1/12,(PROY_Indexado!$B$67*K$35+PROY_Indexado!$C$67*K$36+PROY_Indexado!$D$67*K$37+PROY_Indexado!$E$67*K$38+PROY_Indexado!$F$67*K$39+PROY_Indexado!$G$67*K$40+PROY_Indexado!$H$67*K$41)/SUM(PROY_Indexado!$B$67:$H$67))</f>
        <v>0.0826637580910584</v>
      </c>
      <c r="L65" s="9" t="n">
        <f aca="false">IF(SUM(PROY_Indexado!$B$67:$H$67)=0,1/12,(PROY_Indexado!$B$67*L$35+PROY_Indexado!$C$67*L$36+PROY_Indexado!$D$67*L$37+PROY_Indexado!$E$67*L$38+PROY_Indexado!$F$67*L$39+PROY_Indexado!$G$67*L$40+PROY_Indexado!$H$67*L$41)/SUM(PROY_Indexado!$B$67:$H$67))</f>
        <v>0.0826637580910584</v>
      </c>
      <c r="M65" s="9" t="n">
        <f aca="false">IF(SUM(PROY_Indexado!$B$67:$H$67)=0,1/12,(PROY_Indexado!$B$67*M$35+PROY_Indexado!$C$67*M$36+PROY_Indexado!$D$67*M$37+PROY_Indexado!$E$67*M$38+PROY_Indexado!$F$67*M$39+PROY_Indexado!$G$67*M$40+PROY_Indexado!$H$67*M$41)/SUM(PROY_Indexado!$B$67:$H$67))</f>
        <v>0.0826637580910584</v>
      </c>
      <c r="N65" s="9" t="n">
        <f aca="false">IF(SUM(PROY_Indexado!$B$67:$H$67)=0,1/12,(PROY_Indexado!$B$67*N$35+PROY_Indexado!$C$67*N$36+PROY_Indexado!$D$67*N$37+PROY_Indexado!$E$67*N$38+PROY_Indexado!$F$67*N$39+PROY_Indexado!$G$67*N$40+PROY_Indexado!$H$67*N$41)/SUM(PROY_Indexado!$B$67:$H$67))</f>
        <v>0.0826637580910584</v>
      </c>
      <c r="O65" s="9" t="n">
        <f aca="false">IF(SUM(PROY_Indexado!$B$67:$H$67)=0,1/12,(PROY_Indexado!$B$67*O$35+PROY_Indexado!$C$67*O$36+PROY_Indexado!$D$67*O$37+PROY_Indexado!$E$67*O$38+PROY_Indexado!$F$67*O$39+PROY_Indexado!$G$67*O$40+PROY_Indexado!$H$67*O$41)/SUM(PROY_Indexado!$B$67:$H$67))</f>
        <v>0.0826637580910584</v>
      </c>
      <c r="P65" s="9" t="n">
        <f aca="false">IF(SUM(PROY_Indexado!$B$67:$H$67)=0,1/12,(PROY_Indexado!$B$67*P$35+PROY_Indexado!$C$67*P$36+PROY_Indexado!$D$67*P$37+PROY_Indexado!$E$67*P$38+PROY_Indexado!$F$67*P$39+PROY_Indexado!$G$67*P$40+PROY_Indexado!$H$67*P$41)/SUM(PROY_Indexado!$B$67:$H$67))</f>
        <v>0.0826637580910584</v>
      </c>
      <c r="Q65" s="11" t="n">
        <f aca="false">MAX(E65:P65)</f>
        <v>0.090698660998357</v>
      </c>
      <c r="R65" s="5" t="s">
        <v>218</v>
      </c>
    </row>
    <row r="66" customFormat="false" ht="15" hidden="false" customHeight="false" outlineLevel="0" collapsed="false">
      <c r="A66" s="10" t="str">
        <f aca="false">datos_base!A13</f>
        <v>HCFC/HFC 5 kg</v>
      </c>
      <c r="B66" s="10" t="s">
        <v>117</v>
      </c>
      <c r="C66" s="12" t="n">
        <v>1</v>
      </c>
      <c r="D66" s="12" t="n">
        <v>0</v>
      </c>
      <c r="E66" s="9" t="n">
        <f aca="false">IF(SUM(PROY_Indexado!$B$68:$H$68)=0,1/12,(PROY_Indexado!$B$68*E$35+PROY_Indexado!$C$68*E$36+PROY_Indexado!$D$68*E$37+PROY_Indexado!$E$68*E$38+PROY_Indexado!$F$68*E$39+PROY_Indexado!$G$68*E$40+PROY_Indexado!$H$68*E$41)/SUM(PROY_Indexado!$B$68:$H$68))</f>
        <v>0.0833333333333333</v>
      </c>
      <c r="F66" s="9" t="n">
        <f aca="false">IF(SUM(PROY_Indexado!$B$68:$H$68)=0,1/12,(PROY_Indexado!$B$68*F$35+PROY_Indexado!$C$68*F$36+PROY_Indexado!$D$68*F$37+PROY_Indexado!$E$68*F$38+PROY_Indexado!$F$68*F$39+PROY_Indexado!$G$68*F$40+PROY_Indexado!$H$68*F$41)/SUM(PROY_Indexado!$B$68:$H$68))</f>
        <v>0.0833333333333333</v>
      </c>
      <c r="G66" s="9" t="n">
        <f aca="false">IF(SUM(PROY_Indexado!$B$68:$H$68)=0,1/12,(PROY_Indexado!$B$68*G$35+PROY_Indexado!$C$68*G$36+PROY_Indexado!$D$68*G$37+PROY_Indexado!$E$68*G$38+PROY_Indexado!$F$68*G$39+PROY_Indexado!$G$68*G$40+PROY_Indexado!$H$68*G$41)/SUM(PROY_Indexado!$B$68:$H$68))</f>
        <v>0.0833333333333333</v>
      </c>
      <c r="H66" s="9" t="n">
        <f aca="false">IF(SUM(PROY_Indexado!$B$68:$H$68)=0,1/12,(PROY_Indexado!$B$68*H$35+PROY_Indexado!$C$68*H$36+PROY_Indexado!$D$68*H$37+PROY_Indexado!$E$68*H$38+PROY_Indexado!$F$68*H$39+PROY_Indexado!$G$68*H$40+PROY_Indexado!$H$68*H$41)/SUM(PROY_Indexado!$B$68:$H$68))</f>
        <v>0.0833333333333333</v>
      </c>
      <c r="I66" s="9" t="n">
        <f aca="false">IF(SUM(PROY_Indexado!$B$68:$H$68)=0,1/12,(PROY_Indexado!$B$68*I$35+PROY_Indexado!$C$68*I$36+PROY_Indexado!$D$68*I$37+PROY_Indexado!$E$68*I$38+PROY_Indexado!$F$68*I$39+PROY_Indexado!$G$68*I$40+PROY_Indexado!$H$68*I$41)/SUM(PROY_Indexado!$B$68:$H$68))</f>
        <v>0.0833333333333333</v>
      </c>
      <c r="J66" s="9" t="n">
        <f aca="false">IF(SUM(PROY_Indexado!$B$68:$H$68)=0,1/12,(PROY_Indexado!$B$68*J$35+PROY_Indexado!$C$68*J$36+PROY_Indexado!$D$68*J$37+PROY_Indexado!$E$68*J$38+PROY_Indexado!$F$68*J$39+PROY_Indexado!$G$68*J$40+PROY_Indexado!$H$68*J$41)/SUM(PROY_Indexado!$B$68:$H$68))</f>
        <v>0.0833333333333333</v>
      </c>
      <c r="K66" s="9" t="n">
        <f aca="false">IF(SUM(PROY_Indexado!$B$68:$H$68)=0,1/12,(PROY_Indexado!$B$68*K$35+PROY_Indexado!$C$68*K$36+PROY_Indexado!$D$68*K$37+PROY_Indexado!$E$68*K$38+PROY_Indexado!$F$68*K$39+PROY_Indexado!$G$68*K$40+PROY_Indexado!$H$68*K$41)/SUM(PROY_Indexado!$B$68:$H$68))</f>
        <v>0.0833333333333333</v>
      </c>
      <c r="L66" s="9" t="n">
        <f aca="false">IF(SUM(PROY_Indexado!$B$68:$H$68)=0,1/12,(PROY_Indexado!$B$68*L$35+PROY_Indexado!$C$68*L$36+PROY_Indexado!$D$68*L$37+PROY_Indexado!$E$68*L$38+PROY_Indexado!$F$68*L$39+PROY_Indexado!$G$68*L$40+PROY_Indexado!$H$68*L$41)/SUM(PROY_Indexado!$B$68:$H$68))</f>
        <v>0.0833333333333333</v>
      </c>
      <c r="M66" s="9" t="n">
        <f aca="false">IF(SUM(PROY_Indexado!$B$68:$H$68)=0,1/12,(PROY_Indexado!$B$68*M$35+PROY_Indexado!$C$68*M$36+PROY_Indexado!$D$68*M$37+PROY_Indexado!$E$68*M$38+PROY_Indexado!$F$68*M$39+PROY_Indexado!$G$68*M$40+PROY_Indexado!$H$68*M$41)/SUM(PROY_Indexado!$B$68:$H$68))</f>
        <v>0.0833333333333333</v>
      </c>
      <c r="N66" s="9" t="n">
        <f aca="false">IF(SUM(PROY_Indexado!$B$68:$H$68)=0,1/12,(PROY_Indexado!$B$68*N$35+PROY_Indexado!$C$68*N$36+PROY_Indexado!$D$68*N$37+PROY_Indexado!$E$68*N$38+PROY_Indexado!$F$68*N$39+PROY_Indexado!$G$68*N$40+PROY_Indexado!$H$68*N$41)/SUM(PROY_Indexado!$B$68:$H$68))</f>
        <v>0.0833333333333333</v>
      </c>
      <c r="O66" s="9" t="n">
        <f aca="false">IF(SUM(PROY_Indexado!$B$68:$H$68)=0,1/12,(PROY_Indexado!$B$68*O$35+PROY_Indexado!$C$68*O$36+PROY_Indexado!$D$68*O$37+PROY_Indexado!$E$68*O$38+PROY_Indexado!$F$68*O$39+PROY_Indexado!$G$68*O$40+PROY_Indexado!$H$68*O$41)/SUM(PROY_Indexado!$B$68:$H$68))</f>
        <v>0.0833333333333333</v>
      </c>
      <c r="P66" s="9" t="n">
        <f aca="false">IF(SUM(PROY_Indexado!$B$68:$H$68)=0,1/12,(PROY_Indexado!$B$68*P$35+PROY_Indexado!$C$68*P$36+PROY_Indexado!$D$68*P$37+PROY_Indexado!$E$68*P$38+PROY_Indexado!$F$68*P$39+PROY_Indexado!$G$68*P$40+PROY_Indexado!$H$68*P$41)/SUM(PROY_Indexado!$B$68:$H$68))</f>
        <v>0.0833333333333333</v>
      </c>
      <c r="Q66" s="11" t="n">
        <f aca="false">MAX(E66:P66)</f>
        <v>0.0833333333333333</v>
      </c>
      <c r="R66" s="5" t="s">
        <v>215</v>
      </c>
    </row>
    <row r="67" customFormat="false" ht="15" hidden="false" customHeight="false" outlineLevel="0" collapsed="false">
      <c r="A67" s="10" t="str">
        <f aca="false">datos_base!A14</f>
        <v>Clase D 9 l</v>
      </c>
      <c r="B67" s="10" t="s">
        <v>112</v>
      </c>
      <c r="C67" s="12" t="n">
        <v>1</v>
      </c>
      <c r="D67" s="12" t="n">
        <v>0</v>
      </c>
      <c r="E67" s="9" t="n">
        <f aca="false">IF(SUM(PROY_Indexado!$B$69:$H$69)=0,1/12,(PROY_Indexado!$B$69*E$35+PROY_Indexado!$C$69*E$36+PROY_Indexado!$D$69*E$37+PROY_Indexado!$E$69*E$38+PROY_Indexado!$F$69*E$39+PROY_Indexado!$G$69*E$40+PROY_Indexado!$H$69*E$41)/SUM(PROY_Indexado!$B$69:$H$69))</f>
        <v>0.0833333333333333</v>
      </c>
      <c r="F67" s="9" t="n">
        <f aca="false">IF(SUM(PROY_Indexado!$B$69:$H$69)=0,1/12,(PROY_Indexado!$B$69*F$35+PROY_Indexado!$C$69*F$36+PROY_Indexado!$D$69*F$37+PROY_Indexado!$E$69*F$38+PROY_Indexado!$F$69*F$39+PROY_Indexado!$G$69*F$40+PROY_Indexado!$H$69*F$41)/SUM(PROY_Indexado!$B$69:$H$69))</f>
        <v>0.0833333333333333</v>
      </c>
      <c r="G67" s="9" t="n">
        <f aca="false">IF(SUM(PROY_Indexado!$B$69:$H$69)=0,1/12,(PROY_Indexado!$B$69*G$35+PROY_Indexado!$C$69*G$36+PROY_Indexado!$D$69*G$37+PROY_Indexado!$E$69*G$38+PROY_Indexado!$F$69*G$39+PROY_Indexado!$G$69*G$40+PROY_Indexado!$H$69*G$41)/SUM(PROY_Indexado!$B$69:$H$69))</f>
        <v>0.0833333333333333</v>
      </c>
      <c r="H67" s="9" t="n">
        <f aca="false">IF(SUM(PROY_Indexado!$B$69:$H$69)=0,1/12,(PROY_Indexado!$B$69*H$35+PROY_Indexado!$C$69*H$36+PROY_Indexado!$D$69*H$37+PROY_Indexado!$E$69*H$38+PROY_Indexado!$F$69*H$39+PROY_Indexado!$G$69*H$40+PROY_Indexado!$H$69*H$41)/SUM(PROY_Indexado!$B$69:$H$69))</f>
        <v>0.0833333333333333</v>
      </c>
      <c r="I67" s="9" t="n">
        <f aca="false">IF(SUM(PROY_Indexado!$B$69:$H$69)=0,1/12,(PROY_Indexado!$B$69*I$35+PROY_Indexado!$C$69*I$36+PROY_Indexado!$D$69*I$37+PROY_Indexado!$E$69*I$38+PROY_Indexado!$F$69*I$39+PROY_Indexado!$G$69*I$40+PROY_Indexado!$H$69*I$41)/SUM(PROY_Indexado!$B$69:$H$69))</f>
        <v>0.0833333333333333</v>
      </c>
      <c r="J67" s="9" t="n">
        <f aca="false">IF(SUM(PROY_Indexado!$B$69:$H$69)=0,1/12,(PROY_Indexado!$B$69*J$35+PROY_Indexado!$C$69*J$36+PROY_Indexado!$D$69*J$37+PROY_Indexado!$E$69*J$38+PROY_Indexado!$F$69*J$39+PROY_Indexado!$G$69*J$40+PROY_Indexado!$H$69*J$41)/SUM(PROY_Indexado!$B$69:$H$69))</f>
        <v>0.0833333333333333</v>
      </c>
      <c r="K67" s="9" t="n">
        <f aca="false">IF(SUM(PROY_Indexado!$B$69:$H$69)=0,1/12,(PROY_Indexado!$B$69*K$35+PROY_Indexado!$C$69*K$36+PROY_Indexado!$D$69*K$37+PROY_Indexado!$E$69*K$38+PROY_Indexado!$F$69*K$39+PROY_Indexado!$G$69*K$40+PROY_Indexado!$H$69*K$41)/SUM(PROY_Indexado!$B$69:$H$69))</f>
        <v>0.0833333333333333</v>
      </c>
      <c r="L67" s="9" t="n">
        <f aca="false">IF(SUM(PROY_Indexado!$B$69:$H$69)=0,1/12,(PROY_Indexado!$B$69*L$35+PROY_Indexado!$C$69*L$36+PROY_Indexado!$D$69*L$37+PROY_Indexado!$E$69*L$38+PROY_Indexado!$F$69*L$39+PROY_Indexado!$G$69*L$40+PROY_Indexado!$H$69*L$41)/SUM(PROY_Indexado!$B$69:$H$69))</f>
        <v>0.0833333333333333</v>
      </c>
      <c r="M67" s="9" t="n">
        <f aca="false">IF(SUM(PROY_Indexado!$B$69:$H$69)=0,1/12,(PROY_Indexado!$B$69*M$35+PROY_Indexado!$C$69*M$36+PROY_Indexado!$D$69*M$37+PROY_Indexado!$E$69*M$38+PROY_Indexado!$F$69*M$39+PROY_Indexado!$G$69*M$40+PROY_Indexado!$H$69*M$41)/SUM(PROY_Indexado!$B$69:$H$69))</f>
        <v>0.0833333333333333</v>
      </c>
      <c r="N67" s="9" t="n">
        <f aca="false">IF(SUM(PROY_Indexado!$B$69:$H$69)=0,1/12,(PROY_Indexado!$B$69*N$35+PROY_Indexado!$C$69*N$36+PROY_Indexado!$D$69*N$37+PROY_Indexado!$E$69*N$38+PROY_Indexado!$F$69*N$39+PROY_Indexado!$G$69*N$40+PROY_Indexado!$H$69*N$41)/SUM(PROY_Indexado!$B$69:$H$69))</f>
        <v>0.0833333333333333</v>
      </c>
      <c r="O67" s="9" t="n">
        <f aca="false">IF(SUM(PROY_Indexado!$B$69:$H$69)=0,1/12,(PROY_Indexado!$B$69*O$35+PROY_Indexado!$C$69*O$36+PROY_Indexado!$D$69*O$37+PROY_Indexado!$E$69*O$38+PROY_Indexado!$F$69*O$39+PROY_Indexado!$G$69*O$40+PROY_Indexado!$H$69*O$41)/SUM(PROY_Indexado!$B$69:$H$69))</f>
        <v>0.0833333333333333</v>
      </c>
      <c r="P67" s="9" t="n">
        <f aca="false">IF(SUM(PROY_Indexado!$B$69:$H$69)=0,1/12,(PROY_Indexado!$B$69*P$35+PROY_Indexado!$C$69*P$36+PROY_Indexado!$D$69*P$37+PROY_Indexado!$E$69*P$38+PROY_Indexado!$F$69*P$39+PROY_Indexado!$G$69*P$40+PROY_Indexado!$H$69*P$41)/SUM(PROY_Indexado!$B$69:$H$69))</f>
        <v>0.0833333333333333</v>
      </c>
      <c r="Q67" s="11" t="n">
        <f aca="false">MAX(E67:P67)</f>
        <v>0.0833333333333333</v>
      </c>
      <c r="R67" s="5" t="s">
        <v>215</v>
      </c>
    </row>
    <row r="68" customFormat="false" ht="15" hidden="false" customHeight="false" outlineLevel="0" collapsed="false">
      <c r="A68" s="10" t="str">
        <f aca="false">datos_base!A15</f>
        <v>ABC 25 kg s/ruedas</v>
      </c>
      <c r="B68" s="10" t="s">
        <v>110</v>
      </c>
      <c r="C68" s="16" t="n">
        <f aca="false">$B$9</f>
        <v>6.360853875</v>
      </c>
      <c r="D68" s="12" t="n">
        <v>1</v>
      </c>
      <c r="E68" s="9" t="n">
        <f aca="false">IF(SUM(PROY_Indexado!$B$70:$H$70)=0,1/12,(PROY_Indexado!$B$70*E$35+PROY_Indexado!$C$70*E$36+PROY_Indexado!$D$70*E$37+PROY_Indexado!$E$70*E$38+PROY_Indexado!$F$70*E$39+PROY_Indexado!$G$70*E$40+PROY_Indexado!$H$70*E$41)/SUM(PROY_Indexado!$B$70:$H$70))</f>
        <v>0.0822263312114782</v>
      </c>
      <c r="F68" s="9" t="n">
        <f aca="false">IF(SUM(PROY_Indexado!$B$70:$H$70)=0,1/12,(PROY_Indexado!$B$70*F$35+PROY_Indexado!$C$70*F$36+PROY_Indexado!$D$70*F$37+PROY_Indexado!$E$70*F$38+PROY_Indexado!$F$70*F$39+PROY_Indexado!$G$70*F$40+PROY_Indexado!$H$70*F$41)/SUM(PROY_Indexado!$B$70:$H$70))</f>
        <v>0.0955103566737395</v>
      </c>
      <c r="G68" s="9" t="n">
        <f aca="false">IF(SUM(PROY_Indexado!$B$70:$H$70)=0,1/12,(PROY_Indexado!$B$70*G$35+PROY_Indexado!$C$70*G$36+PROY_Indexado!$D$70*G$37+PROY_Indexado!$E$70*G$38+PROY_Indexado!$F$70*G$39+PROY_Indexado!$G$70*G$40+PROY_Indexado!$H$70*G$41)/SUM(PROY_Indexado!$B$70:$H$70))</f>
        <v>0.0822263312114782</v>
      </c>
      <c r="H68" s="9" t="n">
        <f aca="false">IF(SUM(PROY_Indexado!$B$70:$H$70)=0,1/12,(PROY_Indexado!$B$70*H$35+PROY_Indexado!$C$70*H$36+PROY_Indexado!$D$70*H$37+PROY_Indexado!$E$70*H$38+PROY_Indexado!$F$70*H$39+PROY_Indexado!$G$70*H$40+PROY_Indexado!$H$70*H$41)/SUM(PROY_Indexado!$B$70:$H$70))</f>
        <v>0.0822263312114782</v>
      </c>
      <c r="I68" s="9" t="n">
        <f aca="false">IF(SUM(PROY_Indexado!$B$70:$H$70)=0,1/12,(PROY_Indexado!$B$70*I$35+PROY_Indexado!$C$70*I$36+PROY_Indexado!$D$70*I$37+PROY_Indexado!$E$70*I$38+PROY_Indexado!$F$70*I$39+PROY_Indexado!$G$70*I$40+PROY_Indexado!$H$70*I$41)/SUM(PROY_Indexado!$B$70:$H$70))</f>
        <v>0.0822263312114782</v>
      </c>
      <c r="J68" s="9" t="n">
        <f aca="false">IF(SUM(PROY_Indexado!$B$70:$H$70)=0,1/12,(PROY_Indexado!$B$70*J$35+PROY_Indexado!$C$70*J$36+PROY_Indexado!$D$70*J$37+PROY_Indexado!$E$70*J$38+PROY_Indexado!$F$70*J$39+PROY_Indexado!$G$70*J$40+PROY_Indexado!$H$70*J$41)/SUM(PROY_Indexado!$B$70:$H$70))</f>
        <v>0.0822263312114782</v>
      </c>
      <c r="K68" s="9" t="n">
        <f aca="false">IF(SUM(PROY_Indexado!$B$70:$H$70)=0,1/12,(PROY_Indexado!$B$70*K$35+PROY_Indexado!$C$70*K$36+PROY_Indexado!$D$70*K$37+PROY_Indexado!$E$70*K$38+PROY_Indexado!$F$70*K$39+PROY_Indexado!$G$70*K$40+PROY_Indexado!$H$70*K$41)/SUM(PROY_Indexado!$B$70:$H$70))</f>
        <v>0.0822263312114782</v>
      </c>
      <c r="L68" s="9" t="n">
        <f aca="false">IF(SUM(PROY_Indexado!$B$70:$H$70)=0,1/12,(PROY_Indexado!$B$70*L$35+PROY_Indexado!$C$70*L$36+PROY_Indexado!$D$70*L$37+PROY_Indexado!$E$70*L$38+PROY_Indexado!$F$70*L$39+PROY_Indexado!$G$70*L$40+PROY_Indexado!$H$70*L$41)/SUM(PROY_Indexado!$B$70:$H$70))</f>
        <v>0.0822263312114782</v>
      </c>
      <c r="M68" s="9" t="n">
        <f aca="false">IF(SUM(PROY_Indexado!$B$70:$H$70)=0,1/12,(PROY_Indexado!$B$70*M$35+PROY_Indexado!$C$70*M$36+PROY_Indexado!$D$70*M$37+PROY_Indexado!$E$70*M$38+PROY_Indexado!$F$70*M$39+PROY_Indexado!$G$70*M$40+PROY_Indexado!$H$70*M$41)/SUM(PROY_Indexado!$B$70:$H$70))</f>
        <v>0.0822263312114782</v>
      </c>
      <c r="N68" s="9" t="n">
        <f aca="false">IF(SUM(PROY_Indexado!$B$70:$H$70)=0,1/12,(PROY_Indexado!$B$70*N$35+PROY_Indexado!$C$70*N$36+PROY_Indexado!$D$70*N$37+PROY_Indexado!$E$70*N$38+PROY_Indexado!$F$70*N$39+PROY_Indexado!$G$70*N$40+PROY_Indexado!$H$70*N$41)/SUM(PROY_Indexado!$B$70:$H$70))</f>
        <v>0.0822263312114782</v>
      </c>
      <c r="O68" s="9" t="n">
        <f aca="false">IF(SUM(PROY_Indexado!$B$70:$H$70)=0,1/12,(PROY_Indexado!$B$70*O$35+PROY_Indexado!$C$70*O$36+PROY_Indexado!$D$70*O$37+PROY_Indexado!$E$70*O$38+PROY_Indexado!$F$70*O$39+PROY_Indexado!$G$70*O$40+PROY_Indexado!$H$70*O$41)/SUM(PROY_Indexado!$B$70:$H$70))</f>
        <v>0.0822263312114782</v>
      </c>
      <c r="P68" s="9" t="n">
        <f aca="false">IF(SUM(PROY_Indexado!$B$70:$H$70)=0,1/12,(PROY_Indexado!$B$70*P$35+PROY_Indexado!$C$70*P$36+PROY_Indexado!$D$70*P$37+PROY_Indexado!$E$70*P$38+PROY_Indexado!$F$70*P$39+PROY_Indexado!$G$70*P$40+PROY_Indexado!$H$70*P$41)/SUM(PROY_Indexado!$B$70:$H$70))</f>
        <v>0.0822263312114782</v>
      </c>
      <c r="Q68" s="11" t="n">
        <f aca="false">MAX(E68:P68)</f>
        <v>0.0955103566737395</v>
      </c>
      <c r="R68" s="5" t="s">
        <v>219</v>
      </c>
    </row>
    <row r="69" customFormat="false" ht="15" hidden="false" customHeight="false" outlineLevel="0" collapsed="false">
      <c r="A69" s="10" t="str">
        <f aca="false">datos_base!A16</f>
        <v>ABC 50 kg s/ruedas</v>
      </c>
      <c r="B69" s="10" t="s">
        <v>110</v>
      </c>
      <c r="C69" s="16" t="n">
        <f aca="false">$B$9</f>
        <v>6.360853875</v>
      </c>
      <c r="D69" s="12" t="n">
        <v>1</v>
      </c>
      <c r="E69" s="9" t="n">
        <f aca="false">IF(SUM(PROY_Indexado!$B$71:$H$71)=0,1/12,(PROY_Indexado!$B$71*E$35+PROY_Indexado!$C$71*E$36+PROY_Indexado!$D$71*E$37+PROY_Indexado!$E$71*E$38+PROY_Indexado!$F$71*E$39+PROY_Indexado!$G$71*E$40+PROY_Indexado!$H$71*E$41)/SUM(PROY_Indexado!$B$71:$H$71))</f>
        <v>0.0822261806345707</v>
      </c>
      <c r="F69" s="9" t="n">
        <f aca="false">IF(SUM(PROY_Indexado!$B$71:$H$71)=0,1/12,(PROY_Indexado!$B$71*F$35+PROY_Indexado!$C$71*F$36+PROY_Indexado!$D$71*F$37+PROY_Indexado!$E$71*F$38+PROY_Indexado!$F$71*F$39+PROY_Indexado!$G$71*F$40+PROY_Indexado!$H$71*F$41)/SUM(PROY_Indexado!$B$71:$H$71))</f>
        <v>0.0955120130197222</v>
      </c>
      <c r="G69" s="9" t="n">
        <f aca="false">IF(SUM(PROY_Indexado!$B$71:$H$71)=0,1/12,(PROY_Indexado!$B$71*G$35+PROY_Indexado!$C$71*G$36+PROY_Indexado!$D$71*G$37+PROY_Indexado!$E$71*G$38+PROY_Indexado!$F$71*G$39+PROY_Indexado!$G$71*G$40+PROY_Indexado!$H$71*G$41)/SUM(PROY_Indexado!$B$71:$H$71))</f>
        <v>0.0822261806345707</v>
      </c>
      <c r="H69" s="9" t="n">
        <f aca="false">IF(SUM(PROY_Indexado!$B$71:$H$71)=0,1/12,(PROY_Indexado!$B$71*H$35+PROY_Indexado!$C$71*H$36+PROY_Indexado!$D$71*H$37+PROY_Indexado!$E$71*H$38+PROY_Indexado!$F$71*H$39+PROY_Indexado!$G$71*H$40+PROY_Indexado!$H$71*H$41)/SUM(PROY_Indexado!$B$71:$H$71))</f>
        <v>0.0822261806345707</v>
      </c>
      <c r="I69" s="9" t="n">
        <f aca="false">IF(SUM(PROY_Indexado!$B$71:$H$71)=0,1/12,(PROY_Indexado!$B$71*I$35+PROY_Indexado!$C$71*I$36+PROY_Indexado!$D$71*I$37+PROY_Indexado!$E$71*I$38+PROY_Indexado!$F$71*I$39+PROY_Indexado!$G$71*I$40+PROY_Indexado!$H$71*I$41)/SUM(PROY_Indexado!$B$71:$H$71))</f>
        <v>0.0822261806345707</v>
      </c>
      <c r="J69" s="9" t="n">
        <f aca="false">IF(SUM(PROY_Indexado!$B$71:$H$71)=0,1/12,(PROY_Indexado!$B$71*J$35+PROY_Indexado!$C$71*J$36+PROY_Indexado!$D$71*J$37+PROY_Indexado!$E$71*J$38+PROY_Indexado!$F$71*J$39+PROY_Indexado!$G$71*J$40+PROY_Indexado!$H$71*J$41)/SUM(PROY_Indexado!$B$71:$H$71))</f>
        <v>0.0822261806345707</v>
      </c>
      <c r="K69" s="9" t="n">
        <f aca="false">IF(SUM(PROY_Indexado!$B$71:$H$71)=0,1/12,(PROY_Indexado!$B$71*K$35+PROY_Indexado!$C$71*K$36+PROY_Indexado!$D$71*K$37+PROY_Indexado!$E$71*K$38+PROY_Indexado!$F$71*K$39+PROY_Indexado!$G$71*K$40+PROY_Indexado!$H$71*K$41)/SUM(PROY_Indexado!$B$71:$H$71))</f>
        <v>0.0822261806345707</v>
      </c>
      <c r="L69" s="9" t="n">
        <f aca="false">IF(SUM(PROY_Indexado!$B$71:$H$71)=0,1/12,(PROY_Indexado!$B$71*L$35+PROY_Indexado!$C$71*L$36+PROY_Indexado!$D$71*L$37+PROY_Indexado!$E$71*L$38+PROY_Indexado!$F$71*L$39+PROY_Indexado!$G$71*L$40+PROY_Indexado!$H$71*L$41)/SUM(PROY_Indexado!$B$71:$H$71))</f>
        <v>0.0822261806345707</v>
      </c>
      <c r="M69" s="9" t="n">
        <f aca="false">IF(SUM(PROY_Indexado!$B$71:$H$71)=0,1/12,(PROY_Indexado!$B$71*M$35+PROY_Indexado!$C$71*M$36+PROY_Indexado!$D$71*M$37+PROY_Indexado!$E$71*M$38+PROY_Indexado!$F$71*M$39+PROY_Indexado!$G$71*M$40+PROY_Indexado!$H$71*M$41)/SUM(PROY_Indexado!$B$71:$H$71))</f>
        <v>0.0822261806345707</v>
      </c>
      <c r="N69" s="9" t="n">
        <f aca="false">IF(SUM(PROY_Indexado!$B$71:$H$71)=0,1/12,(PROY_Indexado!$B$71*N$35+PROY_Indexado!$C$71*N$36+PROY_Indexado!$D$71*N$37+PROY_Indexado!$E$71*N$38+PROY_Indexado!$F$71*N$39+PROY_Indexado!$G$71*N$40+PROY_Indexado!$H$71*N$41)/SUM(PROY_Indexado!$B$71:$H$71))</f>
        <v>0.0822261806345707</v>
      </c>
      <c r="O69" s="9" t="n">
        <f aca="false">IF(SUM(PROY_Indexado!$B$71:$H$71)=0,1/12,(PROY_Indexado!$B$71*O$35+PROY_Indexado!$C$71*O$36+PROY_Indexado!$D$71*O$37+PROY_Indexado!$E$71*O$38+PROY_Indexado!$F$71*O$39+PROY_Indexado!$G$71*O$40+PROY_Indexado!$H$71*O$41)/SUM(PROY_Indexado!$B$71:$H$71))</f>
        <v>0.0822261806345707</v>
      </c>
      <c r="P69" s="9" t="n">
        <f aca="false">IF(SUM(PROY_Indexado!$B$71:$H$71)=0,1/12,(PROY_Indexado!$B$71*P$35+PROY_Indexado!$C$71*P$36+PROY_Indexado!$D$71*P$37+PROY_Indexado!$E$71*P$38+PROY_Indexado!$F$71*P$39+PROY_Indexado!$G$71*P$40+PROY_Indexado!$H$71*P$41)/SUM(PROY_Indexado!$B$71:$H$71))</f>
        <v>0.0822261806345707</v>
      </c>
      <c r="Q69" s="11" t="n">
        <f aca="false">MAX(E69:P69)</f>
        <v>0.0955120130197222</v>
      </c>
      <c r="R69" s="5" t="s">
        <v>219</v>
      </c>
    </row>
    <row r="70" customFormat="false" ht="15" hidden="false" customHeight="false" outlineLevel="0" collapsed="false">
      <c r="A70" s="10" t="str">
        <f aca="false">datos_base!A17</f>
        <v>ABC 70 kg s/ruedas</v>
      </c>
      <c r="B70" s="10" t="s">
        <v>110</v>
      </c>
      <c r="C70" s="16" t="n">
        <f aca="false">$B$9</f>
        <v>6.360853875</v>
      </c>
      <c r="D70" s="12" t="n">
        <v>1</v>
      </c>
      <c r="E70" s="9" t="n">
        <f aca="false">IF(SUM(PROY_Indexado!$B$72:$H$72)=0,1/12,(PROY_Indexado!$B$72*E$35+PROY_Indexado!$C$72*E$36+PROY_Indexado!$D$72*E$37+PROY_Indexado!$E$72*E$38+PROY_Indexado!$F$72*E$39+PROY_Indexado!$G$72*E$40+PROY_Indexado!$H$72*E$41)/SUM(PROY_Indexado!$B$72:$H$72))</f>
        <v>0.0822265137471396</v>
      </c>
      <c r="F70" s="9" t="n">
        <f aca="false">IF(SUM(PROY_Indexado!$B$72:$H$72)=0,1/12,(PROY_Indexado!$B$72*F$35+PROY_Indexado!$C$72*F$36+PROY_Indexado!$D$72*F$37+PROY_Indexado!$E$72*F$38+PROY_Indexado!$F$72*F$39+PROY_Indexado!$G$72*F$40+PROY_Indexado!$H$72*F$41)/SUM(PROY_Indexado!$B$72:$H$72))</f>
        <v>0.095508348781465</v>
      </c>
      <c r="G70" s="9" t="n">
        <f aca="false">IF(SUM(PROY_Indexado!$B$72:$H$72)=0,1/12,(PROY_Indexado!$B$72*G$35+PROY_Indexado!$C$72*G$36+PROY_Indexado!$D$72*G$37+PROY_Indexado!$E$72*G$38+PROY_Indexado!$F$72*G$39+PROY_Indexado!$G$72*G$40+PROY_Indexado!$H$72*G$41)/SUM(PROY_Indexado!$B$72:$H$72))</f>
        <v>0.0822265137471396</v>
      </c>
      <c r="H70" s="9" t="n">
        <f aca="false">IF(SUM(PROY_Indexado!$B$72:$H$72)=0,1/12,(PROY_Indexado!$B$72*H$35+PROY_Indexado!$C$72*H$36+PROY_Indexado!$D$72*H$37+PROY_Indexado!$E$72*H$38+PROY_Indexado!$F$72*H$39+PROY_Indexado!$G$72*H$40+PROY_Indexado!$H$72*H$41)/SUM(PROY_Indexado!$B$72:$H$72))</f>
        <v>0.0822265137471396</v>
      </c>
      <c r="I70" s="9" t="n">
        <f aca="false">IF(SUM(PROY_Indexado!$B$72:$H$72)=0,1/12,(PROY_Indexado!$B$72*I$35+PROY_Indexado!$C$72*I$36+PROY_Indexado!$D$72*I$37+PROY_Indexado!$E$72*I$38+PROY_Indexado!$F$72*I$39+PROY_Indexado!$G$72*I$40+PROY_Indexado!$H$72*I$41)/SUM(PROY_Indexado!$B$72:$H$72))</f>
        <v>0.0822265137471396</v>
      </c>
      <c r="J70" s="9" t="n">
        <f aca="false">IF(SUM(PROY_Indexado!$B$72:$H$72)=0,1/12,(PROY_Indexado!$B$72*J$35+PROY_Indexado!$C$72*J$36+PROY_Indexado!$D$72*J$37+PROY_Indexado!$E$72*J$38+PROY_Indexado!$F$72*J$39+PROY_Indexado!$G$72*J$40+PROY_Indexado!$H$72*J$41)/SUM(PROY_Indexado!$B$72:$H$72))</f>
        <v>0.0822265137471396</v>
      </c>
      <c r="K70" s="9" t="n">
        <f aca="false">IF(SUM(PROY_Indexado!$B$72:$H$72)=0,1/12,(PROY_Indexado!$B$72*K$35+PROY_Indexado!$C$72*K$36+PROY_Indexado!$D$72*K$37+PROY_Indexado!$E$72*K$38+PROY_Indexado!$F$72*K$39+PROY_Indexado!$G$72*K$40+PROY_Indexado!$H$72*K$41)/SUM(PROY_Indexado!$B$72:$H$72))</f>
        <v>0.0822265137471396</v>
      </c>
      <c r="L70" s="9" t="n">
        <f aca="false">IF(SUM(PROY_Indexado!$B$72:$H$72)=0,1/12,(PROY_Indexado!$B$72*L$35+PROY_Indexado!$C$72*L$36+PROY_Indexado!$D$72*L$37+PROY_Indexado!$E$72*L$38+PROY_Indexado!$F$72*L$39+PROY_Indexado!$G$72*L$40+PROY_Indexado!$H$72*L$41)/SUM(PROY_Indexado!$B$72:$H$72))</f>
        <v>0.0822265137471396</v>
      </c>
      <c r="M70" s="9" t="n">
        <f aca="false">IF(SUM(PROY_Indexado!$B$72:$H$72)=0,1/12,(PROY_Indexado!$B$72*M$35+PROY_Indexado!$C$72*M$36+PROY_Indexado!$D$72*M$37+PROY_Indexado!$E$72*M$38+PROY_Indexado!$F$72*M$39+PROY_Indexado!$G$72*M$40+PROY_Indexado!$H$72*M$41)/SUM(PROY_Indexado!$B$72:$H$72))</f>
        <v>0.0822265137471396</v>
      </c>
      <c r="N70" s="9" t="n">
        <f aca="false">IF(SUM(PROY_Indexado!$B$72:$H$72)=0,1/12,(PROY_Indexado!$B$72*N$35+PROY_Indexado!$C$72*N$36+PROY_Indexado!$D$72*N$37+PROY_Indexado!$E$72*N$38+PROY_Indexado!$F$72*N$39+PROY_Indexado!$G$72*N$40+PROY_Indexado!$H$72*N$41)/SUM(PROY_Indexado!$B$72:$H$72))</f>
        <v>0.0822265137471396</v>
      </c>
      <c r="O70" s="9" t="n">
        <f aca="false">IF(SUM(PROY_Indexado!$B$72:$H$72)=0,1/12,(PROY_Indexado!$B$72*O$35+PROY_Indexado!$C$72*O$36+PROY_Indexado!$D$72*O$37+PROY_Indexado!$E$72*O$38+PROY_Indexado!$F$72*O$39+PROY_Indexado!$G$72*O$40+PROY_Indexado!$H$72*O$41)/SUM(PROY_Indexado!$B$72:$H$72))</f>
        <v>0.0822265137471396</v>
      </c>
      <c r="P70" s="9" t="n">
        <f aca="false">IF(SUM(PROY_Indexado!$B$72:$H$72)=0,1/12,(PROY_Indexado!$B$72*P$35+PROY_Indexado!$C$72*P$36+PROY_Indexado!$D$72*P$37+PROY_Indexado!$E$72*P$38+PROY_Indexado!$F$72*P$39+PROY_Indexado!$G$72*P$40+PROY_Indexado!$H$72*P$41)/SUM(PROY_Indexado!$B$72:$H$72))</f>
        <v>0.0822265137471396</v>
      </c>
      <c r="Q70" s="11" t="n">
        <f aca="false">MAX(E70:P70)</f>
        <v>0.095508348781465</v>
      </c>
      <c r="R70" s="5" t="s">
        <v>219</v>
      </c>
    </row>
    <row r="71" customFormat="false" ht="15" hidden="false" customHeight="false" outlineLevel="0" collapsed="false">
      <c r="A71" s="10" t="str">
        <f aca="false">datos_base!A18</f>
        <v>ABC 100 kg s/ruedas</v>
      </c>
      <c r="B71" s="10" t="s">
        <v>110</v>
      </c>
      <c r="C71" s="16" t="n">
        <f aca="false">$B$9</f>
        <v>6.360853875</v>
      </c>
      <c r="D71" s="12" t="n">
        <v>1</v>
      </c>
      <c r="E71" s="9" t="n">
        <f aca="false">IF(SUM(PROY_Indexado!$B$73:$H$73)=0,1/12,(PROY_Indexado!$B$73*E$35+PROY_Indexado!$C$73*E$36+PROY_Indexado!$D$73*E$37+PROY_Indexado!$E$73*E$38+PROY_Indexado!$F$73*E$39+PROY_Indexado!$G$73*E$40+PROY_Indexado!$H$73*E$41)/SUM(PROY_Indexado!$B$73:$H$73))</f>
        <v>0.0822253559860661</v>
      </c>
      <c r="F71" s="9" t="n">
        <f aca="false">IF(SUM(PROY_Indexado!$B$73:$H$73)=0,1/12,(PROY_Indexado!$B$73*F$35+PROY_Indexado!$C$73*F$36+PROY_Indexado!$D$73*F$37+PROY_Indexado!$E$73*F$38+PROY_Indexado!$F$73*F$39+PROY_Indexado!$G$73*F$40+PROY_Indexado!$H$73*F$41)/SUM(PROY_Indexado!$B$73:$H$73))</f>
        <v>0.0955210841532726</v>
      </c>
      <c r="G71" s="9" t="n">
        <f aca="false">IF(SUM(PROY_Indexado!$B$73:$H$73)=0,1/12,(PROY_Indexado!$B$73*G$35+PROY_Indexado!$C$73*G$36+PROY_Indexado!$D$73*G$37+PROY_Indexado!$E$73*G$38+PROY_Indexado!$F$73*G$39+PROY_Indexado!$G$73*G$40+PROY_Indexado!$H$73*G$41)/SUM(PROY_Indexado!$B$73:$H$73))</f>
        <v>0.0822253559860661</v>
      </c>
      <c r="H71" s="9" t="n">
        <f aca="false">IF(SUM(PROY_Indexado!$B$73:$H$73)=0,1/12,(PROY_Indexado!$B$73*H$35+PROY_Indexado!$C$73*H$36+PROY_Indexado!$D$73*H$37+PROY_Indexado!$E$73*H$38+PROY_Indexado!$F$73*H$39+PROY_Indexado!$G$73*H$40+PROY_Indexado!$H$73*H$41)/SUM(PROY_Indexado!$B$73:$H$73))</f>
        <v>0.0822253559860661</v>
      </c>
      <c r="I71" s="9" t="n">
        <f aca="false">IF(SUM(PROY_Indexado!$B$73:$H$73)=0,1/12,(PROY_Indexado!$B$73*I$35+PROY_Indexado!$C$73*I$36+PROY_Indexado!$D$73*I$37+PROY_Indexado!$E$73*I$38+PROY_Indexado!$F$73*I$39+PROY_Indexado!$G$73*I$40+PROY_Indexado!$H$73*I$41)/SUM(PROY_Indexado!$B$73:$H$73))</f>
        <v>0.0822253559860661</v>
      </c>
      <c r="J71" s="9" t="n">
        <f aca="false">IF(SUM(PROY_Indexado!$B$73:$H$73)=0,1/12,(PROY_Indexado!$B$73*J$35+PROY_Indexado!$C$73*J$36+PROY_Indexado!$D$73*J$37+PROY_Indexado!$E$73*J$38+PROY_Indexado!$F$73*J$39+PROY_Indexado!$G$73*J$40+PROY_Indexado!$H$73*J$41)/SUM(PROY_Indexado!$B$73:$H$73))</f>
        <v>0.0822253559860661</v>
      </c>
      <c r="K71" s="9" t="n">
        <f aca="false">IF(SUM(PROY_Indexado!$B$73:$H$73)=0,1/12,(PROY_Indexado!$B$73*K$35+PROY_Indexado!$C$73*K$36+PROY_Indexado!$D$73*K$37+PROY_Indexado!$E$73*K$38+PROY_Indexado!$F$73*K$39+PROY_Indexado!$G$73*K$40+PROY_Indexado!$H$73*K$41)/SUM(PROY_Indexado!$B$73:$H$73))</f>
        <v>0.0822253559860661</v>
      </c>
      <c r="L71" s="9" t="n">
        <f aca="false">IF(SUM(PROY_Indexado!$B$73:$H$73)=0,1/12,(PROY_Indexado!$B$73*L$35+PROY_Indexado!$C$73*L$36+PROY_Indexado!$D$73*L$37+PROY_Indexado!$E$73*L$38+PROY_Indexado!$F$73*L$39+PROY_Indexado!$G$73*L$40+PROY_Indexado!$H$73*L$41)/SUM(PROY_Indexado!$B$73:$H$73))</f>
        <v>0.0822253559860661</v>
      </c>
      <c r="M71" s="9" t="n">
        <f aca="false">IF(SUM(PROY_Indexado!$B$73:$H$73)=0,1/12,(PROY_Indexado!$B$73*M$35+PROY_Indexado!$C$73*M$36+PROY_Indexado!$D$73*M$37+PROY_Indexado!$E$73*M$38+PROY_Indexado!$F$73*M$39+PROY_Indexado!$G$73*M$40+PROY_Indexado!$H$73*M$41)/SUM(PROY_Indexado!$B$73:$H$73))</f>
        <v>0.0822253559860661</v>
      </c>
      <c r="N71" s="9" t="n">
        <f aca="false">IF(SUM(PROY_Indexado!$B$73:$H$73)=0,1/12,(PROY_Indexado!$B$73*N$35+PROY_Indexado!$C$73*N$36+PROY_Indexado!$D$73*N$37+PROY_Indexado!$E$73*N$38+PROY_Indexado!$F$73*N$39+PROY_Indexado!$G$73*N$40+PROY_Indexado!$H$73*N$41)/SUM(PROY_Indexado!$B$73:$H$73))</f>
        <v>0.0822253559860661</v>
      </c>
      <c r="O71" s="9" t="n">
        <f aca="false">IF(SUM(PROY_Indexado!$B$73:$H$73)=0,1/12,(PROY_Indexado!$B$73*O$35+PROY_Indexado!$C$73*O$36+PROY_Indexado!$D$73*O$37+PROY_Indexado!$E$73*O$38+PROY_Indexado!$F$73*O$39+PROY_Indexado!$G$73*O$40+PROY_Indexado!$H$73*O$41)/SUM(PROY_Indexado!$B$73:$H$73))</f>
        <v>0.0822253559860661</v>
      </c>
      <c r="P71" s="9" t="n">
        <f aca="false">IF(SUM(PROY_Indexado!$B$73:$H$73)=0,1/12,(PROY_Indexado!$B$73*P$35+PROY_Indexado!$C$73*P$36+PROY_Indexado!$D$73*P$37+PROY_Indexado!$E$73*P$38+PROY_Indexado!$F$73*P$39+PROY_Indexado!$G$73*P$40+PROY_Indexado!$H$73*P$41)/SUM(PROY_Indexado!$B$73:$H$73))</f>
        <v>0.0822253559860661</v>
      </c>
      <c r="Q71" s="11" t="n">
        <f aca="false">MAX(E71:P71)</f>
        <v>0.0955210841532726</v>
      </c>
      <c r="R71" s="5" t="s">
        <v>219</v>
      </c>
    </row>
    <row r="72" customFormat="false" ht="15" hidden="false" customHeight="false" outlineLevel="0" collapsed="false">
      <c r="A72" s="4" t="s">
        <v>220</v>
      </c>
      <c r="E72" s="11" t="n">
        <f aca="false">SUMPRODUCT(datos_base!$K$2:$K$18,E55:E71)/SUM(datos_base!$K$2:$K$18)</f>
        <v>0.0403512821171889</v>
      </c>
      <c r="F72" s="11" t="n">
        <f aca="false">SUMPRODUCT(datos_base!$K$2:$K$18,F55:F71)/SUM(datos_base!$K$2:$K$18)</f>
        <v>0.108520970470319</v>
      </c>
      <c r="G72" s="11" t="n">
        <f aca="false">SUMPRODUCT(datos_base!$K$2:$K$18,G55:G71)/SUM(datos_base!$K$2:$K$18)</f>
        <v>0.0901475479034248</v>
      </c>
      <c r="H72" s="11" t="n">
        <f aca="false">SUMPRODUCT(datos_base!$K$2:$K$18,H55:H71)/SUM(datos_base!$K$2:$K$18)</f>
        <v>0.0905326617542125</v>
      </c>
      <c r="I72" s="11" t="n">
        <f aca="false">SUMPRODUCT(datos_base!$K$2:$K$18,I55:I71)/SUM(datos_base!$K$2:$K$18)</f>
        <v>0.0905527657663388</v>
      </c>
      <c r="J72" s="11" t="n">
        <f aca="false">SUMPRODUCT(datos_base!$K$2:$K$18,J55:J71)/SUM(datos_base!$K$2:$K$18)</f>
        <v>0.0903696798061951</v>
      </c>
      <c r="K72" s="11" t="n">
        <f aca="false">SUMPRODUCT(datos_base!$K$2:$K$18,K55:K71)/SUM(datos_base!$K$2:$K$18)</f>
        <v>0.0909455493558567</v>
      </c>
      <c r="L72" s="11" t="n">
        <f aca="false">SUMPRODUCT(datos_base!$K$2:$K$18,L55:L71)/SUM(datos_base!$K$2:$K$18)</f>
        <v>0.0905121510135173</v>
      </c>
      <c r="M72" s="11" t="n">
        <f aca="false">SUMPRODUCT(datos_base!$K$2:$K$18,M55:M71)/SUM(datos_base!$K$2:$K$18)</f>
        <v>0.0905797260600571</v>
      </c>
      <c r="N72" s="11" t="n">
        <f aca="false">SUMPRODUCT(datos_base!$K$2:$K$18,N55:N71)/SUM(datos_base!$K$2:$K$18)</f>
        <v>0.0903563158674985</v>
      </c>
      <c r="O72" s="11" t="n">
        <f aca="false">SUMPRODUCT(datos_base!$K$2:$K$18,O55:O71)/SUM(datos_base!$K$2:$K$18)</f>
        <v>0.0893942284895046</v>
      </c>
      <c r="P72" s="11" t="n">
        <f aca="false">SUMPRODUCT(datos_base!$K$2:$K$18,P55:P71)/SUM(datos_base!$K$2:$K$18)</f>
        <v>0.0377371213958866</v>
      </c>
      <c r="Q72" s="11" t="n">
        <f aca="false">MAX(E72:P72)</f>
        <v>0.108520970470319</v>
      </c>
    </row>
    <row r="74" customFormat="false" ht="15" hidden="false" customHeight="false" outlineLevel="0" collapsed="false">
      <c r="A74" s="1" t="s">
        <v>221</v>
      </c>
    </row>
    <row r="75" customFormat="false" ht="35.05" hidden="false" customHeight="false" outlineLevel="0" collapsed="false">
      <c r="A75" s="6" t="s">
        <v>222</v>
      </c>
      <c r="B75" s="6" t="s">
        <v>223</v>
      </c>
      <c r="C75" s="6" t="s">
        <v>224</v>
      </c>
      <c r="D75" s="6" t="s">
        <v>225</v>
      </c>
      <c r="E75" s="6" t="s">
        <v>110</v>
      </c>
      <c r="F75" s="6" t="s">
        <v>111</v>
      </c>
      <c r="G75" s="6" t="s">
        <v>112</v>
      </c>
      <c r="H75" s="6" t="s">
        <v>113</v>
      </c>
      <c r="I75" s="6" t="s">
        <v>114</v>
      </c>
      <c r="J75" s="6" t="s">
        <v>115</v>
      </c>
      <c r="K75" s="6" t="s">
        <v>116</v>
      </c>
      <c r="L75" s="6" t="s">
        <v>117</v>
      </c>
      <c r="M75" s="6" t="s">
        <v>226</v>
      </c>
      <c r="N75" s="6" t="s">
        <v>227</v>
      </c>
      <c r="O75" s="6" t="s">
        <v>228</v>
      </c>
      <c r="P75" s="6" t="s">
        <v>229</v>
      </c>
      <c r="Q75" s="6" t="s">
        <v>230</v>
      </c>
      <c r="R75" s="6" t="s">
        <v>231</v>
      </c>
      <c r="S75" s="6" t="s">
        <v>232</v>
      </c>
    </row>
    <row r="76" customFormat="false" ht="23.85" hidden="false" customHeight="false" outlineLevel="0" collapsed="false">
      <c r="A76" s="21" t="n">
        <v>1</v>
      </c>
      <c r="B76" s="5" t="s">
        <v>233</v>
      </c>
      <c r="C76" s="5" t="s">
        <v>234</v>
      </c>
      <c r="D76" s="10" t="s">
        <v>235</v>
      </c>
      <c r="E76" s="9" t="n">
        <v>1</v>
      </c>
      <c r="F76" s="9" t="n">
        <v>1</v>
      </c>
      <c r="G76" s="9" t="n">
        <v>1</v>
      </c>
      <c r="H76" s="9" t="n">
        <v>1</v>
      </c>
      <c r="I76" s="9" t="n">
        <v>1</v>
      </c>
      <c r="J76" s="9" t="n">
        <v>1</v>
      </c>
      <c r="K76" s="9" t="n">
        <v>1</v>
      </c>
      <c r="L76" s="9" t="n">
        <v>1</v>
      </c>
      <c r="M76" s="12" t="n">
        <v>1</v>
      </c>
      <c r="N76" s="12" t="n">
        <f aca="false">12.5+12.5+40+10</f>
        <v>75</v>
      </c>
      <c r="O76" s="16" t="n">
        <f aca="false">IF(N76&gt;0,3600/N76,0)</f>
        <v>48</v>
      </c>
      <c r="P76" s="8" t="n">
        <f aca="false">O76*$B$6</f>
        <v>7200</v>
      </c>
      <c r="Q76" s="5" t="s">
        <v>236</v>
      </c>
      <c r="R76" s="5"/>
      <c r="S76" s="5" t="s">
        <v>237</v>
      </c>
    </row>
    <row r="77" customFormat="false" ht="15" hidden="false" customHeight="false" outlineLevel="0" collapsed="false">
      <c r="A77" s="21" t="n">
        <v>2</v>
      </c>
      <c r="B77" s="5" t="s">
        <v>238</v>
      </c>
      <c r="C77" s="5" t="s">
        <v>239</v>
      </c>
      <c r="D77" s="10" t="s">
        <v>235</v>
      </c>
      <c r="E77" s="9" t="n">
        <v>1</v>
      </c>
      <c r="F77" s="9" t="n">
        <v>1</v>
      </c>
      <c r="G77" s="9" t="n">
        <v>1</v>
      </c>
      <c r="H77" s="9" t="n">
        <v>1</v>
      </c>
      <c r="I77" s="9" t="n">
        <v>1</v>
      </c>
      <c r="J77" s="9" t="n">
        <v>1</v>
      </c>
      <c r="K77" s="9" t="n">
        <v>1</v>
      </c>
      <c r="L77" s="9" t="n">
        <v>1</v>
      </c>
      <c r="M77" s="12" t="n">
        <v>0</v>
      </c>
      <c r="N77" s="12" t="n">
        <f aca="false">5+30+25+10+15+5</f>
        <v>90</v>
      </c>
      <c r="O77" s="16" t="n">
        <f aca="false">IF(N77&gt;0,3600/N77,0)</f>
        <v>40</v>
      </c>
      <c r="P77" s="8" t="n">
        <f aca="false">O77*$B$6</f>
        <v>6000</v>
      </c>
      <c r="Q77" s="5" t="s">
        <v>240</v>
      </c>
      <c r="R77" s="5" t="s">
        <v>241</v>
      </c>
      <c r="S77" s="5" t="s">
        <v>242</v>
      </c>
    </row>
    <row r="78" customFormat="false" ht="15" hidden="false" customHeight="false" outlineLevel="0" collapsed="false">
      <c r="A78" s="21" t="n">
        <v>3</v>
      </c>
      <c r="B78" s="5" t="s">
        <v>243</v>
      </c>
      <c r="C78" s="5" t="s">
        <v>244</v>
      </c>
      <c r="D78" s="10" t="s">
        <v>245</v>
      </c>
      <c r="E78" s="9" t="n">
        <f aca="false">(1-E$22)*(1-E$23)</f>
        <v>0.855</v>
      </c>
      <c r="F78" s="9" t="n">
        <v>0</v>
      </c>
      <c r="G78" s="9" t="n">
        <v>0</v>
      </c>
      <c r="H78" s="9" t="n">
        <v>0</v>
      </c>
      <c r="I78" s="9" t="n">
        <v>0</v>
      </c>
      <c r="J78" s="9" t="n">
        <v>0</v>
      </c>
      <c r="K78" s="9" t="n">
        <v>0</v>
      </c>
      <c r="L78" s="9" t="n">
        <v>0</v>
      </c>
      <c r="M78" s="12" t="n">
        <v>0</v>
      </c>
      <c r="N78" s="12" t="n">
        <f aca="false">15+60+10</f>
        <v>85</v>
      </c>
      <c r="O78" s="16" t="n">
        <f aca="false">IF(N78&gt;0,3600/N78,0)</f>
        <v>42.3529411764706</v>
      </c>
      <c r="P78" s="8" t="n">
        <f aca="false">O78*$B$6</f>
        <v>6352.94117647059</v>
      </c>
      <c r="Q78" s="5" t="s">
        <v>246</v>
      </c>
      <c r="R78" s="5"/>
      <c r="S78" s="5" t="s">
        <v>247</v>
      </c>
    </row>
    <row r="79" customFormat="false" ht="15" hidden="false" customHeight="false" outlineLevel="0" collapsed="false">
      <c r="A79" s="21" t="n">
        <v>4</v>
      </c>
      <c r="B79" s="5" t="s">
        <v>248</v>
      </c>
      <c r="C79" s="5" t="s">
        <v>249</v>
      </c>
      <c r="D79" s="10" t="s">
        <v>245</v>
      </c>
      <c r="E79" s="9" t="n">
        <f aca="false">(1-E$22)*E$23</f>
        <v>0.095</v>
      </c>
      <c r="F79" s="9" t="n">
        <v>0</v>
      </c>
      <c r="G79" s="9" t="n">
        <v>0</v>
      </c>
      <c r="H79" s="9" t="n">
        <v>0</v>
      </c>
      <c r="I79" s="9" t="n">
        <v>0</v>
      </c>
      <c r="J79" s="9" t="n">
        <v>0</v>
      </c>
      <c r="K79" s="9" t="n">
        <v>0</v>
      </c>
      <c r="L79" s="9" t="n">
        <v>0</v>
      </c>
      <c r="M79" s="12" t="n">
        <v>0</v>
      </c>
      <c r="N79" s="12" t="n">
        <f aca="false">15+60+10</f>
        <v>85</v>
      </c>
      <c r="O79" s="16" t="n">
        <f aca="false">IF(N79&gt;0,3600/N79,0)</f>
        <v>42.3529411764706</v>
      </c>
      <c r="P79" s="8" t="n">
        <f aca="false">O79*$B$6</f>
        <v>6352.94117647059</v>
      </c>
      <c r="Q79" s="5" t="s">
        <v>250</v>
      </c>
      <c r="R79" s="5"/>
      <c r="S79" s="5" t="s">
        <v>251</v>
      </c>
    </row>
    <row r="80" customFormat="false" ht="15" hidden="false" customHeight="false" outlineLevel="0" collapsed="false">
      <c r="A80" s="21" t="n">
        <v>5</v>
      </c>
      <c r="B80" s="5" t="s">
        <v>252</v>
      </c>
      <c r="C80" s="5" t="s">
        <v>253</v>
      </c>
      <c r="D80" s="10" t="s">
        <v>245</v>
      </c>
      <c r="E80" s="9" t="n">
        <v>0</v>
      </c>
      <c r="F80" s="9" t="n">
        <f aca="false">(1-F$22)*F$23</f>
        <v>0.95</v>
      </c>
      <c r="G80" s="9" t="n">
        <v>0</v>
      </c>
      <c r="H80" s="9" t="n">
        <v>0</v>
      </c>
      <c r="I80" s="9" t="n">
        <v>0</v>
      </c>
      <c r="J80" s="9" t="n">
        <v>0</v>
      </c>
      <c r="K80" s="9" t="n">
        <v>0</v>
      </c>
      <c r="L80" s="9" t="n">
        <v>0</v>
      </c>
      <c r="M80" s="12" t="n">
        <v>0</v>
      </c>
      <c r="N80" s="12" t="n">
        <f aca="false">15+60+10</f>
        <v>85</v>
      </c>
      <c r="O80" s="16" t="n">
        <f aca="false">IF(N80&gt;0,3600/N80,0)</f>
        <v>42.3529411764706</v>
      </c>
      <c r="P80" s="8" t="n">
        <f aca="false">O80*$B$6</f>
        <v>6352.94117647059</v>
      </c>
      <c r="Q80" s="5" t="s">
        <v>254</v>
      </c>
      <c r="R80" s="5"/>
      <c r="S80" s="5" t="s">
        <v>255</v>
      </c>
    </row>
    <row r="81" customFormat="false" ht="15" hidden="false" customHeight="false" outlineLevel="0" collapsed="false">
      <c r="A81" s="21" t="n">
        <v>6</v>
      </c>
      <c r="B81" s="5" t="s">
        <v>256</v>
      </c>
      <c r="C81" s="5" t="s">
        <v>257</v>
      </c>
      <c r="D81" s="10" t="s">
        <v>245</v>
      </c>
      <c r="E81" s="9" t="n">
        <v>0</v>
      </c>
      <c r="F81" s="9" t="n">
        <v>0</v>
      </c>
      <c r="G81" s="9" t="n">
        <v>0</v>
      </c>
      <c r="H81" s="9" t="n">
        <f aca="false">(1-H$22)*H$23</f>
        <v>0.95</v>
      </c>
      <c r="I81" s="9" t="n">
        <f aca="false">(1-I$22)*I$23</f>
        <v>0.95</v>
      </c>
      <c r="J81" s="9" t="n">
        <f aca="false">(1-J$22)*J$23</f>
        <v>0.95</v>
      </c>
      <c r="K81" s="9" t="n">
        <v>0</v>
      </c>
      <c r="L81" s="9" t="n">
        <v>0</v>
      </c>
      <c r="M81" s="12" t="n">
        <v>0</v>
      </c>
      <c r="N81" s="12" t="n">
        <f aca="false">10+10+15+60+10</f>
        <v>105</v>
      </c>
      <c r="O81" s="16" t="n">
        <f aca="false">IF(N81&gt;0,3600/N81,0)</f>
        <v>34.2857142857143</v>
      </c>
      <c r="P81" s="8" t="n">
        <f aca="false">O81*$B$6</f>
        <v>5142.85714285714</v>
      </c>
      <c r="Q81" s="5" t="s">
        <v>258</v>
      </c>
      <c r="R81" s="5" t="s">
        <v>259</v>
      </c>
      <c r="S81" s="5" t="s">
        <v>260</v>
      </c>
    </row>
    <row r="82" customFormat="false" ht="23.85" hidden="false" customHeight="false" outlineLevel="0" collapsed="false">
      <c r="A82" s="21" t="n">
        <v>7</v>
      </c>
      <c r="B82" s="5" t="s">
        <v>261</v>
      </c>
      <c r="C82" s="5" t="s">
        <v>262</v>
      </c>
      <c r="D82" s="10" t="s">
        <v>245</v>
      </c>
      <c r="E82" s="9" t="n">
        <v>0</v>
      </c>
      <c r="F82" s="9" t="n">
        <v>0</v>
      </c>
      <c r="G82" s="9" t="n">
        <v>0</v>
      </c>
      <c r="H82" s="9" t="n">
        <v>0</v>
      </c>
      <c r="I82" s="9" t="n">
        <v>0</v>
      </c>
      <c r="J82" s="9" t="n">
        <v>0</v>
      </c>
      <c r="K82" s="9" t="n">
        <f aca="false">K$16+K$24</f>
        <v>0.3</v>
      </c>
      <c r="L82" s="9" t="n">
        <v>0</v>
      </c>
      <c r="M82" s="12" t="n">
        <v>0</v>
      </c>
      <c r="N82" s="12" t="n">
        <f aca="false">20+20+120+20+15+10</f>
        <v>205</v>
      </c>
      <c r="O82" s="16" t="n">
        <f aca="false">IF(N82&gt;0,3600/N82,0)</f>
        <v>17.5609756097561</v>
      </c>
      <c r="P82" s="8" t="n">
        <f aca="false">O82*$B$6</f>
        <v>2634.14634146342</v>
      </c>
      <c r="Q82" s="5" t="s">
        <v>263</v>
      </c>
      <c r="R82" s="5"/>
      <c r="S82" s="5" t="s">
        <v>264</v>
      </c>
    </row>
    <row r="83" customFormat="false" ht="23.85" hidden="false" customHeight="false" outlineLevel="0" collapsed="false">
      <c r="A83" s="21" t="n">
        <v>8</v>
      </c>
      <c r="B83" s="5" t="s">
        <v>265</v>
      </c>
      <c r="C83" s="5" t="s">
        <v>266</v>
      </c>
      <c r="D83" s="10" t="s">
        <v>245</v>
      </c>
      <c r="E83" s="9" t="n">
        <v>0</v>
      </c>
      <c r="F83" s="9" t="n">
        <v>0</v>
      </c>
      <c r="G83" s="9" t="n">
        <v>0</v>
      </c>
      <c r="H83" s="9" t="n">
        <v>0</v>
      </c>
      <c r="I83" s="9" t="n">
        <v>0</v>
      </c>
      <c r="J83" s="9" t="n">
        <v>0</v>
      </c>
      <c r="K83" s="9" t="n">
        <v>0</v>
      </c>
      <c r="L83" s="9" t="n">
        <f aca="false">L$16+L$22+L$24</f>
        <v>0.35</v>
      </c>
      <c r="M83" s="12" t="n">
        <v>0</v>
      </c>
      <c r="N83" s="12" t="n">
        <f aca="false">60+20+30+300+40+15</f>
        <v>465</v>
      </c>
      <c r="O83" s="16" t="n">
        <f aca="false">IF(N83&gt;0,3600/N83,0)</f>
        <v>7.74193548387097</v>
      </c>
      <c r="P83" s="8" t="n">
        <f aca="false">O83*$B$6</f>
        <v>1161.29032258065</v>
      </c>
      <c r="Q83" s="5" t="s">
        <v>267</v>
      </c>
      <c r="R83" s="5"/>
      <c r="S83" s="5" t="s">
        <v>268</v>
      </c>
    </row>
    <row r="84" customFormat="false" ht="23.85" hidden="false" customHeight="false" outlineLevel="0" collapsed="false">
      <c r="A84" s="21" t="n">
        <v>9</v>
      </c>
      <c r="B84" s="5" t="s">
        <v>269</v>
      </c>
      <c r="C84" s="5" t="s">
        <v>270</v>
      </c>
      <c r="D84" s="10" t="s">
        <v>235</v>
      </c>
      <c r="E84" s="9" t="n">
        <v>1</v>
      </c>
      <c r="F84" s="9" t="n">
        <v>1</v>
      </c>
      <c r="G84" s="9" t="n">
        <v>1</v>
      </c>
      <c r="H84" s="9" t="n">
        <v>0</v>
      </c>
      <c r="I84" s="9" t="n">
        <v>0</v>
      </c>
      <c r="J84" s="9" t="n">
        <v>0</v>
      </c>
      <c r="K84" s="9" t="n">
        <v>0</v>
      </c>
      <c r="L84" s="9" t="n">
        <v>0</v>
      </c>
      <c r="M84" s="12" t="n">
        <v>0</v>
      </c>
      <c r="N84" s="12" t="n">
        <f aca="false">5+30+5+10+20+120*$E$16+5</f>
        <v>105</v>
      </c>
      <c r="O84" s="16" t="n">
        <f aca="false">IF(N84&gt;0,3600/N84,0)</f>
        <v>34.2857142857143</v>
      </c>
      <c r="P84" s="8" t="n">
        <f aca="false">O84*$B$6</f>
        <v>5142.85714285714</v>
      </c>
      <c r="Q84" s="5" t="s">
        <v>271</v>
      </c>
      <c r="R84" s="5" t="s">
        <v>272</v>
      </c>
      <c r="S84" s="5" t="s">
        <v>273</v>
      </c>
    </row>
    <row r="85" customFormat="false" ht="15" hidden="false" customHeight="false" outlineLevel="0" collapsed="false">
      <c r="A85" s="21" t="n">
        <v>10</v>
      </c>
      <c r="B85" s="5" t="s">
        <v>274</v>
      </c>
      <c r="C85" s="5" t="s">
        <v>275</v>
      </c>
      <c r="D85" s="10" t="s">
        <v>235</v>
      </c>
      <c r="E85" s="9" t="n">
        <v>0</v>
      </c>
      <c r="F85" s="9" t="n">
        <v>0</v>
      </c>
      <c r="G85" s="9" t="n">
        <v>0</v>
      </c>
      <c r="H85" s="9" t="n">
        <v>1</v>
      </c>
      <c r="I85" s="9" t="n">
        <v>1</v>
      </c>
      <c r="J85" s="9" t="n">
        <v>1</v>
      </c>
      <c r="K85" s="9" t="n">
        <f aca="false">K$16+K$24</f>
        <v>0.3</v>
      </c>
      <c r="L85" s="9" t="n">
        <f aca="false">L$16+L$22+L$24</f>
        <v>0.35</v>
      </c>
      <c r="M85" s="12" t="n">
        <v>0</v>
      </c>
      <c r="N85" s="12" t="n">
        <f aca="false">10+40+60+90*0.4+15+15</f>
        <v>176</v>
      </c>
      <c r="O85" s="16" t="n">
        <f aca="false">IF(N85&gt;0,3600/N85,0)</f>
        <v>20.4545454545455</v>
      </c>
      <c r="P85" s="8" t="n">
        <f aca="false">O85*$B$6</f>
        <v>3068.18181818182</v>
      </c>
      <c r="Q85" s="5" t="s">
        <v>276</v>
      </c>
      <c r="R85" s="5"/>
      <c r="S85" s="5" t="s">
        <v>277</v>
      </c>
    </row>
    <row r="86" customFormat="false" ht="15" hidden="false" customHeight="false" outlineLevel="0" collapsed="false">
      <c r="A86" s="21" t="n">
        <v>11</v>
      </c>
      <c r="B86" s="5" t="s">
        <v>278</v>
      </c>
      <c r="C86" s="5" t="s">
        <v>279</v>
      </c>
      <c r="D86" s="10" t="s">
        <v>245</v>
      </c>
      <c r="E86" s="9" t="n">
        <f aca="false">E$28</f>
        <v>0.00133519615686059</v>
      </c>
      <c r="F86" s="9" t="n">
        <f aca="false">F$28</f>
        <v>0</v>
      </c>
      <c r="G86" s="9" t="n">
        <v>0</v>
      </c>
      <c r="H86" s="9" t="n">
        <v>0</v>
      </c>
      <c r="I86" s="9" t="n">
        <v>0</v>
      </c>
      <c r="J86" s="9" t="n">
        <v>0</v>
      </c>
      <c r="K86" s="9" t="n">
        <v>0</v>
      </c>
      <c r="L86" s="9" t="n">
        <v>0</v>
      </c>
      <c r="M86" s="12" t="n">
        <v>0</v>
      </c>
      <c r="N86" s="12" t="n">
        <f aca="false">300+600+1800+60+120+300</f>
        <v>3180</v>
      </c>
      <c r="O86" s="16" t="n">
        <f aca="false">IF(N86&gt;0,3600/N86,0)</f>
        <v>1.13207547169811</v>
      </c>
      <c r="P86" s="8" t="n">
        <f aca="false">O86*$B$6</f>
        <v>169.811320754717</v>
      </c>
      <c r="Q86" s="5" t="s">
        <v>280</v>
      </c>
      <c r="R86" s="5"/>
      <c r="S86" s="5" t="s">
        <v>281</v>
      </c>
    </row>
    <row r="87" customFormat="false" ht="23.85" hidden="false" customHeight="false" outlineLevel="0" collapsed="false">
      <c r="A87" s="21" t="n">
        <v>12</v>
      </c>
      <c r="B87" s="5" t="s">
        <v>282</v>
      </c>
      <c r="C87" s="5" t="s">
        <v>283</v>
      </c>
      <c r="D87" s="10" t="s">
        <v>245</v>
      </c>
      <c r="E87" s="9" t="n">
        <f aca="false">E$16</f>
        <v>0.25</v>
      </c>
      <c r="F87" s="9" t="n">
        <f aca="false">F$16</f>
        <v>0.25</v>
      </c>
      <c r="G87" s="9" t="n">
        <f aca="false">G$16</f>
        <v>0.25</v>
      </c>
      <c r="H87" s="9" t="n">
        <f aca="false">H$16</f>
        <v>0.55</v>
      </c>
      <c r="I87" s="9" t="n">
        <f aca="false">I$16</f>
        <v>0.55</v>
      </c>
      <c r="J87" s="9" t="n">
        <f aca="false">J$16</f>
        <v>0.55</v>
      </c>
      <c r="K87" s="9" t="n">
        <f aca="false">K$16</f>
        <v>0.25</v>
      </c>
      <c r="L87" s="9" t="n">
        <f aca="false">L$16</f>
        <v>0.25</v>
      </c>
      <c r="M87" s="12" t="n">
        <v>0</v>
      </c>
      <c r="N87" s="12" t="n">
        <f aca="false">12+20+90+90+75+15</f>
        <v>302</v>
      </c>
      <c r="O87" s="16" t="n">
        <f aca="false">IF(N87&gt;0,3600/N87,0)</f>
        <v>11.9205298013245</v>
      </c>
      <c r="P87" s="8" t="n">
        <f aca="false">O87*$B$6</f>
        <v>1788.07947019868</v>
      </c>
      <c r="Q87" s="5" t="s">
        <v>284</v>
      </c>
      <c r="R87" s="5"/>
      <c r="S87" s="5" t="s">
        <v>285</v>
      </c>
    </row>
    <row r="88" customFormat="false" ht="15" hidden="false" customHeight="false" outlineLevel="0" collapsed="false">
      <c r="A88" s="21" t="n">
        <v>13</v>
      </c>
      <c r="B88" s="5" t="s">
        <v>286</v>
      </c>
      <c r="C88" s="5" t="s">
        <v>287</v>
      </c>
      <c r="D88" s="10" t="s">
        <v>245</v>
      </c>
      <c r="E88" s="9" t="n">
        <f aca="false">E$16+E$26</f>
        <v>0.26</v>
      </c>
      <c r="F88" s="9" t="n">
        <f aca="false">F$16+F$26</f>
        <v>0.26</v>
      </c>
      <c r="G88" s="9" t="n">
        <f aca="false">G$16+G$26</f>
        <v>0.26</v>
      </c>
      <c r="H88" s="9" t="n">
        <v>0</v>
      </c>
      <c r="I88" s="9" t="n">
        <v>0</v>
      </c>
      <c r="J88" s="9" t="n">
        <v>0</v>
      </c>
      <c r="K88" s="9" t="n">
        <f aca="false">K$16</f>
        <v>0.25</v>
      </c>
      <c r="L88" s="9" t="n">
        <f aca="false">L$16</f>
        <v>0.25</v>
      </c>
      <c r="M88" s="12" t="n">
        <v>0</v>
      </c>
      <c r="N88" s="12" t="n">
        <f aca="false">15+15*60/6+15</f>
        <v>180</v>
      </c>
      <c r="O88" s="16" t="n">
        <f aca="false">IF(N88&gt;0,3600/N88,0)</f>
        <v>20</v>
      </c>
      <c r="P88" s="8" t="n">
        <f aca="false">O88*$B$6</f>
        <v>3000</v>
      </c>
      <c r="Q88" s="5" t="s">
        <v>288</v>
      </c>
      <c r="R88" s="5" t="s">
        <v>289</v>
      </c>
      <c r="S88" s="5" t="s">
        <v>290</v>
      </c>
    </row>
    <row r="89" customFormat="false" ht="15" hidden="false" customHeight="false" outlineLevel="0" collapsed="false">
      <c r="A89" s="21" t="n">
        <v>14</v>
      </c>
      <c r="B89" s="5" t="s">
        <v>291</v>
      </c>
      <c r="C89" s="5" t="s">
        <v>292</v>
      </c>
      <c r="D89" s="10" t="s">
        <v>235</v>
      </c>
      <c r="E89" s="9" t="n">
        <f aca="false">E$16+E$26</f>
        <v>0.26</v>
      </c>
      <c r="F89" s="9" t="n">
        <f aca="false">F$16+F$26</f>
        <v>0.26</v>
      </c>
      <c r="G89" s="9" t="n">
        <f aca="false">G$16+G$26</f>
        <v>0.26</v>
      </c>
      <c r="H89" s="9" t="n">
        <v>0</v>
      </c>
      <c r="I89" s="9" t="n">
        <v>0</v>
      </c>
      <c r="J89" s="9" t="n">
        <v>0</v>
      </c>
      <c r="K89" s="9" t="n">
        <f aca="false">K$16</f>
        <v>0.25</v>
      </c>
      <c r="L89" s="9" t="n">
        <f aca="false">L$16</f>
        <v>0.25</v>
      </c>
      <c r="M89" s="12" t="n">
        <v>0</v>
      </c>
      <c r="N89" s="12" t="n">
        <f aca="false">60+15+10</f>
        <v>85</v>
      </c>
      <c r="O89" s="16" t="n">
        <f aca="false">IF(N89&gt;0,3600/N89,0)</f>
        <v>42.3529411764706</v>
      </c>
      <c r="P89" s="8" t="n">
        <f aca="false">O89*$B$6</f>
        <v>6352.94117647059</v>
      </c>
      <c r="Q89" s="5" t="s">
        <v>293</v>
      </c>
      <c r="R89" s="5"/>
      <c r="S89" s="5" t="s">
        <v>294</v>
      </c>
    </row>
    <row r="90" customFormat="false" ht="23.85" hidden="false" customHeight="false" outlineLevel="0" collapsed="false">
      <c r="A90" s="21" t="n">
        <v>15</v>
      </c>
      <c r="B90" s="5" t="s">
        <v>295</v>
      </c>
      <c r="C90" s="5" t="s">
        <v>296</v>
      </c>
      <c r="D90" s="10" t="s">
        <v>245</v>
      </c>
      <c r="E90" s="9" t="n">
        <f aca="false">E$25</f>
        <v>0.15</v>
      </c>
      <c r="F90" s="9" t="n">
        <f aca="false">F$25</f>
        <v>0.15</v>
      </c>
      <c r="G90" s="9" t="n">
        <f aca="false">G$25</f>
        <v>0.15</v>
      </c>
      <c r="H90" s="9" t="n">
        <f aca="false">H$25</f>
        <v>0.15</v>
      </c>
      <c r="I90" s="9" t="n">
        <f aca="false">I$25</f>
        <v>0.15</v>
      </c>
      <c r="J90" s="9" t="n">
        <f aca="false">J$25</f>
        <v>0.15</v>
      </c>
      <c r="K90" s="9" t="n">
        <f aca="false">K$25</f>
        <v>0.15</v>
      </c>
      <c r="L90" s="9" t="n">
        <f aca="false">L$25</f>
        <v>0.15</v>
      </c>
      <c r="M90" s="12" t="n">
        <v>0</v>
      </c>
      <c r="N90" s="12" t="n">
        <v>750</v>
      </c>
      <c r="O90" s="16" t="n">
        <f aca="false">IF(N90&gt;0,3600/N90,0)</f>
        <v>4.8</v>
      </c>
      <c r="P90" s="8" t="n">
        <f aca="false">O90*$B$6</f>
        <v>720</v>
      </c>
      <c r="Q90" s="5"/>
      <c r="R90" s="5" t="s">
        <v>297</v>
      </c>
      <c r="S90" s="5" t="s">
        <v>298</v>
      </c>
    </row>
    <row r="91" customFormat="false" ht="15" hidden="false" customHeight="false" outlineLevel="0" collapsed="false">
      <c r="A91" s="21" t="n">
        <v>16</v>
      </c>
      <c r="B91" s="5" t="s">
        <v>299</v>
      </c>
      <c r="C91" s="5" t="s">
        <v>300</v>
      </c>
      <c r="D91" s="10" t="s">
        <v>245</v>
      </c>
      <c r="E91" s="9" t="n">
        <v>1</v>
      </c>
      <c r="F91" s="9" t="n">
        <v>0</v>
      </c>
      <c r="G91" s="9" t="n">
        <v>0</v>
      </c>
      <c r="H91" s="9" t="n">
        <v>0</v>
      </c>
      <c r="I91" s="9" t="n">
        <v>0</v>
      </c>
      <c r="J91" s="9" t="n">
        <v>0</v>
      </c>
      <c r="K91" s="9" t="n">
        <v>0</v>
      </c>
      <c r="L91" s="9" t="n">
        <v>0</v>
      </c>
      <c r="M91" s="12" t="n">
        <v>1</v>
      </c>
      <c r="N91" s="12" t="n">
        <f aca="false">6+15+45+15+15+10</f>
        <v>106</v>
      </c>
      <c r="O91" s="16" t="n">
        <f aca="false">IF(N91&gt;0,3600/N91,0)</f>
        <v>33.9622641509434</v>
      </c>
      <c r="P91" s="8" t="n">
        <f aca="false">O91*$B$6</f>
        <v>5094.33962264151</v>
      </c>
      <c r="Q91" s="5" t="s">
        <v>301</v>
      </c>
      <c r="R91" s="5" t="s">
        <v>302</v>
      </c>
      <c r="S91" s="5" t="s">
        <v>303</v>
      </c>
    </row>
    <row r="92" customFormat="false" ht="15" hidden="false" customHeight="false" outlineLevel="0" collapsed="false">
      <c r="A92" s="21" t="n">
        <v>17</v>
      </c>
      <c r="B92" s="5" t="s">
        <v>304</v>
      </c>
      <c r="C92" s="5" t="s">
        <v>305</v>
      </c>
      <c r="D92" s="10" t="s">
        <v>245</v>
      </c>
      <c r="E92" s="9" t="n">
        <v>0</v>
      </c>
      <c r="F92" s="9" t="n">
        <v>1</v>
      </c>
      <c r="G92" s="9" t="n">
        <v>0</v>
      </c>
      <c r="H92" s="9" t="n">
        <v>0</v>
      </c>
      <c r="I92" s="9" t="n">
        <v>0</v>
      </c>
      <c r="J92" s="9" t="n">
        <v>0</v>
      </c>
      <c r="K92" s="9" t="n">
        <v>0</v>
      </c>
      <c r="L92" s="9" t="n">
        <v>0</v>
      </c>
      <c r="M92" s="12" t="n">
        <v>0</v>
      </c>
      <c r="N92" s="12" t="n">
        <f aca="false">10+15+75+15+15+10</f>
        <v>140</v>
      </c>
      <c r="O92" s="16" t="n">
        <f aca="false">IF(N92&gt;0,3600/N92,0)</f>
        <v>25.7142857142857</v>
      </c>
      <c r="P92" s="8" t="n">
        <f aca="false">O92*$B$6</f>
        <v>3857.14285714286</v>
      </c>
      <c r="Q92" s="5" t="s">
        <v>306</v>
      </c>
      <c r="R92" s="5"/>
      <c r="S92" s="5" t="s">
        <v>307</v>
      </c>
    </row>
    <row r="93" customFormat="false" ht="15" hidden="false" customHeight="false" outlineLevel="0" collapsed="false">
      <c r="A93" s="21" t="n">
        <v>18</v>
      </c>
      <c r="B93" s="5" t="s">
        <v>308</v>
      </c>
      <c r="C93" s="5" t="s">
        <v>309</v>
      </c>
      <c r="D93" s="10" t="s">
        <v>235</v>
      </c>
      <c r="E93" s="9" t="n">
        <v>0</v>
      </c>
      <c r="F93" s="9" t="n">
        <v>0</v>
      </c>
      <c r="G93" s="9" t="n">
        <v>1</v>
      </c>
      <c r="H93" s="9" t="n">
        <v>0</v>
      </c>
      <c r="I93" s="9" t="n">
        <v>0</v>
      </c>
      <c r="J93" s="9" t="n">
        <v>0</v>
      </c>
      <c r="K93" s="9" t="n">
        <v>0</v>
      </c>
      <c r="L93" s="9" t="n">
        <v>0</v>
      </c>
      <c r="M93" s="12" t="n">
        <v>0</v>
      </c>
      <c r="N93" s="12" t="n">
        <f aca="false">180+15+240+30+15+10</f>
        <v>490</v>
      </c>
      <c r="O93" s="16" t="n">
        <f aca="false">IF(N93&gt;0,3600/N93,0)</f>
        <v>7.3469387755102</v>
      </c>
      <c r="P93" s="8" t="n">
        <f aca="false">O93*$B$6</f>
        <v>1102.04081632653</v>
      </c>
      <c r="Q93" s="5" t="s">
        <v>310</v>
      </c>
      <c r="R93" s="5" t="s">
        <v>311</v>
      </c>
      <c r="S93" s="5" t="s">
        <v>312</v>
      </c>
    </row>
    <row r="94" customFormat="false" ht="23.85" hidden="false" customHeight="false" outlineLevel="0" collapsed="false">
      <c r="A94" s="21" t="n">
        <v>19</v>
      </c>
      <c r="B94" s="5" t="s">
        <v>313</v>
      </c>
      <c r="C94" s="5" t="s">
        <v>314</v>
      </c>
      <c r="D94" s="10" t="s">
        <v>245</v>
      </c>
      <c r="E94" s="9" t="n">
        <v>0</v>
      </c>
      <c r="F94" s="9" t="n">
        <v>0</v>
      </c>
      <c r="G94" s="9" t="n">
        <v>0</v>
      </c>
      <c r="H94" s="9" t="n">
        <f aca="false">(1-H$22)*H$23</f>
        <v>0.95</v>
      </c>
      <c r="I94" s="9" t="n">
        <f aca="false">(1-I$22)*I$23</f>
        <v>0.95</v>
      </c>
      <c r="J94" s="9" t="n">
        <f aca="false">(1-J$22)*J$23</f>
        <v>0.95</v>
      </c>
      <c r="K94" s="9" t="n">
        <v>0</v>
      </c>
      <c r="L94" s="9" t="n">
        <v>0</v>
      </c>
      <c r="M94" s="12" t="n">
        <v>0</v>
      </c>
      <c r="N94" s="12" t="n">
        <f aca="false">20+10+30+15+15+10</f>
        <v>100</v>
      </c>
      <c r="O94" s="16" t="n">
        <f aca="false">IF(N94&gt;0,3600/N94,0)</f>
        <v>36</v>
      </c>
      <c r="P94" s="8" t="n">
        <f aca="false">O94*$B$6</f>
        <v>5400</v>
      </c>
      <c r="Q94" s="5" t="s">
        <v>315</v>
      </c>
      <c r="R94" s="5"/>
      <c r="S94" s="5" t="s">
        <v>316</v>
      </c>
    </row>
    <row r="95" customFormat="false" ht="15" hidden="false" customHeight="false" outlineLevel="0" collapsed="false">
      <c r="A95" s="21" t="n">
        <v>20</v>
      </c>
      <c r="B95" s="5" t="s">
        <v>317</v>
      </c>
      <c r="C95" s="5" t="s">
        <v>318</v>
      </c>
      <c r="D95" s="10" t="s">
        <v>245</v>
      </c>
      <c r="E95" s="9" t="n">
        <v>0</v>
      </c>
      <c r="F95" s="9" t="n">
        <v>0</v>
      </c>
      <c r="G95" s="9" t="n">
        <v>0</v>
      </c>
      <c r="H95" s="9" t="n">
        <v>0</v>
      </c>
      <c r="I95" s="9" t="n">
        <v>0</v>
      </c>
      <c r="J95" s="9" t="n">
        <v>0</v>
      </c>
      <c r="K95" s="9" t="n">
        <f aca="false">K$16+K$24+K$22</f>
        <v>0.35</v>
      </c>
      <c r="L95" s="9" t="n">
        <v>0</v>
      </c>
      <c r="M95" s="12" t="n">
        <v>0</v>
      </c>
      <c r="N95" s="12" t="n">
        <f aca="false">30+10+15+150+25+10</f>
        <v>240</v>
      </c>
      <c r="O95" s="16" t="n">
        <f aca="false">IF(N95&gt;0,3600/N95,0)</f>
        <v>15</v>
      </c>
      <c r="P95" s="8" t="n">
        <f aca="false">O95*$B$6</f>
        <v>2250</v>
      </c>
      <c r="Q95" s="5" t="s">
        <v>319</v>
      </c>
      <c r="R95" s="5"/>
      <c r="S95" s="5" t="s">
        <v>320</v>
      </c>
    </row>
    <row r="96" customFormat="false" ht="15" hidden="false" customHeight="false" outlineLevel="0" collapsed="false">
      <c r="A96" s="21" t="n">
        <v>21</v>
      </c>
      <c r="B96" s="5" t="s">
        <v>321</v>
      </c>
      <c r="C96" s="5" t="s">
        <v>322</v>
      </c>
      <c r="D96" s="10" t="s">
        <v>235</v>
      </c>
      <c r="E96" s="9" t="n">
        <v>1</v>
      </c>
      <c r="F96" s="9" t="n">
        <v>1</v>
      </c>
      <c r="G96" s="9" t="n">
        <v>1</v>
      </c>
      <c r="H96" s="9" t="n">
        <v>0</v>
      </c>
      <c r="I96" s="9" t="n">
        <v>0</v>
      </c>
      <c r="J96" s="9" t="n">
        <v>0</v>
      </c>
      <c r="K96" s="9" t="n">
        <v>0</v>
      </c>
      <c r="L96" s="9" t="n">
        <v>0</v>
      </c>
      <c r="M96" s="12" t="n">
        <v>1</v>
      </c>
      <c r="N96" s="12" t="n">
        <f aca="false">10+30+20+10+30+20</f>
        <v>120</v>
      </c>
      <c r="O96" s="16" t="n">
        <f aca="false">IF(N96&gt;0,3600/N96,0)</f>
        <v>30</v>
      </c>
      <c r="P96" s="8" t="n">
        <f aca="false">O96*$B$6</f>
        <v>4500</v>
      </c>
      <c r="Q96" s="5" t="s">
        <v>323</v>
      </c>
      <c r="R96" s="5"/>
      <c r="S96" s="5" t="s">
        <v>324</v>
      </c>
    </row>
    <row r="97" customFormat="false" ht="15" hidden="false" customHeight="false" outlineLevel="0" collapsed="false">
      <c r="A97" s="21" t="n">
        <v>22</v>
      </c>
      <c r="B97" s="5" t="s">
        <v>325</v>
      </c>
      <c r="C97" s="5" t="s">
        <v>326</v>
      </c>
      <c r="D97" s="10" t="s">
        <v>245</v>
      </c>
      <c r="E97" s="9" t="n">
        <v>1</v>
      </c>
      <c r="F97" s="9" t="n">
        <v>1</v>
      </c>
      <c r="G97" s="9" t="n">
        <v>1</v>
      </c>
      <c r="H97" s="9" t="n">
        <v>0</v>
      </c>
      <c r="I97" s="9" t="n">
        <v>0</v>
      </c>
      <c r="J97" s="9" t="n">
        <v>0</v>
      </c>
      <c r="K97" s="9" t="n">
        <v>0</v>
      </c>
      <c r="L97" s="9" t="n">
        <v>0</v>
      </c>
      <c r="M97" s="12" t="n">
        <v>1</v>
      </c>
      <c r="N97" s="12" t="n">
        <f aca="false">3+15+10+20+15+10</f>
        <v>73</v>
      </c>
      <c r="O97" s="16" t="n">
        <f aca="false">IF(N97&gt;0,3600/N97,0)</f>
        <v>49.3150684931507</v>
      </c>
      <c r="P97" s="8" t="n">
        <f aca="false">O97*$B$6</f>
        <v>7397.2602739726</v>
      </c>
      <c r="Q97" s="5" t="s">
        <v>327</v>
      </c>
      <c r="R97" s="5"/>
      <c r="S97" s="5" t="s">
        <v>328</v>
      </c>
    </row>
    <row r="98" customFormat="false" ht="15" hidden="false" customHeight="false" outlineLevel="0" collapsed="false">
      <c r="A98" s="21" t="n">
        <v>23</v>
      </c>
      <c r="B98" s="5" t="s">
        <v>329</v>
      </c>
      <c r="C98" s="5" t="s">
        <v>330</v>
      </c>
      <c r="D98" s="10" t="s">
        <v>235</v>
      </c>
      <c r="E98" s="9" t="n">
        <v>0</v>
      </c>
      <c r="F98" s="9" t="n">
        <v>0</v>
      </c>
      <c r="G98" s="9" t="n">
        <v>0</v>
      </c>
      <c r="H98" s="9" t="n">
        <v>1</v>
      </c>
      <c r="I98" s="9" t="n">
        <v>1</v>
      </c>
      <c r="J98" s="9" t="n">
        <v>1</v>
      </c>
      <c r="K98" s="9" t="n">
        <f aca="false">K$16+K$24</f>
        <v>0.3</v>
      </c>
      <c r="L98" s="9" t="n">
        <f aca="false">L$16+L$22+L$24</f>
        <v>0.35</v>
      </c>
      <c r="M98" s="12" t="n">
        <v>0</v>
      </c>
      <c r="N98" s="12" t="n">
        <f aca="false">120+50</f>
        <v>170</v>
      </c>
      <c r="O98" s="16" t="n">
        <f aca="false">IF(N98&gt;0,3600/N98,0)</f>
        <v>21.1764705882353</v>
      </c>
      <c r="P98" s="8" t="n">
        <f aca="false">O98*$B$6</f>
        <v>3176.47058823529</v>
      </c>
      <c r="Q98" s="5" t="s">
        <v>331</v>
      </c>
      <c r="R98" s="5"/>
      <c r="S98" s="5" t="s">
        <v>332</v>
      </c>
    </row>
    <row r="99" customFormat="false" ht="15" hidden="false" customHeight="false" outlineLevel="0" collapsed="false">
      <c r="A99" s="21" t="n">
        <v>24</v>
      </c>
      <c r="B99" s="5" t="s">
        <v>333</v>
      </c>
      <c r="C99" s="5" t="s">
        <v>334</v>
      </c>
      <c r="D99" s="10" t="s">
        <v>245</v>
      </c>
      <c r="E99" s="9" t="n">
        <v>0</v>
      </c>
      <c r="F99" s="9" t="n">
        <v>0</v>
      </c>
      <c r="G99" s="9" t="n">
        <v>0</v>
      </c>
      <c r="H99" s="9" t="n">
        <v>0</v>
      </c>
      <c r="I99" s="9" t="n">
        <v>0</v>
      </c>
      <c r="J99" s="9" t="n">
        <v>0</v>
      </c>
      <c r="K99" s="9" t="n">
        <v>0</v>
      </c>
      <c r="L99" s="9" t="n">
        <f aca="false">L$16+L$22+L$24</f>
        <v>0.35</v>
      </c>
      <c r="M99" s="12" t="n">
        <v>0</v>
      </c>
      <c r="N99" s="12" t="n">
        <f aca="false">300+40+60+30</f>
        <v>430</v>
      </c>
      <c r="O99" s="16" t="n">
        <f aca="false">IF(N99&gt;0,3600/N99,0)</f>
        <v>8.37209302325582</v>
      </c>
      <c r="P99" s="8" t="n">
        <f aca="false">O99*$B$6</f>
        <v>1255.81395348837</v>
      </c>
      <c r="Q99" s="5" t="s">
        <v>335</v>
      </c>
      <c r="R99" s="5"/>
      <c r="S99" s="5" t="s">
        <v>336</v>
      </c>
    </row>
    <row r="100" customFormat="false" ht="23.85" hidden="false" customHeight="false" outlineLevel="0" collapsed="false">
      <c r="A100" s="21" t="n">
        <v>25</v>
      </c>
      <c r="B100" s="5" t="s">
        <v>337</v>
      </c>
      <c r="C100" s="5" t="s">
        <v>338</v>
      </c>
      <c r="D100" s="10" t="s">
        <v>235</v>
      </c>
      <c r="E100" s="9" t="n">
        <v>0</v>
      </c>
      <c r="F100" s="9" t="n">
        <v>0</v>
      </c>
      <c r="G100" s="9" t="n">
        <v>0</v>
      </c>
      <c r="H100" s="9" t="n">
        <v>0</v>
      </c>
      <c r="I100" s="9" t="n">
        <v>0</v>
      </c>
      <c r="J100" s="9" t="n">
        <v>0</v>
      </c>
      <c r="K100" s="9" t="n">
        <f aca="false">1-(K$16+K$24+K$22)</f>
        <v>0.65</v>
      </c>
      <c r="L100" s="9" t="n">
        <f aca="false">1-(L$16+L$22+L$24)</f>
        <v>0.65</v>
      </c>
      <c r="M100" s="12" t="n">
        <v>0</v>
      </c>
      <c r="N100" s="12" t="n">
        <f aca="false">30+10</f>
        <v>40</v>
      </c>
      <c r="O100" s="16" t="n">
        <f aca="false">IF(N100&gt;0,3600/N100,0)</f>
        <v>90</v>
      </c>
      <c r="P100" s="8" t="n">
        <f aca="false">O100*$B$6</f>
        <v>13500</v>
      </c>
      <c r="Q100" s="5" t="s">
        <v>339</v>
      </c>
      <c r="R100" s="5" t="s">
        <v>340</v>
      </c>
      <c r="S100" s="5" t="s">
        <v>341</v>
      </c>
    </row>
    <row r="101" customFormat="false" ht="23.85" hidden="false" customHeight="false" outlineLevel="0" collapsed="false">
      <c r="A101" s="21" t="n">
        <v>26</v>
      </c>
      <c r="B101" s="5" t="s">
        <v>342</v>
      </c>
      <c r="C101" s="5" t="s">
        <v>343</v>
      </c>
      <c r="D101" s="10" t="s">
        <v>245</v>
      </c>
      <c r="E101" s="9" t="n">
        <v>1</v>
      </c>
      <c r="F101" s="9" t="n">
        <v>1</v>
      </c>
      <c r="G101" s="9" t="n">
        <v>1</v>
      </c>
      <c r="H101" s="9" t="n">
        <v>1</v>
      </c>
      <c r="I101" s="9" t="n">
        <v>1</v>
      </c>
      <c r="J101" s="9" t="n">
        <v>1</v>
      </c>
      <c r="K101" s="9" t="n">
        <v>1</v>
      </c>
      <c r="L101" s="9" t="n">
        <v>1</v>
      </c>
      <c r="M101" s="12" t="n">
        <v>1</v>
      </c>
      <c r="N101" s="12" t="n">
        <f aca="false">5+45+10+10+10</f>
        <v>80</v>
      </c>
      <c r="O101" s="16" t="n">
        <f aca="false">IF(N101&gt;0,3600/N101,0)</f>
        <v>45</v>
      </c>
      <c r="P101" s="8" t="n">
        <f aca="false">O101*$B$6</f>
        <v>6750</v>
      </c>
      <c r="Q101" s="5" t="s">
        <v>344</v>
      </c>
      <c r="R101" s="5"/>
      <c r="S101" s="5" t="s">
        <v>345</v>
      </c>
    </row>
    <row r="102" customFormat="false" ht="15" hidden="false" customHeight="false" outlineLevel="0" collapsed="false">
      <c r="A102" s="21" t="n">
        <v>27</v>
      </c>
      <c r="B102" s="5" t="s">
        <v>346</v>
      </c>
      <c r="C102" s="5" t="s">
        <v>347</v>
      </c>
      <c r="D102" s="10" t="s">
        <v>235</v>
      </c>
      <c r="E102" s="9" t="n">
        <v>1</v>
      </c>
      <c r="F102" s="9" t="n">
        <v>1</v>
      </c>
      <c r="G102" s="9" t="n">
        <v>1</v>
      </c>
      <c r="H102" s="9" t="n">
        <v>1</v>
      </c>
      <c r="I102" s="9" t="n">
        <v>1</v>
      </c>
      <c r="J102" s="9" t="n">
        <v>1</v>
      </c>
      <c r="K102" s="9" t="n">
        <v>1</v>
      </c>
      <c r="L102" s="9" t="n">
        <v>1</v>
      </c>
      <c r="M102" s="12" t="n">
        <v>1</v>
      </c>
      <c r="N102" s="12" t="n">
        <f aca="false">15+25+15+10+15+6</f>
        <v>86</v>
      </c>
      <c r="O102" s="16" t="n">
        <f aca="false">IF(N102&gt;0,3600/N102,0)</f>
        <v>41.8604651162791</v>
      </c>
      <c r="P102" s="8" t="n">
        <f aca="false">O102*$B$6</f>
        <v>6279.06976744186</v>
      </c>
      <c r="Q102" s="5" t="s">
        <v>348</v>
      </c>
      <c r="R102" s="5" t="s">
        <v>349</v>
      </c>
      <c r="S102" s="5" t="s">
        <v>350</v>
      </c>
    </row>
    <row r="103" customFormat="false" ht="15" hidden="false" customHeight="false" outlineLevel="0" collapsed="false">
      <c r="A103" s="21" t="n">
        <v>28</v>
      </c>
      <c r="B103" s="5" t="s">
        <v>351</v>
      </c>
      <c r="C103" s="5" t="s">
        <v>352</v>
      </c>
      <c r="D103" s="10" t="s">
        <v>245</v>
      </c>
      <c r="E103" s="9" t="n">
        <f aca="false">E$21</f>
        <v>0.08</v>
      </c>
      <c r="F103" s="9" t="n">
        <f aca="false">F$21</f>
        <v>0.08</v>
      </c>
      <c r="G103" s="9" t="n">
        <f aca="false">G$21</f>
        <v>0.08</v>
      </c>
      <c r="H103" s="9" t="n">
        <f aca="false">H$21</f>
        <v>0.08</v>
      </c>
      <c r="I103" s="9" t="n">
        <f aca="false">I$21</f>
        <v>0.08</v>
      </c>
      <c r="J103" s="9" t="n">
        <f aca="false">J$21</f>
        <v>0.08</v>
      </c>
      <c r="K103" s="9" t="n">
        <f aca="false">K$21</f>
        <v>0.0633333333333333</v>
      </c>
      <c r="L103" s="9" t="n">
        <f aca="false">L$21</f>
        <v>0.08</v>
      </c>
      <c r="M103" s="12" t="n">
        <v>0</v>
      </c>
      <c r="N103" s="12" t="n">
        <f aca="false">30+120+90+60+90</f>
        <v>390</v>
      </c>
      <c r="O103" s="16" t="n">
        <f aca="false">IF(N103&gt;0,3600/N103,0)</f>
        <v>9.23076923076923</v>
      </c>
      <c r="P103" s="8" t="n">
        <f aca="false">O103*$B$6</f>
        <v>1384.61538461538</v>
      </c>
      <c r="Q103" s="5" t="s">
        <v>353</v>
      </c>
      <c r="R103" s="5" t="s">
        <v>354</v>
      </c>
      <c r="S103" s="5" t="s">
        <v>355</v>
      </c>
    </row>
    <row r="104" customFormat="false" ht="35.05" hidden="false" customHeight="false" outlineLevel="0" collapsed="false">
      <c r="A104" s="21" t="n">
        <v>29</v>
      </c>
      <c r="B104" s="5" t="s">
        <v>356</v>
      </c>
      <c r="C104" s="5" t="s">
        <v>357</v>
      </c>
      <c r="D104" s="10" t="s">
        <v>245</v>
      </c>
      <c r="E104" s="10" t="s">
        <v>358</v>
      </c>
      <c r="F104" s="10" t="s">
        <v>358</v>
      </c>
      <c r="G104" s="10" t="s">
        <v>358</v>
      </c>
      <c r="H104" s="10" t="s">
        <v>358</v>
      </c>
      <c r="I104" s="10" t="s">
        <v>358</v>
      </c>
      <c r="J104" s="10" t="s">
        <v>358</v>
      </c>
      <c r="K104" s="10" t="s">
        <v>358</v>
      </c>
      <c r="L104" s="10" t="s">
        <v>358</v>
      </c>
      <c r="M104" s="12" t="n">
        <v>0</v>
      </c>
      <c r="N104" s="12" t="n">
        <f aca="false">12+20+90+90+75+15</f>
        <v>302</v>
      </c>
      <c r="O104" s="16" t="n">
        <f aca="false">IF(N104&gt;0,3600/N104,0)</f>
        <v>11.9205298013245</v>
      </c>
      <c r="P104" s="8" t="n">
        <f aca="false">O104*$B$6</f>
        <v>1788.07947019868</v>
      </c>
      <c r="Q104" s="5" t="s">
        <v>359</v>
      </c>
      <c r="R104" s="5" t="s">
        <v>360</v>
      </c>
      <c r="S104" s="5" t="s">
        <v>361</v>
      </c>
    </row>
    <row r="106" customFormat="false" ht="15" hidden="false" customHeight="false" outlineLevel="0" collapsed="false">
      <c r="A106" s="1" t="s">
        <v>362</v>
      </c>
    </row>
    <row r="107" customFormat="false" ht="15" hidden="false" customHeight="false" outlineLevel="0" collapsed="false">
      <c r="A107" s="2" t="s">
        <v>363</v>
      </c>
    </row>
    <row r="108" customFormat="false" ht="15" hidden="false" customHeight="true" outlineLevel="0" collapsed="false">
      <c r="A108" s="6" t="s">
        <v>364</v>
      </c>
      <c r="B108" s="6" t="s">
        <v>365</v>
      </c>
      <c r="C108" s="6"/>
      <c r="D108" s="6"/>
      <c r="E108" s="6" t="s">
        <v>175</v>
      </c>
      <c r="F108" s="6" t="s">
        <v>176</v>
      </c>
      <c r="G108" s="6" t="s">
        <v>177</v>
      </c>
      <c r="H108" s="6" t="s">
        <v>178</v>
      </c>
      <c r="I108" s="6" t="s">
        <v>179</v>
      </c>
      <c r="J108" s="6" t="s">
        <v>180</v>
      </c>
      <c r="K108" s="6" t="s">
        <v>181</v>
      </c>
      <c r="L108" s="6" t="s">
        <v>182</v>
      </c>
      <c r="M108" s="6" t="s">
        <v>183</v>
      </c>
      <c r="N108" s="6" t="s">
        <v>184</v>
      </c>
      <c r="O108" s="6" t="s">
        <v>185</v>
      </c>
      <c r="P108" s="6" t="s">
        <v>186</v>
      </c>
      <c r="Q108" s="6" t="s">
        <v>85</v>
      </c>
    </row>
    <row r="109" customFormat="false" ht="15" hidden="false" customHeight="true" outlineLevel="0" collapsed="false">
      <c r="A109" s="5" t="s">
        <v>366</v>
      </c>
      <c r="B109" s="5" t="s">
        <v>17</v>
      </c>
      <c r="C109" s="5"/>
      <c r="D109" s="5"/>
      <c r="E109" s="9" t="n">
        <f aca="false">IFERROR(__xludf.DUMMYFUNCTION("IMPORTRANGE(Links!$B$7,""ESTACIONALIDAD!C4:N4"")"),0.12)</f>
        <v>0.12</v>
      </c>
      <c r="F109" s="9" t="n">
        <f aca="false">IFERROR(__xludf.DUMMYFUNCTION("""COMPUTED_VALUE"""),0.09)</f>
        <v>0.09</v>
      </c>
      <c r="G109" s="9" t="n">
        <f aca="false">IFERROR(__xludf.DUMMYFUNCTION("""COMPUTED_VALUE"""),0.08)</f>
        <v>0.08</v>
      </c>
      <c r="H109" s="9" t="n">
        <f aca="false">IFERROR(__xludf.DUMMYFUNCTION("""COMPUTED_VALUE"""),0.075)</f>
        <v>0.075</v>
      </c>
      <c r="I109" s="9" t="n">
        <f aca="false">IFERROR(__xludf.DUMMYFUNCTION("""COMPUTED_VALUE"""),0.07)</f>
        <v>0.07</v>
      </c>
      <c r="J109" s="9" t="n">
        <f aca="false">IFERROR(__xludf.DUMMYFUNCTION("""COMPUTED_VALUE"""),0.07)</f>
        <v>0.07</v>
      </c>
      <c r="K109" s="9" t="n">
        <f aca="false">IFERROR(__xludf.DUMMYFUNCTION("""COMPUTED_VALUE"""),0.075)</f>
        <v>0.075</v>
      </c>
      <c r="L109" s="9" t="n">
        <f aca="false">IFERROR(__xludf.DUMMYFUNCTION("""COMPUTED_VALUE"""),0.075)</f>
        <v>0.075</v>
      </c>
      <c r="M109" s="9" t="n">
        <f aca="false">IFERROR(__xludf.DUMMYFUNCTION("""COMPUTED_VALUE"""),0.075)</f>
        <v>0.075</v>
      </c>
      <c r="N109" s="9" t="n">
        <f aca="false">IFERROR(__xludf.DUMMYFUNCTION("""COMPUTED_VALUE"""),0.075)</f>
        <v>0.075</v>
      </c>
      <c r="O109" s="9" t="n">
        <f aca="false">IFERROR(__xludf.DUMMYFUNCTION("""COMPUTED_VALUE"""),0.075)</f>
        <v>0.075</v>
      </c>
      <c r="P109" s="9" t="n">
        <f aca="false">IFERROR(__xludf.DUMMYFUNCTION("""COMPUTED_VALUE"""),0.12)</f>
        <v>0.12</v>
      </c>
      <c r="Q109" s="20" t="n">
        <f aca="false">SUM(E109:P109)</f>
        <v>1</v>
      </c>
    </row>
    <row r="110" customFormat="false" ht="15" hidden="false" customHeight="true" outlineLevel="0" collapsed="false">
      <c r="A110" s="5" t="s">
        <v>367</v>
      </c>
      <c r="B110" s="5" t="s">
        <v>368</v>
      </c>
      <c r="C110" s="5"/>
      <c r="D110" s="5"/>
      <c r="E110" s="9" t="n">
        <f aca="false">IFERROR(__xludf.DUMMYFUNCTION("IMPORTRANGE(Links!$B$7,""ESTACIONALIDAD!C5:N5"")"),0.1)</f>
        <v>0.1</v>
      </c>
      <c r="F110" s="9" t="n">
        <f aca="false">IFERROR(__xludf.DUMMYFUNCTION("""COMPUTED_VALUE"""),0.08)</f>
        <v>0.08</v>
      </c>
      <c r="G110" s="9" t="n">
        <f aca="false">IFERROR(__xludf.DUMMYFUNCTION("""COMPUTED_VALUE"""),0.085)</f>
        <v>0.085</v>
      </c>
      <c r="H110" s="9" t="n">
        <f aca="false">IFERROR(__xludf.DUMMYFUNCTION("""COMPUTED_VALUE"""),0.085)</f>
        <v>0.085</v>
      </c>
      <c r="I110" s="9" t="n">
        <f aca="false">IFERROR(__xludf.DUMMYFUNCTION("""COMPUTED_VALUE"""),0.08)</f>
        <v>0.08</v>
      </c>
      <c r="J110" s="9" t="n">
        <f aca="false">IFERROR(__xludf.DUMMYFUNCTION("""COMPUTED_VALUE"""),0.075)</f>
        <v>0.075</v>
      </c>
      <c r="K110" s="9" t="n">
        <f aca="false">IFERROR(__xludf.DUMMYFUNCTION("""COMPUTED_VALUE"""),0.08)</f>
        <v>0.08</v>
      </c>
      <c r="L110" s="9" t="n">
        <f aca="false">IFERROR(__xludf.DUMMYFUNCTION("""COMPUTED_VALUE"""),0.08)</f>
        <v>0.08</v>
      </c>
      <c r="M110" s="9" t="n">
        <f aca="false">IFERROR(__xludf.DUMMYFUNCTION("""COMPUTED_VALUE"""),0.08)</f>
        <v>0.08</v>
      </c>
      <c r="N110" s="9" t="n">
        <f aca="false">IFERROR(__xludf.DUMMYFUNCTION("""COMPUTED_VALUE"""),0.075)</f>
        <v>0.075</v>
      </c>
      <c r="O110" s="9" t="n">
        <f aca="false">IFERROR(__xludf.DUMMYFUNCTION("""COMPUTED_VALUE"""),0.07)</f>
        <v>0.07</v>
      </c>
      <c r="P110" s="9" t="n">
        <f aca="false">IFERROR(__xludf.DUMMYFUNCTION("""COMPUTED_VALUE"""),0.11)</f>
        <v>0.11</v>
      </c>
      <c r="Q110" s="20" t="n">
        <f aca="false">SUM(E110:P110)</f>
        <v>1</v>
      </c>
    </row>
    <row r="111" customFormat="false" ht="15" hidden="false" customHeight="true" outlineLevel="0" collapsed="false">
      <c r="A111" s="5" t="s">
        <v>369</v>
      </c>
      <c r="B111" s="5" t="s">
        <v>370</v>
      </c>
      <c r="C111" s="5"/>
      <c r="D111" s="5"/>
      <c r="E111" s="9" t="n">
        <f aca="false">IFERROR(__xludf.DUMMYFUNCTION("IMPORTRANGE(Links!$B$7,""ESTACIONALIDAD!C6:N6"")"),0.085)</f>
        <v>0.085</v>
      </c>
      <c r="F111" s="9" t="n">
        <f aca="false">IFERROR(__xludf.DUMMYFUNCTION("""COMPUTED_VALUE"""),0.075)</f>
        <v>0.075</v>
      </c>
      <c r="G111" s="9" t="n">
        <f aca="false">IFERROR(__xludf.DUMMYFUNCTION("""COMPUTED_VALUE"""),0.09)</f>
        <v>0.09</v>
      </c>
      <c r="H111" s="9" t="n">
        <f aca="false">IFERROR(__xludf.DUMMYFUNCTION("""COMPUTED_VALUE"""),0.09)</f>
        <v>0.09</v>
      </c>
      <c r="I111" s="9" t="n">
        <f aca="false">IFERROR(__xludf.DUMMYFUNCTION("""COMPUTED_VALUE"""),0.09)</f>
        <v>0.09</v>
      </c>
      <c r="J111" s="9" t="n">
        <f aca="false">IFERROR(__xludf.DUMMYFUNCTION("""COMPUTED_VALUE"""),0.08)</f>
        <v>0.08</v>
      </c>
      <c r="K111" s="9" t="n">
        <f aca="false">IFERROR(__xludf.DUMMYFUNCTION("""COMPUTED_VALUE"""),0.09)</f>
        <v>0.09</v>
      </c>
      <c r="L111" s="9" t="n">
        <f aca="false">IFERROR(__xludf.DUMMYFUNCTION("""COMPUTED_VALUE"""),0.09)</f>
        <v>0.09</v>
      </c>
      <c r="M111" s="9" t="n">
        <f aca="false">IFERROR(__xludf.DUMMYFUNCTION("""COMPUTED_VALUE"""),0.085)</f>
        <v>0.085</v>
      </c>
      <c r="N111" s="9" t="n">
        <f aca="false">IFERROR(__xludf.DUMMYFUNCTION("""COMPUTED_VALUE"""),0.075)</f>
        <v>0.075</v>
      </c>
      <c r="O111" s="9" t="n">
        <f aca="false">IFERROR(__xludf.DUMMYFUNCTION("""COMPUTED_VALUE"""),0.07)</f>
        <v>0.07</v>
      </c>
      <c r="P111" s="9" t="n">
        <f aca="false">IFERROR(__xludf.DUMMYFUNCTION("""COMPUTED_VALUE"""),0.08)</f>
        <v>0.08</v>
      </c>
      <c r="Q111" s="20" t="n">
        <f aca="false">SUM(E111:P111)</f>
        <v>1</v>
      </c>
    </row>
    <row r="113" customFormat="false" ht="15" hidden="false" customHeight="false" outlineLevel="0" collapsed="false">
      <c r="A113" s="1" t="s">
        <v>371</v>
      </c>
    </row>
    <row r="114" customFormat="false" ht="15" hidden="false" customHeight="false" outlineLevel="0" collapsed="false">
      <c r="A114" s="2" t="s">
        <v>372</v>
      </c>
    </row>
    <row r="115" customFormat="false" ht="15" hidden="false" customHeight="true" outlineLevel="0" collapsed="false">
      <c r="A115" s="6" t="s">
        <v>373</v>
      </c>
      <c r="B115" s="6" t="s">
        <v>374</v>
      </c>
      <c r="C115" s="6" t="s">
        <v>375</v>
      </c>
      <c r="D115" s="6" t="s">
        <v>376</v>
      </c>
      <c r="E115" s="6" t="s">
        <v>377</v>
      </c>
      <c r="F115" s="6"/>
      <c r="G115" s="6"/>
      <c r="H115" s="6"/>
      <c r="I115" s="6"/>
      <c r="J115" s="6"/>
      <c r="K115" s="6"/>
      <c r="L115" s="6"/>
      <c r="M115" s="6"/>
      <c r="N115" s="6"/>
      <c r="O115" s="6"/>
      <c r="P115" s="6"/>
      <c r="Q115" s="6"/>
      <c r="R115" s="6"/>
    </row>
    <row r="116" customFormat="false" ht="15" hidden="false" customHeight="true" outlineLevel="0" collapsed="false">
      <c r="A116" s="5" t="s">
        <v>282</v>
      </c>
      <c r="B116" s="12" t="n">
        <f aca="false">IFERROR(__xludf.DUMMYFUNCTION("IMPORTRANGE(Links!$B$5,""parametros_manuales!K32"")"),60)</f>
        <v>60</v>
      </c>
      <c r="C116" s="22" t="n">
        <f aca="false">IFERROR(__xludf.DUMMYFUNCTION("IMPORTRANGE(Links!$B$6,""parametros_carros!I29"")"),8.979935)</f>
        <v>8.979935</v>
      </c>
      <c r="D116" s="16" t="n">
        <f aca="false">IF(B116=0,0,C116*60/B116)</f>
        <v>8.979935</v>
      </c>
      <c r="E116" s="5" t="s">
        <v>378</v>
      </c>
      <c r="F116" s="5"/>
      <c r="G116" s="5"/>
      <c r="H116" s="5"/>
      <c r="I116" s="5"/>
      <c r="J116" s="5"/>
      <c r="K116" s="5"/>
      <c r="L116" s="5"/>
      <c r="M116" s="5"/>
      <c r="N116" s="5"/>
      <c r="O116" s="5"/>
      <c r="P116" s="5"/>
      <c r="Q116" s="5"/>
      <c r="R116" s="5"/>
    </row>
    <row r="117" customFormat="false" ht="15" hidden="false" customHeight="true" outlineLevel="0" collapsed="false">
      <c r="A117" s="5" t="s">
        <v>286</v>
      </c>
      <c r="B117" s="12" t="n">
        <f aca="false">IFERROR(__xludf.DUMMYFUNCTION("IMPORTRANGE(Links!$B$5,""parametros_manuales!K33"")"),120)</f>
        <v>120</v>
      </c>
      <c r="C117" s="22" t="n">
        <f aca="false">IFERROR(__xludf.DUMMYFUNCTION("IMPORTRANGE(Links!$B$6,""parametros_carros!I30"")"),10.058961)</f>
        <v>10.058961</v>
      </c>
      <c r="D117" s="16" t="n">
        <f aca="false">IF(B117=0,0,C117*60/B117)</f>
        <v>5.0294805</v>
      </c>
      <c r="E117" s="5" t="s">
        <v>379</v>
      </c>
      <c r="F117" s="5"/>
      <c r="G117" s="5"/>
      <c r="H117" s="5"/>
      <c r="I117" s="5"/>
      <c r="J117" s="5"/>
      <c r="K117" s="5"/>
      <c r="L117" s="5"/>
      <c r="M117" s="5"/>
      <c r="N117" s="5"/>
      <c r="O117" s="5"/>
      <c r="P117" s="5"/>
      <c r="Q117" s="5"/>
      <c r="R117" s="5"/>
    </row>
    <row r="118" customFormat="false" ht="15" hidden="false" customHeight="true" outlineLevel="0" collapsed="false">
      <c r="A118" s="5" t="s">
        <v>380</v>
      </c>
      <c r="B118" s="12" t="n">
        <f aca="false">IFERROR(__xludf.DUMMYFUNCTION("IMPORTRANGE(Links!$B$5,""parametros_manuales!K38"")+IMPORTRANGE(Links!$B$5,""parametros_manuales!K40"")"),75)</f>
        <v>75</v>
      </c>
      <c r="C118" s="22" t="n">
        <f aca="false">IFERROR(__xludf.DUMMYFUNCTION("IMPORTRANGE(Links!$B$6,""parametros_carros!I33"")"),11.33)</f>
        <v>11.33</v>
      </c>
      <c r="D118" s="16" t="n">
        <f aca="false">IF(B118=0,0,C118*60/B118)</f>
        <v>9.064</v>
      </c>
      <c r="E118" s="5" t="s">
        <v>381</v>
      </c>
      <c r="F118" s="5"/>
      <c r="G118" s="5"/>
      <c r="H118" s="5"/>
      <c r="I118" s="5"/>
      <c r="J118" s="5"/>
      <c r="K118" s="5"/>
      <c r="L118" s="5"/>
      <c r="M118" s="5"/>
      <c r="N118" s="5"/>
      <c r="O118" s="5"/>
      <c r="P118" s="5"/>
      <c r="Q118" s="5"/>
      <c r="R118" s="5"/>
    </row>
    <row r="119" customFormat="false" ht="15" hidden="false" customHeight="true" outlineLevel="0" collapsed="false">
      <c r="A119" s="5" t="s">
        <v>382</v>
      </c>
      <c r="B119" s="12" t="n">
        <f aca="false">IFERROR(__xludf.DUMMYFUNCTION("IMPORTRANGE(Links!$B$5,""parametros_manuales!K39"")+IMPORTRANGE(Links!$B$5,""parametros_manuales!K42"")"),160)</f>
        <v>160</v>
      </c>
      <c r="C119" s="22" t="n">
        <f aca="false">IFERROR(__xludf.DUMMYFUNCTION("IMPORTRANGE(Links!$B$6,""parametros_carros!I34"")"),6.32)</f>
        <v>6.32</v>
      </c>
      <c r="D119" s="16" t="n">
        <f aca="false">IF(B119=0,0,C119*60/B119)</f>
        <v>2.37</v>
      </c>
      <c r="E119" s="5" t="s">
        <v>383</v>
      </c>
      <c r="F119" s="5"/>
      <c r="G119" s="5"/>
      <c r="H119" s="5"/>
      <c r="I119" s="5"/>
      <c r="J119" s="5"/>
      <c r="K119" s="5"/>
      <c r="L119" s="5"/>
      <c r="M119" s="5"/>
      <c r="N119" s="5"/>
      <c r="O119" s="5"/>
      <c r="P119" s="5"/>
      <c r="Q119" s="5"/>
      <c r="R119" s="5"/>
    </row>
    <row r="120" customFormat="false" ht="15" hidden="false" customHeight="true" outlineLevel="0" collapsed="false">
      <c r="A120" s="4" t="s">
        <v>384</v>
      </c>
      <c r="D120" s="16" t="n">
        <f aca="false">AVERAGE(D116:D119)</f>
        <v>6.360853875</v>
      </c>
      <c r="E120" s="5" t="s">
        <v>385</v>
      </c>
      <c r="F120" s="5"/>
      <c r="G120" s="5"/>
      <c r="H120" s="5"/>
      <c r="I120" s="5"/>
      <c r="J120" s="5"/>
      <c r="K120" s="5"/>
      <c r="L120" s="5"/>
      <c r="M120" s="5"/>
      <c r="N120" s="5"/>
      <c r="O120" s="5"/>
      <c r="P120" s="5"/>
      <c r="Q120" s="5"/>
      <c r="R120" s="5"/>
    </row>
  </sheetData>
  <mergeCells count="51">
    <mergeCell ref="C1:Q1"/>
    <mergeCell ref="C2:Q2"/>
    <mergeCell ref="C3:Q3"/>
    <mergeCell ref="C4:Q4"/>
    <mergeCell ref="C5:Q5"/>
    <mergeCell ref="C6:Q6"/>
    <mergeCell ref="C7:Q7"/>
    <mergeCell ref="C8:Q8"/>
    <mergeCell ref="C9:Q9"/>
    <mergeCell ref="C10:Q10"/>
    <mergeCell ref="M12:S12"/>
    <mergeCell ref="M13:S13"/>
    <mergeCell ref="M14:S14"/>
    <mergeCell ref="M15:S15"/>
    <mergeCell ref="M16:S16"/>
    <mergeCell ref="M17:S17"/>
    <mergeCell ref="M18:S18"/>
    <mergeCell ref="M19:S19"/>
    <mergeCell ref="M20:S20"/>
    <mergeCell ref="M21:S21"/>
    <mergeCell ref="M22:S22"/>
    <mergeCell ref="M23:S23"/>
    <mergeCell ref="M24:S24"/>
    <mergeCell ref="M25:S25"/>
    <mergeCell ref="M26:S26"/>
    <mergeCell ref="M27:S27"/>
    <mergeCell ref="M28:S28"/>
    <mergeCell ref="B34:D34"/>
    <mergeCell ref="B35:D35"/>
    <mergeCell ref="B36:D36"/>
    <mergeCell ref="B37:D37"/>
    <mergeCell ref="B38:D38"/>
    <mergeCell ref="B39:D39"/>
    <mergeCell ref="B40:D40"/>
    <mergeCell ref="B41:D41"/>
    <mergeCell ref="C43:D43"/>
    <mergeCell ref="C44:D44"/>
    <mergeCell ref="C45:D45"/>
    <mergeCell ref="C46:D46"/>
    <mergeCell ref="C47:D47"/>
    <mergeCell ref="C48:D48"/>
    <mergeCell ref="B108:D108"/>
    <mergeCell ref="B109:D109"/>
    <mergeCell ref="B110:D110"/>
    <mergeCell ref="B111:D111"/>
    <mergeCell ref="E115:R115"/>
    <mergeCell ref="E116:R116"/>
    <mergeCell ref="E117:R117"/>
    <mergeCell ref="E118:R118"/>
    <mergeCell ref="E119:R119"/>
    <mergeCell ref="E120:R120"/>
  </mergeCells>
  <dataValidations count="2">
    <dataValidation allowBlank="false" errorStyle="stop" operator="between" showDropDown="false" showErrorMessage="false" showInputMessage="false" sqref="B55:B71" type="list">
      <formula1>$E$75:$L$75</formula1>
      <formula2>0</formula2>
    </dataValidation>
    <dataValidation allowBlank="false" errorStyle="stop" operator="between" showDropDown="false" showErrorMessage="false" showInputMessage="false" sqref="D76:D104" type="list">
      <formula1>"Máquina,Manual,Tercerizado"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8" min="2" style="0" width="12"/>
    <col collapsed="false" customWidth="true" hidden="false" outlineLevel="0" max="11" min="9" style="0" width="11"/>
    <col collapsed="false" customWidth="true" hidden="false" outlineLevel="0" max="12" min="12" style="0" width="24"/>
  </cols>
  <sheetData>
    <row r="1" customFormat="false" ht="15" hidden="false" customHeight="false" outlineLevel="0" collapsed="false">
      <c r="A1" s="1" t="s">
        <v>386</v>
      </c>
    </row>
    <row r="2" customFormat="false" ht="15" hidden="false" customHeight="false" outlineLevel="0" collapsed="false">
      <c r="A2" s="2" t="s">
        <v>387</v>
      </c>
    </row>
    <row r="4" customFormat="false" ht="15" hidden="false" customHeight="true" outlineLevel="0" collapsed="false">
      <c r="A4" s="6" t="s">
        <v>89</v>
      </c>
      <c r="B4" s="6" t="s">
        <v>64</v>
      </c>
      <c r="C4" s="6" t="s">
        <v>90</v>
      </c>
      <c r="D4" s="6"/>
      <c r="E4" s="6"/>
      <c r="F4" s="6"/>
      <c r="G4" s="6"/>
      <c r="H4" s="6"/>
      <c r="I4" s="6"/>
      <c r="J4" s="6"/>
      <c r="K4" s="6"/>
      <c r="L4" s="6"/>
    </row>
    <row r="5" customFormat="false" ht="15" hidden="false" customHeight="false" outlineLevel="0" collapsed="false">
      <c r="A5" s="5" t="s">
        <v>91</v>
      </c>
      <c r="B5" s="23" t="n">
        <f aca="false">parametros_recargas!B2</f>
        <v>20</v>
      </c>
      <c r="C5" s="5"/>
      <c r="D5" s="5"/>
      <c r="E5" s="5"/>
      <c r="F5" s="5"/>
      <c r="G5" s="5"/>
      <c r="H5" s="5"/>
      <c r="I5" s="5"/>
      <c r="J5" s="5"/>
      <c r="K5" s="5"/>
      <c r="L5" s="5"/>
    </row>
    <row r="6" customFormat="false" ht="15" hidden="false" customHeight="true" outlineLevel="0" collapsed="false">
      <c r="A6" s="5" t="s">
        <v>388</v>
      </c>
      <c r="B6" s="21" t="n">
        <v>1</v>
      </c>
      <c r="C6" s="5" t="s">
        <v>389</v>
      </c>
      <c r="D6" s="5"/>
      <c r="E6" s="5"/>
      <c r="F6" s="5"/>
      <c r="G6" s="5"/>
      <c r="H6" s="5"/>
      <c r="I6" s="5"/>
      <c r="J6" s="5"/>
      <c r="K6" s="5"/>
      <c r="L6" s="5"/>
    </row>
    <row r="7" customFormat="false" ht="15" hidden="false" customHeight="true" outlineLevel="0" collapsed="false">
      <c r="A7" s="5" t="s">
        <v>390</v>
      </c>
      <c r="B7" s="21" t="n">
        <v>1</v>
      </c>
      <c r="C7" s="5" t="s">
        <v>391</v>
      </c>
      <c r="D7" s="5"/>
      <c r="E7" s="5"/>
      <c r="F7" s="5"/>
      <c r="G7" s="5"/>
      <c r="H7" s="5"/>
      <c r="I7" s="5"/>
      <c r="J7" s="5"/>
      <c r="K7" s="5"/>
      <c r="L7" s="5"/>
    </row>
    <row r="8" customFormat="false" ht="15" hidden="false" customHeight="false" outlineLevel="0" collapsed="false">
      <c r="A8" s="5" t="s">
        <v>392</v>
      </c>
      <c r="B8" s="23" t="n">
        <f aca="false">parametros_recargas!B5*60</f>
        <v>450</v>
      </c>
      <c r="C8" s="5"/>
      <c r="D8" s="5"/>
      <c r="E8" s="5"/>
      <c r="F8" s="5"/>
      <c r="G8" s="5"/>
      <c r="H8" s="5"/>
      <c r="I8" s="5"/>
      <c r="J8" s="5"/>
      <c r="K8" s="5"/>
      <c r="L8" s="5"/>
    </row>
    <row r="9" customFormat="false" ht="15" hidden="false" customHeight="true" outlineLevel="0" collapsed="false">
      <c r="A9" s="5" t="s">
        <v>38</v>
      </c>
      <c r="B9" s="24" t="str">
        <f aca="false">PROY_Indexado!B51</f>
        <v>Comercial</v>
      </c>
      <c r="C9" s="5" t="s">
        <v>393</v>
      </c>
      <c r="D9" s="5"/>
      <c r="E9" s="5"/>
      <c r="F9" s="5"/>
      <c r="G9" s="5"/>
      <c r="H9" s="5"/>
      <c r="I9" s="5"/>
      <c r="J9" s="5"/>
      <c r="K9" s="5"/>
      <c r="L9" s="5"/>
    </row>
    <row r="10" customFormat="false" ht="15" hidden="false" customHeight="true" outlineLevel="0" collapsed="false">
      <c r="A10" s="5" t="s">
        <v>394</v>
      </c>
      <c r="B10" s="23" t="n">
        <f aca="false">parametros_recargas!B8</f>
        <v>2</v>
      </c>
      <c r="C10" s="5" t="s">
        <v>395</v>
      </c>
      <c r="D10" s="5"/>
      <c r="E10" s="5"/>
      <c r="F10" s="5"/>
      <c r="G10" s="5"/>
      <c r="H10" s="5"/>
      <c r="I10" s="5"/>
      <c r="J10" s="5"/>
      <c r="K10" s="5"/>
      <c r="L10" s="5"/>
    </row>
    <row r="11" customFormat="false" ht="15" hidden="false" customHeight="true" outlineLevel="0" collapsed="false">
      <c r="A11" s="5" t="s">
        <v>396</v>
      </c>
      <c r="B11" s="23" t="n">
        <f aca="false">parametros_recargas!B10</f>
        <v>2032</v>
      </c>
      <c r="C11" s="5" t="s">
        <v>397</v>
      </c>
      <c r="D11" s="5"/>
      <c r="E11" s="5"/>
      <c r="F11" s="5"/>
      <c r="G11" s="5"/>
      <c r="H11" s="5"/>
      <c r="I11" s="5"/>
      <c r="J11" s="5"/>
      <c r="K11" s="5"/>
      <c r="L11" s="5"/>
    </row>
    <row r="12" customFormat="false" ht="15" hidden="false" customHeight="true" outlineLevel="0" collapsed="false">
      <c r="A12" s="5" t="s">
        <v>398</v>
      </c>
      <c r="B12" s="21" t="n">
        <v>200</v>
      </c>
      <c r="C12" s="5" t="s">
        <v>399</v>
      </c>
      <c r="D12" s="5"/>
      <c r="E12" s="5"/>
      <c r="F12" s="5"/>
      <c r="G12" s="5"/>
      <c r="H12" s="5"/>
      <c r="I12" s="5"/>
      <c r="J12" s="5"/>
      <c r="K12" s="5"/>
      <c r="L12" s="5"/>
    </row>
    <row r="14" customFormat="false" ht="15" hidden="false" customHeight="false" outlineLevel="0" collapsed="false">
      <c r="A14" s="1" t="s">
        <v>400</v>
      </c>
    </row>
    <row r="15" customFormat="false" ht="15" hidden="false" customHeight="false" outlineLevel="0" collapsed="false">
      <c r="A15" s="2" t="s">
        <v>401</v>
      </c>
    </row>
    <row r="16" customFormat="false" ht="23.85" hidden="false" customHeight="false" outlineLevel="0" collapsed="false">
      <c r="A16" s="6" t="s">
        <v>63</v>
      </c>
      <c r="B16" s="6" t="s">
        <v>78</v>
      </c>
      <c r="C16" s="6" t="s">
        <v>79</v>
      </c>
      <c r="D16" s="6" t="s">
        <v>80</v>
      </c>
      <c r="E16" s="6" t="s">
        <v>81</v>
      </c>
      <c r="F16" s="6" t="s">
        <v>82</v>
      </c>
      <c r="G16" s="6" t="s">
        <v>83</v>
      </c>
      <c r="H16" s="6" t="s">
        <v>84</v>
      </c>
    </row>
    <row r="17" customFormat="false" ht="15" hidden="false" customHeight="false" outlineLevel="0" collapsed="false">
      <c r="A17" s="5" t="s">
        <v>402</v>
      </c>
      <c r="B17" s="9" t="n">
        <f aca="false">SUM(PROY_Indexado!B$57:B$73)/SUM(PROY_Indexado!$B$57:$H$73)</f>
        <v>0.576496101782894</v>
      </c>
      <c r="C17" s="9" t="n">
        <f aca="false">SUM(PROY_Indexado!C$57:C$73)/SUM(PROY_Indexado!$B$57:$H$73)</f>
        <v>0.29351867253148</v>
      </c>
      <c r="D17" s="9" t="n">
        <f aca="false">SUM(PROY_Indexado!D$57:D$73)/SUM(PROY_Indexado!$B$57:$H$73)</f>
        <v>0.0255135139915311</v>
      </c>
      <c r="E17" s="9" t="n">
        <f aca="false">SUM(PROY_Indexado!E$57:E$73)/SUM(PROY_Indexado!$B$57:$H$73)</f>
        <v>0.0176807128475029</v>
      </c>
      <c r="F17" s="9" t="n">
        <f aca="false">SUM(PROY_Indexado!F$57:F$73)/SUM(PROY_Indexado!$B$57:$H$73)</f>
        <v>0.0575646049597341</v>
      </c>
      <c r="G17" s="9" t="n">
        <f aca="false">SUM(PROY_Indexado!G$57:G$73)/SUM(PROY_Indexado!$B$57:$H$73)</f>
        <v>0.0254712101086556</v>
      </c>
      <c r="H17" s="9" t="n">
        <f aca="false">SUM(PROY_Indexado!H$57:H$73)/SUM(PROY_Indexado!$B$57:$H$73)</f>
        <v>0.00375518377820226</v>
      </c>
    </row>
    <row r="18" customFormat="false" ht="15" hidden="false" customHeight="false" outlineLevel="0" collapsed="false">
      <c r="A18" s="5" t="s">
        <v>403</v>
      </c>
      <c r="B18" s="12" t="n">
        <v>25</v>
      </c>
      <c r="C18" s="12" t="n">
        <v>14</v>
      </c>
      <c r="D18" s="12" t="n">
        <v>18</v>
      </c>
      <c r="E18" s="12" t="n">
        <v>20</v>
      </c>
      <c r="F18" s="12" t="n">
        <v>45</v>
      </c>
      <c r="G18" s="12" t="n">
        <v>35</v>
      </c>
      <c r="H18" s="12" t="n">
        <v>16</v>
      </c>
    </row>
    <row r="19" customFormat="false" ht="15" hidden="false" customHeight="false" outlineLevel="0" collapsed="false">
      <c r="A19" s="5" t="s">
        <v>404</v>
      </c>
      <c r="B19" s="7" t="n">
        <f aca="false">B18*$B$12</f>
        <v>5000</v>
      </c>
      <c r="C19" s="7" t="n">
        <f aca="false">C18*$B$12</f>
        <v>2800</v>
      </c>
      <c r="D19" s="7" t="n">
        <f aca="false">D18*$B$12</f>
        <v>3600</v>
      </c>
      <c r="E19" s="7" t="n">
        <f aca="false">E18*$B$12</f>
        <v>4000</v>
      </c>
      <c r="F19" s="7" t="n">
        <f aca="false">F18*$B$12</f>
        <v>9000</v>
      </c>
      <c r="G19" s="7" t="n">
        <f aca="false">G18*$B$12</f>
        <v>7000</v>
      </c>
      <c r="H19" s="7" t="n">
        <f aca="false">H18*$B$12</f>
        <v>3200</v>
      </c>
    </row>
    <row r="20" customFormat="false" ht="15" hidden="false" customHeight="false" outlineLevel="0" collapsed="false">
      <c r="A20" s="5" t="s">
        <v>405</v>
      </c>
      <c r="B20" s="25" t="n">
        <f aca="false">IF(SUM(PROY_Indexado!B$57:B$73)=0,0,SUMPRODUCT(PROY_Indexado!B$57:B$73,$C$30:$C$46)/SUM(PROY_Indexado!B$57:B$73))</f>
        <v>18.4682653963136</v>
      </c>
      <c r="C20" s="25" t="n">
        <f aca="false">IF(SUM(PROY_Indexado!C$57:C$73)=0,0,SUMPRODUCT(PROY_Indexado!C$57:C$73,$C$30:$C$46)/SUM(PROY_Indexado!C$57:C$73))</f>
        <v>19.561765047006</v>
      </c>
      <c r="D20" s="25" t="n">
        <f aca="false">IF(SUM(PROY_Indexado!D$57:D$73)=0,0,SUMPRODUCT(PROY_Indexado!D$57:D$73,$C$30:$C$46)/SUM(PROY_Indexado!D$57:D$73))</f>
        <v>18.709332780099</v>
      </c>
      <c r="E20" s="25" t="n">
        <f aca="false">IF(SUM(PROY_Indexado!E$57:E$73)=0,0,SUMPRODUCT(PROY_Indexado!E$57:E$73,$C$30:$C$46)/SUM(PROY_Indexado!E$57:E$73))</f>
        <v>19.436209326753</v>
      </c>
      <c r="F20" s="25" t="n">
        <f aca="false">IF(SUM(PROY_Indexado!F$57:F$73)=0,0,SUMPRODUCT(PROY_Indexado!F$57:F$73,$C$30:$C$46)/SUM(PROY_Indexado!F$57:F$73))</f>
        <v>30.5079720014986</v>
      </c>
      <c r="G20" s="25" t="n">
        <f aca="false">IF(SUM(PROY_Indexado!G$57:G$73)=0,0,SUMPRODUCT(PROY_Indexado!G$57:G$73,$C$30:$C$46)/SUM(PROY_Indexado!G$57:G$73))</f>
        <v>23.9038460874646</v>
      </c>
      <c r="H20" s="25" t="n">
        <f aca="false">IF(SUM(PROY_Indexado!H$57:H$73)=0,0,SUMPRODUCT(PROY_Indexado!H$57:H$73,$C$30:$C$46)/SUM(PROY_Indexado!H$57:H$73))</f>
        <v>18.7345671357195</v>
      </c>
    </row>
    <row r="21" customFormat="false" ht="15" hidden="false" customHeight="false" outlineLevel="0" collapsed="false">
      <c r="A21" s="5" t="s">
        <v>406</v>
      </c>
      <c r="B21" s="7" t="n">
        <f aca="false">B18*B20</f>
        <v>461.70663490784</v>
      </c>
      <c r="C21" s="7" t="n">
        <f aca="false">C18*C20</f>
        <v>273.864710658085</v>
      </c>
      <c r="D21" s="7" t="n">
        <f aca="false">D18*D20</f>
        <v>336.767990041782</v>
      </c>
      <c r="E21" s="7" t="n">
        <f aca="false">E18*E20</f>
        <v>388.724186535061</v>
      </c>
      <c r="F21" s="7" t="n">
        <f aca="false">F18*F20</f>
        <v>1372.85874006744</v>
      </c>
      <c r="G21" s="7" t="n">
        <f aca="false">G18*G20</f>
        <v>836.634613061261</v>
      </c>
      <c r="H21" s="7" t="n">
        <f aca="false">H18*H20</f>
        <v>299.753074171511</v>
      </c>
    </row>
    <row r="22" customFormat="false" ht="15" hidden="false" customHeight="false" outlineLevel="0" collapsed="false">
      <c r="A22" s="5" t="s">
        <v>407</v>
      </c>
      <c r="B22" s="12" t="n">
        <f aca="false">MAX(1,ROUNDUP(B21/$B$8,0))</f>
        <v>2</v>
      </c>
      <c r="C22" s="12" t="n">
        <f aca="false">MAX(1,ROUNDUP(C21/$B$8,0))</f>
        <v>1</v>
      </c>
      <c r="D22" s="12" t="n">
        <f aca="false">MAX(1,ROUNDUP(D21/$B$8,0))</f>
        <v>1</v>
      </c>
      <c r="E22" s="12" t="n">
        <f aca="false">MAX(1,ROUNDUP(E21/$B$8,0))</f>
        <v>1</v>
      </c>
      <c r="F22" s="12" t="n">
        <f aca="false">MAX(1,ROUNDUP(F21/$B$8,0))</f>
        <v>4</v>
      </c>
      <c r="G22" s="12" t="n">
        <f aca="false">MAX(1,ROUNDUP(G21/$B$8,0))</f>
        <v>2</v>
      </c>
      <c r="H22" s="12" t="n">
        <f aca="false">MAX(1,ROUNDUP(H21/$B$8,0))</f>
        <v>1</v>
      </c>
    </row>
    <row r="23" customFormat="false" ht="15" hidden="false" customHeight="false" outlineLevel="0" collapsed="false">
      <c r="A23" s="5" t="s">
        <v>408</v>
      </c>
      <c r="B23" s="12" t="n">
        <f aca="false">MAX(1,ROUNDUP(B21/($B$8*$B$10),0))</f>
        <v>1</v>
      </c>
      <c r="C23" s="12" t="n">
        <f aca="false">MAX(1,ROUNDUP(C21/($B$8*$B$10),0))</f>
        <v>1</v>
      </c>
      <c r="D23" s="12" t="n">
        <f aca="false">MAX(1,ROUNDUP(D21/($B$8*$B$10),0))</f>
        <v>1</v>
      </c>
      <c r="E23" s="12" t="n">
        <f aca="false">MAX(1,ROUNDUP(E21/($B$8*$B$10),0))</f>
        <v>1</v>
      </c>
      <c r="F23" s="12" t="n">
        <f aca="false">MAX(1,ROUNDUP(F21/($B$8*$B$10),0))</f>
        <v>2</v>
      </c>
      <c r="G23" s="12" t="n">
        <f aca="false">MAX(1,ROUNDUP(G21/($B$8*$B$10),0))</f>
        <v>1</v>
      </c>
      <c r="H23" s="12" t="n">
        <f aca="false">MAX(1,ROUNDUP(H21/($B$8*$B$10),0))</f>
        <v>1</v>
      </c>
    </row>
    <row r="24" customFormat="false" ht="15" hidden="false" customHeight="false" outlineLevel="0" collapsed="false">
      <c r="A24" s="4" t="s">
        <v>409</v>
      </c>
      <c r="B24" s="14" t="n">
        <f aca="false">$B$6+B22+$B$7</f>
        <v>4</v>
      </c>
      <c r="C24" s="14" t="n">
        <f aca="false">$B$6+C22+$B$7</f>
        <v>3</v>
      </c>
      <c r="D24" s="14" t="n">
        <f aca="false">$B$6+D22+$B$7</f>
        <v>3</v>
      </c>
      <c r="E24" s="14" t="n">
        <f aca="false">$B$6+E22+$B$7</f>
        <v>3</v>
      </c>
      <c r="F24" s="14" t="n">
        <f aca="false">$B$6+F22+$B$7</f>
        <v>6</v>
      </c>
      <c r="G24" s="14" t="n">
        <f aca="false">$B$6+G22+$B$7</f>
        <v>4</v>
      </c>
      <c r="H24" s="14" t="n">
        <f aca="false">$B$6+H22+$B$7</f>
        <v>3</v>
      </c>
    </row>
    <row r="25" customFormat="false" ht="15" hidden="false" customHeight="false" outlineLevel="0" collapsed="false">
      <c r="A25" s="4" t="s">
        <v>410</v>
      </c>
      <c r="B25" s="14" t="n">
        <f aca="false">$B$6+B23+$B$7</f>
        <v>3</v>
      </c>
      <c r="C25" s="14" t="n">
        <f aca="false">$B$6+C23+$B$7</f>
        <v>3</v>
      </c>
      <c r="D25" s="14" t="n">
        <f aca="false">$B$6+D23+$B$7</f>
        <v>3</v>
      </c>
      <c r="E25" s="14" t="n">
        <f aca="false">$B$6+E23+$B$7</f>
        <v>3</v>
      </c>
      <c r="F25" s="14" t="n">
        <f aca="false">$B$6+F23+$B$7</f>
        <v>4</v>
      </c>
      <c r="G25" s="14" t="n">
        <f aca="false">$B$6+G23+$B$7</f>
        <v>3</v>
      </c>
      <c r="H25" s="14" t="n">
        <f aca="false">$B$6+H23+$B$7</f>
        <v>3</v>
      </c>
    </row>
    <row r="26" customFormat="false" ht="15" hidden="false" customHeight="false" outlineLevel="0" collapsed="false">
      <c r="A26" s="2" t="s">
        <v>411</v>
      </c>
    </row>
    <row r="28" customFormat="false" ht="15" hidden="false" customHeight="false" outlineLevel="0" collapsed="false">
      <c r="A28" s="1" t="s">
        <v>412</v>
      </c>
    </row>
    <row r="29" customFormat="false" ht="35.05" hidden="false" customHeight="true" outlineLevel="0" collapsed="false">
      <c r="A29" s="6" t="s">
        <v>77</v>
      </c>
      <c r="B29" s="6" t="s">
        <v>413</v>
      </c>
      <c r="C29" s="6" t="s">
        <v>414</v>
      </c>
      <c r="D29" s="6" t="s">
        <v>415</v>
      </c>
      <c r="E29" s="6" t="s">
        <v>416</v>
      </c>
      <c r="F29" s="6" t="s">
        <v>417</v>
      </c>
      <c r="G29" s="6" t="s">
        <v>231</v>
      </c>
      <c r="H29" s="6"/>
      <c r="I29" s="6"/>
      <c r="J29" s="6"/>
      <c r="K29" s="6"/>
      <c r="L29" s="6"/>
    </row>
    <row r="30" customFormat="false" ht="23.85" hidden="false" customHeight="true" outlineLevel="0" collapsed="false">
      <c r="A30" s="10" t="str">
        <f aca="false">datos_base!A2</f>
        <v>ABC 1 kg</v>
      </c>
      <c r="B30" s="12" t="n">
        <v>0</v>
      </c>
      <c r="C30" s="25" t="n">
        <f aca="false" t="array" ref="C30:C30">(SUMPRODUCT(INDEX(parametros_recargas!$E$76:$L$103,0,MATCH(parametros_recargas!$B$55,parametros_recargas!$E$75:$L$75,0)),parametros_recargas!$N$76:$N$103)*parametros_recargas!$C$55+parametros_recargas!$D$55*parametros_recargas!$N$104)/60</f>
        <v>18.4682653963136</v>
      </c>
      <c r="D30" s="16" t="n">
        <f aca="false">IF(SUM(PROY_Indexado!$B$57:$H$57)=0,$B$6+1+$B$7,SUMPRODUCT(PROY_Indexado!$B$57:$H$57,$B$24:$H$24)/SUM(PROY_Indexado!$B$57:$H$57))</f>
        <v>3.99817824549766</v>
      </c>
      <c r="E30" s="16" t="n">
        <f aca="false">IF(SUM(PROY_Indexado!$B$57:$H$57)=0,$B$6+1+$B$7,SUMPRODUCT(PROY_Indexado!$B$57:$H$57,$B$25:$H$25)/SUM(PROY_Indexado!$B$57:$H$57))</f>
        <v>3</v>
      </c>
      <c r="F30" s="10" t="str">
        <f aca="false">IF(LEFT(A30,3)="ABC",IF($B$9="Comercial","Fábrica: cilindro vacío","Fábrica: terminado"),"Compra")</f>
        <v>Fábrica: cilindro vacío</v>
      </c>
      <c r="G30" s="5" t="s">
        <v>418</v>
      </c>
      <c r="H30" s="5"/>
      <c r="I30" s="5"/>
      <c r="J30" s="5"/>
      <c r="K30" s="5"/>
      <c r="L30" s="5"/>
    </row>
    <row r="31" customFormat="false" ht="23.85" hidden="false" customHeight="false" outlineLevel="0" collapsed="false">
      <c r="A31" s="10" t="str">
        <f aca="false">datos_base!A3</f>
        <v>ABC 2,5 kg</v>
      </c>
      <c r="B31" s="12" t="n">
        <v>1</v>
      </c>
      <c r="C31" s="25" t="n">
        <f aca="false" t="array" ref="C31:C31">(SUMPRODUCT(INDEX(parametros_recargas!$E$76:$L$103,0,MATCH(parametros_recargas!$B$56,parametros_recargas!$E$75:$L$75,0)),parametros_recargas!$N$76:$N$103)*parametros_recargas!$C$56+parametros_recargas!$D$56*parametros_recargas!$N$104)/60</f>
        <v>18.4682653963136</v>
      </c>
      <c r="D31" s="16" t="n">
        <f aca="false">IF(SUM(PROY_Indexado!$B$58:$H$58)=0,$B$6+1+$B$7,SUMPRODUCT(PROY_Indexado!$B$58:$H$58,$B$24:$H$24)/SUM(PROY_Indexado!$B$58:$H$58))</f>
        <v>3.04222562037171</v>
      </c>
      <c r="E31" s="16" t="n">
        <f aca="false">IF(SUM(PROY_Indexado!$B$58:$H$58)=0,$B$6+1+$B$7,SUMPRODUCT(PROY_Indexado!$B$58:$H$58,$B$25:$H$25)/SUM(PROY_Indexado!$B$58:$H$58))</f>
        <v>3</v>
      </c>
      <c r="F31" s="10" t="str">
        <f aca="false">IF(LEFT(A31,3)="ABC",IF($B$9="Comercial","Fábrica: cilindro vacío","Fábrica: terminado"),"Compra")</f>
        <v>Fábrica: cilindro vacío</v>
      </c>
      <c r="G31" s="5"/>
      <c r="H31" s="5"/>
      <c r="I31" s="5"/>
      <c r="J31" s="5"/>
      <c r="K31" s="5"/>
      <c r="L31" s="5"/>
    </row>
    <row r="32" customFormat="false" ht="23.85" hidden="false" customHeight="false" outlineLevel="0" collapsed="false">
      <c r="A32" s="10" t="str">
        <f aca="false">datos_base!A4</f>
        <v>ABC 5 kg</v>
      </c>
      <c r="B32" s="12" t="n">
        <v>1</v>
      </c>
      <c r="C32" s="25" t="n">
        <f aca="false" t="array" ref="C32:C32">(SUMPRODUCT(INDEX(parametros_recargas!$E$76:$L$103,0,MATCH(parametros_recargas!$B$57,parametros_recargas!$E$75:$L$75,0)),parametros_recargas!$N$76:$N$103)*parametros_recargas!$C$57+parametros_recargas!$D$57*parametros_recargas!$N$104)/60</f>
        <v>18.4682653963136</v>
      </c>
      <c r="D32" s="16" t="n">
        <f aca="false">IF(SUM(PROY_Indexado!$B$59:$H$59)=0,$B$6+1+$B$7,SUMPRODUCT(PROY_Indexado!$B$59:$H$59,$B$24:$H$24)/SUM(PROY_Indexado!$B$59:$H$59))</f>
        <v>3.44372313462222</v>
      </c>
      <c r="E32" s="16" t="n">
        <f aca="false">IF(SUM(PROY_Indexado!$B$59:$H$59)=0,$B$6+1+$B$7,SUMPRODUCT(PROY_Indexado!$B$59:$H$59,$B$25:$H$25)/SUM(PROY_Indexado!$B$59:$H$59))</f>
        <v>3.11017798971454</v>
      </c>
      <c r="F32" s="10" t="str">
        <f aca="false">IF(LEFT(A32,3)="ABC",IF($B$9="Comercial","Fábrica: cilindro vacío","Fábrica: terminado"),"Compra")</f>
        <v>Fábrica: cilindro vacío</v>
      </c>
      <c r="G32" s="5"/>
      <c r="H32" s="5"/>
      <c r="I32" s="5"/>
      <c r="J32" s="5"/>
      <c r="K32" s="5"/>
      <c r="L32" s="5"/>
    </row>
    <row r="33" customFormat="false" ht="23.85" hidden="false" customHeight="false" outlineLevel="0" collapsed="false">
      <c r="A33" s="10" t="str">
        <f aca="false">datos_base!A5</f>
        <v>ABC 10 kg</v>
      </c>
      <c r="B33" s="12" t="n">
        <v>1</v>
      </c>
      <c r="C33" s="25" t="n">
        <f aca="false" t="array" ref="C33:C33">(SUMPRODUCT(INDEX(parametros_recargas!$E$76:$L$103,0,MATCH(parametros_recargas!$B$58,parametros_recargas!$E$75:$L$75,0)),parametros_recargas!$N$76:$N$103)*parametros_recargas!$C$58+parametros_recargas!$D$58*parametros_recargas!$N$104)/60</f>
        <v>18.4682653963136</v>
      </c>
      <c r="D33" s="16" t="n">
        <f aca="false">IF(SUM(PROY_Indexado!$B$60:$H$60)=0,$B$6+1+$B$7,SUMPRODUCT(PROY_Indexado!$B$60:$H$60,$B$24:$H$24)/SUM(PROY_Indexado!$B$60:$H$60))</f>
        <v>3.10633715517373</v>
      </c>
      <c r="E33" s="16" t="n">
        <f aca="false">IF(SUM(PROY_Indexado!$B$60:$H$60)=0,$B$6+1+$B$7,SUMPRODUCT(PROY_Indexado!$B$60:$H$60,$B$25:$H$25)/SUM(PROY_Indexado!$B$60:$H$60))</f>
        <v>3</v>
      </c>
      <c r="F33" s="10" t="str">
        <f aca="false">IF(LEFT(A33,3)="ABC",IF($B$9="Comercial","Fábrica: cilindro vacío","Fábrica: terminado"),"Compra")</f>
        <v>Fábrica: cilindro vacío</v>
      </c>
      <c r="G33" s="5"/>
      <c r="H33" s="5"/>
      <c r="I33" s="5"/>
      <c r="J33" s="5"/>
      <c r="K33" s="5"/>
      <c r="L33" s="5"/>
    </row>
    <row r="34" customFormat="false" ht="15" hidden="false" customHeight="false" outlineLevel="0" collapsed="false">
      <c r="A34" s="10" t="str">
        <f aca="false">datos_base!A6</f>
        <v>Agua 10 l</v>
      </c>
      <c r="B34" s="12" t="n">
        <v>1</v>
      </c>
      <c r="C34" s="25" t="n">
        <f aca="false" t="array" ref="C34:C34">(SUMPRODUCT(INDEX(parametros_recargas!$E$76:$L$103,0,MATCH(parametros_recargas!$B$59,parametros_recargas!$E$75:$L$75,0)),parametros_recargas!$N$76:$N$103)*parametros_recargas!$C$59+parametros_recargas!$D$59*parametros_recargas!$N$104)/60</f>
        <v>19.6925</v>
      </c>
      <c r="D34" s="16" t="n">
        <f aca="false">IF(SUM(PROY_Indexado!$B$61:$H$61)=0,$B$6+1+$B$7,SUMPRODUCT(PROY_Indexado!$B$61:$H$61,$B$24:$H$24)/SUM(PROY_Indexado!$B$61:$H$61))</f>
        <v>3.54835889402936</v>
      </c>
      <c r="E34" s="16" t="n">
        <f aca="false">IF(SUM(PROY_Indexado!$B$61:$H$61)=0,$B$6+1+$B$7,SUMPRODUCT(PROY_Indexado!$B$61:$H$61,$B$25:$H$25)/SUM(PROY_Indexado!$B$61:$H$61))</f>
        <v>3.14769424934282</v>
      </c>
      <c r="F34" s="10" t="str">
        <f aca="false">IF(LEFT(A34,3)="ABC",IF($B$9="Comercial","Fábrica: cilindro vacío","Fábrica: terminado"),"Compra")</f>
        <v>Compra</v>
      </c>
      <c r="G34" s="5"/>
      <c r="H34" s="5"/>
      <c r="I34" s="5"/>
      <c r="J34" s="5"/>
      <c r="K34" s="5"/>
      <c r="L34" s="5"/>
    </row>
    <row r="35" customFormat="false" ht="15" hidden="false" customHeight="false" outlineLevel="0" collapsed="false">
      <c r="A35" s="10" t="str">
        <f aca="false">datos_base!A7</f>
        <v>AFFF 10 l</v>
      </c>
      <c r="B35" s="12" t="n">
        <v>1</v>
      </c>
      <c r="C35" s="25" t="n">
        <f aca="false" t="array" ref="C35:C35">(SUMPRODUCT(INDEX(parametros_recargas!$E$76:$L$103,0,MATCH(parametros_recargas!$B$60,parametros_recargas!$E$75:$L$75,0)),parametros_recargas!$N$76:$N$103)*parametros_recargas!$C$60+parametros_recargas!$D$60*parametros_recargas!$N$104)/60</f>
        <v>19.6925</v>
      </c>
      <c r="D35" s="16" t="n">
        <f aca="false">IF(SUM(PROY_Indexado!$B$62:$H$62)=0,$B$6+1+$B$7,SUMPRODUCT(PROY_Indexado!$B$62:$H$62,$B$24:$H$24)/SUM(PROY_Indexado!$B$62:$H$62))</f>
        <v>6</v>
      </c>
      <c r="E35" s="16" t="n">
        <f aca="false">IF(SUM(PROY_Indexado!$B$62:$H$62)=0,$B$6+1+$B$7,SUMPRODUCT(PROY_Indexado!$B$62:$H$62,$B$25:$H$25)/SUM(PROY_Indexado!$B$62:$H$62))</f>
        <v>4</v>
      </c>
      <c r="F35" s="10" t="str">
        <f aca="false">IF(LEFT(A35,3)="ABC",IF($B$9="Comercial","Fábrica: cilindro vacío","Fábrica: terminado"),"Compra")</f>
        <v>Compra</v>
      </c>
      <c r="G35" s="5"/>
      <c r="H35" s="5"/>
      <c r="I35" s="5"/>
      <c r="J35" s="5"/>
      <c r="K35" s="5"/>
      <c r="L35" s="5"/>
    </row>
    <row r="36" customFormat="false" ht="15" hidden="false" customHeight="false" outlineLevel="0" collapsed="false">
      <c r="A36" s="10" t="str">
        <f aca="false">datos_base!A8</f>
        <v>AFFF 50 l s/ruedas</v>
      </c>
      <c r="B36" s="12" t="n">
        <v>1</v>
      </c>
      <c r="C36" s="25" t="n">
        <f aca="false" t="array" ref="C36:C36">(SUMPRODUCT(INDEX(parametros_recargas!$E$76:$L$103,0,MATCH(parametros_recargas!$B$61,parametros_recargas!$E$75:$L$75,0)),parametros_recargas!$N$76:$N$103)*parametros_recargas!$C$61+parametros_recargas!$D$61*parametros_recargas!$N$104)/60</f>
        <v>130.294448266771</v>
      </c>
      <c r="D36" s="16" t="n">
        <f aca="false">IF(SUM(PROY_Indexado!$B$63:$H$63)=0,$B$6+1+$B$7,SUMPRODUCT(PROY_Indexado!$B$63:$H$63,$B$24:$H$24)/SUM(PROY_Indexado!$B$63:$H$63))</f>
        <v>6</v>
      </c>
      <c r="E36" s="16" t="n">
        <f aca="false">IF(SUM(PROY_Indexado!$B$63:$H$63)=0,$B$6+1+$B$7,SUMPRODUCT(PROY_Indexado!$B$63:$H$63,$B$25:$H$25)/SUM(PROY_Indexado!$B$63:$H$63))</f>
        <v>4</v>
      </c>
      <c r="F36" s="10" t="str">
        <f aca="false">IF(LEFT(A36,3)="ABC",IF($B$9="Comercial","Fábrica: cilindro vacío","Fábrica: terminado"),"Compra")</f>
        <v>Compra</v>
      </c>
      <c r="G36" s="5"/>
      <c r="H36" s="5"/>
      <c r="I36" s="5"/>
      <c r="J36" s="5"/>
      <c r="K36" s="5"/>
      <c r="L36" s="5"/>
    </row>
    <row r="37" customFormat="false" ht="15" hidden="false" customHeight="false" outlineLevel="0" collapsed="false">
      <c r="A37" s="10" t="str">
        <f aca="false">datos_base!A9</f>
        <v>BC 5 kg</v>
      </c>
      <c r="B37" s="12" t="n">
        <v>1</v>
      </c>
      <c r="C37" s="25" t="n">
        <f aca="false" t="array" ref="C37:C37">(SUMPRODUCT(INDEX(parametros_recargas!$E$76:$L$103,0,MATCH(parametros_recargas!$B$62,parametros_recargas!$E$75:$L$75,0)),parametros_recargas!$N$76:$N$103)*parametros_recargas!$C$62+parametros_recargas!$D$62*parametros_recargas!$N$104)/60</f>
        <v>18.9641666666667</v>
      </c>
      <c r="D37" s="16" t="n">
        <f aca="false">IF(SUM(PROY_Indexado!$B$64:$H$64)=0,$B$6+1+$B$7,SUMPRODUCT(PROY_Indexado!$B$64:$H$64,$B$24:$H$24)/SUM(PROY_Indexado!$B$64:$H$64))</f>
        <v>6</v>
      </c>
      <c r="E37" s="16" t="n">
        <f aca="false">IF(SUM(PROY_Indexado!$B$64:$H$64)=0,$B$6+1+$B$7,SUMPRODUCT(PROY_Indexado!$B$64:$H$64,$B$25:$H$25)/SUM(PROY_Indexado!$B$64:$H$64))</f>
        <v>4</v>
      </c>
      <c r="F37" s="10" t="str">
        <f aca="false">IF(LEFT(A37,3)="ABC",IF($B$9="Comercial","Fábrica: cilindro vacío","Fábrica: terminado"),"Compra")</f>
        <v>Compra</v>
      </c>
      <c r="G37" s="5"/>
      <c r="H37" s="5"/>
      <c r="I37" s="5"/>
      <c r="J37" s="5"/>
      <c r="K37" s="5"/>
      <c r="L37" s="5"/>
    </row>
    <row r="38" customFormat="false" ht="15" hidden="false" customHeight="false" outlineLevel="0" collapsed="false">
      <c r="A38" s="10" t="str">
        <f aca="false">datos_base!A10</f>
        <v>Sales K 6 l</v>
      </c>
      <c r="B38" s="12" t="n">
        <v>1</v>
      </c>
      <c r="C38" s="25" t="n">
        <f aca="false" t="array" ref="C38:C38">(SUMPRODUCT(INDEX(parametros_recargas!$E$76:$L$103,0,MATCH(parametros_recargas!$B$63,parametros_recargas!$E$75:$L$75,0)),parametros_recargas!$N$76:$N$103)*parametros_recargas!$C$63+parametros_recargas!$D$63*parametros_recargas!$N$104)/60</f>
        <v>19.6925</v>
      </c>
      <c r="D38" s="16" t="n">
        <f aca="false">IF(SUM(PROY_Indexado!$B$65:$H$65)=0,$B$6+1+$B$7,SUMPRODUCT(PROY_Indexado!$B$65:$H$65,$B$24:$H$24)/SUM(PROY_Indexado!$B$65:$H$65))</f>
        <v>3.6992810949477</v>
      </c>
      <c r="E38" s="16" t="n">
        <f aca="false">IF(SUM(PROY_Indexado!$B$65:$H$65)=0,$B$6+1+$B$7,SUMPRODUCT(PROY_Indexado!$B$65:$H$65,$B$25:$H$25)/SUM(PROY_Indexado!$B$65:$H$65))</f>
        <v>3.20916091901053</v>
      </c>
      <c r="F38" s="10" t="str">
        <f aca="false">IF(LEFT(A38,3)="ABC",IF($B$9="Comercial","Fábrica: cilindro vacío","Fábrica: terminado"),"Compra")</f>
        <v>Compra</v>
      </c>
      <c r="G38" s="5"/>
      <c r="H38" s="5"/>
      <c r="I38" s="5"/>
      <c r="J38" s="5"/>
      <c r="K38" s="5"/>
      <c r="L38" s="5"/>
    </row>
    <row r="39" customFormat="false" ht="15" hidden="false" customHeight="false" outlineLevel="0" collapsed="false">
      <c r="A39" s="10" t="str">
        <f aca="false">datos_base!A11</f>
        <v>CO₂ 2 kg</v>
      </c>
      <c r="B39" s="12" t="n">
        <v>1</v>
      </c>
      <c r="C39" s="25" t="n">
        <f aca="false" t="array" ref="C39:C39">(SUMPRODUCT(INDEX(parametros_recargas!$E$76:$L$103,0,MATCH(parametros_recargas!$B$64,parametros_recargas!$E$75:$L$75,0)),parametros_recargas!$N$76:$N$103)*parametros_recargas!$C$64+parametros_recargas!$D$64*parametros_recargas!$N$104)/60</f>
        <v>14.7541666666667</v>
      </c>
      <c r="D39" s="16" t="n">
        <f aca="false">IF(SUM(PROY_Indexado!$B$66:$H$66)=0,$B$6+1+$B$7,SUMPRODUCT(PROY_Indexado!$B$66:$H$66,$B$24:$H$24)/SUM(PROY_Indexado!$B$66:$H$66))</f>
        <v>3.13362345367445</v>
      </c>
      <c r="E39" s="16" t="n">
        <f aca="false">IF(SUM(PROY_Indexado!$B$66:$H$66)=0,$B$6+1+$B$7,SUMPRODUCT(PROY_Indexado!$B$66:$H$66,$B$25:$H$25)/SUM(PROY_Indexado!$B$66:$H$66))</f>
        <v>3.02874948583048</v>
      </c>
      <c r="F39" s="10" t="str">
        <f aca="false">IF(LEFT(A39,3)="ABC",IF($B$9="Comercial","Fábrica: cilindro vacío","Fábrica: terminado"),"Compra")</f>
        <v>Compra</v>
      </c>
      <c r="G39" s="5"/>
      <c r="H39" s="5"/>
      <c r="I39" s="5"/>
      <c r="J39" s="5"/>
      <c r="K39" s="5"/>
      <c r="L39" s="5"/>
    </row>
    <row r="40" customFormat="false" ht="15" hidden="false" customHeight="false" outlineLevel="0" collapsed="false">
      <c r="A40" s="10" t="str">
        <f aca="false">datos_base!A12</f>
        <v>CO₂ 5 kg</v>
      </c>
      <c r="B40" s="12" t="n">
        <v>1</v>
      </c>
      <c r="C40" s="25" t="n">
        <f aca="false" t="array" ref="C40:C40">(SUMPRODUCT(INDEX(parametros_recargas!$E$76:$L$103,0,MATCH(parametros_recargas!$B$65,parametros_recargas!$E$75:$L$75,0)),parametros_recargas!$N$76:$N$103)*parametros_recargas!$C$65+parametros_recargas!$D$65*parametros_recargas!$N$104)/60</f>
        <v>19.7875</v>
      </c>
      <c r="D40" s="16" t="n">
        <f aca="false">IF(SUM(PROY_Indexado!$B$67:$H$67)=0,$B$6+1+$B$7,SUMPRODUCT(PROY_Indexado!$B$67:$H$67,$B$24:$H$24)/SUM(PROY_Indexado!$B$67:$H$67))</f>
        <v>4.45142062230748</v>
      </c>
      <c r="E40" s="16" t="n">
        <f aca="false">IF(SUM(PROY_Indexado!$B$67:$H$67)=0,$B$6+1+$B$7,SUMPRODUCT(PROY_Indexado!$B$67:$H$67,$B$25:$H$25)/SUM(PROY_Indexado!$B$67:$H$67))</f>
        <v>3.43171012356052</v>
      </c>
      <c r="F40" s="10" t="str">
        <f aca="false">IF(LEFT(A40,3)="ABC",IF($B$9="Comercial","Fábrica: cilindro vacío","Fábrica: terminado"),"Compra")</f>
        <v>Compra</v>
      </c>
      <c r="G40" s="5"/>
      <c r="H40" s="5"/>
      <c r="I40" s="5"/>
      <c r="J40" s="5"/>
      <c r="K40" s="5"/>
      <c r="L40" s="5"/>
    </row>
    <row r="41" customFormat="false" ht="15" hidden="false" customHeight="false" outlineLevel="0" collapsed="false">
      <c r="A41" s="10" t="str">
        <f aca="false">datos_base!A13</f>
        <v>HCFC/HFC 5 kg</v>
      </c>
      <c r="B41" s="12" t="n">
        <v>1</v>
      </c>
      <c r="C41" s="25" t="n">
        <f aca="false" t="array" ref="C41:C41">(SUMPRODUCT(INDEX(parametros_recargas!$E$76:$L$103,0,MATCH(parametros_recargas!$B$66,parametros_recargas!$E$75:$L$75,0)),parametros_recargas!$N$76:$N$103)*parametros_recargas!$C$66+parametros_recargas!$D$66*parametros_recargas!$N$104)/60</f>
        <v>17.9466666666667</v>
      </c>
      <c r="D41" s="16" t="n">
        <f aca="false">IF(SUM(PROY_Indexado!$B$68:$H$68)=0,$B$6+1+$B$7,SUMPRODUCT(PROY_Indexado!$B$68:$H$68,$B$24:$H$24)/SUM(PROY_Indexado!$B$68:$H$68))</f>
        <v>5.58520380678757</v>
      </c>
      <c r="E41" s="16" t="n">
        <f aca="false">IF(SUM(PROY_Indexado!$B$68:$H$68)=0,$B$6+1+$B$7,SUMPRODUCT(PROY_Indexado!$B$68:$H$68,$B$25:$H$25)/SUM(PROY_Indexado!$B$68:$H$68))</f>
        <v>3.79260190339379</v>
      </c>
      <c r="F41" s="10" t="str">
        <f aca="false">IF(LEFT(A41,3)="ABC",IF($B$9="Comercial","Fábrica: cilindro vacío","Fábrica: terminado"),"Compra")</f>
        <v>Compra</v>
      </c>
      <c r="G41" s="5"/>
      <c r="H41" s="5"/>
      <c r="I41" s="5"/>
      <c r="J41" s="5"/>
      <c r="K41" s="5"/>
      <c r="L41" s="5"/>
    </row>
    <row r="42" customFormat="false" ht="15" hidden="false" customHeight="false" outlineLevel="0" collapsed="false">
      <c r="A42" s="10" t="str">
        <f aca="false">datos_base!A14</f>
        <v>Clase D 9 l</v>
      </c>
      <c r="B42" s="12" t="n">
        <v>1</v>
      </c>
      <c r="C42" s="25" t="n">
        <f aca="false" t="array" ref="C42:C42">(SUMPRODUCT(INDEX(parametros_recargas!$E$76:$L$103,0,MATCH(parametros_recargas!$B$67,parametros_recargas!$E$75:$L$75,0)),parametros_recargas!$N$76:$N$103)*parametros_recargas!$C$67+parametros_recargas!$D$67*parametros_recargas!$N$104)/60</f>
        <v>23.4516666666667</v>
      </c>
      <c r="D42" s="16" t="n">
        <f aca="false">IF(SUM(PROY_Indexado!$B$69:$H$69)=0,$B$6+1+$B$7,SUMPRODUCT(PROY_Indexado!$B$69:$H$69,$B$24:$H$24)/SUM(PROY_Indexado!$B$69:$H$69))</f>
        <v>6</v>
      </c>
      <c r="E42" s="16" t="n">
        <f aca="false">IF(SUM(PROY_Indexado!$B$69:$H$69)=0,$B$6+1+$B$7,SUMPRODUCT(PROY_Indexado!$B$69:$H$69,$B$25:$H$25)/SUM(PROY_Indexado!$B$69:$H$69))</f>
        <v>4</v>
      </c>
      <c r="F42" s="10" t="str">
        <f aca="false">IF(LEFT(A42,3)="ABC",IF($B$9="Comercial","Fábrica: cilindro vacío","Fábrica: terminado"),"Compra")</f>
        <v>Compra</v>
      </c>
      <c r="G42" s="5"/>
      <c r="H42" s="5"/>
      <c r="I42" s="5"/>
      <c r="J42" s="5"/>
      <c r="K42" s="5"/>
      <c r="L42" s="5"/>
    </row>
    <row r="43" customFormat="false" ht="23.85" hidden="false" customHeight="false" outlineLevel="0" collapsed="false">
      <c r="A43" s="10" t="str">
        <f aca="false">datos_base!A15</f>
        <v>ABC 25 kg s/ruedas</v>
      </c>
      <c r="B43" s="12" t="n">
        <v>1</v>
      </c>
      <c r="C43" s="25" t="n">
        <f aca="false" t="array" ref="C43:C43">(SUMPRODUCT(INDEX(parametros_recargas!$E$76:$L$103,0,MATCH(parametros_recargas!$B$68,parametros_recargas!$E$75:$L$75,0)),parametros_recargas!$N$76:$N$103)*parametros_recargas!$C$68+parametros_recargas!$D$68*parametros_recargas!$N$104)/60</f>
        <v>122.507270844003</v>
      </c>
      <c r="D43" s="16" t="n">
        <f aca="false">IF(SUM(PROY_Indexado!$B$70:$H$70)=0,$B$6+1+$B$7,SUMPRODUCT(PROY_Indexado!$B$70:$H$70,$B$24:$H$24)/SUM(PROY_Indexado!$B$70:$H$70))</f>
        <v>4.32301088306329</v>
      </c>
      <c r="E43" s="16" t="n">
        <f aca="false">IF(SUM(PROY_Indexado!$B$70:$H$70)=0,$B$6+1+$B$7,SUMPRODUCT(PROY_Indexado!$B$70:$H$70,$B$25:$H$25)/SUM(PROY_Indexado!$B$70:$H$70))</f>
        <v>3.39653267363522</v>
      </c>
      <c r="F43" s="10" t="str">
        <f aca="false">IF(LEFT(A43,3)="ABC",IF($B$9="Comercial","Fábrica: cilindro vacío","Fábrica: terminado"),"Compra")</f>
        <v>Fábrica: cilindro vacío</v>
      </c>
      <c r="G43" s="5"/>
      <c r="H43" s="5"/>
      <c r="I43" s="5"/>
      <c r="J43" s="5"/>
      <c r="K43" s="5"/>
      <c r="L43" s="5"/>
    </row>
    <row r="44" customFormat="false" ht="23.85" hidden="false" customHeight="false" outlineLevel="0" collapsed="false">
      <c r="A44" s="10" t="str">
        <f aca="false">datos_base!A16</f>
        <v>ABC 50 kg s/ruedas</v>
      </c>
      <c r="B44" s="12" t="n">
        <v>1</v>
      </c>
      <c r="C44" s="25" t="n">
        <f aca="false" t="array" ref="C44:C44">(SUMPRODUCT(INDEX(parametros_recargas!$E$76:$L$103,0,MATCH(parametros_recargas!$B$69,parametros_recargas!$E$75:$L$75,0)),parametros_recargas!$N$76:$N$103)*parametros_recargas!$C$69+parametros_recargas!$D$69*parametros_recargas!$N$104)/60</f>
        <v>122.507270844003</v>
      </c>
      <c r="D44" s="16" t="n">
        <f aca="false">IF(SUM(PROY_Indexado!$B$71:$H$71)=0,$B$6+1+$B$7,SUMPRODUCT(PROY_Indexado!$B$71:$H$71,$B$24:$H$24)/SUM(PROY_Indexado!$B$71:$H$71))</f>
        <v>4.32302481866022</v>
      </c>
      <c r="E44" s="16" t="n">
        <f aca="false">IF(SUM(PROY_Indexado!$B$71:$H$71)=0,$B$6+1+$B$7,SUMPRODUCT(PROY_Indexado!$B$71:$H$71,$B$25:$H$25)/SUM(PROY_Indexado!$B$71:$H$71))</f>
        <v>3.39653854359266</v>
      </c>
      <c r="F44" s="10" t="str">
        <f aca="false">IF(LEFT(A44,3)="ABC",IF($B$9="Comercial","Fábrica: cilindro vacío","Fábrica: terminado"),"Compra")</f>
        <v>Fábrica: cilindro vacío</v>
      </c>
      <c r="G44" s="5"/>
      <c r="H44" s="5"/>
      <c r="I44" s="5"/>
      <c r="J44" s="5"/>
      <c r="K44" s="5"/>
      <c r="L44" s="5"/>
    </row>
    <row r="45" customFormat="false" ht="23.85" hidden="false" customHeight="false" outlineLevel="0" collapsed="false">
      <c r="A45" s="10" t="str">
        <f aca="false">datos_base!A17</f>
        <v>ABC 70 kg s/ruedas</v>
      </c>
      <c r="B45" s="12" t="n">
        <v>1</v>
      </c>
      <c r="C45" s="25" t="n">
        <f aca="false" t="array" ref="C45:C45">(SUMPRODUCT(INDEX(parametros_recargas!$E$76:$L$103,0,MATCH(parametros_recargas!$B$70,parametros_recargas!$E$75:$L$75,0)),parametros_recargas!$N$76:$N$103)*parametros_recargas!$C$70+parametros_recargas!$D$70*parametros_recargas!$N$104)/60</f>
        <v>122.507270844003</v>
      </c>
      <c r="D45" s="16" t="n">
        <f aca="false">IF(SUM(PROY_Indexado!$B$72:$H$72)=0,$B$6+1+$B$7,SUMPRODUCT(PROY_Indexado!$B$72:$H$72,$B$24:$H$24)/SUM(PROY_Indexado!$B$72:$H$72))</f>
        <v>4.3230458962293</v>
      </c>
      <c r="E45" s="16" t="n">
        <f aca="false">IF(SUM(PROY_Indexado!$B$72:$H$72)=0,$B$6+1+$B$7,SUMPRODUCT(PROY_Indexado!$B$72:$H$72,$B$25:$H$25)/SUM(PROY_Indexado!$B$72:$H$72))</f>
        <v>3.39654505082605</v>
      </c>
      <c r="F45" s="10" t="str">
        <f aca="false">IF(LEFT(A45,3)="ABC",IF($B$9="Comercial","Fábrica: cilindro vacío","Fábrica: terminado"),"Compra")</f>
        <v>Fábrica: cilindro vacío</v>
      </c>
      <c r="G45" s="5"/>
      <c r="H45" s="5"/>
      <c r="I45" s="5"/>
      <c r="J45" s="5"/>
      <c r="K45" s="5"/>
      <c r="L45" s="5"/>
    </row>
    <row r="46" customFormat="false" ht="23.85" hidden="false" customHeight="false" outlineLevel="0" collapsed="false">
      <c r="A46" s="10" t="str">
        <f aca="false">datos_base!A18</f>
        <v>ABC 100 kg s/ruedas</v>
      </c>
      <c r="B46" s="12" t="n">
        <v>1</v>
      </c>
      <c r="C46" s="25" t="n">
        <f aca="false" t="array" ref="C46:C46">(SUMPRODUCT(INDEX(parametros_recargas!$E$76:$L$103,0,MATCH(parametros_recargas!$B$71,parametros_recargas!$E$75:$L$75,0)),parametros_recargas!$N$76:$N$103)*parametros_recargas!$C$71+parametros_recargas!$D$71*parametros_recargas!$N$104)/60</f>
        <v>122.507270844003</v>
      </c>
      <c r="D46" s="16" t="n">
        <f aca="false">IF(SUM(PROY_Indexado!$B$73:$H$73)=0,$B$6+1+$B$7,SUMPRODUCT(PROY_Indexado!$B$73:$H$73,$B$24:$H$24)/SUM(PROY_Indexado!$B$73:$H$73))</f>
        <v>4.32301533948543</v>
      </c>
      <c r="E46" s="16" t="n">
        <f aca="false">IF(SUM(PROY_Indexado!$B$73:$H$73)=0,$B$6+1+$B$7,SUMPRODUCT(PROY_Indexado!$B$73:$H$73,$B$25:$H$25)/SUM(PROY_Indexado!$B$73:$H$73))</f>
        <v>3.39653486524476</v>
      </c>
      <c r="F46" s="10" t="str">
        <f aca="false">IF(LEFT(A46,3)="ABC",IF($B$9="Comercial","Fábrica: cilindro vacío","Fábrica: terminado"),"Compra")</f>
        <v>Fábrica: cilindro vacío</v>
      </c>
      <c r="G46" s="5"/>
      <c r="H46" s="5"/>
      <c r="I46" s="5"/>
      <c r="J46" s="5"/>
      <c r="K46" s="5"/>
      <c r="L46" s="5"/>
    </row>
    <row r="48" customFormat="false" ht="15" hidden="false" customHeight="false" outlineLevel="0" collapsed="false">
      <c r="A48" s="1" t="s">
        <v>419</v>
      </c>
    </row>
    <row r="49" customFormat="false" ht="15" hidden="false" customHeight="false" outlineLevel="0" collapsed="false">
      <c r="A49" s="2" t="s">
        <v>420</v>
      </c>
    </row>
    <row r="50" customFormat="false" ht="15" hidden="false" customHeight="false" outlineLevel="0" collapsed="false">
      <c r="A50" s="6" t="s">
        <v>77</v>
      </c>
      <c r="B50" s="6" t="n">
        <v>2026</v>
      </c>
      <c r="C50" s="6" t="n">
        <v>2027</v>
      </c>
      <c r="D50" s="6" t="n">
        <v>2028</v>
      </c>
      <c r="E50" s="6" t="n">
        <v>2029</v>
      </c>
      <c r="F50" s="6" t="n">
        <v>2030</v>
      </c>
      <c r="G50" s="6" t="n">
        <v>2031</v>
      </c>
      <c r="H50" s="6" t="n">
        <v>2032</v>
      </c>
      <c r="I50" s="6" t="n">
        <v>2033</v>
      </c>
      <c r="J50" s="6" t="n">
        <v>2034</v>
      </c>
      <c r="K50" s="6" t="n">
        <v>2035</v>
      </c>
    </row>
    <row r="51" customFormat="false" ht="15" hidden="false" customHeight="false" outlineLevel="0" collapsed="false">
      <c r="A51" s="10" t="str">
        <f aca="false">datos_base!A2</f>
        <v>ABC 1 kg</v>
      </c>
      <c r="B51" s="7" t="n">
        <f aca="false">ROUNDUP(datos_base!B2*$B$30*IF(B$50&gt;=$B$11,$E$30,$D$30)*parametros_recargas!$Q$55/$B$5,0)</f>
        <v>0</v>
      </c>
      <c r="C51" s="7" t="n">
        <f aca="false">ROUNDUP(datos_base!C2*$B$30*IF(C$50&gt;=$B$11,$E$30,$D$30)*parametros_recargas!$Q$55/$B$5,0)</f>
        <v>0</v>
      </c>
      <c r="D51" s="7" t="n">
        <f aca="false">ROUNDUP(datos_base!D2*$B$30*IF(D$50&gt;=$B$11,$E$30,$D$30)*parametros_recargas!$Q$55/$B$5,0)</f>
        <v>0</v>
      </c>
      <c r="E51" s="7" t="n">
        <f aca="false">ROUNDUP(datos_base!E2*$B$30*IF(E$50&gt;=$B$11,$E$30,$D$30)*parametros_recargas!$Q$55/$B$5,0)</f>
        <v>0</v>
      </c>
      <c r="F51" s="7" t="n">
        <f aca="false">ROUNDUP(datos_base!F2*$B$30*IF(F$50&gt;=$B$11,$E$30,$D$30)*parametros_recargas!$Q$55/$B$5,0)</f>
        <v>0</v>
      </c>
      <c r="G51" s="7" t="n">
        <f aca="false">ROUNDUP(datos_base!G2*$B$30*IF(G$50&gt;=$B$11,$E$30,$D$30)*parametros_recargas!$Q$55/$B$5,0)</f>
        <v>0</v>
      </c>
      <c r="H51" s="7" t="n">
        <f aca="false">ROUNDUP(datos_base!H2*$B$30*IF(H$50&gt;=$B$11,$E$30,$D$30)*parametros_recargas!$Q$55/$B$5,0)</f>
        <v>0</v>
      </c>
      <c r="I51" s="7" t="n">
        <f aca="false">ROUNDUP(datos_base!I2*$B$30*IF(I$50&gt;=$B$11,$E$30,$D$30)*parametros_recargas!$Q$55/$B$5,0)</f>
        <v>0</v>
      </c>
      <c r="J51" s="7" t="n">
        <f aca="false">ROUNDUP(datos_base!J2*$B$30*IF(J$50&gt;=$B$11,$E$30,$D$30)*parametros_recargas!$Q$55/$B$5,0)</f>
        <v>0</v>
      </c>
      <c r="K51" s="7" t="n">
        <f aca="false">ROUNDUP(datos_base!K2*$B$30*IF(K$50&gt;=$B$11,$E$30,$D$30)*parametros_recargas!$Q$55/$B$5,0)</f>
        <v>0</v>
      </c>
    </row>
    <row r="52" customFormat="false" ht="15" hidden="false" customHeight="false" outlineLevel="0" collapsed="false">
      <c r="A52" s="10" t="str">
        <f aca="false">datos_base!A3</f>
        <v>ABC 2,5 kg</v>
      </c>
      <c r="B52" s="7" t="n">
        <f aca="false">ROUNDUP(datos_base!B3*$B$31*IF(B$50&gt;=$B$11,$E$31,$D$31)*parametros_recargas!$Q$56/$B$5,0)</f>
        <v>4</v>
      </c>
      <c r="C52" s="7" t="n">
        <f aca="false">ROUNDUP(datos_base!C3*$B$31*IF(C$50&gt;=$B$11,$E$31,$D$31)*parametros_recargas!$Q$56/$B$5,0)</f>
        <v>15</v>
      </c>
      <c r="D52" s="7" t="n">
        <f aca="false">ROUNDUP(datos_base!D3*$B$31*IF(D$50&gt;=$B$11,$E$31,$D$31)*parametros_recargas!$Q$56/$B$5,0)</f>
        <v>34</v>
      </c>
      <c r="E52" s="7" t="n">
        <f aca="false">ROUNDUP(datos_base!E3*$B$31*IF(E$50&gt;=$B$11,$E$31,$D$31)*parametros_recargas!$Q$56/$B$5,0)</f>
        <v>62</v>
      </c>
      <c r="F52" s="7" t="n">
        <f aca="false">ROUNDUP(datos_base!F3*$B$31*IF(F$50&gt;=$B$11,$E$31,$D$31)*parametros_recargas!$Q$56/$B$5,0)</f>
        <v>89</v>
      </c>
      <c r="G52" s="7" t="n">
        <f aca="false">ROUNDUP(datos_base!G3*$B$31*IF(G$50&gt;=$B$11,$E$31,$D$31)*parametros_recargas!$Q$56/$B$5,0)</f>
        <v>119</v>
      </c>
      <c r="H52" s="7" t="n">
        <f aca="false">ROUNDUP(datos_base!H3*$B$31*IF(H$50&gt;=$B$11,$E$31,$D$31)*parametros_recargas!$Q$56/$B$5,0)</f>
        <v>144</v>
      </c>
      <c r="I52" s="7" t="n">
        <f aca="false">ROUNDUP(datos_base!I3*$B$31*IF(I$50&gt;=$B$11,$E$31,$D$31)*parametros_recargas!$Q$56/$B$5,0)</f>
        <v>160</v>
      </c>
      <c r="J52" s="7" t="n">
        <f aca="false">ROUNDUP(datos_base!J3*$B$31*IF(J$50&gt;=$B$11,$E$31,$D$31)*parametros_recargas!$Q$56/$B$5,0)</f>
        <v>173</v>
      </c>
      <c r="K52" s="7" t="n">
        <f aca="false">ROUNDUP(datos_base!K3*$B$31*IF(K$50&gt;=$B$11,$E$31,$D$31)*parametros_recargas!$Q$56/$B$5,0)</f>
        <v>186</v>
      </c>
    </row>
    <row r="53" customFormat="false" ht="15" hidden="false" customHeight="false" outlineLevel="0" collapsed="false">
      <c r="A53" s="10" t="str">
        <f aca="false">datos_base!A4</f>
        <v>ABC 5 kg</v>
      </c>
      <c r="B53" s="7" t="n">
        <f aca="false">ROUNDUP(datos_base!B4*$B$32*IF(B$50&gt;=$B$11,$E$32,$D$32)*parametros_recargas!$Q$57/$B$5,0)</f>
        <v>22</v>
      </c>
      <c r="C53" s="7" t="n">
        <f aca="false">ROUNDUP(datos_base!C4*$B$32*IF(C$50&gt;=$B$11,$E$32,$D$32)*parametros_recargas!$Q$57/$B$5,0)</f>
        <v>88</v>
      </c>
      <c r="D53" s="7" t="n">
        <f aca="false">ROUNDUP(datos_base!D4*$B$32*IF(D$50&gt;=$B$11,$E$32,$D$32)*parametros_recargas!$Q$57/$B$5,0)</f>
        <v>198</v>
      </c>
      <c r="E53" s="7" t="n">
        <f aca="false">ROUNDUP(datos_base!E4*$B$32*IF(E$50&gt;=$B$11,$E$32,$D$32)*parametros_recargas!$Q$57/$B$5,0)</f>
        <v>374</v>
      </c>
      <c r="F53" s="7" t="n">
        <f aca="false">ROUNDUP(datos_base!F4*$B$32*IF(F$50&gt;=$B$11,$E$32,$D$32)*parametros_recargas!$Q$57/$B$5,0)</f>
        <v>538</v>
      </c>
      <c r="G53" s="7" t="n">
        <f aca="false">ROUNDUP(datos_base!G4*$B$32*IF(G$50&gt;=$B$11,$E$32,$D$32)*parametros_recargas!$Q$57/$B$5,0)</f>
        <v>715</v>
      </c>
      <c r="H53" s="7" t="n">
        <f aca="false">ROUNDUP(datos_base!H4*$B$32*IF(H$50&gt;=$B$11,$E$32,$D$32)*parametros_recargas!$Q$57/$B$5,0)</f>
        <v>791</v>
      </c>
      <c r="I53" s="7" t="n">
        <f aca="false">ROUNDUP(datos_base!I4*$B$32*IF(I$50&gt;=$B$11,$E$32,$D$32)*parametros_recargas!$Q$57/$B$5,0)</f>
        <v>876</v>
      </c>
      <c r="J53" s="7" t="n">
        <f aca="false">ROUNDUP(datos_base!J4*$B$32*IF(J$50&gt;=$B$11,$E$32,$D$32)*parametros_recargas!$Q$57/$B$5,0)</f>
        <v>945</v>
      </c>
      <c r="K53" s="7" t="n">
        <f aca="false">ROUNDUP(datos_base!K4*$B$32*IF(K$50&gt;=$B$11,$E$32,$D$32)*parametros_recargas!$Q$57/$B$5,0)</f>
        <v>1015</v>
      </c>
    </row>
    <row r="54" customFormat="false" ht="15" hidden="false" customHeight="false" outlineLevel="0" collapsed="false">
      <c r="A54" s="10" t="str">
        <f aca="false">datos_base!A5</f>
        <v>ABC 10 kg</v>
      </c>
      <c r="B54" s="7" t="n">
        <f aca="false">ROUNDUP(datos_base!B5*$B$33*IF(B$50&gt;=$B$11,$E$33,$D$33)*parametros_recargas!$Q$58/$B$5,0)</f>
        <v>2</v>
      </c>
      <c r="C54" s="7" t="n">
        <f aca="false">ROUNDUP(datos_base!C5*$B$33*IF(C$50&gt;=$B$11,$E$33,$D$33)*parametros_recargas!$Q$58/$B$5,0)</f>
        <v>6</v>
      </c>
      <c r="D54" s="7" t="n">
        <f aca="false">ROUNDUP(datos_base!D5*$B$33*IF(D$50&gt;=$B$11,$E$33,$D$33)*parametros_recargas!$Q$58/$B$5,0)</f>
        <v>13</v>
      </c>
      <c r="E54" s="7" t="n">
        <f aca="false">ROUNDUP(datos_base!E5*$B$33*IF(E$50&gt;=$B$11,$E$33,$D$33)*parametros_recargas!$Q$58/$B$5,0)</f>
        <v>25</v>
      </c>
      <c r="F54" s="7" t="n">
        <f aca="false">ROUNDUP(datos_base!F5*$B$33*IF(F$50&gt;=$B$11,$E$33,$D$33)*parametros_recargas!$Q$58/$B$5,0)</f>
        <v>36</v>
      </c>
      <c r="G54" s="7" t="n">
        <f aca="false">ROUNDUP(datos_base!G5*$B$33*IF(G$50&gt;=$B$11,$E$33,$D$33)*parametros_recargas!$Q$58/$B$5,0)</f>
        <v>48</v>
      </c>
      <c r="H54" s="7" t="n">
        <f aca="false">ROUNDUP(datos_base!H5*$B$33*IF(H$50&gt;=$B$11,$E$33,$D$33)*parametros_recargas!$Q$58/$B$5,0)</f>
        <v>56</v>
      </c>
      <c r="I54" s="7" t="n">
        <f aca="false">ROUNDUP(datos_base!I5*$B$33*IF(I$50&gt;=$B$11,$E$33,$D$33)*parametros_recargas!$Q$58/$B$5,0)</f>
        <v>62</v>
      </c>
      <c r="J54" s="7" t="n">
        <f aca="false">ROUNDUP(datos_base!J5*$B$33*IF(J$50&gt;=$B$11,$E$33,$D$33)*parametros_recargas!$Q$58/$B$5,0)</f>
        <v>67</v>
      </c>
      <c r="K54" s="7" t="n">
        <f aca="false">ROUNDUP(datos_base!K5*$B$33*IF(K$50&gt;=$B$11,$E$33,$D$33)*parametros_recargas!$Q$58/$B$5,0)</f>
        <v>72</v>
      </c>
    </row>
    <row r="55" customFormat="false" ht="15" hidden="false" customHeight="false" outlineLevel="0" collapsed="false">
      <c r="A55" s="10" t="str">
        <f aca="false">datos_base!A6</f>
        <v>Agua 10 l</v>
      </c>
      <c r="B55" s="7" t="n">
        <f aca="false">ROUNDUP(datos_base!B6*$B$34*IF(B$50&gt;=$B$11,$E$34,$D$34)*parametros_recargas!$Q$59/$B$5,0)</f>
        <v>2</v>
      </c>
      <c r="C55" s="7" t="n">
        <f aca="false">ROUNDUP(datos_base!C6*$B$34*IF(C$50&gt;=$B$11,$E$34,$D$34)*parametros_recargas!$Q$59/$B$5,0)</f>
        <v>8</v>
      </c>
      <c r="D55" s="7" t="n">
        <f aca="false">ROUNDUP(datos_base!D6*$B$34*IF(D$50&gt;=$B$11,$E$34,$D$34)*parametros_recargas!$Q$59/$B$5,0)</f>
        <v>18</v>
      </c>
      <c r="E55" s="7" t="n">
        <f aca="false">ROUNDUP(datos_base!E6*$B$34*IF(E$50&gt;=$B$11,$E$34,$D$34)*parametros_recargas!$Q$59/$B$5,0)</f>
        <v>33</v>
      </c>
      <c r="F55" s="7" t="n">
        <f aca="false">ROUNDUP(datos_base!F6*$B$34*IF(F$50&gt;=$B$11,$E$34,$D$34)*parametros_recargas!$Q$59/$B$5,0)</f>
        <v>47</v>
      </c>
      <c r="G55" s="7" t="n">
        <f aca="false">ROUNDUP(datos_base!G6*$B$34*IF(G$50&gt;=$B$11,$E$34,$D$34)*parametros_recargas!$Q$59/$B$5,0)</f>
        <v>63</v>
      </c>
      <c r="H55" s="7" t="n">
        <f aca="false">ROUNDUP(datos_base!H6*$B$34*IF(H$50&gt;=$B$11,$E$34,$D$34)*parametros_recargas!$Q$59/$B$5,0)</f>
        <v>69</v>
      </c>
      <c r="I55" s="7" t="n">
        <f aca="false">ROUNDUP(datos_base!I6*$B$34*IF(I$50&gt;=$B$11,$E$34,$D$34)*parametros_recargas!$Q$59/$B$5,0)</f>
        <v>76</v>
      </c>
      <c r="J55" s="7" t="n">
        <f aca="false">ROUNDUP(datos_base!J6*$B$34*IF(J$50&gt;=$B$11,$E$34,$D$34)*parametros_recargas!$Q$59/$B$5,0)</f>
        <v>82</v>
      </c>
      <c r="K55" s="7" t="n">
        <f aca="false">ROUNDUP(datos_base!K6*$B$34*IF(K$50&gt;=$B$11,$E$34,$D$34)*parametros_recargas!$Q$59/$B$5,0)</f>
        <v>88</v>
      </c>
    </row>
    <row r="56" customFormat="false" ht="15" hidden="false" customHeight="false" outlineLevel="0" collapsed="false">
      <c r="A56" s="10" t="str">
        <f aca="false">datos_base!A7</f>
        <v>AFFF 10 l</v>
      </c>
      <c r="B56" s="7" t="n">
        <f aca="false">ROUNDUP(datos_base!B7*$B$35*IF(B$50&gt;=$B$11,$E$35,$D$35)*parametros_recargas!$Q$60/$B$5,0)</f>
        <v>1</v>
      </c>
      <c r="C56" s="7" t="n">
        <f aca="false">ROUNDUP(datos_base!C7*$B$35*IF(C$50&gt;=$B$11,$E$35,$D$35)*parametros_recargas!$Q$60/$B$5,0)</f>
        <v>3</v>
      </c>
      <c r="D56" s="7" t="n">
        <f aca="false">ROUNDUP(datos_base!D7*$B$35*IF(D$50&gt;=$B$11,$E$35,$D$35)*parametros_recargas!$Q$60/$B$5,0)</f>
        <v>5</v>
      </c>
      <c r="E56" s="7" t="n">
        <f aca="false">ROUNDUP(datos_base!E7*$B$35*IF(E$50&gt;=$B$11,$E$35,$D$35)*parametros_recargas!$Q$60/$B$5,0)</f>
        <v>8</v>
      </c>
      <c r="F56" s="7" t="n">
        <f aca="false">ROUNDUP(datos_base!F7*$B$35*IF(F$50&gt;=$B$11,$E$35,$D$35)*parametros_recargas!$Q$60/$B$5,0)</f>
        <v>11</v>
      </c>
      <c r="G56" s="7" t="n">
        <f aca="false">ROUNDUP(datos_base!G7*$B$35*IF(G$50&gt;=$B$11,$E$35,$D$35)*parametros_recargas!$Q$60/$B$5,0)</f>
        <v>14</v>
      </c>
      <c r="H56" s="7" t="n">
        <f aca="false">ROUNDUP(datos_base!H7*$B$35*IF(H$50&gt;=$B$11,$E$35,$D$35)*parametros_recargas!$Q$60/$B$5,0)</f>
        <v>12</v>
      </c>
      <c r="I56" s="7" t="n">
        <f aca="false">ROUNDUP(datos_base!I7*$B$35*IF(I$50&gt;=$B$11,$E$35,$D$35)*parametros_recargas!$Q$60/$B$5,0)</f>
        <v>13</v>
      </c>
      <c r="J56" s="7" t="n">
        <f aca="false">ROUNDUP(datos_base!J7*$B$35*IF(J$50&gt;=$B$11,$E$35,$D$35)*parametros_recargas!$Q$60/$B$5,0)</f>
        <v>14</v>
      </c>
      <c r="K56" s="7" t="n">
        <f aca="false">ROUNDUP(datos_base!K7*$B$35*IF(K$50&gt;=$B$11,$E$35,$D$35)*parametros_recargas!$Q$60/$B$5,0)</f>
        <v>15</v>
      </c>
    </row>
    <row r="57" customFormat="false" ht="15" hidden="false" customHeight="false" outlineLevel="0" collapsed="false">
      <c r="A57" s="10" t="str">
        <f aca="false">datos_base!A8</f>
        <v>AFFF 50 l s/ruedas</v>
      </c>
      <c r="B57" s="7" t="n">
        <f aca="false">ROUNDUP(datos_base!B8*$B$36*IF(B$50&gt;=$B$11,$E$36,$D$36)*parametros_recargas!$Q$61/$B$5,0)</f>
        <v>1</v>
      </c>
      <c r="C57" s="7" t="n">
        <f aca="false">ROUNDUP(datos_base!C8*$B$36*IF(C$50&gt;=$B$11,$E$36,$D$36)*parametros_recargas!$Q$61/$B$5,0)</f>
        <v>2</v>
      </c>
      <c r="D57" s="7" t="n">
        <f aca="false">ROUNDUP(datos_base!D8*$B$36*IF(D$50&gt;=$B$11,$E$36,$D$36)*parametros_recargas!$Q$61/$B$5,0)</f>
        <v>3</v>
      </c>
      <c r="E57" s="7" t="n">
        <f aca="false">ROUNDUP(datos_base!E8*$B$36*IF(E$50&gt;=$B$11,$E$36,$D$36)*parametros_recargas!$Q$61/$B$5,0)</f>
        <v>4</v>
      </c>
      <c r="F57" s="7" t="n">
        <f aca="false">ROUNDUP(datos_base!F8*$B$36*IF(F$50&gt;=$B$11,$E$36,$D$36)*parametros_recargas!$Q$61/$B$5,0)</f>
        <v>6</v>
      </c>
      <c r="G57" s="7" t="n">
        <f aca="false">ROUNDUP(datos_base!G8*$B$36*IF(G$50&gt;=$B$11,$E$36,$D$36)*parametros_recargas!$Q$61/$B$5,0)</f>
        <v>8</v>
      </c>
      <c r="H57" s="7" t="n">
        <f aca="false">ROUNDUP(datos_base!H8*$B$36*IF(H$50&gt;=$B$11,$E$36,$D$36)*parametros_recargas!$Q$61/$B$5,0)</f>
        <v>6</v>
      </c>
      <c r="I57" s="7" t="n">
        <f aca="false">ROUNDUP(datos_base!I8*$B$36*IF(I$50&gt;=$B$11,$E$36,$D$36)*parametros_recargas!$Q$61/$B$5,0)</f>
        <v>7</v>
      </c>
      <c r="J57" s="7" t="n">
        <f aca="false">ROUNDUP(datos_base!J8*$B$36*IF(J$50&gt;=$B$11,$E$36,$D$36)*parametros_recargas!$Q$61/$B$5,0)</f>
        <v>8</v>
      </c>
      <c r="K57" s="7" t="n">
        <f aca="false">ROUNDUP(datos_base!K8*$B$36*IF(K$50&gt;=$B$11,$E$36,$D$36)*parametros_recargas!$Q$61/$B$5,0)</f>
        <v>8</v>
      </c>
    </row>
    <row r="58" customFormat="false" ht="15" hidden="false" customHeight="false" outlineLevel="0" collapsed="false">
      <c r="A58" s="10" t="str">
        <f aca="false">datos_base!A9</f>
        <v>BC 5 kg</v>
      </c>
      <c r="B58" s="7" t="n">
        <f aca="false">ROUNDUP(datos_base!B9*$B$37*IF(B$50&gt;=$B$11,$E$37,$D$37)*parametros_recargas!$Q$62/$B$5,0)</f>
        <v>1</v>
      </c>
      <c r="C58" s="7" t="n">
        <f aca="false">ROUNDUP(datos_base!C9*$B$37*IF(C$50&gt;=$B$11,$E$37,$D$37)*parametros_recargas!$Q$62/$B$5,0)</f>
        <v>1</v>
      </c>
      <c r="D58" s="7" t="n">
        <f aca="false">ROUNDUP(datos_base!D9*$B$37*IF(D$50&gt;=$B$11,$E$37,$D$37)*parametros_recargas!$Q$62/$B$5,0)</f>
        <v>2</v>
      </c>
      <c r="E58" s="7" t="n">
        <f aca="false">ROUNDUP(datos_base!E9*$B$37*IF(E$50&gt;=$B$11,$E$37,$D$37)*parametros_recargas!$Q$62/$B$5,0)</f>
        <v>3</v>
      </c>
      <c r="F58" s="7" t="n">
        <f aca="false">ROUNDUP(datos_base!F9*$B$37*IF(F$50&gt;=$B$11,$E$37,$D$37)*parametros_recargas!$Q$62/$B$5,0)</f>
        <v>4</v>
      </c>
      <c r="G58" s="7" t="n">
        <f aca="false">ROUNDUP(datos_base!G9*$B$37*IF(G$50&gt;=$B$11,$E$37,$D$37)*parametros_recargas!$Q$62/$B$5,0)</f>
        <v>5</v>
      </c>
      <c r="H58" s="7" t="n">
        <f aca="false">ROUNDUP(datos_base!H9*$B$37*IF(H$50&gt;=$B$11,$E$37,$D$37)*parametros_recargas!$Q$62/$B$5,0)</f>
        <v>4</v>
      </c>
      <c r="I58" s="7" t="n">
        <f aca="false">ROUNDUP(datos_base!I9*$B$37*IF(I$50&gt;=$B$11,$E$37,$D$37)*parametros_recargas!$Q$62/$B$5,0)</f>
        <v>4</v>
      </c>
      <c r="J58" s="7" t="n">
        <f aca="false">ROUNDUP(datos_base!J9*$B$37*IF(J$50&gt;=$B$11,$E$37,$D$37)*parametros_recargas!$Q$62/$B$5,0)</f>
        <v>5</v>
      </c>
      <c r="K58" s="7" t="n">
        <f aca="false">ROUNDUP(datos_base!K9*$B$37*IF(K$50&gt;=$B$11,$E$37,$D$37)*parametros_recargas!$Q$62/$B$5,0)</f>
        <v>5</v>
      </c>
    </row>
    <row r="59" customFormat="false" ht="15" hidden="false" customHeight="false" outlineLevel="0" collapsed="false">
      <c r="A59" s="10" t="str">
        <f aca="false">datos_base!A10</f>
        <v>Sales K 6 l</v>
      </c>
      <c r="B59" s="7" t="n">
        <f aca="false">ROUNDUP(datos_base!B10*$B$38*IF(B$50&gt;=$B$11,$E$38,$D$38)*parametros_recargas!$Q$63/$B$5,0)</f>
        <v>2</v>
      </c>
      <c r="C59" s="7" t="n">
        <f aca="false">ROUNDUP(datos_base!C10*$B$38*IF(C$50&gt;=$B$11,$E$38,$D$38)*parametros_recargas!$Q$63/$B$5,0)</f>
        <v>6</v>
      </c>
      <c r="D59" s="7" t="n">
        <f aca="false">ROUNDUP(datos_base!D10*$B$38*IF(D$50&gt;=$B$11,$E$38,$D$38)*parametros_recargas!$Q$63/$B$5,0)</f>
        <v>12</v>
      </c>
      <c r="E59" s="7" t="n">
        <f aca="false">ROUNDUP(datos_base!E10*$B$38*IF(E$50&gt;=$B$11,$E$38,$D$38)*parametros_recargas!$Q$63/$B$5,0)</f>
        <v>22</v>
      </c>
      <c r="F59" s="7" t="n">
        <f aca="false">ROUNDUP(datos_base!F10*$B$38*IF(F$50&gt;=$B$11,$E$38,$D$38)*parametros_recargas!$Q$63/$B$5,0)</f>
        <v>32</v>
      </c>
      <c r="G59" s="7" t="n">
        <f aca="false">ROUNDUP(datos_base!G10*$B$38*IF(G$50&gt;=$B$11,$E$38,$D$38)*parametros_recargas!$Q$63/$B$5,0)</f>
        <v>42</v>
      </c>
      <c r="H59" s="7" t="n">
        <f aca="false">ROUNDUP(datos_base!H10*$B$38*IF(H$50&gt;=$B$11,$E$38,$D$38)*parametros_recargas!$Q$63/$B$5,0)</f>
        <v>45</v>
      </c>
      <c r="I59" s="7" t="n">
        <f aca="false">ROUNDUP(datos_base!I10*$B$38*IF(I$50&gt;=$B$11,$E$38,$D$38)*parametros_recargas!$Q$63/$B$5,0)</f>
        <v>50</v>
      </c>
      <c r="J59" s="7" t="n">
        <f aca="false">ROUNDUP(datos_base!J10*$B$38*IF(J$50&gt;=$B$11,$E$38,$D$38)*parametros_recargas!$Q$63/$B$5,0)</f>
        <v>54</v>
      </c>
      <c r="K59" s="7" t="n">
        <f aca="false">ROUNDUP(datos_base!K10*$B$38*IF(K$50&gt;=$B$11,$E$38,$D$38)*parametros_recargas!$Q$63/$B$5,0)</f>
        <v>58</v>
      </c>
    </row>
    <row r="60" customFormat="false" ht="15" hidden="false" customHeight="false" outlineLevel="0" collapsed="false">
      <c r="A60" s="10" t="str">
        <f aca="false">datos_base!A11</f>
        <v>CO₂ 2 kg</v>
      </c>
      <c r="B60" s="7" t="n">
        <f aca="false">ROUNDUP(datos_base!B11*$B$39*IF(B$50&gt;=$B$11,$E$39,$D$39)*parametros_recargas!$Q$64/$B$5,0)</f>
        <v>6</v>
      </c>
      <c r="C60" s="7" t="n">
        <f aca="false">ROUNDUP(datos_base!C11*$B$39*IF(C$50&gt;=$B$11,$E$39,$D$39)*parametros_recargas!$Q$64/$B$5,0)</f>
        <v>21</v>
      </c>
      <c r="D60" s="7" t="n">
        <f aca="false">ROUNDUP(datos_base!D11*$B$39*IF(D$50&gt;=$B$11,$E$39,$D$39)*parametros_recargas!$Q$64/$B$5,0)</f>
        <v>48</v>
      </c>
      <c r="E60" s="7" t="n">
        <f aca="false">ROUNDUP(datos_base!E11*$B$39*IF(E$50&gt;=$B$11,$E$39,$D$39)*parametros_recargas!$Q$64/$B$5,0)</f>
        <v>90</v>
      </c>
      <c r="F60" s="7" t="n">
        <f aca="false">ROUNDUP(datos_base!F11*$B$39*IF(F$50&gt;=$B$11,$E$39,$D$39)*parametros_recargas!$Q$64/$B$5,0)</f>
        <v>130</v>
      </c>
      <c r="G60" s="7" t="n">
        <f aca="false">ROUNDUP(datos_base!G11*$B$39*IF(G$50&gt;=$B$11,$E$39,$D$39)*parametros_recargas!$Q$64/$B$5,0)</f>
        <v>173</v>
      </c>
      <c r="H60" s="7" t="n">
        <f aca="false">ROUNDUP(datos_base!H11*$B$39*IF(H$50&gt;=$B$11,$E$39,$D$39)*parametros_recargas!$Q$64/$B$5,0)</f>
        <v>204</v>
      </c>
      <c r="I60" s="7" t="n">
        <f aca="false">ROUNDUP(datos_base!I11*$B$39*IF(I$50&gt;=$B$11,$E$39,$D$39)*parametros_recargas!$Q$64/$B$5,0)</f>
        <v>226</v>
      </c>
      <c r="J60" s="7" t="n">
        <f aca="false">ROUNDUP(datos_base!J11*$B$39*IF(J$50&gt;=$B$11,$E$39,$D$39)*parametros_recargas!$Q$64/$B$5,0)</f>
        <v>244</v>
      </c>
      <c r="K60" s="7" t="n">
        <f aca="false">ROUNDUP(datos_base!K11*$B$39*IF(K$50&gt;=$B$11,$E$39,$D$39)*parametros_recargas!$Q$64/$B$5,0)</f>
        <v>262</v>
      </c>
    </row>
    <row r="61" customFormat="false" ht="15" hidden="false" customHeight="false" outlineLevel="0" collapsed="false">
      <c r="A61" s="10" t="str">
        <f aca="false">datos_base!A12</f>
        <v>CO₂ 5 kg</v>
      </c>
      <c r="B61" s="7" t="n">
        <f aca="false">ROUNDUP(datos_base!B12*$B$40*IF(B$50&gt;=$B$11,$E$40,$D$40)*parametros_recargas!$Q$65/$B$5,0)</f>
        <v>2</v>
      </c>
      <c r="C61" s="7" t="n">
        <f aca="false">ROUNDUP(datos_base!C12*$B$40*IF(C$50&gt;=$B$11,$E$40,$D$40)*parametros_recargas!$Q$65/$B$5,0)</f>
        <v>8</v>
      </c>
      <c r="D61" s="7" t="n">
        <f aca="false">ROUNDUP(datos_base!D12*$B$40*IF(D$50&gt;=$B$11,$E$40,$D$40)*parametros_recargas!$Q$65/$B$5,0)</f>
        <v>16</v>
      </c>
      <c r="E61" s="7" t="n">
        <f aca="false">ROUNDUP(datos_base!E12*$B$40*IF(E$50&gt;=$B$11,$E$40,$D$40)*parametros_recargas!$Q$65/$B$5,0)</f>
        <v>28</v>
      </c>
      <c r="F61" s="7" t="n">
        <f aca="false">ROUNDUP(datos_base!F12*$B$40*IF(F$50&gt;=$B$11,$E$40,$D$40)*parametros_recargas!$Q$65/$B$5,0)</f>
        <v>40</v>
      </c>
      <c r="G61" s="7" t="n">
        <f aca="false">ROUNDUP(datos_base!G12*$B$40*IF(G$50&gt;=$B$11,$E$40,$D$40)*parametros_recargas!$Q$65/$B$5,0)</f>
        <v>53</v>
      </c>
      <c r="H61" s="7" t="n">
        <f aca="false">ROUNDUP(datos_base!H12*$B$40*IF(H$50&gt;=$B$11,$E$40,$D$40)*parametros_recargas!$Q$65/$B$5,0)</f>
        <v>51</v>
      </c>
      <c r="I61" s="7" t="n">
        <f aca="false">ROUNDUP(datos_base!I12*$B$40*IF(I$50&gt;=$B$11,$E$40,$D$40)*parametros_recargas!$Q$65/$B$5,0)</f>
        <v>58</v>
      </c>
      <c r="J61" s="7" t="n">
        <f aca="false">ROUNDUP(datos_base!J12*$B$40*IF(J$50&gt;=$B$11,$E$40,$D$40)*parametros_recargas!$Q$65/$B$5,0)</f>
        <v>63</v>
      </c>
      <c r="K61" s="7" t="n">
        <f aca="false">ROUNDUP(datos_base!K12*$B$40*IF(K$50&gt;=$B$11,$E$40,$D$40)*parametros_recargas!$Q$65/$B$5,0)</f>
        <v>68</v>
      </c>
    </row>
    <row r="62" customFormat="false" ht="15" hidden="false" customHeight="false" outlineLevel="0" collapsed="false">
      <c r="A62" s="10" t="str">
        <f aca="false">datos_base!A13</f>
        <v>HCFC/HFC 5 kg</v>
      </c>
      <c r="B62" s="7" t="n">
        <f aca="false">ROUNDUP(datos_base!B13*$B$41*IF(B$50&gt;=$B$11,$E$41,$D$41)*parametros_recargas!$Q$66/$B$5,0)</f>
        <v>1</v>
      </c>
      <c r="C62" s="7" t="n">
        <f aca="false">ROUNDUP(datos_base!C13*$B$41*IF(C$50&gt;=$B$11,$E$41,$D$41)*parametros_recargas!$Q$66/$B$5,0)</f>
        <v>2</v>
      </c>
      <c r="D62" s="7" t="n">
        <f aca="false">ROUNDUP(datos_base!D13*$B$41*IF(D$50&gt;=$B$11,$E$41,$D$41)*parametros_recargas!$Q$66/$B$5,0)</f>
        <v>3</v>
      </c>
      <c r="E62" s="7" t="n">
        <f aca="false">ROUNDUP(datos_base!E13*$B$41*IF(E$50&gt;=$B$11,$E$41,$D$41)*parametros_recargas!$Q$66/$B$5,0)</f>
        <v>6</v>
      </c>
      <c r="F62" s="7" t="n">
        <f aca="false">ROUNDUP(datos_base!F13*$B$41*IF(F$50&gt;=$B$11,$E$41,$D$41)*parametros_recargas!$Q$66/$B$5,0)</f>
        <v>8</v>
      </c>
      <c r="G62" s="7" t="n">
        <f aca="false">ROUNDUP(datos_base!G13*$B$41*IF(G$50&gt;=$B$11,$E$41,$D$41)*parametros_recargas!$Q$66/$B$5,0)</f>
        <v>10</v>
      </c>
      <c r="H62" s="7" t="n">
        <f aca="false">ROUNDUP(datos_base!H13*$B$41*IF(H$50&gt;=$B$11,$E$41,$D$41)*parametros_recargas!$Q$66/$B$5,0)</f>
        <v>9</v>
      </c>
      <c r="I62" s="7" t="n">
        <f aca="false">ROUNDUP(datos_base!I13*$B$41*IF(I$50&gt;=$B$11,$E$41,$D$41)*parametros_recargas!$Q$66/$B$5,0)</f>
        <v>10</v>
      </c>
      <c r="J62" s="7" t="n">
        <f aca="false">ROUNDUP(datos_base!J13*$B$41*IF(J$50&gt;=$B$11,$E$41,$D$41)*parametros_recargas!$Q$66/$B$5,0)</f>
        <v>11</v>
      </c>
      <c r="K62" s="7" t="n">
        <f aca="false">ROUNDUP(datos_base!K13*$B$41*IF(K$50&gt;=$B$11,$E$41,$D$41)*parametros_recargas!$Q$66/$B$5,0)</f>
        <v>12</v>
      </c>
    </row>
    <row r="63" customFormat="false" ht="15" hidden="false" customHeight="false" outlineLevel="0" collapsed="false">
      <c r="A63" s="10" t="str">
        <f aca="false">datos_base!A14</f>
        <v>Clase D 9 l</v>
      </c>
      <c r="B63" s="7" t="n">
        <f aca="false">ROUNDUP(datos_base!B14*$B$42*IF(B$50&gt;=$B$11,$E$42,$D$42)*parametros_recargas!$Q$67/$B$5,0)</f>
        <v>1</v>
      </c>
      <c r="C63" s="7" t="n">
        <f aca="false">ROUNDUP(datos_base!C14*$B$42*IF(C$50&gt;=$B$11,$E$42,$D$42)*parametros_recargas!$Q$67/$B$5,0)</f>
        <v>1</v>
      </c>
      <c r="D63" s="7" t="n">
        <f aca="false">ROUNDUP(datos_base!D14*$B$42*IF(D$50&gt;=$B$11,$E$42,$D$42)*parametros_recargas!$Q$67/$B$5,0)</f>
        <v>2</v>
      </c>
      <c r="E63" s="7" t="n">
        <f aca="false">ROUNDUP(datos_base!E14*$B$42*IF(E$50&gt;=$B$11,$E$42,$D$42)*parametros_recargas!$Q$67/$B$5,0)</f>
        <v>3</v>
      </c>
      <c r="F63" s="7" t="n">
        <f aca="false">ROUNDUP(datos_base!F14*$B$42*IF(F$50&gt;=$B$11,$E$42,$D$42)*parametros_recargas!$Q$67/$B$5,0)</f>
        <v>3</v>
      </c>
      <c r="G63" s="7" t="n">
        <f aca="false">ROUNDUP(datos_base!G14*$B$42*IF(G$50&gt;=$B$11,$E$42,$D$42)*parametros_recargas!$Q$67/$B$5,0)</f>
        <v>4</v>
      </c>
      <c r="H63" s="7" t="n">
        <f aca="false">ROUNDUP(datos_base!H14*$B$42*IF(H$50&gt;=$B$11,$E$42,$D$42)*parametros_recargas!$Q$67/$B$5,0)</f>
        <v>4</v>
      </c>
      <c r="I63" s="7" t="n">
        <f aca="false">ROUNDUP(datos_base!I14*$B$42*IF(I$50&gt;=$B$11,$E$42,$D$42)*parametros_recargas!$Q$67/$B$5,0)</f>
        <v>4</v>
      </c>
      <c r="J63" s="7" t="n">
        <f aca="false">ROUNDUP(datos_base!J14*$B$42*IF(J$50&gt;=$B$11,$E$42,$D$42)*parametros_recargas!$Q$67/$B$5,0)</f>
        <v>4</v>
      </c>
      <c r="K63" s="7" t="n">
        <f aca="false">ROUNDUP(datos_base!K14*$B$42*IF(K$50&gt;=$B$11,$E$42,$D$42)*parametros_recargas!$Q$67/$B$5,0)</f>
        <v>5</v>
      </c>
    </row>
    <row r="64" customFormat="false" ht="15" hidden="false" customHeight="false" outlineLevel="0" collapsed="false">
      <c r="A64" s="10" t="str">
        <f aca="false">datos_base!A15</f>
        <v>ABC 25 kg s/ruedas</v>
      </c>
      <c r="B64" s="7" t="n">
        <f aca="false">ROUNDUP(datos_base!B15*$B$43*IF(B$50&gt;=$B$11,$E$43,$D$43)*parametros_recargas!$Q$68/$B$5,0)</f>
        <v>1</v>
      </c>
      <c r="C64" s="7" t="n">
        <f aca="false">ROUNDUP(datos_base!C15*$B$43*IF(C$50&gt;=$B$11,$E$43,$D$43)*parametros_recargas!$Q$68/$B$5,0)</f>
        <v>1</v>
      </c>
      <c r="D64" s="7" t="n">
        <f aca="false">ROUNDUP(datos_base!D15*$B$43*IF(D$50&gt;=$B$11,$E$43,$D$43)*parametros_recargas!$Q$68/$B$5,0)</f>
        <v>3</v>
      </c>
      <c r="E64" s="7" t="n">
        <f aca="false">ROUNDUP(datos_base!E15*$B$43*IF(E$50&gt;=$B$11,$E$43,$D$43)*parametros_recargas!$Q$68/$B$5,0)</f>
        <v>4</v>
      </c>
      <c r="F64" s="7" t="n">
        <f aca="false">ROUNDUP(datos_base!F15*$B$43*IF(F$50&gt;=$B$11,$E$43,$D$43)*parametros_recargas!$Q$68/$B$5,0)</f>
        <v>6</v>
      </c>
      <c r="G64" s="7" t="n">
        <f aca="false">ROUNDUP(datos_base!G15*$B$43*IF(G$50&gt;=$B$11,$E$43,$D$43)*parametros_recargas!$Q$68/$B$5,0)</f>
        <v>8</v>
      </c>
      <c r="H64" s="7" t="n">
        <f aca="false">ROUNDUP(datos_base!H15*$B$43*IF(H$50&gt;=$B$11,$E$43,$D$43)*parametros_recargas!$Q$68/$B$5,0)</f>
        <v>8</v>
      </c>
      <c r="I64" s="7" t="n">
        <f aca="false">ROUNDUP(datos_base!I15*$B$43*IF(I$50&gt;=$B$11,$E$43,$D$43)*parametros_recargas!$Q$68/$B$5,0)</f>
        <v>9</v>
      </c>
      <c r="J64" s="7" t="n">
        <f aca="false">ROUNDUP(datos_base!J15*$B$43*IF(J$50&gt;=$B$11,$E$43,$D$43)*parametros_recargas!$Q$68/$B$5,0)</f>
        <v>9</v>
      </c>
      <c r="K64" s="7" t="n">
        <f aca="false">ROUNDUP(datos_base!K15*$B$43*IF(K$50&gt;=$B$11,$E$43,$D$43)*parametros_recargas!$Q$68/$B$5,0)</f>
        <v>10</v>
      </c>
    </row>
    <row r="65" customFormat="false" ht="15" hidden="false" customHeight="false" outlineLevel="0" collapsed="false">
      <c r="A65" s="10" t="str">
        <f aca="false">datos_base!A16</f>
        <v>ABC 50 kg s/ruedas</v>
      </c>
      <c r="B65" s="7" t="n">
        <f aca="false">ROUNDUP(datos_base!B16*$B$44*IF(B$50&gt;=$B$11,$E$44,$D$44)*parametros_recargas!$Q$69/$B$5,0)</f>
        <v>1</v>
      </c>
      <c r="C65" s="7" t="n">
        <f aca="false">ROUNDUP(datos_base!C16*$B$44*IF(C$50&gt;=$B$11,$E$44,$D$44)*parametros_recargas!$Q$69/$B$5,0)</f>
        <v>3</v>
      </c>
      <c r="D65" s="7" t="n">
        <f aca="false">ROUNDUP(datos_base!D16*$B$44*IF(D$50&gt;=$B$11,$E$44,$D$44)*parametros_recargas!$Q$69/$B$5,0)</f>
        <v>5</v>
      </c>
      <c r="E65" s="7" t="n">
        <f aca="false">ROUNDUP(datos_base!E16*$B$44*IF(E$50&gt;=$B$11,$E$44,$D$44)*parametros_recargas!$Q$69/$B$5,0)</f>
        <v>9</v>
      </c>
      <c r="F65" s="7" t="n">
        <f aca="false">ROUNDUP(datos_base!F16*$B$44*IF(F$50&gt;=$B$11,$E$44,$D$44)*parametros_recargas!$Q$69/$B$5,0)</f>
        <v>13</v>
      </c>
      <c r="G65" s="7" t="n">
        <f aca="false">ROUNDUP(datos_base!G16*$B$44*IF(G$50&gt;=$B$11,$E$44,$D$44)*parametros_recargas!$Q$69/$B$5,0)</f>
        <v>17</v>
      </c>
      <c r="H65" s="7" t="n">
        <f aca="false">ROUNDUP(datos_base!H16*$B$44*IF(H$50&gt;=$B$11,$E$44,$D$44)*parametros_recargas!$Q$69/$B$5,0)</f>
        <v>16</v>
      </c>
      <c r="I65" s="7" t="n">
        <f aca="false">ROUNDUP(datos_base!I16*$B$44*IF(I$50&gt;=$B$11,$E$44,$D$44)*parametros_recargas!$Q$69/$B$5,0)</f>
        <v>18</v>
      </c>
      <c r="J65" s="7" t="n">
        <f aca="false">ROUNDUP(datos_base!J16*$B$44*IF(J$50&gt;=$B$11,$E$44,$D$44)*parametros_recargas!$Q$69/$B$5,0)</f>
        <v>20</v>
      </c>
      <c r="K65" s="7" t="n">
        <f aca="false">ROUNDUP(datos_base!K16*$B$44*IF(K$50&gt;=$B$11,$E$44,$D$44)*parametros_recargas!$Q$69/$B$5,0)</f>
        <v>21</v>
      </c>
    </row>
    <row r="66" customFormat="false" ht="15" hidden="false" customHeight="false" outlineLevel="0" collapsed="false">
      <c r="A66" s="10" t="str">
        <f aca="false">datos_base!A17</f>
        <v>ABC 70 kg s/ruedas</v>
      </c>
      <c r="B66" s="7" t="n">
        <f aca="false">ROUNDUP(datos_base!B17*$B$45*IF(B$50&gt;=$B$11,$E$45,$D$45)*parametros_recargas!$Q$70/$B$5,0)</f>
        <v>1</v>
      </c>
      <c r="C66" s="7" t="n">
        <f aca="false">ROUNDUP(datos_base!C17*$B$45*IF(C$50&gt;=$B$11,$E$45,$D$45)*parametros_recargas!$Q$70/$B$5,0)</f>
        <v>1</v>
      </c>
      <c r="D66" s="7" t="n">
        <f aca="false">ROUNDUP(datos_base!D17*$B$45*IF(D$50&gt;=$B$11,$E$45,$D$45)*parametros_recargas!$Q$70/$B$5,0)</f>
        <v>2</v>
      </c>
      <c r="E66" s="7" t="n">
        <f aca="false">ROUNDUP(datos_base!E17*$B$45*IF(E$50&gt;=$B$11,$E$45,$D$45)*parametros_recargas!$Q$70/$B$5,0)</f>
        <v>2</v>
      </c>
      <c r="F66" s="7" t="n">
        <f aca="false">ROUNDUP(datos_base!F17*$B$45*IF(F$50&gt;=$B$11,$E$45,$D$45)*parametros_recargas!$Q$70/$B$5,0)</f>
        <v>3</v>
      </c>
      <c r="G66" s="7" t="n">
        <f aca="false">ROUNDUP(datos_base!G17*$B$45*IF(G$50&gt;=$B$11,$E$45,$D$45)*parametros_recargas!$Q$70/$B$5,0)</f>
        <v>4</v>
      </c>
      <c r="H66" s="7" t="n">
        <f aca="false">ROUNDUP(datos_base!H17*$B$45*IF(H$50&gt;=$B$11,$E$45,$D$45)*parametros_recargas!$Q$70/$B$5,0)</f>
        <v>4</v>
      </c>
      <c r="I66" s="7" t="n">
        <f aca="false">ROUNDUP(datos_base!I17*$B$45*IF(I$50&gt;=$B$11,$E$45,$D$45)*parametros_recargas!$Q$70/$B$5,0)</f>
        <v>4</v>
      </c>
      <c r="J66" s="7" t="n">
        <f aca="false">ROUNDUP(datos_base!J17*$B$45*IF(J$50&gt;=$B$11,$E$45,$D$45)*parametros_recargas!$Q$70/$B$5,0)</f>
        <v>5</v>
      </c>
      <c r="K66" s="7" t="n">
        <f aca="false">ROUNDUP(datos_base!K17*$B$45*IF(K$50&gt;=$B$11,$E$45,$D$45)*parametros_recargas!$Q$70/$B$5,0)</f>
        <v>5</v>
      </c>
    </row>
    <row r="67" customFormat="false" ht="15" hidden="false" customHeight="false" outlineLevel="0" collapsed="false">
      <c r="A67" s="10" t="str">
        <f aca="false">datos_base!A18</f>
        <v>ABC 100 kg s/ruedas</v>
      </c>
      <c r="B67" s="7" t="n">
        <f aca="false">ROUNDUP(datos_base!B18*$B$46*IF(B$50&gt;=$B$11,$E$46,$D$46)*parametros_recargas!$Q$71/$B$5,0)</f>
        <v>1</v>
      </c>
      <c r="C67" s="7" t="n">
        <f aca="false">ROUNDUP(datos_base!C18*$B$46*IF(C$50&gt;=$B$11,$E$46,$D$46)*parametros_recargas!$Q$71/$B$5,0)</f>
        <v>1</v>
      </c>
      <c r="D67" s="7" t="n">
        <f aca="false">ROUNDUP(datos_base!D18*$B$46*IF(D$50&gt;=$B$11,$E$46,$D$46)*parametros_recargas!$Q$71/$B$5,0)</f>
        <v>1</v>
      </c>
      <c r="E67" s="7" t="n">
        <f aca="false">ROUNDUP(datos_base!E18*$B$46*IF(E$50&gt;=$B$11,$E$46,$D$46)*parametros_recargas!$Q$71/$B$5,0)</f>
        <v>2</v>
      </c>
      <c r="F67" s="7" t="n">
        <f aca="false">ROUNDUP(datos_base!F18*$B$46*IF(F$50&gt;=$B$11,$E$46,$D$46)*parametros_recargas!$Q$71/$B$5,0)</f>
        <v>2</v>
      </c>
      <c r="G67" s="7" t="n">
        <f aca="false">ROUNDUP(datos_base!G18*$B$46*IF(G$50&gt;=$B$11,$E$46,$D$46)*parametros_recargas!$Q$71/$B$5,0)</f>
        <v>3</v>
      </c>
      <c r="H67" s="7" t="n">
        <f aca="false">ROUNDUP(datos_base!H18*$B$46*IF(H$50&gt;=$B$11,$E$46,$D$46)*parametros_recargas!$Q$71/$B$5,0)</f>
        <v>3</v>
      </c>
      <c r="I67" s="7" t="n">
        <f aca="false">ROUNDUP(datos_base!I18*$B$46*IF(I$50&gt;=$B$11,$E$46,$D$46)*parametros_recargas!$Q$71/$B$5,0)</f>
        <v>3</v>
      </c>
      <c r="J67" s="7" t="n">
        <f aca="false">ROUNDUP(datos_base!J18*$B$46*IF(J$50&gt;=$B$11,$E$46,$D$46)*parametros_recargas!$Q$71/$B$5,0)</f>
        <v>3</v>
      </c>
      <c r="K67" s="7" t="n">
        <f aca="false">ROUNDUP(datos_base!K18*$B$46*IF(K$50&gt;=$B$11,$E$46,$D$46)*parametros_recargas!$Q$71/$B$5,0)</f>
        <v>3</v>
      </c>
    </row>
    <row r="68" customFormat="false" ht="15" hidden="false" customHeight="false" outlineLevel="0" collapsed="false">
      <c r="A68" s="4" t="s">
        <v>85</v>
      </c>
      <c r="B68" s="8" t="n">
        <f aca="false">SUM(B51:B67)</f>
        <v>49</v>
      </c>
      <c r="C68" s="8" t="n">
        <f aca="false">SUM(C51:C67)</f>
        <v>167</v>
      </c>
      <c r="D68" s="8" t="n">
        <f aca="false">SUM(D51:D67)</f>
        <v>365</v>
      </c>
      <c r="E68" s="8" t="n">
        <f aca="false">SUM(E51:E67)</f>
        <v>675</v>
      </c>
      <c r="F68" s="8" t="n">
        <f aca="false">SUM(F51:F67)</f>
        <v>968</v>
      </c>
      <c r="G68" s="8" t="n">
        <f aca="false">SUM(G51:G67)</f>
        <v>1286</v>
      </c>
      <c r="H68" s="8" t="n">
        <f aca="false">SUM(H51:H67)</f>
        <v>1426</v>
      </c>
      <c r="I68" s="8" t="n">
        <f aca="false">SUM(I51:I67)</f>
        <v>1580</v>
      </c>
      <c r="J68" s="8" t="n">
        <f aca="false">SUM(J51:J67)</f>
        <v>1707</v>
      </c>
      <c r="K68" s="8" t="n">
        <f aca="false">SUM(K51:K67)</f>
        <v>1833</v>
      </c>
    </row>
    <row r="70" customFormat="false" ht="15" hidden="false" customHeight="false" outlineLevel="0" collapsed="false">
      <c r="A70" s="1" t="s">
        <v>421</v>
      </c>
    </row>
    <row r="71" customFormat="false" ht="15" hidden="false" customHeight="false" outlineLevel="0" collapsed="false">
      <c r="A71" s="2" t="s">
        <v>422</v>
      </c>
    </row>
    <row r="72" customFormat="false" ht="15" hidden="false" customHeight="false" outlineLevel="0" collapsed="false">
      <c r="A72" s="6" t="s">
        <v>77</v>
      </c>
      <c r="B72" s="6" t="n">
        <v>2026</v>
      </c>
      <c r="C72" s="6" t="n">
        <v>2027</v>
      </c>
      <c r="D72" s="6" t="n">
        <v>2028</v>
      </c>
      <c r="E72" s="6" t="n">
        <v>2029</v>
      </c>
      <c r="F72" s="6" t="n">
        <v>2030</v>
      </c>
      <c r="G72" s="6" t="n">
        <v>2031</v>
      </c>
      <c r="H72" s="6" t="n">
        <v>2032</v>
      </c>
      <c r="I72" s="6" t="n">
        <v>2033</v>
      </c>
      <c r="J72" s="6" t="n">
        <v>2034</v>
      </c>
      <c r="K72" s="6" t="n">
        <v>2035</v>
      </c>
    </row>
    <row r="73" customFormat="false" ht="15" hidden="false" customHeight="false" outlineLevel="0" collapsed="false">
      <c r="A73" s="10" t="str">
        <f aca="false">datos_base!A2</f>
        <v>ABC 1 kg</v>
      </c>
      <c r="B73" s="26" t="n">
        <f aca="false">B51</f>
        <v>0</v>
      </c>
      <c r="C73" s="26" t="n">
        <f aca="false">MAX(0,C51-B51)+B51*INDEX(parametros_recargas!$E$21:$L$21,MATCH(parametros_recargas!$B$55,parametros_recargas!$E$12:$L$12,0))</f>
        <v>0</v>
      </c>
      <c r="D73" s="26" t="n">
        <f aca="false">MAX(0,D51-C51)+C51*INDEX(parametros_recargas!$E$21:$L$21,MATCH(parametros_recargas!$B$55,parametros_recargas!$E$12:$L$12,0))</f>
        <v>0</v>
      </c>
      <c r="E73" s="26" t="n">
        <f aca="false">MAX(0,E51-D51)+D51*INDEX(parametros_recargas!$E$21:$L$21,MATCH(parametros_recargas!$B$55,parametros_recargas!$E$12:$L$12,0))</f>
        <v>0</v>
      </c>
      <c r="F73" s="26" t="n">
        <f aca="false">MAX(0,F51-E51)+E51*INDEX(parametros_recargas!$E$21:$L$21,MATCH(parametros_recargas!$B$55,parametros_recargas!$E$12:$L$12,0))</f>
        <v>0</v>
      </c>
      <c r="G73" s="26" t="n">
        <f aca="false">MAX(0,G51-F51)+F51*INDEX(parametros_recargas!$E$21:$L$21,MATCH(parametros_recargas!$B$55,parametros_recargas!$E$12:$L$12,0))</f>
        <v>0</v>
      </c>
      <c r="H73" s="26" t="n">
        <f aca="false">MAX(0,H51-G51)+G51*INDEX(parametros_recargas!$E$21:$L$21,MATCH(parametros_recargas!$B$55,parametros_recargas!$E$12:$L$12,0))</f>
        <v>0</v>
      </c>
      <c r="I73" s="26" t="n">
        <f aca="false">MAX(0,I51-H51)+H51*INDEX(parametros_recargas!$E$21:$L$21,MATCH(parametros_recargas!$B$55,parametros_recargas!$E$12:$L$12,0))</f>
        <v>0</v>
      </c>
      <c r="J73" s="26" t="n">
        <f aca="false">MAX(0,J51-I51)+I51*INDEX(parametros_recargas!$E$21:$L$21,MATCH(parametros_recargas!$B$55,parametros_recargas!$E$12:$L$12,0))</f>
        <v>0</v>
      </c>
      <c r="K73" s="26" t="n">
        <f aca="false">MAX(0,K51-J51)+J51*INDEX(parametros_recargas!$E$21:$L$21,MATCH(parametros_recargas!$B$55,parametros_recargas!$E$12:$L$12,0))</f>
        <v>0</v>
      </c>
    </row>
    <row r="74" customFormat="false" ht="15" hidden="false" customHeight="false" outlineLevel="0" collapsed="false">
      <c r="A74" s="10" t="str">
        <f aca="false">datos_base!A3</f>
        <v>ABC 2,5 kg</v>
      </c>
      <c r="B74" s="26" t="n">
        <f aca="false">B52</f>
        <v>4</v>
      </c>
      <c r="C74" s="26" t="n">
        <f aca="false">MAX(0,C52-B52)+B52*INDEX(parametros_recargas!$E$21:$L$21,MATCH(parametros_recargas!$B$56,parametros_recargas!$E$12:$L$12,0))</f>
        <v>11.32</v>
      </c>
      <c r="D74" s="26" t="n">
        <f aca="false">MAX(0,D52-C52)+C52*INDEX(parametros_recargas!$E$21:$L$21,MATCH(parametros_recargas!$B$56,parametros_recargas!$E$12:$L$12,0))</f>
        <v>20.2</v>
      </c>
      <c r="E74" s="26" t="n">
        <f aca="false">MAX(0,E52-D52)+D52*INDEX(parametros_recargas!$E$21:$L$21,MATCH(parametros_recargas!$B$56,parametros_recargas!$E$12:$L$12,0))</f>
        <v>30.72</v>
      </c>
      <c r="F74" s="26" t="n">
        <f aca="false">MAX(0,F52-E52)+E52*INDEX(parametros_recargas!$E$21:$L$21,MATCH(parametros_recargas!$B$56,parametros_recargas!$E$12:$L$12,0))</f>
        <v>31.96</v>
      </c>
      <c r="G74" s="26" t="n">
        <f aca="false">MAX(0,G52-F52)+F52*INDEX(parametros_recargas!$E$21:$L$21,MATCH(parametros_recargas!$B$56,parametros_recargas!$E$12:$L$12,0))</f>
        <v>37.12</v>
      </c>
      <c r="H74" s="26" t="n">
        <f aca="false">MAX(0,H52-G52)+G52*INDEX(parametros_recargas!$E$21:$L$21,MATCH(parametros_recargas!$B$56,parametros_recargas!$E$12:$L$12,0))</f>
        <v>34.52</v>
      </c>
      <c r="I74" s="26" t="n">
        <f aca="false">MAX(0,I52-H52)+H52*INDEX(parametros_recargas!$E$21:$L$21,MATCH(parametros_recargas!$B$56,parametros_recargas!$E$12:$L$12,0))</f>
        <v>27.52</v>
      </c>
      <c r="J74" s="26" t="n">
        <f aca="false">MAX(0,J52-I52)+I52*INDEX(parametros_recargas!$E$21:$L$21,MATCH(parametros_recargas!$B$56,parametros_recargas!$E$12:$L$12,0))</f>
        <v>25.8</v>
      </c>
      <c r="K74" s="26" t="n">
        <f aca="false">MAX(0,K52-J52)+J52*INDEX(parametros_recargas!$E$21:$L$21,MATCH(parametros_recargas!$B$56,parametros_recargas!$E$12:$L$12,0))</f>
        <v>26.84</v>
      </c>
    </row>
    <row r="75" customFormat="false" ht="15" hidden="false" customHeight="false" outlineLevel="0" collapsed="false">
      <c r="A75" s="10" t="str">
        <f aca="false">datos_base!A4</f>
        <v>ABC 5 kg</v>
      </c>
      <c r="B75" s="26" t="n">
        <f aca="false">B53</f>
        <v>22</v>
      </c>
      <c r="C75" s="26" t="n">
        <f aca="false">MAX(0,C53-B53)+B53*INDEX(parametros_recargas!$E$21:$L$21,MATCH(parametros_recargas!$B$57,parametros_recargas!$E$12:$L$12,0))</f>
        <v>67.76</v>
      </c>
      <c r="D75" s="26" t="n">
        <f aca="false">MAX(0,D53-C53)+C53*INDEX(parametros_recargas!$E$21:$L$21,MATCH(parametros_recargas!$B$57,parametros_recargas!$E$12:$L$12,0))</f>
        <v>117.04</v>
      </c>
      <c r="E75" s="26" t="n">
        <f aca="false">MAX(0,E53-D53)+D53*INDEX(parametros_recargas!$E$21:$L$21,MATCH(parametros_recargas!$B$57,parametros_recargas!$E$12:$L$12,0))</f>
        <v>191.84</v>
      </c>
      <c r="F75" s="26" t="n">
        <f aca="false">MAX(0,F53-E53)+E53*INDEX(parametros_recargas!$E$21:$L$21,MATCH(parametros_recargas!$B$57,parametros_recargas!$E$12:$L$12,0))</f>
        <v>193.92</v>
      </c>
      <c r="G75" s="26" t="n">
        <f aca="false">MAX(0,G53-F53)+F53*INDEX(parametros_recargas!$E$21:$L$21,MATCH(parametros_recargas!$B$57,parametros_recargas!$E$12:$L$12,0))</f>
        <v>220.04</v>
      </c>
      <c r="H75" s="26" t="n">
        <f aca="false">MAX(0,H53-G53)+G53*INDEX(parametros_recargas!$E$21:$L$21,MATCH(parametros_recargas!$B$57,parametros_recargas!$E$12:$L$12,0))</f>
        <v>133.2</v>
      </c>
      <c r="I75" s="26" t="n">
        <f aca="false">MAX(0,I53-H53)+H53*INDEX(parametros_recargas!$E$21:$L$21,MATCH(parametros_recargas!$B$57,parametros_recargas!$E$12:$L$12,0))</f>
        <v>148.28</v>
      </c>
      <c r="J75" s="26" t="n">
        <f aca="false">MAX(0,J53-I53)+I53*INDEX(parametros_recargas!$E$21:$L$21,MATCH(parametros_recargas!$B$57,parametros_recargas!$E$12:$L$12,0))</f>
        <v>139.08</v>
      </c>
      <c r="K75" s="26" t="n">
        <f aca="false">MAX(0,K53-J53)+J53*INDEX(parametros_recargas!$E$21:$L$21,MATCH(parametros_recargas!$B$57,parametros_recargas!$E$12:$L$12,0))</f>
        <v>145.6</v>
      </c>
    </row>
    <row r="76" customFormat="false" ht="15" hidden="false" customHeight="false" outlineLevel="0" collapsed="false">
      <c r="A76" s="10" t="str">
        <f aca="false">datos_base!A5</f>
        <v>ABC 10 kg</v>
      </c>
      <c r="B76" s="26" t="n">
        <f aca="false">B54</f>
        <v>2</v>
      </c>
      <c r="C76" s="26" t="n">
        <f aca="false">MAX(0,C54-B54)+B54*INDEX(parametros_recargas!$E$21:$L$21,MATCH(parametros_recargas!$B$58,parametros_recargas!$E$12:$L$12,0))</f>
        <v>4.16</v>
      </c>
      <c r="D76" s="26" t="n">
        <f aca="false">MAX(0,D54-C54)+C54*INDEX(parametros_recargas!$E$21:$L$21,MATCH(parametros_recargas!$B$58,parametros_recargas!$E$12:$L$12,0))</f>
        <v>7.48</v>
      </c>
      <c r="E76" s="26" t="n">
        <f aca="false">MAX(0,E54-D54)+D54*INDEX(parametros_recargas!$E$21:$L$21,MATCH(parametros_recargas!$B$58,parametros_recargas!$E$12:$L$12,0))</f>
        <v>13.04</v>
      </c>
      <c r="F76" s="26" t="n">
        <f aca="false">MAX(0,F54-E54)+E54*INDEX(parametros_recargas!$E$21:$L$21,MATCH(parametros_recargas!$B$58,parametros_recargas!$E$12:$L$12,0))</f>
        <v>13</v>
      </c>
      <c r="G76" s="26" t="n">
        <f aca="false">MAX(0,G54-F54)+F54*INDEX(parametros_recargas!$E$21:$L$21,MATCH(parametros_recargas!$B$58,parametros_recargas!$E$12:$L$12,0))</f>
        <v>14.88</v>
      </c>
      <c r="H76" s="26" t="n">
        <f aca="false">MAX(0,H54-G54)+G54*INDEX(parametros_recargas!$E$21:$L$21,MATCH(parametros_recargas!$B$58,parametros_recargas!$E$12:$L$12,0))</f>
        <v>11.84</v>
      </c>
      <c r="I76" s="26" t="n">
        <f aca="false">MAX(0,I54-H54)+H54*INDEX(parametros_recargas!$E$21:$L$21,MATCH(parametros_recargas!$B$58,parametros_recargas!$E$12:$L$12,0))</f>
        <v>10.48</v>
      </c>
      <c r="J76" s="26" t="n">
        <f aca="false">MAX(0,J54-I54)+I54*INDEX(parametros_recargas!$E$21:$L$21,MATCH(parametros_recargas!$B$58,parametros_recargas!$E$12:$L$12,0))</f>
        <v>9.96</v>
      </c>
      <c r="K76" s="26" t="n">
        <f aca="false">MAX(0,K54-J54)+J54*INDEX(parametros_recargas!$E$21:$L$21,MATCH(parametros_recargas!$B$58,parametros_recargas!$E$12:$L$12,0))</f>
        <v>10.36</v>
      </c>
    </row>
    <row r="77" customFormat="false" ht="15" hidden="false" customHeight="false" outlineLevel="0" collapsed="false">
      <c r="A77" s="10" t="str">
        <f aca="false">datos_base!A6</f>
        <v>Agua 10 l</v>
      </c>
      <c r="B77" s="26" t="n">
        <f aca="false">B55</f>
        <v>2</v>
      </c>
      <c r="C77" s="26" t="n">
        <f aca="false">MAX(0,C55-B55)+B55*INDEX(parametros_recargas!$E$21:$L$21,MATCH(parametros_recargas!$B$59,parametros_recargas!$E$12:$L$12,0))</f>
        <v>6.16</v>
      </c>
      <c r="D77" s="26" t="n">
        <f aca="false">MAX(0,D55-C55)+C55*INDEX(parametros_recargas!$E$21:$L$21,MATCH(parametros_recargas!$B$59,parametros_recargas!$E$12:$L$12,0))</f>
        <v>10.64</v>
      </c>
      <c r="E77" s="26" t="n">
        <f aca="false">MAX(0,E55-D55)+D55*INDEX(parametros_recargas!$E$21:$L$21,MATCH(parametros_recargas!$B$59,parametros_recargas!$E$12:$L$12,0))</f>
        <v>16.44</v>
      </c>
      <c r="F77" s="26" t="n">
        <f aca="false">MAX(0,F55-E55)+E55*INDEX(parametros_recargas!$E$21:$L$21,MATCH(parametros_recargas!$B$59,parametros_recargas!$E$12:$L$12,0))</f>
        <v>16.64</v>
      </c>
      <c r="G77" s="26" t="n">
        <f aca="false">MAX(0,G55-F55)+F55*INDEX(parametros_recargas!$E$21:$L$21,MATCH(parametros_recargas!$B$59,parametros_recargas!$E$12:$L$12,0))</f>
        <v>19.76</v>
      </c>
      <c r="H77" s="26" t="n">
        <f aca="false">MAX(0,H55-G55)+G55*INDEX(parametros_recargas!$E$21:$L$21,MATCH(parametros_recargas!$B$59,parametros_recargas!$E$12:$L$12,0))</f>
        <v>11.04</v>
      </c>
      <c r="I77" s="26" t="n">
        <f aca="false">MAX(0,I55-H55)+H55*INDEX(parametros_recargas!$E$21:$L$21,MATCH(parametros_recargas!$B$59,parametros_recargas!$E$12:$L$12,0))</f>
        <v>12.52</v>
      </c>
      <c r="J77" s="26" t="n">
        <f aca="false">MAX(0,J55-I55)+I55*INDEX(parametros_recargas!$E$21:$L$21,MATCH(parametros_recargas!$B$59,parametros_recargas!$E$12:$L$12,0))</f>
        <v>12.08</v>
      </c>
      <c r="K77" s="26" t="n">
        <f aca="false">MAX(0,K55-J55)+J55*INDEX(parametros_recargas!$E$21:$L$21,MATCH(parametros_recargas!$B$59,parametros_recargas!$E$12:$L$12,0))</f>
        <v>12.56</v>
      </c>
    </row>
    <row r="78" customFormat="false" ht="15" hidden="false" customHeight="false" outlineLevel="0" collapsed="false">
      <c r="A78" s="10" t="str">
        <f aca="false">datos_base!A7</f>
        <v>AFFF 10 l</v>
      </c>
      <c r="B78" s="26" t="n">
        <f aca="false">B56</f>
        <v>1</v>
      </c>
      <c r="C78" s="26" t="n">
        <f aca="false">MAX(0,C56-B56)+B56*INDEX(parametros_recargas!$E$21:$L$21,MATCH(parametros_recargas!$B$60,parametros_recargas!$E$12:$L$12,0))</f>
        <v>2.08</v>
      </c>
      <c r="D78" s="26" t="n">
        <f aca="false">MAX(0,D56-C56)+C56*INDEX(parametros_recargas!$E$21:$L$21,MATCH(parametros_recargas!$B$60,parametros_recargas!$E$12:$L$12,0))</f>
        <v>2.24</v>
      </c>
      <c r="E78" s="26" t="n">
        <f aca="false">MAX(0,E56-D56)+D56*INDEX(parametros_recargas!$E$21:$L$21,MATCH(parametros_recargas!$B$60,parametros_recargas!$E$12:$L$12,0))</f>
        <v>3.4</v>
      </c>
      <c r="F78" s="26" t="n">
        <f aca="false">MAX(0,F56-E56)+E56*INDEX(parametros_recargas!$E$21:$L$21,MATCH(parametros_recargas!$B$60,parametros_recargas!$E$12:$L$12,0))</f>
        <v>3.64</v>
      </c>
      <c r="G78" s="26" t="n">
        <f aca="false">MAX(0,G56-F56)+F56*INDEX(parametros_recargas!$E$21:$L$21,MATCH(parametros_recargas!$B$60,parametros_recargas!$E$12:$L$12,0))</f>
        <v>3.88</v>
      </c>
      <c r="H78" s="26" t="n">
        <f aca="false">MAX(0,H56-G56)+G56*INDEX(parametros_recargas!$E$21:$L$21,MATCH(parametros_recargas!$B$60,parametros_recargas!$E$12:$L$12,0))</f>
        <v>1.12</v>
      </c>
      <c r="I78" s="26" t="n">
        <f aca="false">MAX(0,I56-H56)+H56*INDEX(parametros_recargas!$E$21:$L$21,MATCH(parametros_recargas!$B$60,parametros_recargas!$E$12:$L$12,0))</f>
        <v>1.96</v>
      </c>
      <c r="J78" s="26" t="n">
        <f aca="false">MAX(0,J56-I56)+I56*INDEX(parametros_recargas!$E$21:$L$21,MATCH(parametros_recargas!$B$60,parametros_recargas!$E$12:$L$12,0))</f>
        <v>2.04</v>
      </c>
      <c r="K78" s="26" t="n">
        <f aca="false">MAX(0,K56-J56)+J56*INDEX(parametros_recargas!$E$21:$L$21,MATCH(parametros_recargas!$B$60,parametros_recargas!$E$12:$L$12,0))</f>
        <v>2.12</v>
      </c>
    </row>
    <row r="79" customFormat="false" ht="15" hidden="false" customHeight="false" outlineLevel="0" collapsed="false">
      <c r="A79" s="10" t="str">
        <f aca="false">datos_base!A8</f>
        <v>AFFF 50 l s/ruedas</v>
      </c>
      <c r="B79" s="26" t="n">
        <f aca="false">B57</f>
        <v>1</v>
      </c>
      <c r="C79" s="26" t="n">
        <f aca="false">MAX(0,C57-B57)+B57*INDEX(parametros_recargas!$E$21:$L$21,MATCH(parametros_recargas!$B$61,parametros_recargas!$E$12:$L$12,0))</f>
        <v>1.08</v>
      </c>
      <c r="D79" s="26" t="n">
        <f aca="false">MAX(0,D57-C57)+C57*INDEX(parametros_recargas!$E$21:$L$21,MATCH(parametros_recargas!$B$61,parametros_recargas!$E$12:$L$12,0))</f>
        <v>1.16</v>
      </c>
      <c r="E79" s="26" t="n">
        <f aca="false">MAX(0,E57-D57)+D57*INDEX(parametros_recargas!$E$21:$L$21,MATCH(parametros_recargas!$B$61,parametros_recargas!$E$12:$L$12,0))</f>
        <v>1.24</v>
      </c>
      <c r="F79" s="26" t="n">
        <f aca="false">MAX(0,F57-E57)+E57*INDEX(parametros_recargas!$E$21:$L$21,MATCH(parametros_recargas!$B$61,parametros_recargas!$E$12:$L$12,0))</f>
        <v>2.32</v>
      </c>
      <c r="G79" s="26" t="n">
        <f aca="false">MAX(0,G57-F57)+F57*INDEX(parametros_recargas!$E$21:$L$21,MATCH(parametros_recargas!$B$61,parametros_recargas!$E$12:$L$12,0))</f>
        <v>2.48</v>
      </c>
      <c r="H79" s="26" t="n">
        <f aca="false">MAX(0,H57-G57)+G57*INDEX(parametros_recargas!$E$21:$L$21,MATCH(parametros_recargas!$B$61,parametros_recargas!$E$12:$L$12,0))</f>
        <v>0.64</v>
      </c>
      <c r="I79" s="26" t="n">
        <f aca="false">MAX(0,I57-H57)+H57*INDEX(parametros_recargas!$E$21:$L$21,MATCH(parametros_recargas!$B$61,parametros_recargas!$E$12:$L$12,0))</f>
        <v>1.48</v>
      </c>
      <c r="J79" s="26" t="n">
        <f aca="false">MAX(0,J57-I57)+I57*INDEX(parametros_recargas!$E$21:$L$21,MATCH(parametros_recargas!$B$61,parametros_recargas!$E$12:$L$12,0))</f>
        <v>1.56</v>
      </c>
      <c r="K79" s="26" t="n">
        <f aca="false">MAX(0,K57-J57)+J57*INDEX(parametros_recargas!$E$21:$L$21,MATCH(parametros_recargas!$B$61,parametros_recargas!$E$12:$L$12,0))</f>
        <v>0.64</v>
      </c>
    </row>
    <row r="80" customFormat="false" ht="15" hidden="false" customHeight="false" outlineLevel="0" collapsed="false">
      <c r="A80" s="10" t="str">
        <f aca="false">datos_base!A9</f>
        <v>BC 5 kg</v>
      </c>
      <c r="B80" s="26" t="n">
        <f aca="false">B58</f>
        <v>1</v>
      </c>
      <c r="C80" s="26" t="n">
        <f aca="false">MAX(0,C58-B58)+B58*INDEX(parametros_recargas!$E$21:$L$21,MATCH(parametros_recargas!$B$62,parametros_recargas!$E$12:$L$12,0))</f>
        <v>0.08</v>
      </c>
      <c r="D80" s="26" t="n">
        <f aca="false">MAX(0,D58-C58)+C58*INDEX(parametros_recargas!$E$21:$L$21,MATCH(parametros_recargas!$B$62,parametros_recargas!$E$12:$L$12,0))</f>
        <v>1.08</v>
      </c>
      <c r="E80" s="26" t="n">
        <f aca="false">MAX(0,E58-D58)+D58*INDEX(parametros_recargas!$E$21:$L$21,MATCH(parametros_recargas!$B$62,parametros_recargas!$E$12:$L$12,0))</f>
        <v>1.16</v>
      </c>
      <c r="F80" s="26" t="n">
        <f aca="false">MAX(0,F58-E58)+E58*INDEX(parametros_recargas!$E$21:$L$21,MATCH(parametros_recargas!$B$62,parametros_recargas!$E$12:$L$12,0))</f>
        <v>1.24</v>
      </c>
      <c r="G80" s="26" t="n">
        <f aca="false">MAX(0,G58-F58)+F58*INDEX(parametros_recargas!$E$21:$L$21,MATCH(parametros_recargas!$B$62,parametros_recargas!$E$12:$L$12,0))</f>
        <v>1.32</v>
      </c>
      <c r="H80" s="26" t="n">
        <f aca="false">MAX(0,H58-G58)+G58*INDEX(parametros_recargas!$E$21:$L$21,MATCH(parametros_recargas!$B$62,parametros_recargas!$E$12:$L$12,0))</f>
        <v>0.4</v>
      </c>
      <c r="I80" s="26" t="n">
        <f aca="false">MAX(0,I58-H58)+H58*INDEX(parametros_recargas!$E$21:$L$21,MATCH(parametros_recargas!$B$62,parametros_recargas!$E$12:$L$12,0))</f>
        <v>0.32</v>
      </c>
      <c r="J80" s="26" t="n">
        <f aca="false">MAX(0,J58-I58)+I58*INDEX(parametros_recargas!$E$21:$L$21,MATCH(parametros_recargas!$B$62,parametros_recargas!$E$12:$L$12,0))</f>
        <v>1.32</v>
      </c>
      <c r="K80" s="26" t="n">
        <f aca="false">MAX(0,K58-J58)+J58*INDEX(parametros_recargas!$E$21:$L$21,MATCH(parametros_recargas!$B$62,parametros_recargas!$E$12:$L$12,0))</f>
        <v>0.4</v>
      </c>
    </row>
    <row r="81" customFormat="false" ht="15" hidden="false" customHeight="false" outlineLevel="0" collapsed="false">
      <c r="A81" s="10" t="str">
        <f aca="false">datos_base!A10</f>
        <v>Sales K 6 l</v>
      </c>
      <c r="B81" s="26" t="n">
        <f aca="false">B59</f>
        <v>2</v>
      </c>
      <c r="C81" s="26" t="n">
        <f aca="false">MAX(0,C59-B59)+B59*INDEX(parametros_recargas!$E$21:$L$21,MATCH(parametros_recargas!$B$63,parametros_recargas!$E$12:$L$12,0))</f>
        <v>4.16</v>
      </c>
      <c r="D81" s="26" t="n">
        <f aca="false">MAX(0,D59-C59)+C59*INDEX(parametros_recargas!$E$21:$L$21,MATCH(parametros_recargas!$B$63,parametros_recargas!$E$12:$L$12,0))</f>
        <v>6.48</v>
      </c>
      <c r="E81" s="26" t="n">
        <f aca="false">MAX(0,E59-D59)+D59*INDEX(parametros_recargas!$E$21:$L$21,MATCH(parametros_recargas!$B$63,parametros_recargas!$E$12:$L$12,0))</f>
        <v>10.96</v>
      </c>
      <c r="F81" s="26" t="n">
        <f aca="false">MAX(0,F59-E59)+E59*INDEX(parametros_recargas!$E$21:$L$21,MATCH(parametros_recargas!$B$63,parametros_recargas!$E$12:$L$12,0))</f>
        <v>11.76</v>
      </c>
      <c r="G81" s="26" t="n">
        <f aca="false">MAX(0,G59-F59)+F59*INDEX(parametros_recargas!$E$21:$L$21,MATCH(parametros_recargas!$B$63,parametros_recargas!$E$12:$L$12,0))</f>
        <v>12.56</v>
      </c>
      <c r="H81" s="26" t="n">
        <f aca="false">MAX(0,H59-G59)+G59*INDEX(parametros_recargas!$E$21:$L$21,MATCH(parametros_recargas!$B$63,parametros_recargas!$E$12:$L$12,0))</f>
        <v>6.36</v>
      </c>
      <c r="I81" s="26" t="n">
        <f aca="false">MAX(0,I59-H59)+H59*INDEX(parametros_recargas!$E$21:$L$21,MATCH(parametros_recargas!$B$63,parametros_recargas!$E$12:$L$12,0))</f>
        <v>8.6</v>
      </c>
      <c r="J81" s="26" t="n">
        <f aca="false">MAX(0,J59-I59)+I59*INDEX(parametros_recargas!$E$21:$L$21,MATCH(parametros_recargas!$B$63,parametros_recargas!$E$12:$L$12,0))</f>
        <v>8</v>
      </c>
      <c r="K81" s="26" t="n">
        <f aca="false">MAX(0,K59-J59)+J59*INDEX(parametros_recargas!$E$21:$L$21,MATCH(parametros_recargas!$B$63,parametros_recargas!$E$12:$L$12,0))</f>
        <v>8.32</v>
      </c>
    </row>
    <row r="82" customFormat="false" ht="15" hidden="false" customHeight="false" outlineLevel="0" collapsed="false">
      <c r="A82" s="10" t="str">
        <f aca="false">datos_base!A11</f>
        <v>CO₂ 2 kg</v>
      </c>
      <c r="B82" s="26" t="n">
        <f aca="false">B60</f>
        <v>6</v>
      </c>
      <c r="C82" s="26" t="n">
        <f aca="false">MAX(0,C60-B60)+B60*INDEX(parametros_recargas!$E$21:$L$21,MATCH(parametros_recargas!$B$64,parametros_recargas!$E$12:$L$12,0))</f>
        <v>15.38</v>
      </c>
      <c r="D82" s="26" t="n">
        <f aca="false">MAX(0,D60-C60)+C60*INDEX(parametros_recargas!$E$21:$L$21,MATCH(parametros_recargas!$B$64,parametros_recargas!$E$12:$L$12,0))</f>
        <v>28.33</v>
      </c>
      <c r="E82" s="26" t="n">
        <f aca="false">MAX(0,E60-D60)+D60*INDEX(parametros_recargas!$E$21:$L$21,MATCH(parametros_recargas!$B$64,parametros_recargas!$E$12:$L$12,0))</f>
        <v>45.04</v>
      </c>
      <c r="F82" s="26" t="n">
        <f aca="false">MAX(0,F60-E60)+E60*INDEX(parametros_recargas!$E$21:$L$21,MATCH(parametros_recargas!$B$64,parametros_recargas!$E$12:$L$12,0))</f>
        <v>45.7</v>
      </c>
      <c r="G82" s="26" t="n">
        <f aca="false">MAX(0,G60-F60)+F60*INDEX(parametros_recargas!$E$21:$L$21,MATCH(parametros_recargas!$B$64,parametros_recargas!$E$12:$L$12,0))</f>
        <v>51.2333333333333</v>
      </c>
      <c r="H82" s="26" t="n">
        <f aca="false">MAX(0,H60-G60)+G60*INDEX(parametros_recargas!$E$21:$L$21,MATCH(parametros_recargas!$B$64,parametros_recargas!$E$12:$L$12,0))</f>
        <v>41.9566666666667</v>
      </c>
      <c r="I82" s="26" t="n">
        <f aca="false">MAX(0,I60-H60)+H60*INDEX(parametros_recargas!$E$21:$L$21,MATCH(parametros_recargas!$B$64,parametros_recargas!$E$12:$L$12,0))</f>
        <v>34.92</v>
      </c>
      <c r="J82" s="26" t="n">
        <f aca="false">MAX(0,J60-I60)+I60*INDEX(parametros_recargas!$E$21:$L$21,MATCH(parametros_recargas!$B$64,parametros_recargas!$E$12:$L$12,0))</f>
        <v>32.3133333333333</v>
      </c>
      <c r="K82" s="26" t="n">
        <f aca="false">MAX(0,K60-J60)+J60*INDEX(parametros_recargas!$E$21:$L$21,MATCH(parametros_recargas!$B$64,parametros_recargas!$E$12:$L$12,0))</f>
        <v>33.4533333333333</v>
      </c>
    </row>
    <row r="83" customFormat="false" ht="15" hidden="false" customHeight="false" outlineLevel="0" collapsed="false">
      <c r="A83" s="10" t="str">
        <f aca="false">datos_base!A12</f>
        <v>CO₂ 5 kg</v>
      </c>
      <c r="B83" s="26" t="n">
        <f aca="false">B61</f>
        <v>2</v>
      </c>
      <c r="C83" s="26" t="n">
        <f aca="false">MAX(0,C61-B61)+B61*INDEX(parametros_recargas!$E$21:$L$21,MATCH(parametros_recargas!$B$65,parametros_recargas!$E$12:$L$12,0))</f>
        <v>6.12666666666667</v>
      </c>
      <c r="D83" s="26" t="n">
        <f aca="false">MAX(0,D61-C61)+C61*INDEX(parametros_recargas!$E$21:$L$21,MATCH(parametros_recargas!$B$65,parametros_recargas!$E$12:$L$12,0))</f>
        <v>8.50666666666667</v>
      </c>
      <c r="E83" s="26" t="n">
        <f aca="false">MAX(0,E61-D61)+D61*INDEX(parametros_recargas!$E$21:$L$21,MATCH(parametros_recargas!$B$65,parametros_recargas!$E$12:$L$12,0))</f>
        <v>13.0133333333333</v>
      </c>
      <c r="F83" s="26" t="n">
        <f aca="false">MAX(0,F61-E61)+E61*INDEX(parametros_recargas!$E$21:$L$21,MATCH(parametros_recargas!$B$65,parametros_recargas!$E$12:$L$12,0))</f>
        <v>13.7733333333333</v>
      </c>
      <c r="G83" s="26" t="n">
        <f aca="false">MAX(0,G61-F61)+F61*INDEX(parametros_recargas!$E$21:$L$21,MATCH(parametros_recargas!$B$65,parametros_recargas!$E$12:$L$12,0))</f>
        <v>15.5333333333333</v>
      </c>
      <c r="H83" s="26" t="n">
        <f aca="false">MAX(0,H61-G61)+G61*INDEX(parametros_recargas!$E$21:$L$21,MATCH(parametros_recargas!$B$65,parametros_recargas!$E$12:$L$12,0))</f>
        <v>3.35666666666667</v>
      </c>
      <c r="I83" s="26" t="n">
        <f aca="false">MAX(0,I61-H61)+H61*INDEX(parametros_recargas!$E$21:$L$21,MATCH(parametros_recargas!$B$65,parametros_recargas!$E$12:$L$12,0))</f>
        <v>10.23</v>
      </c>
      <c r="J83" s="26" t="n">
        <f aca="false">MAX(0,J61-I61)+I61*INDEX(parametros_recargas!$E$21:$L$21,MATCH(parametros_recargas!$B$65,parametros_recargas!$E$12:$L$12,0))</f>
        <v>8.67333333333333</v>
      </c>
      <c r="K83" s="26" t="n">
        <f aca="false">MAX(0,K61-J61)+J61*INDEX(parametros_recargas!$E$21:$L$21,MATCH(parametros_recargas!$B$65,parametros_recargas!$E$12:$L$12,0))</f>
        <v>8.99</v>
      </c>
    </row>
    <row r="84" customFormat="false" ht="15" hidden="false" customHeight="false" outlineLevel="0" collapsed="false">
      <c r="A84" s="10" t="str">
        <f aca="false">datos_base!A13</f>
        <v>HCFC/HFC 5 kg</v>
      </c>
      <c r="B84" s="26" t="n">
        <f aca="false">B62</f>
        <v>1</v>
      </c>
      <c r="C84" s="26" t="n">
        <f aca="false">MAX(0,C62-B62)+B62*INDEX(parametros_recargas!$E$21:$L$21,MATCH(parametros_recargas!$B$66,parametros_recargas!$E$12:$L$12,0))</f>
        <v>1.08</v>
      </c>
      <c r="D84" s="26" t="n">
        <f aca="false">MAX(0,D62-C62)+C62*INDEX(parametros_recargas!$E$21:$L$21,MATCH(parametros_recargas!$B$66,parametros_recargas!$E$12:$L$12,0))</f>
        <v>1.16</v>
      </c>
      <c r="E84" s="26" t="n">
        <f aca="false">MAX(0,E62-D62)+D62*INDEX(parametros_recargas!$E$21:$L$21,MATCH(parametros_recargas!$B$66,parametros_recargas!$E$12:$L$12,0))</f>
        <v>3.24</v>
      </c>
      <c r="F84" s="26" t="n">
        <f aca="false">MAX(0,F62-E62)+E62*INDEX(parametros_recargas!$E$21:$L$21,MATCH(parametros_recargas!$B$66,parametros_recargas!$E$12:$L$12,0))</f>
        <v>2.48</v>
      </c>
      <c r="G84" s="26" t="n">
        <f aca="false">MAX(0,G62-F62)+F62*INDEX(parametros_recargas!$E$21:$L$21,MATCH(parametros_recargas!$B$66,parametros_recargas!$E$12:$L$12,0))</f>
        <v>2.64</v>
      </c>
      <c r="H84" s="26" t="n">
        <f aca="false">MAX(0,H62-G62)+G62*INDEX(parametros_recargas!$E$21:$L$21,MATCH(parametros_recargas!$B$66,parametros_recargas!$E$12:$L$12,0))</f>
        <v>0.8</v>
      </c>
      <c r="I84" s="26" t="n">
        <f aca="false">MAX(0,I62-H62)+H62*INDEX(parametros_recargas!$E$21:$L$21,MATCH(parametros_recargas!$B$66,parametros_recargas!$E$12:$L$12,0))</f>
        <v>1.72</v>
      </c>
      <c r="J84" s="26" t="n">
        <f aca="false">MAX(0,J62-I62)+I62*INDEX(parametros_recargas!$E$21:$L$21,MATCH(parametros_recargas!$B$66,parametros_recargas!$E$12:$L$12,0))</f>
        <v>1.8</v>
      </c>
      <c r="K84" s="26" t="n">
        <f aca="false">MAX(0,K62-J62)+J62*INDEX(parametros_recargas!$E$21:$L$21,MATCH(parametros_recargas!$B$66,parametros_recargas!$E$12:$L$12,0))</f>
        <v>1.88</v>
      </c>
    </row>
    <row r="85" customFormat="false" ht="15" hidden="false" customHeight="false" outlineLevel="0" collapsed="false">
      <c r="A85" s="10" t="str">
        <f aca="false">datos_base!A14</f>
        <v>Clase D 9 l</v>
      </c>
      <c r="B85" s="26" t="n">
        <f aca="false">B63</f>
        <v>1</v>
      </c>
      <c r="C85" s="26" t="n">
        <f aca="false">MAX(0,C63-B63)+B63*INDEX(parametros_recargas!$E$21:$L$21,MATCH(parametros_recargas!$B$67,parametros_recargas!$E$12:$L$12,0))</f>
        <v>0.08</v>
      </c>
      <c r="D85" s="26" t="n">
        <f aca="false">MAX(0,D63-C63)+C63*INDEX(parametros_recargas!$E$21:$L$21,MATCH(parametros_recargas!$B$67,parametros_recargas!$E$12:$L$12,0))</f>
        <v>1.08</v>
      </c>
      <c r="E85" s="26" t="n">
        <f aca="false">MAX(0,E63-D63)+D63*INDEX(parametros_recargas!$E$21:$L$21,MATCH(parametros_recargas!$B$67,parametros_recargas!$E$12:$L$12,0))</f>
        <v>1.16</v>
      </c>
      <c r="F85" s="26" t="n">
        <f aca="false">MAX(0,F63-E63)+E63*INDEX(parametros_recargas!$E$21:$L$21,MATCH(parametros_recargas!$B$67,parametros_recargas!$E$12:$L$12,0))</f>
        <v>0.24</v>
      </c>
      <c r="G85" s="26" t="n">
        <f aca="false">MAX(0,G63-F63)+F63*INDEX(parametros_recargas!$E$21:$L$21,MATCH(parametros_recargas!$B$67,parametros_recargas!$E$12:$L$12,0))</f>
        <v>1.24</v>
      </c>
      <c r="H85" s="26" t="n">
        <f aca="false">MAX(0,H63-G63)+G63*INDEX(parametros_recargas!$E$21:$L$21,MATCH(parametros_recargas!$B$67,parametros_recargas!$E$12:$L$12,0))</f>
        <v>0.32</v>
      </c>
      <c r="I85" s="26" t="n">
        <f aca="false">MAX(0,I63-H63)+H63*INDEX(parametros_recargas!$E$21:$L$21,MATCH(parametros_recargas!$B$67,parametros_recargas!$E$12:$L$12,0))</f>
        <v>0.32</v>
      </c>
      <c r="J85" s="26" t="n">
        <f aca="false">MAX(0,J63-I63)+I63*INDEX(parametros_recargas!$E$21:$L$21,MATCH(parametros_recargas!$B$67,parametros_recargas!$E$12:$L$12,0))</f>
        <v>0.32</v>
      </c>
      <c r="K85" s="26" t="n">
        <f aca="false">MAX(0,K63-J63)+J63*INDEX(parametros_recargas!$E$21:$L$21,MATCH(parametros_recargas!$B$67,parametros_recargas!$E$12:$L$12,0))</f>
        <v>1.32</v>
      </c>
    </row>
    <row r="86" customFormat="false" ht="15" hidden="false" customHeight="false" outlineLevel="0" collapsed="false">
      <c r="A86" s="10" t="str">
        <f aca="false">datos_base!A15</f>
        <v>ABC 25 kg s/ruedas</v>
      </c>
      <c r="B86" s="26" t="n">
        <f aca="false">B64</f>
        <v>1</v>
      </c>
      <c r="C86" s="26" t="n">
        <f aca="false">MAX(0,C64-B64)+B64*INDEX(parametros_recargas!$E$21:$L$21,MATCH(parametros_recargas!$B$68,parametros_recargas!$E$12:$L$12,0))</f>
        <v>0.08</v>
      </c>
      <c r="D86" s="26" t="n">
        <f aca="false">MAX(0,D64-C64)+C64*INDEX(parametros_recargas!$E$21:$L$21,MATCH(parametros_recargas!$B$68,parametros_recargas!$E$12:$L$12,0))</f>
        <v>2.08</v>
      </c>
      <c r="E86" s="26" t="n">
        <f aca="false">MAX(0,E64-D64)+D64*INDEX(parametros_recargas!$E$21:$L$21,MATCH(parametros_recargas!$B$68,parametros_recargas!$E$12:$L$12,0))</f>
        <v>1.24</v>
      </c>
      <c r="F86" s="26" t="n">
        <f aca="false">MAX(0,F64-E64)+E64*INDEX(parametros_recargas!$E$21:$L$21,MATCH(parametros_recargas!$B$68,parametros_recargas!$E$12:$L$12,0))</f>
        <v>2.32</v>
      </c>
      <c r="G86" s="26" t="n">
        <f aca="false">MAX(0,G64-F64)+F64*INDEX(parametros_recargas!$E$21:$L$21,MATCH(parametros_recargas!$B$68,parametros_recargas!$E$12:$L$12,0))</f>
        <v>2.48</v>
      </c>
      <c r="H86" s="26" t="n">
        <f aca="false">MAX(0,H64-G64)+G64*INDEX(parametros_recargas!$E$21:$L$21,MATCH(parametros_recargas!$B$68,parametros_recargas!$E$12:$L$12,0))</f>
        <v>0.64</v>
      </c>
      <c r="I86" s="26" t="n">
        <f aca="false">MAX(0,I64-H64)+H64*INDEX(parametros_recargas!$E$21:$L$21,MATCH(parametros_recargas!$B$68,parametros_recargas!$E$12:$L$12,0))</f>
        <v>1.64</v>
      </c>
      <c r="J86" s="26" t="n">
        <f aca="false">MAX(0,J64-I64)+I64*INDEX(parametros_recargas!$E$21:$L$21,MATCH(parametros_recargas!$B$68,parametros_recargas!$E$12:$L$12,0))</f>
        <v>0.72</v>
      </c>
      <c r="K86" s="26" t="n">
        <f aca="false">MAX(0,K64-J64)+J64*INDEX(parametros_recargas!$E$21:$L$21,MATCH(parametros_recargas!$B$68,parametros_recargas!$E$12:$L$12,0))</f>
        <v>1.72</v>
      </c>
    </row>
    <row r="87" customFormat="false" ht="15" hidden="false" customHeight="false" outlineLevel="0" collapsed="false">
      <c r="A87" s="10" t="str">
        <f aca="false">datos_base!A16</f>
        <v>ABC 50 kg s/ruedas</v>
      </c>
      <c r="B87" s="26" t="n">
        <f aca="false">B65</f>
        <v>1</v>
      </c>
      <c r="C87" s="26" t="n">
        <f aca="false">MAX(0,C65-B65)+B65*INDEX(parametros_recargas!$E$21:$L$21,MATCH(parametros_recargas!$B$69,parametros_recargas!$E$12:$L$12,0))</f>
        <v>2.08</v>
      </c>
      <c r="D87" s="26" t="n">
        <f aca="false">MAX(0,D65-C65)+C65*INDEX(parametros_recargas!$E$21:$L$21,MATCH(parametros_recargas!$B$69,parametros_recargas!$E$12:$L$12,0))</f>
        <v>2.24</v>
      </c>
      <c r="E87" s="26" t="n">
        <f aca="false">MAX(0,E65-D65)+D65*INDEX(parametros_recargas!$E$21:$L$21,MATCH(parametros_recargas!$B$69,parametros_recargas!$E$12:$L$12,0))</f>
        <v>4.4</v>
      </c>
      <c r="F87" s="26" t="n">
        <f aca="false">MAX(0,F65-E65)+E65*INDEX(parametros_recargas!$E$21:$L$21,MATCH(parametros_recargas!$B$69,parametros_recargas!$E$12:$L$12,0))</f>
        <v>4.72</v>
      </c>
      <c r="G87" s="26" t="n">
        <f aca="false">MAX(0,G65-F65)+F65*INDEX(parametros_recargas!$E$21:$L$21,MATCH(parametros_recargas!$B$69,parametros_recargas!$E$12:$L$12,0))</f>
        <v>5.04</v>
      </c>
      <c r="H87" s="26" t="n">
        <f aca="false">MAX(0,H65-G65)+G65*INDEX(parametros_recargas!$E$21:$L$21,MATCH(parametros_recargas!$B$69,parametros_recargas!$E$12:$L$12,0))</f>
        <v>1.36</v>
      </c>
      <c r="I87" s="26" t="n">
        <f aca="false">MAX(0,I65-H65)+H65*INDEX(parametros_recargas!$E$21:$L$21,MATCH(parametros_recargas!$B$69,parametros_recargas!$E$12:$L$12,0))</f>
        <v>3.28</v>
      </c>
      <c r="J87" s="26" t="n">
        <f aca="false">MAX(0,J65-I65)+I65*INDEX(parametros_recargas!$E$21:$L$21,MATCH(parametros_recargas!$B$69,parametros_recargas!$E$12:$L$12,0))</f>
        <v>3.44</v>
      </c>
      <c r="K87" s="26" t="n">
        <f aca="false">MAX(0,K65-J65)+J65*INDEX(parametros_recargas!$E$21:$L$21,MATCH(parametros_recargas!$B$69,parametros_recargas!$E$12:$L$12,0))</f>
        <v>2.6</v>
      </c>
    </row>
    <row r="88" customFormat="false" ht="15" hidden="false" customHeight="false" outlineLevel="0" collapsed="false">
      <c r="A88" s="10" t="str">
        <f aca="false">datos_base!A17</f>
        <v>ABC 70 kg s/ruedas</v>
      </c>
      <c r="B88" s="26" t="n">
        <f aca="false">B66</f>
        <v>1</v>
      </c>
      <c r="C88" s="26" t="n">
        <f aca="false">MAX(0,C66-B66)+B66*INDEX(parametros_recargas!$E$21:$L$21,MATCH(parametros_recargas!$B$70,parametros_recargas!$E$12:$L$12,0))</f>
        <v>0.08</v>
      </c>
      <c r="D88" s="26" t="n">
        <f aca="false">MAX(0,D66-C66)+C66*INDEX(parametros_recargas!$E$21:$L$21,MATCH(parametros_recargas!$B$70,parametros_recargas!$E$12:$L$12,0))</f>
        <v>1.08</v>
      </c>
      <c r="E88" s="26" t="n">
        <f aca="false">MAX(0,E66-D66)+D66*INDEX(parametros_recargas!$E$21:$L$21,MATCH(parametros_recargas!$B$70,parametros_recargas!$E$12:$L$12,0))</f>
        <v>0.16</v>
      </c>
      <c r="F88" s="26" t="n">
        <f aca="false">MAX(0,F66-E66)+E66*INDEX(parametros_recargas!$E$21:$L$21,MATCH(parametros_recargas!$B$70,parametros_recargas!$E$12:$L$12,0))</f>
        <v>1.16</v>
      </c>
      <c r="G88" s="26" t="n">
        <f aca="false">MAX(0,G66-F66)+F66*INDEX(parametros_recargas!$E$21:$L$21,MATCH(parametros_recargas!$B$70,parametros_recargas!$E$12:$L$12,0))</f>
        <v>1.24</v>
      </c>
      <c r="H88" s="26" t="n">
        <f aca="false">MAX(0,H66-G66)+G66*INDEX(parametros_recargas!$E$21:$L$21,MATCH(parametros_recargas!$B$70,parametros_recargas!$E$12:$L$12,0))</f>
        <v>0.32</v>
      </c>
      <c r="I88" s="26" t="n">
        <f aca="false">MAX(0,I66-H66)+H66*INDEX(parametros_recargas!$E$21:$L$21,MATCH(parametros_recargas!$B$70,parametros_recargas!$E$12:$L$12,0))</f>
        <v>0.32</v>
      </c>
      <c r="J88" s="26" t="n">
        <f aca="false">MAX(0,J66-I66)+I66*INDEX(parametros_recargas!$E$21:$L$21,MATCH(parametros_recargas!$B$70,parametros_recargas!$E$12:$L$12,0))</f>
        <v>1.32</v>
      </c>
      <c r="K88" s="26" t="n">
        <f aca="false">MAX(0,K66-J66)+J66*INDEX(parametros_recargas!$E$21:$L$21,MATCH(parametros_recargas!$B$70,parametros_recargas!$E$12:$L$12,0))</f>
        <v>0.4</v>
      </c>
    </row>
    <row r="89" customFormat="false" ht="15" hidden="false" customHeight="false" outlineLevel="0" collapsed="false">
      <c r="A89" s="10" t="str">
        <f aca="false">datos_base!A18</f>
        <v>ABC 100 kg s/ruedas</v>
      </c>
      <c r="B89" s="26" t="n">
        <f aca="false">B67</f>
        <v>1</v>
      </c>
      <c r="C89" s="26" t="n">
        <f aca="false">MAX(0,C67-B67)+B67*INDEX(parametros_recargas!$E$21:$L$21,MATCH(parametros_recargas!$B$71,parametros_recargas!$E$12:$L$12,0))</f>
        <v>0.08</v>
      </c>
      <c r="D89" s="26" t="n">
        <f aca="false">MAX(0,D67-C67)+C67*INDEX(parametros_recargas!$E$21:$L$21,MATCH(parametros_recargas!$B$71,parametros_recargas!$E$12:$L$12,0))</f>
        <v>0.08</v>
      </c>
      <c r="E89" s="26" t="n">
        <f aca="false">MAX(0,E67-D67)+D67*INDEX(parametros_recargas!$E$21:$L$21,MATCH(parametros_recargas!$B$71,parametros_recargas!$E$12:$L$12,0))</f>
        <v>1.08</v>
      </c>
      <c r="F89" s="26" t="n">
        <f aca="false">MAX(0,F67-E67)+E67*INDEX(parametros_recargas!$E$21:$L$21,MATCH(parametros_recargas!$B$71,parametros_recargas!$E$12:$L$12,0))</f>
        <v>0.16</v>
      </c>
      <c r="G89" s="26" t="n">
        <f aca="false">MAX(0,G67-F67)+F67*INDEX(parametros_recargas!$E$21:$L$21,MATCH(parametros_recargas!$B$71,parametros_recargas!$E$12:$L$12,0))</f>
        <v>1.16</v>
      </c>
      <c r="H89" s="26" t="n">
        <f aca="false">MAX(0,H67-G67)+G67*INDEX(parametros_recargas!$E$21:$L$21,MATCH(parametros_recargas!$B$71,parametros_recargas!$E$12:$L$12,0))</f>
        <v>0.24</v>
      </c>
      <c r="I89" s="26" t="n">
        <f aca="false">MAX(0,I67-H67)+H67*INDEX(parametros_recargas!$E$21:$L$21,MATCH(parametros_recargas!$B$71,parametros_recargas!$E$12:$L$12,0))</f>
        <v>0.24</v>
      </c>
      <c r="J89" s="26" t="n">
        <f aca="false">MAX(0,J67-I67)+I67*INDEX(parametros_recargas!$E$21:$L$21,MATCH(parametros_recargas!$B$71,parametros_recargas!$E$12:$L$12,0))</f>
        <v>0.24</v>
      </c>
      <c r="K89" s="26" t="n">
        <f aca="false">MAX(0,K67-J67)+J67*INDEX(parametros_recargas!$E$21:$L$21,MATCH(parametros_recargas!$B$71,parametros_recargas!$E$12:$L$12,0))</f>
        <v>0.24</v>
      </c>
    </row>
    <row r="90" customFormat="false" ht="15" hidden="false" customHeight="false" outlineLevel="0" collapsed="false">
      <c r="A90" s="4" t="s">
        <v>423</v>
      </c>
      <c r="B90" s="27" t="n">
        <f aca="false">SUMIF($F$30:$F$46,"Fábrica: cilindro vacío",B73:B89)</f>
        <v>32</v>
      </c>
      <c r="C90" s="27" t="n">
        <f aca="false">SUMIF($F$30:$F$46,"Fábrica: cilindro vacío",C73:C89)</f>
        <v>85.56</v>
      </c>
      <c r="D90" s="27" t="n">
        <f aca="false">SUMIF($F$30:$F$46,"Fábrica: cilindro vacío",D73:D89)</f>
        <v>150.2</v>
      </c>
      <c r="E90" s="27" t="n">
        <f aca="false">SUMIF($F$30:$F$46,"Fábrica: cilindro vacío",E73:E89)</f>
        <v>242.48</v>
      </c>
      <c r="F90" s="27" t="n">
        <f aca="false">SUMIF($F$30:$F$46,"Fábrica: cilindro vacío",F73:F89)</f>
        <v>247.24</v>
      </c>
      <c r="G90" s="27" t="n">
        <f aca="false">SUMIF($F$30:$F$46,"Fábrica: cilindro vacío",G73:G89)</f>
        <v>281.96</v>
      </c>
      <c r="H90" s="27" t="n">
        <f aca="false">SUMIF($F$30:$F$46,"Fábrica: cilindro vacío",H73:H89)</f>
        <v>182.12</v>
      </c>
      <c r="I90" s="27" t="n">
        <f aca="false">SUMIF($F$30:$F$46,"Fábrica: cilindro vacío",I73:I89)</f>
        <v>191.76</v>
      </c>
      <c r="J90" s="27" t="n">
        <f aca="false">SUMIF($F$30:$F$46,"Fábrica: cilindro vacío",J73:J89)</f>
        <v>180.56</v>
      </c>
      <c r="K90" s="27" t="n">
        <f aca="false">SUMIF($F$30:$F$46,"Fábrica: cilindro vacío",K73:K89)</f>
        <v>187.76</v>
      </c>
    </row>
    <row r="91" customFormat="false" ht="15" hidden="false" customHeight="false" outlineLevel="0" collapsed="false">
      <c r="A91" s="4" t="s">
        <v>424</v>
      </c>
      <c r="B91" s="27" t="n">
        <f aca="false">SUMIF($F$30:$F$46,"Fábrica: terminado",B73:B89)</f>
        <v>0</v>
      </c>
      <c r="C91" s="27" t="n">
        <f aca="false">SUMIF($F$30:$F$46,"Fábrica: terminado",C73:C89)</f>
        <v>0</v>
      </c>
      <c r="D91" s="27" t="n">
        <f aca="false">SUMIF($F$30:$F$46,"Fábrica: terminado",D73:D89)</f>
        <v>0</v>
      </c>
      <c r="E91" s="27" t="n">
        <f aca="false">SUMIF($F$30:$F$46,"Fábrica: terminado",E73:E89)</f>
        <v>0</v>
      </c>
      <c r="F91" s="27" t="n">
        <f aca="false">SUMIF($F$30:$F$46,"Fábrica: terminado",F73:F89)</f>
        <v>0</v>
      </c>
      <c r="G91" s="27" t="n">
        <f aca="false">SUMIF($F$30:$F$46,"Fábrica: terminado",G73:G89)</f>
        <v>0</v>
      </c>
      <c r="H91" s="27" t="n">
        <f aca="false">SUMIF($F$30:$F$46,"Fábrica: terminado",H73:H89)</f>
        <v>0</v>
      </c>
      <c r="I91" s="27" t="n">
        <f aca="false">SUMIF($F$30:$F$46,"Fábrica: terminado",I73:I89)</f>
        <v>0</v>
      </c>
      <c r="J91" s="27" t="n">
        <f aca="false">SUMIF($F$30:$F$46,"Fábrica: terminado",J73:J89)</f>
        <v>0</v>
      </c>
      <c r="K91" s="27" t="n">
        <f aca="false">SUMIF($F$30:$F$46,"Fábrica: terminado",K73:K89)</f>
        <v>0</v>
      </c>
    </row>
    <row r="92" customFormat="false" ht="15" hidden="false" customHeight="false" outlineLevel="0" collapsed="false">
      <c r="A92" s="4" t="s">
        <v>425</v>
      </c>
      <c r="B92" s="27" t="n">
        <f aca="false">SUMIF($F$30:$F$46,"Compra",B73:B89)</f>
        <v>17</v>
      </c>
      <c r="C92" s="27" t="n">
        <f aca="false">SUMIF($F$30:$F$46,"Compra",C73:C89)</f>
        <v>36.2266666666667</v>
      </c>
      <c r="D92" s="27" t="n">
        <f aca="false">SUMIF($F$30:$F$46,"Compra",D73:D89)</f>
        <v>60.6766666666667</v>
      </c>
      <c r="E92" s="27" t="n">
        <f aca="false">SUMIF($F$30:$F$46,"Compra",E73:E89)</f>
        <v>95.6533333333333</v>
      </c>
      <c r="F92" s="27" t="n">
        <f aca="false">SUMIF($F$30:$F$46,"Compra",F73:F89)</f>
        <v>97.7933333333333</v>
      </c>
      <c r="G92" s="27" t="n">
        <f aca="false">SUMIF($F$30:$F$46,"Compra",G73:G89)</f>
        <v>110.646666666667</v>
      </c>
      <c r="H92" s="27" t="n">
        <f aca="false">SUMIF($F$30:$F$46,"Compra",H73:H89)</f>
        <v>65.9933333333333</v>
      </c>
      <c r="I92" s="27" t="n">
        <f aca="false">SUMIF($F$30:$F$46,"Compra",I73:I89)</f>
        <v>72.07</v>
      </c>
      <c r="J92" s="27" t="n">
        <f aca="false">SUMIF($F$30:$F$46,"Compra",J73:J89)</f>
        <v>68.1066666666667</v>
      </c>
      <c r="K92" s="27" t="n">
        <f aca="false">SUMIF($F$30:$F$46,"Compra",K73:K89)</f>
        <v>69.6833333333333</v>
      </c>
    </row>
    <row r="93" customFormat="false" ht="15" hidden="false" customHeight="false" outlineLevel="0" collapsed="false">
      <c r="A93" s="4" t="s">
        <v>426</v>
      </c>
      <c r="B93" s="27" t="n">
        <f aca="false">SUM(B73:B89)</f>
        <v>49</v>
      </c>
      <c r="C93" s="27" t="n">
        <f aca="false">SUM(C73:C89)</f>
        <v>121.786666666667</v>
      </c>
      <c r="D93" s="27" t="n">
        <f aca="false">SUM(D73:D89)</f>
        <v>210.876666666667</v>
      </c>
      <c r="E93" s="27" t="n">
        <f aca="false">SUM(E73:E89)</f>
        <v>338.133333333333</v>
      </c>
      <c r="F93" s="27" t="n">
        <f aca="false">SUM(F73:F89)</f>
        <v>345.033333333333</v>
      </c>
      <c r="G93" s="27" t="n">
        <f aca="false">SUM(G73:G89)</f>
        <v>392.606666666667</v>
      </c>
      <c r="H93" s="27" t="n">
        <f aca="false">SUM(H73:H89)</f>
        <v>248.113333333333</v>
      </c>
      <c r="I93" s="27" t="n">
        <f aca="false">SUM(I73:I89)</f>
        <v>263.83</v>
      </c>
      <c r="J93" s="27" t="n">
        <f aca="false">SUM(J73:J89)</f>
        <v>248.666666666667</v>
      </c>
      <c r="K93" s="27" t="n">
        <f aca="false">SUM(K73:K89)</f>
        <v>257.443333333333</v>
      </c>
    </row>
    <row r="95" customFormat="false" ht="15" hidden="false" customHeight="false" outlineLevel="0" collapsed="false">
      <c r="A95" s="2" t="s">
        <v>427</v>
      </c>
    </row>
  </sheetData>
  <mergeCells count="27">
    <mergeCell ref="C4:L4"/>
    <mergeCell ref="C5:L5"/>
    <mergeCell ref="C6:L6"/>
    <mergeCell ref="C7:L7"/>
    <mergeCell ref="C8:L8"/>
    <mergeCell ref="C9:L9"/>
    <mergeCell ref="C10:L10"/>
    <mergeCell ref="C11:L11"/>
    <mergeCell ref="C12:L12"/>
    <mergeCell ref="G29:L29"/>
    <mergeCell ref="G30:L30"/>
    <mergeCell ref="G31:L31"/>
    <mergeCell ref="G32:L32"/>
    <mergeCell ref="G33:L33"/>
    <mergeCell ref="G34:L34"/>
    <mergeCell ref="G35:L35"/>
    <mergeCell ref="G36:L36"/>
    <mergeCell ref="G37:L37"/>
    <mergeCell ref="G38:L38"/>
    <mergeCell ref="G39:L39"/>
    <mergeCell ref="G40:L40"/>
    <mergeCell ref="G41:L41"/>
    <mergeCell ref="G42:L42"/>
    <mergeCell ref="G43:L43"/>
    <mergeCell ref="G44:L44"/>
    <mergeCell ref="G45:L45"/>
    <mergeCell ref="G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5" min="3" style="0" width="9"/>
    <col collapsed="false" customWidth="true" hidden="false" outlineLevel="0" max="16" min="16" style="0" width="10"/>
  </cols>
  <sheetData>
    <row r="1" customFormat="false" ht="15" hidden="false" customHeight="false" outlineLevel="0" collapsed="false">
      <c r="A1" s="28" t="n">
        <v>2026</v>
      </c>
      <c r="B1" s="6" t="s">
        <v>428</v>
      </c>
      <c r="C1" s="6" t="s">
        <v>429</v>
      </c>
      <c r="D1" s="6" t="s">
        <v>175</v>
      </c>
      <c r="E1" s="6" t="s">
        <v>176</v>
      </c>
      <c r="F1" s="6" t="s">
        <v>177</v>
      </c>
      <c r="G1" s="6" t="s">
        <v>178</v>
      </c>
      <c r="H1" s="6" t="s">
        <v>179</v>
      </c>
      <c r="I1" s="6" t="s">
        <v>180</v>
      </c>
      <c r="J1" s="6" t="s">
        <v>181</v>
      </c>
      <c r="K1" s="6" t="s">
        <v>182</v>
      </c>
      <c r="L1" s="6" t="s">
        <v>183</v>
      </c>
      <c r="M1" s="6" t="s">
        <v>184</v>
      </c>
      <c r="N1" s="6" t="s">
        <v>185</v>
      </c>
      <c r="O1" s="6" t="s">
        <v>186</v>
      </c>
      <c r="P1" s="6" t="s">
        <v>85</v>
      </c>
    </row>
    <row r="2" customFormat="false" ht="15" hidden="false" customHeight="false" outlineLevel="0" collapsed="false">
      <c r="A2" s="10" t="str">
        <f aca="false">parametros_recargas!A55</f>
        <v>ABC 1 kg</v>
      </c>
      <c r="B2" s="10" t="str">
        <f aca="false">parametros_recargas!B55</f>
        <v>ABC</v>
      </c>
      <c r="C2" s="25" t="n">
        <f aca="false">parametros_recargas!C55</f>
        <v>1</v>
      </c>
      <c r="D2" s="26" t="n">
        <f aca="false">datos_base!$B$2*parametros_recargas!E$55</f>
        <v>14.4447598057224</v>
      </c>
      <c r="E2" s="26" t="n">
        <f aca="false">datos_base!$B$2*parametros_recargas!F$55</f>
        <v>189.128916123388</v>
      </c>
      <c r="F2" s="26" t="n">
        <f aca="false">datos_base!$B$2*parametros_recargas!G$55</f>
        <v>190.25122245468</v>
      </c>
      <c r="G2" s="26" t="n">
        <f aca="false">datos_base!$B$2*parametros_recargas!H$55</f>
        <v>191.610872676541</v>
      </c>
      <c r="H2" s="26" t="n">
        <f aca="false">datos_base!$B$2*parametros_recargas!I$55</f>
        <v>191.681850192649</v>
      </c>
      <c r="I2" s="26" t="n">
        <f aca="false">datos_base!$B$2*parametros_recargas!J$55</f>
        <v>191.035462466475</v>
      </c>
      <c r="J2" s="26" t="n">
        <f aca="false">datos_base!$B$2*parametros_recargas!K$55</f>
        <v>193.068578542043</v>
      </c>
      <c r="K2" s="26" t="n">
        <f aca="false">datos_base!$B$2*parametros_recargas!L$55</f>
        <v>191.538459199125</v>
      </c>
      <c r="L2" s="26" t="n">
        <f aca="false">datos_base!$B$2*parametros_recargas!M$55</f>
        <v>191.777033913673</v>
      </c>
      <c r="M2" s="26" t="n">
        <f aca="false">datos_base!$B$2*parametros_recargas!N$55</f>
        <v>190.988280880623</v>
      </c>
      <c r="N2" s="26" t="n">
        <f aca="false">datos_base!$B$2*parametros_recargas!O$55</f>
        <v>187.591616973927</v>
      </c>
      <c r="O2" s="26" t="n">
        <f aca="false">datos_base!$B$2*parametros_recargas!P$55</f>
        <v>5.21542620105208</v>
      </c>
      <c r="P2" s="8" t="n">
        <f aca="false">SUM(D2:O2)</f>
        <v>1928.3324794299</v>
      </c>
    </row>
    <row r="3" customFormat="false" ht="15" hidden="false" customHeight="false" outlineLevel="0" collapsed="false">
      <c r="A3" s="10" t="str">
        <f aca="false">parametros_recargas!A56</f>
        <v>ABC 2,5 kg</v>
      </c>
      <c r="B3" s="10" t="str">
        <f aca="false">parametros_recargas!B56</f>
        <v>ABC</v>
      </c>
      <c r="C3" s="25" t="n">
        <f aca="false">parametros_recargas!C56</f>
        <v>1</v>
      </c>
      <c r="D3" s="26" t="n">
        <f aca="false">datos_base!$B$3*parametros_recargas!E$56</f>
        <v>14.4007803142155</v>
      </c>
      <c r="E3" s="26" t="n">
        <f aca="false">datos_base!$B$3*parametros_recargas!F$56</f>
        <v>24.5810827208592</v>
      </c>
      <c r="F3" s="26" t="n">
        <f aca="false">datos_base!$B$3*parametros_recargas!G$56</f>
        <v>14.4007803142155</v>
      </c>
      <c r="G3" s="26" t="n">
        <f aca="false">datos_base!$B$3*parametros_recargas!H$56</f>
        <v>14.4007803142155</v>
      </c>
      <c r="H3" s="26" t="n">
        <f aca="false">datos_base!$B$3*parametros_recargas!I$56</f>
        <v>14.4007803142155</v>
      </c>
      <c r="I3" s="26" t="n">
        <f aca="false">datos_base!$B$3*parametros_recargas!J$56</f>
        <v>14.4007803142155</v>
      </c>
      <c r="J3" s="26" t="n">
        <f aca="false">datos_base!$B$3*parametros_recargas!K$56</f>
        <v>14.4007803142155</v>
      </c>
      <c r="K3" s="26" t="n">
        <f aca="false">datos_base!$B$3*parametros_recargas!L$56</f>
        <v>14.4007803142155</v>
      </c>
      <c r="L3" s="26" t="n">
        <f aca="false">datos_base!$B$3*parametros_recargas!M$56</f>
        <v>14.4007803142155</v>
      </c>
      <c r="M3" s="26" t="n">
        <f aca="false">datos_base!$B$3*parametros_recargas!N$56</f>
        <v>14.4007803142155</v>
      </c>
      <c r="N3" s="26" t="n">
        <f aca="false">datos_base!$B$3*parametros_recargas!O$56</f>
        <v>14.4007803142155</v>
      </c>
      <c r="O3" s="26" t="n">
        <f aca="false">datos_base!$B$3*parametros_recargas!P$56</f>
        <v>14.4007803142155</v>
      </c>
      <c r="P3" s="8" t="n">
        <f aca="false">SUM(D3:O3)</f>
        <v>182.98966617723</v>
      </c>
    </row>
    <row r="4" customFormat="false" ht="15" hidden="false" customHeight="false" outlineLevel="0" collapsed="false">
      <c r="A4" s="10" t="str">
        <f aca="false">parametros_recargas!A57</f>
        <v>ABC 5 kg</v>
      </c>
      <c r="B4" s="10" t="str">
        <f aca="false">parametros_recargas!B57</f>
        <v>ABC</v>
      </c>
      <c r="C4" s="25" t="n">
        <f aca="false">parametros_recargas!C57</f>
        <v>1</v>
      </c>
      <c r="D4" s="26" t="n">
        <f aca="false">datos_base!$B$4*parametros_recargas!E$57</f>
        <v>81.4184808835713</v>
      </c>
      <c r="E4" s="26" t="n">
        <f aca="false">datos_base!$B$4*parametros_recargas!F$57</f>
        <v>125.875514089408</v>
      </c>
      <c r="F4" s="26" t="n">
        <f aca="false">datos_base!$B$4*parametros_recargas!G$57</f>
        <v>88.0992817447471</v>
      </c>
      <c r="G4" s="26" t="n">
        <f aca="false">datos_base!$B$4*parametros_recargas!H$57</f>
        <v>88.1509496540847</v>
      </c>
      <c r="H4" s="26" t="n">
        <f aca="false">datos_base!$B$4*parametros_recargas!I$57</f>
        <v>88.1536468623874</v>
      </c>
      <c r="I4" s="26" t="n">
        <f aca="false">datos_base!$B$4*parametros_recargas!J$57</f>
        <v>88.1290835578729</v>
      </c>
      <c r="J4" s="26" t="n">
        <f aca="false">datos_base!$B$4*parametros_recargas!K$57</f>
        <v>88.2063437644879</v>
      </c>
      <c r="K4" s="26" t="n">
        <f aca="false">datos_base!$B$4*parametros_recargas!L$57</f>
        <v>88.1481978779839</v>
      </c>
      <c r="L4" s="26" t="n">
        <f aca="false">datos_base!$B$4*parametros_recargas!M$57</f>
        <v>88.1572639278571</v>
      </c>
      <c r="M4" s="26" t="n">
        <f aca="false">datos_base!$B$4*parametros_recargas!N$57</f>
        <v>88.1272906159375</v>
      </c>
      <c r="N4" s="26" t="n">
        <f aca="false">datos_base!$B$4*parametros_recargas!O$57</f>
        <v>87.9982143873902</v>
      </c>
      <c r="O4" s="26" t="n">
        <f aca="false">datos_base!$B$4*parametros_recargas!P$57</f>
        <v>81.0677580548134</v>
      </c>
      <c r="P4" s="8" t="n">
        <f aca="false">SUM(D4:O4)</f>
        <v>1081.53202542054</v>
      </c>
    </row>
    <row r="5" customFormat="false" ht="15" hidden="false" customHeight="false" outlineLevel="0" collapsed="false">
      <c r="A5" s="10" t="str">
        <f aca="false">parametros_recargas!A58</f>
        <v>ABC 10 kg</v>
      </c>
      <c r="B5" s="10" t="str">
        <f aca="false">parametros_recargas!B58</f>
        <v>ABC</v>
      </c>
      <c r="C5" s="25" t="n">
        <f aca="false">parametros_recargas!C58</f>
        <v>1</v>
      </c>
      <c r="D5" s="26" t="n">
        <f aca="false">datos_base!$B$5*parametros_recargas!E$58</f>
        <v>5.109830871875</v>
      </c>
      <c r="E5" s="26" t="n">
        <f aca="false">datos_base!$B$5*parametros_recargas!F$58</f>
        <v>9.41574032649267</v>
      </c>
      <c r="F5" s="26" t="n">
        <f aca="false">datos_base!$B$5*parametros_recargas!G$58</f>
        <v>5.109830871875</v>
      </c>
      <c r="G5" s="26" t="n">
        <f aca="false">datos_base!$B$5*parametros_recargas!H$58</f>
        <v>5.109830871875</v>
      </c>
      <c r="H5" s="26" t="n">
        <f aca="false">datos_base!$B$5*parametros_recargas!I$58</f>
        <v>5.109830871875</v>
      </c>
      <c r="I5" s="26" t="n">
        <f aca="false">datos_base!$B$5*parametros_recargas!J$58</f>
        <v>5.109830871875</v>
      </c>
      <c r="J5" s="26" t="n">
        <f aca="false">datos_base!$B$5*parametros_recargas!K$58</f>
        <v>5.109830871875</v>
      </c>
      <c r="K5" s="26" t="n">
        <f aca="false">datos_base!$B$5*parametros_recargas!L$58</f>
        <v>5.109830871875</v>
      </c>
      <c r="L5" s="26" t="n">
        <f aca="false">datos_base!$B$5*parametros_recargas!M$58</f>
        <v>5.109830871875</v>
      </c>
      <c r="M5" s="26" t="n">
        <f aca="false">datos_base!$B$5*parametros_recargas!N$58</f>
        <v>5.109830871875</v>
      </c>
      <c r="N5" s="26" t="n">
        <f aca="false">datos_base!$B$5*parametros_recargas!O$58</f>
        <v>5.109830871875</v>
      </c>
      <c r="O5" s="26" t="n">
        <f aca="false">datos_base!$B$5*parametros_recargas!P$58</f>
        <v>5.109830871875</v>
      </c>
      <c r="P5" s="8" t="n">
        <f aca="false">SUM(D5:O5)</f>
        <v>65.6238799171177</v>
      </c>
    </row>
    <row r="6" customFormat="false" ht="15" hidden="false" customHeight="false" outlineLevel="0" collapsed="false">
      <c r="A6" s="10" t="str">
        <f aca="false">parametros_recargas!A59</f>
        <v>Agua 10 l</v>
      </c>
      <c r="B6" s="10" t="str">
        <f aca="false">parametros_recargas!B59</f>
        <v>Agua</v>
      </c>
      <c r="C6" s="25" t="n">
        <f aca="false">parametros_recargas!C59</f>
        <v>1</v>
      </c>
      <c r="D6" s="26" t="n">
        <f aca="false">datos_base!$B$6*parametros_recargas!E$59</f>
        <v>7.07395366970766</v>
      </c>
      <c r="E6" s="26" t="n">
        <f aca="false">datos_base!$B$6*parametros_recargas!F$59</f>
        <v>10.5263483244247</v>
      </c>
      <c r="F6" s="26" t="n">
        <f aca="false">datos_base!$B$6*parametros_recargas!G$59</f>
        <v>7.07395366970766</v>
      </c>
      <c r="G6" s="26" t="n">
        <f aca="false">datos_base!$B$6*parametros_recargas!H$59</f>
        <v>7.07395366970766</v>
      </c>
      <c r="H6" s="26" t="n">
        <f aca="false">datos_base!$B$6*parametros_recargas!I$59</f>
        <v>7.07395366970766</v>
      </c>
      <c r="I6" s="26" t="n">
        <f aca="false">datos_base!$B$6*parametros_recargas!J$59</f>
        <v>7.07395366970766</v>
      </c>
      <c r="J6" s="26" t="n">
        <f aca="false">datos_base!$B$6*parametros_recargas!K$59</f>
        <v>7.07395366970766</v>
      </c>
      <c r="K6" s="26" t="n">
        <f aca="false">datos_base!$B$6*parametros_recargas!L$59</f>
        <v>7.07395366970766</v>
      </c>
      <c r="L6" s="26" t="n">
        <f aca="false">datos_base!$B$6*parametros_recargas!M$59</f>
        <v>7.07395366970766</v>
      </c>
      <c r="M6" s="26" t="n">
        <f aca="false">datos_base!$B$6*parametros_recargas!N$59</f>
        <v>7.07395366970766</v>
      </c>
      <c r="N6" s="26" t="n">
        <f aca="false">datos_base!$B$6*parametros_recargas!O$59</f>
        <v>7.07395366970766</v>
      </c>
      <c r="O6" s="26" t="n">
        <f aca="false">datos_base!$B$6*parametros_recargas!P$59</f>
        <v>7.07395366970766</v>
      </c>
      <c r="P6" s="8" t="n">
        <f aca="false">SUM(D6:O6)</f>
        <v>88.339838691209</v>
      </c>
    </row>
    <row r="7" customFormat="false" ht="15" hidden="false" customHeight="false" outlineLevel="0" collapsed="false">
      <c r="A7" s="10" t="str">
        <f aca="false">parametros_recargas!A60</f>
        <v>AFFF 10 l</v>
      </c>
      <c r="B7" s="10" t="str">
        <f aca="false">parametros_recargas!B60</f>
        <v>AFFF</v>
      </c>
      <c r="C7" s="25" t="n">
        <f aca="false">parametros_recargas!C60</f>
        <v>1</v>
      </c>
      <c r="D7" s="26" t="n">
        <f aca="false">datos_base!$B$7*parametros_recargas!E$60</f>
        <v>1.05166475292534</v>
      </c>
      <c r="E7" s="26" t="n">
        <f aca="false">datos_base!$B$7*parametros_recargas!F$60</f>
        <v>1.05166475292534</v>
      </c>
      <c r="F7" s="26" t="n">
        <f aca="false">datos_base!$B$7*parametros_recargas!G$60</f>
        <v>1.05166475292534</v>
      </c>
      <c r="G7" s="26" t="n">
        <f aca="false">datos_base!$B$7*parametros_recargas!H$60</f>
        <v>1.05166475292534</v>
      </c>
      <c r="H7" s="26" t="n">
        <f aca="false">datos_base!$B$7*parametros_recargas!I$60</f>
        <v>1.05166475292534</v>
      </c>
      <c r="I7" s="26" t="n">
        <f aca="false">datos_base!$B$7*parametros_recargas!J$60</f>
        <v>1.05166475292534</v>
      </c>
      <c r="J7" s="26" t="n">
        <f aca="false">datos_base!$B$7*parametros_recargas!K$60</f>
        <v>1.05166475292534</v>
      </c>
      <c r="K7" s="26" t="n">
        <f aca="false">datos_base!$B$7*parametros_recargas!L$60</f>
        <v>1.05166475292534</v>
      </c>
      <c r="L7" s="26" t="n">
        <f aca="false">datos_base!$B$7*parametros_recargas!M$60</f>
        <v>1.05166475292534</v>
      </c>
      <c r="M7" s="26" t="n">
        <f aca="false">datos_base!$B$7*parametros_recargas!N$60</f>
        <v>1.05166475292534</v>
      </c>
      <c r="N7" s="26" t="n">
        <f aca="false">datos_base!$B$7*parametros_recargas!O$60</f>
        <v>1.05166475292534</v>
      </c>
      <c r="O7" s="26" t="n">
        <f aca="false">datos_base!$B$7*parametros_recargas!P$60</f>
        <v>1.05166475292534</v>
      </c>
      <c r="P7" s="8" t="n">
        <f aca="false">SUM(D7:O7)</f>
        <v>12.6199770351041</v>
      </c>
    </row>
    <row r="8" customFormat="false" ht="15" hidden="false" customHeight="false" outlineLevel="0" collapsed="false">
      <c r="A8" s="10" t="str">
        <f aca="false">parametros_recargas!A61</f>
        <v>AFFF 50 l s/ruedas</v>
      </c>
      <c r="B8" s="10" t="str">
        <f aca="false">parametros_recargas!B61</f>
        <v>AFFF</v>
      </c>
      <c r="C8" s="25" t="n">
        <f aca="false">parametros_recargas!C61</f>
        <v>6.360853875</v>
      </c>
      <c r="D8" s="26" t="n">
        <f aca="false">datos_base!$B$8*parametros_recargas!E$61</f>
        <v>0.525832353357682</v>
      </c>
      <c r="E8" s="26" t="n">
        <f aca="false">datos_base!$B$8*parametros_recargas!F$61</f>
        <v>0.525832353357682</v>
      </c>
      <c r="F8" s="26" t="n">
        <f aca="false">datos_base!$B$8*parametros_recargas!G$61</f>
        <v>0.525832353357682</v>
      </c>
      <c r="G8" s="26" t="n">
        <f aca="false">datos_base!$B$8*parametros_recargas!H$61</f>
        <v>0.525832353357682</v>
      </c>
      <c r="H8" s="26" t="n">
        <f aca="false">datos_base!$B$8*parametros_recargas!I$61</f>
        <v>0.525832353357682</v>
      </c>
      <c r="I8" s="26" t="n">
        <f aca="false">datos_base!$B$8*parametros_recargas!J$61</f>
        <v>0.525832353357682</v>
      </c>
      <c r="J8" s="26" t="n">
        <f aca="false">datos_base!$B$8*parametros_recargas!K$61</f>
        <v>0.525832353357682</v>
      </c>
      <c r="K8" s="26" t="n">
        <f aca="false">datos_base!$B$8*parametros_recargas!L$61</f>
        <v>0.525832353357682</v>
      </c>
      <c r="L8" s="26" t="n">
        <f aca="false">datos_base!$B$8*parametros_recargas!M$61</f>
        <v>0.525832353357682</v>
      </c>
      <c r="M8" s="26" t="n">
        <f aca="false">datos_base!$B$8*parametros_recargas!N$61</f>
        <v>0.525832353357682</v>
      </c>
      <c r="N8" s="26" t="n">
        <f aca="false">datos_base!$B$8*parametros_recargas!O$61</f>
        <v>0.525832353357682</v>
      </c>
      <c r="O8" s="26" t="n">
        <f aca="false">datos_base!$B$8*parametros_recargas!P$61</f>
        <v>0.525832353357682</v>
      </c>
      <c r="P8" s="8" t="n">
        <f aca="false">SUM(D8:O8)</f>
        <v>6.30998824029218</v>
      </c>
    </row>
    <row r="9" customFormat="false" ht="15" hidden="false" customHeight="false" outlineLevel="0" collapsed="false">
      <c r="A9" s="10" t="str">
        <f aca="false">parametros_recargas!A62</f>
        <v>BC 5 kg</v>
      </c>
      <c r="B9" s="10" t="str">
        <f aca="false">parametros_recargas!B62</f>
        <v>BC</v>
      </c>
      <c r="C9" s="25" t="n">
        <f aca="false">parametros_recargas!C62</f>
        <v>1</v>
      </c>
      <c r="D9" s="26" t="n">
        <f aca="false">datos_base!$B$9*parametros_recargas!E$62</f>
        <v>0.315499412014609</v>
      </c>
      <c r="E9" s="26" t="n">
        <f aca="false">datos_base!$B$9*parametros_recargas!F$62</f>
        <v>0.315499412014609</v>
      </c>
      <c r="F9" s="26" t="n">
        <f aca="false">datos_base!$B$9*parametros_recargas!G$62</f>
        <v>0.315499412014609</v>
      </c>
      <c r="G9" s="26" t="n">
        <f aca="false">datos_base!$B$9*parametros_recargas!H$62</f>
        <v>0.315499412014609</v>
      </c>
      <c r="H9" s="26" t="n">
        <f aca="false">datos_base!$B$9*parametros_recargas!I$62</f>
        <v>0.315499412014609</v>
      </c>
      <c r="I9" s="26" t="n">
        <f aca="false">datos_base!$B$9*parametros_recargas!J$62</f>
        <v>0.315499412014609</v>
      </c>
      <c r="J9" s="26" t="n">
        <f aca="false">datos_base!$B$9*parametros_recargas!K$62</f>
        <v>0.315499412014609</v>
      </c>
      <c r="K9" s="26" t="n">
        <f aca="false">datos_base!$B$9*parametros_recargas!L$62</f>
        <v>0.315499412014609</v>
      </c>
      <c r="L9" s="26" t="n">
        <f aca="false">datos_base!$B$9*parametros_recargas!M$62</f>
        <v>0.315499412014609</v>
      </c>
      <c r="M9" s="26" t="n">
        <f aca="false">datos_base!$B$9*parametros_recargas!N$62</f>
        <v>0.315499412014609</v>
      </c>
      <c r="N9" s="26" t="n">
        <f aca="false">datos_base!$B$9*parametros_recargas!O$62</f>
        <v>0.315499412014609</v>
      </c>
      <c r="O9" s="26" t="n">
        <f aca="false">datos_base!$B$9*parametros_recargas!P$62</f>
        <v>0.315499412014609</v>
      </c>
      <c r="P9" s="8" t="n">
        <f aca="false">SUM(D9:O9)</f>
        <v>3.78599294417531</v>
      </c>
    </row>
    <row r="10" customFormat="false" ht="15" hidden="false" customHeight="false" outlineLevel="0" collapsed="false">
      <c r="A10" s="10" t="str">
        <f aca="false">parametros_recargas!A63</f>
        <v>Sales K 6 l</v>
      </c>
      <c r="B10" s="10" t="str">
        <f aca="false">parametros_recargas!B63</f>
        <v>Sales K</v>
      </c>
      <c r="C10" s="25" t="n">
        <f aca="false">parametros_recargas!C63</f>
        <v>1</v>
      </c>
      <c r="D10" s="26" t="n">
        <f aca="false">datos_base!$B$10*parametros_recargas!E$63</f>
        <v>3.49122796013188</v>
      </c>
      <c r="E10" s="26" t="n">
        <f aca="false">datos_base!$B$10*parametros_recargas!F$63</f>
        <v>7.02840943221222</v>
      </c>
      <c r="F10" s="26" t="n">
        <f aca="false">datos_base!$B$10*parametros_recargas!G$63</f>
        <v>3.49122796013188</v>
      </c>
      <c r="G10" s="26" t="n">
        <f aca="false">datos_base!$B$10*parametros_recargas!H$63</f>
        <v>3.49122796013188</v>
      </c>
      <c r="H10" s="26" t="n">
        <f aca="false">datos_base!$B$10*parametros_recargas!I$63</f>
        <v>3.49122796013188</v>
      </c>
      <c r="I10" s="26" t="n">
        <f aca="false">datos_base!$B$10*parametros_recargas!J$63</f>
        <v>3.49122796013188</v>
      </c>
      <c r="J10" s="26" t="n">
        <f aca="false">datos_base!$B$10*parametros_recargas!K$63</f>
        <v>3.49122796013188</v>
      </c>
      <c r="K10" s="26" t="n">
        <f aca="false">datos_base!$B$10*parametros_recargas!L$63</f>
        <v>3.49122796013188</v>
      </c>
      <c r="L10" s="26" t="n">
        <f aca="false">datos_base!$B$10*parametros_recargas!M$63</f>
        <v>3.49122796013188</v>
      </c>
      <c r="M10" s="26" t="n">
        <f aca="false">datos_base!$B$10*parametros_recargas!N$63</f>
        <v>3.49122796013188</v>
      </c>
      <c r="N10" s="26" t="n">
        <f aca="false">datos_base!$B$10*parametros_recargas!O$63</f>
        <v>3.49122796013188</v>
      </c>
      <c r="O10" s="26" t="n">
        <f aca="false">datos_base!$B$10*parametros_recargas!P$63</f>
        <v>3.49122796013188</v>
      </c>
      <c r="P10" s="8" t="n">
        <f aca="false">SUM(D10:O10)</f>
        <v>45.4319169936629</v>
      </c>
    </row>
    <row r="11" customFormat="false" ht="15" hidden="false" customHeight="false" outlineLevel="0" collapsed="false">
      <c r="A11" s="10" t="str">
        <f aca="false">parametros_recargas!A64</f>
        <v>CO₂ 2 kg</v>
      </c>
      <c r="B11" s="10" t="str">
        <f aca="false">parametros_recargas!B64</f>
        <v>CO₂</v>
      </c>
      <c r="C11" s="25" t="n">
        <f aca="false">parametros_recargas!C64</f>
        <v>1</v>
      </c>
      <c r="D11" s="26" t="n">
        <f aca="false">datos_base!$B$11*parametros_recargas!E$64</f>
        <v>19.6080990908261</v>
      </c>
      <c r="E11" s="26" t="n">
        <f aca="false">datos_base!$B$11*parametros_recargas!F$64</f>
        <v>34.1864537433188</v>
      </c>
      <c r="F11" s="26" t="n">
        <f aca="false">datos_base!$B$11*parametros_recargas!G$64</f>
        <v>19.6080990908261</v>
      </c>
      <c r="G11" s="26" t="n">
        <f aca="false">datos_base!$B$11*parametros_recargas!H$64</f>
        <v>19.6080990908261</v>
      </c>
      <c r="H11" s="26" t="n">
        <f aca="false">datos_base!$B$11*parametros_recargas!I$64</f>
        <v>19.6080990908261</v>
      </c>
      <c r="I11" s="26" t="n">
        <f aca="false">datos_base!$B$11*parametros_recargas!J$64</f>
        <v>19.6080990908261</v>
      </c>
      <c r="J11" s="26" t="n">
        <f aca="false">datos_base!$B$11*parametros_recargas!K$64</f>
        <v>19.6080990908261</v>
      </c>
      <c r="K11" s="26" t="n">
        <f aca="false">datos_base!$B$11*parametros_recargas!L$64</f>
        <v>19.6080990908261</v>
      </c>
      <c r="L11" s="26" t="n">
        <f aca="false">datos_base!$B$11*parametros_recargas!M$64</f>
        <v>19.6080990908261</v>
      </c>
      <c r="M11" s="26" t="n">
        <f aca="false">datos_base!$B$11*parametros_recargas!N$64</f>
        <v>19.6080990908261</v>
      </c>
      <c r="N11" s="26" t="n">
        <f aca="false">datos_base!$B$11*parametros_recargas!O$64</f>
        <v>19.6080990908261</v>
      </c>
      <c r="O11" s="26" t="n">
        <f aca="false">datos_base!$B$11*parametros_recargas!P$64</f>
        <v>19.6080990908261</v>
      </c>
      <c r="P11" s="8" t="n">
        <f aca="false">SUM(D11:O11)</f>
        <v>249.875543742406</v>
      </c>
    </row>
    <row r="12" customFormat="false" ht="15" hidden="false" customHeight="false" outlineLevel="0" collapsed="false">
      <c r="A12" s="10" t="str">
        <f aca="false">parametros_recargas!A65</f>
        <v>CO₂ 5 kg</v>
      </c>
      <c r="B12" s="10" t="str">
        <f aca="false">parametros_recargas!B65</f>
        <v>CO₂</v>
      </c>
      <c r="C12" s="25" t="n">
        <f aca="false">parametros_recargas!C65</f>
        <v>1</v>
      </c>
      <c r="D12" s="26" t="n">
        <f aca="false">datos_base!$B$12*parametros_recargas!E$65</f>
        <v>5.73768098517573</v>
      </c>
      <c r="E12" s="26" t="n">
        <f aca="false">datos_base!$B$12*parametros_recargas!F$65</f>
        <v>6.29538257887967</v>
      </c>
      <c r="F12" s="26" t="n">
        <f aca="false">datos_base!$B$12*parametros_recargas!G$65</f>
        <v>5.73768098517573</v>
      </c>
      <c r="G12" s="26" t="n">
        <f aca="false">datos_base!$B$12*parametros_recargas!H$65</f>
        <v>5.73768098517573</v>
      </c>
      <c r="H12" s="26" t="n">
        <f aca="false">datos_base!$B$12*parametros_recargas!I$65</f>
        <v>5.73768098517573</v>
      </c>
      <c r="I12" s="26" t="n">
        <f aca="false">datos_base!$B$12*parametros_recargas!J$65</f>
        <v>5.73768098517573</v>
      </c>
      <c r="J12" s="26" t="n">
        <f aca="false">datos_base!$B$12*parametros_recargas!K$65</f>
        <v>5.73768098517573</v>
      </c>
      <c r="K12" s="26" t="n">
        <f aca="false">datos_base!$B$12*parametros_recargas!L$65</f>
        <v>5.73768098517573</v>
      </c>
      <c r="L12" s="26" t="n">
        <f aca="false">datos_base!$B$12*parametros_recargas!M$65</f>
        <v>5.73768098517573</v>
      </c>
      <c r="M12" s="26" t="n">
        <f aca="false">datos_base!$B$12*parametros_recargas!N$65</f>
        <v>5.73768098517573</v>
      </c>
      <c r="N12" s="26" t="n">
        <f aca="false">datos_base!$B$12*parametros_recargas!O$65</f>
        <v>5.73768098517573</v>
      </c>
      <c r="O12" s="26" t="n">
        <f aca="false">datos_base!$B$12*parametros_recargas!P$65</f>
        <v>5.73768098517573</v>
      </c>
      <c r="P12" s="8" t="n">
        <f aca="false">SUM(D12:O12)</f>
        <v>69.4098734158127</v>
      </c>
    </row>
    <row r="13" customFormat="false" ht="15" hidden="false" customHeight="false" outlineLevel="0" collapsed="false">
      <c r="A13" s="10" t="str">
        <f aca="false">parametros_recargas!A66</f>
        <v>HCFC/HFC 5 kg</v>
      </c>
      <c r="B13" s="10" t="str">
        <f aca="false">parametros_recargas!B66</f>
        <v>Halogenado</v>
      </c>
      <c r="C13" s="25" t="n">
        <f aca="false">parametros_recargas!C66</f>
        <v>1</v>
      </c>
      <c r="D13" s="26" t="n">
        <f aca="false">datos_base!$B$13*parametros_recargas!E$66</f>
        <v>0.84133181158227</v>
      </c>
      <c r="E13" s="26" t="n">
        <f aca="false">datos_base!$B$13*parametros_recargas!F$66</f>
        <v>0.84133181158227</v>
      </c>
      <c r="F13" s="26" t="n">
        <f aca="false">datos_base!$B$13*parametros_recargas!G$66</f>
        <v>0.84133181158227</v>
      </c>
      <c r="G13" s="26" t="n">
        <f aca="false">datos_base!$B$13*parametros_recargas!H$66</f>
        <v>0.84133181158227</v>
      </c>
      <c r="H13" s="26" t="n">
        <f aca="false">datos_base!$B$13*parametros_recargas!I$66</f>
        <v>0.84133181158227</v>
      </c>
      <c r="I13" s="26" t="n">
        <f aca="false">datos_base!$B$13*parametros_recargas!J$66</f>
        <v>0.84133181158227</v>
      </c>
      <c r="J13" s="26" t="n">
        <f aca="false">datos_base!$B$13*parametros_recargas!K$66</f>
        <v>0.84133181158227</v>
      </c>
      <c r="K13" s="26" t="n">
        <f aca="false">datos_base!$B$13*parametros_recargas!L$66</f>
        <v>0.84133181158227</v>
      </c>
      <c r="L13" s="26" t="n">
        <f aca="false">datos_base!$B$13*parametros_recargas!M$66</f>
        <v>0.84133181158227</v>
      </c>
      <c r="M13" s="26" t="n">
        <f aca="false">datos_base!$B$13*parametros_recargas!N$66</f>
        <v>0.84133181158227</v>
      </c>
      <c r="N13" s="26" t="n">
        <f aca="false">datos_base!$B$13*parametros_recargas!O$66</f>
        <v>0.84133181158227</v>
      </c>
      <c r="O13" s="26" t="n">
        <f aca="false">datos_base!$B$13*parametros_recargas!P$66</f>
        <v>0.84133181158227</v>
      </c>
      <c r="P13" s="8" t="n">
        <f aca="false">SUM(D13:O13)</f>
        <v>10.0959817389872</v>
      </c>
    </row>
    <row r="14" customFormat="false" ht="15" hidden="false" customHeight="false" outlineLevel="0" collapsed="false">
      <c r="A14" s="10" t="str">
        <f aca="false">parametros_recargas!A67</f>
        <v>Clase D 9 l</v>
      </c>
      <c r="B14" s="10" t="str">
        <f aca="false">parametros_recargas!B67</f>
        <v>Clase D</v>
      </c>
      <c r="C14" s="25" t="n">
        <f aca="false">parametros_recargas!C67</f>
        <v>1</v>
      </c>
      <c r="D14" s="26" t="n">
        <f aca="false">datos_base!$B$14*parametros_recargas!E$67</f>
        <v>0.315499412014609</v>
      </c>
      <c r="E14" s="26" t="n">
        <f aca="false">datos_base!$B$14*parametros_recargas!F$67</f>
        <v>0.315499412014609</v>
      </c>
      <c r="F14" s="26" t="n">
        <f aca="false">datos_base!$B$14*parametros_recargas!G$67</f>
        <v>0.315499412014609</v>
      </c>
      <c r="G14" s="26" t="n">
        <f aca="false">datos_base!$B$14*parametros_recargas!H$67</f>
        <v>0.315499412014609</v>
      </c>
      <c r="H14" s="26" t="n">
        <f aca="false">datos_base!$B$14*parametros_recargas!I$67</f>
        <v>0.315499412014609</v>
      </c>
      <c r="I14" s="26" t="n">
        <f aca="false">datos_base!$B$14*parametros_recargas!J$67</f>
        <v>0.315499412014609</v>
      </c>
      <c r="J14" s="26" t="n">
        <f aca="false">datos_base!$B$14*parametros_recargas!K$67</f>
        <v>0.315499412014609</v>
      </c>
      <c r="K14" s="26" t="n">
        <f aca="false">datos_base!$B$14*parametros_recargas!L$67</f>
        <v>0.315499412014609</v>
      </c>
      <c r="L14" s="26" t="n">
        <f aca="false">datos_base!$B$14*parametros_recargas!M$67</f>
        <v>0.315499412014609</v>
      </c>
      <c r="M14" s="26" t="n">
        <f aca="false">datos_base!$B$14*parametros_recargas!N$67</f>
        <v>0.315499412014609</v>
      </c>
      <c r="N14" s="26" t="n">
        <f aca="false">datos_base!$B$14*parametros_recargas!O$67</f>
        <v>0.315499412014609</v>
      </c>
      <c r="O14" s="26" t="n">
        <f aca="false">datos_base!$B$14*parametros_recargas!P$67</f>
        <v>0.315499412014609</v>
      </c>
      <c r="P14" s="8" t="n">
        <f aca="false">SUM(D14:O14)</f>
        <v>3.78599294417531</v>
      </c>
    </row>
    <row r="15" customFormat="false" ht="15" hidden="false" customHeight="false" outlineLevel="0" collapsed="false">
      <c r="A15" s="10" t="str">
        <f aca="false">parametros_recargas!A68</f>
        <v>ABC 25 kg s/ruedas</v>
      </c>
      <c r="B15" s="10" t="str">
        <f aca="false">parametros_recargas!B68</f>
        <v>ABC</v>
      </c>
      <c r="C15" s="25" t="n">
        <f aca="false">parametros_recargas!C68</f>
        <v>6.360853875</v>
      </c>
      <c r="D15" s="26" t="n">
        <f aca="false">datos_base!$B$15*parametros_recargas!E$68</f>
        <v>0.80421316782663</v>
      </c>
      <c r="E15" s="26" t="n">
        <f aca="false">datos_base!$B$15*parametros_recargas!F$68</f>
        <v>0.934137342249767</v>
      </c>
      <c r="F15" s="26" t="n">
        <f aca="false">datos_base!$B$15*parametros_recargas!G$68</f>
        <v>0.80421316782663</v>
      </c>
      <c r="G15" s="26" t="n">
        <f aca="false">datos_base!$B$15*parametros_recargas!H$68</f>
        <v>0.80421316782663</v>
      </c>
      <c r="H15" s="26" t="n">
        <f aca="false">datos_base!$B$15*parametros_recargas!I$68</f>
        <v>0.80421316782663</v>
      </c>
      <c r="I15" s="26" t="n">
        <f aca="false">datos_base!$B$15*parametros_recargas!J$68</f>
        <v>0.80421316782663</v>
      </c>
      <c r="J15" s="26" t="n">
        <f aca="false">datos_base!$B$15*parametros_recargas!K$68</f>
        <v>0.80421316782663</v>
      </c>
      <c r="K15" s="26" t="n">
        <f aca="false">datos_base!$B$15*parametros_recargas!L$68</f>
        <v>0.80421316782663</v>
      </c>
      <c r="L15" s="26" t="n">
        <f aca="false">datos_base!$B$15*parametros_recargas!M$68</f>
        <v>0.80421316782663</v>
      </c>
      <c r="M15" s="26" t="n">
        <f aca="false">datos_base!$B$15*parametros_recargas!N$68</f>
        <v>0.80421316782663</v>
      </c>
      <c r="N15" s="26" t="n">
        <f aca="false">datos_base!$B$15*parametros_recargas!O$68</f>
        <v>0.80421316782663</v>
      </c>
      <c r="O15" s="26" t="n">
        <f aca="false">datos_base!$B$15*parametros_recargas!P$68</f>
        <v>0.80421316782663</v>
      </c>
      <c r="P15" s="8" t="n">
        <f aca="false">SUM(D15:O15)</f>
        <v>9.78048218834269</v>
      </c>
    </row>
    <row r="16" customFormat="false" ht="15" hidden="false" customHeight="false" outlineLevel="0" collapsed="false">
      <c r="A16" s="10" t="str">
        <f aca="false">parametros_recargas!A69</f>
        <v>ABC 50 kg s/ruedas</v>
      </c>
      <c r="B16" s="10" t="str">
        <f aca="false">parametros_recargas!B69</f>
        <v>ABC</v>
      </c>
      <c r="C16" s="25" t="n">
        <f aca="false">parametros_recargas!C69</f>
        <v>6.360853875</v>
      </c>
      <c r="D16" s="26" t="n">
        <f aca="false">datos_base!$B$16*parametros_recargas!E$69</f>
        <v>1.76926570188848</v>
      </c>
      <c r="E16" s="26" t="n">
        <f aca="false">datos_base!$B$16*parametros_recargas!F$69</f>
        <v>2.05513776086875</v>
      </c>
      <c r="F16" s="26" t="n">
        <f aca="false">datos_base!$B$16*parametros_recargas!G$69</f>
        <v>1.76926570188848</v>
      </c>
      <c r="G16" s="26" t="n">
        <f aca="false">datos_base!$B$16*parametros_recargas!H$69</f>
        <v>1.76926570188848</v>
      </c>
      <c r="H16" s="26" t="n">
        <f aca="false">datos_base!$B$16*parametros_recargas!I$69</f>
        <v>1.76926570188848</v>
      </c>
      <c r="I16" s="26" t="n">
        <f aca="false">datos_base!$B$16*parametros_recargas!J$69</f>
        <v>1.76926570188848</v>
      </c>
      <c r="J16" s="26" t="n">
        <f aca="false">datos_base!$B$16*parametros_recargas!K$69</f>
        <v>1.76926570188848</v>
      </c>
      <c r="K16" s="26" t="n">
        <f aca="false">datos_base!$B$16*parametros_recargas!L$69</f>
        <v>1.76926570188848</v>
      </c>
      <c r="L16" s="26" t="n">
        <f aca="false">datos_base!$B$16*parametros_recargas!M$69</f>
        <v>1.76926570188848</v>
      </c>
      <c r="M16" s="26" t="n">
        <f aca="false">datos_base!$B$16*parametros_recargas!N$69</f>
        <v>1.76926570188848</v>
      </c>
      <c r="N16" s="26" t="n">
        <f aca="false">datos_base!$B$16*parametros_recargas!O$69</f>
        <v>1.76926570188848</v>
      </c>
      <c r="O16" s="26" t="n">
        <f aca="false">datos_base!$B$16*parametros_recargas!P$69</f>
        <v>1.76926570188848</v>
      </c>
      <c r="P16" s="8" t="n">
        <f aca="false">SUM(D16:O16)</f>
        <v>21.5170604816421</v>
      </c>
    </row>
    <row r="17" customFormat="false" ht="15" hidden="false" customHeight="false" outlineLevel="0" collapsed="false">
      <c r="A17" s="10" t="str">
        <f aca="false">parametros_recargas!A70</f>
        <v>ABC 70 kg s/ruedas</v>
      </c>
      <c r="B17" s="10" t="str">
        <f aca="false">parametros_recargas!B70</f>
        <v>ABC</v>
      </c>
      <c r="C17" s="25" t="n">
        <f aca="false">parametros_recargas!C70</f>
        <v>6.360853875</v>
      </c>
      <c r="D17" s="26" t="n">
        <f aca="false">datos_base!$B$17*parametros_recargas!E$70</f>
        <v>0.3860231574321</v>
      </c>
      <c r="E17" s="26" t="n">
        <f aca="false">datos_base!$B$17*parametros_recargas!F$70</f>
        <v>0.44837647466271</v>
      </c>
      <c r="F17" s="26" t="n">
        <f aca="false">datos_base!$B$17*parametros_recargas!G$70</f>
        <v>0.3860231574321</v>
      </c>
      <c r="G17" s="26" t="n">
        <f aca="false">datos_base!$B$17*parametros_recargas!H$70</f>
        <v>0.3860231574321</v>
      </c>
      <c r="H17" s="26" t="n">
        <f aca="false">datos_base!$B$17*parametros_recargas!I$70</f>
        <v>0.3860231574321</v>
      </c>
      <c r="I17" s="26" t="n">
        <f aca="false">datos_base!$B$17*parametros_recargas!J$70</f>
        <v>0.3860231574321</v>
      </c>
      <c r="J17" s="26" t="n">
        <f aca="false">datos_base!$B$17*parametros_recargas!K$70</f>
        <v>0.3860231574321</v>
      </c>
      <c r="K17" s="26" t="n">
        <f aca="false">datos_base!$B$17*parametros_recargas!L$70</f>
        <v>0.3860231574321</v>
      </c>
      <c r="L17" s="26" t="n">
        <f aca="false">datos_base!$B$17*parametros_recargas!M$70</f>
        <v>0.3860231574321</v>
      </c>
      <c r="M17" s="26" t="n">
        <f aca="false">datos_base!$B$17*parametros_recargas!N$70</f>
        <v>0.3860231574321</v>
      </c>
      <c r="N17" s="26" t="n">
        <f aca="false">datos_base!$B$17*parametros_recargas!O$70</f>
        <v>0.3860231574321</v>
      </c>
      <c r="O17" s="26" t="n">
        <f aca="false">datos_base!$B$17*parametros_recargas!P$70</f>
        <v>0.3860231574321</v>
      </c>
      <c r="P17" s="8" t="n">
        <f aca="false">SUM(D17:O17)</f>
        <v>4.69463120641581</v>
      </c>
    </row>
    <row r="18" customFormat="false" ht="15" hidden="false" customHeight="false" outlineLevel="0" collapsed="false">
      <c r="A18" s="10" t="str">
        <f aca="false">parametros_recargas!A71</f>
        <v>ABC 100 kg s/ruedas</v>
      </c>
      <c r="B18" s="10" t="str">
        <f aca="false">parametros_recargas!B71</f>
        <v>ABC</v>
      </c>
      <c r="C18" s="25" t="n">
        <f aca="false">parametros_recargas!C71</f>
        <v>6.360853875</v>
      </c>
      <c r="D18" s="26" t="n">
        <f aca="false">datos_base!$B$18*parametros_recargas!E$71</f>
        <v>0.257345163312417</v>
      </c>
      <c r="E18" s="26" t="n">
        <f aca="false">datos_base!$B$18*parametros_recargas!F$71</f>
        <v>0.298957526013858</v>
      </c>
      <c r="F18" s="26" t="n">
        <f aca="false">datos_base!$B$18*parametros_recargas!G$71</f>
        <v>0.257345163312417</v>
      </c>
      <c r="G18" s="26" t="n">
        <f aca="false">datos_base!$B$18*parametros_recargas!H$71</f>
        <v>0.257345163312417</v>
      </c>
      <c r="H18" s="26" t="n">
        <f aca="false">datos_base!$B$18*parametros_recargas!I$71</f>
        <v>0.257345163312417</v>
      </c>
      <c r="I18" s="26" t="n">
        <f aca="false">datos_base!$B$18*parametros_recargas!J$71</f>
        <v>0.257345163312417</v>
      </c>
      <c r="J18" s="26" t="n">
        <f aca="false">datos_base!$B$18*parametros_recargas!K$71</f>
        <v>0.257345163312417</v>
      </c>
      <c r="K18" s="26" t="n">
        <f aca="false">datos_base!$B$18*parametros_recargas!L$71</f>
        <v>0.257345163312417</v>
      </c>
      <c r="L18" s="26" t="n">
        <f aca="false">datos_base!$B$18*parametros_recargas!M$71</f>
        <v>0.257345163312417</v>
      </c>
      <c r="M18" s="26" t="n">
        <f aca="false">datos_base!$B$18*parametros_recargas!N$71</f>
        <v>0.257345163312417</v>
      </c>
      <c r="N18" s="26" t="n">
        <f aca="false">datos_base!$B$18*parametros_recargas!O$71</f>
        <v>0.257345163312417</v>
      </c>
      <c r="O18" s="26" t="n">
        <f aca="false">datos_base!$B$18*parametros_recargas!P$71</f>
        <v>0.257345163312417</v>
      </c>
      <c r="P18" s="8" t="n">
        <f aca="false">SUM(D18:O18)</f>
        <v>3.12975432245045</v>
      </c>
    </row>
    <row r="19" customFormat="false" ht="15" hidden="false" customHeight="false" outlineLevel="0" collapsed="false">
      <c r="A19" s="4" t="s">
        <v>430</v>
      </c>
      <c r="D19" s="8" t="n">
        <f aca="false">SUM(D2:D18)</f>
        <v>157.55148851358</v>
      </c>
      <c r="E19" s="8" t="n">
        <f aca="false">SUM(E2:E18)</f>
        <v>413.824284184673</v>
      </c>
      <c r="F19" s="8" t="n">
        <f aca="false">SUM(F2:F18)</f>
        <v>340.038752023713</v>
      </c>
      <c r="G19" s="8" t="n">
        <f aca="false">SUM(G2:G18)</f>
        <v>341.450070154912</v>
      </c>
      <c r="H19" s="8" t="n">
        <f aca="false">SUM(H2:H18)</f>
        <v>341.523744879323</v>
      </c>
      <c r="I19" s="8" t="n">
        <f aca="false">SUM(I2:I18)</f>
        <v>340.852793848634</v>
      </c>
      <c r="J19" s="8" t="n">
        <f aca="false">SUM(J2:J18)</f>
        <v>342.963170130817</v>
      </c>
      <c r="K19" s="8" t="n">
        <f aca="false">SUM(K2:K18)</f>
        <v>341.374904901395</v>
      </c>
      <c r="L19" s="8" t="n">
        <f aca="false">SUM(L2:L18)</f>
        <v>341.622545665816</v>
      </c>
      <c r="M19" s="8" t="n">
        <f aca="false">SUM(M2:M18)</f>
        <v>340.803819320846</v>
      </c>
      <c r="N19" s="8" t="n">
        <f aca="false">SUM(N2:N18)</f>
        <v>337.278079185603</v>
      </c>
      <c r="O19" s="8" t="n">
        <f aca="false">SUM(O2:O18)</f>
        <v>147.971432080152</v>
      </c>
      <c r="P19" s="8" t="n">
        <f aca="false">SUM(P2:P18)</f>
        <v>3787.25508488946</v>
      </c>
    </row>
    <row r="20" customFormat="false" ht="15" hidden="false" customHeight="false" outlineLevel="0" collapsed="false">
      <c r="A20" s="4" t="s">
        <v>431</v>
      </c>
    </row>
    <row r="21" customFormat="false" ht="15" hidden="false" customHeight="false" outlineLevel="0" collapsed="false">
      <c r="A21" s="5" t="s">
        <v>110</v>
      </c>
      <c r="D21" s="26" t="n">
        <f aca="false">SUMPRODUCT(($B$2:$B$18=$A21)*D$2:D$18*$C$2:$C$18)</f>
        <v>135.835746792102</v>
      </c>
      <c r="E21" s="26" t="n">
        <f aca="false">SUMPRODUCT(($B$2:$B$18=$A21)*E$2:E$18*$C$2:$C$18)</f>
        <v>372.769277757383</v>
      </c>
      <c r="F21" s="26" t="n">
        <f aca="false">SUMPRODUCT(($B$2:$B$18=$A21)*F$2:F$18*$C$2:$C$18)</f>
        <v>318.323010302236</v>
      </c>
      <c r="G21" s="26" t="n">
        <f aca="false">SUMPRODUCT(($B$2:$B$18=$A21)*G$2:G$18*$C$2:$C$18)</f>
        <v>319.734328433434</v>
      </c>
      <c r="H21" s="26" t="n">
        <f aca="false">SUMPRODUCT(($B$2:$B$18=$A21)*H$2:H$18*$C$2:$C$18)</f>
        <v>319.808003157845</v>
      </c>
      <c r="I21" s="26" t="n">
        <f aca="false">SUMPRODUCT(($B$2:$B$18=$A21)*I$2:I$18*$C$2:$C$18)</f>
        <v>319.137052127156</v>
      </c>
      <c r="J21" s="26" t="n">
        <f aca="false">SUMPRODUCT(($B$2:$B$18=$A21)*J$2:J$18*$C$2:$C$18)</f>
        <v>321.247428409339</v>
      </c>
      <c r="K21" s="26" t="n">
        <f aca="false">SUMPRODUCT(($B$2:$B$18=$A21)*K$2:K$18*$C$2:$C$18)</f>
        <v>319.659163179917</v>
      </c>
      <c r="L21" s="26" t="n">
        <f aca="false">SUMPRODUCT(($B$2:$B$18=$A21)*L$2:L$18*$C$2:$C$18)</f>
        <v>319.906803944338</v>
      </c>
      <c r="M21" s="26" t="n">
        <f aca="false">SUMPRODUCT(($B$2:$B$18=$A21)*M$2:M$18*$C$2:$C$18)</f>
        <v>319.088077599369</v>
      </c>
      <c r="N21" s="26" t="n">
        <f aca="false">SUMPRODUCT(($B$2:$B$18=$A21)*N$2:N$18*$C$2:$C$18)</f>
        <v>315.562337464126</v>
      </c>
      <c r="O21" s="26" t="n">
        <f aca="false">SUMPRODUCT(($B$2:$B$18=$A21)*O$2:O$18*$C$2:$C$18)</f>
        <v>126.255690358674</v>
      </c>
      <c r="P21" s="26" t="n">
        <f aca="false">SUMPRODUCT(($B$2:$B$18=$A21)*P$2:P$18*$C$2:$C$18)</f>
        <v>3507.32691952592</v>
      </c>
    </row>
    <row r="22" customFormat="false" ht="15" hidden="false" customHeight="false" outlineLevel="0" collapsed="false">
      <c r="A22" s="5" t="s">
        <v>111</v>
      </c>
      <c r="D22" s="26" t="n">
        <f aca="false">SUMPRODUCT(($B$2:$B$18=$A22)*D$2:D$18*$C$2:$C$18)</f>
        <v>0.315499412014609</v>
      </c>
      <c r="E22" s="26" t="n">
        <f aca="false">SUMPRODUCT(($B$2:$B$18=$A22)*E$2:E$18*$C$2:$C$18)</f>
        <v>0.315499412014609</v>
      </c>
      <c r="F22" s="26" t="n">
        <f aca="false">SUMPRODUCT(($B$2:$B$18=$A22)*F$2:F$18*$C$2:$C$18)</f>
        <v>0.315499412014609</v>
      </c>
      <c r="G22" s="26" t="n">
        <f aca="false">SUMPRODUCT(($B$2:$B$18=$A22)*G$2:G$18*$C$2:$C$18)</f>
        <v>0.315499412014609</v>
      </c>
      <c r="H22" s="26" t="n">
        <f aca="false">SUMPRODUCT(($B$2:$B$18=$A22)*H$2:H$18*$C$2:$C$18)</f>
        <v>0.315499412014609</v>
      </c>
      <c r="I22" s="26" t="n">
        <f aca="false">SUMPRODUCT(($B$2:$B$18=$A22)*I$2:I$18*$C$2:$C$18)</f>
        <v>0.315499412014609</v>
      </c>
      <c r="J22" s="26" t="n">
        <f aca="false">SUMPRODUCT(($B$2:$B$18=$A22)*J$2:J$18*$C$2:$C$18)</f>
        <v>0.315499412014609</v>
      </c>
      <c r="K22" s="26" t="n">
        <f aca="false">SUMPRODUCT(($B$2:$B$18=$A22)*K$2:K$18*$C$2:$C$18)</f>
        <v>0.315499412014609</v>
      </c>
      <c r="L22" s="26" t="n">
        <f aca="false">SUMPRODUCT(($B$2:$B$18=$A22)*L$2:L$18*$C$2:$C$18)</f>
        <v>0.315499412014609</v>
      </c>
      <c r="M22" s="26" t="n">
        <f aca="false">SUMPRODUCT(($B$2:$B$18=$A22)*M$2:M$18*$C$2:$C$18)</f>
        <v>0.315499412014609</v>
      </c>
      <c r="N22" s="26" t="n">
        <f aca="false">SUMPRODUCT(($B$2:$B$18=$A22)*N$2:N$18*$C$2:$C$18)</f>
        <v>0.315499412014609</v>
      </c>
      <c r="O22" s="26" t="n">
        <f aca="false">SUMPRODUCT(($B$2:$B$18=$A22)*O$2:O$18*$C$2:$C$18)</f>
        <v>0.315499412014609</v>
      </c>
      <c r="P22" s="26" t="n">
        <f aca="false">SUMPRODUCT(($B$2:$B$18=$A22)*P$2:P$18*$C$2:$C$18)</f>
        <v>3.78599294417531</v>
      </c>
    </row>
    <row r="23" customFormat="false" ht="15" hidden="false" customHeight="false" outlineLevel="0" collapsed="false">
      <c r="A23" s="5" t="s">
        <v>112</v>
      </c>
      <c r="D23" s="26" t="n">
        <f aca="false">SUMPRODUCT(($B$2:$B$18=$A23)*D$2:D$18*$C$2:$C$18)</f>
        <v>0.315499412014609</v>
      </c>
      <c r="E23" s="26" t="n">
        <f aca="false">SUMPRODUCT(($B$2:$B$18=$A23)*E$2:E$18*$C$2:$C$18)</f>
        <v>0.315499412014609</v>
      </c>
      <c r="F23" s="26" t="n">
        <f aca="false">SUMPRODUCT(($B$2:$B$18=$A23)*F$2:F$18*$C$2:$C$18)</f>
        <v>0.315499412014609</v>
      </c>
      <c r="G23" s="26" t="n">
        <f aca="false">SUMPRODUCT(($B$2:$B$18=$A23)*G$2:G$18*$C$2:$C$18)</f>
        <v>0.315499412014609</v>
      </c>
      <c r="H23" s="26" t="n">
        <f aca="false">SUMPRODUCT(($B$2:$B$18=$A23)*H$2:H$18*$C$2:$C$18)</f>
        <v>0.315499412014609</v>
      </c>
      <c r="I23" s="26" t="n">
        <f aca="false">SUMPRODUCT(($B$2:$B$18=$A23)*I$2:I$18*$C$2:$C$18)</f>
        <v>0.315499412014609</v>
      </c>
      <c r="J23" s="26" t="n">
        <f aca="false">SUMPRODUCT(($B$2:$B$18=$A23)*J$2:J$18*$C$2:$C$18)</f>
        <v>0.315499412014609</v>
      </c>
      <c r="K23" s="26" t="n">
        <f aca="false">SUMPRODUCT(($B$2:$B$18=$A23)*K$2:K$18*$C$2:$C$18)</f>
        <v>0.315499412014609</v>
      </c>
      <c r="L23" s="26" t="n">
        <f aca="false">SUMPRODUCT(($B$2:$B$18=$A23)*L$2:L$18*$C$2:$C$18)</f>
        <v>0.315499412014609</v>
      </c>
      <c r="M23" s="26" t="n">
        <f aca="false">SUMPRODUCT(($B$2:$B$18=$A23)*M$2:M$18*$C$2:$C$18)</f>
        <v>0.315499412014609</v>
      </c>
      <c r="N23" s="26" t="n">
        <f aca="false">SUMPRODUCT(($B$2:$B$18=$A23)*N$2:N$18*$C$2:$C$18)</f>
        <v>0.315499412014609</v>
      </c>
      <c r="O23" s="26" t="n">
        <f aca="false">SUMPRODUCT(($B$2:$B$18=$A23)*O$2:O$18*$C$2:$C$18)</f>
        <v>0.315499412014609</v>
      </c>
      <c r="P23" s="26" t="n">
        <f aca="false">SUMPRODUCT(($B$2:$B$18=$A23)*P$2:P$18*$C$2:$C$18)</f>
        <v>3.78599294417531</v>
      </c>
    </row>
    <row r="24" customFormat="false" ht="15" hidden="false" customHeight="false" outlineLevel="0" collapsed="false">
      <c r="A24" s="5" t="s">
        <v>113</v>
      </c>
      <c r="D24" s="26" t="n">
        <f aca="false">SUMPRODUCT(($B$2:$B$18=$A24)*D$2:D$18*$C$2:$C$18)</f>
        <v>7.07395366970766</v>
      </c>
      <c r="E24" s="26" t="n">
        <f aca="false">SUMPRODUCT(($B$2:$B$18=$A24)*E$2:E$18*$C$2:$C$18)</f>
        <v>10.5263483244247</v>
      </c>
      <c r="F24" s="26" t="n">
        <f aca="false">SUMPRODUCT(($B$2:$B$18=$A24)*F$2:F$18*$C$2:$C$18)</f>
        <v>7.07395366970766</v>
      </c>
      <c r="G24" s="26" t="n">
        <f aca="false">SUMPRODUCT(($B$2:$B$18=$A24)*G$2:G$18*$C$2:$C$18)</f>
        <v>7.07395366970766</v>
      </c>
      <c r="H24" s="26" t="n">
        <f aca="false">SUMPRODUCT(($B$2:$B$18=$A24)*H$2:H$18*$C$2:$C$18)</f>
        <v>7.07395366970766</v>
      </c>
      <c r="I24" s="26" t="n">
        <f aca="false">SUMPRODUCT(($B$2:$B$18=$A24)*I$2:I$18*$C$2:$C$18)</f>
        <v>7.07395366970766</v>
      </c>
      <c r="J24" s="26" t="n">
        <f aca="false">SUMPRODUCT(($B$2:$B$18=$A24)*J$2:J$18*$C$2:$C$18)</f>
        <v>7.07395366970766</v>
      </c>
      <c r="K24" s="26" t="n">
        <f aca="false">SUMPRODUCT(($B$2:$B$18=$A24)*K$2:K$18*$C$2:$C$18)</f>
        <v>7.07395366970766</v>
      </c>
      <c r="L24" s="26" t="n">
        <f aca="false">SUMPRODUCT(($B$2:$B$18=$A24)*L$2:L$18*$C$2:$C$18)</f>
        <v>7.07395366970766</v>
      </c>
      <c r="M24" s="26" t="n">
        <f aca="false">SUMPRODUCT(($B$2:$B$18=$A24)*M$2:M$18*$C$2:$C$18)</f>
        <v>7.07395366970766</v>
      </c>
      <c r="N24" s="26" t="n">
        <f aca="false">SUMPRODUCT(($B$2:$B$18=$A24)*N$2:N$18*$C$2:$C$18)</f>
        <v>7.07395366970766</v>
      </c>
      <c r="O24" s="26" t="n">
        <f aca="false">SUMPRODUCT(($B$2:$B$18=$A24)*O$2:O$18*$C$2:$C$18)</f>
        <v>7.07395366970766</v>
      </c>
      <c r="P24" s="26" t="n">
        <f aca="false">SUMPRODUCT(($B$2:$B$18=$A24)*P$2:P$18*$C$2:$C$18)</f>
        <v>88.339838691209</v>
      </c>
    </row>
    <row r="25" customFormat="false" ht="15" hidden="false" customHeight="false" outlineLevel="0" collapsed="false">
      <c r="A25" s="5" t="s">
        <v>114</v>
      </c>
      <c r="D25" s="26" t="n">
        <f aca="false">SUMPRODUCT(($B$2:$B$18=$A25)*D$2:D$18*$C$2:$C$18)</f>
        <v>4.39640751538092</v>
      </c>
      <c r="E25" s="26" t="n">
        <f aca="false">SUMPRODUCT(($B$2:$B$18=$A25)*E$2:E$18*$C$2:$C$18)</f>
        <v>4.39640751538092</v>
      </c>
      <c r="F25" s="26" t="n">
        <f aca="false">SUMPRODUCT(($B$2:$B$18=$A25)*F$2:F$18*$C$2:$C$18)</f>
        <v>4.39640751538092</v>
      </c>
      <c r="G25" s="26" t="n">
        <f aca="false">SUMPRODUCT(($B$2:$B$18=$A25)*G$2:G$18*$C$2:$C$18)</f>
        <v>4.39640751538092</v>
      </c>
      <c r="H25" s="26" t="n">
        <f aca="false">SUMPRODUCT(($B$2:$B$18=$A25)*H$2:H$18*$C$2:$C$18)</f>
        <v>4.39640751538092</v>
      </c>
      <c r="I25" s="26" t="n">
        <f aca="false">SUMPRODUCT(($B$2:$B$18=$A25)*I$2:I$18*$C$2:$C$18)</f>
        <v>4.39640751538092</v>
      </c>
      <c r="J25" s="26" t="n">
        <f aca="false">SUMPRODUCT(($B$2:$B$18=$A25)*J$2:J$18*$C$2:$C$18)</f>
        <v>4.39640751538092</v>
      </c>
      <c r="K25" s="26" t="n">
        <f aca="false">SUMPRODUCT(($B$2:$B$18=$A25)*K$2:K$18*$C$2:$C$18)</f>
        <v>4.39640751538092</v>
      </c>
      <c r="L25" s="26" t="n">
        <f aca="false">SUMPRODUCT(($B$2:$B$18=$A25)*L$2:L$18*$C$2:$C$18)</f>
        <v>4.39640751538092</v>
      </c>
      <c r="M25" s="26" t="n">
        <f aca="false">SUMPRODUCT(($B$2:$B$18=$A25)*M$2:M$18*$C$2:$C$18)</f>
        <v>4.39640751538092</v>
      </c>
      <c r="N25" s="26" t="n">
        <f aca="false">SUMPRODUCT(($B$2:$B$18=$A25)*N$2:N$18*$C$2:$C$18)</f>
        <v>4.39640751538092</v>
      </c>
      <c r="O25" s="26" t="n">
        <f aca="false">SUMPRODUCT(($B$2:$B$18=$A25)*O$2:O$18*$C$2:$C$18)</f>
        <v>4.39640751538092</v>
      </c>
      <c r="P25" s="26" t="n">
        <f aca="false">SUMPRODUCT(($B$2:$B$18=$A25)*P$2:P$18*$C$2:$C$18)</f>
        <v>52.7568901845711</v>
      </c>
    </row>
    <row r="26" customFormat="false" ht="15" hidden="false" customHeight="false" outlineLevel="0" collapsed="false">
      <c r="A26" s="5" t="s">
        <v>115</v>
      </c>
      <c r="D26" s="26" t="n">
        <f aca="false">SUMPRODUCT(($B$2:$B$18=$A26)*D$2:D$18*$C$2:$C$18)</f>
        <v>3.49122796013188</v>
      </c>
      <c r="E26" s="26" t="n">
        <f aca="false">SUMPRODUCT(($B$2:$B$18=$A26)*E$2:E$18*$C$2:$C$18)</f>
        <v>7.02840943221222</v>
      </c>
      <c r="F26" s="26" t="n">
        <f aca="false">SUMPRODUCT(($B$2:$B$18=$A26)*F$2:F$18*$C$2:$C$18)</f>
        <v>3.49122796013188</v>
      </c>
      <c r="G26" s="26" t="n">
        <f aca="false">SUMPRODUCT(($B$2:$B$18=$A26)*G$2:G$18*$C$2:$C$18)</f>
        <v>3.49122796013188</v>
      </c>
      <c r="H26" s="26" t="n">
        <f aca="false">SUMPRODUCT(($B$2:$B$18=$A26)*H$2:H$18*$C$2:$C$18)</f>
        <v>3.49122796013188</v>
      </c>
      <c r="I26" s="26" t="n">
        <f aca="false">SUMPRODUCT(($B$2:$B$18=$A26)*I$2:I$18*$C$2:$C$18)</f>
        <v>3.49122796013188</v>
      </c>
      <c r="J26" s="26" t="n">
        <f aca="false">SUMPRODUCT(($B$2:$B$18=$A26)*J$2:J$18*$C$2:$C$18)</f>
        <v>3.49122796013188</v>
      </c>
      <c r="K26" s="26" t="n">
        <f aca="false">SUMPRODUCT(($B$2:$B$18=$A26)*K$2:K$18*$C$2:$C$18)</f>
        <v>3.49122796013188</v>
      </c>
      <c r="L26" s="26" t="n">
        <f aca="false">SUMPRODUCT(($B$2:$B$18=$A26)*L$2:L$18*$C$2:$C$18)</f>
        <v>3.49122796013188</v>
      </c>
      <c r="M26" s="26" t="n">
        <f aca="false">SUMPRODUCT(($B$2:$B$18=$A26)*M$2:M$18*$C$2:$C$18)</f>
        <v>3.49122796013188</v>
      </c>
      <c r="N26" s="26" t="n">
        <f aca="false">SUMPRODUCT(($B$2:$B$18=$A26)*N$2:N$18*$C$2:$C$18)</f>
        <v>3.49122796013188</v>
      </c>
      <c r="O26" s="26" t="n">
        <f aca="false">SUMPRODUCT(($B$2:$B$18=$A26)*O$2:O$18*$C$2:$C$18)</f>
        <v>3.49122796013188</v>
      </c>
      <c r="P26" s="26" t="n">
        <f aca="false">SUMPRODUCT(($B$2:$B$18=$A26)*P$2:P$18*$C$2:$C$18)</f>
        <v>45.4319169936629</v>
      </c>
    </row>
    <row r="27" customFormat="false" ht="15" hidden="false" customHeight="false" outlineLevel="0" collapsed="false">
      <c r="A27" s="5" t="s">
        <v>116</v>
      </c>
      <c r="D27" s="26" t="n">
        <f aca="false">SUMPRODUCT(($B$2:$B$18=$A27)*D$2:D$18*$C$2:$C$18)</f>
        <v>25.3457800760018</v>
      </c>
      <c r="E27" s="26" t="n">
        <f aca="false">SUMPRODUCT(($B$2:$B$18=$A27)*E$2:E$18*$C$2:$C$18)</f>
        <v>40.4818363221985</v>
      </c>
      <c r="F27" s="26" t="n">
        <f aca="false">SUMPRODUCT(($B$2:$B$18=$A27)*F$2:F$18*$C$2:$C$18)</f>
        <v>25.3457800760018</v>
      </c>
      <c r="G27" s="26" t="n">
        <f aca="false">SUMPRODUCT(($B$2:$B$18=$A27)*G$2:G$18*$C$2:$C$18)</f>
        <v>25.3457800760018</v>
      </c>
      <c r="H27" s="26" t="n">
        <f aca="false">SUMPRODUCT(($B$2:$B$18=$A27)*H$2:H$18*$C$2:$C$18)</f>
        <v>25.3457800760018</v>
      </c>
      <c r="I27" s="26" t="n">
        <f aca="false">SUMPRODUCT(($B$2:$B$18=$A27)*I$2:I$18*$C$2:$C$18)</f>
        <v>25.3457800760018</v>
      </c>
      <c r="J27" s="26" t="n">
        <f aca="false">SUMPRODUCT(($B$2:$B$18=$A27)*J$2:J$18*$C$2:$C$18)</f>
        <v>25.3457800760018</v>
      </c>
      <c r="K27" s="26" t="n">
        <f aca="false">SUMPRODUCT(($B$2:$B$18=$A27)*K$2:K$18*$C$2:$C$18)</f>
        <v>25.3457800760018</v>
      </c>
      <c r="L27" s="26" t="n">
        <f aca="false">SUMPRODUCT(($B$2:$B$18=$A27)*L$2:L$18*$C$2:$C$18)</f>
        <v>25.3457800760018</v>
      </c>
      <c r="M27" s="26" t="n">
        <f aca="false">SUMPRODUCT(($B$2:$B$18=$A27)*M$2:M$18*$C$2:$C$18)</f>
        <v>25.3457800760018</v>
      </c>
      <c r="N27" s="26" t="n">
        <f aca="false">SUMPRODUCT(($B$2:$B$18=$A27)*N$2:N$18*$C$2:$C$18)</f>
        <v>25.3457800760018</v>
      </c>
      <c r="O27" s="26" t="n">
        <f aca="false">SUMPRODUCT(($B$2:$B$18=$A27)*O$2:O$18*$C$2:$C$18)</f>
        <v>25.3457800760018</v>
      </c>
      <c r="P27" s="26" t="n">
        <f aca="false">SUMPRODUCT(($B$2:$B$18=$A27)*P$2:P$18*$C$2:$C$18)</f>
        <v>319.285417158219</v>
      </c>
    </row>
    <row r="28" customFormat="false" ht="15" hidden="false" customHeight="false" outlineLevel="0" collapsed="false">
      <c r="A28" s="5" t="s">
        <v>117</v>
      </c>
      <c r="D28" s="26" t="n">
        <f aca="false">SUMPRODUCT(($B$2:$B$18=$A28)*D$2:D$18*$C$2:$C$18)</f>
        <v>0.84133181158227</v>
      </c>
      <c r="E28" s="26" t="n">
        <f aca="false">SUMPRODUCT(($B$2:$B$18=$A28)*E$2:E$18*$C$2:$C$18)</f>
        <v>0.84133181158227</v>
      </c>
      <c r="F28" s="26" t="n">
        <f aca="false">SUMPRODUCT(($B$2:$B$18=$A28)*F$2:F$18*$C$2:$C$18)</f>
        <v>0.84133181158227</v>
      </c>
      <c r="G28" s="26" t="n">
        <f aca="false">SUMPRODUCT(($B$2:$B$18=$A28)*G$2:G$18*$C$2:$C$18)</f>
        <v>0.84133181158227</v>
      </c>
      <c r="H28" s="26" t="n">
        <f aca="false">SUMPRODUCT(($B$2:$B$18=$A28)*H$2:H$18*$C$2:$C$18)</f>
        <v>0.84133181158227</v>
      </c>
      <c r="I28" s="26" t="n">
        <f aca="false">SUMPRODUCT(($B$2:$B$18=$A28)*I$2:I$18*$C$2:$C$18)</f>
        <v>0.84133181158227</v>
      </c>
      <c r="J28" s="26" t="n">
        <f aca="false">SUMPRODUCT(($B$2:$B$18=$A28)*J$2:J$18*$C$2:$C$18)</f>
        <v>0.84133181158227</v>
      </c>
      <c r="K28" s="26" t="n">
        <f aca="false">SUMPRODUCT(($B$2:$B$18=$A28)*K$2:K$18*$C$2:$C$18)</f>
        <v>0.84133181158227</v>
      </c>
      <c r="L28" s="26" t="n">
        <f aca="false">SUMPRODUCT(($B$2:$B$18=$A28)*L$2:L$18*$C$2:$C$18)</f>
        <v>0.84133181158227</v>
      </c>
      <c r="M28" s="26" t="n">
        <f aca="false">SUMPRODUCT(($B$2:$B$18=$A28)*M$2:M$18*$C$2:$C$18)</f>
        <v>0.84133181158227</v>
      </c>
      <c r="N28" s="26" t="n">
        <f aca="false">SUMPRODUCT(($B$2:$B$18=$A28)*N$2:N$18*$C$2:$C$18)</f>
        <v>0.84133181158227</v>
      </c>
      <c r="O28" s="26" t="n">
        <f aca="false">SUMPRODUCT(($B$2:$B$18=$A28)*O$2:O$18*$C$2:$C$18)</f>
        <v>0.84133181158227</v>
      </c>
      <c r="P28" s="26" t="n">
        <f aca="false">SUMPRODUCT(($B$2:$B$18=$A28)*P$2:P$18*$C$2:$C$18)</f>
        <v>10.0959817389872</v>
      </c>
    </row>
    <row r="29" customFormat="false" ht="15" hidden="false" customHeight="false" outlineLevel="0" collapsed="false">
      <c r="A29" s="4" t="s">
        <v>432</v>
      </c>
      <c r="D29" s="27" t="n">
        <f aca="false">SUMPRODUCT(D$2:D$18*parametros_recargas!$D$55:$D$71)</f>
        <v>9.48036052899304</v>
      </c>
      <c r="E29" s="27" t="n">
        <f aca="false">SUMPRODUCT(E$2:E$18*parametros_recargas!$D$55:$D$71)</f>
        <v>10.5578240360324</v>
      </c>
      <c r="F29" s="27" t="n">
        <f aca="false">SUMPRODUCT(F$2:F$18*parametros_recargas!$D$55:$D$71)</f>
        <v>9.48036052899304</v>
      </c>
      <c r="G29" s="27" t="n">
        <f aca="false">SUMPRODUCT(G$2:G$18*parametros_recargas!$D$55:$D$71)</f>
        <v>9.48036052899304</v>
      </c>
      <c r="H29" s="27" t="n">
        <f aca="false">SUMPRODUCT(H$2:H$18*parametros_recargas!$D$55:$D$71)</f>
        <v>9.48036052899304</v>
      </c>
      <c r="I29" s="27" t="n">
        <f aca="false">SUMPRODUCT(I$2:I$18*parametros_recargas!$D$55:$D$71)</f>
        <v>9.48036052899304</v>
      </c>
      <c r="J29" s="27" t="n">
        <f aca="false">SUMPRODUCT(J$2:J$18*parametros_recargas!$D$55:$D$71)</f>
        <v>9.48036052899304</v>
      </c>
      <c r="K29" s="27" t="n">
        <f aca="false">SUMPRODUCT(K$2:K$18*parametros_recargas!$D$55:$D$71)</f>
        <v>9.48036052899304</v>
      </c>
      <c r="L29" s="27" t="n">
        <f aca="false">SUMPRODUCT(L$2:L$18*parametros_recargas!$D$55:$D$71)</f>
        <v>9.48036052899304</v>
      </c>
      <c r="M29" s="27" t="n">
        <f aca="false">SUMPRODUCT(M$2:M$18*parametros_recargas!$D$55:$D$71)</f>
        <v>9.48036052899304</v>
      </c>
      <c r="N29" s="27" t="n">
        <f aca="false">SUMPRODUCT(N$2:N$18*parametros_recargas!$D$55:$D$71)</f>
        <v>9.48036052899304</v>
      </c>
      <c r="O29" s="27" t="n">
        <f aca="false">SUMPRODUCT(O$2:O$18*parametros_recargas!$D$55:$D$71)</f>
        <v>9.48036052899304</v>
      </c>
      <c r="P29" s="27" t="n">
        <f aca="false">SUMPRODUCT(P$2:P$18*parametros_recargas!$D$55:$D$71)</f>
        <v>114.841789854956</v>
      </c>
    </row>
    <row r="30" customFormat="false" ht="15" hidden="false" customHeight="false" outlineLevel="0" collapsed="false">
      <c r="A30" s="4" t="s">
        <v>433</v>
      </c>
      <c r="D30" s="27" t="n">
        <f aca="false">SUMPRODUCT(sobrestock_sustitutos!$B$73:$B$73,--(sobrestock_sustitutos!$F$30:$F$30="Fábrica: cilindro vacío"),parametros_recargas!$C$55:$C$55)*parametros_recargas!E$109+SUMPRODUCT(sobrestock_sustitutos!$B$74:$B$76,--(sobrestock_sustitutos!$F$31:$F$33="Fábrica: cilindro vacío"),parametros_recargas!$C$56:$C$58)*parametros_recargas!E$110+SUMPRODUCT(sobrestock_sustitutos!$B$86:$B$89,--(sobrestock_sustitutos!$F$43:$F$46="Fábrica: cilindro vacío"),parametros_recargas!$C$68:$C$71)*parametros_recargas!E$111</f>
        <v>4.9626903175</v>
      </c>
      <c r="E30" s="27" t="n">
        <f aca="false">SUMPRODUCT(sobrestock_sustitutos!$B$73:$B$73,--(sobrestock_sustitutos!$F$30:$F$30="Fábrica: cilindro vacío"),parametros_recargas!$C$55:$C$55)*parametros_recargas!F$109+SUMPRODUCT(sobrestock_sustitutos!$B$74:$B$76,--(sobrestock_sustitutos!$F$31:$F$33="Fábrica: cilindro vacío"),parametros_recargas!$C$56:$C$58)*parametros_recargas!F$110+SUMPRODUCT(sobrestock_sustitutos!$B$86:$B$89,--(sobrestock_sustitutos!$F$43:$F$46="Fábrica: cilindro vacío"),parametros_recargas!$C$68:$C$71)*parametros_recargas!F$111</f>
        <v>4.1482561625</v>
      </c>
      <c r="F30" s="27" t="n">
        <f aca="false">SUMPRODUCT(sobrestock_sustitutos!$B$73:$B$73,--(sobrestock_sustitutos!$F$30:$F$30="Fábrica: cilindro vacío"),parametros_recargas!$C$55:$C$55)*parametros_recargas!G$109+SUMPRODUCT(sobrestock_sustitutos!$B$74:$B$76,--(sobrestock_sustitutos!$F$31:$F$33="Fábrica: cilindro vacío"),parametros_recargas!$C$56:$C$58)*parametros_recargas!G$110+SUMPRODUCT(sobrestock_sustitutos!$B$86:$B$89,--(sobrestock_sustitutos!$F$43:$F$46="Fábrica: cilindro vacío"),parametros_recargas!$C$68:$C$71)*parametros_recargas!G$111</f>
        <v>4.669907395</v>
      </c>
      <c r="G30" s="27" t="n">
        <f aca="false">SUMPRODUCT(sobrestock_sustitutos!$B$73:$B$73,--(sobrestock_sustitutos!$F$30:$F$30="Fábrica: cilindro vacío"),parametros_recargas!$C$55:$C$55)*parametros_recargas!H$109+SUMPRODUCT(sobrestock_sustitutos!$B$74:$B$76,--(sobrestock_sustitutos!$F$31:$F$33="Fábrica: cilindro vacío"),parametros_recargas!$C$56:$C$58)*parametros_recargas!H$110+SUMPRODUCT(sobrestock_sustitutos!$B$86:$B$89,--(sobrestock_sustitutos!$F$43:$F$46="Fábrica: cilindro vacío"),parametros_recargas!$C$68:$C$71)*parametros_recargas!H$111</f>
        <v>4.669907395</v>
      </c>
      <c r="H30" s="27" t="n">
        <f aca="false">SUMPRODUCT(sobrestock_sustitutos!$B$73:$B$73,--(sobrestock_sustitutos!$F$30:$F$30="Fábrica: cilindro vacío"),parametros_recargas!$C$55:$C$55)*parametros_recargas!I$109+SUMPRODUCT(sobrestock_sustitutos!$B$74:$B$76,--(sobrestock_sustitutos!$F$31:$F$33="Fábrica: cilindro vacío"),parametros_recargas!$C$56:$C$58)*parametros_recargas!I$110+SUMPRODUCT(sobrestock_sustitutos!$B$86:$B$89,--(sobrestock_sustitutos!$F$43:$F$46="Fábrica: cilindro vacío"),parametros_recargas!$C$68:$C$71)*parametros_recargas!I$111</f>
        <v>4.529907395</v>
      </c>
      <c r="I30" s="27" t="n">
        <f aca="false">SUMPRODUCT(sobrestock_sustitutos!$B$73:$B$73,--(sobrestock_sustitutos!$F$30:$F$30="Fábrica: cilindro vacío"),parametros_recargas!$C$55:$C$55)*parametros_recargas!J$109+SUMPRODUCT(sobrestock_sustitutos!$B$74:$B$76,--(sobrestock_sustitutos!$F$31:$F$33="Fábrica: cilindro vacío"),parametros_recargas!$C$56:$C$58)*parametros_recargas!J$110+SUMPRODUCT(sobrestock_sustitutos!$B$86:$B$89,--(sobrestock_sustitutos!$F$43:$F$46="Fábrica: cilindro vacío"),parametros_recargas!$C$68:$C$71)*parametros_recargas!J$111</f>
        <v>4.13547324</v>
      </c>
      <c r="J30" s="27" t="n">
        <f aca="false">SUMPRODUCT(sobrestock_sustitutos!$B$73:$B$73,--(sobrestock_sustitutos!$F$30:$F$30="Fábrica: cilindro vacío"),parametros_recargas!$C$55:$C$55)*parametros_recargas!K$109+SUMPRODUCT(sobrestock_sustitutos!$B$74:$B$76,--(sobrestock_sustitutos!$F$31:$F$33="Fábrica: cilindro vacío"),parametros_recargas!$C$56:$C$58)*parametros_recargas!K$110+SUMPRODUCT(sobrestock_sustitutos!$B$86:$B$89,--(sobrestock_sustitutos!$F$43:$F$46="Fábrica: cilindro vacío"),parametros_recargas!$C$68:$C$71)*parametros_recargas!K$111</f>
        <v>4.529907395</v>
      </c>
      <c r="K30" s="27" t="n">
        <f aca="false">SUMPRODUCT(sobrestock_sustitutos!$B$73:$B$73,--(sobrestock_sustitutos!$F$30:$F$30="Fábrica: cilindro vacío"),parametros_recargas!$C$55:$C$55)*parametros_recargas!L$109+SUMPRODUCT(sobrestock_sustitutos!$B$74:$B$76,--(sobrestock_sustitutos!$F$31:$F$33="Fábrica: cilindro vacío"),parametros_recargas!$C$56:$C$58)*parametros_recargas!L$110+SUMPRODUCT(sobrestock_sustitutos!$B$86:$B$89,--(sobrestock_sustitutos!$F$43:$F$46="Fábrica: cilindro vacío"),parametros_recargas!$C$68:$C$71)*parametros_recargas!L$111</f>
        <v>4.529907395</v>
      </c>
      <c r="L30" s="27" t="n">
        <f aca="false">SUMPRODUCT(sobrestock_sustitutos!$B$73:$B$73,--(sobrestock_sustitutos!$F$30:$F$30="Fábrica: cilindro vacío"),parametros_recargas!$C$55:$C$55)*parametros_recargas!M$109+SUMPRODUCT(sobrestock_sustitutos!$B$74:$B$76,--(sobrestock_sustitutos!$F$31:$F$33="Fábrica: cilindro vacío"),parametros_recargas!$C$56:$C$58)*parametros_recargas!M$110+SUMPRODUCT(sobrestock_sustitutos!$B$86:$B$89,--(sobrestock_sustitutos!$F$43:$F$46="Fábrica: cilindro vacío"),parametros_recargas!$C$68:$C$71)*parametros_recargas!M$111</f>
        <v>4.4026903175</v>
      </c>
      <c r="M30" s="27" t="n">
        <f aca="false">SUMPRODUCT(sobrestock_sustitutos!$B$73:$B$73,--(sobrestock_sustitutos!$F$30:$F$30="Fábrica: cilindro vacío"),parametros_recargas!$C$55:$C$55)*parametros_recargas!N$109+SUMPRODUCT(sobrestock_sustitutos!$B$74:$B$76,--(sobrestock_sustitutos!$F$31:$F$33="Fábrica: cilindro vacío"),parametros_recargas!$C$56:$C$58)*parametros_recargas!N$110+SUMPRODUCT(sobrestock_sustitutos!$B$86:$B$89,--(sobrestock_sustitutos!$F$43:$F$46="Fábrica: cilindro vacío"),parametros_recargas!$C$68:$C$71)*parametros_recargas!N$111</f>
        <v>4.0082561625</v>
      </c>
      <c r="N30" s="27" t="n">
        <f aca="false">SUMPRODUCT(sobrestock_sustitutos!$B$73:$B$73,--(sobrestock_sustitutos!$F$30:$F$30="Fábrica: cilindro vacío"),parametros_recargas!$C$55:$C$55)*parametros_recargas!O$109+SUMPRODUCT(sobrestock_sustitutos!$B$74:$B$76,--(sobrestock_sustitutos!$F$31:$F$33="Fábrica: cilindro vacío"),parametros_recargas!$C$56:$C$58)*parametros_recargas!O$110+SUMPRODUCT(sobrestock_sustitutos!$B$86:$B$89,--(sobrestock_sustitutos!$F$43:$F$46="Fábrica: cilindro vacío"),parametros_recargas!$C$68:$C$71)*parametros_recargas!O$111</f>
        <v>3.741039085</v>
      </c>
      <c r="O30" s="27" t="n">
        <f aca="false">SUMPRODUCT(sobrestock_sustitutos!$B$73:$B$73,--(sobrestock_sustitutos!$F$30:$F$30="Fábrica: cilindro vacío"),parametros_recargas!$C$55:$C$55)*parametros_recargas!P$109+SUMPRODUCT(sobrestock_sustitutos!$B$74:$B$76,--(sobrestock_sustitutos!$F$31:$F$33="Fábrica: cilindro vacío"),parametros_recargas!$C$56:$C$58)*parametros_recargas!P$110+SUMPRODUCT(sobrestock_sustitutos!$B$86:$B$89,--(sobrestock_sustitutos!$F$43:$F$46="Fábrica: cilindro vacío"),parametros_recargas!$C$68:$C$71)*parametros_recargas!P$111</f>
        <v>5.11547324</v>
      </c>
      <c r="P30" s="8" t="n">
        <f aca="false">SUM(D30:O30)</f>
        <v>53.4434155</v>
      </c>
    </row>
    <row r="33" customFormat="false" ht="15" hidden="false" customHeight="false" outlineLevel="0" collapsed="false">
      <c r="A33" s="28" t="n">
        <v>2027</v>
      </c>
      <c r="B33" s="6" t="s">
        <v>428</v>
      </c>
      <c r="C33" s="6" t="s">
        <v>429</v>
      </c>
      <c r="D33" s="6" t="s">
        <v>175</v>
      </c>
      <c r="E33" s="6" t="s">
        <v>176</v>
      </c>
      <c r="F33" s="6" t="s">
        <v>177</v>
      </c>
      <c r="G33" s="6" t="s">
        <v>178</v>
      </c>
      <c r="H33" s="6" t="s">
        <v>179</v>
      </c>
      <c r="I33" s="6" t="s">
        <v>180</v>
      </c>
      <c r="J33" s="6" t="s">
        <v>181</v>
      </c>
      <c r="K33" s="6" t="s">
        <v>182</v>
      </c>
      <c r="L33" s="6" t="s">
        <v>183</v>
      </c>
      <c r="M33" s="6" t="s">
        <v>184</v>
      </c>
      <c r="N33" s="6" t="s">
        <v>185</v>
      </c>
      <c r="O33" s="6" t="s">
        <v>186</v>
      </c>
      <c r="P33" s="6" t="s">
        <v>85</v>
      </c>
    </row>
    <row r="34" customFormat="false" ht="15" hidden="false" customHeight="false" outlineLevel="0" collapsed="false">
      <c r="A34" s="10" t="str">
        <f aca="false">parametros_recargas!A55</f>
        <v>ABC 1 kg</v>
      </c>
      <c r="B34" s="10" t="str">
        <f aca="false">parametros_recargas!B55</f>
        <v>ABC</v>
      </c>
      <c r="C34" s="25" t="n">
        <f aca="false">parametros_recargas!C55</f>
        <v>1</v>
      </c>
      <c r="D34" s="26" t="n">
        <f aca="false">datos_base!$C$2*parametros_recargas!E$55+sobrestock_sustitutos!$B$51/12</f>
        <v>70.4923920788619</v>
      </c>
      <c r="E34" s="26" t="n">
        <f aca="false">datos_base!$C$2*parametros_recargas!F$55+sobrestock_sustitutos!$B$51/12</f>
        <v>922.974828805284</v>
      </c>
      <c r="F34" s="26" t="n">
        <f aca="false">datos_base!$C$2*parametros_recargas!G$55+sobrestock_sustitutos!$B$51/12</f>
        <v>928.451836315417</v>
      </c>
      <c r="G34" s="26" t="n">
        <f aca="false">datos_base!$C$2*parametros_recargas!H$55+sobrestock_sustitutos!$B$51/12</f>
        <v>935.087114286019</v>
      </c>
      <c r="H34" s="26" t="n">
        <f aca="false">datos_base!$C$2*parametros_recargas!I$55+sobrestock_sustitutos!$B$51/12</f>
        <v>935.433494216289</v>
      </c>
      <c r="I34" s="26" t="n">
        <f aca="false">datos_base!$C$2*parametros_recargas!J$55+sobrestock_sustitutos!$B$51/12</f>
        <v>932.279034215479</v>
      </c>
      <c r="J34" s="26" t="n">
        <f aca="false">datos_base!$C$2*parametros_recargas!K$55+sobrestock_sustitutos!$B$51/12</f>
        <v>942.200917131387</v>
      </c>
      <c r="K34" s="26" t="n">
        <f aca="false">datos_base!$C$2*parametros_recargas!L$55+sobrestock_sustitutos!$B$51/12</f>
        <v>934.733726669299</v>
      </c>
      <c r="L34" s="26" t="n">
        <f aca="false">datos_base!$C$2*parametros_recargas!M$55+sobrestock_sustitutos!$B$51/12</f>
        <v>935.898003718154</v>
      </c>
      <c r="M34" s="26" t="n">
        <f aca="false">datos_base!$C$2*parametros_recargas!N$55+sobrestock_sustitutos!$B$51/12</f>
        <v>932.048781660676</v>
      </c>
      <c r="N34" s="26" t="n">
        <f aca="false">datos_base!$C$2*parametros_recargas!O$55+sobrestock_sustitutos!$B$51/12</f>
        <v>915.472599910943</v>
      </c>
      <c r="O34" s="26" t="n">
        <f aca="false">datos_base!$C$2*parametros_recargas!P$55+sobrestock_sustitutos!$B$51/12</f>
        <v>25.4519890650786</v>
      </c>
      <c r="P34" s="8" t="n">
        <f aca="false">SUM(D34:O34)</f>
        <v>9410.52471807289</v>
      </c>
    </row>
    <row r="35" customFormat="false" ht="15" hidden="false" customHeight="false" outlineLevel="0" collapsed="false">
      <c r="A35" s="10" t="str">
        <f aca="false">parametros_recargas!A56</f>
        <v>ABC 2,5 kg</v>
      </c>
      <c r="B35" s="10" t="str">
        <f aca="false">parametros_recargas!B56</f>
        <v>ABC</v>
      </c>
      <c r="C35" s="25" t="n">
        <f aca="false">parametros_recargas!C56</f>
        <v>1</v>
      </c>
      <c r="D35" s="26" t="n">
        <f aca="false">datos_base!$C$3*parametros_recargas!E$56+sobrestock_sustitutos!$B$52/12</f>
        <v>56.5150113042885</v>
      </c>
      <c r="E35" s="26" t="n">
        <f aca="false">datos_base!$C$3*parametros_recargas!F$56+sobrestock_sustitutos!$B$52/12</f>
        <v>96.2313640975051</v>
      </c>
      <c r="F35" s="26" t="n">
        <f aca="false">datos_base!$C$3*parametros_recargas!G$56+sobrestock_sustitutos!$B$52/12</f>
        <v>56.5150113042885</v>
      </c>
      <c r="G35" s="26" t="n">
        <f aca="false">datos_base!$C$3*parametros_recargas!H$56+sobrestock_sustitutos!$B$52/12</f>
        <v>56.5150113042885</v>
      </c>
      <c r="H35" s="26" t="n">
        <f aca="false">datos_base!$C$3*parametros_recargas!I$56+sobrestock_sustitutos!$B$52/12</f>
        <v>56.5150113042885</v>
      </c>
      <c r="I35" s="26" t="n">
        <f aca="false">datos_base!$C$3*parametros_recargas!J$56+sobrestock_sustitutos!$B$52/12</f>
        <v>56.5150113042885</v>
      </c>
      <c r="J35" s="26" t="n">
        <f aca="false">datos_base!$C$3*parametros_recargas!K$56+sobrestock_sustitutos!$B$52/12</f>
        <v>56.5150113042885</v>
      </c>
      <c r="K35" s="26" t="n">
        <f aca="false">datos_base!$C$3*parametros_recargas!L$56+sobrestock_sustitutos!$B$52/12</f>
        <v>56.5150113042885</v>
      </c>
      <c r="L35" s="26" t="n">
        <f aca="false">datos_base!$C$3*parametros_recargas!M$56+sobrestock_sustitutos!$B$52/12</f>
        <v>56.5150113042885</v>
      </c>
      <c r="M35" s="26" t="n">
        <f aca="false">datos_base!$C$3*parametros_recargas!N$56+sobrestock_sustitutos!$B$52/12</f>
        <v>56.5150113042885</v>
      </c>
      <c r="N35" s="26" t="n">
        <f aca="false">datos_base!$C$3*parametros_recargas!O$56+sobrestock_sustitutos!$B$52/12</f>
        <v>56.5150113042885</v>
      </c>
      <c r="O35" s="26" t="n">
        <f aca="false">datos_base!$C$3*parametros_recargas!P$56+sobrestock_sustitutos!$B$52/12</f>
        <v>56.5150113042885</v>
      </c>
      <c r="P35" s="8" t="n">
        <f aca="false">SUM(D35:O35)</f>
        <v>717.896488444678</v>
      </c>
    </row>
    <row r="36" customFormat="false" ht="15" hidden="false" customHeight="false" outlineLevel="0" collapsed="false">
      <c r="A36" s="10" t="str">
        <f aca="false">parametros_recargas!A57</f>
        <v>ABC 5 kg</v>
      </c>
      <c r="B36" s="10" t="str">
        <f aca="false">parametros_recargas!B57</f>
        <v>ABC</v>
      </c>
      <c r="C36" s="25" t="n">
        <f aca="false">parametros_recargas!C57</f>
        <v>1</v>
      </c>
      <c r="D36" s="26" t="n">
        <f aca="false">datos_base!$C$4*parametros_recargas!E$57+sobrestock_sustitutos!$B$53/12</f>
        <v>329.637991807234</v>
      </c>
      <c r="E36" s="26" t="n">
        <f aca="false">datos_base!$C$4*parametros_recargas!F$57+sobrestock_sustitutos!$B$53/12</f>
        <v>508.629572449005</v>
      </c>
      <c r="F36" s="26" t="n">
        <f aca="false">datos_base!$C$4*parametros_recargas!G$57+sobrestock_sustitutos!$B$53/12</f>
        <v>356.536032901388</v>
      </c>
      <c r="G36" s="26" t="n">
        <f aca="false">datos_base!$C$4*parametros_recargas!H$57+sobrestock_sustitutos!$B$53/12</f>
        <v>356.744056696363</v>
      </c>
      <c r="H36" s="26" t="n">
        <f aca="false">datos_base!$C$4*parametros_recargas!I$57+sobrestock_sustitutos!$B$53/12</f>
        <v>356.754916115956</v>
      </c>
      <c r="I36" s="26" t="n">
        <f aca="false">datos_base!$C$4*parametros_recargas!J$57+sobrestock_sustitutos!$B$53/12</f>
        <v>356.656020072207</v>
      </c>
      <c r="J36" s="26" t="n">
        <f aca="false">datos_base!$C$4*parametros_recargas!K$57+sobrestock_sustitutos!$B$53/12</f>
        <v>356.967082810891</v>
      </c>
      <c r="K36" s="26" t="n">
        <f aca="false">datos_base!$C$4*parametros_recargas!L$57+sobrestock_sustitutos!$B$53/12</f>
        <v>356.73297757753</v>
      </c>
      <c r="L36" s="26" t="n">
        <f aca="false">datos_base!$C$4*parametros_recargas!M$57+sobrestock_sustitutos!$B$53/12</f>
        <v>356.769479037028</v>
      </c>
      <c r="M36" s="26" t="n">
        <f aca="false">datos_base!$C$4*parametros_recargas!N$57+sobrestock_sustitutos!$B$53/12</f>
        <v>356.648801382883</v>
      </c>
      <c r="N36" s="26" t="n">
        <f aca="false">datos_base!$C$4*parametros_recargas!O$57+sobrestock_sustitutos!$B$53/12</f>
        <v>356.129118522715</v>
      </c>
      <c r="O36" s="26" t="n">
        <f aca="false">datos_base!$C$4*parametros_recargas!P$57+sobrestock_sustitutos!$B$53/12</f>
        <v>328.225922018504</v>
      </c>
      <c r="P36" s="8" t="n">
        <f aca="false">SUM(D36:O36)</f>
        <v>4376.4319713917</v>
      </c>
    </row>
    <row r="37" customFormat="false" ht="15" hidden="false" customHeight="false" outlineLevel="0" collapsed="false">
      <c r="A37" s="10" t="str">
        <f aca="false">parametros_recargas!A58</f>
        <v>ABC 10 kg</v>
      </c>
      <c r="B37" s="10" t="str">
        <f aca="false">parametros_recargas!B58</f>
        <v>ABC</v>
      </c>
      <c r="C37" s="25" t="n">
        <f aca="false">parametros_recargas!C58</f>
        <v>1</v>
      </c>
      <c r="D37" s="26" t="n">
        <f aca="false">datos_base!$C$5*parametros_recargas!E$58+sobrestock_sustitutos!$B$54/12</f>
        <v>19.0663543439545</v>
      </c>
      <c r="E37" s="26" t="n">
        <f aca="false">datos_base!$C$5*parametros_recargas!F$58+sobrestock_sustitutos!$B$54/12</f>
        <v>34.9925847612624</v>
      </c>
      <c r="F37" s="26" t="n">
        <f aca="false">datos_base!$C$5*parametros_recargas!G$58+sobrestock_sustitutos!$B$54/12</f>
        <v>19.0663543439545</v>
      </c>
      <c r="G37" s="26" t="n">
        <f aca="false">datos_base!$C$5*parametros_recargas!H$58+sobrestock_sustitutos!$B$54/12</f>
        <v>19.0663543439545</v>
      </c>
      <c r="H37" s="26" t="n">
        <f aca="false">datos_base!$C$5*parametros_recargas!I$58+sobrestock_sustitutos!$B$54/12</f>
        <v>19.0663543439545</v>
      </c>
      <c r="I37" s="26" t="n">
        <f aca="false">datos_base!$C$5*parametros_recargas!J$58+sobrestock_sustitutos!$B$54/12</f>
        <v>19.0663543439545</v>
      </c>
      <c r="J37" s="26" t="n">
        <f aca="false">datos_base!$C$5*parametros_recargas!K$58+sobrestock_sustitutos!$B$54/12</f>
        <v>19.0663543439545</v>
      </c>
      <c r="K37" s="26" t="n">
        <f aca="false">datos_base!$C$5*parametros_recargas!L$58+sobrestock_sustitutos!$B$54/12</f>
        <v>19.0663543439545</v>
      </c>
      <c r="L37" s="26" t="n">
        <f aca="false">datos_base!$C$5*parametros_recargas!M$58+sobrestock_sustitutos!$B$54/12</f>
        <v>19.0663543439545</v>
      </c>
      <c r="M37" s="26" t="n">
        <f aca="false">datos_base!$C$5*parametros_recargas!N$58+sobrestock_sustitutos!$B$54/12</f>
        <v>19.0663543439545</v>
      </c>
      <c r="N37" s="26" t="n">
        <f aca="false">datos_base!$C$5*parametros_recargas!O$58+sobrestock_sustitutos!$B$54/12</f>
        <v>19.0663543439545</v>
      </c>
      <c r="O37" s="26" t="n">
        <f aca="false">datos_base!$C$5*parametros_recargas!P$58+sobrestock_sustitutos!$B$54/12</f>
        <v>19.0663543439545</v>
      </c>
      <c r="P37" s="8" t="n">
        <f aca="false">SUM(D37:O37)</f>
        <v>244.722482544761</v>
      </c>
    </row>
    <row r="38" customFormat="false" ht="15" hidden="false" customHeight="false" outlineLevel="0" collapsed="false">
      <c r="A38" s="10" t="str">
        <f aca="false">parametros_recargas!A59</f>
        <v>Agua 10 l</v>
      </c>
      <c r="B38" s="10" t="str">
        <f aca="false">parametros_recargas!B59</f>
        <v>Agua</v>
      </c>
      <c r="C38" s="25" t="n">
        <f aca="false">parametros_recargas!C59</f>
        <v>1</v>
      </c>
      <c r="D38" s="26" t="n">
        <f aca="false">datos_base!$C$6*parametros_recargas!E$59+sobrestock_sustitutos!$B$55/12</f>
        <v>28.7372801834747</v>
      </c>
      <c r="E38" s="26" t="n">
        <f aca="false">datos_base!$C$6*parametros_recargas!F$59+sobrestock_sustitutos!$B$55/12</f>
        <v>42.6809724937315</v>
      </c>
      <c r="F38" s="26" t="n">
        <f aca="false">datos_base!$C$6*parametros_recargas!G$59+sobrestock_sustitutos!$B$55/12</f>
        <v>28.7372801834747</v>
      </c>
      <c r="G38" s="26" t="n">
        <f aca="false">datos_base!$C$6*parametros_recargas!H$59+sobrestock_sustitutos!$B$55/12</f>
        <v>28.7372801834747</v>
      </c>
      <c r="H38" s="26" t="n">
        <f aca="false">datos_base!$C$6*parametros_recargas!I$59+sobrestock_sustitutos!$B$55/12</f>
        <v>28.7372801834747</v>
      </c>
      <c r="I38" s="26" t="n">
        <f aca="false">datos_base!$C$6*parametros_recargas!J$59+sobrestock_sustitutos!$B$55/12</f>
        <v>28.7372801834747</v>
      </c>
      <c r="J38" s="26" t="n">
        <f aca="false">datos_base!$C$6*parametros_recargas!K$59+sobrestock_sustitutos!$B$55/12</f>
        <v>28.7372801834747</v>
      </c>
      <c r="K38" s="26" t="n">
        <f aca="false">datos_base!$C$6*parametros_recargas!L$59+sobrestock_sustitutos!$B$55/12</f>
        <v>28.7372801834747</v>
      </c>
      <c r="L38" s="26" t="n">
        <f aca="false">datos_base!$C$6*parametros_recargas!M$59+sobrestock_sustitutos!$B$55/12</f>
        <v>28.7372801834747</v>
      </c>
      <c r="M38" s="26" t="n">
        <f aca="false">datos_base!$C$6*parametros_recargas!N$59+sobrestock_sustitutos!$B$55/12</f>
        <v>28.7372801834747</v>
      </c>
      <c r="N38" s="26" t="n">
        <f aca="false">datos_base!$C$6*parametros_recargas!O$59+sobrestock_sustitutos!$B$55/12</f>
        <v>28.7372801834747</v>
      </c>
      <c r="O38" s="26" t="n">
        <f aca="false">datos_base!$C$6*parametros_recargas!P$59+sobrestock_sustitutos!$B$55/12</f>
        <v>28.7372801834747</v>
      </c>
      <c r="P38" s="8" t="n">
        <f aca="false">SUM(D38:O38)</f>
        <v>358.791054511953</v>
      </c>
    </row>
    <row r="39" customFormat="false" ht="15" hidden="false" customHeight="false" outlineLevel="0" collapsed="false">
      <c r="A39" s="10" t="str">
        <f aca="false">parametros_recargas!A60</f>
        <v>AFFF 10 l</v>
      </c>
      <c r="B39" s="10" t="str">
        <f aca="false">parametros_recargas!B60</f>
        <v>AFFF</v>
      </c>
      <c r="C39" s="25" t="n">
        <f aca="false">parametros_recargas!C60</f>
        <v>1</v>
      </c>
      <c r="D39" s="26" t="n">
        <f aca="false">datos_base!$C$7*parametros_recargas!E$60+sobrestock_sustitutos!$B$56/12</f>
        <v>7.53773067708145</v>
      </c>
      <c r="E39" s="26" t="n">
        <f aca="false">datos_base!$C$7*parametros_recargas!F$60+sobrestock_sustitutos!$B$56/12</f>
        <v>7.53773067708145</v>
      </c>
      <c r="F39" s="26" t="n">
        <f aca="false">datos_base!$C$7*parametros_recargas!G$60+sobrestock_sustitutos!$B$56/12</f>
        <v>7.53773067708145</v>
      </c>
      <c r="G39" s="26" t="n">
        <f aca="false">datos_base!$C$7*parametros_recargas!H$60+sobrestock_sustitutos!$B$56/12</f>
        <v>7.53773067708145</v>
      </c>
      <c r="H39" s="26" t="n">
        <f aca="false">datos_base!$C$7*parametros_recargas!I$60+sobrestock_sustitutos!$B$56/12</f>
        <v>7.53773067708145</v>
      </c>
      <c r="I39" s="26" t="n">
        <f aca="false">datos_base!$C$7*parametros_recargas!J$60+sobrestock_sustitutos!$B$56/12</f>
        <v>7.53773067708145</v>
      </c>
      <c r="J39" s="26" t="n">
        <f aca="false">datos_base!$C$7*parametros_recargas!K$60+sobrestock_sustitutos!$B$56/12</f>
        <v>7.53773067708145</v>
      </c>
      <c r="K39" s="26" t="n">
        <f aca="false">datos_base!$C$7*parametros_recargas!L$60+sobrestock_sustitutos!$B$56/12</f>
        <v>7.53773067708145</v>
      </c>
      <c r="L39" s="26" t="n">
        <f aca="false">datos_base!$C$7*parametros_recargas!M$60+sobrestock_sustitutos!$B$56/12</f>
        <v>7.53773067708145</v>
      </c>
      <c r="M39" s="26" t="n">
        <f aca="false">datos_base!$C$7*parametros_recargas!N$60+sobrestock_sustitutos!$B$56/12</f>
        <v>7.53773067708145</v>
      </c>
      <c r="N39" s="26" t="n">
        <f aca="false">datos_base!$C$7*parametros_recargas!O$60+sobrestock_sustitutos!$B$56/12</f>
        <v>7.53773067708145</v>
      </c>
      <c r="O39" s="26" t="n">
        <f aca="false">datos_base!$C$7*parametros_recargas!P$60+sobrestock_sustitutos!$B$56/12</f>
        <v>7.53773067708145</v>
      </c>
      <c r="P39" s="8" t="n">
        <f aca="false">SUM(D39:O39)</f>
        <v>90.4527681249774</v>
      </c>
    </row>
    <row r="40" customFormat="false" ht="15" hidden="false" customHeight="false" outlineLevel="0" collapsed="false">
      <c r="A40" s="10" t="str">
        <f aca="false">parametros_recargas!A61</f>
        <v>AFFF 50 l s/ruedas</v>
      </c>
      <c r="B40" s="10" t="str">
        <f aca="false">parametros_recargas!B61</f>
        <v>AFFF</v>
      </c>
      <c r="C40" s="25" t="n">
        <f aca="false">parametros_recargas!C61</f>
        <v>6.360853875</v>
      </c>
      <c r="D40" s="26" t="n">
        <f aca="false">datos_base!$C$8*parametros_recargas!E$61+sobrestock_sustitutos!$B$57/12</f>
        <v>3.92909038172824</v>
      </c>
      <c r="E40" s="26" t="n">
        <f aca="false">datos_base!$C$8*parametros_recargas!F$61+sobrestock_sustitutos!$B$57/12</f>
        <v>3.92909038172824</v>
      </c>
      <c r="F40" s="26" t="n">
        <f aca="false">datos_base!$C$8*parametros_recargas!G$61+sobrestock_sustitutos!$B$57/12</f>
        <v>3.92909038172824</v>
      </c>
      <c r="G40" s="26" t="n">
        <f aca="false">datos_base!$C$8*parametros_recargas!H$61+sobrestock_sustitutos!$B$57/12</f>
        <v>3.92909038172824</v>
      </c>
      <c r="H40" s="26" t="n">
        <f aca="false">datos_base!$C$8*parametros_recargas!I$61+sobrestock_sustitutos!$B$57/12</f>
        <v>3.92909038172824</v>
      </c>
      <c r="I40" s="26" t="n">
        <f aca="false">datos_base!$C$8*parametros_recargas!J$61+sobrestock_sustitutos!$B$57/12</f>
        <v>3.92909038172824</v>
      </c>
      <c r="J40" s="26" t="n">
        <f aca="false">datos_base!$C$8*parametros_recargas!K$61+sobrestock_sustitutos!$B$57/12</f>
        <v>3.92909038172824</v>
      </c>
      <c r="K40" s="26" t="n">
        <f aca="false">datos_base!$C$8*parametros_recargas!L$61+sobrestock_sustitutos!$B$57/12</f>
        <v>3.92909038172824</v>
      </c>
      <c r="L40" s="26" t="n">
        <f aca="false">datos_base!$C$8*parametros_recargas!M$61+sobrestock_sustitutos!$B$57/12</f>
        <v>3.92909038172824</v>
      </c>
      <c r="M40" s="26" t="n">
        <f aca="false">datos_base!$C$8*parametros_recargas!N$61+sobrestock_sustitutos!$B$57/12</f>
        <v>3.92909038172824</v>
      </c>
      <c r="N40" s="26" t="n">
        <f aca="false">datos_base!$C$8*parametros_recargas!O$61+sobrestock_sustitutos!$B$57/12</f>
        <v>3.92909038172824</v>
      </c>
      <c r="O40" s="26" t="n">
        <f aca="false">datos_base!$C$8*parametros_recargas!P$61+sobrestock_sustitutos!$B$57/12</f>
        <v>3.92909038172824</v>
      </c>
      <c r="P40" s="8" t="n">
        <f aca="false">SUM(D40:O40)</f>
        <v>47.1490845807389</v>
      </c>
    </row>
    <row r="41" customFormat="false" ht="15" hidden="false" customHeight="false" outlineLevel="0" collapsed="false">
      <c r="A41" s="10" t="str">
        <f aca="false">parametros_recargas!A62</f>
        <v>BC 5 kg</v>
      </c>
      <c r="B41" s="10" t="str">
        <f aca="false">parametros_recargas!B62</f>
        <v>BC</v>
      </c>
      <c r="C41" s="25" t="n">
        <f aca="false">parametros_recargas!C62</f>
        <v>1</v>
      </c>
      <c r="D41" s="26" t="n">
        <f aca="false">datos_base!$C$9*parametros_recargas!E$62+sobrestock_sustitutos!$B$58/12</f>
        <v>2.25858081462087</v>
      </c>
      <c r="E41" s="26" t="n">
        <f aca="false">datos_base!$C$9*parametros_recargas!F$62+sobrestock_sustitutos!$B$58/12</f>
        <v>2.25858081462087</v>
      </c>
      <c r="F41" s="26" t="n">
        <f aca="false">datos_base!$C$9*parametros_recargas!G$62+sobrestock_sustitutos!$B$58/12</f>
        <v>2.25858081462087</v>
      </c>
      <c r="G41" s="26" t="n">
        <f aca="false">datos_base!$C$9*parametros_recargas!H$62+sobrestock_sustitutos!$B$58/12</f>
        <v>2.25858081462087</v>
      </c>
      <c r="H41" s="26" t="n">
        <f aca="false">datos_base!$C$9*parametros_recargas!I$62+sobrestock_sustitutos!$B$58/12</f>
        <v>2.25858081462087</v>
      </c>
      <c r="I41" s="26" t="n">
        <f aca="false">datos_base!$C$9*parametros_recargas!J$62+sobrestock_sustitutos!$B$58/12</f>
        <v>2.25858081462087</v>
      </c>
      <c r="J41" s="26" t="n">
        <f aca="false">datos_base!$C$9*parametros_recargas!K$62+sobrestock_sustitutos!$B$58/12</f>
        <v>2.25858081462087</v>
      </c>
      <c r="K41" s="26" t="n">
        <f aca="false">datos_base!$C$9*parametros_recargas!L$62+sobrestock_sustitutos!$B$58/12</f>
        <v>2.25858081462087</v>
      </c>
      <c r="L41" s="26" t="n">
        <f aca="false">datos_base!$C$9*parametros_recargas!M$62+sobrestock_sustitutos!$B$58/12</f>
        <v>2.25858081462087</v>
      </c>
      <c r="M41" s="26" t="n">
        <f aca="false">datos_base!$C$9*parametros_recargas!N$62+sobrestock_sustitutos!$B$58/12</f>
        <v>2.25858081462087</v>
      </c>
      <c r="N41" s="26" t="n">
        <f aca="false">datos_base!$C$9*parametros_recargas!O$62+sobrestock_sustitutos!$B$58/12</f>
        <v>2.25858081462087</v>
      </c>
      <c r="O41" s="26" t="n">
        <f aca="false">datos_base!$C$9*parametros_recargas!P$62+sobrestock_sustitutos!$B$58/12</f>
        <v>2.25858081462087</v>
      </c>
      <c r="P41" s="8" t="n">
        <f aca="false">SUM(D41:O41)</f>
        <v>27.1029697754505</v>
      </c>
    </row>
    <row r="42" customFormat="false" ht="15" hidden="false" customHeight="false" outlineLevel="0" collapsed="false">
      <c r="A42" s="10" t="str">
        <f aca="false">parametros_recargas!A63</f>
        <v>Sales K 6 l</v>
      </c>
      <c r="B42" s="10" t="str">
        <f aca="false">parametros_recargas!B63</f>
        <v>Sales K</v>
      </c>
      <c r="C42" s="25" t="n">
        <f aca="false">parametros_recargas!C63</f>
        <v>1</v>
      </c>
      <c r="D42" s="26" t="n">
        <f aca="false">datos_base!$C$10*parametros_recargas!E$63+sobrestock_sustitutos!$B$59/12</f>
        <v>14.4587562786485</v>
      </c>
      <c r="E42" s="26" t="n">
        <f aca="false">datos_base!$C$10*parametros_recargas!F$63+sobrestock_sustitutos!$B$59/12</f>
        <v>28.9389664368257</v>
      </c>
      <c r="F42" s="26" t="n">
        <f aca="false">datos_base!$C$10*parametros_recargas!G$63+sobrestock_sustitutos!$B$59/12</f>
        <v>14.4587562786485</v>
      </c>
      <c r="G42" s="26" t="n">
        <f aca="false">datos_base!$C$10*parametros_recargas!H$63+sobrestock_sustitutos!$B$59/12</f>
        <v>14.4587562786485</v>
      </c>
      <c r="H42" s="26" t="n">
        <f aca="false">datos_base!$C$10*parametros_recargas!I$63+sobrestock_sustitutos!$B$59/12</f>
        <v>14.4587562786485</v>
      </c>
      <c r="I42" s="26" t="n">
        <f aca="false">datos_base!$C$10*parametros_recargas!J$63+sobrestock_sustitutos!$B$59/12</f>
        <v>14.4587562786485</v>
      </c>
      <c r="J42" s="26" t="n">
        <f aca="false">datos_base!$C$10*parametros_recargas!K$63+sobrestock_sustitutos!$B$59/12</f>
        <v>14.4587562786485</v>
      </c>
      <c r="K42" s="26" t="n">
        <f aca="false">datos_base!$C$10*parametros_recargas!L$63+sobrestock_sustitutos!$B$59/12</f>
        <v>14.4587562786485</v>
      </c>
      <c r="L42" s="26" t="n">
        <f aca="false">datos_base!$C$10*parametros_recargas!M$63+sobrestock_sustitutos!$B$59/12</f>
        <v>14.4587562786485</v>
      </c>
      <c r="M42" s="26" t="n">
        <f aca="false">datos_base!$C$10*parametros_recargas!N$63+sobrestock_sustitutos!$B$59/12</f>
        <v>14.4587562786485</v>
      </c>
      <c r="N42" s="26" t="n">
        <f aca="false">datos_base!$C$10*parametros_recargas!O$63+sobrestock_sustitutos!$B$59/12</f>
        <v>14.4587562786485</v>
      </c>
      <c r="O42" s="26" t="n">
        <f aca="false">datos_base!$C$10*parametros_recargas!P$63+sobrestock_sustitutos!$B$59/12</f>
        <v>14.4587562786485</v>
      </c>
      <c r="P42" s="8" t="n">
        <f aca="false">SUM(D42:O42)</f>
        <v>187.985285501959</v>
      </c>
    </row>
    <row r="43" customFormat="false" ht="15" hidden="false" customHeight="false" outlineLevel="0" collapsed="false">
      <c r="A43" s="10" t="str">
        <f aca="false">parametros_recargas!A64</f>
        <v>CO₂ 2 kg</v>
      </c>
      <c r="B43" s="10" t="str">
        <f aca="false">parametros_recargas!B64</f>
        <v>CO₂</v>
      </c>
      <c r="C43" s="25" t="n">
        <f aca="false">parametros_recargas!C64</f>
        <v>1</v>
      </c>
      <c r="D43" s="26" t="n">
        <f aca="false">datos_base!$C$11*parametros_recargas!E$64+sobrestock_sustitutos!$B$60/12</f>
        <v>74.3511117353387</v>
      </c>
      <c r="E43" s="26" t="n">
        <f aca="false">datos_base!$C$11*parametros_recargas!F$64+sobrestock_sustitutos!$B$60/12</f>
        <v>129.258407611987</v>
      </c>
      <c r="F43" s="26" t="n">
        <f aca="false">datos_base!$C$11*parametros_recargas!G$64+sobrestock_sustitutos!$B$60/12</f>
        <v>74.3511117353387</v>
      </c>
      <c r="G43" s="26" t="n">
        <f aca="false">datos_base!$C$11*parametros_recargas!H$64+sobrestock_sustitutos!$B$60/12</f>
        <v>74.3511117353387</v>
      </c>
      <c r="H43" s="26" t="n">
        <f aca="false">datos_base!$C$11*parametros_recargas!I$64+sobrestock_sustitutos!$B$60/12</f>
        <v>74.3511117353387</v>
      </c>
      <c r="I43" s="26" t="n">
        <f aca="false">datos_base!$C$11*parametros_recargas!J$64+sobrestock_sustitutos!$B$60/12</f>
        <v>74.3511117353387</v>
      </c>
      <c r="J43" s="26" t="n">
        <f aca="false">datos_base!$C$11*parametros_recargas!K$64+sobrestock_sustitutos!$B$60/12</f>
        <v>74.3511117353387</v>
      </c>
      <c r="K43" s="26" t="n">
        <f aca="false">datos_base!$C$11*parametros_recargas!L$64+sobrestock_sustitutos!$B$60/12</f>
        <v>74.3511117353387</v>
      </c>
      <c r="L43" s="26" t="n">
        <f aca="false">datos_base!$C$11*parametros_recargas!M$64+sobrestock_sustitutos!$B$60/12</f>
        <v>74.3511117353387</v>
      </c>
      <c r="M43" s="26" t="n">
        <f aca="false">datos_base!$C$11*parametros_recargas!N$64+sobrestock_sustitutos!$B$60/12</f>
        <v>74.3511117353387</v>
      </c>
      <c r="N43" s="26" t="n">
        <f aca="false">datos_base!$C$11*parametros_recargas!O$64+sobrestock_sustitutos!$B$60/12</f>
        <v>74.3511117353387</v>
      </c>
      <c r="O43" s="26" t="n">
        <f aca="false">datos_base!$C$11*parametros_recargas!P$64+sobrestock_sustitutos!$B$60/12</f>
        <v>74.3511117353387</v>
      </c>
      <c r="P43" s="8" t="n">
        <f aca="false">SUM(D43:O43)</f>
        <v>947.120636700713</v>
      </c>
    </row>
    <row r="44" customFormat="false" ht="15" hidden="false" customHeight="false" outlineLevel="0" collapsed="false">
      <c r="A44" s="10" t="str">
        <f aca="false">parametros_recargas!A65</f>
        <v>CO₂ 5 kg</v>
      </c>
      <c r="B44" s="10" t="str">
        <f aca="false">parametros_recargas!B65</f>
        <v>CO₂</v>
      </c>
      <c r="C44" s="25" t="n">
        <f aca="false">parametros_recargas!C65</f>
        <v>1</v>
      </c>
      <c r="D44" s="26" t="n">
        <f aca="false">datos_base!$C$12*parametros_recargas!E$65+sobrestock_sustitutos!$B$61/12</f>
        <v>29.6698368553907</v>
      </c>
      <c r="E44" s="26" t="n">
        <f aca="false">datos_base!$C$12*parametros_recargas!F$65+sobrestock_sustitutos!$B$61/12</f>
        <v>32.5375398657326</v>
      </c>
      <c r="F44" s="26" t="n">
        <f aca="false">datos_base!$C$12*parametros_recargas!G$65+sobrestock_sustitutos!$B$61/12</f>
        <v>29.6698368553907</v>
      </c>
      <c r="G44" s="26" t="n">
        <f aca="false">datos_base!$C$12*parametros_recargas!H$65+sobrestock_sustitutos!$B$61/12</f>
        <v>29.6698368553907</v>
      </c>
      <c r="H44" s="26" t="n">
        <f aca="false">datos_base!$C$12*parametros_recargas!I$65+sobrestock_sustitutos!$B$61/12</f>
        <v>29.6698368553907</v>
      </c>
      <c r="I44" s="26" t="n">
        <f aca="false">datos_base!$C$12*parametros_recargas!J$65+sobrestock_sustitutos!$B$61/12</f>
        <v>29.6698368553907</v>
      </c>
      <c r="J44" s="26" t="n">
        <f aca="false">datos_base!$C$12*parametros_recargas!K$65+sobrestock_sustitutos!$B$61/12</f>
        <v>29.6698368553907</v>
      </c>
      <c r="K44" s="26" t="n">
        <f aca="false">datos_base!$C$12*parametros_recargas!L$65+sobrestock_sustitutos!$B$61/12</f>
        <v>29.6698368553907</v>
      </c>
      <c r="L44" s="26" t="n">
        <f aca="false">datos_base!$C$12*parametros_recargas!M$65+sobrestock_sustitutos!$B$61/12</f>
        <v>29.6698368553907</v>
      </c>
      <c r="M44" s="26" t="n">
        <f aca="false">datos_base!$C$12*parametros_recargas!N$65+sobrestock_sustitutos!$B$61/12</f>
        <v>29.6698368553907</v>
      </c>
      <c r="N44" s="26" t="n">
        <f aca="false">datos_base!$C$12*parametros_recargas!O$65+sobrestock_sustitutos!$B$61/12</f>
        <v>29.6698368553907</v>
      </c>
      <c r="O44" s="26" t="n">
        <f aca="false">datos_base!$C$12*parametros_recargas!P$65+sobrestock_sustitutos!$B$61/12</f>
        <v>29.6698368553907</v>
      </c>
      <c r="P44" s="8" t="n">
        <f aca="false">SUM(D44:O44)</f>
        <v>358.90574527503</v>
      </c>
    </row>
    <row r="45" customFormat="false" ht="15" hidden="false" customHeight="false" outlineLevel="0" collapsed="false">
      <c r="A45" s="10" t="str">
        <f aca="false">parametros_recargas!A66</f>
        <v>HCFC/HFC 5 kg</v>
      </c>
      <c r="B45" s="10" t="str">
        <f aca="false">parametros_recargas!B66</f>
        <v>Halogenado</v>
      </c>
      <c r="C45" s="25" t="n">
        <f aca="false">parametros_recargas!C66</f>
        <v>1</v>
      </c>
      <c r="D45" s="26" t="n">
        <f aca="false">datos_base!$C$13*parametros_recargas!E$66+sobrestock_sustitutos!$B$62/12</f>
        <v>5.26232228238547</v>
      </c>
      <c r="E45" s="26" t="n">
        <f aca="false">datos_base!$C$13*parametros_recargas!F$66+sobrestock_sustitutos!$B$62/12</f>
        <v>5.26232228238547</v>
      </c>
      <c r="F45" s="26" t="n">
        <f aca="false">datos_base!$C$13*parametros_recargas!G$66+sobrestock_sustitutos!$B$62/12</f>
        <v>5.26232228238547</v>
      </c>
      <c r="G45" s="26" t="n">
        <f aca="false">datos_base!$C$13*parametros_recargas!H$66+sobrestock_sustitutos!$B$62/12</f>
        <v>5.26232228238547</v>
      </c>
      <c r="H45" s="26" t="n">
        <f aca="false">datos_base!$C$13*parametros_recargas!I$66+sobrestock_sustitutos!$B$62/12</f>
        <v>5.26232228238547</v>
      </c>
      <c r="I45" s="26" t="n">
        <f aca="false">datos_base!$C$13*parametros_recargas!J$66+sobrestock_sustitutos!$B$62/12</f>
        <v>5.26232228238547</v>
      </c>
      <c r="J45" s="26" t="n">
        <f aca="false">datos_base!$C$13*parametros_recargas!K$66+sobrestock_sustitutos!$B$62/12</f>
        <v>5.26232228238547</v>
      </c>
      <c r="K45" s="26" t="n">
        <f aca="false">datos_base!$C$13*parametros_recargas!L$66+sobrestock_sustitutos!$B$62/12</f>
        <v>5.26232228238547</v>
      </c>
      <c r="L45" s="26" t="n">
        <f aca="false">datos_base!$C$13*parametros_recargas!M$66+sobrestock_sustitutos!$B$62/12</f>
        <v>5.26232228238547</v>
      </c>
      <c r="M45" s="26" t="n">
        <f aca="false">datos_base!$C$13*parametros_recargas!N$66+sobrestock_sustitutos!$B$62/12</f>
        <v>5.26232228238547</v>
      </c>
      <c r="N45" s="26" t="n">
        <f aca="false">datos_base!$C$13*parametros_recargas!O$66+sobrestock_sustitutos!$B$62/12</f>
        <v>5.26232228238547</v>
      </c>
      <c r="O45" s="26" t="n">
        <f aca="false">datos_base!$C$13*parametros_recargas!P$66+sobrestock_sustitutos!$B$62/12</f>
        <v>5.26232228238547</v>
      </c>
      <c r="P45" s="8" t="n">
        <f aca="false">SUM(D45:O45)</f>
        <v>63.1478673886256</v>
      </c>
    </row>
    <row r="46" customFormat="false" ht="15" hidden="false" customHeight="false" outlineLevel="0" collapsed="false">
      <c r="A46" s="10" t="str">
        <f aca="false">parametros_recargas!A67</f>
        <v>Clase D 9 l</v>
      </c>
      <c r="B46" s="10" t="str">
        <f aca="false">parametros_recargas!B67</f>
        <v>Clase D</v>
      </c>
      <c r="C46" s="25" t="n">
        <f aca="false">parametros_recargas!C67</f>
        <v>1</v>
      </c>
      <c r="D46" s="26" t="n">
        <f aca="false">datos_base!$C$14*parametros_recargas!E$67+sobrestock_sustitutos!$B$63/12</f>
        <v>2.25858081462087</v>
      </c>
      <c r="E46" s="26" t="n">
        <f aca="false">datos_base!$C$14*parametros_recargas!F$67+sobrestock_sustitutos!$B$63/12</f>
        <v>2.25858081462087</v>
      </c>
      <c r="F46" s="26" t="n">
        <f aca="false">datos_base!$C$14*parametros_recargas!G$67+sobrestock_sustitutos!$B$63/12</f>
        <v>2.25858081462087</v>
      </c>
      <c r="G46" s="26" t="n">
        <f aca="false">datos_base!$C$14*parametros_recargas!H$67+sobrestock_sustitutos!$B$63/12</f>
        <v>2.25858081462087</v>
      </c>
      <c r="H46" s="26" t="n">
        <f aca="false">datos_base!$C$14*parametros_recargas!I$67+sobrestock_sustitutos!$B$63/12</f>
        <v>2.25858081462087</v>
      </c>
      <c r="I46" s="26" t="n">
        <f aca="false">datos_base!$C$14*parametros_recargas!J$67+sobrestock_sustitutos!$B$63/12</f>
        <v>2.25858081462087</v>
      </c>
      <c r="J46" s="26" t="n">
        <f aca="false">datos_base!$C$14*parametros_recargas!K$67+sobrestock_sustitutos!$B$63/12</f>
        <v>2.25858081462087</v>
      </c>
      <c r="K46" s="26" t="n">
        <f aca="false">datos_base!$C$14*parametros_recargas!L$67+sobrestock_sustitutos!$B$63/12</f>
        <v>2.25858081462087</v>
      </c>
      <c r="L46" s="26" t="n">
        <f aca="false">datos_base!$C$14*parametros_recargas!M$67+sobrestock_sustitutos!$B$63/12</f>
        <v>2.25858081462087</v>
      </c>
      <c r="M46" s="26" t="n">
        <f aca="false">datos_base!$C$14*parametros_recargas!N$67+sobrestock_sustitutos!$B$63/12</f>
        <v>2.25858081462087</v>
      </c>
      <c r="N46" s="26" t="n">
        <f aca="false">datos_base!$C$14*parametros_recargas!O$67+sobrestock_sustitutos!$B$63/12</f>
        <v>2.25858081462087</v>
      </c>
      <c r="O46" s="26" t="n">
        <f aca="false">datos_base!$C$14*parametros_recargas!P$67+sobrestock_sustitutos!$B$63/12</f>
        <v>2.25858081462087</v>
      </c>
      <c r="P46" s="8" t="n">
        <f aca="false">SUM(D46:O46)</f>
        <v>27.1029697754505</v>
      </c>
    </row>
    <row r="47" customFormat="false" ht="15" hidden="false" customHeight="false" outlineLevel="0" collapsed="false">
      <c r="A47" s="10" t="str">
        <f aca="false">parametros_recargas!A68</f>
        <v>ABC 25 kg s/ruedas</v>
      </c>
      <c r="B47" s="10" t="str">
        <f aca="false">parametros_recargas!B68</f>
        <v>ABC</v>
      </c>
      <c r="C47" s="25" t="n">
        <f aca="false">parametros_recargas!C68</f>
        <v>6.360853875</v>
      </c>
      <c r="D47" s="26" t="n">
        <f aca="false">datos_base!$C$15*parametros_recargas!E$68+sobrestock_sustitutos!$B$64/12</f>
        <v>4.00404456636244</v>
      </c>
      <c r="E47" s="26" t="n">
        <f aca="false">datos_base!$C$15*parametros_recargas!F$68+sobrestock_sustitutos!$B$64/12</f>
        <v>4.63745271047361</v>
      </c>
      <c r="F47" s="26" t="n">
        <f aca="false">datos_base!$C$15*parametros_recargas!G$68+sobrestock_sustitutos!$B$64/12</f>
        <v>4.00404456636244</v>
      </c>
      <c r="G47" s="26" t="n">
        <f aca="false">datos_base!$C$15*parametros_recargas!H$68+sobrestock_sustitutos!$B$64/12</f>
        <v>4.00404456636244</v>
      </c>
      <c r="H47" s="26" t="n">
        <f aca="false">datos_base!$C$15*parametros_recargas!I$68+sobrestock_sustitutos!$B$64/12</f>
        <v>4.00404456636244</v>
      </c>
      <c r="I47" s="26" t="n">
        <f aca="false">datos_base!$C$15*parametros_recargas!J$68+sobrestock_sustitutos!$B$64/12</f>
        <v>4.00404456636244</v>
      </c>
      <c r="J47" s="26" t="n">
        <f aca="false">datos_base!$C$15*parametros_recargas!K$68+sobrestock_sustitutos!$B$64/12</f>
        <v>4.00404456636244</v>
      </c>
      <c r="K47" s="26" t="n">
        <f aca="false">datos_base!$C$15*parametros_recargas!L$68+sobrestock_sustitutos!$B$64/12</f>
        <v>4.00404456636244</v>
      </c>
      <c r="L47" s="26" t="n">
        <f aca="false">datos_base!$C$15*parametros_recargas!M$68+sobrestock_sustitutos!$B$64/12</f>
        <v>4.00404456636244</v>
      </c>
      <c r="M47" s="26" t="n">
        <f aca="false">datos_base!$C$15*parametros_recargas!N$68+sobrestock_sustitutos!$B$64/12</f>
        <v>4.00404456636244</v>
      </c>
      <c r="N47" s="26" t="n">
        <f aca="false">datos_base!$C$15*parametros_recargas!O$68+sobrestock_sustitutos!$B$64/12</f>
        <v>4.00404456636244</v>
      </c>
      <c r="O47" s="26" t="n">
        <f aca="false">datos_base!$C$15*parametros_recargas!P$68+sobrestock_sustitutos!$B$64/12</f>
        <v>4.00404456636244</v>
      </c>
      <c r="P47" s="8" t="n">
        <f aca="false">SUM(D47:O47)</f>
        <v>48.6819429404605</v>
      </c>
    </row>
    <row r="48" customFormat="false" ht="15" hidden="false" customHeight="false" outlineLevel="0" collapsed="false">
      <c r="A48" s="10" t="str">
        <f aca="false">parametros_recargas!A69</f>
        <v>ABC 50 kg s/ruedas</v>
      </c>
      <c r="B48" s="10" t="str">
        <f aca="false">parametros_recargas!B69</f>
        <v>ABC</v>
      </c>
      <c r="C48" s="25" t="n">
        <f aca="false">parametros_recargas!C69</f>
        <v>6.360853875</v>
      </c>
      <c r="D48" s="26" t="n">
        <f aca="false">datos_base!$C$16*parametros_recargas!E$69+sobrestock_sustitutos!$B$65/12</f>
        <v>8.70888230515369</v>
      </c>
      <c r="E48" s="26" t="n">
        <f aca="false">datos_base!$C$16*parametros_recargas!F$69+sobrestock_sustitutos!$B$65/12</f>
        <v>10.1025697777461</v>
      </c>
      <c r="F48" s="26" t="n">
        <f aca="false">datos_base!$C$16*parametros_recargas!G$69+sobrestock_sustitutos!$B$65/12</f>
        <v>8.70888230515369</v>
      </c>
      <c r="G48" s="26" t="n">
        <f aca="false">datos_base!$C$16*parametros_recargas!H$69+sobrestock_sustitutos!$B$65/12</f>
        <v>8.70888230515369</v>
      </c>
      <c r="H48" s="26" t="n">
        <f aca="false">datos_base!$C$16*parametros_recargas!I$69+sobrestock_sustitutos!$B$65/12</f>
        <v>8.70888230515369</v>
      </c>
      <c r="I48" s="26" t="n">
        <f aca="false">datos_base!$C$16*parametros_recargas!J$69+sobrestock_sustitutos!$B$65/12</f>
        <v>8.70888230515369</v>
      </c>
      <c r="J48" s="26" t="n">
        <f aca="false">datos_base!$C$16*parametros_recargas!K$69+sobrestock_sustitutos!$B$65/12</f>
        <v>8.70888230515369</v>
      </c>
      <c r="K48" s="26" t="n">
        <f aca="false">datos_base!$C$16*parametros_recargas!L$69+sobrestock_sustitutos!$B$65/12</f>
        <v>8.70888230515369</v>
      </c>
      <c r="L48" s="26" t="n">
        <f aca="false">datos_base!$C$16*parametros_recargas!M$69+sobrestock_sustitutos!$B$65/12</f>
        <v>8.70888230515369</v>
      </c>
      <c r="M48" s="26" t="n">
        <f aca="false">datos_base!$C$16*parametros_recargas!N$69+sobrestock_sustitutos!$B$65/12</f>
        <v>8.70888230515369</v>
      </c>
      <c r="N48" s="26" t="n">
        <f aca="false">datos_base!$C$16*parametros_recargas!O$69+sobrestock_sustitutos!$B$65/12</f>
        <v>8.70888230515369</v>
      </c>
      <c r="O48" s="26" t="n">
        <f aca="false">datos_base!$C$16*parametros_recargas!P$69+sobrestock_sustitutos!$B$65/12</f>
        <v>8.70888230515369</v>
      </c>
      <c r="P48" s="8" t="n">
        <f aca="false">SUM(D48:O48)</f>
        <v>105.900275134437</v>
      </c>
    </row>
    <row r="49" customFormat="false" ht="15" hidden="false" customHeight="false" outlineLevel="0" collapsed="false">
      <c r="A49" s="10" t="str">
        <f aca="false">parametros_recargas!A70</f>
        <v>ABC 70 kg s/ruedas</v>
      </c>
      <c r="B49" s="10" t="str">
        <f aca="false">parametros_recargas!B70</f>
        <v>ABC</v>
      </c>
      <c r="C49" s="25" t="n">
        <f aca="false">parametros_recargas!C70</f>
        <v>6.360853875</v>
      </c>
      <c r="D49" s="26" t="n">
        <f aca="false">datos_base!$C$17*parametros_recargas!E$70+sobrestock_sustitutos!$B$66/12</f>
        <v>1.96527889747015</v>
      </c>
      <c r="E49" s="26" t="n">
        <f aca="false">datos_base!$C$17*parametros_recargas!F$70+sobrestock_sustitutos!$B$66/12</f>
        <v>2.26926467270698</v>
      </c>
      <c r="F49" s="26" t="n">
        <f aca="false">datos_base!$C$17*parametros_recargas!G$70+sobrestock_sustitutos!$B$66/12</f>
        <v>1.96527889747015</v>
      </c>
      <c r="G49" s="26" t="n">
        <f aca="false">datos_base!$C$17*parametros_recargas!H$70+sobrestock_sustitutos!$B$66/12</f>
        <v>1.96527889747015</v>
      </c>
      <c r="H49" s="26" t="n">
        <f aca="false">datos_base!$C$17*parametros_recargas!I$70+sobrestock_sustitutos!$B$66/12</f>
        <v>1.96527889747015</v>
      </c>
      <c r="I49" s="26" t="n">
        <f aca="false">datos_base!$C$17*parametros_recargas!J$70+sobrestock_sustitutos!$B$66/12</f>
        <v>1.96527889747015</v>
      </c>
      <c r="J49" s="26" t="n">
        <f aca="false">datos_base!$C$17*parametros_recargas!K$70+sobrestock_sustitutos!$B$66/12</f>
        <v>1.96527889747015</v>
      </c>
      <c r="K49" s="26" t="n">
        <f aca="false">datos_base!$C$17*parametros_recargas!L$70+sobrestock_sustitutos!$B$66/12</f>
        <v>1.96527889747015</v>
      </c>
      <c r="L49" s="26" t="n">
        <f aca="false">datos_base!$C$17*parametros_recargas!M$70+sobrestock_sustitutos!$B$66/12</f>
        <v>1.96527889747015</v>
      </c>
      <c r="M49" s="26" t="n">
        <f aca="false">datos_base!$C$17*parametros_recargas!N$70+sobrestock_sustitutos!$B$66/12</f>
        <v>1.96527889747015</v>
      </c>
      <c r="N49" s="26" t="n">
        <f aca="false">datos_base!$C$17*parametros_recargas!O$70+sobrestock_sustitutos!$B$66/12</f>
        <v>1.96527889747015</v>
      </c>
      <c r="O49" s="26" t="n">
        <f aca="false">datos_base!$C$17*parametros_recargas!P$70+sobrestock_sustitutos!$B$66/12</f>
        <v>1.96527889747015</v>
      </c>
      <c r="P49" s="8" t="n">
        <f aca="false">SUM(D49:O49)</f>
        <v>23.8873325448787</v>
      </c>
    </row>
    <row r="50" customFormat="false" ht="15" hidden="false" customHeight="false" outlineLevel="0" collapsed="false">
      <c r="A50" s="10" t="str">
        <f aca="false">parametros_recargas!A71</f>
        <v>ABC 100 kg s/ruedas</v>
      </c>
      <c r="B50" s="10" t="str">
        <f aca="false">parametros_recargas!B71</f>
        <v>ABC</v>
      </c>
      <c r="C50" s="25" t="n">
        <f aca="false">parametros_recargas!C71</f>
        <v>6.360853875</v>
      </c>
      <c r="D50" s="26" t="n">
        <f aca="false">datos_base!$C$18*parametros_recargas!E$71+sobrestock_sustitutos!$B$67/12</f>
        <v>1.33794604404942</v>
      </c>
      <c r="E50" s="26" t="n">
        <f aca="false">datos_base!$C$18*parametros_recargas!F$71+sobrestock_sustitutos!$B$67/12</f>
        <v>1.54081521204219</v>
      </c>
      <c r="F50" s="26" t="n">
        <f aca="false">datos_base!$C$18*parametros_recargas!G$71+sobrestock_sustitutos!$B$67/12</f>
        <v>1.33794604404942</v>
      </c>
      <c r="G50" s="26" t="n">
        <f aca="false">datos_base!$C$18*parametros_recargas!H$71+sobrestock_sustitutos!$B$67/12</f>
        <v>1.33794604404942</v>
      </c>
      <c r="H50" s="26" t="n">
        <f aca="false">datos_base!$C$18*parametros_recargas!I$71+sobrestock_sustitutos!$B$67/12</f>
        <v>1.33794604404942</v>
      </c>
      <c r="I50" s="26" t="n">
        <f aca="false">datos_base!$C$18*parametros_recargas!J$71+sobrestock_sustitutos!$B$67/12</f>
        <v>1.33794604404942</v>
      </c>
      <c r="J50" s="26" t="n">
        <f aca="false">datos_base!$C$18*parametros_recargas!K$71+sobrestock_sustitutos!$B$67/12</f>
        <v>1.33794604404942</v>
      </c>
      <c r="K50" s="26" t="n">
        <f aca="false">datos_base!$C$18*parametros_recargas!L$71+sobrestock_sustitutos!$B$67/12</f>
        <v>1.33794604404942</v>
      </c>
      <c r="L50" s="26" t="n">
        <f aca="false">datos_base!$C$18*parametros_recargas!M$71+sobrestock_sustitutos!$B$67/12</f>
        <v>1.33794604404942</v>
      </c>
      <c r="M50" s="26" t="n">
        <f aca="false">datos_base!$C$18*parametros_recargas!N$71+sobrestock_sustitutos!$B$67/12</f>
        <v>1.33794604404942</v>
      </c>
      <c r="N50" s="26" t="n">
        <f aca="false">datos_base!$C$18*parametros_recargas!O$71+sobrestock_sustitutos!$B$67/12</f>
        <v>1.33794604404942</v>
      </c>
      <c r="O50" s="26" t="n">
        <f aca="false">datos_base!$C$18*parametros_recargas!P$71+sobrestock_sustitutos!$B$67/12</f>
        <v>1.33794604404942</v>
      </c>
      <c r="P50" s="8" t="n">
        <f aca="false">SUM(D50:O50)</f>
        <v>16.2582216965858</v>
      </c>
    </row>
    <row r="51" customFormat="false" ht="15" hidden="false" customHeight="false" outlineLevel="0" collapsed="false">
      <c r="A51" s="4" t="s">
        <v>430</v>
      </c>
      <c r="D51" s="8" t="n">
        <f aca="false">SUM(D34:D50)</f>
        <v>660.191191370664</v>
      </c>
      <c r="E51" s="8" t="n">
        <f aca="false">SUM(E34:E50)</f>
        <v>1836.04064386474</v>
      </c>
      <c r="F51" s="8" t="n">
        <f aca="false">SUM(F34:F50)</f>
        <v>1545.04867670137</v>
      </c>
      <c r="G51" s="8" t="n">
        <f aca="false">SUM(G34:G50)</f>
        <v>1551.89197846695</v>
      </c>
      <c r="H51" s="8" t="n">
        <f aca="false">SUM(H34:H50)</f>
        <v>1552.24921781681</v>
      </c>
      <c r="I51" s="8" t="n">
        <f aca="false">SUM(I34:I50)</f>
        <v>1548.99586177225</v>
      </c>
      <c r="J51" s="8" t="n">
        <f aca="false">SUM(J34:J50)</f>
        <v>1559.22880742685</v>
      </c>
      <c r="K51" s="8" t="n">
        <f aca="false">SUM(K34:K50)</f>
        <v>1551.5275117314</v>
      </c>
      <c r="L51" s="8" t="n">
        <f aca="false">SUM(L34:L50)</f>
        <v>1552.72829023975</v>
      </c>
      <c r="M51" s="8" t="n">
        <f aca="false">SUM(M34:M50)</f>
        <v>1548.75839052813</v>
      </c>
      <c r="N51" s="8" t="n">
        <f aca="false">SUM(N34:N50)</f>
        <v>1531.66252591823</v>
      </c>
      <c r="O51" s="8" t="n">
        <f aca="false">SUM(O34:O50)</f>
        <v>613.738718568151</v>
      </c>
      <c r="P51" s="8" t="n">
        <f aca="false">SUM(P34:P50)</f>
        <v>17052.0618144053</v>
      </c>
    </row>
    <row r="52" customFormat="false" ht="15" hidden="false" customHeight="false" outlineLevel="0" collapsed="false">
      <c r="A52" s="4" t="s">
        <v>431</v>
      </c>
    </row>
    <row r="53" customFormat="false" ht="15" hidden="false" customHeight="false" outlineLevel="0" collapsed="false">
      <c r="A53" s="5" t="s">
        <v>110</v>
      </c>
      <c r="D53" s="26" t="n">
        <f aca="false">SUMPRODUCT(($B$34:$B$50=$A53)*D$34:D$50*$C$34:$C$50)</f>
        <v>577.588150856876</v>
      </c>
      <c r="E53" s="26" t="n">
        <f aca="false">SUMPRODUCT(($B$34:$B$50=$A53)*E$34:E$50*$C$34:$C$50)</f>
        <v>1680.8228406738</v>
      </c>
      <c r="F53" s="26" t="n">
        <f aca="false">SUMPRODUCT(($B$34:$B$50=$A53)*F$34:F$50*$C$34:$C$50)</f>
        <v>1462.44563618759</v>
      </c>
      <c r="G53" s="26" t="n">
        <f aca="false">SUMPRODUCT(($B$34:$B$50=$A53)*G$34:G$50*$C$34:$C$50)</f>
        <v>1469.28893795316</v>
      </c>
      <c r="H53" s="26" t="n">
        <f aca="false">SUMPRODUCT(($B$34:$B$50=$A53)*H$34:H$50*$C$34:$C$50)</f>
        <v>1469.64617730302</v>
      </c>
      <c r="I53" s="26" t="n">
        <f aca="false">SUMPRODUCT(($B$34:$B$50=$A53)*I$34:I$50*$C$34:$C$50)</f>
        <v>1466.39282125847</v>
      </c>
      <c r="J53" s="26" t="n">
        <f aca="false">SUMPRODUCT(($B$34:$B$50=$A53)*J$34:J$50*$C$34:$C$50)</f>
        <v>1476.62576691306</v>
      </c>
      <c r="K53" s="26" t="n">
        <f aca="false">SUMPRODUCT(($B$34:$B$50=$A53)*K$34:K$50*$C$34:$C$50)</f>
        <v>1468.92447121761</v>
      </c>
      <c r="L53" s="26" t="n">
        <f aca="false">SUMPRODUCT(($B$34:$B$50=$A53)*L$34:L$50*$C$34:$C$50)</f>
        <v>1470.12524972596</v>
      </c>
      <c r="M53" s="26" t="n">
        <f aca="false">SUMPRODUCT(($B$34:$B$50=$A53)*M$34:M$50*$C$34:$C$50)</f>
        <v>1466.15535001434</v>
      </c>
      <c r="N53" s="26" t="n">
        <f aca="false">SUMPRODUCT(($B$34:$B$50=$A53)*N$34:N$50*$C$34:$C$50)</f>
        <v>1449.05948540444</v>
      </c>
      <c r="O53" s="26" t="n">
        <f aca="false">SUMPRODUCT(($B$34:$B$50=$A53)*O$34:O$50*$C$34:$C$50)</f>
        <v>531.135678054362</v>
      </c>
      <c r="P53" s="26" t="n">
        <f aca="false">SUMPRODUCT(($B$34:$B$50=$A53)*P$34:P$50*$C$34:$C$50)</f>
        <v>15988.2105655627</v>
      </c>
    </row>
    <row r="54" customFormat="false" ht="15" hidden="false" customHeight="false" outlineLevel="0" collapsed="false">
      <c r="A54" s="5" t="s">
        <v>111</v>
      </c>
      <c r="D54" s="26" t="n">
        <f aca="false">SUMPRODUCT(($B$34:$B$50=$A54)*D$34:D$50*$C$34:$C$50)</f>
        <v>2.25858081462087</v>
      </c>
      <c r="E54" s="26" t="n">
        <f aca="false">SUMPRODUCT(($B$34:$B$50=$A54)*E$34:E$50*$C$34:$C$50)</f>
        <v>2.25858081462087</v>
      </c>
      <c r="F54" s="26" t="n">
        <f aca="false">SUMPRODUCT(($B$34:$B$50=$A54)*F$34:F$50*$C$34:$C$50)</f>
        <v>2.25858081462087</v>
      </c>
      <c r="G54" s="26" t="n">
        <f aca="false">SUMPRODUCT(($B$34:$B$50=$A54)*G$34:G$50*$C$34:$C$50)</f>
        <v>2.25858081462087</v>
      </c>
      <c r="H54" s="26" t="n">
        <f aca="false">SUMPRODUCT(($B$34:$B$50=$A54)*H$34:H$50*$C$34:$C$50)</f>
        <v>2.25858081462087</v>
      </c>
      <c r="I54" s="26" t="n">
        <f aca="false">SUMPRODUCT(($B$34:$B$50=$A54)*I$34:I$50*$C$34:$C$50)</f>
        <v>2.25858081462087</v>
      </c>
      <c r="J54" s="26" t="n">
        <f aca="false">SUMPRODUCT(($B$34:$B$50=$A54)*J$34:J$50*$C$34:$C$50)</f>
        <v>2.25858081462087</v>
      </c>
      <c r="K54" s="26" t="n">
        <f aca="false">SUMPRODUCT(($B$34:$B$50=$A54)*K$34:K$50*$C$34:$C$50)</f>
        <v>2.25858081462087</v>
      </c>
      <c r="L54" s="26" t="n">
        <f aca="false">SUMPRODUCT(($B$34:$B$50=$A54)*L$34:L$50*$C$34:$C$50)</f>
        <v>2.25858081462087</v>
      </c>
      <c r="M54" s="26" t="n">
        <f aca="false">SUMPRODUCT(($B$34:$B$50=$A54)*M$34:M$50*$C$34:$C$50)</f>
        <v>2.25858081462087</v>
      </c>
      <c r="N54" s="26" t="n">
        <f aca="false">SUMPRODUCT(($B$34:$B$50=$A54)*N$34:N$50*$C$34:$C$50)</f>
        <v>2.25858081462087</v>
      </c>
      <c r="O54" s="26" t="n">
        <f aca="false">SUMPRODUCT(($B$34:$B$50=$A54)*O$34:O$50*$C$34:$C$50)</f>
        <v>2.25858081462087</v>
      </c>
      <c r="P54" s="26" t="n">
        <f aca="false">SUMPRODUCT(($B$34:$B$50=$A54)*P$34:P$50*$C$34:$C$50)</f>
        <v>27.1029697754505</v>
      </c>
    </row>
    <row r="55" customFormat="false" ht="15" hidden="false" customHeight="false" outlineLevel="0" collapsed="false">
      <c r="A55" s="5" t="s">
        <v>112</v>
      </c>
      <c r="D55" s="26" t="n">
        <f aca="false">SUMPRODUCT(($B$34:$B$50=$A55)*D$34:D$50*$C$34:$C$50)</f>
        <v>2.25858081462087</v>
      </c>
      <c r="E55" s="26" t="n">
        <f aca="false">SUMPRODUCT(($B$34:$B$50=$A55)*E$34:E$50*$C$34:$C$50)</f>
        <v>2.25858081462087</v>
      </c>
      <c r="F55" s="26" t="n">
        <f aca="false">SUMPRODUCT(($B$34:$B$50=$A55)*F$34:F$50*$C$34:$C$50)</f>
        <v>2.25858081462087</v>
      </c>
      <c r="G55" s="26" t="n">
        <f aca="false">SUMPRODUCT(($B$34:$B$50=$A55)*G$34:G$50*$C$34:$C$50)</f>
        <v>2.25858081462087</v>
      </c>
      <c r="H55" s="26" t="n">
        <f aca="false">SUMPRODUCT(($B$34:$B$50=$A55)*H$34:H$50*$C$34:$C$50)</f>
        <v>2.25858081462087</v>
      </c>
      <c r="I55" s="26" t="n">
        <f aca="false">SUMPRODUCT(($B$34:$B$50=$A55)*I$34:I$50*$C$34:$C$50)</f>
        <v>2.25858081462087</v>
      </c>
      <c r="J55" s="26" t="n">
        <f aca="false">SUMPRODUCT(($B$34:$B$50=$A55)*J$34:J$50*$C$34:$C$50)</f>
        <v>2.25858081462087</v>
      </c>
      <c r="K55" s="26" t="n">
        <f aca="false">SUMPRODUCT(($B$34:$B$50=$A55)*K$34:K$50*$C$34:$C$50)</f>
        <v>2.25858081462087</v>
      </c>
      <c r="L55" s="26" t="n">
        <f aca="false">SUMPRODUCT(($B$34:$B$50=$A55)*L$34:L$50*$C$34:$C$50)</f>
        <v>2.25858081462087</v>
      </c>
      <c r="M55" s="26" t="n">
        <f aca="false">SUMPRODUCT(($B$34:$B$50=$A55)*M$34:M$50*$C$34:$C$50)</f>
        <v>2.25858081462087</v>
      </c>
      <c r="N55" s="26" t="n">
        <f aca="false">SUMPRODUCT(($B$34:$B$50=$A55)*N$34:N$50*$C$34:$C$50)</f>
        <v>2.25858081462087</v>
      </c>
      <c r="O55" s="26" t="n">
        <f aca="false">SUMPRODUCT(($B$34:$B$50=$A55)*O$34:O$50*$C$34:$C$50)</f>
        <v>2.25858081462087</v>
      </c>
      <c r="P55" s="26" t="n">
        <f aca="false">SUMPRODUCT(($B$34:$B$50=$A55)*P$34:P$50*$C$34:$C$50)</f>
        <v>27.1029697754505</v>
      </c>
    </row>
    <row r="56" customFormat="false" ht="15" hidden="false" customHeight="false" outlineLevel="0" collapsed="false">
      <c r="A56" s="5" t="s">
        <v>113</v>
      </c>
      <c r="D56" s="26" t="n">
        <f aca="false">SUMPRODUCT(($B$34:$B$50=$A56)*D$34:D$50*$C$34:$C$50)</f>
        <v>28.7372801834747</v>
      </c>
      <c r="E56" s="26" t="n">
        <f aca="false">SUMPRODUCT(($B$34:$B$50=$A56)*E$34:E$50*$C$34:$C$50)</f>
        <v>42.6809724937315</v>
      </c>
      <c r="F56" s="26" t="n">
        <f aca="false">SUMPRODUCT(($B$34:$B$50=$A56)*F$34:F$50*$C$34:$C$50)</f>
        <v>28.7372801834747</v>
      </c>
      <c r="G56" s="26" t="n">
        <f aca="false">SUMPRODUCT(($B$34:$B$50=$A56)*G$34:G$50*$C$34:$C$50)</f>
        <v>28.7372801834747</v>
      </c>
      <c r="H56" s="26" t="n">
        <f aca="false">SUMPRODUCT(($B$34:$B$50=$A56)*H$34:H$50*$C$34:$C$50)</f>
        <v>28.7372801834747</v>
      </c>
      <c r="I56" s="26" t="n">
        <f aca="false">SUMPRODUCT(($B$34:$B$50=$A56)*I$34:I$50*$C$34:$C$50)</f>
        <v>28.7372801834747</v>
      </c>
      <c r="J56" s="26" t="n">
        <f aca="false">SUMPRODUCT(($B$34:$B$50=$A56)*J$34:J$50*$C$34:$C$50)</f>
        <v>28.7372801834747</v>
      </c>
      <c r="K56" s="26" t="n">
        <f aca="false">SUMPRODUCT(($B$34:$B$50=$A56)*K$34:K$50*$C$34:$C$50)</f>
        <v>28.7372801834747</v>
      </c>
      <c r="L56" s="26" t="n">
        <f aca="false">SUMPRODUCT(($B$34:$B$50=$A56)*L$34:L$50*$C$34:$C$50)</f>
        <v>28.7372801834747</v>
      </c>
      <c r="M56" s="26" t="n">
        <f aca="false">SUMPRODUCT(($B$34:$B$50=$A56)*M$34:M$50*$C$34:$C$50)</f>
        <v>28.7372801834747</v>
      </c>
      <c r="N56" s="26" t="n">
        <f aca="false">SUMPRODUCT(($B$34:$B$50=$A56)*N$34:N$50*$C$34:$C$50)</f>
        <v>28.7372801834747</v>
      </c>
      <c r="O56" s="26" t="n">
        <f aca="false">SUMPRODUCT(($B$34:$B$50=$A56)*O$34:O$50*$C$34:$C$50)</f>
        <v>28.7372801834747</v>
      </c>
      <c r="P56" s="26" t="n">
        <f aca="false">SUMPRODUCT(($B$34:$B$50=$A56)*P$34:P$50*$C$34:$C$50)</f>
        <v>358.791054511953</v>
      </c>
    </row>
    <row r="57" customFormat="false" ht="15" hidden="false" customHeight="false" outlineLevel="0" collapsed="false">
      <c r="A57" s="5" t="s">
        <v>114</v>
      </c>
      <c r="D57" s="26" t="n">
        <f aca="false">SUMPRODUCT(($B$34:$B$50=$A57)*D$34:D$50*$C$34:$C$50)</f>
        <v>32.5301004569228</v>
      </c>
      <c r="E57" s="26" t="n">
        <f aca="false">SUMPRODUCT(($B$34:$B$50=$A57)*E$34:E$50*$C$34:$C$50)</f>
        <v>32.5301004569228</v>
      </c>
      <c r="F57" s="26" t="n">
        <f aca="false">SUMPRODUCT(($B$34:$B$50=$A57)*F$34:F$50*$C$34:$C$50)</f>
        <v>32.5301004569228</v>
      </c>
      <c r="G57" s="26" t="n">
        <f aca="false">SUMPRODUCT(($B$34:$B$50=$A57)*G$34:G$50*$C$34:$C$50)</f>
        <v>32.5301004569228</v>
      </c>
      <c r="H57" s="26" t="n">
        <f aca="false">SUMPRODUCT(($B$34:$B$50=$A57)*H$34:H$50*$C$34:$C$50)</f>
        <v>32.5301004569228</v>
      </c>
      <c r="I57" s="26" t="n">
        <f aca="false">SUMPRODUCT(($B$34:$B$50=$A57)*I$34:I$50*$C$34:$C$50)</f>
        <v>32.5301004569228</v>
      </c>
      <c r="J57" s="26" t="n">
        <f aca="false">SUMPRODUCT(($B$34:$B$50=$A57)*J$34:J$50*$C$34:$C$50)</f>
        <v>32.5301004569228</v>
      </c>
      <c r="K57" s="26" t="n">
        <f aca="false">SUMPRODUCT(($B$34:$B$50=$A57)*K$34:K$50*$C$34:$C$50)</f>
        <v>32.5301004569228</v>
      </c>
      <c r="L57" s="26" t="n">
        <f aca="false">SUMPRODUCT(($B$34:$B$50=$A57)*L$34:L$50*$C$34:$C$50)</f>
        <v>32.5301004569228</v>
      </c>
      <c r="M57" s="26" t="n">
        <f aca="false">SUMPRODUCT(($B$34:$B$50=$A57)*M$34:M$50*$C$34:$C$50)</f>
        <v>32.5301004569228</v>
      </c>
      <c r="N57" s="26" t="n">
        <f aca="false">SUMPRODUCT(($B$34:$B$50=$A57)*N$34:N$50*$C$34:$C$50)</f>
        <v>32.5301004569228</v>
      </c>
      <c r="O57" s="26" t="n">
        <f aca="false">SUMPRODUCT(($B$34:$B$50=$A57)*O$34:O$50*$C$34:$C$50)</f>
        <v>32.5301004569228</v>
      </c>
      <c r="P57" s="26" t="n">
        <f aca="false">SUMPRODUCT(($B$34:$B$50=$A57)*P$34:P$50*$C$34:$C$50)</f>
        <v>390.361205483073</v>
      </c>
    </row>
    <row r="58" customFormat="false" ht="15" hidden="false" customHeight="false" outlineLevel="0" collapsed="false">
      <c r="A58" s="5" t="s">
        <v>115</v>
      </c>
      <c r="D58" s="26" t="n">
        <f aca="false">SUMPRODUCT(($B$34:$B$50=$A58)*D$34:D$50*$C$34:$C$50)</f>
        <v>14.4587562786485</v>
      </c>
      <c r="E58" s="26" t="n">
        <f aca="false">SUMPRODUCT(($B$34:$B$50=$A58)*E$34:E$50*$C$34:$C$50)</f>
        <v>28.9389664368257</v>
      </c>
      <c r="F58" s="26" t="n">
        <f aca="false">SUMPRODUCT(($B$34:$B$50=$A58)*F$34:F$50*$C$34:$C$50)</f>
        <v>14.4587562786485</v>
      </c>
      <c r="G58" s="26" t="n">
        <f aca="false">SUMPRODUCT(($B$34:$B$50=$A58)*G$34:G$50*$C$34:$C$50)</f>
        <v>14.4587562786485</v>
      </c>
      <c r="H58" s="26" t="n">
        <f aca="false">SUMPRODUCT(($B$34:$B$50=$A58)*H$34:H$50*$C$34:$C$50)</f>
        <v>14.4587562786485</v>
      </c>
      <c r="I58" s="26" t="n">
        <f aca="false">SUMPRODUCT(($B$34:$B$50=$A58)*I$34:I$50*$C$34:$C$50)</f>
        <v>14.4587562786485</v>
      </c>
      <c r="J58" s="26" t="n">
        <f aca="false">SUMPRODUCT(($B$34:$B$50=$A58)*J$34:J$50*$C$34:$C$50)</f>
        <v>14.4587562786485</v>
      </c>
      <c r="K58" s="26" t="n">
        <f aca="false">SUMPRODUCT(($B$34:$B$50=$A58)*K$34:K$50*$C$34:$C$50)</f>
        <v>14.4587562786485</v>
      </c>
      <c r="L58" s="26" t="n">
        <f aca="false">SUMPRODUCT(($B$34:$B$50=$A58)*L$34:L$50*$C$34:$C$50)</f>
        <v>14.4587562786485</v>
      </c>
      <c r="M58" s="26" t="n">
        <f aca="false">SUMPRODUCT(($B$34:$B$50=$A58)*M$34:M$50*$C$34:$C$50)</f>
        <v>14.4587562786485</v>
      </c>
      <c r="N58" s="26" t="n">
        <f aca="false">SUMPRODUCT(($B$34:$B$50=$A58)*N$34:N$50*$C$34:$C$50)</f>
        <v>14.4587562786485</v>
      </c>
      <c r="O58" s="26" t="n">
        <f aca="false">SUMPRODUCT(($B$34:$B$50=$A58)*O$34:O$50*$C$34:$C$50)</f>
        <v>14.4587562786485</v>
      </c>
      <c r="P58" s="26" t="n">
        <f aca="false">SUMPRODUCT(($B$34:$B$50=$A58)*P$34:P$50*$C$34:$C$50)</f>
        <v>187.985285501959</v>
      </c>
    </row>
    <row r="59" customFormat="false" ht="15" hidden="false" customHeight="false" outlineLevel="0" collapsed="false">
      <c r="A59" s="5" t="s">
        <v>116</v>
      </c>
      <c r="D59" s="26" t="n">
        <f aca="false">SUMPRODUCT(($B$34:$B$50=$A59)*D$34:D$50*$C$34:$C$50)</f>
        <v>104.020948590729</v>
      </c>
      <c r="E59" s="26" t="n">
        <f aca="false">SUMPRODUCT(($B$34:$B$50=$A59)*E$34:E$50*$C$34:$C$50)</f>
        <v>161.79594747772</v>
      </c>
      <c r="F59" s="26" t="n">
        <f aca="false">SUMPRODUCT(($B$34:$B$50=$A59)*F$34:F$50*$C$34:$C$50)</f>
        <v>104.020948590729</v>
      </c>
      <c r="G59" s="26" t="n">
        <f aca="false">SUMPRODUCT(($B$34:$B$50=$A59)*G$34:G$50*$C$34:$C$50)</f>
        <v>104.020948590729</v>
      </c>
      <c r="H59" s="26" t="n">
        <f aca="false">SUMPRODUCT(($B$34:$B$50=$A59)*H$34:H$50*$C$34:$C$50)</f>
        <v>104.020948590729</v>
      </c>
      <c r="I59" s="26" t="n">
        <f aca="false">SUMPRODUCT(($B$34:$B$50=$A59)*I$34:I$50*$C$34:$C$50)</f>
        <v>104.020948590729</v>
      </c>
      <c r="J59" s="26" t="n">
        <f aca="false">SUMPRODUCT(($B$34:$B$50=$A59)*J$34:J$50*$C$34:$C$50)</f>
        <v>104.020948590729</v>
      </c>
      <c r="K59" s="26" t="n">
        <f aca="false">SUMPRODUCT(($B$34:$B$50=$A59)*K$34:K$50*$C$34:$C$50)</f>
        <v>104.020948590729</v>
      </c>
      <c r="L59" s="26" t="n">
        <f aca="false">SUMPRODUCT(($B$34:$B$50=$A59)*L$34:L$50*$C$34:$C$50)</f>
        <v>104.020948590729</v>
      </c>
      <c r="M59" s="26" t="n">
        <f aca="false">SUMPRODUCT(($B$34:$B$50=$A59)*M$34:M$50*$C$34:$C$50)</f>
        <v>104.020948590729</v>
      </c>
      <c r="N59" s="26" t="n">
        <f aca="false">SUMPRODUCT(($B$34:$B$50=$A59)*N$34:N$50*$C$34:$C$50)</f>
        <v>104.020948590729</v>
      </c>
      <c r="O59" s="26" t="n">
        <f aca="false">SUMPRODUCT(($B$34:$B$50=$A59)*O$34:O$50*$C$34:$C$50)</f>
        <v>104.020948590729</v>
      </c>
      <c r="P59" s="26" t="n">
        <f aca="false">SUMPRODUCT(($B$34:$B$50=$A59)*P$34:P$50*$C$34:$C$50)</f>
        <v>1306.02638197574</v>
      </c>
    </row>
    <row r="60" customFormat="false" ht="15" hidden="false" customHeight="false" outlineLevel="0" collapsed="false">
      <c r="A60" s="5" t="s">
        <v>117</v>
      </c>
      <c r="D60" s="26" t="n">
        <f aca="false">SUMPRODUCT(($B$34:$B$50=$A60)*D$34:D$50*$C$34:$C$50)</f>
        <v>5.26232228238547</v>
      </c>
      <c r="E60" s="26" t="n">
        <f aca="false">SUMPRODUCT(($B$34:$B$50=$A60)*E$34:E$50*$C$34:$C$50)</f>
        <v>5.26232228238547</v>
      </c>
      <c r="F60" s="26" t="n">
        <f aca="false">SUMPRODUCT(($B$34:$B$50=$A60)*F$34:F$50*$C$34:$C$50)</f>
        <v>5.26232228238547</v>
      </c>
      <c r="G60" s="26" t="n">
        <f aca="false">SUMPRODUCT(($B$34:$B$50=$A60)*G$34:G$50*$C$34:$C$50)</f>
        <v>5.26232228238547</v>
      </c>
      <c r="H60" s="26" t="n">
        <f aca="false">SUMPRODUCT(($B$34:$B$50=$A60)*H$34:H$50*$C$34:$C$50)</f>
        <v>5.26232228238547</v>
      </c>
      <c r="I60" s="26" t="n">
        <f aca="false">SUMPRODUCT(($B$34:$B$50=$A60)*I$34:I$50*$C$34:$C$50)</f>
        <v>5.26232228238547</v>
      </c>
      <c r="J60" s="26" t="n">
        <f aca="false">SUMPRODUCT(($B$34:$B$50=$A60)*J$34:J$50*$C$34:$C$50)</f>
        <v>5.26232228238547</v>
      </c>
      <c r="K60" s="26" t="n">
        <f aca="false">SUMPRODUCT(($B$34:$B$50=$A60)*K$34:K$50*$C$34:$C$50)</f>
        <v>5.26232228238547</v>
      </c>
      <c r="L60" s="26" t="n">
        <f aca="false">SUMPRODUCT(($B$34:$B$50=$A60)*L$34:L$50*$C$34:$C$50)</f>
        <v>5.26232228238547</v>
      </c>
      <c r="M60" s="26" t="n">
        <f aca="false">SUMPRODUCT(($B$34:$B$50=$A60)*M$34:M$50*$C$34:$C$50)</f>
        <v>5.26232228238547</v>
      </c>
      <c r="N60" s="26" t="n">
        <f aca="false">SUMPRODUCT(($B$34:$B$50=$A60)*N$34:N$50*$C$34:$C$50)</f>
        <v>5.26232228238547</v>
      </c>
      <c r="O60" s="26" t="n">
        <f aca="false">SUMPRODUCT(($B$34:$B$50=$A60)*O$34:O$50*$C$34:$C$50)</f>
        <v>5.26232228238547</v>
      </c>
      <c r="P60" s="26" t="n">
        <f aca="false">SUMPRODUCT(($B$34:$B$50=$A60)*P$34:P$50*$C$34:$C$50)</f>
        <v>63.1478673886256</v>
      </c>
    </row>
    <row r="61" customFormat="false" ht="15" hidden="false" customHeight="false" outlineLevel="0" collapsed="false">
      <c r="A61" s="4" t="s">
        <v>432</v>
      </c>
      <c r="D61" s="27" t="n">
        <f aca="false">SUMPRODUCT(D$34:D$50*parametros_recargas!$D$55:$D$71)</f>
        <v>49.6150790501546</v>
      </c>
      <c r="E61" s="27" t="n">
        <f aca="false">SUMPRODUCT(E$34:E$50*parametros_recargas!$D$55:$D$71)</f>
        <v>55.0167326204297</v>
      </c>
      <c r="F61" s="27" t="n">
        <f aca="false">SUMPRODUCT(F$34:F$50*parametros_recargas!$D$55:$D$71)</f>
        <v>49.6150790501546</v>
      </c>
      <c r="G61" s="27" t="n">
        <f aca="false">SUMPRODUCT(G$34:G$50*parametros_recargas!$D$55:$D$71)</f>
        <v>49.6150790501546</v>
      </c>
      <c r="H61" s="27" t="n">
        <f aca="false">SUMPRODUCT(H$34:H$50*parametros_recargas!$D$55:$D$71)</f>
        <v>49.6150790501546</v>
      </c>
      <c r="I61" s="27" t="n">
        <f aca="false">SUMPRODUCT(I$34:I$50*parametros_recargas!$D$55:$D$71)</f>
        <v>49.6150790501546</v>
      </c>
      <c r="J61" s="27" t="n">
        <f aca="false">SUMPRODUCT(J$34:J$50*parametros_recargas!$D$55:$D$71)</f>
        <v>49.6150790501546</v>
      </c>
      <c r="K61" s="27" t="n">
        <f aca="false">SUMPRODUCT(K$34:K$50*parametros_recargas!$D$55:$D$71)</f>
        <v>49.6150790501546</v>
      </c>
      <c r="L61" s="27" t="n">
        <f aca="false">SUMPRODUCT(L$34:L$50*parametros_recargas!$D$55:$D$71)</f>
        <v>49.6150790501546</v>
      </c>
      <c r="M61" s="27" t="n">
        <f aca="false">SUMPRODUCT(M$34:M$50*parametros_recargas!$D$55:$D$71)</f>
        <v>49.6150790501546</v>
      </c>
      <c r="N61" s="27" t="n">
        <f aca="false">SUMPRODUCT(N$34:N$50*parametros_recargas!$D$55:$D$71)</f>
        <v>49.6150790501546</v>
      </c>
      <c r="O61" s="27" t="n">
        <f aca="false">SUMPRODUCT(O$34:O$50*parametros_recargas!$D$55:$D$71)</f>
        <v>49.6150790501546</v>
      </c>
      <c r="P61" s="27" t="n">
        <f aca="false">SUMPRODUCT(P$34:P$50*parametros_recargas!$D$55:$D$71)</f>
        <v>600.782602172131</v>
      </c>
    </row>
    <row r="62" customFormat="false" ht="15" hidden="false" customHeight="false" outlineLevel="0" collapsed="false">
      <c r="A62" s="4" t="s">
        <v>433</v>
      </c>
      <c r="D62" s="27" t="n">
        <f aca="false">SUMPRODUCT(sobrestock_sustitutos!$C$73:$C$73,--(sobrestock_sustitutos!$F$30:$F$30="Fábrica: cilindro vacío"),parametros_recargas!$C$55:$C$55)*parametros_recargas!E$109+SUMPRODUCT(sobrestock_sustitutos!$C$74:$C$76,--(sobrestock_sustitutos!$F$31:$F$33="Fábrica: cilindro vacío"),parametros_recargas!$C$56:$C$58)*parametros_recargas!E$110+SUMPRODUCT(sobrestock_sustitutos!$C$86:$C$89,--(sobrestock_sustitutos!$F$43:$F$46="Fábrica: cilindro vacío"),parametros_recargas!$C$68:$C$71)*parametros_recargas!E$111</f>
        <v>9.57836038415</v>
      </c>
      <c r="E62" s="27" t="n">
        <f aca="false">SUMPRODUCT(sobrestock_sustitutos!$C$73:$C$73,--(sobrestock_sustitutos!$F$30:$F$30="Fábrica: cilindro vacío"),parametros_recargas!$C$55:$C$55)*parametros_recargas!F$109+SUMPRODUCT(sobrestock_sustitutos!$C$74:$C$76,--(sobrestock_sustitutos!$F$31:$F$33="Fábrica: cilindro vacío"),parametros_recargas!$C$56:$C$58)*parametros_recargas!F$110+SUMPRODUCT(sobrestock_sustitutos!$C$86:$C$89,--(sobrestock_sustitutos!$F$43:$F$46="Fábrica: cilindro vacío"),parametros_recargas!$C$68:$C$71)*parametros_recargas!F$111</f>
        <v>7.76598857425</v>
      </c>
      <c r="F62" s="27" t="n">
        <f aca="false">SUMPRODUCT(sobrestock_sustitutos!$C$73:$C$73,--(sobrestock_sustitutos!$F$30:$F$30="Fábrica: cilindro vacío"),parametros_recargas!$C$55:$C$55)*parametros_recargas!G$109+SUMPRODUCT(sobrestock_sustitutos!$C$74:$C$76,--(sobrestock_sustitutos!$F$31:$F$33="Fábrica: cilindro vacío"),parametros_recargas!$C$56:$C$58)*parametros_recargas!G$110+SUMPRODUCT(sobrestock_sustitutos!$C$86:$C$89,--(sobrestock_sustitutos!$F$43:$F$46="Fábrica: cilindro vacío"),parametros_recargas!$C$68:$C$71)*parametros_recargas!G$111</f>
        <v>8.4035462891</v>
      </c>
      <c r="G62" s="27" t="n">
        <f aca="false">SUMPRODUCT(sobrestock_sustitutos!$C$73:$C$73,--(sobrestock_sustitutos!$F$30:$F$30="Fábrica: cilindro vacío"),parametros_recargas!$C$55:$C$55)*parametros_recargas!H$109+SUMPRODUCT(sobrestock_sustitutos!$C$74:$C$76,--(sobrestock_sustitutos!$F$31:$F$33="Fábrica: cilindro vacío"),parametros_recargas!$C$56:$C$58)*parametros_recargas!H$110+SUMPRODUCT(sobrestock_sustitutos!$C$86:$C$89,--(sobrestock_sustitutos!$F$43:$F$46="Fábrica: cilindro vacío"),parametros_recargas!$C$68:$C$71)*parametros_recargas!H$111</f>
        <v>8.4035462891</v>
      </c>
      <c r="H62" s="27" t="n">
        <f aca="false">SUMPRODUCT(sobrestock_sustitutos!$C$73:$C$73,--(sobrestock_sustitutos!$F$30:$F$30="Fábrica: cilindro vacío"),parametros_recargas!$C$55:$C$55)*parametros_recargas!I$109+SUMPRODUCT(sobrestock_sustitutos!$C$74:$C$76,--(sobrestock_sustitutos!$F$31:$F$33="Fábrica: cilindro vacío"),parametros_recargas!$C$56:$C$58)*parametros_recargas!I$110+SUMPRODUCT(sobrestock_sustitutos!$C$86:$C$89,--(sobrestock_sustitutos!$F$43:$F$46="Fábrica: cilindro vacío"),parametros_recargas!$C$68:$C$71)*parametros_recargas!I$111</f>
        <v>7.9873462891</v>
      </c>
      <c r="I62" s="27" t="n">
        <f aca="false">SUMPRODUCT(sobrestock_sustitutos!$C$73:$C$73,--(sobrestock_sustitutos!$F$30:$F$30="Fábrica: cilindro vacío"),parametros_recargas!$C$55:$C$55)*parametros_recargas!J$109+SUMPRODUCT(sobrestock_sustitutos!$C$74:$C$76,--(sobrestock_sustitutos!$F$31:$F$33="Fábrica: cilindro vacío"),parametros_recargas!$C$56:$C$58)*parametros_recargas!J$110+SUMPRODUCT(sobrestock_sustitutos!$C$86:$C$89,--(sobrestock_sustitutos!$F$43:$F$46="Fábrica: cilindro vacío"),parametros_recargas!$C$68:$C$71)*parametros_recargas!J$111</f>
        <v>7.4235744792</v>
      </c>
      <c r="J62" s="27" t="n">
        <f aca="false">SUMPRODUCT(sobrestock_sustitutos!$C$73:$C$73,--(sobrestock_sustitutos!$F$30:$F$30="Fábrica: cilindro vacío"),parametros_recargas!$C$55:$C$55)*parametros_recargas!K$109+SUMPRODUCT(sobrestock_sustitutos!$C$74:$C$76,--(sobrestock_sustitutos!$F$31:$F$33="Fábrica: cilindro vacío"),parametros_recargas!$C$56:$C$58)*parametros_recargas!K$110+SUMPRODUCT(sobrestock_sustitutos!$C$86:$C$89,--(sobrestock_sustitutos!$F$43:$F$46="Fábrica: cilindro vacío"),parametros_recargas!$C$68:$C$71)*parametros_recargas!K$111</f>
        <v>7.9873462891</v>
      </c>
      <c r="K62" s="27" t="n">
        <f aca="false">SUMPRODUCT(sobrestock_sustitutos!$C$73:$C$73,--(sobrestock_sustitutos!$F$30:$F$30="Fábrica: cilindro vacío"),parametros_recargas!$C$55:$C$55)*parametros_recargas!L$109+SUMPRODUCT(sobrestock_sustitutos!$C$74:$C$76,--(sobrestock_sustitutos!$F$31:$F$33="Fábrica: cilindro vacío"),parametros_recargas!$C$56:$C$58)*parametros_recargas!L$110+SUMPRODUCT(sobrestock_sustitutos!$C$86:$C$89,--(sobrestock_sustitutos!$F$43:$F$46="Fábrica: cilindro vacío"),parametros_recargas!$C$68:$C$71)*parametros_recargas!L$111</f>
        <v>7.9873462891</v>
      </c>
      <c r="L62" s="27" t="n">
        <f aca="false">SUMPRODUCT(sobrestock_sustitutos!$C$73:$C$73,--(sobrestock_sustitutos!$F$30:$F$30="Fábrica: cilindro vacío"),parametros_recargas!$C$55:$C$55)*parametros_recargas!M$109+SUMPRODUCT(sobrestock_sustitutos!$C$74:$C$76,--(sobrestock_sustitutos!$F$31:$F$33="Fábrica: cilindro vacío"),parametros_recargas!$C$56:$C$58)*parametros_recargas!M$110+SUMPRODUCT(sobrestock_sustitutos!$C$86:$C$89,--(sobrestock_sustitutos!$F$43:$F$46="Fábrica: cilindro vacío"),parametros_recargas!$C$68:$C$71)*parametros_recargas!M$111</f>
        <v>7.91356038415</v>
      </c>
      <c r="M62" s="27" t="n">
        <f aca="false">SUMPRODUCT(sobrestock_sustitutos!$C$73:$C$73,--(sobrestock_sustitutos!$F$30:$F$30="Fábrica: cilindro vacío"),parametros_recargas!$C$55:$C$55)*parametros_recargas!N$109+SUMPRODUCT(sobrestock_sustitutos!$C$74:$C$76,--(sobrestock_sustitutos!$F$31:$F$33="Fábrica: cilindro vacío"),parametros_recargas!$C$56:$C$58)*parametros_recargas!N$110+SUMPRODUCT(sobrestock_sustitutos!$C$86:$C$89,--(sobrestock_sustitutos!$F$43:$F$46="Fábrica: cilindro vacío"),parametros_recargas!$C$68:$C$71)*parametros_recargas!N$111</f>
        <v>7.34978857425</v>
      </c>
      <c r="N62" s="27" t="n">
        <f aca="false">SUMPRODUCT(sobrestock_sustitutos!$C$73:$C$73,--(sobrestock_sustitutos!$F$30:$F$30="Fábrica: cilindro vacío"),parametros_recargas!$C$55:$C$55)*parametros_recargas!O$109+SUMPRODUCT(sobrestock_sustitutos!$C$74:$C$76,--(sobrestock_sustitutos!$F$31:$F$33="Fábrica: cilindro vacío"),parametros_recargas!$C$56:$C$58)*parametros_recargas!O$110+SUMPRODUCT(sobrestock_sustitutos!$C$86:$C$89,--(sobrestock_sustitutos!$F$43:$F$46="Fábrica: cilindro vacío"),parametros_recargas!$C$68:$C$71)*parametros_recargas!O$111</f>
        <v>6.8598026693</v>
      </c>
      <c r="O62" s="27" t="n">
        <f aca="false">SUMPRODUCT(sobrestock_sustitutos!$C$73:$C$73,--(sobrestock_sustitutos!$F$30:$F$30="Fábrica: cilindro vacío"),parametros_recargas!$C$55:$C$55)*parametros_recargas!P$109+SUMPRODUCT(sobrestock_sustitutos!$C$74:$C$76,--(sobrestock_sustitutos!$F$31:$F$33="Fábrica: cilindro vacío"),parametros_recargas!$C$56:$C$58)*parametros_recargas!P$110+SUMPRODUCT(sobrestock_sustitutos!$C$86:$C$89,--(sobrestock_sustitutos!$F$43:$F$46="Fábrica: cilindro vacío"),parametros_recargas!$C$68:$C$71)*parametros_recargas!P$111</f>
        <v>10.3369744792</v>
      </c>
      <c r="P62" s="8" t="n">
        <f aca="false">SUM(D62:O62)</f>
        <v>97.99718099</v>
      </c>
    </row>
    <row r="65" customFormat="false" ht="15" hidden="false" customHeight="false" outlineLevel="0" collapsed="false">
      <c r="A65" s="28" t="n">
        <v>2028</v>
      </c>
      <c r="B65" s="6" t="s">
        <v>428</v>
      </c>
      <c r="C65" s="6" t="s">
        <v>429</v>
      </c>
      <c r="D65" s="6" t="s">
        <v>175</v>
      </c>
      <c r="E65" s="6" t="s">
        <v>176</v>
      </c>
      <c r="F65" s="6" t="s">
        <v>177</v>
      </c>
      <c r="G65" s="6" t="s">
        <v>178</v>
      </c>
      <c r="H65" s="6" t="s">
        <v>179</v>
      </c>
      <c r="I65" s="6" t="s">
        <v>180</v>
      </c>
      <c r="J65" s="6" t="s">
        <v>181</v>
      </c>
      <c r="K65" s="6" t="s">
        <v>182</v>
      </c>
      <c r="L65" s="6" t="s">
        <v>183</v>
      </c>
      <c r="M65" s="6" t="s">
        <v>184</v>
      </c>
      <c r="N65" s="6" t="s">
        <v>185</v>
      </c>
      <c r="O65" s="6" t="s">
        <v>186</v>
      </c>
      <c r="P65" s="6" t="s">
        <v>85</v>
      </c>
    </row>
    <row r="66" customFormat="false" ht="15" hidden="false" customHeight="false" outlineLevel="0" collapsed="false">
      <c r="A66" s="10" t="str">
        <f aca="false">parametros_recargas!A55</f>
        <v>ABC 1 kg</v>
      </c>
      <c r="B66" s="10" t="str">
        <f aca="false">parametros_recargas!B55</f>
        <v>ABC</v>
      </c>
      <c r="C66" s="25" t="n">
        <f aca="false">parametros_recargas!C55</f>
        <v>1</v>
      </c>
      <c r="D66" s="26" t="n">
        <f aca="false">datos_base!$D$2*parametros_recargas!E$55+sobrestock_sustitutos!$C$51/12</f>
        <v>126.882298813521</v>
      </c>
      <c r="E66" s="26" t="n">
        <f aca="false">datos_base!$D$2*parametros_recargas!F$55+sobrestock_sustitutos!$C$51/12</f>
        <v>1661.30222811587</v>
      </c>
      <c r="F66" s="26" t="n">
        <f aca="false">datos_base!$D$2*parametros_recargas!G$55+sobrestock_sustitutos!$C$51/12</f>
        <v>1671.16053031006</v>
      </c>
      <c r="G66" s="26" t="n">
        <f aca="false">datos_base!$D$2*parametros_recargas!H$55+sobrestock_sustitutos!$C$51/12</f>
        <v>1683.10365349468</v>
      </c>
      <c r="H66" s="26" t="n">
        <f aca="false">datos_base!$D$2*parametros_recargas!I$55+sobrestock_sustitutos!$C$51/12</f>
        <v>1683.72711768024</v>
      </c>
      <c r="I66" s="26" t="n">
        <f aca="false">datos_base!$D$2*parametros_recargas!J$55+sobrestock_sustitutos!$C$51/12</f>
        <v>1678.04926898459</v>
      </c>
      <c r="J66" s="26" t="n">
        <f aca="false">datos_base!$D$2*parametros_recargas!K$55+sobrestock_sustitutos!$C$51/12</f>
        <v>1695.90809425357</v>
      </c>
      <c r="K66" s="26" t="n">
        <f aca="false">datos_base!$D$2*parametros_recargas!L$55+sobrestock_sustitutos!$C$51/12</f>
        <v>1682.46757587184</v>
      </c>
      <c r="L66" s="26" t="n">
        <f aca="false">datos_base!$D$2*parametros_recargas!M$55+sobrestock_sustitutos!$C$51/12</f>
        <v>1684.56320837995</v>
      </c>
      <c r="M66" s="26" t="n">
        <f aca="false">datos_base!$D$2*parametros_recargas!N$55+sobrestock_sustitutos!$C$51/12</f>
        <v>1677.63482747396</v>
      </c>
      <c r="N66" s="26" t="n">
        <f aca="false">datos_base!$D$2*parametros_recargas!O$55+sobrestock_sustitutos!$C$51/12</f>
        <v>1647.79864254774</v>
      </c>
      <c r="O66" s="26" t="n">
        <f aca="false">datos_base!$D$2*parametros_recargas!P$55+sobrestock_sustitutos!$C$51/12</f>
        <v>45.8121335752224</v>
      </c>
      <c r="P66" s="8" t="n">
        <f aca="false">SUM(D66:O66)</f>
        <v>16938.4095795012</v>
      </c>
    </row>
    <row r="67" customFormat="false" ht="15" hidden="false" customHeight="false" outlineLevel="0" collapsed="false">
      <c r="A67" s="10" t="str">
        <f aca="false">parametros_recargas!A56</f>
        <v>ABC 2,5 kg</v>
      </c>
      <c r="B67" s="10" t="str">
        <f aca="false">parametros_recargas!B56</f>
        <v>ABC</v>
      </c>
      <c r="C67" s="25" t="n">
        <f aca="false">parametros_recargas!C56</f>
        <v>1</v>
      </c>
      <c r="D67" s="26" t="n">
        <f aca="false">datos_base!$D$3*parametros_recargas!E$56+sobrestock_sustitutos!$C$52/12</f>
        <v>129.862015041421</v>
      </c>
      <c r="E67" s="26" t="n">
        <f aca="false">datos_base!$D$3*parametros_recargas!F$56+sobrestock_sustitutos!$C$52/12</f>
        <v>220.781338694807</v>
      </c>
      <c r="F67" s="26" t="n">
        <f aca="false">datos_base!$D$3*parametros_recargas!G$56+sobrestock_sustitutos!$C$52/12</f>
        <v>129.862015041421</v>
      </c>
      <c r="G67" s="26" t="n">
        <f aca="false">datos_base!$D$3*parametros_recargas!H$56+sobrestock_sustitutos!$C$52/12</f>
        <v>129.862015041421</v>
      </c>
      <c r="H67" s="26" t="n">
        <f aca="false">datos_base!$D$3*parametros_recargas!I$56+sobrestock_sustitutos!$C$52/12</f>
        <v>129.862015041421</v>
      </c>
      <c r="I67" s="26" t="n">
        <f aca="false">datos_base!$D$3*parametros_recargas!J$56+sobrestock_sustitutos!$C$52/12</f>
        <v>129.862015041421</v>
      </c>
      <c r="J67" s="26" t="n">
        <f aca="false">datos_base!$D$3*parametros_recargas!K$56+sobrestock_sustitutos!$C$52/12</f>
        <v>129.862015041421</v>
      </c>
      <c r="K67" s="26" t="n">
        <f aca="false">datos_base!$D$3*parametros_recargas!L$56+sobrestock_sustitutos!$C$52/12</f>
        <v>129.862015041421</v>
      </c>
      <c r="L67" s="26" t="n">
        <f aca="false">datos_base!$D$3*parametros_recargas!M$56+sobrestock_sustitutos!$C$52/12</f>
        <v>129.862015041421</v>
      </c>
      <c r="M67" s="26" t="n">
        <f aca="false">datos_base!$D$3*parametros_recargas!N$56+sobrestock_sustitutos!$C$52/12</f>
        <v>129.862015041421</v>
      </c>
      <c r="N67" s="26" t="n">
        <f aca="false">datos_base!$D$3*parametros_recargas!O$56+sobrestock_sustitutos!$C$52/12</f>
        <v>129.862015041421</v>
      </c>
      <c r="O67" s="26" t="n">
        <f aca="false">datos_base!$D$3*parametros_recargas!P$56+sobrestock_sustitutos!$C$52/12</f>
        <v>129.862015041421</v>
      </c>
      <c r="P67" s="8" t="n">
        <f aca="false">SUM(D67:O67)</f>
        <v>1649.26350415044</v>
      </c>
    </row>
    <row r="68" customFormat="false" ht="15" hidden="false" customHeight="false" outlineLevel="0" collapsed="false">
      <c r="A68" s="10" t="str">
        <f aca="false">parametros_recargas!A57</f>
        <v>ABC 5 kg</v>
      </c>
      <c r="B68" s="10" t="str">
        <f aca="false">parametros_recargas!B57</f>
        <v>ABC</v>
      </c>
      <c r="C68" s="25" t="n">
        <f aca="false">parametros_recargas!C57</f>
        <v>1</v>
      </c>
      <c r="D68" s="26" t="n">
        <f aca="false">datos_base!$D$4*parametros_recargas!E$57+sobrestock_sustitutos!$C$53/12</f>
        <v>749.379915808086</v>
      </c>
      <c r="E68" s="26" t="n">
        <f aca="false">datos_base!$D$4*parametros_recargas!F$57+sobrestock_sustitutos!$C$53/12</f>
        <v>1154.56052344596</v>
      </c>
      <c r="F68" s="26" t="n">
        <f aca="false">datos_base!$D$4*parametros_recargas!G$57+sobrestock_sustitutos!$C$53/12</f>
        <v>810.268615688388</v>
      </c>
      <c r="G68" s="26" t="n">
        <f aca="false">datos_base!$D$4*parametros_recargas!H$57+sobrestock_sustitutos!$C$53/12</f>
        <v>810.739516092467</v>
      </c>
      <c r="H68" s="26" t="n">
        <f aca="false">datos_base!$D$4*parametros_recargas!I$57+sobrestock_sustitutos!$C$53/12</f>
        <v>810.764098400827</v>
      </c>
      <c r="I68" s="26" t="n">
        <f aca="false">datos_base!$D$4*parametros_recargas!J$57+sobrestock_sustitutos!$C$53/12</f>
        <v>810.540228881628</v>
      </c>
      <c r="J68" s="26" t="n">
        <f aca="false">datos_base!$D$4*parametros_recargas!K$57+sobrestock_sustitutos!$C$53/12</f>
        <v>811.244377026593</v>
      </c>
      <c r="K68" s="26" t="n">
        <f aca="false">datos_base!$D$4*parametros_recargas!L$57+sobrestock_sustitutos!$C$53/12</f>
        <v>810.714436454169</v>
      </c>
      <c r="L68" s="26" t="n">
        <f aca="false">datos_base!$D$4*parametros_recargas!M$57+sobrestock_sustitutos!$C$53/12</f>
        <v>810.797064270998</v>
      </c>
      <c r="M68" s="26" t="n">
        <f aca="false">datos_base!$D$4*parametros_recargas!N$57+sobrestock_sustitutos!$C$53/12</f>
        <v>810.523888040811</v>
      </c>
      <c r="N68" s="26" t="n">
        <f aca="false">datos_base!$D$4*parametros_recargas!O$57+sobrestock_sustitutos!$C$53/12</f>
        <v>809.347489596221</v>
      </c>
      <c r="O68" s="26" t="n">
        <f aca="false">datos_base!$D$4*parametros_recargas!P$57+sobrestock_sustitutos!$C$53/12</f>
        <v>746.183434202788</v>
      </c>
      <c r="P68" s="8" t="n">
        <f aca="false">SUM(D68:O68)</f>
        <v>9945.06358790893</v>
      </c>
    </row>
    <row r="69" customFormat="false" ht="15" hidden="false" customHeight="false" outlineLevel="0" collapsed="false">
      <c r="A69" s="10" t="str">
        <f aca="false">parametros_recargas!A58</f>
        <v>ABC 10 kg</v>
      </c>
      <c r="B69" s="10" t="str">
        <f aca="false">parametros_recargas!B58</f>
        <v>ABC</v>
      </c>
      <c r="C69" s="25" t="n">
        <f aca="false">parametros_recargas!C58</f>
        <v>1</v>
      </c>
      <c r="D69" s="26" t="n">
        <f aca="false">datos_base!$D$5*parametros_recargas!E$58+sobrestock_sustitutos!$C$54/12</f>
        <v>44.7562721350343</v>
      </c>
      <c r="E69" s="26" t="n">
        <f aca="false">datos_base!$D$5*parametros_recargas!F$58+sobrestock_sustitutos!$C$54/12</f>
        <v>82.049776634617</v>
      </c>
      <c r="F69" s="26" t="n">
        <f aca="false">datos_base!$D$5*parametros_recargas!G$58+sobrestock_sustitutos!$C$54/12</f>
        <v>44.7562721350343</v>
      </c>
      <c r="G69" s="26" t="n">
        <f aca="false">datos_base!$D$5*parametros_recargas!H$58+sobrestock_sustitutos!$C$54/12</f>
        <v>44.7562721350343</v>
      </c>
      <c r="H69" s="26" t="n">
        <f aca="false">datos_base!$D$5*parametros_recargas!I$58+sobrestock_sustitutos!$C$54/12</f>
        <v>44.7562721350343</v>
      </c>
      <c r="I69" s="26" t="n">
        <f aca="false">datos_base!$D$5*parametros_recargas!J$58+sobrestock_sustitutos!$C$54/12</f>
        <v>44.7562721350343</v>
      </c>
      <c r="J69" s="26" t="n">
        <f aca="false">datos_base!$D$5*parametros_recargas!K$58+sobrestock_sustitutos!$C$54/12</f>
        <v>44.7562721350343</v>
      </c>
      <c r="K69" s="26" t="n">
        <f aca="false">datos_base!$D$5*parametros_recargas!L$58+sobrestock_sustitutos!$C$54/12</f>
        <v>44.7562721350343</v>
      </c>
      <c r="L69" s="26" t="n">
        <f aca="false">datos_base!$D$5*parametros_recargas!M$58+sobrestock_sustitutos!$C$54/12</f>
        <v>44.7562721350343</v>
      </c>
      <c r="M69" s="26" t="n">
        <f aca="false">datos_base!$D$5*parametros_recargas!N$58+sobrestock_sustitutos!$C$54/12</f>
        <v>44.7562721350343</v>
      </c>
      <c r="N69" s="26" t="n">
        <f aca="false">datos_base!$D$5*parametros_recargas!O$58+sobrestock_sustitutos!$C$54/12</f>
        <v>44.7562721350343</v>
      </c>
      <c r="O69" s="26" t="n">
        <f aca="false">datos_base!$D$5*parametros_recargas!P$58+sobrestock_sustitutos!$C$54/12</f>
        <v>44.7562721350343</v>
      </c>
      <c r="P69" s="8" t="n">
        <f aca="false">SUM(D69:O69)</f>
        <v>574.368770119994</v>
      </c>
    </row>
    <row r="70" customFormat="false" ht="15" hidden="false" customHeight="false" outlineLevel="0" collapsed="false">
      <c r="A70" s="10" t="str">
        <f aca="false">parametros_recargas!A59</f>
        <v>Agua 10 l</v>
      </c>
      <c r="B70" s="10" t="str">
        <f aca="false">parametros_recargas!B59</f>
        <v>Agua</v>
      </c>
      <c r="C70" s="25" t="n">
        <f aca="false">parametros_recargas!C59</f>
        <v>1</v>
      </c>
      <c r="D70" s="26" t="n">
        <f aca="false">datos_base!$D$6*parametros_recargas!E$59+sobrestock_sustitutos!$C$55/12</f>
        <v>66.1343490050489</v>
      </c>
      <c r="E70" s="26" t="n">
        <f aca="false">datos_base!$D$6*parametros_recargas!F$59+sobrestock_sustitutos!$C$55/12</f>
        <v>98.0854031276704</v>
      </c>
      <c r="F70" s="26" t="n">
        <f aca="false">datos_base!$D$6*parametros_recargas!G$59+sobrestock_sustitutos!$C$55/12</f>
        <v>66.1343490050489</v>
      </c>
      <c r="G70" s="26" t="n">
        <f aca="false">datos_base!$D$6*parametros_recargas!H$59+sobrestock_sustitutos!$C$55/12</f>
        <v>66.1343490050489</v>
      </c>
      <c r="H70" s="26" t="n">
        <f aca="false">datos_base!$D$6*parametros_recargas!I$59+sobrestock_sustitutos!$C$55/12</f>
        <v>66.1343490050489</v>
      </c>
      <c r="I70" s="26" t="n">
        <f aca="false">datos_base!$D$6*parametros_recargas!J$59+sobrestock_sustitutos!$C$55/12</f>
        <v>66.1343490050489</v>
      </c>
      <c r="J70" s="26" t="n">
        <f aca="false">datos_base!$D$6*parametros_recargas!K$59+sobrestock_sustitutos!$C$55/12</f>
        <v>66.1343490050489</v>
      </c>
      <c r="K70" s="26" t="n">
        <f aca="false">datos_base!$D$6*parametros_recargas!L$59+sobrestock_sustitutos!$C$55/12</f>
        <v>66.1343490050489</v>
      </c>
      <c r="L70" s="26" t="n">
        <f aca="false">datos_base!$D$6*parametros_recargas!M$59+sobrestock_sustitutos!$C$55/12</f>
        <v>66.1343490050489</v>
      </c>
      <c r="M70" s="26" t="n">
        <f aca="false">datos_base!$D$6*parametros_recargas!N$59+sobrestock_sustitutos!$C$55/12</f>
        <v>66.1343490050489</v>
      </c>
      <c r="N70" s="26" t="n">
        <f aca="false">datos_base!$D$6*parametros_recargas!O$59+sobrestock_sustitutos!$C$55/12</f>
        <v>66.1343490050489</v>
      </c>
      <c r="O70" s="26" t="n">
        <f aca="false">datos_base!$D$6*parametros_recargas!P$59+sobrestock_sustitutos!$C$55/12</f>
        <v>66.1343490050489</v>
      </c>
      <c r="P70" s="8" t="n">
        <f aca="false">SUM(D70:O70)</f>
        <v>825.563242183208</v>
      </c>
    </row>
    <row r="71" customFormat="false" ht="15" hidden="false" customHeight="false" outlineLevel="0" collapsed="false">
      <c r="A71" s="10" t="str">
        <f aca="false">parametros_recargas!A60</f>
        <v>AFFF 10 l</v>
      </c>
      <c r="B71" s="10" t="str">
        <f aca="false">parametros_recargas!B60</f>
        <v>AFFF</v>
      </c>
      <c r="C71" s="25" t="n">
        <f aca="false">parametros_recargas!C60</f>
        <v>1</v>
      </c>
      <c r="D71" s="26" t="n">
        <f aca="false">datos_base!$D$7*parametros_recargas!E$60+sobrestock_sustitutos!$C$56/12</f>
        <v>14.8804153351134</v>
      </c>
      <c r="E71" s="26" t="n">
        <f aca="false">datos_base!$D$7*parametros_recargas!F$60+sobrestock_sustitutos!$C$56/12</f>
        <v>14.8804153351134</v>
      </c>
      <c r="F71" s="26" t="n">
        <f aca="false">datos_base!$D$7*parametros_recargas!G$60+sobrestock_sustitutos!$C$56/12</f>
        <v>14.8804153351134</v>
      </c>
      <c r="G71" s="26" t="n">
        <f aca="false">datos_base!$D$7*parametros_recargas!H$60+sobrestock_sustitutos!$C$56/12</f>
        <v>14.8804153351134</v>
      </c>
      <c r="H71" s="26" t="n">
        <f aca="false">datos_base!$D$7*parametros_recargas!I$60+sobrestock_sustitutos!$C$56/12</f>
        <v>14.8804153351134</v>
      </c>
      <c r="I71" s="26" t="n">
        <f aca="false">datos_base!$D$7*parametros_recargas!J$60+sobrestock_sustitutos!$C$56/12</f>
        <v>14.8804153351134</v>
      </c>
      <c r="J71" s="26" t="n">
        <f aca="false">datos_base!$D$7*parametros_recargas!K$60+sobrestock_sustitutos!$C$56/12</f>
        <v>14.8804153351134</v>
      </c>
      <c r="K71" s="26" t="n">
        <f aca="false">datos_base!$D$7*parametros_recargas!L$60+sobrestock_sustitutos!$C$56/12</f>
        <v>14.8804153351134</v>
      </c>
      <c r="L71" s="26" t="n">
        <f aca="false">datos_base!$D$7*parametros_recargas!M$60+sobrestock_sustitutos!$C$56/12</f>
        <v>14.8804153351134</v>
      </c>
      <c r="M71" s="26" t="n">
        <f aca="false">datos_base!$D$7*parametros_recargas!N$60+sobrestock_sustitutos!$C$56/12</f>
        <v>14.8804153351134</v>
      </c>
      <c r="N71" s="26" t="n">
        <f aca="false">datos_base!$D$7*parametros_recargas!O$60+sobrestock_sustitutos!$C$56/12</f>
        <v>14.8804153351134</v>
      </c>
      <c r="O71" s="26" t="n">
        <f aca="false">datos_base!$D$7*parametros_recargas!P$60+sobrestock_sustitutos!$C$56/12</f>
        <v>14.8804153351134</v>
      </c>
      <c r="P71" s="8" t="n">
        <f aca="false">SUM(D71:O71)</f>
        <v>178.56498402136</v>
      </c>
    </row>
    <row r="72" customFormat="false" ht="15" hidden="false" customHeight="false" outlineLevel="0" collapsed="false">
      <c r="A72" s="10" t="str">
        <f aca="false">parametros_recargas!A61</f>
        <v>AFFF 50 l s/ruedas</v>
      </c>
      <c r="B72" s="10" t="str">
        <f aca="false">parametros_recargas!B61</f>
        <v>AFFF</v>
      </c>
      <c r="C72" s="25" t="n">
        <f aca="false">parametros_recargas!C61</f>
        <v>6.360853875</v>
      </c>
      <c r="D72" s="26" t="n">
        <f aca="false">datos_base!$D$8*parametros_recargas!E$61+sobrestock_sustitutos!$C$57/12</f>
        <v>7.76653685734774</v>
      </c>
      <c r="E72" s="26" t="n">
        <f aca="false">datos_base!$D$8*parametros_recargas!F$61+sobrestock_sustitutos!$C$57/12</f>
        <v>7.76653685734774</v>
      </c>
      <c r="F72" s="26" t="n">
        <f aca="false">datos_base!$D$8*parametros_recargas!G$61+sobrestock_sustitutos!$C$57/12</f>
        <v>7.76653685734774</v>
      </c>
      <c r="G72" s="26" t="n">
        <f aca="false">datos_base!$D$8*parametros_recargas!H$61+sobrestock_sustitutos!$C$57/12</f>
        <v>7.76653685734774</v>
      </c>
      <c r="H72" s="26" t="n">
        <f aca="false">datos_base!$D$8*parametros_recargas!I$61+sobrestock_sustitutos!$C$57/12</f>
        <v>7.76653685734774</v>
      </c>
      <c r="I72" s="26" t="n">
        <f aca="false">datos_base!$D$8*parametros_recargas!J$61+sobrestock_sustitutos!$C$57/12</f>
        <v>7.76653685734774</v>
      </c>
      <c r="J72" s="26" t="n">
        <f aca="false">datos_base!$D$8*parametros_recargas!K$61+sobrestock_sustitutos!$C$57/12</f>
        <v>7.76653685734774</v>
      </c>
      <c r="K72" s="26" t="n">
        <f aca="false">datos_base!$D$8*parametros_recargas!L$61+sobrestock_sustitutos!$C$57/12</f>
        <v>7.76653685734774</v>
      </c>
      <c r="L72" s="26" t="n">
        <f aca="false">datos_base!$D$8*parametros_recargas!M$61+sobrestock_sustitutos!$C$57/12</f>
        <v>7.76653685734774</v>
      </c>
      <c r="M72" s="26" t="n">
        <f aca="false">datos_base!$D$8*parametros_recargas!N$61+sobrestock_sustitutos!$C$57/12</f>
        <v>7.76653685734774</v>
      </c>
      <c r="N72" s="26" t="n">
        <f aca="false">datos_base!$D$8*parametros_recargas!O$61+sobrestock_sustitutos!$C$57/12</f>
        <v>7.76653685734774</v>
      </c>
      <c r="O72" s="26" t="n">
        <f aca="false">datos_base!$D$8*parametros_recargas!P$61+sobrestock_sustitutos!$C$57/12</f>
        <v>7.76653685734774</v>
      </c>
      <c r="P72" s="8" t="n">
        <f aca="false">SUM(D72:O72)</f>
        <v>93.1984422881729</v>
      </c>
    </row>
    <row r="73" customFormat="false" ht="15" hidden="false" customHeight="false" outlineLevel="0" collapsed="false">
      <c r="A73" s="10" t="str">
        <f aca="false">parametros_recargas!A62</f>
        <v>BC 5 kg</v>
      </c>
      <c r="B73" s="10" t="str">
        <f aca="false">parametros_recargas!B62</f>
        <v>BC</v>
      </c>
      <c r="C73" s="25" t="n">
        <f aca="false">parametros_recargas!C62</f>
        <v>1</v>
      </c>
      <c r="D73" s="26" t="n">
        <f aca="false">datos_base!$D$9*parametros_recargas!E$62+sobrestock_sustitutos!$C$58/12</f>
        <v>4.19092332720213</v>
      </c>
      <c r="E73" s="26" t="n">
        <f aca="false">datos_base!$D$9*parametros_recargas!F$62+sobrestock_sustitutos!$C$58/12</f>
        <v>4.19092332720213</v>
      </c>
      <c r="F73" s="26" t="n">
        <f aca="false">datos_base!$D$9*parametros_recargas!G$62+sobrestock_sustitutos!$C$58/12</f>
        <v>4.19092332720213</v>
      </c>
      <c r="G73" s="26" t="n">
        <f aca="false">datos_base!$D$9*parametros_recargas!H$62+sobrestock_sustitutos!$C$58/12</f>
        <v>4.19092332720213</v>
      </c>
      <c r="H73" s="26" t="n">
        <f aca="false">datos_base!$D$9*parametros_recargas!I$62+sobrestock_sustitutos!$C$58/12</f>
        <v>4.19092332720213</v>
      </c>
      <c r="I73" s="26" t="n">
        <f aca="false">datos_base!$D$9*parametros_recargas!J$62+sobrestock_sustitutos!$C$58/12</f>
        <v>4.19092332720213</v>
      </c>
      <c r="J73" s="26" t="n">
        <f aca="false">datos_base!$D$9*parametros_recargas!K$62+sobrestock_sustitutos!$C$58/12</f>
        <v>4.19092332720213</v>
      </c>
      <c r="K73" s="26" t="n">
        <f aca="false">datos_base!$D$9*parametros_recargas!L$62+sobrestock_sustitutos!$C$58/12</f>
        <v>4.19092332720213</v>
      </c>
      <c r="L73" s="26" t="n">
        <f aca="false">datos_base!$D$9*parametros_recargas!M$62+sobrestock_sustitutos!$C$58/12</f>
        <v>4.19092332720213</v>
      </c>
      <c r="M73" s="26" t="n">
        <f aca="false">datos_base!$D$9*parametros_recargas!N$62+sobrestock_sustitutos!$C$58/12</f>
        <v>4.19092332720213</v>
      </c>
      <c r="N73" s="26" t="n">
        <f aca="false">datos_base!$D$9*parametros_recargas!O$62+sobrestock_sustitutos!$C$58/12</f>
        <v>4.19092332720213</v>
      </c>
      <c r="O73" s="26" t="n">
        <f aca="false">datos_base!$D$9*parametros_recargas!P$62+sobrestock_sustitutos!$C$58/12</f>
        <v>4.19092332720213</v>
      </c>
      <c r="P73" s="8" t="n">
        <f aca="false">SUM(D73:O73)</f>
        <v>50.2910799264256</v>
      </c>
    </row>
    <row r="74" customFormat="false" ht="15" hidden="false" customHeight="false" outlineLevel="0" collapsed="false">
      <c r="A74" s="10" t="str">
        <f aca="false">parametros_recargas!A63</f>
        <v>Sales K 6 l</v>
      </c>
      <c r="B74" s="10" t="str">
        <f aca="false">parametros_recargas!B63</f>
        <v>Sales K</v>
      </c>
      <c r="C74" s="25" t="n">
        <f aca="false">parametros_recargas!C63</f>
        <v>1</v>
      </c>
      <c r="D74" s="26" t="n">
        <f aca="false">datos_base!$D$10*parametros_recargas!E$63+sobrestock_sustitutos!$C$59/12</f>
        <v>32.3142128151927</v>
      </c>
      <c r="E74" s="26" t="n">
        <f aca="false">datos_base!$D$10*parametros_recargas!F$63+sobrestock_sustitutos!$C$59/12</f>
        <v>64.5471822470911</v>
      </c>
      <c r="F74" s="26" t="n">
        <f aca="false">datos_base!$D$10*parametros_recargas!G$63+sobrestock_sustitutos!$C$59/12</f>
        <v>32.3142128151927</v>
      </c>
      <c r="G74" s="26" t="n">
        <f aca="false">datos_base!$D$10*parametros_recargas!H$63+sobrestock_sustitutos!$C$59/12</f>
        <v>32.3142128151927</v>
      </c>
      <c r="H74" s="26" t="n">
        <f aca="false">datos_base!$D$10*parametros_recargas!I$63+sobrestock_sustitutos!$C$59/12</f>
        <v>32.3142128151927</v>
      </c>
      <c r="I74" s="26" t="n">
        <f aca="false">datos_base!$D$10*parametros_recargas!J$63+sobrestock_sustitutos!$C$59/12</f>
        <v>32.3142128151927</v>
      </c>
      <c r="J74" s="26" t="n">
        <f aca="false">datos_base!$D$10*parametros_recargas!K$63+sobrestock_sustitutos!$C$59/12</f>
        <v>32.3142128151927</v>
      </c>
      <c r="K74" s="26" t="n">
        <f aca="false">datos_base!$D$10*parametros_recargas!L$63+sobrestock_sustitutos!$C$59/12</f>
        <v>32.3142128151927</v>
      </c>
      <c r="L74" s="26" t="n">
        <f aca="false">datos_base!$D$10*parametros_recargas!M$63+sobrestock_sustitutos!$C$59/12</f>
        <v>32.3142128151927</v>
      </c>
      <c r="M74" s="26" t="n">
        <f aca="false">datos_base!$D$10*parametros_recargas!N$63+sobrestock_sustitutos!$C$59/12</f>
        <v>32.3142128151927</v>
      </c>
      <c r="N74" s="26" t="n">
        <f aca="false">datos_base!$D$10*parametros_recargas!O$63+sobrestock_sustitutos!$C$59/12</f>
        <v>32.3142128151927</v>
      </c>
      <c r="O74" s="26" t="n">
        <f aca="false">datos_base!$D$10*parametros_recargas!P$63+sobrestock_sustitutos!$C$59/12</f>
        <v>32.3142128151927</v>
      </c>
      <c r="P74" s="8" t="n">
        <f aca="false">SUM(D74:O74)</f>
        <v>420.00352321421</v>
      </c>
    </row>
    <row r="75" customFormat="false" ht="15" hidden="false" customHeight="false" outlineLevel="0" collapsed="false">
      <c r="A75" s="10" t="str">
        <f aca="false">parametros_recargas!A64</f>
        <v>CO₂ 2 kg</v>
      </c>
      <c r="B75" s="10" t="str">
        <f aca="false">parametros_recargas!B64</f>
        <v>CO₂</v>
      </c>
      <c r="C75" s="25" t="n">
        <f aca="false">parametros_recargas!C64</f>
        <v>1</v>
      </c>
      <c r="D75" s="26" t="n">
        <f aca="false">datos_base!$D$11*parametros_recargas!E$64+sobrestock_sustitutos!$C$60/12</f>
        <v>173.856334423562</v>
      </c>
      <c r="E75" s="26" t="n">
        <f aca="false">datos_base!$D$11*parametros_recargas!F$64+sobrestock_sustitutos!$C$60/12</f>
        <v>301.815050337083</v>
      </c>
      <c r="F75" s="26" t="n">
        <f aca="false">datos_base!$D$11*parametros_recargas!G$64+sobrestock_sustitutos!$C$60/12</f>
        <v>173.856334423562</v>
      </c>
      <c r="G75" s="26" t="n">
        <f aca="false">datos_base!$D$11*parametros_recargas!H$64+sobrestock_sustitutos!$C$60/12</f>
        <v>173.856334423562</v>
      </c>
      <c r="H75" s="26" t="n">
        <f aca="false">datos_base!$D$11*parametros_recargas!I$64+sobrestock_sustitutos!$C$60/12</f>
        <v>173.856334423562</v>
      </c>
      <c r="I75" s="26" t="n">
        <f aca="false">datos_base!$D$11*parametros_recargas!J$64+sobrestock_sustitutos!$C$60/12</f>
        <v>173.856334423562</v>
      </c>
      <c r="J75" s="26" t="n">
        <f aca="false">datos_base!$D$11*parametros_recargas!K$64+sobrestock_sustitutos!$C$60/12</f>
        <v>173.856334423562</v>
      </c>
      <c r="K75" s="26" t="n">
        <f aca="false">datos_base!$D$11*parametros_recargas!L$64+sobrestock_sustitutos!$C$60/12</f>
        <v>173.856334423562</v>
      </c>
      <c r="L75" s="26" t="n">
        <f aca="false">datos_base!$D$11*parametros_recargas!M$64+sobrestock_sustitutos!$C$60/12</f>
        <v>173.856334423562</v>
      </c>
      <c r="M75" s="26" t="n">
        <f aca="false">datos_base!$D$11*parametros_recargas!N$64+sobrestock_sustitutos!$C$60/12</f>
        <v>173.856334423562</v>
      </c>
      <c r="N75" s="26" t="n">
        <f aca="false">datos_base!$D$11*parametros_recargas!O$64+sobrestock_sustitutos!$C$60/12</f>
        <v>173.856334423562</v>
      </c>
      <c r="O75" s="26" t="n">
        <f aca="false">datos_base!$D$11*parametros_recargas!P$64+sobrestock_sustitutos!$C$60/12</f>
        <v>173.856334423562</v>
      </c>
      <c r="P75" s="8" t="n">
        <f aca="false">SUM(D75:O75)</f>
        <v>2214.23472899626</v>
      </c>
    </row>
    <row r="76" customFormat="false" ht="15" hidden="false" customHeight="false" outlineLevel="0" collapsed="false">
      <c r="A76" s="10" t="str">
        <f aca="false">parametros_recargas!A65</f>
        <v>CO₂ 5 kg</v>
      </c>
      <c r="B76" s="10" t="str">
        <f aca="false">parametros_recargas!B65</f>
        <v>CO₂</v>
      </c>
      <c r="C76" s="25" t="n">
        <f aca="false">parametros_recargas!C65</f>
        <v>1</v>
      </c>
      <c r="D76" s="26" t="n">
        <f aca="false">datos_base!$D$12*parametros_recargas!E$65+sobrestock_sustitutos!$C$61/12</f>
        <v>63.7235872774143</v>
      </c>
      <c r="E76" s="26" t="n">
        <f aca="false">datos_base!$D$12*parametros_recargas!F$65+sobrestock_sustitutos!$C$61/12</f>
        <v>69.8527089921866</v>
      </c>
      <c r="F76" s="26" t="n">
        <f aca="false">datos_base!$D$12*parametros_recargas!G$65+sobrestock_sustitutos!$C$61/12</f>
        <v>63.7235872774143</v>
      </c>
      <c r="G76" s="26" t="n">
        <f aca="false">datos_base!$D$12*parametros_recargas!H$65+sobrestock_sustitutos!$C$61/12</f>
        <v>63.7235872774143</v>
      </c>
      <c r="H76" s="26" t="n">
        <f aca="false">datos_base!$D$12*parametros_recargas!I$65+sobrestock_sustitutos!$C$61/12</f>
        <v>63.7235872774143</v>
      </c>
      <c r="I76" s="26" t="n">
        <f aca="false">datos_base!$D$12*parametros_recargas!J$65+sobrestock_sustitutos!$C$61/12</f>
        <v>63.7235872774143</v>
      </c>
      <c r="J76" s="26" t="n">
        <f aca="false">datos_base!$D$12*parametros_recargas!K$65+sobrestock_sustitutos!$C$61/12</f>
        <v>63.7235872774143</v>
      </c>
      <c r="K76" s="26" t="n">
        <f aca="false">datos_base!$D$12*parametros_recargas!L$65+sobrestock_sustitutos!$C$61/12</f>
        <v>63.7235872774143</v>
      </c>
      <c r="L76" s="26" t="n">
        <f aca="false">datos_base!$D$12*parametros_recargas!M$65+sobrestock_sustitutos!$C$61/12</f>
        <v>63.7235872774143</v>
      </c>
      <c r="M76" s="26" t="n">
        <f aca="false">datos_base!$D$12*parametros_recargas!N$65+sobrestock_sustitutos!$C$61/12</f>
        <v>63.7235872774143</v>
      </c>
      <c r="N76" s="26" t="n">
        <f aca="false">datos_base!$D$12*parametros_recargas!O$65+sobrestock_sustitutos!$C$61/12</f>
        <v>63.7235872774143</v>
      </c>
      <c r="O76" s="26" t="n">
        <f aca="false">datos_base!$D$12*parametros_recargas!P$65+sobrestock_sustitutos!$C$61/12</f>
        <v>63.7235872774143</v>
      </c>
      <c r="P76" s="8" t="n">
        <f aca="false">SUM(D76:O76)</f>
        <v>770.812169043744</v>
      </c>
    </row>
    <row r="77" customFormat="false" ht="15" hidden="false" customHeight="false" outlineLevel="0" collapsed="false">
      <c r="A77" s="10" t="str">
        <f aca="false">parametros_recargas!A66</f>
        <v>HCFC/HFC 5 kg</v>
      </c>
      <c r="B77" s="10" t="str">
        <f aca="false">parametros_recargas!B66</f>
        <v>Halogenado</v>
      </c>
      <c r="C77" s="25" t="n">
        <f aca="false">parametros_recargas!C66</f>
        <v>1</v>
      </c>
      <c r="D77" s="26" t="n">
        <f aca="false">datos_base!$D$13*parametros_recargas!E$66+sobrestock_sustitutos!$C$62/12</f>
        <v>10.8344268782775</v>
      </c>
      <c r="E77" s="26" t="n">
        <f aca="false">datos_base!$D$13*parametros_recargas!F$66+sobrestock_sustitutos!$C$62/12</f>
        <v>10.8344268782775</v>
      </c>
      <c r="F77" s="26" t="n">
        <f aca="false">datos_base!$D$13*parametros_recargas!G$66+sobrestock_sustitutos!$C$62/12</f>
        <v>10.8344268782775</v>
      </c>
      <c r="G77" s="26" t="n">
        <f aca="false">datos_base!$D$13*parametros_recargas!H$66+sobrestock_sustitutos!$C$62/12</f>
        <v>10.8344268782775</v>
      </c>
      <c r="H77" s="26" t="n">
        <f aca="false">datos_base!$D$13*parametros_recargas!I$66+sobrestock_sustitutos!$C$62/12</f>
        <v>10.8344268782775</v>
      </c>
      <c r="I77" s="26" t="n">
        <f aca="false">datos_base!$D$13*parametros_recargas!J$66+sobrestock_sustitutos!$C$62/12</f>
        <v>10.8344268782775</v>
      </c>
      <c r="J77" s="26" t="n">
        <f aca="false">datos_base!$D$13*parametros_recargas!K$66+sobrestock_sustitutos!$C$62/12</f>
        <v>10.8344268782775</v>
      </c>
      <c r="K77" s="26" t="n">
        <f aca="false">datos_base!$D$13*parametros_recargas!L$66+sobrestock_sustitutos!$C$62/12</f>
        <v>10.8344268782775</v>
      </c>
      <c r="L77" s="26" t="n">
        <f aca="false">datos_base!$D$13*parametros_recargas!M$66+sobrestock_sustitutos!$C$62/12</f>
        <v>10.8344268782775</v>
      </c>
      <c r="M77" s="26" t="n">
        <f aca="false">datos_base!$D$13*parametros_recargas!N$66+sobrestock_sustitutos!$C$62/12</f>
        <v>10.8344268782775</v>
      </c>
      <c r="N77" s="26" t="n">
        <f aca="false">datos_base!$D$13*parametros_recargas!O$66+sobrestock_sustitutos!$C$62/12</f>
        <v>10.8344268782775</v>
      </c>
      <c r="O77" s="26" t="n">
        <f aca="false">datos_base!$D$13*parametros_recargas!P$66+sobrestock_sustitutos!$C$62/12</f>
        <v>10.8344268782775</v>
      </c>
      <c r="P77" s="8" t="n">
        <f aca="false">SUM(D77:O77)</f>
        <v>130.01312253933</v>
      </c>
    </row>
    <row r="78" customFormat="false" ht="15" hidden="false" customHeight="false" outlineLevel="0" collapsed="false">
      <c r="A78" s="10" t="str">
        <f aca="false">parametros_recargas!A67</f>
        <v>Clase D 9 l</v>
      </c>
      <c r="B78" s="10" t="str">
        <f aca="false">parametros_recargas!B67</f>
        <v>Clase D</v>
      </c>
      <c r="C78" s="25" t="n">
        <f aca="false">parametros_recargas!C67</f>
        <v>1</v>
      </c>
      <c r="D78" s="26" t="n">
        <f aca="false">datos_base!$D$14*parametros_recargas!E$67+sobrestock_sustitutos!$C$63/12</f>
        <v>4.19092332720213</v>
      </c>
      <c r="E78" s="26" t="n">
        <f aca="false">datos_base!$D$14*parametros_recargas!F$67+sobrestock_sustitutos!$C$63/12</f>
        <v>4.19092332720213</v>
      </c>
      <c r="F78" s="26" t="n">
        <f aca="false">datos_base!$D$14*parametros_recargas!G$67+sobrestock_sustitutos!$C$63/12</f>
        <v>4.19092332720213</v>
      </c>
      <c r="G78" s="26" t="n">
        <f aca="false">datos_base!$D$14*parametros_recargas!H$67+sobrestock_sustitutos!$C$63/12</f>
        <v>4.19092332720213</v>
      </c>
      <c r="H78" s="26" t="n">
        <f aca="false">datos_base!$D$14*parametros_recargas!I$67+sobrestock_sustitutos!$C$63/12</f>
        <v>4.19092332720213</v>
      </c>
      <c r="I78" s="26" t="n">
        <f aca="false">datos_base!$D$14*parametros_recargas!J$67+sobrestock_sustitutos!$C$63/12</f>
        <v>4.19092332720213</v>
      </c>
      <c r="J78" s="26" t="n">
        <f aca="false">datos_base!$D$14*parametros_recargas!K$67+sobrestock_sustitutos!$C$63/12</f>
        <v>4.19092332720213</v>
      </c>
      <c r="K78" s="26" t="n">
        <f aca="false">datos_base!$D$14*parametros_recargas!L$67+sobrestock_sustitutos!$C$63/12</f>
        <v>4.19092332720213</v>
      </c>
      <c r="L78" s="26" t="n">
        <f aca="false">datos_base!$D$14*parametros_recargas!M$67+sobrestock_sustitutos!$C$63/12</f>
        <v>4.19092332720213</v>
      </c>
      <c r="M78" s="26" t="n">
        <f aca="false">datos_base!$D$14*parametros_recargas!N$67+sobrestock_sustitutos!$C$63/12</f>
        <v>4.19092332720213</v>
      </c>
      <c r="N78" s="26" t="n">
        <f aca="false">datos_base!$D$14*parametros_recargas!O$67+sobrestock_sustitutos!$C$63/12</f>
        <v>4.19092332720213</v>
      </c>
      <c r="O78" s="26" t="n">
        <f aca="false">datos_base!$D$14*parametros_recargas!P$67+sobrestock_sustitutos!$C$63/12</f>
        <v>4.19092332720213</v>
      </c>
      <c r="P78" s="8" t="n">
        <f aca="false">SUM(D78:O78)</f>
        <v>50.2910799264256</v>
      </c>
    </row>
    <row r="79" customFormat="false" ht="15" hidden="false" customHeight="false" outlineLevel="0" collapsed="false">
      <c r="A79" s="10" t="str">
        <f aca="false">parametros_recargas!A68</f>
        <v>ABC 25 kg s/ruedas</v>
      </c>
      <c r="B79" s="10" t="str">
        <f aca="false">parametros_recargas!B68</f>
        <v>ABC</v>
      </c>
      <c r="C79" s="25" t="n">
        <f aca="false">parametros_recargas!C68</f>
        <v>6.360853875</v>
      </c>
      <c r="D79" s="26" t="n">
        <f aca="false">datos_base!$D$15*parametros_recargas!E$68+sobrestock_sustitutos!$C$64/12</f>
        <v>8.60386122866448</v>
      </c>
      <c r="E79" s="26" t="n">
        <f aca="false">datos_base!$D$15*parametros_recargas!F$68+sobrestock_sustitutos!$C$64/12</f>
        <v>9.98038998588679</v>
      </c>
      <c r="F79" s="26" t="n">
        <f aca="false">datos_base!$D$15*parametros_recargas!G$68+sobrestock_sustitutos!$C$64/12</f>
        <v>8.60386122866448</v>
      </c>
      <c r="G79" s="26" t="n">
        <f aca="false">datos_base!$D$15*parametros_recargas!H$68+sobrestock_sustitutos!$C$64/12</f>
        <v>8.60386122866448</v>
      </c>
      <c r="H79" s="26" t="n">
        <f aca="false">datos_base!$D$15*parametros_recargas!I$68+sobrestock_sustitutos!$C$64/12</f>
        <v>8.60386122866448</v>
      </c>
      <c r="I79" s="26" t="n">
        <f aca="false">datos_base!$D$15*parametros_recargas!J$68+sobrestock_sustitutos!$C$64/12</f>
        <v>8.60386122866448</v>
      </c>
      <c r="J79" s="26" t="n">
        <f aca="false">datos_base!$D$15*parametros_recargas!K$68+sobrestock_sustitutos!$C$64/12</f>
        <v>8.60386122866448</v>
      </c>
      <c r="K79" s="26" t="n">
        <f aca="false">datos_base!$D$15*parametros_recargas!L$68+sobrestock_sustitutos!$C$64/12</f>
        <v>8.60386122866448</v>
      </c>
      <c r="L79" s="26" t="n">
        <f aca="false">datos_base!$D$15*parametros_recargas!M$68+sobrestock_sustitutos!$C$64/12</f>
        <v>8.60386122866448</v>
      </c>
      <c r="M79" s="26" t="n">
        <f aca="false">datos_base!$D$15*parametros_recargas!N$68+sobrestock_sustitutos!$C$64/12</f>
        <v>8.60386122866448</v>
      </c>
      <c r="N79" s="26" t="n">
        <f aca="false">datos_base!$D$15*parametros_recargas!O$68+sobrestock_sustitutos!$C$64/12</f>
        <v>8.60386122866448</v>
      </c>
      <c r="O79" s="26" t="n">
        <f aca="false">datos_base!$D$15*parametros_recargas!P$68+sobrestock_sustitutos!$C$64/12</f>
        <v>8.60386122866448</v>
      </c>
      <c r="P79" s="8" t="n">
        <f aca="false">SUM(D79:O79)</f>
        <v>104.622863501196</v>
      </c>
    </row>
    <row r="80" customFormat="false" ht="15" hidden="false" customHeight="false" outlineLevel="0" collapsed="false">
      <c r="A80" s="10" t="str">
        <f aca="false">parametros_recargas!A69</f>
        <v>ABC 50 kg s/ruedas</v>
      </c>
      <c r="B80" s="10" t="str">
        <f aca="false">parametros_recargas!B69</f>
        <v>ABC</v>
      </c>
      <c r="C80" s="25" t="n">
        <f aca="false">parametros_recargas!C69</f>
        <v>6.360853875</v>
      </c>
      <c r="D80" s="26" t="n">
        <f aca="false">datos_base!$D$16*parametros_recargas!E$69+sobrestock_sustitutos!$C$65/12</f>
        <v>18.9951270700234</v>
      </c>
      <c r="E80" s="26" t="n">
        <f aca="false">datos_base!$D$16*parametros_recargas!F$69+sobrestock_sustitutos!$C$65/12</f>
        <v>22.0239022650857</v>
      </c>
      <c r="F80" s="26" t="n">
        <f aca="false">datos_base!$D$16*parametros_recargas!G$69+sobrestock_sustitutos!$C$65/12</f>
        <v>18.9951270700234</v>
      </c>
      <c r="G80" s="26" t="n">
        <f aca="false">datos_base!$D$16*parametros_recargas!H$69+sobrestock_sustitutos!$C$65/12</f>
        <v>18.9951270700234</v>
      </c>
      <c r="H80" s="26" t="n">
        <f aca="false">datos_base!$D$16*parametros_recargas!I$69+sobrestock_sustitutos!$C$65/12</f>
        <v>18.9951270700234</v>
      </c>
      <c r="I80" s="26" t="n">
        <f aca="false">datos_base!$D$16*parametros_recargas!J$69+sobrestock_sustitutos!$C$65/12</f>
        <v>18.9951270700234</v>
      </c>
      <c r="J80" s="26" t="n">
        <f aca="false">datos_base!$D$16*parametros_recargas!K$69+sobrestock_sustitutos!$C$65/12</f>
        <v>18.9951270700234</v>
      </c>
      <c r="K80" s="26" t="n">
        <f aca="false">datos_base!$D$16*parametros_recargas!L$69+sobrestock_sustitutos!$C$65/12</f>
        <v>18.9951270700234</v>
      </c>
      <c r="L80" s="26" t="n">
        <f aca="false">datos_base!$D$16*parametros_recargas!M$69+sobrestock_sustitutos!$C$65/12</f>
        <v>18.9951270700234</v>
      </c>
      <c r="M80" s="26" t="n">
        <f aca="false">datos_base!$D$16*parametros_recargas!N$69+sobrestock_sustitutos!$C$65/12</f>
        <v>18.9951270700234</v>
      </c>
      <c r="N80" s="26" t="n">
        <f aca="false">datos_base!$D$16*parametros_recargas!O$69+sobrestock_sustitutos!$C$65/12</f>
        <v>18.9951270700234</v>
      </c>
      <c r="O80" s="26" t="n">
        <f aca="false">datos_base!$D$16*parametros_recargas!P$69+sobrestock_sustitutos!$C$65/12</f>
        <v>18.9951270700234</v>
      </c>
      <c r="P80" s="8" t="n">
        <f aca="false">SUM(D80:O80)</f>
        <v>230.970300035343</v>
      </c>
    </row>
    <row r="81" customFormat="false" ht="15" hidden="false" customHeight="false" outlineLevel="0" collapsed="false">
      <c r="A81" s="10" t="str">
        <f aca="false">parametros_recargas!A70</f>
        <v>ABC 70 kg s/ruedas</v>
      </c>
      <c r="B81" s="10" t="str">
        <f aca="false">parametros_recargas!B70</f>
        <v>ABC</v>
      </c>
      <c r="C81" s="25" t="n">
        <f aca="false">parametros_recargas!C70</f>
        <v>6.360853875</v>
      </c>
      <c r="D81" s="26" t="n">
        <f aca="false">datos_base!$D$17*parametros_recargas!E$70+sobrestock_sustitutos!$C$66/12</f>
        <v>4.17319579493349</v>
      </c>
      <c r="E81" s="26" t="n">
        <f aca="false">datos_base!$D$17*parametros_recargas!F$70+sobrestock_sustitutos!$C$66/12</f>
        <v>4.83382064758259</v>
      </c>
      <c r="F81" s="26" t="n">
        <f aca="false">datos_base!$D$17*parametros_recargas!G$70+sobrestock_sustitutos!$C$66/12</f>
        <v>4.17319579493349</v>
      </c>
      <c r="G81" s="26" t="n">
        <f aca="false">datos_base!$D$17*parametros_recargas!H$70+sobrestock_sustitutos!$C$66/12</f>
        <v>4.17319579493349</v>
      </c>
      <c r="H81" s="26" t="n">
        <f aca="false">datos_base!$D$17*parametros_recargas!I$70+sobrestock_sustitutos!$C$66/12</f>
        <v>4.17319579493349</v>
      </c>
      <c r="I81" s="26" t="n">
        <f aca="false">datos_base!$D$17*parametros_recargas!J$70+sobrestock_sustitutos!$C$66/12</f>
        <v>4.17319579493349</v>
      </c>
      <c r="J81" s="26" t="n">
        <f aca="false">datos_base!$D$17*parametros_recargas!K$70+sobrestock_sustitutos!$C$66/12</f>
        <v>4.17319579493349</v>
      </c>
      <c r="K81" s="26" t="n">
        <f aca="false">datos_base!$D$17*parametros_recargas!L$70+sobrestock_sustitutos!$C$66/12</f>
        <v>4.17319579493349</v>
      </c>
      <c r="L81" s="26" t="n">
        <f aca="false">datos_base!$D$17*parametros_recargas!M$70+sobrestock_sustitutos!$C$66/12</f>
        <v>4.17319579493349</v>
      </c>
      <c r="M81" s="26" t="n">
        <f aca="false">datos_base!$D$17*parametros_recargas!N$70+sobrestock_sustitutos!$C$66/12</f>
        <v>4.17319579493349</v>
      </c>
      <c r="N81" s="26" t="n">
        <f aca="false">datos_base!$D$17*parametros_recargas!O$70+sobrestock_sustitutos!$C$66/12</f>
        <v>4.17319579493349</v>
      </c>
      <c r="O81" s="26" t="n">
        <f aca="false">datos_base!$D$17*parametros_recargas!P$70+sobrestock_sustitutos!$C$66/12</f>
        <v>4.17319579493349</v>
      </c>
      <c r="P81" s="8" t="n">
        <f aca="false">SUM(D81:O81)</f>
        <v>50.7389743918509</v>
      </c>
    </row>
    <row r="82" customFormat="false" ht="15" hidden="false" customHeight="false" outlineLevel="0" collapsed="false">
      <c r="A82" s="10" t="str">
        <f aca="false">parametros_recargas!A71</f>
        <v>ABC 100 kg s/ruedas</v>
      </c>
      <c r="B82" s="10" t="str">
        <f aca="false">parametros_recargas!B71</f>
        <v>ABC</v>
      </c>
      <c r="C82" s="25" t="n">
        <f aca="false">parametros_recargas!C71</f>
        <v>6.360853875</v>
      </c>
      <c r="D82" s="26" t="n">
        <f aca="false">datos_base!$D$18*parametros_recargas!E$71+sobrestock_sustitutos!$C$67/12</f>
        <v>2.8098699475649</v>
      </c>
      <c r="E82" s="26" t="n">
        <f aca="false">datos_base!$D$18*parametros_recargas!F$71+sobrestock_sustitutos!$C$67/12</f>
        <v>3.25074720769986</v>
      </c>
      <c r="F82" s="26" t="n">
        <f aca="false">datos_base!$D$18*parametros_recargas!G$71+sobrestock_sustitutos!$C$67/12</f>
        <v>2.8098699475649</v>
      </c>
      <c r="G82" s="26" t="n">
        <f aca="false">datos_base!$D$18*parametros_recargas!H$71+sobrestock_sustitutos!$C$67/12</f>
        <v>2.8098699475649</v>
      </c>
      <c r="H82" s="26" t="n">
        <f aca="false">datos_base!$D$18*parametros_recargas!I$71+sobrestock_sustitutos!$C$67/12</f>
        <v>2.8098699475649</v>
      </c>
      <c r="I82" s="26" t="n">
        <f aca="false">datos_base!$D$18*parametros_recargas!J$71+sobrestock_sustitutos!$C$67/12</f>
        <v>2.8098699475649</v>
      </c>
      <c r="J82" s="26" t="n">
        <f aca="false">datos_base!$D$18*parametros_recargas!K$71+sobrestock_sustitutos!$C$67/12</f>
        <v>2.8098699475649</v>
      </c>
      <c r="K82" s="26" t="n">
        <f aca="false">datos_base!$D$18*parametros_recargas!L$71+sobrestock_sustitutos!$C$67/12</f>
        <v>2.8098699475649</v>
      </c>
      <c r="L82" s="26" t="n">
        <f aca="false">datos_base!$D$18*parametros_recargas!M$71+sobrestock_sustitutos!$C$67/12</f>
        <v>2.8098699475649</v>
      </c>
      <c r="M82" s="26" t="n">
        <f aca="false">datos_base!$D$18*parametros_recargas!N$71+sobrestock_sustitutos!$C$67/12</f>
        <v>2.8098699475649</v>
      </c>
      <c r="N82" s="26" t="n">
        <f aca="false">datos_base!$D$18*parametros_recargas!O$71+sobrestock_sustitutos!$C$67/12</f>
        <v>2.8098699475649</v>
      </c>
      <c r="O82" s="26" t="n">
        <f aca="false">datos_base!$D$18*parametros_recargas!P$71+sobrestock_sustitutos!$C$67/12</f>
        <v>2.8098699475649</v>
      </c>
      <c r="P82" s="8" t="n">
        <f aca="false">SUM(D82:O82)</f>
        <v>34.1593166309138</v>
      </c>
    </row>
    <row r="83" customFormat="false" ht="15" hidden="false" customHeight="false" outlineLevel="0" collapsed="false">
      <c r="A83" s="4" t="s">
        <v>430</v>
      </c>
      <c r="D83" s="8" t="n">
        <f aca="false">SUM(D66:D82)</f>
        <v>1463.35426508561</v>
      </c>
      <c r="E83" s="8" t="n">
        <f aca="false">SUM(E66:E82)</f>
        <v>3734.94629742668</v>
      </c>
      <c r="F83" s="8" t="n">
        <f aca="false">SUM(F66:F82)</f>
        <v>3068.52119646245</v>
      </c>
      <c r="G83" s="8" t="n">
        <f aca="false">SUM(G66:G82)</f>
        <v>3080.93522005115</v>
      </c>
      <c r="H83" s="8" t="n">
        <f aca="false">SUM(H66:H82)</f>
        <v>3081.58326654507</v>
      </c>
      <c r="I83" s="8" t="n">
        <f aca="false">SUM(I66:I82)</f>
        <v>3075.68154833022</v>
      </c>
      <c r="J83" s="8" t="n">
        <f aca="false">SUM(J66:J82)</f>
        <v>3094.24452174417</v>
      </c>
      <c r="K83" s="8" t="n">
        <f aca="false">SUM(K66:K82)</f>
        <v>3080.27406279001</v>
      </c>
      <c r="L83" s="8" t="n">
        <f aca="false">SUM(L66:L82)</f>
        <v>3082.45232311495</v>
      </c>
      <c r="M83" s="8" t="n">
        <f aca="false">SUM(M66:M82)</f>
        <v>3075.25076597877</v>
      </c>
      <c r="N83" s="8" t="n">
        <f aca="false">SUM(N66:N82)</f>
        <v>3044.23818260796</v>
      </c>
      <c r="O83" s="8" t="n">
        <f aca="false">SUM(O66:O82)</f>
        <v>1379.08761824201</v>
      </c>
      <c r="P83" s="8" t="n">
        <f aca="false">SUM(P66:P82)</f>
        <v>34260.569268379</v>
      </c>
    </row>
    <row r="84" customFormat="false" ht="15" hidden="false" customHeight="false" outlineLevel="0" collapsed="false">
      <c r="A84" s="4" t="s">
        <v>431</v>
      </c>
    </row>
    <row r="85" customFormat="false" ht="15" hidden="false" customHeight="false" outlineLevel="0" collapsed="false">
      <c r="A85" s="5" t="s">
        <v>110</v>
      </c>
      <c r="D85" s="26" t="n">
        <f aca="false">SUMPRODUCT(($B$66:$B$82=$A85)*D$66:D$82*$C$66:$C$82)</f>
        <v>1270.8518942514</v>
      </c>
      <c r="E85" s="26" t="n">
        <f aca="false">SUMPRODUCT(($B$66:$B$82=$A85)*E$66:E$82*$C$66:$C$82)</f>
        <v>3373.69324804245</v>
      </c>
      <c r="F85" s="26" t="n">
        <f aca="false">SUMPRODUCT(($B$66:$B$82=$A85)*F$66:F$82*$C$66:$C$82)</f>
        <v>2876.01882562824</v>
      </c>
      <c r="G85" s="26" t="n">
        <f aca="false">SUMPRODUCT(($B$66:$B$82=$A85)*G$66:G$82*$C$66:$C$82)</f>
        <v>2888.43284921694</v>
      </c>
      <c r="H85" s="26" t="n">
        <f aca="false">SUMPRODUCT(($B$66:$B$82=$A85)*H$66:H$82*$C$66:$C$82)</f>
        <v>2889.08089571086</v>
      </c>
      <c r="I85" s="26" t="n">
        <f aca="false">SUMPRODUCT(($B$66:$B$82=$A85)*I$66:I$82*$C$66:$C$82)</f>
        <v>2883.17917749601</v>
      </c>
      <c r="J85" s="26" t="n">
        <f aca="false">SUMPRODUCT(($B$66:$B$82=$A85)*J$66:J$82*$C$66:$C$82)</f>
        <v>2901.74215090996</v>
      </c>
      <c r="K85" s="26" t="n">
        <f aca="false">SUMPRODUCT(($B$66:$B$82=$A85)*K$66:K$82*$C$66:$C$82)</f>
        <v>2887.7716919558</v>
      </c>
      <c r="L85" s="26" t="n">
        <f aca="false">SUMPRODUCT(($B$66:$B$82=$A85)*L$66:L$82*$C$66:$C$82)</f>
        <v>2889.94995228074</v>
      </c>
      <c r="M85" s="26" t="n">
        <f aca="false">SUMPRODUCT(($B$66:$B$82=$A85)*M$66:M$82*$C$66:$C$82)</f>
        <v>2882.74839514456</v>
      </c>
      <c r="N85" s="26" t="n">
        <f aca="false">SUMPRODUCT(($B$66:$B$82=$A85)*N$66:N$82*$C$66:$C$82)</f>
        <v>2851.73581177375</v>
      </c>
      <c r="O85" s="26" t="n">
        <f aca="false">SUMPRODUCT(($B$66:$B$82=$A85)*O$66:O$82*$C$66:$C$82)</f>
        <v>1186.5852474078</v>
      </c>
      <c r="P85" s="26" t="n">
        <f aca="false">SUMPRODUCT(($B$66:$B$82=$A85)*P$66:P$82*$C$66:$C$82)</f>
        <v>31781.7901398185</v>
      </c>
    </row>
    <row r="86" customFormat="false" ht="15" hidden="false" customHeight="false" outlineLevel="0" collapsed="false">
      <c r="A86" s="5" t="s">
        <v>111</v>
      </c>
      <c r="D86" s="26" t="n">
        <f aca="false">SUMPRODUCT(($B$66:$B$82=$A86)*D$66:D$82*$C$66:$C$82)</f>
        <v>4.19092332720213</v>
      </c>
      <c r="E86" s="26" t="n">
        <f aca="false">SUMPRODUCT(($B$66:$B$82=$A86)*E$66:E$82*$C$66:$C$82)</f>
        <v>4.19092332720213</v>
      </c>
      <c r="F86" s="26" t="n">
        <f aca="false">SUMPRODUCT(($B$66:$B$82=$A86)*F$66:F$82*$C$66:$C$82)</f>
        <v>4.19092332720213</v>
      </c>
      <c r="G86" s="26" t="n">
        <f aca="false">SUMPRODUCT(($B$66:$B$82=$A86)*G$66:G$82*$C$66:$C$82)</f>
        <v>4.19092332720213</v>
      </c>
      <c r="H86" s="26" t="n">
        <f aca="false">SUMPRODUCT(($B$66:$B$82=$A86)*H$66:H$82*$C$66:$C$82)</f>
        <v>4.19092332720213</v>
      </c>
      <c r="I86" s="26" t="n">
        <f aca="false">SUMPRODUCT(($B$66:$B$82=$A86)*I$66:I$82*$C$66:$C$82)</f>
        <v>4.19092332720213</v>
      </c>
      <c r="J86" s="26" t="n">
        <f aca="false">SUMPRODUCT(($B$66:$B$82=$A86)*J$66:J$82*$C$66:$C$82)</f>
        <v>4.19092332720213</v>
      </c>
      <c r="K86" s="26" t="n">
        <f aca="false">SUMPRODUCT(($B$66:$B$82=$A86)*K$66:K$82*$C$66:$C$82)</f>
        <v>4.19092332720213</v>
      </c>
      <c r="L86" s="26" t="n">
        <f aca="false">SUMPRODUCT(($B$66:$B$82=$A86)*L$66:L$82*$C$66:$C$82)</f>
        <v>4.19092332720213</v>
      </c>
      <c r="M86" s="26" t="n">
        <f aca="false">SUMPRODUCT(($B$66:$B$82=$A86)*M$66:M$82*$C$66:$C$82)</f>
        <v>4.19092332720213</v>
      </c>
      <c r="N86" s="26" t="n">
        <f aca="false">SUMPRODUCT(($B$66:$B$82=$A86)*N$66:N$82*$C$66:$C$82)</f>
        <v>4.19092332720213</v>
      </c>
      <c r="O86" s="26" t="n">
        <f aca="false">SUMPRODUCT(($B$66:$B$82=$A86)*O$66:O$82*$C$66:$C$82)</f>
        <v>4.19092332720213</v>
      </c>
      <c r="P86" s="26" t="n">
        <f aca="false">SUMPRODUCT(($B$66:$B$82=$A86)*P$66:P$82*$C$66:$C$82)</f>
        <v>50.2910799264256</v>
      </c>
    </row>
    <row r="87" customFormat="false" ht="15" hidden="false" customHeight="false" outlineLevel="0" collapsed="false">
      <c r="A87" s="5" t="s">
        <v>112</v>
      </c>
      <c r="D87" s="26" t="n">
        <f aca="false">SUMPRODUCT(($B$66:$B$82=$A87)*D$66:D$82*$C$66:$C$82)</f>
        <v>4.19092332720213</v>
      </c>
      <c r="E87" s="26" t="n">
        <f aca="false">SUMPRODUCT(($B$66:$B$82=$A87)*E$66:E$82*$C$66:$C$82)</f>
        <v>4.19092332720213</v>
      </c>
      <c r="F87" s="26" t="n">
        <f aca="false">SUMPRODUCT(($B$66:$B$82=$A87)*F$66:F$82*$C$66:$C$82)</f>
        <v>4.19092332720213</v>
      </c>
      <c r="G87" s="26" t="n">
        <f aca="false">SUMPRODUCT(($B$66:$B$82=$A87)*G$66:G$82*$C$66:$C$82)</f>
        <v>4.19092332720213</v>
      </c>
      <c r="H87" s="26" t="n">
        <f aca="false">SUMPRODUCT(($B$66:$B$82=$A87)*H$66:H$82*$C$66:$C$82)</f>
        <v>4.19092332720213</v>
      </c>
      <c r="I87" s="26" t="n">
        <f aca="false">SUMPRODUCT(($B$66:$B$82=$A87)*I$66:I$82*$C$66:$C$82)</f>
        <v>4.19092332720213</v>
      </c>
      <c r="J87" s="26" t="n">
        <f aca="false">SUMPRODUCT(($B$66:$B$82=$A87)*J$66:J$82*$C$66:$C$82)</f>
        <v>4.19092332720213</v>
      </c>
      <c r="K87" s="26" t="n">
        <f aca="false">SUMPRODUCT(($B$66:$B$82=$A87)*K$66:K$82*$C$66:$C$82)</f>
        <v>4.19092332720213</v>
      </c>
      <c r="L87" s="26" t="n">
        <f aca="false">SUMPRODUCT(($B$66:$B$82=$A87)*L$66:L$82*$C$66:$C$82)</f>
        <v>4.19092332720213</v>
      </c>
      <c r="M87" s="26" t="n">
        <f aca="false">SUMPRODUCT(($B$66:$B$82=$A87)*M$66:M$82*$C$66:$C$82)</f>
        <v>4.19092332720213</v>
      </c>
      <c r="N87" s="26" t="n">
        <f aca="false">SUMPRODUCT(($B$66:$B$82=$A87)*N$66:N$82*$C$66:$C$82)</f>
        <v>4.19092332720213</v>
      </c>
      <c r="O87" s="26" t="n">
        <f aca="false">SUMPRODUCT(($B$66:$B$82=$A87)*O$66:O$82*$C$66:$C$82)</f>
        <v>4.19092332720213</v>
      </c>
      <c r="P87" s="26" t="n">
        <f aca="false">SUMPRODUCT(($B$66:$B$82=$A87)*P$66:P$82*$C$66:$C$82)</f>
        <v>50.2910799264256</v>
      </c>
    </row>
    <row r="88" customFormat="false" ht="15" hidden="false" customHeight="false" outlineLevel="0" collapsed="false">
      <c r="A88" s="5" t="s">
        <v>113</v>
      </c>
      <c r="D88" s="26" t="n">
        <f aca="false">SUMPRODUCT(($B$66:$B$82=$A88)*D$66:D$82*$C$66:$C$82)</f>
        <v>66.1343490050489</v>
      </c>
      <c r="E88" s="26" t="n">
        <f aca="false">SUMPRODUCT(($B$66:$B$82=$A88)*E$66:E$82*$C$66:$C$82)</f>
        <v>98.0854031276704</v>
      </c>
      <c r="F88" s="26" t="n">
        <f aca="false">SUMPRODUCT(($B$66:$B$82=$A88)*F$66:F$82*$C$66:$C$82)</f>
        <v>66.1343490050489</v>
      </c>
      <c r="G88" s="26" t="n">
        <f aca="false">SUMPRODUCT(($B$66:$B$82=$A88)*G$66:G$82*$C$66:$C$82)</f>
        <v>66.1343490050489</v>
      </c>
      <c r="H88" s="26" t="n">
        <f aca="false">SUMPRODUCT(($B$66:$B$82=$A88)*H$66:H$82*$C$66:$C$82)</f>
        <v>66.1343490050489</v>
      </c>
      <c r="I88" s="26" t="n">
        <f aca="false">SUMPRODUCT(($B$66:$B$82=$A88)*I$66:I$82*$C$66:$C$82)</f>
        <v>66.1343490050489</v>
      </c>
      <c r="J88" s="26" t="n">
        <f aca="false">SUMPRODUCT(($B$66:$B$82=$A88)*J$66:J$82*$C$66:$C$82)</f>
        <v>66.1343490050489</v>
      </c>
      <c r="K88" s="26" t="n">
        <f aca="false">SUMPRODUCT(($B$66:$B$82=$A88)*K$66:K$82*$C$66:$C$82)</f>
        <v>66.1343490050489</v>
      </c>
      <c r="L88" s="26" t="n">
        <f aca="false">SUMPRODUCT(($B$66:$B$82=$A88)*L$66:L$82*$C$66:$C$82)</f>
        <v>66.1343490050489</v>
      </c>
      <c r="M88" s="26" t="n">
        <f aca="false">SUMPRODUCT(($B$66:$B$82=$A88)*M$66:M$82*$C$66:$C$82)</f>
        <v>66.1343490050489</v>
      </c>
      <c r="N88" s="26" t="n">
        <f aca="false">SUMPRODUCT(($B$66:$B$82=$A88)*N$66:N$82*$C$66:$C$82)</f>
        <v>66.1343490050489</v>
      </c>
      <c r="O88" s="26" t="n">
        <f aca="false">SUMPRODUCT(($B$66:$B$82=$A88)*O$66:O$82*$C$66:$C$82)</f>
        <v>66.1343490050489</v>
      </c>
      <c r="P88" s="26" t="n">
        <f aca="false">SUMPRODUCT(($B$66:$B$82=$A88)*P$66:P$82*$C$66:$C$82)</f>
        <v>825.563242183208</v>
      </c>
    </row>
    <row r="89" customFormat="false" ht="15" hidden="false" customHeight="false" outlineLevel="0" collapsed="false">
      <c r="A89" s="5" t="s">
        <v>114</v>
      </c>
      <c r="D89" s="26" t="n">
        <f aca="false">SUMPRODUCT(($B$66:$B$82=$A89)*D$66:D$82*$C$66:$C$82)</f>
        <v>64.2822213995041</v>
      </c>
      <c r="E89" s="26" t="n">
        <f aca="false">SUMPRODUCT(($B$66:$B$82=$A89)*E$66:E$82*$C$66:$C$82)</f>
        <v>64.2822213995041</v>
      </c>
      <c r="F89" s="26" t="n">
        <f aca="false">SUMPRODUCT(($B$66:$B$82=$A89)*F$66:F$82*$C$66:$C$82)</f>
        <v>64.2822213995041</v>
      </c>
      <c r="G89" s="26" t="n">
        <f aca="false">SUMPRODUCT(($B$66:$B$82=$A89)*G$66:G$82*$C$66:$C$82)</f>
        <v>64.2822213995041</v>
      </c>
      <c r="H89" s="26" t="n">
        <f aca="false">SUMPRODUCT(($B$66:$B$82=$A89)*H$66:H$82*$C$66:$C$82)</f>
        <v>64.2822213995041</v>
      </c>
      <c r="I89" s="26" t="n">
        <f aca="false">SUMPRODUCT(($B$66:$B$82=$A89)*I$66:I$82*$C$66:$C$82)</f>
        <v>64.2822213995041</v>
      </c>
      <c r="J89" s="26" t="n">
        <f aca="false">SUMPRODUCT(($B$66:$B$82=$A89)*J$66:J$82*$C$66:$C$82)</f>
        <v>64.2822213995041</v>
      </c>
      <c r="K89" s="26" t="n">
        <f aca="false">SUMPRODUCT(($B$66:$B$82=$A89)*K$66:K$82*$C$66:$C$82)</f>
        <v>64.2822213995041</v>
      </c>
      <c r="L89" s="26" t="n">
        <f aca="false">SUMPRODUCT(($B$66:$B$82=$A89)*L$66:L$82*$C$66:$C$82)</f>
        <v>64.2822213995041</v>
      </c>
      <c r="M89" s="26" t="n">
        <f aca="false">SUMPRODUCT(($B$66:$B$82=$A89)*M$66:M$82*$C$66:$C$82)</f>
        <v>64.2822213995041</v>
      </c>
      <c r="N89" s="26" t="n">
        <f aca="false">SUMPRODUCT(($B$66:$B$82=$A89)*N$66:N$82*$C$66:$C$82)</f>
        <v>64.2822213995041</v>
      </c>
      <c r="O89" s="26" t="n">
        <f aca="false">SUMPRODUCT(($B$66:$B$82=$A89)*O$66:O$82*$C$66:$C$82)</f>
        <v>64.2822213995041</v>
      </c>
      <c r="P89" s="26" t="n">
        <f aca="false">SUMPRODUCT(($B$66:$B$82=$A89)*P$66:P$82*$C$66:$C$82)</f>
        <v>771.386656794049</v>
      </c>
    </row>
    <row r="90" customFormat="false" ht="15" hidden="false" customHeight="false" outlineLevel="0" collapsed="false">
      <c r="A90" s="5" t="s">
        <v>115</v>
      </c>
      <c r="D90" s="26" t="n">
        <f aca="false">SUMPRODUCT(($B$66:$B$82=$A90)*D$66:D$82*$C$66:$C$82)</f>
        <v>32.3142128151927</v>
      </c>
      <c r="E90" s="26" t="n">
        <f aca="false">SUMPRODUCT(($B$66:$B$82=$A90)*E$66:E$82*$C$66:$C$82)</f>
        <v>64.5471822470911</v>
      </c>
      <c r="F90" s="26" t="n">
        <f aca="false">SUMPRODUCT(($B$66:$B$82=$A90)*F$66:F$82*$C$66:$C$82)</f>
        <v>32.3142128151927</v>
      </c>
      <c r="G90" s="26" t="n">
        <f aca="false">SUMPRODUCT(($B$66:$B$82=$A90)*G$66:G$82*$C$66:$C$82)</f>
        <v>32.3142128151927</v>
      </c>
      <c r="H90" s="26" t="n">
        <f aca="false">SUMPRODUCT(($B$66:$B$82=$A90)*H$66:H$82*$C$66:$C$82)</f>
        <v>32.3142128151927</v>
      </c>
      <c r="I90" s="26" t="n">
        <f aca="false">SUMPRODUCT(($B$66:$B$82=$A90)*I$66:I$82*$C$66:$C$82)</f>
        <v>32.3142128151927</v>
      </c>
      <c r="J90" s="26" t="n">
        <f aca="false">SUMPRODUCT(($B$66:$B$82=$A90)*J$66:J$82*$C$66:$C$82)</f>
        <v>32.3142128151927</v>
      </c>
      <c r="K90" s="26" t="n">
        <f aca="false">SUMPRODUCT(($B$66:$B$82=$A90)*K$66:K$82*$C$66:$C$82)</f>
        <v>32.3142128151927</v>
      </c>
      <c r="L90" s="26" t="n">
        <f aca="false">SUMPRODUCT(($B$66:$B$82=$A90)*L$66:L$82*$C$66:$C$82)</f>
        <v>32.3142128151927</v>
      </c>
      <c r="M90" s="26" t="n">
        <f aca="false">SUMPRODUCT(($B$66:$B$82=$A90)*M$66:M$82*$C$66:$C$82)</f>
        <v>32.3142128151927</v>
      </c>
      <c r="N90" s="26" t="n">
        <f aca="false">SUMPRODUCT(($B$66:$B$82=$A90)*N$66:N$82*$C$66:$C$82)</f>
        <v>32.3142128151927</v>
      </c>
      <c r="O90" s="26" t="n">
        <f aca="false">SUMPRODUCT(($B$66:$B$82=$A90)*O$66:O$82*$C$66:$C$82)</f>
        <v>32.3142128151927</v>
      </c>
      <c r="P90" s="26" t="n">
        <f aca="false">SUMPRODUCT(($B$66:$B$82=$A90)*P$66:P$82*$C$66:$C$82)</f>
        <v>420.00352321421</v>
      </c>
    </row>
    <row r="91" customFormat="false" ht="15" hidden="false" customHeight="false" outlineLevel="0" collapsed="false">
      <c r="A91" s="5" t="s">
        <v>116</v>
      </c>
      <c r="D91" s="26" t="n">
        <f aca="false">SUMPRODUCT(($B$66:$B$82=$A91)*D$66:D$82*$C$66:$C$82)</f>
        <v>237.579921700976</v>
      </c>
      <c r="E91" s="26" t="n">
        <f aca="false">SUMPRODUCT(($B$66:$B$82=$A91)*E$66:E$82*$C$66:$C$82)</f>
        <v>371.66775932927</v>
      </c>
      <c r="F91" s="26" t="n">
        <f aca="false">SUMPRODUCT(($B$66:$B$82=$A91)*F$66:F$82*$C$66:$C$82)</f>
        <v>237.579921700976</v>
      </c>
      <c r="G91" s="26" t="n">
        <f aca="false">SUMPRODUCT(($B$66:$B$82=$A91)*G$66:G$82*$C$66:$C$82)</f>
        <v>237.579921700976</v>
      </c>
      <c r="H91" s="26" t="n">
        <f aca="false">SUMPRODUCT(($B$66:$B$82=$A91)*H$66:H$82*$C$66:$C$82)</f>
        <v>237.579921700976</v>
      </c>
      <c r="I91" s="26" t="n">
        <f aca="false">SUMPRODUCT(($B$66:$B$82=$A91)*I$66:I$82*$C$66:$C$82)</f>
        <v>237.579921700976</v>
      </c>
      <c r="J91" s="26" t="n">
        <f aca="false">SUMPRODUCT(($B$66:$B$82=$A91)*J$66:J$82*$C$66:$C$82)</f>
        <v>237.579921700976</v>
      </c>
      <c r="K91" s="26" t="n">
        <f aca="false">SUMPRODUCT(($B$66:$B$82=$A91)*K$66:K$82*$C$66:$C$82)</f>
        <v>237.579921700976</v>
      </c>
      <c r="L91" s="26" t="n">
        <f aca="false">SUMPRODUCT(($B$66:$B$82=$A91)*L$66:L$82*$C$66:$C$82)</f>
        <v>237.579921700976</v>
      </c>
      <c r="M91" s="26" t="n">
        <f aca="false">SUMPRODUCT(($B$66:$B$82=$A91)*M$66:M$82*$C$66:$C$82)</f>
        <v>237.579921700976</v>
      </c>
      <c r="N91" s="26" t="n">
        <f aca="false">SUMPRODUCT(($B$66:$B$82=$A91)*N$66:N$82*$C$66:$C$82)</f>
        <v>237.579921700976</v>
      </c>
      <c r="O91" s="26" t="n">
        <f aca="false">SUMPRODUCT(($B$66:$B$82=$A91)*O$66:O$82*$C$66:$C$82)</f>
        <v>237.579921700976</v>
      </c>
      <c r="P91" s="26" t="n">
        <f aca="false">SUMPRODUCT(($B$66:$B$82=$A91)*P$66:P$82*$C$66:$C$82)</f>
        <v>2985.04689804</v>
      </c>
    </row>
    <row r="92" customFormat="false" ht="15" hidden="false" customHeight="false" outlineLevel="0" collapsed="false">
      <c r="A92" s="5" t="s">
        <v>117</v>
      </c>
      <c r="D92" s="26" t="n">
        <f aca="false">SUMPRODUCT(($B$66:$B$82=$A92)*D$66:D$82*$C$66:$C$82)</f>
        <v>10.8344268782775</v>
      </c>
      <c r="E92" s="26" t="n">
        <f aca="false">SUMPRODUCT(($B$66:$B$82=$A92)*E$66:E$82*$C$66:$C$82)</f>
        <v>10.8344268782775</v>
      </c>
      <c r="F92" s="26" t="n">
        <f aca="false">SUMPRODUCT(($B$66:$B$82=$A92)*F$66:F$82*$C$66:$C$82)</f>
        <v>10.8344268782775</v>
      </c>
      <c r="G92" s="26" t="n">
        <f aca="false">SUMPRODUCT(($B$66:$B$82=$A92)*G$66:G$82*$C$66:$C$82)</f>
        <v>10.8344268782775</v>
      </c>
      <c r="H92" s="26" t="n">
        <f aca="false">SUMPRODUCT(($B$66:$B$82=$A92)*H$66:H$82*$C$66:$C$82)</f>
        <v>10.8344268782775</v>
      </c>
      <c r="I92" s="26" t="n">
        <f aca="false">SUMPRODUCT(($B$66:$B$82=$A92)*I$66:I$82*$C$66:$C$82)</f>
        <v>10.8344268782775</v>
      </c>
      <c r="J92" s="26" t="n">
        <f aca="false">SUMPRODUCT(($B$66:$B$82=$A92)*J$66:J$82*$C$66:$C$82)</f>
        <v>10.8344268782775</v>
      </c>
      <c r="K92" s="26" t="n">
        <f aca="false">SUMPRODUCT(($B$66:$B$82=$A92)*K$66:K$82*$C$66:$C$82)</f>
        <v>10.8344268782775</v>
      </c>
      <c r="L92" s="26" t="n">
        <f aca="false">SUMPRODUCT(($B$66:$B$82=$A92)*L$66:L$82*$C$66:$C$82)</f>
        <v>10.8344268782775</v>
      </c>
      <c r="M92" s="26" t="n">
        <f aca="false">SUMPRODUCT(($B$66:$B$82=$A92)*M$66:M$82*$C$66:$C$82)</f>
        <v>10.8344268782775</v>
      </c>
      <c r="N92" s="26" t="n">
        <f aca="false">SUMPRODUCT(($B$66:$B$82=$A92)*N$66:N$82*$C$66:$C$82)</f>
        <v>10.8344268782775</v>
      </c>
      <c r="O92" s="26" t="n">
        <f aca="false">SUMPRODUCT(($B$66:$B$82=$A92)*O$66:O$82*$C$66:$C$82)</f>
        <v>10.8344268782775</v>
      </c>
      <c r="P92" s="26" t="n">
        <f aca="false">SUMPRODUCT(($B$66:$B$82=$A92)*P$66:P$82*$C$66:$C$82)</f>
        <v>130.01312253933</v>
      </c>
    </row>
    <row r="93" customFormat="false" ht="15" hidden="false" customHeight="false" outlineLevel="0" collapsed="false">
      <c r="A93" s="4" t="s">
        <v>432</v>
      </c>
      <c r="D93" s="27" t="n">
        <f aca="false">SUMPRODUCT(D$66:D$82*parametros_recargas!$D$55:$D$71)</f>
        <v>106.072178175948</v>
      </c>
      <c r="E93" s="27" t="n">
        <f aca="false">SUMPRODUCT(E$66:E$82*parametros_recargas!$D$55:$D$71)</f>
        <v>117.708105955789</v>
      </c>
      <c r="F93" s="27" t="n">
        <f aca="false">SUMPRODUCT(F$66:F$82*parametros_recargas!$D$55:$D$71)</f>
        <v>106.072178175948</v>
      </c>
      <c r="G93" s="27" t="n">
        <f aca="false">SUMPRODUCT(G$66:G$82*parametros_recargas!$D$55:$D$71)</f>
        <v>106.072178175948</v>
      </c>
      <c r="H93" s="27" t="n">
        <f aca="false">SUMPRODUCT(H$66:H$82*parametros_recargas!$D$55:$D$71)</f>
        <v>106.072178175948</v>
      </c>
      <c r="I93" s="27" t="n">
        <f aca="false">SUMPRODUCT(I$66:I$82*parametros_recargas!$D$55:$D$71)</f>
        <v>106.072178175948</v>
      </c>
      <c r="J93" s="27" t="n">
        <f aca="false">SUMPRODUCT(J$66:J$82*parametros_recargas!$D$55:$D$71)</f>
        <v>106.072178175948</v>
      </c>
      <c r="K93" s="27" t="n">
        <f aca="false">SUMPRODUCT(K$66:K$82*parametros_recargas!$D$55:$D$71)</f>
        <v>106.072178175948</v>
      </c>
      <c r="L93" s="27" t="n">
        <f aca="false">SUMPRODUCT(L$66:L$82*parametros_recargas!$D$55:$D$71)</f>
        <v>106.072178175948</v>
      </c>
      <c r="M93" s="27" t="n">
        <f aca="false">SUMPRODUCT(M$66:M$82*parametros_recargas!$D$55:$D$71)</f>
        <v>106.072178175948</v>
      </c>
      <c r="N93" s="27" t="n">
        <f aca="false">SUMPRODUCT(N$66:N$82*parametros_recargas!$D$55:$D$71)</f>
        <v>106.072178175948</v>
      </c>
      <c r="O93" s="27" t="n">
        <f aca="false">SUMPRODUCT(O$66:O$82*parametros_recargas!$D$55:$D$71)</f>
        <v>106.072178175948</v>
      </c>
      <c r="P93" s="27" t="n">
        <f aca="false">SUMPRODUCT(P$66:P$82*parametros_recargas!$D$55:$D$71)</f>
        <v>1284.50206589122</v>
      </c>
    </row>
    <row r="94" customFormat="false" ht="15" hidden="false" customHeight="false" outlineLevel="0" collapsed="false">
      <c r="A94" s="4" t="s">
        <v>433</v>
      </c>
      <c r="D94" s="27" t="n">
        <f aca="false">SUMPRODUCT(sobrestock_sustitutos!$D$73:$D$73,--(sobrestock_sustitutos!$F$30:$F$30="Fábrica: cilindro vacío"),parametros_recargas!$C$55:$C$55)*parametros_recargas!E$109+SUMPRODUCT(sobrestock_sustitutos!$D$74:$D$76,--(sobrestock_sustitutos!$F$31:$F$33="Fábrica: cilindro vacío"),parametros_recargas!$C$56:$C$58)*parametros_recargas!E$110+SUMPRODUCT(sobrestock_sustitutos!$D$86:$D$89,--(sobrestock_sustitutos!$F$43:$F$46="Fábrica: cilindro vacío"),parametros_recargas!$C$68:$C$71)*parametros_recargas!E$111</f>
        <v>17.434885734975</v>
      </c>
      <c r="E94" s="27" t="n">
        <f aca="false">SUMPRODUCT(sobrestock_sustitutos!$D$73:$D$73,--(sobrestock_sustitutos!$F$30:$F$30="Fábrica: cilindro vacío"),parametros_recargas!$C$55:$C$55)*parametros_recargas!F$109+SUMPRODUCT(sobrestock_sustitutos!$D$74:$D$76,--(sobrestock_sustitutos!$F$31:$F$33="Fábrica: cilindro vacío"),parametros_recargas!$C$56:$C$58)*parametros_recargas!F$110+SUMPRODUCT(sobrestock_sustitutos!$D$86:$D$89,--(sobrestock_sustitutos!$F$43:$F$46="Fábrica: cilindro vacío"),parametros_recargas!$C$68:$C$71)*parametros_recargas!F$111</f>
        <v>14.191910942625</v>
      </c>
      <c r="F94" s="27" t="n">
        <f aca="false">SUMPRODUCT(sobrestock_sustitutos!$D$73:$D$73,--(sobrestock_sustitutos!$F$30:$F$30="Fábrica: cilindro vacío"),parametros_recargas!$C$55:$C$55)*parametros_recargas!G$109+SUMPRODUCT(sobrestock_sustitutos!$D$74:$D$76,--(sobrestock_sustitutos!$F$31:$F$33="Fábrica: cilindro vacío"),parametros_recargas!$C$56:$C$58)*parametros_recargas!G$110+SUMPRODUCT(sobrestock_sustitutos!$D$86:$D$89,--(sobrestock_sustitutos!$F$43:$F$46="Fábrica: cilindro vacío"),parametros_recargas!$C$68:$C$71)*parametros_recargas!G$111</f>
        <v>15.43837313115</v>
      </c>
      <c r="G94" s="27" t="n">
        <f aca="false">SUMPRODUCT(sobrestock_sustitutos!$D$73:$D$73,--(sobrestock_sustitutos!$F$30:$F$30="Fábrica: cilindro vacío"),parametros_recargas!$C$55:$C$55)*parametros_recargas!H$109+SUMPRODUCT(sobrestock_sustitutos!$D$74:$D$76,--(sobrestock_sustitutos!$F$31:$F$33="Fábrica: cilindro vacío"),parametros_recargas!$C$56:$C$58)*parametros_recargas!H$110+SUMPRODUCT(sobrestock_sustitutos!$D$86:$D$89,--(sobrestock_sustitutos!$F$43:$F$46="Fábrica: cilindro vacío"),parametros_recargas!$C$68:$C$71)*parametros_recargas!H$111</f>
        <v>15.43837313115</v>
      </c>
      <c r="H94" s="27" t="n">
        <f aca="false">SUMPRODUCT(sobrestock_sustitutos!$D$73:$D$73,--(sobrestock_sustitutos!$F$30:$F$30="Fábrica: cilindro vacío"),parametros_recargas!$C$55:$C$55)*parametros_recargas!I$109+SUMPRODUCT(sobrestock_sustitutos!$D$74:$D$76,--(sobrestock_sustitutos!$F$31:$F$33="Fábrica: cilindro vacío"),parametros_recargas!$C$56:$C$58)*parametros_recargas!I$110+SUMPRODUCT(sobrestock_sustitutos!$D$86:$D$89,--(sobrestock_sustitutos!$F$43:$F$46="Fábrica: cilindro vacío"),parametros_recargas!$C$68:$C$71)*parametros_recargas!I$111</f>
        <v>14.71477313115</v>
      </c>
      <c r="I94" s="27" t="n">
        <f aca="false">SUMPRODUCT(sobrestock_sustitutos!$D$73:$D$73,--(sobrestock_sustitutos!$F$30:$F$30="Fábrica: cilindro vacío"),parametros_recargas!$C$55:$C$55)*parametros_recargas!J$109+SUMPRODUCT(sobrestock_sustitutos!$D$74:$D$76,--(sobrestock_sustitutos!$F$31:$F$33="Fábrica: cilindro vacío"),parametros_recargas!$C$56:$C$58)*parametros_recargas!J$110+SUMPRODUCT(sobrestock_sustitutos!$D$86:$D$89,--(sobrestock_sustitutos!$F$43:$F$46="Fábrica: cilindro vacío"),parametros_recargas!$C$68:$C$71)*parametros_recargas!J$111</f>
        <v>13.6425983388</v>
      </c>
      <c r="J94" s="27" t="n">
        <f aca="false">SUMPRODUCT(sobrestock_sustitutos!$D$73:$D$73,--(sobrestock_sustitutos!$F$30:$F$30="Fábrica: cilindro vacío"),parametros_recargas!$C$55:$C$55)*parametros_recargas!K$109+SUMPRODUCT(sobrestock_sustitutos!$D$74:$D$76,--(sobrestock_sustitutos!$F$31:$F$33="Fábrica: cilindro vacío"),parametros_recargas!$C$56:$C$58)*parametros_recargas!K$110+SUMPRODUCT(sobrestock_sustitutos!$D$86:$D$89,--(sobrestock_sustitutos!$F$43:$F$46="Fábrica: cilindro vacío"),parametros_recargas!$C$68:$C$71)*parametros_recargas!K$111</f>
        <v>14.71477313115</v>
      </c>
      <c r="K94" s="27" t="n">
        <f aca="false">SUMPRODUCT(sobrestock_sustitutos!$D$73:$D$73,--(sobrestock_sustitutos!$F$30:$F$30="Fábrica: cilindro vacío"),parametros_recargas!$C$55:$C$55)*parametros_recargas!L$109+SUMPRODUCT(sobrestock_sustitutos!$D$74:$D$76,--(sobrestock_sustitutos!$F$31:$F$33="Fábrica: cilindro vacío"),parametros_recargas!$C$56:$C$58)*parametros_recargas!L$110+SUMPRODUCT(sobrestock_sustitutos!$D$86:$D$89,--(sobrestock_sustitutos!$F$43:$F$46="Fábrica: cilindro vacío"),parametros_recargas!$C$68:$C$71)*parametros_recargas!L$111</f>
        <v>14.71477313115</v>
      </c>
      <c r="L94" s="27" t="n">
        <f aca="false">SUMPRODUCT(sobrestock_sustitutos!$D$73:$D$73,--(sobrestock_sustitutos!$F$30:$F$30="Fábrica: cilindro vacío"),parametros_recargas!$C$55:$C$55)*parametros_recargas!M$109+SUMPRODUCT(sobrestock_sustitutos!$D$74:$D$76,--(sobrestock_sustitutos!$F$31:$F$33="Fábrica: cilindro vacío"),parametros_recargas!$C$56:$C$58)*parametros_recargas!M$110+SUMPRODUCT(sobrestock_sustitutos!$D$86:$D$89,--(sobrestock_sustitutos!$F$43:$F$46="Fábrica: cilindro vacío"),parametros_recargas!$C$68:$C$71)*parametros_recargas!M$111</f>
        <v>14.540485734975</v>
      </c>
      <c r="M94" s="27" t="n">
        <f aca="false">SUMPRODUCT(sobrestock_sustitutos!$D$73:$D$73,--(sobrestock_sustitutos!$F$30:$F$30="Fábrica: cilindro vacío"),parametros_recargas!$C$55:$C$55)*parametros_recargas!N$109+SUMPRODUCT(sobrestock_sustitutos!$D$74:$D$76,--(sobrestock_sustitutos!$F$31:$F$33="Fábrica: cilindro vacío"),parametros_recargas!$C$56:$C$58)*parametros_recargas!N$110+SUMPRODUCT(sobrestock_sustitutos!$D$86:$D$89,--(sobrestock_sustitutos!$F$43:$F$46="Fábrica: cilindro vacío"),parametros_recargas!$C$68:$C$71)*parametros_recargas!N$111</f>
        <v>13.468310942625</v>
      </c>
      <c r="N94" s="27" t="n">
        <f aca="false">SUMPRODUCT(sobrestock_sustitutos!$D$73:$D$73,--(sobrestock_sustitutos!$F$30:$F$30="Fábrica: cilindro vacío"),parametros_recargas!$C$55:$C$55)*parametros_recargas!O$109+SUMPRODUCT(sobrestock_sustitutos!$D$74:$D$76,--(sobrestock_sustitutos!$F$31:$F$33="Fábrica: cilindro vacío"),parametros_recargas!$C$56:$C$58)*parametros_recargas!O$110+SUMPRODUCT(sobrestock_sustitutos!$D$86:$D$89,--(sobrestock_sustitutos!$F$43:$F$46="Fábrica: cilindro vacío"),parametros_recargas!$C$68:$C$71)*parametros_recargas!O$111</f>
        <v>12.57042354645</v>
      </c>
      <c r="O94" s="27" t="n">
        <f aca="false">SUMPRODUCT(sobrestock_sustitutos!$D$73:$D$73,--(sobrestock_sustitutos!$F$30:$F$30="Fábrica: cilindro vacío"),parametros_recargas!$C$55:$C$55)*parametros_recargas!P$109+SUMPRODUCT(sobrestock_sustitutos!$D$74:$D$76,--(sobrestock_sustitutos!$F$31:$F$33="Fábrica: cilindro vacío"),parametros_recargas!$C$56:$C$58)*parametros_recargas!P$110+SUMPRODUCT(sobrestock_sustitutos!$D$86:$D$89,--(sobrestock_sustitutos!$F$43:$F$46="Fábrica: cilindro vacío"),parametros_recargas!$C$68:$C$71)*parametros_recargas!P$111</f>
        <v>18.7077983388</v>
      </c>
      <c r="P94" s="8" t="n">
        <f aca="false">SUM(D94:O94)</f>
        <v>179.577479235</v>
      </c>
    </row>
    <row r="97" customFormat="false" ht="15" hidden="false" customHeight="false" outlineLevel="0" collapsed="false">
      <c r="A97" s="28" t="n">
        <v>2029</v>
      </c>
      <c r="B97" s="6" t="s">
        <v>428</v>
      </c>
      <c r="C97" s="6" t="s">
        <v>429</v>
      </c>
      <c r="D97" s="6" t="s">
        <v>175</v>
      </c>
      <c r="E97" s="6" t="s">
        <v>176</v>
      </c>
      <c r="F97" s="6" t="s">
        <v>177</v>
      </c>
      <c r="G97" s="6" t="s">
        <v>178</v>
      </c>
      <c r="H97" s="6" t="s">
        <v>179</v>
      </c>
      <c r="I97" s="6" t="s">
        <v>180</v>
      </c>
      <c r="J97" s="6" t="s">
        <v>181</v>
      </c>
      <c r="K97" s="6" t="s">
        <v>182</v>
      </c>
      <c r="L97" s="6" t="s">
        <v>183</v>
      </c>
      <c r="M97" s="6" t="s">
        <v>184</v>
      </c>
      <c r="N97" s="6" t="s">
        <v>185</v>
      </c>
      <c r="O97" s="6" t="s">
        <v>186</v>
      </c>
      <c r="P97" s="6" t="s">
        <v>85</v>
      </c>
    </row>
    <row r="98" customFormat="false" ht="15" hidden="false" customHeight="false" outlineLevel="0" collapsed="false">
      <c r="A98" s="10" t="str">
        <f aca="false">parametros_recargas!A55</f>
        <v>ABC 1 kg</v>
      </c>
      <c r="B98" s="10" t="str">
        <f aca="false">parametros_recargas!B55</f>
        <v>ABC</v>
      </c>
      <c r="C98" s="25" t="n">
        <f aca="false">parametros_recargas!C55</f>
        <v>1</v>
      </c>
      <c r="D98" s="26" t="n">
        <f aca="false">datos_base!$E$2*parametros_recargas!E$55+sobrestock_sustitutos!$D$51/12</f>
        <v>232.813386786547</v>
      </c>
      <c r="E98" s="26" t="n">
        <f aca="false">datos_base!$E$2*parametros_recargas!F$55+sobrestock_sustitutos!$D$51/12</f>
        <v>3048.2849209103</v>
      </c>
      <c r="F98" s="26" t="n">
        <f aca="false">datos_base!$E$2*parametros_recargas!G$55+sobrestock_sustitutos!$D$51/12</f>
        <v>3066.373690922</v>
      </c>
      <c r="G98" s="26" t="n">
        <f aca="false">datos_base!$E$2*parametros_recargas!H$55+sobrestock_sustitutos!$D$51/12</f>
        <v>3088.28785060717</v>
      </c>
      <c r="H98" s="26" t="n">
        <f aca="false">datos_base!$E$2*parametros_recargas!I$55+sobrestock_sustitutos!$D$51/12</f>
        <v>3089.43183057867</v>
      </c>
      <c r="I98" s="26" t="n">
        <f aca="false">datos_base!$E$2*parametros_recargas!J$55+sobrestock_sustitutos!$D$51/12</f>
        <v>3079.01367771687</v>
      </c>
      <c r="J98" s="26" t="n">
        <f aca="false">datos_base!$E$2*parametros_recargas!K$55+sobrestock_sustitutos!$D$51/12</f>
        <v>3111.78242192927</v>
      </c>
      <c r="K98" s="26" t="n">
        <f aca="false">datos_base!$E$2*parametros_recargas!L$55+sobrestock_sustitutos!$D$51/12</f>
        <v>3087.12072653221</v>
      </c>
      <c r="L98" s="26" t="n">
        <f aca="false">datos_base!$E$2*parametros_recargas!M$55+sobrestock_sustitutos!$D$51/12</f>
        <v>3090.96595400865</v>
      </c>
      <c r="M98" s="26" t="n">
        <f aca="false">datos_base!$E$2*parametros_recargas!N$55+sobrestock_sustitutos!$D$51/12</f>
        <v>3078.25322860287</v>
      </c>
      <c r="N98" s="26" t="n">
        <f aca="false">datos_base!$E$2*parametros_recargas!O$55+sobrestock_sustitutos!$D$51/12</f>
        <v>3023.50750499589</v>
      </c>
      <c r="O98" s="26" t="n">
        <f aca="false">datos_base!$E$2*parametros_recargas!P$55+sobrestock_sustitutos!$D$51/12</f>
        <v>84.0596211867231</v>
      </c>
      <c r="P98" s="8" t="n">
        <f aca="false">SUM(D98:O98)</f>
        <v>31079.8948147772</v>
      </c>
    </row>
    <row r="99" customFormat="false" ht="15" hidden="false" customHeight="false" outlineLevel="0" collapsed="false">
      <c r="A99" s="10" t="str">
        <f aca="false">parametros_recargas!A56</f>
        <v>ABC 2,5 kg</v>
      </c>
      <c r="B99" s="10" t="str">
        <f aca="false">parametros_recargas!B56</f>
        <v>ABC</v>
      </c>
      <c r="C99" s="25" t="n">
        <f aca="false">parametros_recargas!C56</f>
        <v>1</v>
      </c>
      <c r="D99" s="26" t="n">
        <f aca="false">datos_base!$E$3*parametros_recargas!E$56+sobrestock_sustitutos!$D$52/12</f>
        <v>239.621351727194</v>
      </c>
      <c r="E99" s="26" t="n">
        <f aca="false">datos_base!$E$3*parametros_recargas!F$56+sobrestock_sustitutos!$D$52/12</f>
        <v>407.013227786844</v>
      </c>
      <c r="F99" s="26" t="n">
        <f aca="false">datos_base!$E$3*parametros_recargas!G$56+sobrestock_sustitutos!$D$52/12</f>
        <v>239.621351727194</v>
      </c>
      <c r="G99" s="26" t="n">
        <f aca="false">datos_base!$E$3*parametros_recargas!H$56+sobrestock_sustitutos!$D$52/12</f>
        <v>239.621351727194</v>
      </c>
      <c r="H99" s="26" t="n">
        <f aca="false">datos_base!$E$3*parametros_recargas!I$56+sobrestock_sustitutos!$D$52/12</f>
        <v>239.621351727194</v>
      </c>
      <c r="I99" s="26" t="n">
        <f aca="false">datos_base!$E$3*parametros_recargas!J$56+sobrestock_sustitutos!$D$52/12</f>
        <v>239.621351727194</v>
      </c>
      <c r="J99" s="26" t="n">
        <f aca="false">datos_base!$E$3*parametros_recargas!K$56+sobrestock_sustitutos!$D$52/12</f>
        <v>239.621351727194</v>
      </c>
      <c r="K99" s="26" t="n">
        <f aca="false">datos_base!$E$3*parametros_recargas!L$56+sobrestock_sustitutos!$D$52/12</f>
        <v>239.621351727194</v>
      </c>
      <c r="L99" s="26" t="n">
        <f aca="false">datos_base!$E$3*parametros_recargas!M$56+sobrestock_sustitutos!$D$52/12</f>
        <v>239.621351727194</v>
      </c>
      <c r="M99" s="26" t="n">
        <f aca="false">datos_base!$E$3*parametros_recargas!N$56+sobrestock_sustitutos!$D$52/12</f>
        <v>239.621351727194</v>
      </c>
      <c r="N99" s="26" t="n">
        <f aca="false">datos_base!$E$3*parametros_recargas!O$56+sobrestock_sustitutos!$D$52/12</f>
        <v>239.621351727194</v>
      </c>
      <c r="O99" s="26" t="n">
        <f aca="false">datos_base!$E$3*parametros_recargas!P$56+sobrestock_sustitutos!$D$52/12</f>
        <v>239.621351727194</v>
      </c>
      <c r="P99" s="8" t="n">
        <f aca="false">SUM(D99:O99)</f>
        <v>3042.84809678598</v>
      </c>
    </row>
    <row r="100" customFormat="false" ht="15" hidden="false" customHeight="false" outlineLevel="0" collapsed="false">
      <c r="A100" s="10" t="str">
        <f aca="false">parametros_recargas!A57</f>
        <v>ABC 5 kg</v>
      </c>
      <c r="B100" s="10" t="str">
        <f aca="false">parametros_recargas!B57</f>
        <v>ABC</v>
      </c>
      <c r="C100" s="25" t="n">
        <f aca="false">parametros_recargas!C57</f>
        <v>1</v>
      </c>
      <c r="D100" s="26" t="n">
        <f aca="false">datos_base!$E$4*parametros_recargas!E$57+sobrestock_sustitutos!$D$53/12</f>
        <v>1419.3520330812</v>
      </c>
      <c r="E100" s="26" t="n">
        <f aca="false">datos_base!$E$4*parametros_recargas!F$57+sobrestock_sustitutos!$D$53/12</f>
        <v>2185.35305325193</v>
      </c>
      <c r="F100" s="26" t="n">
        <f aca="false">datos_base!$E$4*parametros_recargas!G$57+sobrestock_sustitutos!$D$53/12</f>
        <v>1534.46318437022</v>
      </c>
      <c r="G100" s="26" t="n">
        <f aca="false">datos_base!$E$4*parametros_recargas!H$57+sobrestock_sustitutos!$D$53/12</f>
        <v>1535.35342981416</v>
      </c>
      <c r="H100" s="26" t="n">
        <f aca="false">datos_base!$E$4*parametros_recargas!I$57+sobrestock_sustitutos!$D$53/12</f>
        <v>1535.39990309775</v>
      </c>
      <c r="I100" s="26" t="n">
        <f aca="false">datos_base!$E$4*parametros_recargas!J$57+sobrestock_sustitutos!$D$53/12</f>
        <v>1534.97667385909</v>
      </c>
      <c r="J100" s="26" t="n">
        <f aca="false">datos_base!$E$4*parametros_recargas!K$57+sobrestock_sustitutos!$D$53/12</f>
        <v>1536.3078782337</v>
      </c>
      <c r="K100" s="26" t="n">
        <f aca="false">datos_base!$E$4*parametros_recargas!L$57+sobrestock_sustitutos!$D$53/12</f>
        <v>1535.30601631964</v>
      </c>
      <c r="L100" s="26" t="n">
        <f aca="false">datos_base!$E$4*parametros_recargas!M$57+sobrestock_sustitutos!$D$53/12</f>
        <v>1535.46222565146</v>
      </c>
      <c r="M100" s="26" t="n">
        <f aca="false">datos_base!$E$4*parametros_recargas!N$57+sobrestock_sustitutos!$D$53/12</f>
        <v>1534.94578121393</v>
      </c>
      <c r="N100" s="26" t="n">
        <f aca="false">datos_base!$E$4*parametros_recargas!O$57+sobrestock_sustitutos!$D$53/12</f>
        <v>1532.72177939426</v>
      </c>
      <c r="O100" s="26" t="n">
        <f aca="false">datos_base!$E$4*parametros_recargas!P$57+sobrestock_sustitutos!$D$53/12</f>
        <v>1413.30902874077</v>
      </c>
      <c r="P100" s="8" t="n">
        <f aca="false">SUM(D100:O100)</f>
        <v>18832.9509870281</v>
      </c>
    </row>
    <row r="101" customFormat="false" ht="15" hidden="false" customHeight="false" outlineLevel="0" collapsed="false">
      <c r="A101" s="10" t="str">
        <f aca="false">parametros_recargas!A58</f>
        <v>ABC 10 kg</v>
      </c>
      <c r="B101" s="10" t="str">
        <f aca="false">parametros_recargas!B58</f>
        <v>ABC</v>
      </c>
      <c r="C101" s="25" t="n">
        <f aca="false">parametros_recargas!C58</f>
        <v>1</v>
      </c>
      <c r="D101" s="26" t="n">
        <f aca="false">datos_base!$E$5*parametros_recargas!E$58+sobrestock_sustitutos!$D$54/12</f>
        <v>85.7297369047212</v>
      </c>
      <c r="E101" s="26" t="n">
        <f aca="false">datos_base!$E$5*parametros_recargas!F$58+sobrestock_sustitutos!$D$54/12</f>
        <v>157.058858861292</v>
      </c>
      <c r="F101" s="26" t="n">
        <f aca="false">datos_base!$E$5*parametros_recargas!G$58+sobrestock_sustitutos!$D$54/12</f>
        <v>85.7297369047212</v>
      </c>
      <c r="G101" s="26" t="n">
        <f aca="false">datos_base!$E$5*parametros_recargas!H$58+sobrestock_sustitutos!$D$54/12</f>
        <v>85.7297369047212</v>
      </c>
      <c r="H101" s="26" t="n">
        <f aca="false">datos_base!$E$5*parametros_recargas!I$58+sobrestock_sustitutos!$D$54/12</f>
        <v>85.7297369047212</v>
      </c>
      <c r="I101" s="26" t="n">
        <f aca="false">datos_base!$E$5*parametros_recargas!J$58+sobrestock_sustitutos!$D$54/12</f>
        <v>85.7297369047212</v>
      </c>
      <c r="J101" s="26" t="n">
        <f aca="false">datos_base!$E$5*parametros_recargas!K$58+sobrestock_sustitutos!$D$54/12</f>
        <v>85.7297369047212</v>
      </c>
      <c r="K101" s="26" t="n">
        <f aca="false">datos_base!$E$5*parametros_recargas!L$58+sobrestock_sustitutos!$D$54/12</f>
        <v>85.7297369047212</v>
      </c>
      <c r="L101" s="26" t="n">
        <f aca="false">datos_base!$E$5*parametros_recargas!M$58+sobrestock_sustitutos!$D$54/12</f>
        <v>85.7297369047212</v>
      </c>
      <c r="M101" s="26" t="n">
        <f aca="false">datos_base!$E$5*parametros_recargas!N$58+sobrestock_sustitutos!$D$54/12</f>
        <v>85.7297369047212</v>
      </c>
      <c r="N101" s="26" t="n">
        <f aca="false">datos_base!$E$5*parametros_recargas!O$58+sobrestock_sustitutos!$D$54/12</f>
        <v>85.7297369047212</v>
      </c>
      <c r="O101" s="26" t="n">
        <f aca="false">datos_base!$E$5*parametros_recargas!P$58+sobrestock_sustitutos!$D$54/12</f>
        <v>85.7297369047212</v>
      </c>
      <c r="P101" s="8" t="n">
        <f aca="false">SUM(D101:O101)</f>
        <v>1100.08596481323</v>
      </c>
    </row>
    <row r="102" customFormat="false" ht="15" hidden="false" customHeight="false" outlineLevel="0" collapsed="false">
      <c r="A102" s="10" t="str">
        <f aca="false">parametros_recargas!A59</f>
        <v>Agua 10 l</v>
      </c>
      <c r="B102" s="10" t="str">
        <f aca="false">parametros_recargas!B59</f>
        <v>Agua</v>
      </c>
      <c r="C102" s="25" t="n">
        <f aca="false">parametros_recargas!C59</f>
        <v>1</v>
      </c>
      <c r="D102" s="26" t="n">
        <f aca="false">datos_base!$E$6*parametros_recargas!E$59+sobrestock_sustitutos!$D$55/12</f>
        <v>124.341647891029</v>
      </c>
      <c r="E102" s="26" t="n">
        <f aca="false">datos_base!$E$6*parametros_recargas!F$59+sobrestock_sustitutos!$D$55/12</f>
        <v>184.293673074869</v>
      </c>
      <c r="F102" s="26" t="n">
        <f aca="false">datos_base!$E$6*parametros_recargas!G$59+sobrestock_sustitutos!$D$55/12</f>
        <v>124.341647891029</v>
      </c>
      <c r="G102" s="26" t="n">
        <f aca="false">datos_base!$E$6*parametros_recargas!H$59+sobrestock_sustitutos!$D$55/12</f>
        <v>124.341647891029</v>
      </c>
      <c r="H102" s="26" t="n">
        <f aca="false">datos_base!$E$6*parametros_recargas!I$59+sobrestock_sustitutos!$D$55/12</f>
        <v>124.341647891029</v>
      </c>
      <c r="I102" s="26" t="n">
        <f aca="false">datos_base!$E$6*parametros_recargas!J$59+sobrestock_sustitutos!$D$55/12</f>
        <v>124.341647891029</v>
      </c>
      <c r="J102" s="26" t="n">
        <f aca="false">datos_base!$E$6*parametros_recargas!K$59+sobrestock_sustitutos!$D$55/12</f>
        <v>124.341647891029</v>
      </c>
      <c r="K102" s="26" t="n">
        <f aca="false">datos_base!$E$6*parametros_recargas!L$59+sobrestock_sustitutos!$D$55/12</f>
        <v>124.341647891029</v>
      </c>
      <c r="L102" s="26" t="n">
        <f aca="false">datos_base!$E$6*parametros_recargas!M$59+sobrestock_sustitutos!$D$55/12</f>
        <v>124.341647891029</v>
      </c>
      <c r="M102" s="26" t="n">
        <f aca="false">datos_base!$E$6*parametros_recargas!N$59+sobrestock_sustitutos!$D$55/12</f>
        <v>124.341647891029</v>
      </c>
      <c r="N102" s="26" t="n">
        <f aca="false">datos_base!$E$6*parametros_recargas!O$59+sobrestock_sustitutos!$D$55/12</f>
        <v>124.341647891029</v>
      </c>
      <c r="O102" s="26" t="n">
        <f aca="false">datos_base!$E$6*parametros_recargas!P$59+sobrestock_sustitutos!$D$55/12</f>
        <v>124.341647891029</v>
      </c>
      <c r="P102" s="8" t="n">
        <f aca="false">SUM(D102:O102)</f>
        <v>1552.05179987619</v>
      </c>
    </row>
    <row r="103" customFormat="false" ht="15" hidden="false" customHeight="false" outlineLevel="0" collapsed="false">
      <c r="A103" s="10" t="str">
        <f aca="false">parametros_recargas!A60</f>
        <v>AFFF 10 l</v>
      </c>
      <c r="B103" s="10" t="str">
        <f aca="false">parametros_recargas!B60</f>
        <v>AFFF</v>
      </c>
      <c r="C103" s="25" t="n">
        <f aca="false">parametros_recargas!C60</f>
        <v>1</v>
      </c>
      <c r="D103" s="26" t="n">
        <f aca="false">datos_base!$E$7*parametros_recargas!E$60+sobrestock_sustitutos!$D$56/12</f>
        <v>24.7875605816387</v>
      </c>
      <c r="E103" s="26" t="n">
        <f aca="false">datos_base!$E$7*parametros_recargas!F$60+sobrestock_sustitutos!$D$56/12</f>
        <v>24.7875605816387</v>
      </c>
      <c r="F103" s="26" t="n">
        <f aca="false">datos_base!$E$7*parametros_recargas!G$60+sobrestock_sustitutos!$D$56/12</f>
        <v>24.7875605816387</v>
      </c>
      <c r="G103" s="26" t="n">
        <f aca="false">datos_base!$E$7*parametros_recargas!H$60+sobrestock_sustitutos!$D$56/12</f>
        <v>24.7875605816387</v>
      </c>
      <c r="H103" s="26" t="n">
        <f aca="false">datos_base!$E$7*parametros_recargas!I$60+sobrestock_sustitutos!$D$56/12</f>
        <v>24.7875605816387</v>
      </c>
      <c r="I103" s="26" t="n">
        <f aca="false">datos_base!$E$7*parametros_recargas!J$60+sobrestock_sustitutos!$D$56/12</f>
        <v>24.7875605816387</v>
      </c>
      <c r="J103" s="26" t="n">
        <f aca="false">datos_base!$E$7*parametros_recargas!K$60+sobrestock_sustitutos!$D$56/12</f>
        <v>24.7875605816387</v>
      </c>
      <c r="K103" s="26" t="n">
        <f aca="false">datos_base!$E$7*parametros_recargas!L$60+sobrestock_sustitutos!$D$56/12</f>
        <v>24.7875605816387</v>
      </c>
      <c r="L103" s="26" t="n">
        <f aca="false">datos_base!$E$7*parametros_recargas!M$60+sobrestock_sustitutos!$D$56/12</f>
        <v>24.7875605816387</v>
      </c>
      <c r="M103" s="26" t="n">
        <f aca="false">datos_base!$E$7*parametros_recargas!N$60+sobrestock_sustitutos!$D$56/12</f>
        <v>24.7875605816387</v>
      </c>
      <c r="N103" s="26" t="n">
        <f aca="false">datos_base!$E$7*parametros_recargas!O$60+sobrestock_sustitutos!$D$56/12</f>
        <v>24.7875605816387</v>
      </c>
      <c r="O103" s="26" t="n">
        <f aca="false">datos_base!$E$7*parametros_recargas!P$60+sobrestock_sustitutos!$D$56/12</f>
        <v>24.7875605816387</v>
      </c>
      <c r="P103" s="8" t="n">
        <f aca="false">SUM(D103:O103)</f>
        <v>297.450726979665</v>
      </c>
    </row>
    <row r="104" customFormat="false" ht="15" hidden="false" customHeight="false" outlineLevel="0" collapsed="false">
      <c r="A104" s="10" t="str">
        <f aca="false">parametros_recargas!A61</f>
        <v>AFFF 50 l s/ruedas</v>
      </c>
      <c r="B104" s="10" t="str">
        <f aca="false">parametros_recargas!B61</f>
        <v>AFFF</v>
      </c>
      <c r="C104" s="25" t="n">
        <f aca="false">parametros_recargas!C61</f>
        <v>6.360853875</v>
      </c>
      <c r="D104" s="26" t="n">
        <f aca="false">datos_base!$E$8*parametros_recargas!E$61+sobrestock_sustitutos!$D$57/12</f>
        <v>13.2507681889356</v>
      </c>
      <c r="E104" s="26" t="n">
        <f aca="false">datos_base!$E$8*parametros_recargas!F$61+sobrestock_sustitutos!$D$57/12</f>
        <v>13.2507681889356</v>
      </c>
      <c r="F104" s="26" t="n">
        <f aca="false">datos_base!$E$8*parametros_recargas!G$61+sobrestock_sustitutos!$D$57/12</f>
        <v>13.2507681889356</v>
      </c>
      <c r="G104" s="26" t="n">
        <f aca="false">datos_base!$E$8*parametros_recargas!H$61+sobrestock_sustitutos!$D$57/12</f>
        <v>13.2507681889356</v>
      </c>
      <c r="H104" s="26" t="n">
        <f aca="false">datos_base!$E$8*parametros_recargas!I$61+sobrestock_sustitutos!$D$57/12</f>
        <v>13.2507681889356</v>
      </c>
      <c r="I104" s="26" t="n">
        <f aca="false">datos_base!$E$8*parametros_recargas!J$61+sobrestock_sustitutos!$D$57/12</f>
        <v>13.2507681889356</v>
      </c>
      <c r="J104" s="26" t="n">
        <f aca="false">datos_base!$E$8*parametros_recargas!K$61+sobrestock_sustitutos!$D$57/12</f>
        <v>13.2507681889356</v>
      </c>
      <c r="K104" s="26" t="n">
        <f aca="false">datos_base!$E$8*parametros_recargas!L$61+sobrestock_sustitutos!$D$57/12</f>
        <v>13.2507681889356</v>
      </c>
      <c r="L104" s="26" t="n">
        <f aca="false">datos_base!$E$8*parametros_recargas!M$61+sobrestock_sustitutos!$D$57/12</f>
        <v>13.2507681889356</v>
      </c>
      <c r="M104" s="26" t="n">
        <f aca="false">datos_base!$E$8*parametros_recargas!N$61+sobrestock_sustitutos!$D$57/12</f>
        <v>13.2507681889356</v>
      </c>
      <c r="N104" s="26" t="n">
        <f aca="false">datos_base!$E$8*parametros_recargas!O$61+sobrestock_sustitutos!$D$57/12</f>
        <v>13.2507681889356</v>
      </c>
      <c r="O104" s="26" t="n">
        <f aca="false">datos_base!$E$8*parametros_recargas!P$61+sobrestock_sustitutos!$D$57/12</f>
        <v>13.2507681889356</v>
      </c>
      <c r="P104" s="8" t="n">
        <f aca="false">SUM(D104:O104)</f>
        <v>159.009218267227</v>
      </c>
    </row>
    <row r="105" customFormat="false" ht="15" hidden="false" customHeight="false" outlineLevel="0" collapsed="false">
      <c r="A105" s="10" t="str">
        <f aca="false">parametros_recargas!A62</f>
        <v>BC 5 kg</v>
      </c>
      <c r="B105" s="10" t="str">
        <f aca="false">parametros_recargas!B62</f>
        <v>BC</v>
      </c>
      <c r="C105" s="25" t="n">
        <f aca="false">parametros_recargas!C62</f>
        <v>1</v>
      </c>
      <c r="D105" s="26" t="n">
        <f aca="false">datos_base!$E$9*parametros_recargas!E$62+sobrestock_sustitutos!$D$58/12</f>
        <v>7.5372733052683</v>
      </c>
      <c r="E105" s="26" t="n">
        <f aca="false">datos_base!$E$9*parametros_recargas!F$62+sobrestock_sustitutos!$D$58/12</f>
        <v>7.5372733052683</v>
      </c>
      <c r="F105" s="26" t="n">
        <f aca="false">datos_base!$E$9*parametros_recargas!G$62+sobrestock_sustitutos!$D$58/12</f>
        <v>7.5372733052683</v>
      </c>
      <c r="G105" s="26" t="n">
        <f aca="false">datos_base!$E$9*parametros_recargas!H$62+sobrestock_sustitutos!$D$58/12</f>
        <v>7.5372733052683</v>
      </c>
      <c r="H105" s="26" t="n">
        <f aca="false">datos_base!$E$9*parametros_recargas!I$62+sobrestock_sustitutos!$D$58/12</f>
        <v>7.5372733052683</v>
      </c>
      <c r="I105" s="26" t="n">
        <f aca="false">datos_base!$E$9*parametros_recargas!J$62+sobrestock_sustitutos!$D$58/12</f>
        <v>7.5372733052683</v>
      </c>
      <c r="J105" s="26" t="n">
        <f aca="false">datos_base!$E$9*parametros_recargas!K$62+sobrestock_sustitutos!$D$58/12</f>
        <v>7.5372733052683</v>
      </c>
      <c r="K105" s="26" t="n">
        <f aca="false">datos_base!$E$9*parametros_recargas!L$62+sobrestock_sustitutos!$D$58/12</f>
        <v>7.5372733052683</v>
      </c>
      <c r="L105" s="26" t="n">
        <f aca="false">datos_base!$E$9*parametros_recargas!M$62+sobrestock_sustitutos!$D$58/12</f>
        <v>7.5372733052683</v>
      </c>
      <c r="M105" s="26" t="n">
        <f aca="false">datos_base!$E$9*parametros_recargas!N$62+sobrestock_sustitutos!$D$58/12</f>
        <v>7.5372733052683</v>
      </c>
      <c r="N105" s="26" t="n">
        <f aca="false">datos_base!$E$9*parametros_recargas!O$62+sobrestock_sustitutos!$D$58/12</f>
        <v>7.5372733052683</v>
      </c>
      <c r="O105" s="26" t="n">
        <f aca="false">datos_base!$E$9*parametros_recargas!P$62+sobrestock_sustitutos!$D$58/12</f>
        <v>7.5372733052683</v>
      </c>
      <c r="P105" s="8" t="n">
        <f aca="false">SUM(D105:O105)</f>
        <v>90.4472796632196</v>
      </c>
    </row>
    <row r="106" customFormat="false" ht="15" hidden="false" customHeight="false" outlineLevel="0" collapsed="false">
      <c r="A106" s="10" t="str">
        <f aca="false">parametros_recargas!A63</f>
        <v>Sales K 6 l</v>
      </c>
      <c r="B106" s="10" t="str">
        <f aca="false">parametros_recargas!B63</f>
        <v>Sales K</v>
      </c>
      <c r="C106" s="25" t="n">
        <f aca="false">parametros_recargas!C63</f>
        <v>1</v>
      </c>
      <c r="D106" s="26" t="n">
        <f aca="false">datos_base!$E$10*parametros_recargas!E$63+sobrestock_sustitutos!$D$59/12</f>
        <v>58.9057380625568</v>
      </c>
      <c r="E106" s="26" t="n">
        <f aca="false">datos_base!$E$10*parametros_recargas!F$63+sobrestock_sustitutos!$D$59/12</f>
        <v>117.573664116367</v>
      </c>
      <c r="F106" s="26" t="n">
        <f aca="false">datos_base!$E$10*parametros_recargas!G$63+sobrestock_sustitutos!$D$59/12</f>
        <v>58.9057380625568</v>
      </c>
      <c r="G106" s="26" t="n">
        <f aca="false">datos_base!$E$10*parametros_recargas!H$63+sobrestock_sustitutos!$D$59/12</f>
        <v>58.9057380625568</v>
      </c>
      <c r="H106" s="26" t="n">
        <f aca="false">datos_base!$E$10*parametros_recargas!I$63+sobrestock_sustitutos!$D$59/12</f>
        <v>58.9057380625568</v>
      </c>
      <c r="I106" s="26" t="n">
        <f aca="false">datos_base!$E$10*parametros_recargas!J$63+sobrestock_sustitutos!$D$59/12</f>
        <v>58.9057380625568</v>
      </c>
      <c r="J106" s="26" t="n">
        <f aca="false">datos_base!$E$10*parametros_recargas!K$63+sobrestock_sustitutos!$D$59/12</f>
        <v>58.9057380625568</v>
      </c>
      <c r="K106" s="26" t="n">
        <f aca="false">datos_base!$E$10*parametros_recargas!L$63+sobrestock_sustitutos!$D$59/12</f>
        <v>58.9057380625568</v>
      </c>
      <c r="L106" s="26" t="n">
        <f aca="false">datos_base!$E$10*parametros_recargas!M$63+sobrestock_sustitutos!$D$59/12</f>
        <v>58.9057380625568</v>
      </c>
      <c r="M106" s="26" t="n">
        <f aca="false">datos_base!$E$10*parametros_recargas!N$63+sobrestock_sustitutos!$D$59/12</f>
        <v>58.9057380625568</v>
      </c>
      <c r="N106" s="26" t="n">
        <f aca="false">datos_base!$E$10*parametros_recargas!O$63+sobrestock_sustitutos!$D$59/12</f>
        <v>58.9057380625568</v>
      </c>
      <c r="O106" s="26" t="n">
        <f aca="false">datos_base!$E$10*parametros_recargas!P$63+sobrestock_sustitutos!$D$59/12</f>
        <v>58.9057380625568</v>
      </c>
      <c r="P106" s="8" t="n">
        <f aca="false">SUM(D106:O106)</f>
        <v>765.536782804492</v>
      </c>
    </row>
    <row r="107" customFormat="false" ht="15" hidden="false" customHeight="false" outlineLevel="0" collapsed="false">
      <c r="A107" s="10" t="str">
        <f aca="false">parametros_recargas!A64</f>
        <v>CO₂ 2 kg</v>
      </c>
      <c r="B107" s="10" t="str">
        <f aca="false">parametros_recargas!B64</f>
        <v>CO₂</v>
      </c>
      <c r="C107" s="25" t="n">
        <f aca="false">parametros_recargas!C64</f>
        <v>1</v>
      </c>
      <c r="D107" s="26" t="n">
        <f aca="false">datos_base!$E$11*parametros_recargas!E$64+sobrestock_sustitutos!$D$60/12</f>
        <v>333.020487662055</v>
      </c>
      <c r="E107" s="26" t="n">
        <f aca="false">datos_base!$E$11*parametros_recargas!F$64+sobrestock_sustitutos!$D$60/12</f>
        <v>577.642739663918</v>
      </c>
      <c r="F107" s="26" t="n">
        <f aca="false">datos_base!$E$11*parametros_recargas!G$64+sobrestock_sustitutos!$D$60/12</f>
        <v>333.020487662055</v>
      </c>
      <c r="G107" s="26" t="n">
        <f aca="false">datos_base!$E$11*parametros_recargas!H$64+sobrestock_sustitutos!$D$60/12</f>
        <v>333.020487662055</v>
      </c>
      <c r="H107" s="26" t="n">
        <f aca="false">datos_base!$E$11*parametros_recargas!I$64+sobrestock_sustitutos!$D$60/12</f>
        <v>333.020487662055</v>
      </c>
      <c r="I107" s="26" t="n">
        <f aca="false">datos_base!$E$11*parametros_recargas!J$64+sobrestock_sustitutos!$D$60/12</f>
        <v>333.020487662055</v>
      </c>
      <c r="J107" s="26" t="n">
        <f aca="false">datos_base!$E$11*parametros_recargas!K$64+sobrestock_sustitutos!$D$60/12</f>
        <v>333.020487662055</v>
      </c>
      <c r="K107" s="26" t="n">
        <f aca="false">datos_base!$E$11*parametros_recargas!L$64+sobrestock_sustitutos!$D$60/12</f>
        <v>333.020487662055</v>
      </c>
      <c r="L107" s="26" t="n">
        <f aca="false">datos_base!$E$11*parametros_recargas!M$64+sobrestock_sustitutos!$D$60/12</f>
        <v>333.020487662055</v>
      </c>
      <c r="M107" s="26" t="n">
        <f aca="false">datos_base!$E$11*parametros_recargas!N$64+sobrestock_sustitutos!$D$60/12</f>
        <v>333.020487662055</v>
      </c>
      <c r="N107" s="26" t="n">
        <f aca="false">datos_base!$E$11*parametros_recargas!O$64+sobrestock_sustitutos!$D$60/12</f>
        <v>333.020487662055</v>
      </c>
      <c r="O107" s="26" t="n">
        <f aca="false">datos_base!$E$11*parametros_recargas!P$64+sobrestock_sustitutos!$D$60/12</f>
        <v>333.020487662055</v>
      </c>
      <c r="P107" s="8" t="n">
        <f aca="false">SUM(D107:O107)</f>
        <v>4240.86810394653</v>
      </c>
    </row>
    <row r="108" customFormat="false" ht="15" hidden="false" customHeight="false" outlineLevel="0" collapsed="false">
      <c r="A108" s="10" t="str">
        <f aca="false">parametros_recargas!A65</f>
        <v>CO₂ 5 kg</v>
      </c>
      <c r="B108" s="10" t="str">
        <f aca="false">parametros_recargas!B65</f>
        <v>CO₂</v>
      </c>
      <c r="C108" s="25" t="n">
        <f aca="false">parametros_recargas!C65</f>
        <v>1</v>
      </c>
      <c r="D108" s="26" t="n">
        <f aca="false">datos_base!$E$12*parametros_recargas!E$65+sobrestock_sustitutos!$D$61/12</f>
        <v>114.109530128022</v>
      </c>
      <c r="E108" s="26" t="n">
        <f aca="false">datos_base!$E$12*parametros_recargas!F$65+sobrestock_sustitutos!$D$61/12</f>
        <v>125.071356839331</v>
      </c>
      <c r="F108" s="26" t="n">
        <f aca="false">datos_base!$E$12*parametros_recargas!G$65+sobrestock_sustitutos!$D$61/12</f>
        <v>114.109530128022</v>
      </c>
      <c r="G108" s="26" t="n">
        <f aca="false">datos_base!$E$12*parametros_recargas!H$65+sobrestock_sustitutos!$D$61/12</f>
        <v>114.109530128022</v>
      </c>
      <c r="H108" s="26" t="n">
        <f aca="false">datos_base!$E$12*parametros_recargas!I$65+sobrestock_sustitutos!$D$61/12</f>
        <v>114.109530128022</v>
      </c>
      <c r="I108" s="26" t="n">
        <f aca="false">datos_base!$E$12*parametros_recargas!J$65+sobrestock_sustitutos!$D$61/12</f>
        <v>114.109530128022</v>
      </c>
      <c r="J108" s="26" t="n">
        <f aca="false">datos_base!$E$12*parametros_recargas!K$65+sobrestock_sustitutos!$D$61/12</f>
        <v>114.109530128022</v>
      </c>
      <c r="K108" s="26" t="n">
        <f aca="false">datos_base!$E$12*parametros_recargas!L$65+sobrestock_sustitutos!$D$61/12</f>
        <v>114.109530128022</v>
      </c>
      <c r="L108" s="26" t="n">
        <f aca="false">datos_base!$E$12*parametros_recargas!M$65+sobrestock_sustitutos!$D$61/12</f>
        <v>114.109530128022</v>
      </c>
      <c r="M108" s="26" t="n">
        <f aca="false">datos_base!$E$12*parametros_recargas!N$65+sobrestock_sustitutos!$D$61/12</f>
        <v>114.109530128022</v>
      </c>
      <c r="N108" s="26" t="n">
        <f aca="false">datos_base!$E$12*parametros_recargas!O$65+sobrestock_sustitutos!$D$61/12</f>
        <v>114.109530128022</v>
      </c>
      <c r="O108" s="26" t="n">
        <f aca="false">datos_base!$E$12*parametros_recargas!P$65+sobrestock_sustitutos!$D$61/12</f>
        <v>114.109530128022</v>
      </c>
      <c r="P108" s="8" t="n">
        <f aca="false">SUM(D108:O108)</f>
        <v>1380.27618824758</v>
      </c>
    </row>
    <row r="109" customFormat="false" ht="15" hidden="false" customHeight="false" outlineLevel="0" collapsed="false">
      <c r="A109" s="10" t="str">
        <f aca="false">parametros_recargas!A66</f>
        <v>HCFC/HFC 5 kg</v>
      </c>
      <c r="B109" s="10" t="str">
        <f aca="false">parametros_recargas!B66</f>
        <v>Halogenado</v>
      </c>
      <c r="C109" s="25" t="n">
        <f aca="false">parametros_recargas!C66</f>
        <v>1</v>
      </c>
      <c r="D109" s="26" t="n">
        <f aca="false">datos_base!$E$13*parametros_recargas!E$66+sobrestock_sustitutos!$D$62/12</f>
        <v>18.7670468652422</v>
      </c>
      <c r="E109" s="26" t="n">
        <f aca="false">datos_base!$E$13*parametros_recargas!F$66+sobrestock_sustitutos!$D$62/12</f>
        <v>18.7670468652422</v>
      </c>
      <c r="F109" s="26" t="n">
        <f aca="false">datos_base!$E$13*parametros_recargas!G$66+sobrestock_sustitutos!$D$62/12</f>
        <v>18.7670468652422</v>
      </c>
      <c r="G109" s="26" t="n">
        <f aca="false">datos_base!$E$13*parametros_recargas!H$66+sobrestock_sustitutos!$D$62/12</f>
        <v>18.7670468652422</v>
      </c>
      <c r="H109" s="26" t="n">
        <f aca="false">datos_base!$E$13*parametros_recargas!I$66+sobrestock_sustitutos!$D$62/12</f>
        <v>18.7670468652422</v>
      </c>
      <c r="I109" s="26" t="n">
        <f aca="false">datos_base!$E$13*parametros_recargas!J$66+sobrestock_sustitutos!$D$62/12</f>
        <v>18.7670468652422</v>
      </c>
      <c r="J109" s="26" t="n">
        <f aca="false">datos_base!$E$13*parametros_recargas!K$66+sobrestock_sustitutos!$D$62/12</f>
        <v>18.7670468652422</v>
      </c>
      <c r="K109" s="26" t="n">
        <f aca="false">datos_base!$E$13*parametros_recargas!L$66+sobrestock_sustitutos!$D$62/12</f>
        <v>18.7670468652422</v>
      </c>
      <c r="L109" s="26" t="n">
        <f aca="false">datos_base!$E$13*parametros_recargas!M$66+sobrestock_sustitutos!$D$62/12</f>
        <v>18.7670468652422</v>
      </c>
      <c r="M109" s="26" t="n">
        <f aca="false">datos_base!$E$13*parametros_recargas!N$66+sobrestock_sustitutos!$D$62/12</f>
        <v>18.7670468652422</v>
      </c>
      <c r="N109" s="26" t="n">
        <f aca="false">datos_base!$E$13*parametros_recargas!O$66+sobrestock_sustitutos!$D$62/12</f>
        <v>18.7670468652422</v>
      </c>
      <c r="O109" s="26" t="n">
        <f aca="false">datos_base!$E$13*parametros_recargas!P$66+sobrestock_sustitutos!$D$62/12</f>
        <v>18.7670468652422</v>
      </c>
      <c r="P109" s="8" t="n">
        <f aca="false">SUM(D109:O109)</f>
        <v>225.204562382906</v>
      </c>
    </row>
    <row r="110" customFormat="false" ht="15" hidden="false" customHeight="false" outlineLevel="0" collapsed="false">
      <c r="A110" s="10" t="str">
        <f aca="false">parametros_recargas!A67</f>
        <v>Clase D 9 l</v>
      </c>
      <c r="B110" s="10" t="str">
        <f aca="false">parametros_recargas!B67</f>
        <v>Clase D</v>
      </c>
      <c r="C110" s="25" t="n">
        <f aca="false">parametros_recargas!C67</f>
        <v>1</v>
      </c>
      <c r="D110" s="26" t="n">
        <f aca="false">datos_base!$E$14*parametros_recargas!E$67+sobrestock_sustitutos!$D$63/12</f>
        <v>7.0186444405788</v>
      </c>
      <c r="E110" s="26" t="n">
        <f aca="false">datos_base!$E$14*parametros_recargas!F$67+sobrestock_sustitutos!$D$63/12</f>
        <v>7.0186444405788</v>
      </c>
      <c r="F110" s="26" t="n">
        <f aca="false">datos_base!$E$14*parametros_recargas!G$67+sobrestock_sustitutos!$D$63/12</f>
        <v>7.0186444405788</v>
      </c>
      <c r="G110" s="26" t="n">
        <f aca="false">datos_base!$E$14*parametros_recargas!H$67+sobrestock_sustitutos!$D$63/12</f>
        <v>7.0186444405788</v>
      </c>
      <c r="H110" s="26" t="n">
        <f aca="false">datos_base!$E$14*parametros_recargas!I$67+sobrestock_sustitutos!$D$63/12</f>
        <v>7.0186444405788</v>
      </c>
      <c r="I110" s="26" t="n">
        <f aca="false">datos_base!$E$14*parametros_recargas!J$67+sobrestock_sustitutos!$D$63/12</f>
        <v>7.0186444405788</v>
      </c>
      <c r="J110" s="26" t="n">
        <f aca="false">datos_base!$E$14*parametros_recargas!K$67+sobrestock_sustitutos!$D$63/12</f>
        <v>7.0186444405788</v>
      </c>
      <c r="K110" s="26" t="n">
        <f aca="false">datos_base!$E$14*parametros_recargas!L$67+sobrestock_sustitutos!$D$63/12</f>
        <v>7.0186444405788</v>
      </c>
      <c r="L110" s="26" t="n">
        <f aca="false">datos_base!$E$14*parametros_recargas!M$67+sobrestock_sustitutos!$D$63/12</f>
        <v>7.0186444405788</v>
      </c>
      <c r="M110" s="26" t="n">
        <f aca="false">datos_base!$E$14*parametros_recargas!N$67+sobrestock_sustitutos!$D$63/12</f>
        <v>7.0186444405788</v>
      </c>
      <c r="N110" s="26" t="n">
        <f aca="false">datos_base!$E$14*parametros_recargas!O$67+sobrestock_sustitutos!$D$63/12</f>
        <v>7.0186444405788</v>
      </c>
      <c r="O110" s="26" t="n">
        <f aca="false">datos_base!$E$14*parametros_recargas!P$67+sobrestock_sustitutos!$D$63/12</f>
        <v>7.0186444405788</v>
      </c>
      <c r="P110" s="8" t="n">
        <f aca="false">SUM(D110:O110)</f>
        <v>84.2237332869456</v>
      </c>
    </row>
    <row r="111" customFormat="false" ht="15" hidden="false" customHeight="false" outlineLevel="0" collapsed="false">
      <c r="A111" s="10" t="str">
        <f aca="false">parametros_recargas!A68</f>
        <v>ABC 25 kg s/ruedas</v>
      </c>
      <c r="B111" s="10" t="str">
        <f aca="false">parametros_recargas!B68</f>
        <v>ABC</v>
      </c>
      <c r="C111" s="25" t="n">
        <f aca="false">parametros_recargas!C68</f>
        <v>6.360853875</v>
      </c>
      <c r="D111" s="26" t="n">
        <f aca="false">datos_base!$E$15*parametros_recargas!E$68+sobrestock_sustitutos!$D$64/12</f>
        <v>15.5969084232537</v>
      </c>
      <c r="E111" s="26" t="n">
        <f aca="false">datos_base!$E$15*parametros_recargas!F$68+sobrestock_sustitutos!$D$64/12</f>
        <v>18.0762689791462</v>
      </c>
      <c r="F111" s="26" t="n">
        <f aca="false">datos_base!$E$15*parametros_recargas!G$68+sobrestock_sustitutos!$D$64/12</f>
        <v>15.5969084232537</v>
      </c>
      <c r="G111" s="26" t="n">
        <f aca="false">datos_base!$E$15*parametros_recargas!H$68+sobrestock_sustitutos!$D$64/12</f>
        <v>15.5969084232537</v>
      </c>
      <c r="H111" s="26" t="n">
        <f aca="false">datos_base!$E$15*parametros_recargas!I$68+sobrestock_sustitutos!$D$64/12</f>
        <v>15.5969084232537</v>
      </c>
      <c r="I111" s="26" t="n">
        <f aca="false">datos_base!$E$15*parametros_recargas!J$68+sobrestock_sustitutos!$D$64/12</f>
        <v>15.5969084232537</v>
      </c>
      <c r="J111" s="26" t="n">
        <f aca="false">datos_base!$E$15*parametros_recargas!K$68+sobrestock_sustitutos!$D$64/12</f>
        <v>15.5969084232537</v>
      </c>
      <c r="K111" s="26" t="n">
        <f aca="false">datos_base!$E$15*parametros_recargas!L$68+sobrestock_sustitutos!$D$64/12</f>
        <v>15.5969084232537</v>
      </c>
      <c r="L111" s="26" t="n">
        <f aca="false">datos_base!$E$15*parametros_recargas!M$68+sobrestock_sustitutos!$D$64/12</f>
        <v>15.5969084232537</v>
      </c>
      <c r="M111" s="26" t="n">
        <f aca="false">datos_base!$E$15*parametros_recargas!N$68+sobrestock_sustitutos!$D$64/12</f>
        <v>15.5969084232537</v>
      </c>
      <c r="N111" s="26" t="n">
        <f aca="false">datos_base!$E$15*parametros_recargas!O$68+sobrestock_sustitutos!$D$64/12</f>
        <v>15.5969084232537</v>
      </c>
      <c r="O111" s="26" t="n">
        <f aca="false">datos_base!$E$15*parametros_recargas!P$68+sobrestock_sustitutos!$D$64/12</f>
        <v>15.5969084232537</v>
      </c>
      <c r="P111" s="8" t="n">
        <f aca="false">SUM(D111:O111)</f>
        <v>189.642261634937</v>
      </c>
    </row>
    <row r="112" customFormat="false" ht="15" hidden="false" customHeight="false" outlineLevel="0" collapsed="false">
      <c r="A112" s="10" t="str">
        <f aca="false">parametros_recargas!A69</f>
        <v>ABC 50 kg s/ruedas</v>
      </c>
      <c r="B112" s="10" t="str">
        <f aca="false">parametros_recargas!B69</f>
        <v>ABC</v>
      </c>
      <c r="C112" s="25" t="n">
        <f aca="false">parametros_recargas!C69</f>
        <v>6.360853875</v>
      </c>
      <c r="D112" s="26" t="n">
        <f aca="false">datos_base!$E$16*parametros_recargas!E$69+sobrestock_sustitutos!$D$65/12</f>
        <v>34.1798033598735</v>
      </c>
      <c r="E112" s="26" t="n">
        <f aca="false">datos_base!$E$16*parametros_recargas!F$69+sobrestock_sustitutos!$D$65/12</f>
        <v>39.6351385273482</v>
      </c>
      <c r="F112" s="26" t="n">
        <f aca="false">datos_base!$E$16*parametros_recargas!G$69+sobrestock_sustitutos!$D$65/12</f>
        <v>34.1798033598735</v>
      </c>
      <c r="G112" s="26" t="n">
        <f aca="false">datos_base!$E$16*parametros_recargas!H$69+sobrestock_sustitutos!$D$65/12</f>
        <v>34.1798033598735</v>
      </c>
      <c r="H112" s="26" t="n">
        <f aca="false">datos_base!$E$16*parametros_recargas!I$69+sobrestock_sustitutos!$D$65/12</f>
        <v>34.1798033598735</v>
      </c>
      <c r="I112" s="26" t="n">
        <f aca="false">datos_base!$E$16*parametros_recargas!J$69+sobrestock_sustitutos!$D$65/12</f>
        <v>34.1798033598735</v>
      </c>
      <c r="J112" s="26" t="n">
        <f aca="false">datos_base!$E$16*parametros_recargas!K$69+sobrestock_sustitutos!$D$65/12</f>
        <v>34.1798033598735</v>
      </c>
      <c r="K112" s="26" t="n">
        <f aca="false">datos_base!$E$16*parametros_recargas!L$69+sobrestock_sustitutos!$D$65/12</f>
        <v>34.1798033598735</v>
      </c>
      <c r="L112" s="26" t="n">
        <f aca="false">datos_base!$E$16*parametros_recargas!M$69+sobrestock_sustitutos!$D$65/12</f>
        <v>34.1798033598735</v>
      </c>
      <c r="M112" s="26" t="n">
        <f aca="false">datos_base!$E$16*parametros_recargas!N$69+sobrestock_sustitutos!$D$65/12</f>
        <v>34.1798033598735</v>
      </c>
      <c r="N112" s="26" t="n">
        <f aca="false">datos_base!$E$16*parametros_recargas!O$69+sobrestock_sustitutos!$D$65/12</f>
        <v>34.1798033598735</v>
      </c>
      <c r="O112" s="26" t="n">
        <f aca="false">datos_base!$E$16*parametros_recargas!P$69+sobrestock_sustitutos!$D$65/12</f>
        <v>34.1798033598735</v>
      </c>
      <c r="P112" s="8" t="n">
        <f aca="false">SUM(D112:O112)</f>
        <v>415.612975485956</v>
      </c>
    </row>
    <row r="113" customFormat="false" ht="15" hidden="false" customHeight="false" outlineLevel="0" collapsed="false">
      <c r="A113" s="10" t="str">
        <f aca="false">parametros_recargas!A70</f>
        <v>ABC 70 kg s/ruedas</v>
      </c>
      <c r="B113" s="10" t="str">
        <f aca="false">parametros_recargas!B70</f>
        <v>ABC</v>
      </c>
      <c r="C113" s="25" t="n">
        <f aca="false">parametros_recargas!C70</f>
        <v>6.360853875</v>
      </c>
      <c r="D113" s="26" t="n">
        <f aca="false">datos_base!$E$17*parametros_recargas!E$70+sobrestock_sustitutos!$D$66/12</f>
        <v>7.53319905923769</v>
      </c>
      <c r="E113" s="26" t="n">
        <f aca="false">datos_base!$E$17*parametros_recargas!F$70+sobrestock_sustitutos!$D$66/12</f>
        <v>8.72309588879342</v>
      </c>
      <c r="F113" s="26" t="n">
        <f aca="false">datos_base!$E$17*parametros_recargas!G$70+sobrestock_sustitutos!$D$66/12</f>
        <v>7.53319905923769</v>
      </c>
      <c r="G113" s="26" t="n">
        <f aca="false">datos_base!$E$17*parametros_recargas!H$70+sobrestock_sustitutos!$D$66/12</f>
        <v>7.53319905923769</v>
      </c>
      <c r="H113" s="26" t="n">
        <f aca="false">datos_base!$E$17*parametros_recargas!I$70+sobrestock_sustitutos!$D$66/12</f>
        <v>7.53319905923769</v>
      </c>
      <c r="I113" s="26" t="n">
        <f aca="false">datos_base!$E$17*parametros_recargas!J$70+sobrestock_sustitutos!$D$66/12</f>
        <v>7.53319905923769</v>
      </c>
      <c r="J113" s="26" t="n">
        <f aca="false">datos_base!$E$17*parametros_recargas!K$70+sobrestock_sustitutos!$D$66/12</f>
        <v>7.53319905923769</v>
      </c>
      <c r="K113" s="26" t="n">
        <f aca="false">datos_base!$E$17*parametros_recargas!L$70+sobrestock_sustitutos!$D$66/12</f>
        <v>7.53319905923769</v>
      </c>
      <c r="L113" s="26" t="n">
        <f aca="false">datos_base!$E$17*parametros_recargas!M$70+sobrestock_sustitutos!$D$66/12</f>
        <v>7.53319905923769</v>
      </c>
      <c r="M113" s="26" t="n">
        <f aca="false">datos_base!$E$17*parametros_recargas!N$70+sobrestock_sustitutos!$D$66/12</f>
        <v>7.53319905923769</v>
      </c>
      <c r="N113" s="26" t="n">
        <f aca="false">datos_base!$E$17*parametros_recargas!O$70+sobrestock_sustitutos!$D$66/12</f>
        <v>7.53319905923769</v>
      </c>
      <c r="O113" s="26" t="n">
        <f aca="false">datos_base!$E$17*parametros_recargas!P$70+sobrestock_sustitutos!$D$66/12</f>
        <v>7.53319905923769</v>
      </c>
      <c r="P113" s="8" t="n">
        <f aca="false">SUM(D113:O113)</f>
        <v>91.588285540408</v>
      </c>
    </row>
    <row r="114" customFormat="false" ht="15" hidden="false" customHeight="false" outlineLevel="0" collapsed="false">
      <c r="A114" s="10" t="str">
        <f aca="false">parametros_recargas!A71</f>
        <v>ABC 100 kg s/ruedas</v>
      </c>
      <c r="B114" s="10" t="str">
        <f aca="false">parametros_recargas!B71</f>
        <v>ABC</v>
      </c>
      <c r="C114" s="25" t="n">
        <f aca="false">parametros_recargas!C71</f>
        <v>6.360853875</v>
      </c>
      <c r="D114" s="26" t="n">
        <f aca="false">datos_base!$E$18*parametros_recargas!E$71+sobrestock_sustitutos!$D$67/12</f>
        <v>4.99428579569278</v>
      </c>
      <c r="E114" s="26" t="n">
        <f aca="false">datos_base!$E$18*parametros_recargas!F$71+sobrestock_sustitutos!$D$67/12</f>
        <v>5.78838012582459</v>
      </c>
      <c r="F114" s="26" t="n">
        <f aca="false">datos_base!$E$18*parametros_recargas!G$71+sobrestock_sustitutos!$D$67/12</f>
        <v>4.99428579569278</v>
      </c>
      <c r="G114" s="26" t="n">
        <f aca="false">datos_base!$E$18*parametros_recargas!H$71+sobrestock_sustitutos!$D$67/12</f>
        <v>4.99428579569278</v>
      </c>
      <c r="H114" s="26" t="n">
        <f aca="false">datos_base!$E$18*parametros_recargas!I$71+sobrestock_sustitutos!$D$67/12</f>
        <v>4.99428579569278</v>
      </c>
      <c r="I114" s="26" t="n">
        <f aca="false">datos_base!$E$18*parametros_recargas!J$71+sobrestock_sustitutos!$D$67/12</f>
        <v>4.99428579569278</v>
      </c>
      <c r="J114" s="26" t="n">
        <f aca="false">datos_base!$E$18*parametros_recargas!K$71+sobrestock_sustitutos!$D$67/12</f>
        <v>4.99428579569278</v>
      </c>
      <c r="K114" s="26" t="n">
        <f aca="false">datos_base!$E$18*parametros_recargas!L$71+sobrestock_sustitutos!$D$67/12</f>
        <v>4.99428579569278</v>
      </c>
      <c r="L114" s="26" t="n">
        <f aca="false">datos_base!$E$18*parametros_recargas!M$71+sobrestock_sustitutos!$D$67/12</f>
        <v>4.99428579569278</v>
      </c>
      <c r="M114" s="26" t="n">
        <f aca="false">datos_base!$E$18*parametros_recargas!N$71+sobrestock_sustitutos!$D$67/12</f>
        <v>4.99428579569278</v>
      </c>
      <c r="N114" s="26" t="n">
        <f aca="false">datos_base!$E$18*parametros_recargas!O$71+sobrestock_sustitutos!$D$67/12</f>
        <v>4.99428579569278</v>
      </c>
      <c r="O114" s="26" t="n">
        <f aca="false">datos_base!$E$18*parametros_recargas!P$71+sobrestock_sustitutos!$D$67/12</f>
        <v>4.99428579569278</v>
      </c>
      <c r="P114" s="8" t="n">
        <f aca="false">SUM(D114:O114)</f>
        <v>60.7255238784452</v>
      </c>
    </row>
    <row r="115" customFormat="false" ht="15" hidden="false" customHeight="false" outlineLevel="0" collapsed="false">
      <c r="A115" s="4" t="s">
        <v>430</v>
      </c>
      <c r="D115" s="8" t="n">
        <f aca="false">SUM(D98:D114)</f>
        <v>2741.55940226305</v>
      </c>
      <c r="E115" s="8" t="n">
        <f aca="false">SUM(E98:E114)</f>
        <v>6945.87567140762</v>
      </c>
      <c r="F115" s="8" t="n">
        <f aca="false">SUM(F98:F114)</f>
        <v>5690.23085768753</v>
      </c>
      <c r="G115" s="8" t="n">
        <f aca="false">SUM(G98:G114)</f>
        <v>5713.03526281664</v>
      </c>
      <c r="H115" s="8" t="n">
        <f aca="false">SUM(H98:H114)</f>
        <v>5714.22571607172</v>
      </c>
      <c r="I115" s="8" t="n">
        <f aca="false">SUM(I98:I114)</f>
        <v>5703.38433397126</v>
      </c>
      <c r="J115" s="8" t="n">
        <f aca="false">SUM(J98:J114)</f>
        <v>5737.48428255827</v>
      </c>
      <c r="K115" s="8" t="n">
        <f aca="false">SUM(K98:K114)</f>
        <v>5711.82072524715</v>
      </c>
      <c r="L115" s="8" t="n">
        <f aca="false">SUM(L98:L114)</f>
        <v>5715.82216205541</v>
      </c>
      <c r="M115" s="8" t="n">
        <f aca="false">SUM(M98:M114)</f>
        <v>5702.5929922121</v>
      </c>
      <c r="N115" s="8" t="n">
        <f aca="false">SUM(N98:N114)</f>
        <v>5645.62326678545</v>
      </c>
      <c r="O115" s="8" t="n">
        <f aca="false">SUM(O98:O114)</f>
        <v>2586.76263232279</v>
      </c>
      <c r="P115" s="8" t="n">
        <f aca="false">SUM(P98:P114)</f>
        <v>63608.417305399</v>
      </c>
    </row>
    <row r="116" customFormat="false" ht="15" hidden="false" customHeight="false" outlineLevel="0" collapsed="false">
      <c r="A116" s="4" t="s">
        <v>431</v>
      </c>
    </row>
    <row r="117" customFormat="false" ht="15" hidden="false" customHeight="false" outlineLevel="0" collapsed="false">
      <c r="A117" s="5" t="s">
        <v>110</v>
      </c>
      <c r="D117" s="26" t="n">
        <f aca="false">SUMPRODUCT(($B$98:$B$114=$A117)*D$98:D$114*$C$98:$C$114)</f>
        <v>2373.82439911361</v>
      </c>
      <c r="E117" s="26" t="n">
        <f aca="false">SUMPRODUCT(($B$98:$B$114=$A117)*E$98:E$114*$C$98:$C$114)</f>
        <v>6257.1092693193</v>
      </c>
      <c r="F117" s="26" t="n">
        <f aca="false">SUMPRODUCT(($B$98:$B$114=$A117)*F$98:F$114*$C$98:$C$114)</f>
        <v>5322.49585453809</v>
      </c>
      <c r="G117" s="26" t="n">
        <f aca="false">SUMPRODUCT(($B$98:$B$114=$A117)*G$98:G$114*$C$98:$C$114)</f>
        <v>5345.30025966721</v>
      </c>
      <c r="H117" s="26" t="n">
        <f aca="false">SUMPRODUCT(($B$98:$B$114=$A117)*H$98:H$114*$C$98:$C$114)</f>
        <v>5346.49071292229</v>
      </c>
      <c r="I117" s="26" t="n">
        <f aca="false">SUMPRODUCT(($B$98:$B$114=$A117)*I$98:I$114*$C$98:$C$114)</f>
        <v>5335.64933082183</v>
      </c>
      <c r="J117" s="26" t="n">
        <f aca="false">SUMPRODUCT(($B$98:$B$114=$A117)*J$98:J$114*$C$98:$C$114)</f>
        <v>5369.74927940883</v>
      </c>
      <c r="K117" s="26" t="n">
        <f aca="false">SUMPRODUCT(($B$98:$B$114=$A117)*K$98:K$114*$C$98:$C$114)</f>
        <v>5344.08572209772</v>
      </c>
      <c r="L117" s="26" t="n">
        <f aca="false">SUMPRODUCT(($B$98:$B$114=$A117)*L$98:L$114*$C$98:$C$114)</f>
        <v>5348.08715890598</v>
      </c>
      <c r="M117" s="26" t="n">
        <f aca="false">SUMPRODUCT(($B$98:$B$114=$A117)*M$98:M$114*$C$98:$C$114)</f>
        <v>5334.85798906267</v>
      </c>
      <c r="N117" s="26" t="n">
        <f aca="false">SUMPRODUCT(($B$98:$B$114=$A117)*N$98:N$114*$C$98:$C$114)</f>
        <v>5277.88826363601</v>
      </c>
      <c r="O117" s="26" t="n">
        <f aca="false">SUMPRODUCT(($B$98:$B$114=$A117)*O$98:O$114*$C$98:$C$114)</f>
        <v>2219.02762917336</v>
      </c>
      <c r="P117" s="26" t="n">
        <f aca="false">SUMPRODUCT(($B$98:$B$114=$A117)*P$98:P$114*$C$98:$C$114)</f>
        <v>58874.5658686669</v>
      </c>
    </row>
    <row r="118" customFormat="false" ht="15" hidden="false" customHeight="false" outlineLevel="0" collapsed="false">
      <c r="A118" s="5" t="s">
        <v>111</v>
      </c>
      <c r="D118" s="26" t="n">
        <f aca="false">SUMPRODUCT(($B$98:$B$114=$A118)*D$98:D$114*$C$98:$C$114)</f>
        <v>7.5372733052683</v>
      </c>
      <c r="E118" s="26" t="n">
        <f aca="false">SUMPRODUCT(($B$98:$B$114=$A118)*E$98:E$114*$C$98:$C$114)</f>
        <v>7.5372733052683</v>
      </c>
      <c r="F118" s="26" t="n">
        <f aca="false">SUMPRODUCT(($B$98:$B$114=$A118)*F$98:F$114*$C$98:$C$114)</f>
        <v>7.5372733052683</v>
      </c>
      <c r="G118" s="26" t="n">
        <f aca="false">SUMPRODUCT(($B$98:$B$114=$A118)*G$98:G$114*$C$98:$C$114)</f>
        <v>7.5372733052683</v>
      </c>
      <c r="H118" s="26" t="n">
        <f aca="false">SUMPRODUCT(($B$98:$B$114=$A118)*H$98:H$114*$C$98:$C$114)</f>
        <v>7.5372733052683</v>
      </c>
      <c r="I118" s="26" t="n">
        <f aca="false">SUMPRODUCT(($B$98:$B$114=$A118)*I$98:I$114*$C$98:$C$114)</f>
        <v>7.5372733052683</v>
      </c>
      <c r="J118" s="26" t="n">
        <f aca="false">SUMPRODUCT(($B$98:$B$114=$A118)*J$98:J$114*$C$98:$C$114)</f>
        <v>7.5372733052683</v>
      </c>
      <c r="K118" s="26" t="n">
        <f aca="false">SUMPRODUCT(($B$98:$B$114=$A118)*K$98:K$114*$C$98:$C$114)</f>
        <v>7.5372733052683</v>
      </c>
      <c r="L118" s="26" t="n">
        <f aca="false">SUMPRODUCT(($B$98:$B$114=$A118)*L$98:L$114*$C$98:$C$114)</f>
        <v>7.5372733052683</v>
      </c>
      <c r="M118" s="26" t="n">
        <f aca="false">SUMPRODUCT(($B$98:$B$114=$A118)*M$98:M$114*$C$98:$C$114)</f>
        <v>7.5372733052683</v>
      </c>
      <c r="N118" s="26" t="n">
        <f aca="false">SUMPRODUCT(($B$98:$B$114=$A118)*N$98:N$114*$C$98:$C$114)</f>
        <v>7.5372733052683</v>
      </c>
      <c r="O118" s="26" t="n">
        <f aca="false">SUMPRODUCT(($B$98:$B$114=$A118)*O$98:O$114*$C$98:$C$114)</f>
        <v>7.5372733052683</v>
      </c>
      <c r="P118" s="26" t="n">
        <f aca="false">SUMPRODUCT(($B$98:$B$114=$A118)*P$98:P$114*$C$98:$C$114)</f>
        <v>90.4472796632196</v>
      </c>
    </row>
    <row r="119" customFormat="false" ht="15" hidden="false" customHeight="false" outlineLevel="0" collapsed="false">
      <c r="A119" s="5" t="s">
        <v>112</v>
      </c>
      <c r="D119" s="26" t="n">
        <f aca="false">SUMPRODUCT(($B$98:$B$114=$A119)*D$98:D$114*$C$98:$C$114)</f>
        <v>7.0186444405788</v>
      </c>
      <c r="E119" s="26" t="n">
        <f aca="false">SUMPRODUCT(($B$98:$B$114=$A119)*E$98:E$114*$C$98:$C$114)</f>
        <v>7.0186444405788</v>
      </c>
      <c r="F119" s="26" t="n">
        <f aca="false">SUMPRODUCT(($B$98:$B$114=$A119)*F$98:F$114*$C$98:$C$114)</f>
        <v>7.0186444405788</v>
      </c>
      <c r="G119" s="26" t="n">
        <f aca="false">SUMPRODUCT(($B$98:$B$114=$A119)*G$98:G$114*$C$98:$C$114)</f>
        <v>7.0186444405788</v>
      </c>
      <c r="H119" s="26" t="n">
        <f aca="false">SUMPRODUCT(($B$98:$B$114=$A119)*H$98:H$114*$C$98:$C$114)</f>
        <v>7.0186444405788</v>
      </c>
      <c r="I119" s="26" t="n">
        <f aca="false">SUMPRODUCT(($B$98:$B$114=$A119)*I$98:I$114*$C$98:$C$114)</f>
        <v>7.0186444405788</v>
      </c>
      <c r="J119" s="26" t="n">
        <f aca="false">SUMPRODUCT(($B$98:$B$114=$A119)*J$98:J$114*$C$98:$C$114)</f>
        <v>7.0186444405788</v>
      </c>
      <c r="K119" s="26" t="n">
        <f aca="false">SUMPRODUCT(($B$98:$B$114=$A119)*K$98:K$114*$C$98:$C$114)</f>
        <v>7.0186444405788</v>
      </c>
      <c r="L119" s="26" t="n">
        <f aca="false">SUMPRODUCT(($B$98:$B$114=$A119)*L$98:L$114*$C$98:$C$114)</f>
        <v>7.0186444405788</v>
      </c>
      <c r="M119" s="26" t="n">
        <f aca="false">SUMPRODUCT(($B$98:$B$114=$A119)*M$98:M$114*$C$98:$C$114)</f>
        <v>7.0186444405788</v>
      </c>
      <c r="N119" s="26" t="n">
        <f aca="false">SUMPRODUCT(($B$98:$B$114=$A119)*N$98:N$114*$C$98:$C$114)</f>
        <v>7.0186444405788</v>
      </c>
      <c r="O119" s="26" t="n">
        <f aca="false">SUMPRODUCT(($B$98:$B$114=$A119)*O$98:O$114*$C$98:$C$114)</f>
        <v>7.0186444405788</v>
      </c>
      <c r="P119" s="26" t="n">
        <f aca="false">SUMPRODUCT(($B$98:$B$114=$A119)*P$98:P$114*$C$98:$C$114)</f>
        <v>84.2237332869456</v>
      </c>
    </row>
    <row r="120" customFormat="false" ht="15" hidden="false" customHeight="false" outlineLevel="0" collapsed="false">
      <c r="A120" s="5" t="s">
        <v>113</v>
      </c>
      <c r="D120" s="26" t="n">
        <f aca="false">SUMPRODUCT(($B$98:$B$114=$A120)*D$98:D$114*$C$98:$C$114)</f>
        <v>124.341647891029</v>
      </c>
      <c r="E120" s="26" t="n">
        <f aca="false">SUMPRODUCT(($B$98:$B$114=$A120)*E$98:E$114*$C$98:$C$114)</f>
        <v>184.293673074869</v>
      </c>
      <c r="F120" s="26" t="n">
        <f aca="false">SUMPRODUCT(($B$98:$B$114=$A120)*F$98:F$114*$C$98:$C$114)</f>
        <v>124.341647891029</v>
      </c>
      <c r="G120" s="26" t="n">
        <f aca="false">SUMPRODUCT(($B$98:$B$114=$A120)*G$98:G$114*$C$98:$C$114)</f>
        <v>124.341647891029</v>
      </c>
      <c r="H120" s="26" t="n">
        <f aca="false">SUMPRODUCT(($B$98:$B$114=$A120)*H$98:H$114*$C$98:$C$114)</f>
        <v>124.341647891029</v>
      </c>
      <c r="I120" s="26" t="n">
        <f aca="false">SUMPRODUCT(($B$98:$B$114=$A120)*I$98:I$114*$C$98:$C$114)</f>
        <v>124.341647891029</v>
      </c>
      <c r="J120" s="26" t="n">
        <f aca="false">SUMPRODUCT(($B$98:$B$114=$A120)*J$98:J$114*$C$98:$C$114)</f>
        <v>124.341647891029</v>
      </c>
      <c r="K120" s="26" t="n">
        <f aca="false">SUMPRODUCT(($B$98:$B$114=$A120)*K$98:K$114*$C$98:$C$114)</f>
        <v>124.341647891029</v>
      </c>
      <c r="L120" s="26" t="n">
        <f aca="false">SUMPRODUCT(($B$98:$B$114=$A120)*L$98:L$114*$C$98:$C$114)</f>
        <v>124.341647891029</v>
      </c>
      <c r="M120" s="26" t="n">
        <f aca="false">SUMPRODUCT(($B$98:$B$114=$A120)*M$98:M$114*$C$98:$C$114)</f>
        <v>124.341647891029</v>
      </c>
      <c r="N120" s="26" t="n">
        <f aca="false">SUMPRODUCT(($B$98:$B$114=$A120)*N$98:N$114*$C$98:$C$114)</f>
        <v>124.341647891029</v>
      </c>
      <c r="O120" s="26" t="n">
        <f aca="false">SUMPRODUCT(($B$98:$B$114=$A120)*O$98:O$114*$C$98:$C$114)</f>
        <v>124.341647891029</v>
      </c>
      <c r="P120" s="26" t="n">
        <f aca="false">SUMPRODUCT(($B$98:$B$114=$A120)*P$98:P$114*$C$98:$C$114)</f>
        <v>1552.05179987619</v>
      </c>
    </row>
    <row r="121" customFormat="false" ht="15" hidden="false" customHeight="false" outlineLevel="0" collapsed="false">
      <c r="A121" s="5" t="s">
        <v>114</v>
      </c>
      <c r="D121" s="26" t="n">
        <f aca="false">SUMPRODUCT(($B$98:$B$114=$A121)*D$98:D$114*$C$98:$C$114)</f>
        <v>109.073760762956</v>
      </c>
      <c r="E121" s="26" t="n">
        <f aca="false">SUMPRODUCT(($B$98:$B$114=$A121)*E$98:E$114*$C$98:$C$114)</f>
        <v>109.073760762956</v>
      </c>
      <c r="F121" s="26" t="n">
        <f aca="false">SUMPRODUCT(($B$98:$B$114=$A121)*F$98:F$114*$C$98:$C$114)</f>
        <v>109.073760762956</v>
      </c>
      <c r="G121" s="26" t="n">
        <f aca="false">SUMPRODUCT(($B$98:$B$114=$A121)*G$98:G$114*$C$98:$C$114)</f>
        <v>109.073760762956</v>
      </c>
      <c r="H121" s="26" t="n">
        <f aca="false">SUMPRODUCT(($B$98:$B$114=$A121)*H$98:H$114*$C$98:$C$114)</f>
        <v>109.073760762956</v>
      </c>
      <c r="I121" s="26" t="n">
        <f aca="false">SUMPRODUCT(($B$98:$B$114=$A121)*I$98:I$114*$C$98:$C$114)</f>
        <v>109.073760762956</v>
      </c>
      <c r="J121" s="26" t="n">
        <f aca="false">SUMPRODUCT(($B$98:$B$114=$A121)*J$98:J$114*$C$98:$C$114)</f>
        <v>109.073760762956</v>
      </c>
      <c r="K121" s="26" t="n">
        <f aca="false">SUMPRODUCT(($B$98:$B$114=$A121)*K$98:K$114*$C$98:$C$114)</f>
        <v>109.073760762956</v>
      </c>
      <c r="L121" s="26" t="n">
        <f aca="false">SUMPRODUCT(($B$98:$B$114=$A121)*L$98:L$114*$C$98:$C$114)</f>
        <v>109.073760762956</v>
      </c>
      <c r="M121" s="26" t="n">
        <f aca="false">SUMPRODUCT(($B$98:$B$114=$A121)*M$98:M$114*$C$98:$C$114)</f>
        <v>109.073760762956</v>
      </c>
      <c r="N121" s="26" t="n">
        <f aca="false">SUMPRODUCT(($B$98:$B$114=$A121)*N$98:N$114*$C$98:$C$114)</f>
        <v>109.073760762956</v>
      </c>
      <c r="O121" s="26" t="n">
        <f aca="false">SUMPRODUCT(($B$98:$B$114=$A121)*O$98:O$114*$C$98:$C$114)</f>
        <v>109.073760762956</v>
      </c>
      <c r="P121" s="26" t="n">
        <f aca="false">SUMPRODUCT(($B$98:$B$114=$A121)*P$98:P$114*$C$98:$C$114)</f>
        <v>1308.88512915548</v>
      </c>
    </row>
    <row r="122" customFormat="false" ht="15" hidden="false" customHeight="false" outlineLevel="0" collapsed="false">
      <c r="A122" s="5" t="s">
        <v>115</v>
      </c>
      <c r="D122" s="26" t="n">
        <f aca="false">SUMPRODUCT(($B$98:$B$114=$A122)*D$98:D$114*$C$98:$C$114)</f>
        <v>58.9057380625568</v>
      </c>
      <c r="E122" s="26" t="n">
        <f aca="false">SUMPRODUCT(($B$98:$B$114=$A122)*E$98:E$114*$C$98:$C$114)</f>
        <v>117.573664116367</v>
      </c>
      <c r="F122" s="26" t="n">
        <f aca="false">SUMPRODUCT(($B$98:$B$114=$A122)*F$98:F$114*$C$98:$C$114)</f>
        <v>58.9057380625568</v>
      </c>
      <c r="G122" s="26" t="n">
        <f aca="false">SUMPRODUCT(($B$98:$B$114=$A122)*G$98:G$114*$C$98:$C$114)</f>
        <v>58.9057380625568</v>
      </c>
      <c r="H122" s="26" t="n">
        <f aca="false">SUMPRODUCT(($B$98:$B$114=$A122)*H$98:H$114*$C$98:$C$114)</f>
        <v>58.9057380625568</v>
      </c>
      <c r="I122" s="26" t="n">
        <f aca="false">SUMPRODUCT(($B$98:$B$114=$A122)*I$98:I$114*$C$98:$C$114)</f>
        <v>58.9057380625568</v>
      </c>
      <c r="J122" s="26" t="n">
        <f aca="false">SUMPRODUCT(($B$98:$B$114=$A122)*J$98:J$114*$C$98:$C$114)</f>
        <v>58.9057380625568</v>
      </c>
      <c r="K122" s="26" t="n">
        <f aca="false">SUMPRODUCT(($B$98:$B$114=$A122)*K$98:K$114*$C$98:$C$114)</f>
        <v>58.9057380625568</v>
      </c>
      <c r="L122" s="26" t="n">
        <f aca="false">SUMPRODUCT(($B$98:$B$114=$A122)*L$98:L$114*$C$98:$C$114)</f>
        <v>58.9057380625568</v>
      </c>
      <c r="M122" s="26" t="n">
        <f aca="false">SUMPRODUCT(($B$98:$B$114=$A122)*M$98:M$114*$C$98:$C$114)</f>
        <v>58.9057380625568</v>
      </c>
      <c r="N122" s="26" t="n">
        <f aca="false">SUMPRODUCT(($B$98:$B$114=$A122)*N$98:N$114*$C$98:$C$114)</f>
        <v>58.9057380625568</v>
      </c>
      <c r="O122" s="26" t="n">
        <f aca="false">SUMPRODUCT(($B$98:$B$114=$A122)*O$98:O$114*$C$98:$C$114)</f>
        <v>58.9057380625568</v>
      </c>
      <c r="P122" s="26" t="n">
        <f aca="false">SUMPRODUCT(($B$98:$B$114=$A122)*P$98:P$114*$C$98:$C$114)</f>
        <v>765.536782804492</v>
      </c>
    </row>
    <row r="123" customFormat="false" ht="15" hidden="false" customHeight="false" outlineLevel="0" collapsed="false">
      <c r="A123" s="5" t="s">
        <v>116</v>
      </c>
      <c r="D123" s="26" t="n">
        <f aca="false">SUMPRODUCT(($B$98:$B$114=$A123)*D$98:D$114*$C$98:$C$114)</f>
        <v>447.130017790078</v>
      </c>
      <c r="E123" s="26" t="n">
        <f aca="false">SUMPRODUCT(($B$98:$B$114=$A123)*E$98:E$114*$C$98:$C$114)</f>
        <v>702.714096503249</v>
      </c>
      <c r="F123" s="26" t="n">
        <f aca="false">SUMPRODUCT(($B$98:$B$114=$A123)*F$98:F$114*$C$98:$C$114)</f>
        <v>447.130017790078</v>
      </c>
      <c r="G123" s="26" t="n">
        <f aca="false">SUMPRODUCT(($B$98:$B$114=$A123)*G$98:G$114*$C$98:$C$114)</f>
        <v>447.130017790078</v>
      </c>
      <c r="H123" s="26" t="n">
        <f aca="false">SUMPRODUCT(($B$98:$B$114=$A123)*H$98:H$114*$C$98:$C$114)</f>
        <v>447.130017790078</v>
      </c>
      <c r="I123" s="26" t="n">
        <f aca="false">SUMPRODUCT(($B$98:$B$114=$A123)*I$98:I$114*$C$98:$C$114)</f>
        <v>447.130017790078</v>
      </c>
      <c r="J123" s="26" t="n">
        <f aca="false">SUMPRODUCT(($B$98:$B$114=$A123)*J$98:J$114*$C$98:$C$114)</f>
        <v>447.130017790078</v>
      </c>
      <c r="K123" s="26" t="n">
        <f aca="false">SUMPRODUCT(($B$98:$B$114=$A123)*K$98:K$114*$C$98:$C$114)</f>
        <v>447.130017790078</v>
      </c>
      <c r="L123" s="26" t="n">
        <f aca="false">SUMPRODUCT(($B$98:$B$114=$A123)*L$98:L$114*$C$98:$C$114)</f>
        <v>447.130017790078</v>
      </c>
      <c r="M123" s="26" t="n">
        <f aca="false">SUMPRODUCT(($B$98:$B$114=$A123)*M$98:M$114*$C$98:$C$114)</f>
        <v>447.130017790078</v>
      </c>
      <c r="N123" s="26" t="n">
        <f aca="false">SUMPRODUCT(($B$98:$B$114=$A123)*N$98:N$114*$C$98:$C$114)</f>
        <v>447.130017790078</v>
      </c>
      <c r="O123" s="26" t="n">
        <f aca="false">SUMPRODUCT(($B$98:$B$114=$A123)*O$98:O$114*$C$98:$C$114)</f>
        <v>447.130017790078</v>
      </c>
      <c r="P123" s="26" t="n">
        <f aca="false">SUMPRODUCT(($B$98:$B$114=$A123)*P$98:P$114*$C$98:$C$114)</f>
        <v>5621.14429219411</v>
      </c>
    </row>
    <row r="124" customFormat="false" ht="15" hidden="false" customHeight="false" outlineLevel="0" collapsed="false">
      <c r="A124" s="5" t="s">
        <v>117</v>
      </c>
      <c r="D124" s="26" t="n">
        <f aca="false">SUMPRODUCT(($B$98:$B$114=$A124)*D$98:D$114*$C$98:$C$114)</f>
        <v>18.7670468652422</v>
      </c>
      <c r="E124" s="26" t="n">
        <f aca="false">SUMPRODUCT(($B$98:$B$114=$A124)*E$98:E$114*$C$98:$C$114)</f>
        <v>18.7670468652422</v>
      </c>
      <c r="F124" s="26" t="n">
        <f aca="false">SUMPRODUCT(($B$98:$B$114=$A124)*F$98:F$114*$C$98:$C$114)</f>
        <v>18.7670468652422</v>
      </c>
      <c r="G124" s="26" t="n">
        <f aca="false">SUMPRODUCT(($B$98:$B$114=$A124)*G$98:G$114*$C$98:$C$114)</f>
        <v>18.7670468652422</v>
      </c>
      <c r="H124" s="26" t="n">
        <f aca="false">SUMPRODUCT(($B$98:$B$114=$A124)*H$98:H$114*$C$98:$C$114)</f>
        <v>18.7670468652422</v>
      </c>
      <c r="I124" s="26" t="n">
        <f aca="false">SUMPRODUCT(($B$98:$B$114=$A124)*I$98:I$114*$C$98:$C$114)</f>
        <v>18.7670468652422</v>
      </c>
      <c r="J124" s="26" t="n">
        <f aca="false">SUMPRODUCT(($B$98:$B$114=$A124)*J$98:J$114*$C$98:$C$114)</f>
        <v>18.7670468652422</v>
      </c>
      <c r="K124" s="26" t="n">
        <f aca="false">SUMPRODUCT(($B$98:$B$114=$A124)*K$98:K$114*$C$98:$C$114)</f>
        <v>18.7670468652422</v>
      </c>
      <c r="L124" s="26" t="n">
        <f aca="false">SUMPRODUCT(($B$98:$B$114=$A124)*L$98:L$114*$C$98:$C$114)</f>
        <v>18.7670468652422</v>
      </c>
      <c r="M124" s="26" t="n">
        <f aca="false">SUMPRODUCT(($B$98:$B$114=$A124)*M$98:M$114*$C$98:$C$114)</f>
        <v>18.7670468652422</v>
      </c>
      <c r="N124" s="26" t="n">
        <f aca="false">SUMPRODUCT(($B$98:$B$114=$A124)*N$98:N$114*$C$98:$C$114)</f>
        <v>18.7670468652422</v>
      </c>
      <c r="O124" s="26" t="n">
        <f aca="false">SUMPRODUCT(($B$98:$B$114=$A124)*O$98:O$114*$C$98:$C$114)</f>
        <v>18.7670468652422</v>
      </c>
      <c r="P124" s="26" t="n">
        <f aca="false">SUMPRODUCT(($B$98:$B$114=$A124)*P$98:P$114*$C$98:$C$114)</f>
        <v>225.204562382906</v>
      </c>
    </row>
    <row r="125" customFormat="false" ht="15" hidden="false" customHeight="false" outlineLevel="0" collapsed="false">
      <c r="A125" s="4" t="s">
        <v>432</v>
      </c>
      <c r="D125" s="27" t="n">
        <f aca="false">SUMPRODUCT(D$98:D$114*parametros_recargas!$D$55:$D$71)</f>
        <v>189.664494955016</v>
      </c>
      <c r="E125" s="27" t="n">
        <f aca="false">SUMPRODUCT(E$98:E$114*parametros_recargas!$D$55:$D$71)</f>
        <v>210.545008549379</v>
      </c>
      <c r="F125" s="27" t="n">
        <f aca="false">SUMPRODUCT(F$98:F$114*parametros_recargas!$D$55:$D$71)</f>
        <v>189.664494955016</v>
      </c>
      <c r="G125" s="27" t="n">
        <f aca="false">SUMPRODUCT(G$98:G$114*parametros_recargas!$D$55:$D$71)</f>
        <v>189.664494955016</v>
      </c>
      <c r="H125" s="27" t="n">
        <f aca="false">SUMPRODUCT(H$98:H$114*parametros_recargas!$D$55:$D$71)</f>
        <v>189.664494955016</v>
      </c>
      <c r="I125" s="27" t="n">
        <f aca="false">SUMPRODUCT(I$98:I$114*parametros_recargas!$D$55:$D$71)</f>
        <v>189.664494955016</v>
      </c>
      <c r="J125" s="27" t="n">
        <f aca="false">SUMPRODUCT(J$98:J$114*parametros_recargas!$D$55:$D$71)</f>
        <v>189.664494955016</v>
      </c>
      <c r="K125" s="27" t="n">
        <f aca="false">SUMPRODUCT(K$98:K$114*parametros_recargas!$D$55:$D$71)</f>
        <v>189.664494955016</v>
      </c>
      <c r="L125" s="27" t="n">
        <f aca="false">SUMPRODUCT(L$98:L$114*parametros_recargas!$D$55:$D$71)</f>
        <v>189.664494955016</v>
      </c>
      <c r="M125" s="27" t="n">
        <f aca="false">SUMPRODUCT(M$98:M$114*parametros_recargas!$D$55:$D$71)</f>
        <v>189.664494955016</v>
      </c>
      <c r="N125" s="27" t="n">
        <f aca="false">SUMPRODUCT(N$98:N$114*parametros_recargas!$D$55:$D$71)</f>
        <v>189.664494955016</v>
      </c>
      <c r="O125" s="27" t="n">
        <f aca="false">SUMPRODUCT(O$98:O$114*parametros_recargas!$D$55:$D$71)</f>
        <v>189.664494955016</v>
      </c>
      <c r="P125" s="27" t="n">
        <f aca="false">SUMPRODUCT(P$98:P$114*parametros_recargas!$D$55:$D$71)</f>
        <v>2296.85445305455</v>
      </c>
    </row>
    <row r="126" customFormat="false" ht="15" hidden="false" customHeight="false" outlineLevel="0" collapsed="false">
      <c r="A126" s="4" t="s">
        <v>433</v>
      </c>
      <c r="D126" s="27" t="n">
        <f aca="false">SUMPRODUCT(sobrestock_sustitutos!$E$73:$E$73,--(sobrestock_sustitutos!$F$30:$F$30="Fábrica: cilindro vacío"),parametros_recargas!$C$55:$C$55)*parametros_recargas!E$109+SUMPRODUCT(sobrestock_sustitutos!$E$74:$E$76,--(sobrestock_sustitutos!$F$31:$F$33="Fábrica: cilindro vacío"),parametros_recargas!$C$56:$C$58)*parametros_recargas!E$110+SUMPRODUCT(sobrestock_sustitutos!$E$86:$E$89,--(sobrestock_sustitutos!$F$43:$F$46="Fábrica: cilindro vacío"),parametros_recargas!$C$68:$C$71)*parametros_recargas!E$111</f>
        <v>27.2798273461</v>
      </c>
      <c r="E126" s="27" t="n">
        <f aca="false">SUMPRODUCT(sobrestock_sustitutos!$E$73:$E$73,--(sobrestock_sustitutos!$F$30:$F$30="Fábrica: cilindro vacío"),parametros_recargas!$C$55:$C$55)*parametros_recargas!F$109+SUMPRODUCT(sobrestock_sustitutos!$E$74:$E$76,--(sobrestock_sustitutos!$F$31:$F$33="Fábrica: cilindro vacío"),parametros_recargas!$C$56:$C$58)*parametros_recargas!F$110+SUMPRODUCT(sobrestock_sustitutos!$E$86:$E$89,--(sobrestock_sustitutos!$F$43:$F$46="Fábrica: cilindro vacío"),parametros_recargas!$C$68:$C$71)*parametros_recargas!F$111</f>
        <v>22.1302005995</v>
      </c>
      <c r="F126" s="27" t="n">
        <f aca="false">SUMPRODUCT(sobrestock_sustitutos!$E$73:$E$73,--(sobrestock_sustitutos!$F$30:$F$30="Fábrica: cilindro vacío"),parametros_recargas!$C$55:$C$55)*parametros_recargas!G$109+SUMPRODUCT(sobrestock_sustitutos!$E$74:$E$76,--(sobrestock_sustitutos!$F$31:$F$33="Fábrica: cilindro vacío"),parametros_recargas!$C$56:$C$58)*parametros_recargas!G$110+SUMPRODUCT(sobrestock_sustitutos!$E$86:$E$89,--(sobrestock_sustitutos!$F$43:$F$46="Fábrica: cilindro vacío"),parametros_recargas!$C$68:$C$71)*parametros_recargas!G$111</f>
        <v>23.9646407194</v>
      </c>
      <c r="G126" s="27" t="n">
        <f aca="false">SUMPRODUCT(sobrestock_sustitutos!$E$73:$E$73,--(sobrestock_sustitutos!$F$30:$F$30="Fábrica: cilindro vacío"),parametros_recargas!$C$55:$C$55)*parametros_recargas!H$109+SUMPRODUCT(sobrestock_sustitutos!$E$74:$E$76,--(sobrestock_sustitutos!$F$31:$F$33="Fábrica: cilindro vacío"),parametros_recargas!$C$56:$C$58)*parametros_recargas!H$110+SUMPRODUCT(sobrestock_sustitutos!$E$86:$E$89,--(sobrestock_sustitutos!$F$43:$F$46="Fábrica: cilindro vacío"),parametros_recargas!$C$68:$C$71)*parametros_recargas!H$111</f>
        <v>23.9646407194</v>
      </c>
      <c r="H126" s="27" t="n">
        <f aca="false">SUMPRODUCT(sobrestock_sustitutos!$E$73:$E$73,--(sobrestock_sustitutos!$F$30:$F$30="Fábrica: cilindro vacío"),parametros_recargas!$C$55:$C$55)*parametros_recargas!I$109+SUMPRODUCT(sobrestock_sustitutos!$E$74:$E$76,--(sobrestock_sustitutos!$F$31:$F$33="Fábrica: cilindro vacío"),parametros_recargas!$C$56:$C$58)*parametros_recargas!I$110+SUMPRODUCT(sobrestock_sustitutos!$E$86:$E$89,--(sobrestock_sustitutos!$F$43:$F$46="Fábrica: cilindro vacío"),parametros_recargas!$C$68:$C$71)*parametros_recargas!I$111</f>
        <v>22.7866407194</v>
      </c>
      <c r="I126" s="27" t="n">
        <f aca="false">SUMPRODUCT(sobrestock_sustitutos!$E$73:$E$73,--(sobrestock_sustitutos!$F$30:$F$30="Fábrica: cilindro vacío"),parametros_recargas!$C$55:$C$55)*parametros_recargas!J$109+SUMPRODUCT(sobrestock_sustitutos!$E$74:$E$76,--(sobrestock_sustitutos!$F$31:$F$33="Fábrica: cilindro vacío"),parametros_recargas!$C$56:$C$58)*parametros_recargas!J$110+SUMPRODUCT(sobrestock_sustitutos!$E$86:$E$89,--(sobrestock_sustitutos!$F$43:$F$46="Fábrica: cilindro vacío"),parametros_recargas!$C$68:$C$71)*parametros_recargas!J$111</f>
        <v>21.1710139728</v>
      </c>
      <c r="J126" s="27" t="n">
        <f aca="false">SUMPRODUCT(sobrestock_sustitutos!$E$73:$E$73,--(sobrestock_sustitutos!$F$30:$F$30="Fábrica: cilindro vacío"),parametros_recargas!$C$55:$C$55)*parametros_recargas!K$109+SUMPRODUCT(sobrestock_sustitutos!$E$74:$E$76,--(sobrestock_sustitutos!$F$31:$F$33="Fábrica: cilindro vacío"),parametros_recargas!$C$56:$C$58)*parametros_recargas!K$110+SUMPRODUCT(sobrestock_sustitutos!$E$86:$E$89,--(sobrestock_sustitutos!$F$43:$F$46="Fábrica: cilindro vacío"),parametros_recargas!$C$68:$C$71)*parametros_recargas!K$111</f>
        <v>22.7866407194</v>
      </c>
      <c r="K126" s="27" t="n">
        <f aca="false">SUMPRODUCT(sobrestock_sustitutos!$E$73:$E$73,--(sobrestock_sustitutos!$F$30:$F$30="Fábrica: cilindro vacío"),parametros_recargas!$C$55:$C$55)*parametros_recargas!L$109+SUMPRODUCT(sobrestock_sustitutos!$E$74:$E$76,--(sobrestock_sustitutos!$F$31:$F$33="Fábrica: cilindro vacío"),parametros_recargas!$C$56:$C$58)*parametros_recargas!L$110+SUMPRODUCT(sobrestock_sustitutos!$E$86:$E$89,--(sobrestock_sustitutos!$F$43:$F$46="Fábrica: cilindro vacío"),parametros_recargas!$C$68:$C$71)*parametros_recargas!L$111</f>
        <v>22.7866407194</v>
      </c>
      <c r="L126" s="27" t="n">
        <f aca="false">SUMPRODUCT(sobrestock_sustitutos!$E$73:$E$73,--(sobrestock_sustitutos!$F$30:$F$30="Fábrica: cilindro vacío"),parametros_recargas!$C$55:$C$55)*parametros_recargas!M$109+SUMPRODUCT(sobrestock_sustitutos!$E$74:$E$76,--(sobrestock_sustitutos!$F$31:$F$33="Fábrica: cilindro vacío"),parametros_recargas!$C$56:$C$58)*parametros_recargas!M$110+SUMPRODUCT(sobrestock_sustitutos!$E$86:$E$89,--(sobrestock_sustitutos!$F$43:$F$46="Fábrica: cilindro vacío"),parametros_recargas!$C$68:$C$71)*parametros_recargas!M$111</f>
        <v>22.5678273461</v>
      </c>
      <c r="M126" s="27" t="n">
        <f aca="false">SUMPRODUCT(sobrestock_sustitutos!$E$73:$E$73,--(sobrestock_sustitutos!$F$30:$F$30="Fábrica: cilindro vacío"),parametros_recargas!$C$55:$C$55)*parametros_recargas!N$109+SUMPRODUCT(sobrestock_sustitutos!$E$74:$E$76,--(sobrestock_sustitutos!$F$31:$F$33="Fábrica: cilindro vacío"),parametros_recargas!$C$56:$C$58)*parametros_recargas!N$110+SUMPRODUCT(sobrestock_sustitutos!$E$86:$E$89,--(sobrestock_sustitutos!$F$43:$F$46="Fábrica: cilindro vacío"),parametros_recargas!$C$68:$C$71)*parametros_recargas!N$111</f>
        <v>20.9522005995</v>
      </c>
      <c r="N126" s="27" t="n">
        <f aca="false">SUMPRODUCT(sobrestock_sustitutos!$E$73:$E$73,--(sobrestock_sustitutos!$F$30:$F$30="Fábrica: cilindro vacío"),parametros_recargas!$C$55:$C$55)*parametros_recargas!O$109+SUMPRODUCT(sobrestock_sustitutos!$E$74:$E$76,--(sobrestock_sustitutos!$F$31:$F$33="Fábrica: cilindro vacío"),parametros_recargas!$C$56:$C$58)*parametros_recargas!O$110+SUMPRODUCT(sobrestock_sustitutos!$E$86:$E$89,--(sobrestock_sustitutos!$F$43:$F$46="Fábrica: cilindro vacío"),parametros_recargas!$C$68:$C$71)*parametros_recargas!O$111</f>
        <v>19.5553872262</v>
      </c>
      <c r="O126" s="27" t="n">
        <f aca="false">SUMPRODUCT(sobrestock_sustitutos!$E$73:$E$73,--(sobrestock_sustitutos!$F$30:$F$30="Fábrica: cilindro vacío"),parametros_recargas!$C$55:$C$55)*parametros_recargas!P$109+SUMPRODUCT(sobrestock_sustitutos!$E$74:$E$76,--(sobrestock_sustitutos!$F$31:$F$33="Fábrica: cilindro vacío"),parametros_recargas!$C$56:$C$58)*parametros_recargas!P$110+SUMPRODUCT(sobrestock_sustitutos!$E$86:$E$89,--(sobrestock_sustitutos!$F$43:$F$46="Fábrica: cilindro vacío"),parametros_recargas!$C$68:$C$71)*parametros_recargas!P$111</f>
        <v>29.4170139728</v>
      </c>
      <c r="P126" s="8" t="n">
        <f aca="false">SUM(D126:O126)</f>
        <v>279.36267466</v>
      </c>
    </row>
    <row r="129" customFormat="false" ht="15" hidden="false" customHeight="false" outlineLevel="0" collapsed="false">
      <c r="A129" s="28" t="n">
        <v>2030</v>
      </c>
      <c r="B129" s="6" t="s">
        <v>428</v>
      </c>
      <c r="C129" s="6" t="s">
        <v>429</v>
      </c>
      <c r="D129" s="6" t="s">
        <v>175</v>
      </c>
      <c r="E129" s="6" t="s">
        <v>176</v>
      </c>
      <c r="F129" s="6" t="s">
        <v>177</v>
      </c>
      <c r="G129" s="6" t="s">
        <v>178</v>
      </c>
      <c r="H129" s="6" t="s">
        <v>179</v>
      </c>
      <c r="I129" s="6" t="s">
        <v>180</v>
      </c>
      <c r="J129" s="6" t="s">
        <v>181</v>
      </c>
      <c r="K129" s="6" t="s">
        <v>182</v>
      </c>
      <c r="L129" s="6" t="s">
        <v>183</v>
      </c>
      <c r="M129" s="6" t="s">
        <v>184</v>
      </c>
      <c r="N129" s="6" t="s">
        <v>185</v>
      </c>
      <c r="O129" s="6" t="s">
        <v>186</v>
      </c>
      <c r="P129" s="6" t="s">
        <v>85</v>
      </c>
    </row>
    <row r="130" customFormat="false" ht="15" hidden="false" customHeight="false" outlineLevel="0" collapsed="false">
      <c r="A130" s="10" t="str">
        <f aca="false">parametros_recargas!A55</f>
        <v>ABC 1 kg</v>
      </c>
      <c r="B130" s="10" t="str">
        <f aca="false">parametros_recargas!B55</f>
        <v>ABC</v>
      </c>
      <c r="C130" s="25" t="n">
        <f aca="false">parametros_recargas!C55</f>
        <v>1</v>
      </c>
      <c r="D130" s="26" t="n">
        <f aca="false">datos_base!$F$2*parametros_recargas!E$55+sobrestock_sustitutos!$E$51/12</f>
        <v>350.041533447653</v>
      </c>
      <c r="E130" s="26" t="n">
        <f aca="false">datos_base!$F$2*parametros_recargas!F$55+sobrestock_sustitutos!$E$51/12</f>
        <v>4583.18287804942</v>
      </c>
      <c r="F130" s="26" t="n">
        <f aca="false">datos_base!$F$2*parametros_recargas!G$55+sobrestock_sustitutos!$E$51/12</f>
        <v>4610.37985705683</v>
      </c>
      <c r="G130" s="26" t="n">
        <f aca="false">datos_base!$F$2*parametros_recargas!H$55+sobrestock_sustitutos!$E$51/12</f>
        <v>4643.32841798923</v>
      </c>
      <c r="H130" s="26" t="n">
        <f aca="false">datos_base!$F$2*parametros_recargas!I$55+sobrestock_sustitutos!$E$51/12</f>
        <v>4645.04842433845</v>
      </c>
      <c r="I130" s="26" t="n">
        <f aca="false">datos_base!$F$2*parametros_recargas!J$55+sobrestock_sustitutos!$E$51/12</f>
        <v>4629.3844358807</v>
      </c>
      <c r="J130" s="26" t="n">
        <f aca="false">datos_base!$F$2*parametros_recargas!K$55+sobrestock_sustitutos!$E$51/12</f>
        <v>4678.65317266419</v>
      </c>
      <c r="K130" s="26" t="n">
        <f aca="false">datos_base!$F$2*parametros_recargas!L$55+sobrestock_sustitutos!$E$51/12</f>
        <v>4641.5736138237</v>
      </c>
      <c r="L130" s="26" t="n">
        <f aca="false">datos_base!$F$2*parametros_recargas!M$55+sobrestock_sustitutos!$E$51/12</f>
        <v>4647.35502244838</v>
      </c>
      <c r="M130" s="26" t="n">
        <f aca="false">datos_base!$F$2*parametros_recargas!N$55+sobrestock_sustitutos!$E$51/12</f>
        <v>4628.24107905896</v>
      </c>
      <c r="N130" s="26" t="n">
        <f aca="false">datos_base!$F$2*parametros_recargas!O$55+sobrestock_sustitutos!$E$51/12</f>
        <v>4545.92933012736</v>
      </c>
      <c r="O130" s="26" t="n">
        <f aca="false">datos_base!$F$2*parametros_recargas!P$55+sobrestock_sustitutos!$E$51/12</f>
        <v>126.386025766666</v>
      </c>
      <c r="P130" s="8" t="n">
        <f aca="false">SUM(D130:O130)</f>
        <v>46729.5037906516</v>
      </c>
    </row>
    <row r="131" customFormat="false" ht="15" hidden="false" customHeight="false" outlineLevel="0" collapsed="false">
      <c r="A131" s="10" t="str">
        <f aca="false">parametros_recargas!A56</f>
        <v>ABC 2,5 kg</v>
      </c>
      <c r="B131" s="10" t="str">
        <f aca="false">parametros_recargas!B56</f>
        <v>ABC</v>
      </c>
      <c r="C131" s="25" t="n">
        <f aca="false">parametros_recargas!C56</f>
        <v>1</v>
      </c>
      <c r="D131" s="26" t="n">
        <f aca="false">datos_base!$F$3*parametros_recargas!E$56+sobrestock_sustitutos!$E$52/12</f>
        <v>347.772361571428</v>
      </c>
      <c r="E131" s="26" t="n">
        <f aca="false">datos_base!$F$3*parametros_recargas!F$56+sobrestock_sustitutos!$E$52/12</f>
        <v>589.969624793741</v>
      </c>
      <c r="F131" s="26" t="n">
        <f aca="false">datos_base!$F$3*parametros_recargas!G$56+sobrestock_sustitutos!$E$52/12</f>
        <v>347.772361571428</v>
      </c>
      <c r="G131" s="26" t="n">
        <f aca="false">datos_base!$F$3*parametros_recargas!H$56+sobrestock_sustitutos!$E$52/12</f>
        <v>347.772361571428</v>
      </c>
      <c r="H131" s="26" t="n">
        <f aca="false">datos_base!$F$3*parametros_recargas!I$56+sobrestock_sustitutos!$E$52/12</f>
        <v>347.772361571428</v>
      </c>
      <c r="I131" s="26" t="n">
        <f aca="false">datos_base!$F$3*parametros_recargas!J$56+sobrestock_sustitutos!$E$52/12</f>
        <v>347.772361571428</v>
      </c>
      <c r="J131" s="26" t="n">
        <f aca="false">datos_base!$F$3*parametros_recargas!K$56+sobrestock_sustitutos!$E$52/12</f>
        <v>347.772361571428</v>
      </c>
      <c r="K131" s="26" t="n">
        <f aca="false">datos_base!$F$3*parametros_recargas!L$56+sobrestock_sustitutos!$E$52/12</f>
        <v>347.772361571428</v>
      </c>
      <c r="L131" s="26" t="n">
        <f aca="false">datos_base!$F$3*parametros_recargas!M$56+sobrestock_sustitutos!$E$52/12</f>
        <v>347.772361571428</v>
      </c>
      <c r="M131" s="26" t="n">
        <f aca="false">datos_base!$F$3*parametros_recargas!N$56+sobrestock_sustitutos!$E$52/12</f>
        <v>347.772361571428</v>
      </c>
      <c r="N131" s="26" t="n">
        <f aca="false">datos_base!$F$3*parametros_recargas!O$56+sobrestock_sustitutos!$E$52/12</f>
        <v>347.772361571428</v>
      </c>
      <c r="O131" s="26" t="n">
        <f aca="false">datos_base!$F$3*parametros_recargas!P$56+sobrestock_sustitutos!$E$52/12</f>
        <v>347.772361571428</v>
      </c>
      <c r="P131" s="8" t="n">
        <f aca="false">SUM(D131:O131)</f>
        <v>4415.46560207945</v>
      </c>
    </row>
    <row r="132" customFormat="false" ht="15" hidden="false" customHeight="false" outlineLevel="0" collapsed="false">
      <c r="A132" s="10" t="str">
        <f aca="false">parametros_recargas!A57</f>
        <v>ABC 5 kg</v>
      </c>
      <c r="B132" s="10" t="str">
        <f aca="false">parametros_recargas!B57</f>
        <v>ABC</v>
      </c>
      <c r="C132" s="25" t="n">
        <f aca="false">parametros_recargas!C57</f>
        <v>1</v>
      </c>
      <c r="D132" s="26" t="n">
        <f aca="false">datos_base!$F$4*parametros_recargas!E$57+sobrestock_sustitutos!$E$53/12</f>
        <v>2051.92286799456</v>
      </c>
      <c r="E132" s="26" t="n">
        <f aca="false">datos_base!$F$4*parametros_recargas!F$57+sobrestock_sustitutos!$E$53/12</f>
        <v>3155.31886075205</v>
      </c>
      <c r="F132" s="26" t="n">
        <f aca="false">datos_base!$F$4*parametros_recargas!G$57+sobrestock_sustitutos!$E$53/12</f>
        <v>2217.73620206257</v>
      </c>
      <c r="G132" s="26" t="n">
        <f aca="false">datos_base!$F$4*parametros_recargas!H$57+sobrestock_sustitutos!$E$53/12</f>
        <v>2219.01856752887</v>
      </c>
      <c r="H132" s="26" t="n">
        <f aca="false">datos_base!$F$4*parametros_recargas!I$57+sobrestock_sustitutos!$E$53/12</f>
        <v>2219.08551056619</v>
      </c>
      <c r="I132" s="26" t="n">
        <f aca="false">datos_base!$F$4*parametros_recargas!J$57+sobrestock_sustitutos!$E$53/12</f>
        <v>2218.47586458183</v>
      </c>
      <c r="J132" s="26" t="n">
        <f aca="false">datos_base!$F$4*parametros_recargas!K$57+sobrestock_sustitutos!$E$53/12</f>
        <v>2220.3934149947</v>
      </c>
      <c r="K132" s="26" t="n">
        <f aca="false">datos_base!$F$4*parametros_recargas!L$57+sobrestock_sustitutos!$E$53/12</f>
        <v>2218.95027015265</v>
      </c>
      <c r="L132" s="26" t="n">
        <f aca="false">datos_base!$F$4*parametros_recargas!M$57+sobrestock_sustitutos!$E$53/12</f>
        <v>2219.17528388791</v>
      </c>
      <c r="M132" s="26" t="n">
        <f aca="false">datos_base!$F$4*parametros_recargas!N$57+sobrestock_sustitutos!$E$53/12</f>
        <v>2218.43136487495</v>
      </c>
      <c r="N132" s="26" t="n">
        <f aca="false">datos_base!$F$4*parametros_recargas!O$57+sobrestock_sustitutos!$E$53/12</f>
        <v>2215.22777293304</v>
      </c>
      <c r="O132" s="26" t="n">
        <f aca="false">datos_base!$F$4*parametros_recargas!P$57+sobrestock_sustitutos!$E$53/12</f>
        <v>2043.21814489646</v>
      </c>
      <c r="P132" s="8" t="n">
        <f aca="false">SUM(D132:O132)</f>
        <v>27216.9541252258</v>
      </c>
    </row>
    <row r="133" customFormat="false" ht="15" hidden="false" customHeight="false" outlineLevel="0" collapsed="false">
      <c r="A133" s="10" t="str">
        <f aca="false">parametros_recargas!A58</f>
        <v>ABC 10 kg</v>
      </c>
      <c r="B133" s="10" t="str">
        <f aca="false">parametros_recargas!B58</f>
        <v>ABC</v>
      </c>
      <c r="C133" s="25" t="n">
        <f aca="false">parametros_recargas!C58</f>
        <v>1</v>
      </c>
      <c r="D133" s="26" t="n">
        <f aca="false">datos_base!$F$5*parametros_recargas!E$58+sobrestock_sustitutos!$E$54/12</f>
        <v>124.923491876552</v>
      </c>
      <c r="E133" s="26" t="n">
        <f aca="false">datos_base!$F$5*parametros_recargas!F$58+sobrestock_sustitutos!$E$54/12</f>
        <v>228.437407178389</v>
      </c>
      <c r="F133" s="26" t="n">
        <f aca="false">datos_base!$F$5*parametros_recargas!G$58+sobrestock_sustitutos!$E$54/12</f>
        <v>124.923491876552</v>
      </c>
      <c r="G133" s="26" t="n">
        <f aca="false">datos_base!$F$5*parametros_recargas!H$58+sobrestock_sustitutos!$E$54/12</f>
        <v>124.923491876552</v>
      </c>
      <c r="H133" s="26" t="n">
        <f aca="false">datos_base!$F$5*parametros_recargas!I$58+sobrestock_sustitutos!$E$54/12</f>
        <v>124.923491876552</v>
      </c>
      <c r="I133" s="26" t="n">
        <f aca="false">datos_base!$F$5*parametros_recargas!J$58+sobrestock_sustitutos!$E$54/12</f>
        <v>124.923491876552</v>
      </c>
      <c r="J133" s="26" t="n">
        <f aca="false">datos_base!$F$5*parametros_recargas!K$58+sobrestock_sustitutos!$E$54/12</f>
        <v>124.923491876552</v>
      </c>
      <c r="K133" s="26" t="n">
        <f aca="false">datos_base!$F$5*parametros_recargas!L$58+sobrestock_sustitutos!$E$54/12</f>
        <v>124.923491876552</v>
      </c>
      <c r="L133" s="26" t="n">
        <f aca="false">datos_base!$F$5*parametros_recargas!M$58+sobrestock_sustitutos!$E$54/12</f>
        <v>124.923491876552</v>
      </c>
      <c r="M133" s="26" t="n">
        <f aca="false">datos_base!$F$5*parametros_recargas!N$58+sobrestock_sustitutos!$E$54/12</f>
        <v>124.923491876552</v>
      </c>
      <c r="N133" s="26" t="n">
        <f aca="false">datos_base!$F$5*parametros_recargas!O$58+sobrestock_sustitutos!$E$54/12</f>
        <v>124.923491876552</v>
      </c>
      <c r="O133" s="26" t="n">
        <f aca="false">datos_base!$F$5*parametros_recargas!P$58+sobrestock_sustitutos!$E$54/12</f>
        <v>124.923491876552</v>
      </c>
      <c r="P133" s="8" t="n">
        <f aca="false">SUM(D133:O133)</f>
        <v>1602.59581782047</v>
      </c>
    </row>
    <row r="134" customFormat="false" ht="15" hidden="false" customHeight="false" outlineLevel="0" collapsed="false">
      <c r="A134" s="10" t="str">
        <f aca="false">parametros_recargas!A59</f>
        <v>Agua 10 l</v>
      </c>
      <c r="B134" s="10" t="str">
        <f aca="false">parametros_recargas!B59</f>
        <v>Agua</v>
      </c>
      <c r="C134" s="25" t="n">
        <f aca="false">parametros_recargas!C59</f>
        <v>1</v>
      </c>
      <c r="D134" s="26" t="n">
        <f aca="false">datos_base!$F$6*parametros_recargas!E$59+sobrestock_sustitutos!$E$55/12</f>
        <v>179.987236052161</v>
      </c>
      <c r="E134" s="26" t="n">
        <f aca="false">datos_base!$F$6*parametros_recargas!F$59+sobrestock_sustitutos!$E$55/12</f>
        <v>266.486655603576</v>
      </c>
      <c r="F134" s="26" t="n">
        <f aca="false">datos_base!$F$6*parametros_recargas!G$59+sobrestock_sustitutos!$E$55/12</f>
        <v>179.987236052161</v>
      </c>
      <c r="G134" s="26" t="n">
        <f aca="false">datos_base!$F$6*parametros_recargas!H$59+sobrestock_sustitutos!$E$55/12</f>
        <v>179.987236052161</v>
      </c>
      <c r="H134" s="26" t="n">
        <f aca="false">datos_base!$F$6*parametros_recargas!I$59+sobrestock_sustitutos!$E$55/12</f>
        <v>179.987236052161</v>
      </c>
      <c r="I134" s="26" t="n">
        <f aca="false">datos_base!$F$6*parametros_recargas!J$59+sobrestock_sustitutos!$E$55/12</f>
        <v>179.987236052161</v>
      </c>
      <c r="J134" s="26" t="n">
        <f aca="false">datos_base!$F$6*parametros_recargas!K$59+sobrestock_sustitutos!$E$55/12</f>
        <v>179.987236052161</v>
      </c>
      <c r="K134" s="26" t="n">
        <f aca="false">datos_base!$F$6*parametros_recargas!L$59+sobrestock_sustitutos!$E$55/12</f>
        <v>179.987236052161</v>
      </c>
      <c r="L134" s="26" t="n">
        <f aca="false">datos_base!$F$6*parametros_recargas!M$59+sobrestock_sustitutos!$E$55/12</f>
        <v>179.987236052161</v>
      </c>
      <c r="M134" s="26" t="n">
        <f aca="false">datos_base!$F$6*parametros_recargas!N$59+sobrestock_sustitutos!$E$55/12</f>
        <v>179.987236052161</v>
      </c>
      <c r="N134" s="26" t="n">
        <f aca="false">datos_base!$F$6*parametros_recargas!O$59+sobrestock_sustitutos!$E$55/12</f>
        <v>179.987236052161</v>
      </c>
      <c r="O134" s="26" t="n">
        <f aca="false">datos_base!$F$6*parametros_recargas!P$59+sobrestock_sustitutos!$E$55/12</f>
        <v>179.987236052161</v>
      </c>
      <c r="P134" s="8" t="n">
        <f aca="false">SUM(D134:O134)</f>
        <v>2246.34625217735</v>
      </c>
    </row>
    <row r="135" customFormat="false" ht="15" hidden="false" customHeight="false" outlineLevel="0" collapsed="false">
      <c r="A135" s="10" t="str">
        <f aca="false">parametros_recargas!A60</f>
        <v>AFFF 10 l</v>
      </c>
      <c r="B135" s="10" t="str">
        <f aca="false">parametros_recargas!B60</f>
        <v>AFFF</v>
      </c>
      <c r="C135" s="25" t="n">
        <f aca="false">parametros_recargas!C60</f>
        <v>1</v>
      </c>
      <c r="D135" s="26" t="n">
        <f aca="false">datos_base!$F$7*parametros_recargas!E$60+sobrestock_sustitutos!$E$56/12</f>
        <v>35.0371376777188</v>
      </c>
      <c r="E135" s="26" t="n">
        <f aca="false">datos_base!$F$7*parametros_recargas!F$60+sobrestock_sustitutos!$E$56/12</f>
        <v>35.0371376777188</v>
      </c>
      <c r="F135" s="26" t="n">
        <f aca="false">datos_base!$F$7*parametros_recargas!G$60+sobrestock_sustitutos!$E$56/12</f>
        <v>35.0371376777188</v>
      </c>
      <c r="G135" s="26" t="n">
        <f aca="false">datos_base!$F$7*parametros_recargas!H$60+sobrestock_sustitutos!$E$56/12</f>
        <v>35.0371376777188</v>
      </c>
      <c r="H135" s="26" t="n">
        <f aca="false">datos_base!$F$7*parametros_recargas!I$60+sobrestock_sustitutos!$E$56/12</f>
        <v>35.0371376777188</v>
      </c>
      <c r="I135" s="26" t="n">
        <f aca="false">datos_base!$F$7*parametros_recargas!J$60+sobrestock_sustitutos!$E$56/12</f>
        <v>35.0371376777188</v>
      </c>
      <c r="J135" s="26" t="n">
        <f aca="false">datos_base!$F$7*parametros_recargas!K$60+sobrestock_sustitutos!$E$56/12</f>
        <v>35.0371376777188</v>
      </c>
      <c r="K135" s="26" t="n">
        <f aca="false">datos_base!$F$7*parametros_recargas!L$60+sobrestock_sustitutos!$E$56/12</f>
        <v>35.0371376777188</v>
      </c>
      <c r="L135" s="26" t="n">
        <f aca="false">datos_base!$F$7*parametros_recargas!M$60+sobrestock_sustitutos!$E$56/12</f>
        <v>35.0371376777188</v>
      </c>
      <c r="M135" s="26" t="n">
        <f aca="false">datos_base!$F$7*parametros_recargas!N$60+sobrestock_sustitutos!$E$56/12</f>
        <v>35.0371376777188</v>
      </c>
      <c r="N135" s="26" t="n">
        <f aca="false">datos_base!$F$7*parametros_recargas!O$60+sobrestock_sustitutos!$E$56/12</f>
        <v>35.0371376777188</v>
      </c>
      <c r="O135" s="26" t="n">
        <f aca="false">datos_base!$F$7*parametros_recargas!P$60+sobrestock_sustitutos!$E$56/12</f>
        <v>35.0371376777188</v>
      </c>
      <c r="P135" s="8" t="n">
        <f aca="false">SUM(D135:O135)</f>
        <v>420.445652132626</v>
      </c>
    </row>
    <row r="136" customFormat="false" ht="15" hidden="false" customHeight="false" outlineLevel="0" collapsed="false">
      <c r="A136" s="10" t="str">
        <f aca="false">parametros_recargas!A61</f>
        <v>AFFF 50 l s/ruedas</v>
      </c>
      <c r="B136" s="10" t="str">
        <f aca="false">parametros_recargas!B61</f>
        <v>AFFF</v>
      </c>
      <c r="C136" s="25" t="n">
        <f aca="false">parametros_recargas!C61</f>
        <v>6.360853875</v>
      </c>
      <c r="D136" s="26" t="n">
        <f aca="false">datos_base!$F$8*parametros_recargas!E$61+sobrestock_sustitutos!$E$57/12</f>
        <v>18.7666095947696</v>
      </c>
      <c r="E136" s="26" t="n">
        <f aca="false">datos_base!$F$8*parametros_recargas!F$61+sobrestock_sustitutos!$E$57/12</f>
        <v>18.7666095947696</v>
      </c>
      <c r="F136" s="26" t="n">
        <f aca="false">datos_base!$F$8*parametros_recargas!G$61+sobrestock_sustitutos!$E$57/12</f>
        <v>18.7666095947696</v>
      </c>
      <c r="G136" s="26" t="n">
        <f aca="false">datos_base!$F$8*parametros_recargas!H$61+sobrestock_sustitutos!$E$57/12</f>
        <v>18.7666095947696</v>
      </c>
      <c r="H136" s="26" t="n">
        <f aca="false">datos_base!$F$8*parametros_recargas!I$61+sobrestock_sustitutos!$E$57/12</f>
        <v>18.7666095947696</v>
      </c>
      <c r="I136" s="26" t="n">
        <f aca="false">datos_base!$F$8*parametros_recargas!J$61+sobrestock_sustitutos!$E$57/12</f>
        <v>18.7666095947696</v>
      </c>
      <c r="J136" s="26" t="n">
        <f aca="false">datos_base!$F$8*parametros_recargas!K$61+sobrestock_sustitutos!$E$57/12</f>
        <v>18.7666095947696</v>
      </c>
      <c r="K136" s="26" t="n">
        <f aca="false">datos_base!$F$8*parametros_recargas!L$61+sobrestock_sustitutos!$E$57/12</f>
        <v>18.7666095947696</v>
      </c>
      <c r="L136" s="26" t="n">
        <f aca="false">datos_base!$F$8*parametros_recargas!M$61+sobrestock_sustitutos!$E$57/12</f>
        <v>18.7666095947696</v>
      </c>
      <c r="M136" s="26" t="n">
        <f aca="false">datos_base!$F$8*parametros_recargas!N$61+sobrestock_sustitutos!$E$57/12</f>
        <v>18.7666095947696</v>
      </c>
      <c r="N136" s="26" t="n">
        <f aca="false">datos_base!$F$8*parametros_recargas!O$61+sobrestock_sustitutos!$E$57/12</f>
        <v>18.7666095947696</v>
      </c>
      <c r="O136" s="26" t="n">
        <f aca="false">datos_base!$F$8*parametros_recargas!P$61+sobrestock_sustitutos!$E$57/12</f>
        <v>18.7666095947696</v>
      </c>
      <c r="P136" s="8" t="n">
        <f aca="false">SUM(D136:O136)</f>
        <v>225.199315137235</v>
      </c>
    </row>
    <row r="137" customFormat="false" ht="15" hidden="false" customHeight="false" outlineLevel="0" collapsed="false">
      <c r="A137" s="10" t="str">
        <f aca="false">parametros_recargas!A62</f>
        <v>BC 5 kg</v>
      </c>
      <c r="B137" s="10" t="str">
        <f aca="false">parametros_recargas!B62</f>
        <v>BC</v>
      </c>
      <c r="C137" s="25" t="n">
        <f aca="false">parametros_recargas!C62</f>
        <v>1</v>
      </c>
      <c r="D137" s="26" t="n">
        <f aca="false">datos_base!$F$9*parametros_recargas!E$62+sobrestock_sustitutos!$E$58/12</f>
        <v>10.406777712021</v>
      </c>
      <c r="E137" s="26" t="n">
        <f aca="false">datos_base!$F$9*parametros_recargas!F$62+sobrestock_sustitutos!$E$58/12</f>
        <v>10.406777712021</v>
      </c>
      <c r="F137" s="26" t="n">
        <f aca="false">datos_base!$F$9*parametros_recargas!G$62+sobrestock_sustitutos!$E$58/12</f>
        <v>10.406777712021</v>
      </c>
      <c r="G137" s="26" t="n">
        <f aca="false">datos_base!$F$9*parametros_recargas!H$62+sobrestock_sustitutos!$E$58/12</f>
        <v>10.406777712021</v>
      </c>
      <c r="H137" s="26" t="n">
        <f aca="false">datos_base!$F$9*parametros_recargas!I$62+sobrestock_sustitutos!$E$58/12</f>
        <v>10.406777712021</v>
      </c>
      <c r="I137" s="26" t="n">
        <f aca="false">datos_base!$F$9*parametros_recargas!J$62+sobrestock_sustitutos!$E$58/12</f>
        <v>10.406777712021</v>
      </c>
      <c r="J137" s="26" t="n">
        <f aca="false">datos_base!$F$9*parametros_recargas!K$62+sobrestock_sustitutos!$E$58/12</f>
        <v>10.406777712021</v>
      </c>
      <c r="K137" s="26" t="n">
        <f aca="false">datos_base!$F$9*parametros_recargas!L$62+sobrestock_sustitutos!$E$58/12</f>
        <v>10.406777712021</v>
      </c>
      <c r="L137" s="26" t="n">
        <f aca="false">datos_base!$F$9*parametros_recargas!M$62+sobrestock_sustitutos!$E$58/12</f>
        <v>10.406777712021</v>
      </c>
      <c r="M137" s="26" t="n">
        <f aca="false">datos_base!$F$9*parametros_recargas!N$62+sobrestock_sustitutos!$E$58/12</f>
        <v>10.406777712021</v>
      </c>
      <c r="N137" s="26" t="n">
        <f aca="false">datos_base!$F$9*parametros_recargas!O$62+sobrestock_sustitutos!$E$58/12</f>
        <v>10.406777712021</v>
      </c>
      <c r="O137" s="26" t="n">
        <f aca="false">datos_base!$F$9*parametros_recargas!P$62+sobrestock_sustitutos!$E$58/12</f>
        <v>10.406777712021</v>
      </c>
      <c r="P137" s="8" t="n">
        <f aca="false">SUM(D137:O137)</f>
        <v>124.881332544252</v>
      </c>
    </row>
    <row r="138" customFormat="false" ht="15" hidden="false" customHeight="false" outlineLevel="0" collapsed="false">
      <c r="A138" s="10" t="str">
        <f aca="false">parametros_recargas!A63</f>
        <v>Sales K 6 l</v>
      </c>
      <c r="B138" s="10" t="str">
        <f aca="false">parametros_recargas!B63</f>
        <v>Sales K</v>
      </c>
      <c r="C138" s="25" t="n">
        <f aca="false">parametros_recargas!C63</f>
        <v>1</v>
      </c>
      <c r="D138" s="26" t="n">
        <f aca="false">datos_base!$F$10*parametros_recargas!E$63+sobrestock_sustitutos!$E$59/12</f>
        <v>85.4012444425368</v>
      </c>
      <c r="E138" s="26" t="n">
        <f aca="false">datos_base!$F$10*parametros_recargas!F$63+sobrestock_sustitutos!$E$59/12</f>
        <v>170.069123541662</v>
      </c>
      <c r="F138" s="26" t="n">
        <f aca="false">datos_base!$F$10*parametros_recargas!G$63+sobrestock_sustitutos!$E$59/12</f>
        <v>85.4012444425368</v>
      </c>
      <c r="G138" s="26" t="n">
        <f aca="false">datos_base!$F$10*parametros_recargas!H$63+sobrestock_sustitutos!$E$59/12</f>
        <v>85.4012444425368</v>
      </c>
      <c r="H138" s="26" t="n">
        <f aca="false">datos_base!$F$10*parametros_recargas!I$63+sobrestock_sustitutos!$E$59/12</f>
        <v>85.4012444425368</v>
      </c>
      <c r="I138" s="26" t="n">
        <f aca="false">datos_base!$F$10*parametros_recargas!J$63+sobrestock_sustitutos!$E$59/12</f>
        <v>85.4012444425368</v>
      </c>
      <c r="J138" s="26" t="n">
        <f aca="false">datos_base!$F$10*parametros_recargas!K$63+sobrestock_sustitutos!$E$59/12</f>
        <v>85.4012444425368</v>
      </c>
      <c r="K138" s="26" t="n">
        <f aca="false">datos_base!$F$10*parametros_recargas!L$63+sobrestock_sustitutos!$E$59/12</f>
        <v>85.4012444425368</v>
      </c>
      <c r="L138" s="26" t="n">
        <f aca="false">datos_base!$F$10*parametros_recargas!M$63+sobrestock_sustitutos!$E$59/12</f>
        <v>85.4012444425368</v>
      </c>
      <c r="M138" s="26" t="n">
        <f aca="false">datos_base!$F$10*parametros_recargas!N$63+sobrestock_sustitutos!$E$59/12</f>
        <v>85.4012444425368</v>
      </c>
      <c r="N138" s="26" t="n">
        <f aca="false">datos_base!$F$10*parametros_recargas!O$63+sobrestock_sustitutos!$E$59/12</f>
        <v>85.4012444425368</v>
      </c>
      <c r="O138" s="26" t="n">
        <f aca="false">datos_base!$F$10*parametros_recargas!P$63+sobrestock_sustitutos!$E$59/12</f>
        <v>85.4012444425368</v>
      </c>
      <c r="P138" s="8" t="n">
        <f aca="false">SUM(D138:O138)</f>
        <v>1109.48281240957</v>
      </c>
    </row>
    <row r="139" customFormat="false" ht="15" hidden="false" customHeight="false" outlineLevel="0" collapsed="false">
      <c r="A139" s="10" t="str">
        <f aca="false">parametros_recargas!A64</f>
        <v>CO₂ 2 kg</v>
      </c>
      <c r="B139" s="10" t="str">
        <f aca="false">parametros_recargas!B64</f>
        <v>CO₂</v>
      </c>
      <c r="C139" s="25" t="n">
        <f aca="false">parametros_recargas!C64</f>
        <v>1</v>
      </c>
      <c r="D139" s="26" t="n">
        <f aca="false">datos_base!$F$11*parametros_recargas!E$64+sobrestock_sustitutos!$E$60/12</f>
        <v>482.678900595592</v>
      </c>
      <c r="E139" s="26" t="n">
        <f aca="false">datos_base!$F$11*parametros_recargas!F$64+sobrestock_sustitutos!$E$60/12</f>
        <v>835.967942239877</v>
      </c>
      <c r="F139" s="26" t="n">
        <f aca="false">datos_base!$F$11*parametros_recargas!G$64+sobrestock_sustitutos!$E$60/12</f>
        <v>482.678900595592</v>
      </c>
      <c r="G139" s="26" t="n">
        <f aca="false">datos_base!$F$11*parametros_recargas!H$64+sobrestock_sustitutos!$E$60/12</f>
        <v>482.678900595592</v>
      </c>
      <c r="H139" s="26" t="n">
        <f aca="false">datos_base!$F$11*parametros_recargas!I$64+sobrestock_sustitutos!$E$60/12</f>
        <v>482.678900595592</v>
      </c>
      <c r="I139" s="26" t="n">
        <f aca="false">datos_base!$F$11*parametros_recargas!J$64+sobrestock_sustitutos!$E$60/12</f>
        <v>482.678900595592</v>
      </c>
      <c r="J139" s="26" t="n">
        <f aca="false">datos_base!$F$11*parametros_recargas!K$64+sobrestock_sustitutos!$E$60/12</f>
        <v>482.678900595592</v>
      </c>
      <c r="K139" s="26" t="n">
        <f aca="false">datos_base!$F$11*parametros_recargas!L$64+sobrestock_sustitutos!$E$60/12</f>
        <v>482.678900595592</v>
      </c>
      <c r="L139" s="26" t="n">
        <f aca="false">datos_base!$F$11*parametros_recargas!M$64+sobrestock_sustitutos!$E$60/12</f>
        <v>482.678900595592</v>
      </c>
      <c r="M139" s="26" t="n">
        <f aca="false">datos_base!$F$11*parametros_recargas!N$64+sobrestock_sustitutos!$E$60/12</f>
        <v>482.678900595592</v>
      </c>
      <c r="N139" s="26" t="n">
        <f aca="false">datos_base!$F$11*parametros_recargas!O$64+sobrestock_sustitutos!$E$60/12</f>
        <v>482.678900595592</v>
      </c>
      <c r="O139" s="26" t="n">
        <f aca="false">datos_base!$F$11*parametros_recargas!P$64+sobrestock_sustitutos!$E$60/12</f>
        <v>482.678900595592</v>
      </c>
      <c r="P139" s="8" t="n">
        <f aca="false">SUM(D139:O139)</f>
        <v>6145.43584879139</v>
      </c>
    </row>
    <row r="140" customFormat="false" ht="15" hidden="false" customHeight="false" outlineLevel="0" collapsed="false">
      <c r="A140" s="10" t="str">
        <f aca="false">parametros_recargas!A65</f>
        <v>CO₂ 5 kg</v>
      </c>
      <c r="B140" s="10" t="str">
        <f aca="false">parametros_recargas!B65</f>
        <v>CO₂</v>
      </c>
      <c r="C140" s="25" t="n">
        <f aca="false">parametros_recargas!C65</f>
        <v>1</v>
      </c>
      <c r="D140" s="26" t="n">
        <f aca="false">datos_base!$F$12*parametros_recargas!E$65+sobrestock_sustitutos!$E$61/12</f>
        <v>164.843285469247</v>
      </c>
      <c r="E140" s="26" t="n">
        <f aca="false">datos_base!$F$12*parametros_recargas!F$65+sobrestock_sustitutos!$E$61/12</f>
        <v>180.639224548661</v>
      </c>
      <c r="F140" s="26" t="n">
        <f aca="false">datos_base!$F$12*parametros_recargas!G$65+sobrestock_sustitutos!$E$61/12</f>
        <v>164.843285469247</v>
      </c>
      <c r="G140" s="26" t="n">
        <f aca="false">datos_base!$F$12*parametros_recargas!H$65+sobrestock_sustitutos!$E$61/12</f>
        <v>164.843285469247</v>
      </c>
      <c r="H140" s="26" t="n">
        <f aca="false">datos_base!$F$12*parametros_recargas!I$65+sobrestock_sustitutos!$E$61/12</f>
        <v>164.843285469247</v>
      </c>
      <c r="I140" s="26" t="n">
        <f aca="false">datos_base!$F$12*parametros_recargas!J$65+sobrestock_sustitutos!$E$61/12</f>
        <v>164.843285469247</v>
      </c>
      <c r="J140" s="26" t="n">
        <f aca="false">datos_base!$F$12*parametros_recargas!K$65+sobrestock_sustitutos!$E$61/12</f>
        <v>164.843285469247</v>
      </c>
      <c r="K140" s="26" t="n">
        <f aca="false">datos_base!$F$12*parametros_recargas!L$65+sobrestock_sustitutos!$E$61/12</f>
        <v>164.843285469247</v>
      </c>
      <c r="L140" s="26" t="n">
        <f aca="false">datos_base!$F$12*parametros_recargas!M$65+sobrestock_sustitutos!$E$61/12</f>
        <v>164.843285469247</v>
      </c>
      <c r="M140" s="26" t="n">
        <f aca="false">datos_base!$F$12*parametros_recargas!N$65+sobrestock_sustitutos!$E$61/12</f>
        <v>164.843285469247</v>
      </c>
      <c r="N140" s="26" t="n">
        <f aca="false">datos_base!$F$12*parametros_recargas!O$65+sobrestock_sustitutos!$E$61/12</f>
        <v>164.843285469247</v>
      </c>
      <c r="O140" s="26" t="n">
        <f aca="false">datos_base!$F$12*parametros_recargas!P$65+sobrestock_sustitutos!$E$61/12</f>
        <v>164.843285469247</v>
      </c>
      <c r="P140" s="8" t="n">
        <f aca="false">SUM(D140:O140)</f>
        <v>1993.91536471038</v>
      </c>
    </row>
    <row r="141" customFormat="false" ht="15" hidden="false" customHeight="false" outlineLevel="0" collapsed="false">
      <c r="A141" s="10" t="str">
        <f aca="false">parametros_recargas!A66</f>
        <v>HCFC/HFC 5 kg</v>
      </c>
      <c r="B141" s="10" t="str">
        <f aca="false">parametros_recargas!B66</f>
        <v>Halogenado</v>
      </c>
      <c r="C141" s="25" t="n">
        <f aca="false">parametros_recargas!C66</f>
        <v>1</v>
      </c>
      <c r="D141" s="26" t="n">
        <f aca="false">datos_base!$F$13*parametros_recargas!E$66+sobrestock_sustitutos!$E$62/12</f>
        <v>27.047992429358</v>
      </c>
      <c r="E141" s="26" t="n">
        <f aca="false">datos_base!$F$13*parametros_recargas!F$66+sobrestock_sustitutos!$E$62/12</f>
        <v>27.047992429358</v>
      </c>
      <c r="F141" s="26" t="n">
        <f aca="false">datos_base!$F$13*parametros_recargas!G$66+sobrestock_sustitutos!$E$62/12</f>
        <v>27.047992429358</v>
      </c>
      <c r="G141" s="26" t="n">
        <f aca="false">datos_base!$F$13*parametros_recargas!H$66+sobrestock_sustitutos!$E$62/12</f>
        <v>27.047992429358</v>
      </c>
      <c r="H141" s="26" t="n">
        <f aca="false">datos_base!$F$13*parametros_recargas!I$66+sobrestock_sustitutos!$E$62/12</f>
        <v>27.047992429358</v>
      </c>
      <c r="I141" s="26" t="n">
        <f aca="false">datos_base!$F$13*parametros_recargas!J$66+sobrestock_sustitutos!$E$62/12</f>
        <v>27.047992429358</v>
      </c>
      <c r="J141" s="26" t="n">
        <f aca="false">datos_base!$F$13*parametros_recargas!K$66+sobrestock_sustitutos!$E$62/12</f>
        <v>27.047992429358</v>
      </c>
      <c r="K141" s="26" t="n">
        <f aca="false">datos_base!$F$13*parametros_recargas!L$66+sobrestock_sustitutos!$E$62/12</f>
        <v>27.047992429358</v>
      </c>
      <c r="L141" s="26" t="n">
        <f aca="false">datos_base!$F$13*parametros_recargas!M$66+sobrestock_sustitutos!$E$62/12</f>
        <v>27.047992429358</v>
      </c>
      <c r="M141" s="26" t="n">
        <f aca="false">datos_base!$F$13*parametros_recargas!N$66+sobrestock_sustitutos!$E$62/12</f>
        <v>27.047992429358</v>
      </c>
      <c r="N141" s="26" t="n">
        <f aca="false">datos_base!$F$13*parametros_recargas!O$66+sobrestock_sustitutos!$E$62/12</f>
        <v>27.047992429358</v>
      </c>
      <c r="O141" s="26" t="n">
        <f aca="false">datos_base!$F$13*parametros_recargas!P$66+sobrestock_sustitutos!$E$62/12</f>
        <v>27.047992429358</v>
      </c>
      <c r="P141" s="8" t="n">
        <f aca="false">SUM(D141:O141)</f>
        <v>324.575909152296</v>
      </c>
    </row>
    <row r="142" customFormat="false" ht="15" hidden="false" customHeight="false" outlineLevel="0" collapsed="false">
      <c r="A142" s="10" t="str">
        <f aca="false">parametros_recargas!A67</f>
        <v>Clase D 9 l</v>
      </c>
      <c r="B142" s="10" t="str">
        <f aca="false">parametros_recargas!B67</f>
        <v>Clase D</v>
      </c>
      <c r="C142" s="25" t="n">
        <f aca="false">parametros_recargas!C67</f>
        <v>1</v>
      </c>
      <c r="D142" s="26" t="n">
        <f aca="false">datos_base!$F$14*parametros_recargas!E$67+sobrestock_sustitutos!$E$63/12</f>
        <v>9.73349144375313</v>
      </c>
      <c r="E142" s="26" t="n">
        <f aca="false">datos_base!$F$14*parametros_recargas!F$67+sobrestock_sustitutos!$E$63/12</f>
        <v>9.73349144375313</v>
      </c>
      <c r="F142" s="26" t="n">
        <f aca="false">datos_base!$F$14*parametros_recargas!G$67+sobrestock_sustitutos!$E$63/12</f>
        <v>9.73349144375313</v>
      </c>
      <c r="G142" s="26" t="n">
        <f aca="false">datos_base!$F$14*parametros_recargas!H$67+sobrestock_sustitutos!$E$63/12</f>
        <v>9.73349144375313</v>
      </c>
      <c r="H142" s="26" t="n">
        <f aca="false">datos_base!$F$14*parametros_recargas!I$67+sobrestock_sustitutos!$E$63/12</f>
        <v>9.73349144375313</v>
      </c>
      <c r="I142" s="26" t="n">
        <f aca="false">datos_base!$F$14*parametros_recargas!J$67+sobrestock_sustitutos!$E$63/12</f>
        <v>9.73349144375313</v>
      </c>
      <c r="J142" s="26" t="n">
        <f aca="false">datos_base!$F$14*parametros_recargas!K$67+sobrestock_sustitutos!$E$63/12</f>
        <v>9.73349144375313</v>
      </c>
      <c r="K142" s="26" t="n">
        <f aca="false">datos_base!$F$14*parametros_recargas!L$67+sobrestock_sustitutos!$E$63/12</f>
        <v>9.73349144375313</v>
      </c>
      <c r="L142" s="26" t="n">
        <f aca="false">datos_base!$F$14*parametros_recargas!M$67+sobrestock_sustitutos!$E$63/12</f>
        <v>9.73349144375313</v>
      </c>
      <c r="M142" s="26" t="n">
        <f aca="false">datos_base!$F$14*parametros_recargas!N$67+sobrestock_sustitutos!$E$63/12</f>
        <v>9.73349144375313</v>
      </c>
      <c r="N142" s="26" t="n">
        <f aca="false">datos_base!$F$14*parametros_recargas!O$67+sobrestock_sustitutos!$E$63/12</f>
        <v>9.73349144375313</v>
      </c>
      <c r="O142" s="26" t="n">
        <f aca="false">datos_base!$F$14*parametros_recargas!P$67+sobrestock_sustitutos!$E$63/12</f>
        <v>9.73349144375313</v>
      </c>
      <c r="P142" s="8" t="n">
        <f aca="false">SUM(D142:O142)</f>
        <v>116.801897325038</v>
      </c>
    </row>
    <row r="143" customFormat="false" ht="15" hidden="false" customHeight="false" outlineLevel="0" collapsed="false">
      <c r="A143" s="10" t="str">
        <f aca="false">parametros_recargas!A68</f>
        <v>ABC 25 kg s/ruedas</v>
      </c>
      <c r="B143" s="10" t="str">
        <f aca="false">parametros_recargas!B68</f>
        <v>ABC</v>
      </c>
      <c r="C143" s="25" t="n">
        <f aca="false">parametros_recargas!C68</f>
        <v>6.360853875</v>
      </c>
      <c r="D143" s="26" t="n">
        <f aca="false">datos_base!$F$15*parametros_recargas!E$68+sobrestock_sustitutos!$E$64/12</f>
        <v>22.407903165767</v>
      </c>
      <c r="E143" s="26" t="n">
        <f aca="false">datos_base!$F$15*parametros_recargas!F$68+sobrestock_sustitutos!$E$64/12</f>
        <v>25.9741470125018</v>
      </c>
      <c r="F143" s="26" t="n">
        <f aca="false">datos_base!$F$15*parametros_recargas!G$68+sobrestock_sustitutos!$E$64/12</f>
        <v>22.407903165767</v>
      </c>
      <c r="G143" s="26" t="n">
        <f aca="false">datos_base!$F$15*parametros_recargas!H$68+sobrestock_sustitutos!$E$64/12</f>
        <v>22.407903165767</v>
      </c>
      <c r="H143" s="26" t="n">
        <f aca="false">datos_base!$F$15*parametros_recargas!I$68+sobrestock_sustitutos!$E$64/12</f>
        <v>22.407903165767</v>
      </c>
      <c r="I143" s="26" t="n">
        <f aca="false">datos_base!$F$15*parametros_recargas!J$68+sobrestock_sustitutos!$E$64/12</f>
        <v>22.407903165767</v>
      </c>
      <c r="J143" s="26" t="n">
        <f aca="false">datos_base!$F$15*parametros_recargas!K$68+sobrestock_sustitutos!$E$64/12</f>
        <v>22.407903165767</v>
      </c>
      <c r="K143" s="26" t="n">
        <f aca="false">datos_base!$F$15*parametros_recargas!L$68+sobrestock_sustitutos!$E$64/12</f>
        <v>22.407903165767</v>
      </c>
      <c r="L143" s="26" t="n">
        <f aca="false">datos_base!$F$15*parametros_recargas!M$68+sobrestock_sustitutos!$E$64/12</f>
        <v>22.407903165767</v>
      </c>
      <c r="M143" s="26" t="n">
        <f aca="false">datos_base!$F$15*parametros_recargas!N$68+sobrestock_sustitutos!$E$64/12</f>
        <v>22.407903165767</v>
      </c>
      <c r="N143" s="26" t="n">
        <f aca="false">datos_base!$F$15*parametros_recargas!O$68+sobrestock_sustitutos!$E$64/12</f>
        <v>22.407903165767</v>
      </c>
      <c r="O143" s="26" t="n">
        <f aca="false">datos_base!$F$15*parametros_recargas!P$68+sobrestock_sustitutos!$E$64/12</f>
        <v>22.407903165767</v>
      </c>
      <c r="P143" s="8" t="n">
        <f aca="false">SUM(D143:O143)</f>
        <v>272.461081835939</v>
      </c>
    </row>
    <row r="144" customFormat="false" ht="15" hidden="false" customHeight="false" outlineLevel="0" collapsed="false">
      <c r="A144" s="10" t="str">
        <f aca="false">parametros_recargas!A69</f>
        <v>ABC 50 kg s/ruedas</v>
      </c>
      <c r="B144" s="10" t="str">
        <f aca="false">parametros_recargas!B69</f>
        <v>ABC</v>
      </c>
      <c r="C144" s="25" t="n">
        <f aca="false">parametros_recargas!C69</f>
        <v>6.360853875</v>
      </c>
      <c r="D144" s="26" t="n">
        <f aca="false">datos_base!$F$16*parametros_recargas!E$69+sobrestock_sustitutos!$E$65/12</f>
        <v>49.3139646711095</v>
      </c>
      <c r="E144" s="26" t="n">
        <f aca="false">datos_base!$F$16*parametros_recargas!F$69+sobrestock_sustitutos!$E$65/12</f>
        <v>57.1607683241483</v>
      </c>
      <c r="F144" s="26" t="n">
        <f aca="false">datos_base!$F$16*parametros_recargas!G$69+sobrestock_sustitutos!$E$65/12</f>
        <v>49.3139646711095</v>
      </c>
      <c r="G144" s="26" t="n">
        <f aca="false">datos_base!$F$16*parametros_recargas!H$69+sobrestock_sustitutos!$E$65/12</f>
        <v>49.3139646711095</v>
      </c>
      <c r="H144" s="26" t="n">
        <f aca="false">datos_base!$F$16*parametros_recargas!I$69+sobrestock_sustitutos!$E$65/12</f>
        <v>49.3139646711095</v>
      </c>
      <c r="I144" s="26" t="n">
        <f aca="false">datos_base!$F$16*parametros_recargas!J$69+sobrestock_sustitutos!$E$65/12</f>
        <v>49.3139646711095</v>
      </c>
      <c r="J144" s="26" t="n">
        <f aca="false">datos_base!$F$16*parametros_recargas!K$69+sobrestock_sustitutos!$E$65/12</f>
        <v>49.3139646711095</v>
      </c>
      <c r="K144" s="26" t="n">
        <f aca="false">datos_base!$F$16*parametros_recargas!L$69+sobrestock_sustitutos!$E$65/12</f>
        <v>49.3139646711095</v>
      </c>
      <c r="L144" s="26" t="n">
        <f aca="false">datos_base!$F$16*parametros_recargas!M$69+sobrestock_sustitutos!$E$65/12</f>
        <v>49.3139646711095</v>
      </c>
      <c r="M144" s="26" t="n">
        <f aca="false">datos_base!$F$16*parametros_recargas!N$69+sobrestock_sustitutos!$E$65/12</f>
        <v>49.3139646711095</v>
      </c>
      <c r="N144" s="26" t="n">
        <f aca="false">datos_base!$F$16*parametros_recargas!O$69+sobrestock_sustitutos!$E$65/12</f>
        <v>49.3139646711095</v>
      </c>
      <c r="O144" s="26" t="n">
        <f aca="false">datos_base!$F$16*parametros_recargas!P$69+sobrestock_sustitutos!$E$65/12</f>
        <v>49.3139646711095</v>
      </c>
      <c r="P144" s="8" t="n">
        <f aca="false">SUM(D144:O144)</f>
        <v>599.614379706353</v>
      </c>
    </row>
    <row r="145" customFormat="false" ht="15" hidden="false" customHeight="false" outlineLevel="0" collapsed="false">
      <c r="A145" s="10" t="str">
        <f aca="false">parametros_recargas!A70</f>
        <v>ABC 70 kg s/ruedas</v>
      </c>
      <c r="B145" s="10" t="str">
        <f aca="false">parametros_recargas!B70</f>
        <v>ABC</v>
      </c>
      <c r="C145" s="25" t="n">
        <f aca="false">parametros_recargas!C70</f>
        <v>6.360853875</v>
      </c>
      <c r="D145" s="26" t="n">
        <f aca="false">datos_base!$F$17*parametros_recargas!E$70+sobrestock_sustitutos!$E$66/12</f>
        <v>10.7624837061971</v>
      </c>
      <c r="E145" s="26" t="n">
        <f aca="false">datos_base!$F$17*parametros_recargas!F$70+sobrestock_sustitutos!$E$66/12</f>
        <v>12.4739984909016</v>
      </c>
      <c r="F145" s="26" t="n">
        <f aca="false">datos_base!$F$17*parametros_recargas!G$70+sobrestock_sustitutos!$E$66/12</f>
        <v>10.7624837061971</v>
      </c>
      <c r="G145" s="26" t="n">
        <f aca="false">datos_base!$F$17*parametros_recargas!H$70+sobrestock_sustitutos!$E$66/12</f>
        <v>10.7624837061971</v>
      </c>
      <c r="H145" s="26" t="n">
        <f aca="false">datos_base!$F$17*parametros_recargas!I$70+sobrestock_sustitutos!$E$66/12</f>
        <v>10.7624837061971</v>
      </c>
      <c r="I145" s="26" t="n">
        <f aca="false">datos_base!$F$17*parametros_recargas!J$70+sobrestock_sustitutos!$E$66/12</f>
        <v>10.7624837061971</v>
      </c>
      <c r="J145" s="26" t="n">
        <f aca="false">datos_base!$F$17*parametros_recargas!K$70+sobrestock_sustitutos!$E$66/12</f>
        <v>10.7624837061971</v>
      </c>
      <c r="K145" s="26" t="n">
        <f aca="false">datos_base!$F$17*parametros_recargas!L$70+sobrestock_sustitutos!$E$66/12</f>
        <v>10.7624837061971</v>
      </c>
      <c r="L145" s="26" t="n">
        <f aca="false">datos_base!$F$17*parametros_recargas!M$70+sobrestock_sustitutos!$E$66/12</f>
        <v>10.7624837061971</v>
      </c>
      <c r="M145" s="26" t="n">
        <f aca="false">datos_base!$F$17*parametros_recargas!N$70+sobrestock_sustitutos!$E$66/12</f>
        <v>10.7624837061971</v>
      </c>
      <c r="N145" s="26" t="n">
        <f aca="false">datos_base!$F$17*parametros_recargas!O$70+sobrestock_sustitutos!$E$66/12</f>
        <v>10.7624837061971</v>
      </c>
      <c r="O145" s="26" t="n">
        <f aca="false">datos_base!$F$17*parametros_recargas!P$70+sobrestock_sustitutos!$E$66/12</f>
        <v>10.7624837061971</v>
      </c>
      <c r="P145" s="8" t="n">
        <f aca="false">SUM(D145:O145)</f>
        <v>130.86131925907</v>
      </c>
    </row>
    <row r="146" customFormat="false" ht="15" hidden="false" customHeight="false" outlineLevel="0" collapsed="false">
      <c r="A146" s="10" t="str">
        <f aca="false">parametros_recargas!A71</f>
        <v>ABC 100 kg s/ruedas</v>
      </c>
      <c r="B146" s="10" t="str">
        <f aca="false">parametros_recargas!B71</f>
        <v>ABC</v>
      </c>
      <c r="C146" s="25" t="n">
        <f aca="false">parametros_recargas!C71</f>
        <v>6.360853875</v>
      </c>
      <c r="D146" s="26" t="n">
        <f aca="false">datos_base!$F$18*parametros_recargas!E$71+sobrestock_sustitutos!$E$67/12</f>
        <v>7.23044521740889</v>
      </c>
      <c r="E146" s="26" t="n">
        <f aca="false">datos_base!$F$18*parametros_recargas!F$71+sobrestock_sustitutos!$E$67/12</f>
        <v>8.37264859637545</v>
      </c>
      <c r="F146" s="26" t="n">
        <f aca="false">datos_base!$F$18*parametros_recargas!G$71+sobrestock_sustitutos!$E$67/12</f>
        <v>7.23044521740889</v>
      </c>
      <c r="G146" s="26" t="n">
        <f aca="false">datos_base!$F$18*parametros_recargas!H$71+sobrestock_sustitutos!$E$67/12</f>
        <v>7.23044521740889</v>
      </c>
      <c r="H146" s="26" t="n">
        <f aca="false">datos_base!$F$18*parametros_recargas!I$71+sobrestock_sustitutos!$E$67/12</f>
        <v>7.23044521740889</v>
      </c>
      <c r="I146" s="26" t="n">
        <f aca="false">datos_base!$F$18*parametros_recargas!J$71+sobrestock_sustitutos!$E$67/12</f>
        <v>7.23044521740889</v>
      </c>
      <c r="J146" s="26" t="n">
        <f aca="false">datos_base!$F$18*parametros_recargas!K$71+sobrestock_sustitutos!$E$67/12</f>
        <v>7.23044521740889</v>
      </c>
      <c r="K146" s="26" t="n">
        <f aca="false">datos_base!$F$18*parametros_recargas!L$71+sobrestock_sustitutos!$E$67/12</f>
        <v>7.23044521740889</v>
      </c>
      <c r="L146" s="26" t="n">
        <f aca="false">datos_base!$F$18*parametros_recargas!M$71+sobrestock_sustitutos!$E$67/12</f>
        <v>7.23044521740889</v>
      </c>
      <c r="M146" s="26" t="n">
        <f aca="false">datos_base!$F$18*parametros_recargas!N$71+sobrestock_sustitutos!$E$67/12</f>
        <v>7.23044521740889</v>
      </c>
      <c r="N146" s="26" t="n">
        <f aca="false">datos_base!$F$18*parametros_recargas!O$71+sobrestock_sustitutos!$E$67/12</f>
        <v>7.23044521740889</v>
      </c>
      <c r="O146" s="26" t="n">
        <f aca="false">datos_base!$F$18*parametros_recargas!P$71+sobrestock_sustitutos!$E$67/12</f>
        <v>7.23044521740889</v>
      </c>
      <c r="P146" s="8" t="n">
        <f aca="false">SUM(D146:O146)</f>
        <v>87.9075459878732</v>
      </c>
    </row>
    <row r="147" customFormat="false" ht="15" hidden="false" customHeight="false" outlineLevel="0" collapsed="false">
      <c r="A147" s="4" t="s">
        <v>430</v>
      </c>
      <c r="D147" s="8" t="n">
        <f aca="false">SUM(D130:D146)</f>
        <v>3978.27772706783</v>
      </c>
      <c r="E147" s="8" t="n">
        <f aca="false">SUM(E130:E146)</f>
        <v>10215.0452879889</v>
      </c>
      <c r="F147" s="8" t="n">
        <f aca="false">SUM(F130:F146)</f>
        <v>8404.42938474503</v>
      </c>
      <c r="G147" s="8" t="n">
        <f aca="false">SUM(G130:G146)</f>
        <v>8438.66031114372</v>
      </c>
      <c r="H147" s="8" t="n">
        <f aca="false">SUM(H130:H146)</f>
        <v>8440.44726053026</v>
      </c>
      <c r="I147" s="8" t="n">
        <f aca="false">SUM(I130:I146)</f>
        <v>8424.17362608815</v>
      </c>
      <c r="J147" s="8" t="n">
        <f aca="false">SUM(J130:J146)</f>
        <v>8475.35991328451</v>
      </c>
      <c r="K147" s="8" t="n">
        <f aca="false">SUM(K130:K146)</f>
        <v>8436.83720960197</v>
      </c>
      <c r="L147" s="8" t="n">
        <f aca="false">SUM(L130:L146)</f>
        <v>8442.84363196191</v>
      </c>
      <c r="M147" s="8" t="n">
        <f aca="false">SUM(M130:M146)</f>
        <v>8422.98576955953</v>
      </c>
      <c r="N147" s="8" t="n">
        <f aca="false">SUM(N130:N146)</f>
        <v>8337.47042868602</v>
      </c>
      <c r="O147" s="8" t="n">
        <f aca="false">SUM(O130:O146)</f>
        <v>3745.91749628874</v>
      </c>
      <c r="P147" s="8" t="n">
        <f aca="false">SUM(P130:P146)</f>
        <v>93762.4480469466</v>
      </c>
    </row>
    <row r="148" customFormat="false" ht="15" hidden="false" customHeight="false" outlineLevel="0" collapsed="false">
      <c r="A148" s="4" t="s">
        <v>431</v>
      </c>
    </row>
    <row r="149" customFormat="false" ht="15" hidden="false" customHeight="false" outlineLevel="0" collapsed="false">
      <c r="A149" s="5" t="s">
        <v>110</v>
      </c>
      <c r="D149" s="26" t="n">
        <f aca="false">SUMPRODUCT(($B$130:$B$146=$A149)*D$130:D$146*$C$130:$C$146)</f>
        <v>3445.32296750895</v>
      </c>
      <c r="E149" s="26" t="n">
        <f aca="false">SUMPRODUCT(($B$130:$B$146=$A149)*E$130:E$146*$C$130:$C$146)</f>
        <v>9218.32029504639</v>
      </c>
      <c r="F149" s="26" t="n">
        <f aca="false">SUMPRODUCT(($B$130:$B$146=$A149)*F$130:F$146*$C$130:$C$146)</f>
        <v>7871.47462518614</v>
      </c>
      <c r="G149" s="26" t="n">
        <f aca="false">SUMPRODUCT(($B$130:$B$146=$A149)*G$130:G$146*$C$130:$C$146)</f>
        <v>7905.70555158484</v>
      </c>
      <c r="H149" s="26" t="n">
        <f aca="false">SUMPRODUCT(($B$130:$B$146=$A149)*H$130:H$146*$C$130:$C$146)</f>
        <v>7907.49250097137</v>
      </c>
      <c r="I149" s="26" t="n">
        <f aca="false">SUMPRODUCT(($B$130:$B$146=$A149)*I$130:I$146*$C$130:$C$146)</f>
        <v>7891.21886652926</v>
      </c>
      <c r="J149" s="26" t="n">
        <f aca="false">SUMPRODUCT(($B$130:$B$146=$A149)*J$130:J$146*$C$130:$C$146)</f>
        <v>7942.40515372563</v>
      </c>
      <c r="K149" s="26" t="n">
        <f aca="false">SUMPRODUCT(($B$130:$B$146=$A149)*K$130:K$146*$C$130:$C$146)</f>
        <v>7903.88245004309</v>
      </c>
      <c r="L149" s="26" t="n">
        <f aca="false">SUMPRODUCT(($B$130:$B$146=$A149)*L$130:L$146*$C$130:$C$146)</f>
        <v>7909.88887240303</v>
      </c>
      <c r="M149" s="26" t="n">
        <f aca="false">SUMPRODUCT(($B$130:$B$146=$A149)*M$130:M$146*$C$130:$C$146)</f>
        <v>7890.03101000064</v>
      </c>
      <c r="N149" s="26" t="n">
        <f aca="false">SUMPRODUCT(($B$130:$B$146=$A149)*N$130:N$146*$C$130:$C$146)</f>
        <v>7804.51566912713</v>
      </c>
      <c r="O149" s="26" t="n">
        <f aca="false">SUMPRODUCT(($B$130:$B$146=$A149)*O$130:O$146*$C$130:$C$146)</f>
        <v>3212.96273672986</v>
      </c>
      <c r="P149" s="26" t="n">
        <f aca="false">SUMPRODUCT(($B$130:$B$146=$A149)*P$130:P$146*$C$130:$C$146)</f>
        <v>86903.2206988563</v>
      </c>
    </row>
    <row r="150" customFormat="false" ht="15" hidden="false" customHeight="false" outlineLevel="0" collapsed="false">
      <c r="A150" s="5" t="s">
        <v>111</v>
      </c>
      <c r="D150" s="26" t="n">
        <f aca="false">SUMPRODUCT(($B$130:$B$146=$A150)*D$130:D$146*$C$130:$C$146)</f>
        <v>10.406777712021</v>
      </c>
      <c r="E150" s="26" t="n">
        <f aca="false">SUMPRODUCT(($B$130:$B$146=$A150)*E$130:E$146*$C$130:$C$146)</f>
        <v>10.406777712021</v>
      </c>
      <c r="F150" s="26" t="n">
        <f aca="false">SUMPRODUCT(($B$130:$B$146=$A150)*F$130:F$146*$C$130:$C$146)</f>
        <v>10.406777712021</v>
      </c>
      <c r="G150" s="26" t="n">
        <f aca="false">SUMPRODUCT(($B$130:$B$146=$A150)*G$130:G$146*$C$130:$C$146)</f>
        <v>10.406777712021</v>
      </c>
      <c r="H150" s="26" t="n">
        <f aca="false">SUMPRODUCT(($B$130:$B$146=$A150)*H$130:H$146*$C$130:$C$146)</f>
        <v>10.406777712021</v>
      </c>
      <c r="I150" s="26" t="n">
        <f aca="false">SUMPRODUCT(($B$130:$B$146=$A150)*I$130:I$146*$C$130:$C$146)</f>
        <v>10.406777712021</v>
      </c>
      <c r="J150" s="26" t="n">
        <f aca="false">SUMPRODUCT(($B$130:$B$146=$A150)*J$130:J$146*$C$130:$C$146)</f>
        <v>10.406777712021</v>
      </c>
      <c r="K150" s="26" t="n">
        <f aca="false">SUMPRODUCT(($B$130:$B$146=$A150)*K$130:K$146*$C$130:$C$146)</f>
        <v>10.406777712021</v>
      </c>
      <c r="L150" s="26" t="n">
        <f aca="false">SUMPRODUCT(($B$130:$B$146=$A150)*L$130:L$146*$C$130:$C$146)</f>
        <v>10.406777712021</v>
      </c>
      <c r="M150" s="26" t="n">
        <f aca="false">SUMPRODUCT(($B$130:$B$146=$A150)*M$130:M$146*$C$130:$C$146)</f>
        <v>10.406777712021</v>
      </c>
      <c r="N150" s="26" t="n">
        <f aca="false">SUMPRODUCT(($B$130:$B$146=$A150)*N$130:N$146*$C$130:$C$146)</f>
        <v>10.406777712021</v>
      </c>
      <c r="O150" s="26" t="n">
        <f aca="false">SUMPRODUCT(($B$130:$B$146=$A150)*O$130:O$146*$C$130:$C$146)</f>
        <v>10.406777712021</v>
      </c>
      <c r="P150" s="26" t="n">
        <f aca="false">SUMPRODUCT(($B$130:$B$146=$A150)*P$130:P$146*$C$130:$C$146)</f>
        <v>124.881332544252</v>
      </c>
    </row>
    <row r="151" customFormat="false" ht="15" hidden="false" customHeight="false" outlineLevel="0" collapsed="false">
      <c r="A151" s="5" t="s">
        <v>112</v>
      </c>
      <c r="D151" s="26" t="n">
        <f aca="false">SUMPRODUCT(($B$130:$B$146=$A151)*D$130:D$146*$C$130:$C$146)</f>
        <v>9.73349144375313</v>
      </c>
      <c r="E151" s="26" t="n">
        <f aca="false">SUMPRODUCT(($B$130:$B$146=$A151)*E$130:E$146*$C$130:$C$146)</f>
        <v>9.73349144375313</v>
      </c>
      <c r="F151" s="26" t="n">
        <f aca="false">SUMPRODUCT(($B$130:$B$146=$A151)*F$130:F$146*$C$130:$C$146)</f>
        <v>9.73349144375313</v>
      </c>
      <c r="G151" s="26" t="n">
        <f aca="false">SUMPRODUCT(($B$130:$B$146=$A151)*G$130:G$146*$C$130:$C$146)</f>
        <v>9.73349144375313</v>
      </c>
      <c r="H151" s="26" t="n">
        <f aca="false">SUMPRODUCT(($B$130:$B$146=$A151)*H$130:H$146*$C$130:$C$146)</f>
        <v>9.73349144375313</v>
      </c>
      <c r="I151" s="26" t="n">
        <f aca="false">SUMPRODUCT(($B$130:$B$146=$A151)*I$130:I$146*$C$130:$C$146)</f>
        <v>9.73349144375313</v>
      </c>
      <c r="J151" s="26" t="n">
        <f aca="false">SUMPRODUCT(($B$130:$B$146=$A151)*J$130:J$146*$C$130:$C$146)</f>
        <v>9.73349144375313</v>
      </c>
      <c r="K151" s="26" t="n">
        <f aca="false">SUMPRODUCT(($B$130:$B$146=$A151)*K$130:K$146*$C$130:$C$146)</f>
        <v>9.73349144375313</v>
      </c>
      <c r="L151" s="26" t="n">
        <f aca="false">SUMPRODUCT(($B$130:$B$146=$A151)*L$130:L$146*$C$130:$C$146)</f>
        <v>9.73349144375313</v>
      </c>
      <c r="M151" s="26" t="n">
        <f aca="false">SUMPRODUCT(($B$130:$B$146=$A151)*M$130:M$146*$C$130:$C$146)</f>
        <v>9.73349144375313</v>
      </c>
      <c r="N151" s="26" t="n">
        <f aca="false">SUMPRODUCT(($B$130:$B$146=$A151)*N$130:N$146*$C$130:$C$146)</f>
        <v>9.73349144375313</v>
      </c>
      <c r="O151" s="26" t="n">
        <f aca="false">SUMPRODUCT(($B$130:$B$146=$A151)*O$130:O$146*$C$130:$C$146)</f>
        <v>9.73349144375313</v>
      </c>
      <c r="P151" s="26" t="n">
        <f aca="false">SUMPRODUCT(($B$130:$B$146=$A151)*P$130:P$146*$C$130:$C$146)</f>
        <v>116.801897325038</v>
      </c>
    </row>
    <row r="152" customFormat="false" ht="15" hidden="false" customHeight="false" outlineLevel="0" collapsed="false">
      <c r="A152" s="5" t="s">
        <v>113</v>
      </c>
      <c r="D152" s="26" t="n">
        <f aca="false">SUMPRODUCT(($B$130:$B$146=$A152)*D$130:D$146*$C$130:$C$146)</f>
        <v>179.987236052161</v>
      </c>
      <c r="E152" s="26" t="n">
        <f aca="false">SUMPRODUCT(($B$130:$B$146=$A152)*E$130:E$146*$C$130:$C$146)</f>
        <v>266.486655603576</v>
      </c>
      <c r="F152" s="26" t="n">
        <f aca="false">SUMPRODUCT(($B$130:$B$146=$A152)*F$130:F$146*$C$130:$C$146)</f>
        <v>179.987236052161</v>
      </c>
      <c r="G152" s="26" t="n">
        <f aca="false">SUMPRODUCT(($B$130:$B$146=$A152)*G$130:G$146*$C$130:$C$146)</f>
        <v>179.987236052161</v>
      </c>
      <c r="H152" s="26" t="n">
        <f aca="false">SUMPRODUCT(($B$130:$B$146=$A152)*H$130:H$146*$C$130:$C$146)</f>
        <v>179.987236052161</v>
      </c>
      <c r="I152" s="26" t="n">
        <f aca="false">SUMPRODUCT(($B$130:$B$146=$A152)*I$130:I$146*$C$130:$C$146)</f>
        <v>179.987236052161</v>
      </c>
      <c r="J152" s="26" t="n">
        <f aca="false">SUMPRODUCT(($B$130:$B$146=$A152)*J$130:J$146*$C$130:$C$146)</f>
        <v>179.987236052161</v>
      </c>
      <c r="K152" s="26" t="n">
        <f aca="false">SUMPRODUCT(($B$130:$B$146=$A152)*K$130:K$146*$C$130:$C$146)</f>
        <v>179.987236052161</v>
      </c>
      <c r="L152" s="26" t="n">
        <f aca="false">SUMPRODUCT(($B$130:$B$146=$A152)*L$130:L$146*$C$130:$C$146)</f>
        <v>179.987236052161</v>
      </c>
      <c r="M152" s="26" t="n">
        <f aca="false">SUMPRODUCT(($B$130:$B$146=$A152)*M$130:M$146*$C$130:$C$146)</f>
        <v>179.987236052161</v>
      </c>
      <c r="N152" s="26" t="n">
        <f aca="false">SUMPRODUCT(($B$130:$B$146=$A152)*N$130:N$146*$C$130:$C$146)</f>
        <v>179.987236052161</v>
      </c>
      <c r="O152" s="26" t="n">
        <f aca="false">SUMPRODUCT(($B$130:$B$146=$A152)*O$130:O$146*$C$130:$C$146)</f>
        <v>179.987236052161</v>
      </c>
      <c r="P152" s="26" t="n">
        <f aca="false">SUMPRODUCT(($B$130:$B$146=$A152)*P$130:P$146*$C$130:$C$146)</f>
        <v>2246.34625217735</v>
      </c>
    </row>
    <row r="153" customFormat="false" ht="15" hidden="false" customHeight="false" outlineLevel="0" collapsed="false">
      <c r="A153" s="5" t="s">
        <v>114</v>
      </c>
      <c r="D153" s="26" t="n">
        <f aca="false">SUMPRODUCT(($B$130:$B$146=$A153)*D$130:D$146*$C$130:$C$146)</f>
        <v>154.408799039221</v>
      </c>
      <c r="E153" s="26" t="n">
        <f aca="false">SUMPRODUCT(($B$130:$B$146=$A153)*E$130:E$146*$C$130:$C$146)</f>
        <v>154.408799039221</v>
      </c>
      <c r="F153" s="26" t="n">
        <f aca="false">SUMPRODUCT(($B$130:$B$146=$A153)*F$130:F$146*$C$130:$C$146)</f>
        <v>154.408799039221</v>
      </c>
      <c r="G153" s="26" t="n">
        <f aca="false">SUMPRODUCT(($B$130:$B$146=$A153)*G$130:G$146*$C$130:$C$146)</f>
        <v>154.408799039221</v>
      </c>
      <c r="H153" s="26" t="n">
        <f aca="false">SUMPRODUCT(($B$130:$B$146=$A153)*H$130:H$146*$C$130:$C$146)</f>
        <v>154.408799039221</v>
      </c>
      <c r="I153" s="26" t="n">
        <f aca="false">SUMPRODUCT(($B$130:$B$146=$A153)*I$130:I$146*$C$130:$C$146)</f>
        <v>154.408799039221</v>
      </c>
      <c r="J153" s="26" t="n">
        <f aca="false">SUMPRODUCT(($B$130:$B$146=$A153)*J$130:J$146*$C$130:$C$146)</f>
        <v>154.408799039221</v>
      </c>
      <c r="K153" s="26" t="n">
        <f aca="false">SUMPRODUCT(($B$130:$B$146=$A153)*K$130:K$146*$C$130:$C$146)</f>
        <v>154.408799039221</v>
      </c>
      <c r="L153" s="26" t="n">
        <f aca="false">SUMPRODUCT(($B$130:$B$146=$A153)*L$130:L$146*$C$130:$C$146)</f>
        <v>154.408799039221</v>
      </c>
      <c r="M153" s="26" t="n">
        <f aca="false">SUMPRODUCT(($B$130:$B$146=$A153)*M$130:M$146*$C$130:$C$146)</f>
        <v>154.408799039221</v>
      </c>
      <c r="N153" s="26" t="n">
        <f aca="false">SUMPRODUCT(($B$130:$B$146=$A153)*N$130:N$146*$C$130:$C$146)</f>
        <v>154.408799039221</v>
      </c>
      <c r="O153" s="26" t="n">
        <f aca="false">SUMPRODUCT(($B$130:$B$146=$A153)*O$130:O$146*$C$130:$C$146)</f>
        <v>154.408799039221</v>
      </c>
      <c r="P153" s="26" t="n">
        <f aca="false">SUMPRODUCT(($B$130:$B$146=$A153)*P$130:P$146*$C$130:$C$146)</f>
        <v>1852.90558847065</v>
      </c>
    </row>
    <row r="154" customFormat="false" ht="15" hidden="false" customHeight="false" outlineLevel="0" collapsed="false">
      <c r="A154" s="5" t="s">
        <v>115</v>
      </c>
      <c r="D154" s="26" t="n">
        <f aca="false">SUMPRODUCT(($B$130:$B$146=$A154)*D$130:D$146*$C$130:$C$146)</f>
        <v>85.4012444425368</v>
      </c>
      <c r="E154" s="26" t="n">
        <f aca="false">SUMPRODUCT(($B$130:$B$146=$A154)*E$130:E$146*$C$130:$C$146)</f>
        <v>170.069123541662</v>
      </c>
      <c r="F154" s="26" t="n">
        <f aca="false">SUMPRODUCT(($B$130:$B$146=$A154)*F$130:F$146*$C$130:$C$146)</f>
        <v>85.4012444425368</v>
      </c>
      <c r="G154" s="26" t="n">
        <f aca="false">SUMPRODUCT(($B$130:$B$146=$A154)*G$130:G$146*$C$130:$C$146)</f>
        <v>85.4012444425368</v>
      </c>
      <c r="H154" s="26" t="n">
        <f aca="false">SUMPRODUCT(($B$130:$B$146=$A154)*H$130:H$146*$C$130:$C$146)</f>
        <v>85.4012444425368</v>
      </c>
      <c r="I154" s="26" t="n">
        <f aca="false">SUMPRODUCT(($B$130:$B$146=$A154)*I$130:I$146*$C$130:$C$146)</f>
        <v>85.4012444425368</v>
      </c>
      <c r="J154" s="26" t="n">
        <f aca="false">SUMPRODUCT(($B$130:$B$146=$A154)*J$130:J$146*$C$130:$C$146)</f>
        <v>85.4012444425368</v>
      </c>
      <c r="K154" s="26" t="n">
        <f aca="false">SUMPRODUCT(($B$130:$B$146=$A154)*K$130:K$146*$C$130:$C$146)</f>
        <v>85.4012444425368</v>
      </c>
      <c r="L154" s="26" t="n">
        <f aca="false">SUMPRODUCT(($B$130:$B$146=$A154)*L$130:L$146*$C$130:$C$146)</f>
        <v>85.4012444425368</v>
      </c>
      <c r="M154" s="26" t="n">
        <f aca="false">SUMPRODUCT(($B$130:$B$146=$A154)*M$130:M$146*$C$130:$C$146)</f>
        <v>85.4012444425368</v>
      </c>
      <c r="N154" s="26" t="n">
        <f aca="false">SUMPRODUCT(($B$130:$B$146=$A154)*N$130:N$146*$C$130:$C$146)</f>
        <v>85.4012444425368</v>
      </c>
      <c r="O154" s="26" t="n">
        <f aca="false">SUMPRODUCT(($B$130:$B$146=$A154)*O$130:O$146*$C$130:$C$146)</f>
        <v>85.4012444425368</v>
      </c>
      <c r="P154" s="26" t="n">
        <f aca="false">SUMPRODUCT(($B$130:$B$146=$A154)*P$130:P$146*$C$130:$C$146)</f>
        <v>1109.48281240957</v>
      </c>
    </row>
    <row r="155" customFormat="false" ht="15" hidden="false" customHeight="false" outlineLevel="0" collapsed="false">
      <c r="A155" s="5" t="s">
        <v>116</v>
      </c>
      <c r="D155" s="26" t="n">
        <f aca="false">SUMPRODUCT(($B$130:$B$146=$A155)*D$130:D$146*$C$130:$C$146)</f>
        <v>647.522186064839</v>
      </c>
      <c r="E155" s="26" t="n">
        <f aca="false">SUMPRODUCT(($B$130:$B$146=$A155)*E$130:E$146*$C$130:$C$146)</f>
        <v>1016.60716678854</v>
      </c>
      <c r="F155" s="26" t="n">
        <f aca="false">SUMPRODUCT(($B$130:$B$146=$A155)*F$130:F$146*$C$130:$C$146)</f>
        <v>647.522186064839</v>
      </c>
      <c r="G155" s="26" t="n">
        <f aca="false">SUMPRODUCT(($B$130:$B$146=$A155)*G$130:G$146*$C$130:$C$146)</f>
        <v>647.522186064839</v>
      </c>
      <c r="H155" s="26" t="n">
        <f aca="false">SUMPRODUCT(($B$130:$B$146=$A155)*H$130:H$146*$C$130:$C$146)</f>
        <v>647.522186064839</v>
      </c>
      <c r="I155" s="26" t="n">
        <f aca="false">SUMPRODUCT(($B$130:$B$146=$A155)*I$130:I$146*$C$130:$C$146)</f>
        <v>647.522186064839</v>
      </c>
      <c r="J155" s="26" t="n">
        <f aca="false">SUMPRODUCT(($B$130:$B$146=$A155)*J$130:J$146*$C$130:$C$146)</f>
        <v>647.522186064839</v>
      </c>
      <c r="K155" s="26" t="n">
        <f aca="false">SUMPRODUCT(($B$130:$B$146=$A155)*K$130:K$146*$C$130:$C$146)</f>
        <v>647.522186064839</v>
      </c>
      <c r="L155" s="26" t="n">
        <f aca="false">SUMPRODUCT(($B$130:$B$146=$A155)*L$130:L$146*$C$130:$C$146)</f>
        <v>647.522186064839</v>
      </c>
      <c r="M155" s="26" t="n">
        <f aca="false">SUMPRODUCT(($B$130:$B$146=$A155)*M$130:M$146*$C$130:$C$146)</f>
        <v>647.522186064839</v>
      </c>
      <c r="N155" s="26" t="n">
        <f aca="false">SUMPRODUCT(($B$130:$B$146=$A155)*N$130:N$146*$C$130:$C$146)</f>
        <v>647.522186064839</v>
      </c>
      <c r="O155" s="26" t="n">
        <f aca="false">SUMPRODUCT(($B$130:$B$146=$A155)*O$130:O$146*$C$130:$C$146)</f>
        <v>647.522186064839</v>
      </c>
      <c r="P155" s="26" t="n">
        <f aca="false">SUMPRODUCT(($B$130:$B$146=$A155)*P$130:P$146*$C$130:$C$146)</f>
        <v>8139.35121350177</v>
      </c>
    </row>
    <row r="156" customFormat="false" ht="15" hidden="false" customHeight="false" outlineLevel="0" collapsed="false">
      <c r="A156" s="5" t="s">
        <v>117</v>
      </c>
      <c r="D156" s="26" t="n">
        <f aca="false">SUMPRODUCT(($B$130:$B$146=$A156)*D$130:D$146*$C$130:$C$146)</f>
        <v>27.047992429358</v>
      </c>
      <c r="E156" s="26" t="n">
        <f aca="false">SUMPRODUCT(($B$130:$B$146=$A156)*E$130:E$146*$C$130:$C$146)</f>
        <v>27.047992429358</v>
      </c>
      <c r="F156" s="26" t="n">
        <f aca="false">SUMPRODUCT(($B$130:$B$146=$A156)*F$130:F$146*$C$130:$C$146)</f>
        <v>27.047992429358</v>
      </c>
      <c r="G156" s="26" t="n">
        <f aca="false">SUMPRODUCT(($B$130:$B$146=$A156)*G$130:G$146*$C$130:$C$146)</f>
        <v>27.047992429358</v>
      </c>
      <c r="H156" s="26" t="n">
        <f aca="false">SUMPRODUCT(($B$130:$B$146=$A156)*H$130:H$146*$C$130:$C$146)</f>
        <v>27.047992429358</v>
      </c>
      <c r="I156" s="26" t="n">
        <f aca="false">SUMPRODUCT(($B$130:$B$146=$A156)*I$130:I$146*$C$130:$C$146)</f>
        <v>27.047992429358</v>
      </c>
      <c r="J156" s="26" t="n">
        <f aca="false">SUMPRODUCT(($B$130:$B$146=$A156)*J$130:J$146*$C$130:$C$146)</f>
        <v>27.047992429358</v>
      </c>
      <c r="K156" s="26" t="n">
        <f aca="false">SUMPRODUCT(($B$130:$B$146=$A156)*K$130:K$146*$C$130:$C$146)</f>
        <v>27.047992429358</v>
      </c>
      <c r="L156" s="26" t="n">
        <f aca="false">SUMPRODUCT(($B$130:$B$146=$A156)*L$130:L$146*$C$130:$C$146)</f>
        <v>27.047992429358</v>
      </c>
      <c r="M156" s="26" t="n">
        <f aca="false">SUMPRODUCT(($B$130:$B$146=$A156)*M$130:M$146*$C$130:$C$146)</f>
        <v>27.047992429358</v>
      </c>
      <c r="N156" s="26" t="n">
        <f aca="false">SUMPRODUCT(($B$130:$B$146=$A156)*N$130:N$146*$C$130:$C$146)</f>
        <v>27.047992429358</v>
      </c>
      <c r="O156" s="26" t="n">
        <f aca="false">SUMPRODUCT(($B$130:$B$146=$A156)*O$130:O$146*$C$130:$C$146)</f>
        <v>27.047992429358</v>
      </c>
      <c r="P156" s="26" t="n">
        <f aca="false">SUMPRODUCT(($B$130:$B$146=$A156)*P$130:P$146*$C$130:$C$146)</f>
        <v>324.575909152296</v>
      </c>
    </row>
    <row r="157" customFormat="false" ht="15" hidden="false" customHeight="false" outlineLevel="0" collapsed="false">
      <c r="A157" s="4" t="s">
        <v>432</v>
      </c>
      <c r="D157" s="27" t="n">
        <f aca="false">SUMPRODUCT(D$130:D$146*parametros_recargas!$D$55:$D$71)</f>
        <v>273.324691824499</v>
      </c>
      <c r="E157" s="27" t="n">
        <f aca="false">SUMPRODUCT(E$130:E$146*parametros_recargas!$D$55:$D$71)</f>
        <v>303.387396567358</v>
      </c>
      <c r="F157" s="27" t="n">
        <f aca="false">SUMPRODUCT(F$130:F$146*parametros_recargas!$D$55:$D$71)</f>
        <v>273.324691824499</v>
      </c>
      <c r="G157" s="27" t="n">
        <f aca="false">SUMPRODUCT(G$130:G$146*parametros_recargas!$D$55:$D$71)</f>
        <v>273.324691824499</v>
      </c>
      <c r="H157" s="27" t="n">
        <f aca="false">SUMPRODUCT(H$130:H$146*parametros_recargas!$D$55:$D$71)</f>
        <v>273.324691824499</v>
      </c>
      <c r="I157" s="27" t="n">
        <f aca="false">SUMPRODUCT(I$130:I$146*parametros_recargas!$D$55:$D$71)</f>
        <v>273.324691824499</v>
      </c>
      <c r="J157" s="27" t="n">
        <f aca="false">SUMPRODUCT(J$130:J$146*parametros_recargas!$D$55:$D$71)</f>
        <v>273.324691824499</v>
      </c>
      <c r="K157" s="27" t="n">
        <f aca="false">SUMPRODUCT(K$130:K$146*parametros_recargas!$D$55:$D$71)</f>
        <v>273.324691824499</v>
      </c>
      <c r="L157" s="27" t="n">
        <f aca="false">SUMPRODUCT(L$130:L$146*parametros_recargas!$D$55:$D$71)</f>
        <v>273.324691824499</v>
      </c>
      <c r="M157" s="27" t="n">
        <f aca="false">SUMPRODUCT(M$130:M$146*parametros_recargas!$D$55:$D$71)</f>
        <v>273.324691824499</v>
      </c>
      <c r="N157" s="27" t="n">
        <f aca="false">SUMPRODUCT(N$130:N$146*parametros_recargas!$D$55:$D$71)</f>
        <v>273.324691824499</v>
      </c>
      <c r="O157" s="27" t="n">
        <f aca="false">SUMPRODUCT(O$130:O$146*parametros_recargas!$D$55:$D$71)</f>
        <v>273.324691824499</v>
      </c>
      <c r="P157" s="27" t="n">
        <f aca="false">SUMPRODUCT(P$130:P$146*parametros_recargas!$D$55:$D$71)</f>
        <v>3309.95900663685</v>
      </c>
    </row>
    <row r="158" customFormat="false" ht="15" hidden="false" customHeight="false" outlineLevel="0" collapsed="false">
      <c r="A158" s="4" t="s">
        <v>433</v>
      </c>
      <c r="D158" s="27" t="n">
        <f aca="false">SUMPRODUCT(sobrestock_sustitutos!$F$73:$F$73,--(sobrestock_sustitutos!$F$30:$F$30="Fábrica: cilindro vacío"),parametros_recargas!$C$55:$C$55)*parametros_recargas!E$109+SUMPRODUCT(sobrestock_sustitutos!$F$74:$F$76,--(sobrestock_sustitutos!$F$31:$F$33="Fábrica: cilindro vacío"),parametros_recargas!$C$56:$C$58)*parametros_recargas!E$110+SUMPRODUCT(sobrestock_sustitutos!$F$86:$F$89,--(sobrestock_sustitutos!$F$43:$F$46="Fábrica: cilindro vacío"),parametros_recargas!$C$68:$C$71)*parametros_recargas!E$111</f>
        <v>28.408022763575</v>
      </c>
      <c r="E158" s="27" t="n">
        <f aca="false">SUMPRODUCT(sobrestock_sustitutos!$F$73:$F$73,--(sobrestock_sustitutos!$F$30:$F$30="Fábrica: cilindro vacío"),parametros_recargas!$C$55:$C$55)*parametros_recargas!F$109+SUMPRODUCT(sobrestock_sustitutos!$F$74:$F$76,--(sobrestock_sustitutos!$F$31:$F$33="Fábrica: cilindro vacío"),parametros_recargas!$C$56:$C$58)*parametros_recargas!F$110+SUMPRODUCT(sobrestock_sustitutos!$F$86:$F$89,--(sobrestock_sustitutos!$F$43:$F$46="Fábrica: cilindro vacío"),parametros_recargas!$C$68:$C$71)*parametros_recargas!F$111</f>
        <v>23.098655379625</v>
      </c>
      <c r="F158" s="27" t="n">
        <f aca="false">SUMPRODUCT(sobrestock_sustitutos!$F$73:$F$73,--(sobrestock_sustitutos!$F$30:$F$30="Fábrica: cilindro vacío"),parametros_recargas!$C$55:$C$55)*parametros_recargas!G$109+SUMPRODUCT(sobrestock_sustitutos!$F$74:$F$76,--(sobrestock_sustitutos!$F$31:$F$33="Fábrica: cilindro vacío"),parametros_recargas!$C$56:$C$58)*parametros_recargas!G$110+SUMPRODUCT(sobrestock_sustitutos!$F$86:$F$89,--(sobrestock_sustitutos!$F$43:$F$46="Fábrica: cilindro vacío"),parametros_recargas!$C$68:$C$71)*parametros_recargas!G$111</f>
        <v>25.09070645555</v>
      </c>
      <c r="G158" s="27" t="n">
        <f aca="false">SUMPRODUCT(sobrestock_sustitutos!$F$73:$F$73,--(sobrestock_sustitutos!$F$30:$F$30="Fábrica: cilindro vacío"),parametros_recargas!$C$55:$C$55)*parametros_recargas!H$109+SUMPRODUCT(sobrestock_sustitutos!$F$74:$F$76,--(sobrestock_sustitutos!$F$31:$F$33="Fábrica: cilindro vacío"),parametros_recargas!$C$56:$C$58)*parametros_recargas!H$110+SUMPRODUCT(sobrestock_sustitutos!$F$86:$F$89,--(sobrestock_sustitutos!$F$43:$F$46="Fábrica: cilindro vacío"),parametros_recargas!$C$68:$C$71)*parametros_recargas!H$111</f>
        <v>25.09070645555</v>
      </c>
      <c r="H158" s="27" t="n">
        <f aca="false">SUMPRODUCT(sobrestock_sustitutos!$F$73:$F$73,--(sobrestock_sustitutos!$F$30:$F$30="Fábrica: cilindro vacío"),parametros_recargas!$C$55:$C$55)*parametros_recargas!I$109+SUMPRODUCT(sobrestock_sustitutos!$F$74:$F$76,--(sobrestock_sustitutos!$F$31:$F$33="Fábrica: cilindro vacío"),parametros_recargas!$C$56:$C$58)*parametros_recargas!I$110+SUMPRODUCT(sobrestock_sustitutos!$F$86:$F$89,--(sobrestock_sustitutos!$F$43:$F$46="Fábrica: cilindro vacío"),parametros_recargas!$C$68:$C$71)*parametros_recargas!I$111</f>
        <v>23.89630645555</v>
      </c>
      <c r="I158" s="27" t="n">
        <f aca="false">SUMPRODUCT(sobrestock_sustitutos!$F$73:$F$73,--(sobrestock_sustitutos!$F$30:$F$30="Fábrica: cilindro vacío"),parametros_recargas!$C$55:$C$55)*parametros_recargas!J$109+SUMPRODUCT(sobrestock_sustitutos!$F$74:$F$76,--(sobrestock_sustitutos!$F$31:$F$33="Fábrica: cilindro vacío"),parametros_recargas!$C$56:$C$58)*parametros_recargas!J$110+SUMPRODUCT(sobrestock_sustitutos!$F$86:$F$89,--(sobrestock_sustitutos!$F$43:$F$46="Fábrica: cilindro vacío"),parametros_recargas!$C$68:$C$71)*parametros_recargas!J$111</f>
        <v>22.1701390716</v>
      </c>
      <c r="J158" s="27" t="n">
        <f aca="false">SUMPRODUCT(sobrestock_sustitutos!$F$73:$F$73,--(sobrestock_sustitutos!$F$30:$F$30="Fábrica: cilindro vacío"),parametros_recargas!$C$55:$C$55)*parametros_recargas!K$109+SUMPRODUCT(sobrestock_sustitutos!$F$74:$F$76,--(sobrestock_sustitutos!$F$31:$F$33="Fábrica: cilindro vacío"),parametros_recargas!$C$56:$C$58)*parametros_recargas!K$110+SUMPRODUCT(sobrestock_sustitutos!$F$86:$F$89,--(sobrestock_sustitutos!$F$43:$F$46="Fábrica: cilindro vacío"),parametros_recargas!$C$68:$C$71)*parametros_recargas!K$111</f>
        <v>23.89630645555</v>
      </c>
      <c r="K158" s="27" t="n">
        <f aca="false">SUMPRODUCT(sobrestock_sustitutos!$F$73:$F$73,--(sobrestock_sustitutos!$F$30:$F$30="Fábrica: cilindro vacío"),parametros_recargas!$C$55:$C$55)*parametros_recargas!L$109+SUMPRODUCT(sobrestock_sustitutos!$F$74:$F$76,--(sobrestock_sustitutos!$F$31:$F$33="Fábrica: cilindro vacío"),parametros_recargas!$C$56:$C$58)*parametros_recargas!L$110+SUMPRODUCT(sobrestock_sustitutos!$F$86:$F$89,--(sobrestock_sustitutos!$F$43:$F$46="Fábrica: cilindro vacío"),parametros_recargas!$C$68:$C$71)*parametros_recargas!L$111</f>
        <v>23.89630645555</v>
      </c>
      <c r="L158" s="27" t="n">
        <f aca="false">SUMPRODUCT(sobrestock_sustitutos!$F$73:$F$73,--(sobrestock_sustitutos!$F$30:$F$30="Fábrica: cilindro vacío"),parametros_recargas!$C$55:$C$55)*parametros_recargas!M$109+SUMPRODUCT(sobrestock_sustitutos!$F$74:$F$76,--(sobrestock_sustitutos!$F$31:$F$33="Fábrica: cilindro vacío"),parametros_recargas!$C$56:$C$58)*parametros_recargas!M$110+SUMPRODUCT(sobrestock_sustitutos!$F$86:$F$89,--(sobrestock_sustitutos!$F$43:$F$46="Fábrica: cilindro vacío"),parametros_recargas!$C$68:$C$71)*parametros_recargas!M$111</f>
        <v>23.630422763575</v>
      </c>
      <c r="M158" s="27" t="n">
        <f aca="false">SUMPRODUCT(sobrestock_sustitutos!$F$73:$F$73,--(sobrestock_sustitutos!$F$30:$F$30="Fábrica: cilindro vacío"),parametros_recargas!$C$55:$C$55)*parametros_recargas!N$109+SUMPRODUCT(sobrestock_sustitutos!$F$74:$F$76,--(sobrestock_sustitutos!$F$31:$F$33="Fábrica: cilindro vacío"),parametros_recargas!$C$56:$C$58)*parametros_recargas!N$110+SUMPRODUCT(sobrestock_sustitutos!$F$86:$F$89,--(sobrestock_sustitutos!$F$43:$F$46="Fábrica: cilindro vacío"),parametros_recargas!$C$68:$C$71)*parametros_recargas!N$111</f>
        <v>21.904255379625</v>
      </c>
      <c r="N158" s="27" t="n">
        <f aca="false">SUMPRODUCT(sobrestock_sustitutos!$F$73:$F$73,--(sobrestock_sustitutos!$F$30:$F$30="Fábrica: cilindro vacío"),parametros_recargas!$C$55:$C$55)*parametros_recargas!O$109+SUMPRODUCT(sobrestock_sustitutos!$F$74:$F$76,--(sobrestock_sustitutos!$F$31:$F$33="Fábrica: cilindro vacío"),parametros_recargas!$C$56:$C$58)*parametros_recargas!O$110+SUMPRODUCT(sobrestock_sustitutos!$F$86:$F$89,--(sobrestock_sustitutos!$F$43:$F$46="Fábrica: cilindro vacío"),parametros_recargas!$C$68:$C$71)*parametros_recargas!O$111</f>
        <v>20.44397168765</v>
      </c>
      <c r="O158" s="27" t="n">
        <f aca="false">SUMPRODUCT(sobrestock_sustitutos!$F$73:$F$73,--(sobrestock_sustitutos!$F$30:$F$30="Fábrica: cilindro vacío"),parametros_recargas!$C$55:$C$55)*parametros_recargas!P$109+SUMPRODUCT(sobrestock_sustitutos!$F$74:$F$76,--(sobrestock_sustitutos!$F$31:$F$33="Fábrica: cilindro vacío"),parametros_recargas!$C$56:$C$58)*parametros_recargas!P$110+SUMPRODUCT(sobrestock_sustitutos!$F$86:$F$89,--(sobrestock_sustitutos!$F$43:$F$46="Fábrica: cilindro vacío"),parametros_recargas!$C$68:$C$71)*parametros_recargas!P$111</f>
        <v>30.5309390716</v>
      </c>
      <c r="P158" s="8" t="n">
        <f aca="false">SUM(D158:O158)</f>
        <v>292.056738395</v>
      </c>
    </row>
    <row r="161" customFormat="false" ht="15" hidden="false" customHeight="false" outlineLevel="0" collapsed="false">
      <c r="A161" s="28" t="n">
        <v>2031</v>
      </c>
      <c r="B161" s="6" t="s">
        <v>428</v>
      </c>
      <c r="C161" s="6" t="s">
        <v>429</v>
      </c>
      <c r="D161" s="6" t="s">
        <v>175</v>
      </c>
      <c r="E161" s="6" t="s">
        <v>176</v>
      </c>
      <c r="F161" s="6" t="s">
        <v>177</v>
      </c>
      <c r="G161" s="6" t="s">
        <v>178</v>
      </c>
      <c r="H161" s="6" t="s">
        <v>179</v>
      </c>
      <c r="I161" s="6" t="s">
        <v>180</v>
      </c>
      <c r="J161" s="6" t="s">
        <v>181</v>
      </c>
      <c r="K161" s="6" t="s">
        <v>182</v>
      </c>
      <c r="L161" s="6" t="s">
        <v>183</v>
      </c>
      <c r="M161" s="6" t="s">
        <v>184</v>
      </c>
      <c r="N161" s="6" t="s">
        <v>185</v>
      </c>
      <c r="O161" s="6" t="s">
        <v>186</v>
      </c>
      <c r="P161" s="6" t="s">
        <v>85</v>
      </c>
    </row>
    <row r="162" customFormat="false" ht="15" hidden="false" customHeight="false" outlineLevel="0" collapsed="false">
      <c r="A162" s="10" t="str">
        <f aca="false">parametros_recargas!A55</f>
        <v>ABC 1 kg</v>
      </c>
      <c r="B162" s="10" t="str">
        <f aca="false">parametros_recargas!B55</f>
        <v>ABC</v>
      </c>
      <c r="C162" s="25" t="n">
        <f aca="false">parametros_recargas!C55</f>
        <v>1</v>
      </c>
      <c r="D162" s="26" t="n">
        <f aca="false">datos_base!$G$2*parametros_recargas!E$55+sobrestock_sustitutos!$F$51/12</f>
        <v>487.688431893789</v>
      </c>
      <c r="E162" s="26" t="n">
        <f aca="false">datos_base!$G$2*parametros_recargas!F$55+sobrestock_sustitutos!$F$51/12</f>
        <v>6385.42874859347</v>
      </c>
      <c r="F162" s="26" t="n">
        <f aca="false">datos_base!$G$2*parametros_recargas!G$55+sobrestock_sustitutos!$F$51/12</f>
        <v>6423.32040080325</v>
      </c>
      <c r="G162" s="26" t="n">
        <f aca="false">datos_base!$G$2*parametros_recargas!H$55+sobrestock_sustitutos!$F$51/12</f>
        <v>6469.22533058691</v>
      </c>
      <c r="H162" s="26" t="n">
        <f aca="false">datos_base!$G$2*parametros_recargas!I$55+sobrestock_sustitutos!$F$51/12</f>
        <v>6471.62169535835</v>
      </c>
      <c r="I162" s="26" t="n">
        <f aca="false">datos_base!$G$2*parametros_recargas!J$55+sobrestock_sustitutos!$F$51/12</f>
        <v>6449.79815375481</v>
      </c>
      <c r="J162" s="26" t="n">
        <f aca="false">datos_base!$G$2*parametros_recargas!K$55+sobrestock_sustitutos!$F$51/12</f>
        <v>6518.44084522823</v>
      </c>
      <c r="K162" s="26" t="n">
        <f aca="false">datos_base!$G$2*parametros_recargas!L$55+sobrestock_sustitutos!$F$51/12</f>
        <v>6466.78048444725</v>
      </c>
      <c r="L162" s="26" t="n">
        <f aca="false">datos_base!$G$2*parametros_recargas!M$55+sobrestock_sustitutos!$F$51/12</f>
        <v>6474.8353174796</v>
      </c>
      <c r="M162" s="26" t="n">
        <f aca="false">datos_base!$G$2*parametros_recargas!N$55+sobrestock_sustitutos!$F$51/12</f>
        <v>6448.20519451367</v>
      </c>
      <c r="N162" s="26" t="n">
        <f aca="false">datos_base!$G$2*parametros_recargas!O$55+sobrestock_sustitutos!$F$51/12</f>
        <v>6333.52598097145</v>
      </c>
      <c r="O162" s="26" t="n">
        <f aca="false">datos_base!$G$2*parametros_recargas!P$55+sobrestock_sustitutos!$F$51/12</f>
        <v>176.084826598588</v>
      </c>
      <c r="P162" s="8" t="n">
        <f aca="false">SUM(D162:O162)</f>
        <v>65104.9554102294</v>
      </c>
    </row>
    <row r="163" customFormat="false" ht="15" hidden="false" customHeight="false" outlineLevel="0" collapsed="false">
      <c r="A163" s="10" t="str">
        <f aca="false">parametros_recargas!A56</f>
        <v>ABC 2,5 kg</v>
      </c>
      <c r="B163" s="10" t="str">
        <f aca="false">parametros_recargas!B56</f>
        <v>ABC</v>
      </c>
      <c r="C163" s="25" t="n">
        <f aca="false">parametros_recargas!C56</f>
        <v>1</v>
      </c>
      <c r="D163" s="26" t="n">
        <f aca="false">datos_base!$G$3*parametros_recargas!E$56+sobrestock_sustitutos!$F$52/12</f>
        <v>462.308903673775</v>
      </c>
      <c r="E163" s="26" t="n">
        <f aca="false">datos_base!$G$3*parametros_recargas!F$56+sobrestock_sustitutos!$F$52/12</f>
        <v>783.884570694791</v>
      </c>
      <c r="F163" s="26" t="n">
        <f aca="false">datos_base!$G$3*parametros_recargas!G$56+sobrestock_sustitutos!$F$52/12</f>
        <v>462.308903673775</v>
      </c>
      <c r="G163" s="26" t="n">
        <f aca="false">datos_base!$G$3*parametros_recargas!H$56+sobrestock_sustitutos!$F$52/12</f>
        <v>462.308903673775</v>
      </c>
      <c r="H163" s="26" t="n">
        <f aca="false">datos_base!$G$3*parametros_recargas!I$56+sobrestock_sustitutos!$F$52/12</f>
        <v>462.308903673775</v>
      </c>
      <c r="I163" s="26" t="n">
        <f aca="false">datos_base!$G$3*parametros_recargas!J$56+sobrestock_sustitutos!$F$52/12</f>
        <v>462.308903673775</v>
      </c>
      <c r="J163" s="26" t="n">
        <f aca="false">datos_base!$G$3*parametros_recargas!K$56+sobrestock_sustitutos!$F$52/12</f>
        <v>462.308903673775</v>
      </c>
      <c r="K163" s="26" t="n">
        <f aca="false">datos_base!$G$3*parametros_recargas!L$56+sobrestock_sustitutos!$F$52/12</f>
        <v>462.308903673775</v>
      </c>
      <c r="L163" s="26" t="n">
        <f aca="false">datos_base!$G$3*parametros_recargas!M$56+sobrestock_sustitutos!$F$52/12</f>
        <v>462.308903673775</v>
      </c>
      <c r="M163" s="26" t="n">
        <f aca="false">datos_base!$G$3*parametros_recargas!N$56+sobrestock_sustitutos!$F$52/12</f>
        <v>462.308903673775</v>
      </c>
      <c r="N163" s="26" t="n">
        <f aca="false">datos_base!$G$3*parametros_recargas!O$56+sobrestock_sustitutos!$F$52/12</f>
        <v>462.308903673775</v>
      </c>
      <c r="O163" s="26" t="n">
        <f aca="false">datos_base!$G$3*parametros_recargas!P$56+sobrestock_sustitutos!$F$52/12</f>
        <v>462.308903673775</v>
      </c>
      <c r="P163" s="8" t="n">
        <f aca="false">SUM(D163:O163)</f>
        <v>5869.28251110631</v>
      </c>
    </row>
    <row r="164" customFormat="false" ht="15" hidden="false" customHeight="false" outlineLevel="0" collapsed="false">
      <c r="A164" s="10" t="str">
        <f aca="false">parametros_recargas!A57</f>
        <v>ABC 5 kg</v>
      </c>
      <c r="B164" s="10" t="str">
        <f aca="false">parametros_recargas!B57</f>
        <v>ABC</v>
      </c>
      <c r="C164" s="25" t="n">
        <f aca="false">parametros_recargas!C57</f>
        <v>1</v>
      </c>
      <c r="D164" s="26" t="n">
        <f aca="false">datos_base!$G$4*parametros_recargas!E$57+sobrestock_sustitutos!$F$53/12</f>
        <v>2729.97498515828</v>
      </c>
      <c r="E164" s="26" t="n">
        <f aca="false">datos_base!$G$4*parametros_recargas!F$57+sobrestock_sustitutos!$F$53/12</f>
        <v>4196.14618218983</v>
      </c>
      <c r="F164" s="26" t="n">
        <f aca="false">datos_base!$G$4*parametros_recargas!G$57+sobrestock_sustitutos!$F$53/12</f>
        <v>2950.30452785195</v>
      </c>
      <c r="G164" s="26" t="n">
        <f aca="false">datos_base!$G$4*parametros_recargas!H$57+sobrestock_sustitutos!$F$53/12</f>
        <v>2952.00851021467</v>
      </c>
      <c r="H164" s="26" t="n">
        <f aca="false">datos_base!$G$4*parametros_recargas!I$57+sobrestock_sustitutos!$F$53/12</f>
        <v>2952.09746282443</v>
      </c>
      <c r="I164" s="26" t="n">
        <f aca="false">datos_base!$G$4*parametros_recargas!J$57+sobrestock_sustitutos!$F$53/12</f>
        <v>2951.28737706328</v>
      </c>
      <c r="J164" s="26" t="n">
        <f aca="false">datos_base!$G$4*parametros_recargas!K$57+sobrestock_sustitutos!$F$53/12</f>
        <v>2953.83538086487</v>
      </c>
      <c r="K164" s="26" t="n">
        <f aca="false">datos_base!$G$4*parametros_recargas!L$57+sobrestock_sustitutos!$F$53/12</f>
        <v>2951.91775798564</v>
      </c>
      <c r="L164" s="26" t="n">
        <f aca="false">datos_base!$G$4*parametros_recargas!M$57+sobrestock_sustitutos!$F$53/12</f>
        <v>2952.21675187336</v>
      </c>
      <c r="M164" s="26" t="n">
        <f aca="false">datos_base!$G$4*parametros_recargas!N$57+sobrestock_sustitutos!$F$53/12</f>
        <v>2951.22824671575</v>
      </c>
      <c r="N164" s="26" t="n">
        <f aca="false">datos_base!$G$4*parametros_recargas!O$57+sobrestock_sustitutos!$F$53/12</f>
        <v>2946.97137587056</v>
      </c>
      <c r="O164" s="26" t="n">
        <f aca="false">datos_base!$G$4*parametros_recargas!P$57+sobrestock_sustitutos!$F$53/12</f>
        <v>2718.4083179161</v>
      </c>
      <c r="P164" s="8" t="n">
        <f aca="false">SUM(D164:O164)</f>
        <v>36206.3968765287</v>
      </c>
    </row>
    <row r="165" customFormat="false" ht="15" hidden="false" customHeight="false" outlineLevel="0" collapsed="false">
      <c r="A165" s="10" t="str">
        <f aca="false">parametros_recargas!A58</f>
        <v>ABC 10 kg</v>
      </c>
      <c r="B165" s="10" t="str">
        <f aca="false">parametros_recargas!B58</f>
        <v>ABC</v>
      </c>
      <c r="C165" s="25" t="n">
        <f aca="false">parametros_recargas!C58</f>
        <v>1</v>
      </c>
      <c r="D165" s="26" t="n">
        <f aca="false">datos_base!$G$5*parametros_recargas!E$58+sobrestock_sustitutos!$F$54/12</f>
        <v>167.524709146991</v>
      </c>
      <c r="E165" s="26" t="n">
        <f aca="false">datos_base!$G$5*parametros_recargas!F$58+sobrestock_sustitutos!$F$54/12</f>
        <v>306.165012201543</v>
      </c>
      <c r="F165" s="26" t="n">
        <f aca="false">datos_base!$G$5*parametros_recargas!G$58+sobrestock_sustitutos!$F$54/12</f>
        <v>167.524709146991</v>
      </c>
      <c r="G165" s="26" t="n">
        <f aca="false">datos_base!$G$5*parametros_recargas!H$58+sobrestock_sustitutos!$F$54/12</f>
        <v>167.524709146991</v>
      </c>
      <c r="H165" s="26" t="n">
        <f aca="false">datos_base!$G$5*parametros_recargas!I$58+sobrestock_sustitutos!$F$54/12</f>
        <v>167.524709146991</v>
      </c>
      <c r="I165" s="26" t="n">
        <f aca="false">datos_base!$G$5*parametros_recargas!J$58+sobrestock_sustitutos!$F$54/12</f>
        <v>167.524709146991</v>
      </c>
      <c r="J165" s="26" t="n">
        <f aca="false">datos_base!$G$5*parametros_recargas!K$58+sobrestock_sustitutos!$F$54/12</f>
        <v>167.524709146991</v>
      </c>
      <c r="K165" s="26" t="n">
        <f aca="false">datos_base!$G$5*parametros_recargas!L$58+sobrestock_sustitutos!$F$54/12</f>
        <v>167.524709146991</v>
      </c>
      <c r="L165" s="26" t="n">
        <f aca="false">datos_base!$G$5*parametros_recargas!M$58+sobrestock_sustitutos!$F$54/12</f>
        <v>167.524709146991</v>
      </c>
      <c r="M165" s="26" t="n">
        <f aca="false">datos_base!$G$5*parametros_recargas!N$58+sobrestock_sustitutos!$F$54/12</f>
        <v>167.524709146991</v>
      </c>
      <c r="N165" s="26" t="n">
        <f aca="false">datos_base!$G$5*parametros_recargas!O$58+sobrestock_sustitutos!$F$54/12</f>
        <v>167.524709146991</v>
      </c>
      <c r="O165" s="26" t="n">
        <f aca="false">datos_base!$G$5*parametros_recargas!P$58+sobrestock_sustitutos!$F$54/12</f>
        <v>167.524709146991</v>
      </c>
      <c r="P165" s="8" t="n">
        <f aca="false">SUM(D165:O165)</f>
        <v>2148.93681281845</v>
      </c>
    </row>
    <row r="166" customFormat="false" ht="15" hidden="false" customHeight="false" outlineLevel="0" collapsed="false">
      <c r="A166" s="10" t="str">
        <f aca="false">parametros_recargas!A59</f>
        <v>Agua 10 l</v>
      </c>
      <c r="B166" s="10" t="str">
        <f aca="false">parametros_recargas!B59</f>
        <v>Agua</v>
      </c>
      <c r="C166" s="25" t="n">
        <f aca="false">parametros_recargas!C59</f>
        <v>1</v>
      </c>
      <c r="D166" s="26" t="n">
        <f aca="false">datos_base!$G$6*parametros_recargas!E$59+sobrestock_sustitutos!$F$55/12</f>
        <v>240.845852901594</v>
      </c>
      <c r="E166" s="26" t="n">
        <f aca="false">datos_base!$G$6*parametros_recargas!F$59+sobrestock_sustitutos!$F$55/12</f>
        <v>356.477520042232</v>
      </c>
      <c r="F166" s="26" t="n">
        <f aca="false">datos_base!$G$6*parametros_recargas!G$59+sobrestock_sustitutos!$F$55/12</f>
        <v>240.845852901594</v>
      </c>
      <c r="G166" s="26" t="n">
        <f aca="false">datos_base!$G$6*parametros_recargas!H$59+sobrestock_sustitutos!$F$55/12</f>
        <v>240.845852901594</v>
      </c>
      <c r="H166" s="26" t="n">
        <f aca="false">datos_base!$G$6*parametros_recargas!I$59+sobrestock_sustitutos!$F$55/12</f>
        <v>240.845852901594</v>
      </c>
      <c r="I166" s="26" t="n">
        <f aca="false">datos_base!$G$6*parametros_recargas!J$59+sobrestock_sustitutos!$F$55/12</f>
        <v>240.845852901594</v>
      </c>
      <c r="J166" s="26" t="n">
        <f aca="false">datos_base!$G$6*parametros_recargas!K$59+sobrestock_sustitutos!$F$55/12</f>
        <v>240.845852901594</v>
      </c>
      <c r="K166" s="26" t="n">
        <f aca="false">datos_base!$G$6*parametros_recargas!L$59+sobrestock_sustitutos!$F$55/12</f>
        <v>240.845852901594</v>
      </c>
      <c r="L166" s="26" t="n">
        <f aca="false">datos_base!$G$6*parametros_recargas!M$59+sobrestock_sustitutos!$F$55/12</f>
        <v>240.845852901594</v>
      </c>
      <c r="M166" s="26" t="n">
        <f aca="false">datos_base!$G$6*parametros_recargas!N$59+sobrestock_sustitutos!$F$55/12</f>
        <v>240.845852901594</v>
      </c>
      <c r="N166" s="26" t="n">
        <f aca="false">datos_base!$G$6*parametros_recargas!O$59+sobrestock_sustitutos!$F$55/12</f>
        <v>240.845852901594</v>
      </c>
      <c r="O166" s="26" t="n">
        <f aca="false">datos_base!$G$6*parametros_recargas!P$59+sobrestock_sustitutos!$F$55/12</f>
        <v>240.845852901594</v>
      </c>
      <c r="P166" s="8" t="n">
        <f aca="false">SUM(D166:O166)</f>
        <v>3005.78190195976</v>
      </c>
    </row>
    <row r="167" customFormat="false" ht="15" hidden="false" customHeight="false" outlineLevel="0" collapsed="false">
      <c r="A167" s="10" t="str">
        <f aca="false">parametros_recargas!A60</f>
        <v>AFFF 10 l</v>
      </c>
      <c r="B167" s="10" t="str">
        <f aca="false">parametros_recargas!B60</f>
        <v>AFFF</v>
      </c>
      <c r="C167" s="25" t="n">
        <f aca="false">parametros_recargas!C60</f>
        <v>1</v>
      </c>
      <c r="D167" s="26" t="n">
        <f aca="false">datos_base!$G$7*parametros_recargas!E$60+sobrestock_sustitutos!$F$56/12</f>
        <v>45.4110687364759</v>
      </c>
      <c r="E167" s="26" t="n">
        <f aca="false">datos_base!$G$7*parametros_recargas!F$60+sobrestock_sustitutos!$F$56/12</f>
        <v>45.4110687364759</v>
      </c>
      <c r="F167" s="26" t="n">
        <f aca="false">datos_base!$G$7*parametros_recargas!G$60+sobrestock_sustitutos!$F$56/12</f>
        <v>45.4110687364759</v>
      </c>
      <c r="G167" s="26" t="n">
        <f aca="false">datos_base!$G$7*parametros_recargas!H$60+sobrestock_sustitutos!$F$56/12</f>
        <v>45.4110687364759</v>
      </c>
      <c r="H167" s="26" t="n">
        <f aca="false">datos_base!$G$7*parametros_recargas!I$60+sobrestock_sustitutos!$F$56/12</f>
        <v>45.4110687364759</v>
      </c>
      <c r="I167" s="26" t="n">
        <f aca="false">datos_base!$G$7*parametros_recargas!J$60+sobrestock_sustitutos!$F$56/12</f>
        <v>45.4110687364759</v>
      </c>
      <c r="J167" s="26" t="n">
        <f aca="false">datos_base!$G$7*parametros_recargas!K$60+sobrestock_sustitutos!$F$56/12</f>
        <v>45.4110687364759</v>
      </c>
      <c r="K167" s="26" t="n">
        <f aca="false">datos_base!$G$7*parametros_recargas!L$60+sobrestock_sustitutos!$F$56/12</f>
        <v>45.4110687364759</v>
      </c>
      <c r="L167" s="26" t="n">
        <f aca="false">datos_base!$G$7*parametros_recargas!M$60+sobrestock_sustitutos!$F$56/12</f>
        <v>45.4110687364759</v>
      </c>
      <c r="M167" s="26" t="n">
        <f aca="false">datos_base!$G$7*parametros_recargas!N$60+sobrestock_sustitutos!$F$56/12</f>
        <v>45.4110687364759</v>
      </c>
      <c r="N167" s="26" t="n">
        <f aca="false">datos_base!$G$7*parametros_recargas!O$60+sobrestock_sustitutos!$F$56/12</f>
        <v>45.4110687364759</v>
      </c>
      <c r="O167" s="26" t="n">
        <f aca="false">datos_base!$G$7*parametros_recargas!P$60+sobrestock_sustitutos!$F$56/12</f>
        <v>45.4110687364759</v>
      </c>
      <c r="P167" s="8" t="n">
        <f aca="false">SUM(D167:O167)</f>
        <v>544.932824837711</v>
      </c>
    </row>
    <row r="168" customFormat="false" ht="15" hidden="false" customHeight="false" outlineLevel="0" collapsed="false">
      <c r="A168" s="10" t="str">
        <f aca="false">parametros_recargas!A61</f>
        <v>AFFF 50 l s/ruedas</v>
      </c>
      <c r="B168" s="10" t="str">
        <f aca="false">parametros_recargas!B61</f>
        <v>AFFF</v>
      </c>
      <c r="C168" s="25" t="n">
        <f aca="false">parametros_recargas!C61</f>
        <v>6.360853875</v>
      </c>
      <c r="D168" s="26" t="n">
        <f aca="false">datos_base!$G$8*parametros_recargas!E$61+sobrestock_sustitutos!$F$57/12</f>
        <v>24.2762945983838</v>
      </c>
      <c r="E168" s="26" t="n">
        <f aca="false">datos_base!$G$8*parametros_recargas!F$61+sobrestock_sustitutos!$F$57/12</f>
        <v>24.2762945983838</v>
      </c>
      <c r="F168" s="26" t="n">
        <f aca="false">datos_base!$G$8*parametros_recargas!G$61+sobrestock_sustitutos!$F$57/12</f>
        <v>24.2762945983838</v>
      </c>
      <c r="G168" s="26" t="n">
        <f aca="false">datos_base!$G$8*parametros_recargas!H$61+sobrestock_sustitutos!$F$57/12</f>
        <v>24.2762945983838</v>
      </c>
      <c r="H168" s="26" t="n">
        <f aca="false">datos_base!$G$8*parametros_recargas!I$61+sobrestock_sustitutos!$F$57/12</f>
        <v>24.2762945983838</v>
      </c>
      <c r="I168" s="26" t="n">
        <f aca="false">datos_base!$G$8*parametros_recargas!J$61+sobrestock_sustitutos!$F$57/12</f>
        <v>24.2762945983838</v>
      </c>
      <c r="J168" s="26" t="n">
        <f aca="false">datos_base!$G$8*parametros_recargas!K$61+sobrestock_sustitutos!$F$57/12</f>
        <v>24.2762945983838</v>
      </c>
      <c r="K168" s="26" t="n">
        <f aca="false">datos_base!$G$8*parametros_recargas!L$61+sobrestock_sustitutos!$F$57/12</f>
        <v>24.2762945983838</v>
      </c>
      <c r="L168" s="26" t="n">
        <f aca="false">datos_base!$G$8*parametros_recargas!M$61+sobrestock_sustitutos!$F$57/12</f>
        <v>24.2762945983838</v>
      </c>
      <c r="M168" s="26" t="n">
        <f aca="false">datos_base!$G$8*parametros_recargas!N$61+sobrestock_sustitutos!$F$57/12</f>
        <v>24.2762945983838</v>
      </c>
      <c r="N168" s="26" t="n">
        <f aca="false">datos_base!$G$8*parametros_recargas!O$61+sobrestock_sustitutos!$F$57/12</f>
        <v>24.2762945983838</v>
      </c>
      <c r="O168" s="26" t="n">
        <f aca="false">datos_base!$G$8*parametros_recargas!P$61+sobrestock_sustitutos!$F$57/12</f>
        <v>24.2762945983838</v>
      </c>
      <c r="P168" s="8" t="n">
        <f aca="false">SUM(D168:O168)</f>
        <v>291.315535180606</v>
      </c>
    </row>
    <row r="169" customFormat="false" ht="15" hidden="false" customHeight="false" outlineLevel="0" collapsed="false">
      <c r="A169" s="10" t="str">
        <f aca="false">parametros_recargas!A62</f>
        <v>BC 5 kg</v>
      </c>
      <c r="B169" s="10" t="str">
        <f aca="false">parametros_recargas!B62</f>
        <v>BC</v>
      </c>
      <c r="C169" s="25" t="n">
        <f aca="false">parametros_recargas!C62</f>
        <v>1</v>
      </c>
      <c r="D169" s="26" t="n">
        <f aca="false">datos_base!$G$9*parametros_recargas!E$62+sobrestock_sustitutos!$F$58/12</f>
        <v>13.8206328898618</v>
      </c>
      <c r="E169" s="26" t="n">
        <f aca="false">datos_base!$G$9*parametros_recargas!F$62+sobrestock_sustitutos!$F$58/12</f>
        <v>13.8206328898618</v>
      </c>
      <c r="F169" s="26" t="n">
        <f aca="false">datos_base!$G$9*parametros_recargas!G$62+sobrestock_sustitutos!$F$58/12</f>
        <v>13.8206328898618</v>
      </c>
      <c r="G169" s="26" t="n">
        <f aca="false">datos_base!$G$9*parametros_recargas!H$62+sobrestock_sustitutos!$F$58/12</f>
        <v>13.8206328898618</v>
      </c>
      <c r="H169" s="26" t="n">
        <f aca="false">datos_base!$G$9*parametros_recargas!I$62+sobrestock_sustitutos!$F$58/12</f>
        <v>13.8206328898618</v>
      </c>
      <c r="I169" s="26" t="n">
        <f aca="false">datos_base!$G$9*parametros_recargas!J$62+sobrestock_sustitutos!$F$58/12</f>
        <v>13.8206328898618</v>
      </c>
      <c r="J169" s="26" t="n">
        <f aca="false">datos_base!$G$9*parametros_recargas!K$62+sobrestock_sustitutos!$F$58/12</f>
        <v>13.8206328898618</v>
      </c>
      <c r="K169" s="26" t="n">
        <f aca="false">datos_base!$G$9*parametros_recargas!L$62+sobrestock_sustitutos!$F$58/12</f>
        <v>13.8206328898618</v>
      </c>
      <c r="L169" s="26" t="n">
        <f aca="false">datos_base!$G$9*parametros_recargas!M$62+sobrestock_sustitutos!$F$58/12</f>
        <v>13.8206328898618</v>
      </c>
      <c r="M169" s="26" t="n">
        <f aca="false">datos_base!$G$9*parametros_recargas!N$62+sobrestock_sustitutos!$F$58/12</f>
        <v>13.8206328898618</v>
      </c>
      <c r="N169" s="26" t="n">
        <f aca="false">datos_base!$G$9*parametros_recargas!O$62+sobrestock_sustitutos!$F$58/12</f>
        <v>13.8206328898618</v>
      </c>
      <c r="O169" s="26" t="n">
        <f aca="false">datos_base!$G$9*parametros_recargas!P$62+sobrestock_sustitutos!$F$58/12</f>
        <v>13.8206328898618</v>
      </c>
      <c r="P169" s="8" t="n">
        <f aca="false">SUM(D169:O169)</f>
        <v>165.847594678341</v>
      </c>
    </row>
    <row r="170" customFormat="false" ht="15" hidden="false" customHeight="false" outlineLevel="0" collapsed="false">
      <c r="A170" s="10" t="str">
        <f aca="false">parametros_recargas!A63</f>
        <v>Sales K 6 l</v>
      </c>
      <c r="B170" s="10" t="str">
        <f aca="false">parametros_recargas!B63</f>
        <v>Sales K</v>
      </c>
      <c r="C170" s="25" t="n">
        <f aca="false">parametros_recargas!C63</f>
        <v>1</v>
      </c>
      <c r="D170" s="26" t="n">
        <f aca="false">datos_base!$G$10*parametros_recargas!E$63+sobrestock_sustitutos!$F$59/12</f>
        <v>113.396283560409</v>
      </c>
      <c r="E170" s="26" t="n">
        <f aca="false">datos_base!$G$10*parametros_recargas!F$63+sobrestock_sustitutos!$F$59/12</f>
        <v>225.583386138581</v>
      </c>
      <c r="F170" s="26" t="n">
        <f aca="false">datos_base!$G$10*parametros_recargas!G$63+sobrestock_sustitutos!$F$59/12</f>
        <v>113.396283560409</v>
      </c>
      <c r="G170" s="26" t="n">
        <f aca="false">datos_base!$G$10*parametros_recargas!H$63+sobrestock_sustitutos!$F$59/12</f>
        <v>113.396283560409</v>
      </c>
      <c r="H170" s="26" t="n">
        <f aca="false">datos_base!$G$10*parametros_recargas!I$63+sobrestock_sustitutos!$F$59/12</f>
        <v>113.396283560409</v>
      </c>
      <c r="I170" s="26" t="n">
        <f aca="false">datos_base!$G$10*parametros_recargas!J$63+sobrestock_sustitutos!$F$59/12</f>
        <v>113.396283560409</v>
      </c>
      <c r="J170" s="26" t="n">
        <f aca="false">datos_base!$G$10*parametros_recargas!K$63+sobrestock_sustitutos!$F$59/12</f>
        <v>113.396283560409</v>
      </c>
      <c r="K170" s="26" t="n">
        <f aca="false">datos_base!$G$10*parametros_recargas!L$63+sobrestock_sustitutos!$F$59/12</f>
        <v>113.396283560409</v>
      </c>
      <c r="L170" s="26" t="n">
        <f aca="false">datos_base!$G$10*parametros_recargas!M$63+sobrestock_sustitutos!$F$59/12</f>
        <v>113.396283560409</v>
      </c>
      <c r="M170" s="26" t="n">
        <f aca="false">datos_base!$G$10*parametros_recargas!N$63+sobrestock_sustitutos!$F$59/12</f>
        <v>113.396283560409</v>
      </c>
      <c r="N170" s="26" t="n">
        <f aca="false">datos_base!$G$10*parametros_recargas!O$63+sobrestock_sustitutos!$F$59/12</f>
        <v>113.396283560409</v>
      </c>
      <c r="O170" s="26" t="n">
        <f aca="false">datos_base!$G$10*parametros_recargas!P$63+sobrestock_sustitutos!$F$59/12</f>
        <v>113.396283560409</v>
      </c>
      <c r="P170" s="8" t="n">
        <f aca="false">SUM(D170:O170)</f>
        <v>1472.94250530308</v>
      </c>
    </row>
    <row r="171" customFormat="false" ht="15" hidden="false" customHeight="false" outlineLevel="0" collapsed="false">
      <c r="A171" s="10" t="str">
        <f aca="false">parametros_recargas!A64</f>
        <v>CO₂ 2 kg</v>
      </c>
      <c r="B171" s="10" t="str">
        <f aca="false">parametros_recargas!B64</f>
        <v>CO₂</v>
      </c>
      <c r="C171" s="25" t="n">
        <f aca="false">parametros_recargas!C64</f>
        <v>1</v>
      </c>
      <c r="D171" s="26" t="n">
        <f aca="false">datos_base!$G$11*parametros_recargas!E$64+sobrestock_sustitutos!$F$60/12</f>
        <v>642.433675738574</v>
      </c>
      <c r="E171" s="26" t="n">
        <f aca="false">datos_base!$G$11*parametros_recargas!F$64+sobrestock_sustitutos!$F$60/12</f>
        <v>1112.01992923356</v>
      </c>
      <c r="F171" s="26" t="n">
        <f aca="false">datos_base!$G$11*parametros_recargas!G$64+sobrestock_sustitutos!$F$60/12</f>
        <v>642.433675738574</v>
      </c>
      <c r="G171" s="26" t="n">
        <f aca="false">datos_base!$G$11*parametros_recargas!H$64+sobrestock_sustitutos!$F$60/12</f>
        <v>642.433675738574</v>
      </c>
      <c r="H171" s="26" t="n">
        <f aca="false">datos_base!$G$11*parametros_recargas!I$64+sobrestock_sustitutos!$F$60/12</f>
        <v>642.433675738574</v>
      </c>
      <c r="I171" s="26" t="n">
        <f aca="false">datos_base!$G$11*parametros_recargas!J$64+sobrestock_sustitutos!$F$60/12</f>
        <v>642.433675738574</v>
      </c>
      <c r="J171" s="26" t="n">
        <f aca="false">datos_base!$G$11*parametros_recargas!K$64+sobrestock_sustitutos!$F$60/12</f>
        <v>642.433675738574</v>
      </c>
      <c r="K171" s="26" t="n">
        <f aca="false">datos_base!$G$11*parametros_recargas!L$64+sobrestock_sustitutos!$F$60/12</f>
        <v>642.433675738574</v>
      </c>
      <c r="L171" s="26" t="n">
        <f aca="false">datos_base!$G$11*parametros_recargas!M$64+sobrestock_sustitutos!$F$60/12</f>
        <v>642.433675738574</v>
      </c>
      <c r="M171" s="26" t="n">
        <f aca="false">datos_base!$G$11*parametros_recargas!N$64+sobrestock_sustitutos!$F$60/12</f>
        <v>642.433675738574</v>
      </c>
      <c r="N171" s="26" t="n">
        <f aca="false">datos_base!$G$11*parametros_recargas!O$64+sobrestock_sustitutos!$F$60/12</f>
        <v>642.433675738574</v>
      </c>
      <c r="O171" s="26" t="n">
        <f aca="false">datos_base!$G$11*parametros_recargas!P$64+sobrestock_sustitutos!$F$60/12</f>
        <v>642.433675738574</v>
      </c>
      <c r="P171" s="8" t="n">
        <f aca="false">SUM(D171:O171)</f>
        <v>8178.79036235787</v>
      </c>
    </row>
    <row r="172" customFormat="false" ht="15" hidden="false" customHeight="false" outlineLevel="0" collapsed="false">
      <c r="A172" s="10" t="str">
        <f aca="false">parametros_recargas!A65</f>
        <v>CO₂ 5 kg</v>
      </c>
      <c r="B172" s="10" t="str">
        <f aca="false">parametros_recargas!B65</f>
        <v>CO₂</v>
      </c>
      <c r="C172" s="25" t="n">
        <f aca="false">parametros_recargas!C65</f>
        <v>1</v>
      </c>
      <c r="D172" s="26" t="n">
        <f aca="false">datos_base!$G$12*parametros_recargas!E$65+sobrestock_sustitutos!$F$61/12</f>
        <v>219.850612772414</v>
      </c>
      <c r="E172" s="26" t="n">
        <f aca="false">datos_base!$G$12*parametros_recargas!F$65+sobrestock_sustitutos!$F$61/12</f>
        <v>240.896054671257</v>
      </c>
      <c r="F172" s="26" t="n">
        <f aca="false">datos_base!$G$12*parametros_recargas!G$65+sobrestock_sustitutos!$F$61/12</f>
        <v>219.850612772414</v>
      </c>
      <c r="G172" s="26" t="n">
        <f aca="false">datos_base!$G$12*parametros_recargas!H$65+sobrestock_sustitutos!$F$61/12</f>
        <v>219.850612772414</v>
      </c>
      <c r="H172" s="26" t="n">
        <f aca="false">datos_base!$G$12*parametros_recargas!I$65+sobrestock_sustitutos!$F$61/12</f>
        <v>219.850612772414</v>
      </c>
      <c r="I172" s="26" t="n">
        <f aca="false">datos_base!$G$12*parametros_recargas!J$65+sobrestock_sustitutos!$F$61/12</f>
        <v>219.850612772414</v>
      </c>
      <c r="J172" s="26" t="n">
        <f aca="false">datos_base!$G$12*parametros_recargas!K$65+sobrestock_sustitutos!$F$61/12</f>
        <v>219.850612772414</v>
      </c>
      <c r="K172" s="26" t="n">
        <f aca="false">datos_base!$G$12*parametros_recargas!L$65+sobrestock_sustitutos!$F$61/12</f>
        <v>219.850612772414</v>
      </c>
      <c r="L172" s="26" t="n">
        <f aca="false">datos_base!$G$12*parametros_recargas!M$65+sobrestock_sustitutos!$F$61/12</f>
        <v>219.850612772414</v>
      </c>
      <c r="M172" s="26" t="n">
        <f aca="false">datos_base!$G$12*parametros_recargas!N$65+sobrestock_sustitutos!$F$61/12</f>
        <v>219.850612772414</v>
      </c>
      <c r="N172" s="26" t="n">
        <f aca="false">datos_base!$G$12*parametros_recargas!O$65+sobrestock_sustitutos!$F$61/12</f>
        <v>219.850612772414</v>
      </c>
      <c r="O172" s="26" t="n">
        <f aca="false">datos_base!$G$12*parametros_recargas!P$65+sobrestock_sustitutos!$F$61/12</f>
        <v>219.850612772414</v>
      </c>
      <c r="P172" s="8" t="n">
        <f aca="false">SUM(D172:O172)</f>
        <v>2659.25279516781</v>
      </c>
    </row>
    <row r="173" customFormat="false" ht="15" hidden="false" customHeight="false" outlineLevel="0" collapsed="false">
      <c r="A173" s="10" t="str">
        <f aca="false">parametros_recargas!A66</f>
        <v>HCFC/HFC 5 kg</v>
      </c>
      <c r="B173" s="10" t="str">
        <f aca="false">parametros_recargas!B66</f>
        <v>Halogenado</v>
      </c>
      <c r="C173" s="25" t="n">
        <f aca="false">parametros_recargas!C66</f>
        <v>1</v>
      </c>
      <c r="D173" s="26" t="n">
        <f aca="false">datos_base!$G$13*parametros_recargas!E$66+sobrestock_sustitutos!$F$62/12</f>
        <v>35.5249614921932</v>
      </c>
      <c r="E173" s="26" t="n">
        <f aca="false">datos_base!$G$13*parametros_recargas!F$66+sobrestock_sustitutos!$F$62/12</f>
        <v>35.5249614921932</v>
      </c>
      <c r="F173" s="26" t="n">
        <f aca="false">datos_base!$G$13*parametros_recargas!G$66+sobrestock_sustitutos!$F$62/12</f>
        <v>35.5249614921932</v>
      </c>
      <c r="G173" s="26" t="n">
        <f aca="false">datos_base!$G$13*parametros_recargas!H$66+sobrestock_sustitutos!$F$62/12</f>
        <v>35.5249614921932</v>
      </c>
      <c r="H173" s="26" t="n">
        <f aca="false">datos_base!$G$13*parametros_recargas!I$66+sobrestock_sustitutos!$F$62/12</f>
        <v>35.5249614921932</v>
      </c>
      <c r="I173" s="26" t="n">
        <f aca="false">datos_base!$G$13*parametros_recargas!J$66+sobrestock_sustitutos!$F$62/12</f>
        <v>35.5249614921932</v>
      </c>
      <c r="J173" s="26" t="n">
        <f aca="false">datos_base!$G$13*parametros_recargas!K$66+sobrestock_sustitutos!$F$62/12</f>
        <v>35.5249614921932</v>
      </c>
      <c r="K173" s="26" t="n">
        <f aca="false">datos_base!$G$13*parametros_recargas!L$66+sobrestock_sustitutos!$F$62/12</f>
        <v>35.5249614921932</v>
      </c>
      <c r="L173" s="26" t="n">
        <f aca="false">datos_base!$G$13*parametros_recargas!M$66+sobrestock_sustitutos!$F$62/12</f>
        <v>35.5249614921932</v>
      </c>
      <c r="M173" s="26" t="n">
        <f aca="false">datos_base!$G$13*parametros_recargas!N$66+sobrestock_sustitutos!$F$62/12</f>
        <v>35.5249614921932</v>
      </c>
      <c r="N173" s="26" t="n">
        <f aca="false">datos_base!$G$13*parametros_recargas!O$66+sobrestock_sustitutos!$F$62/12</f>
        <v>35.5249614921932</v>
      </c>
      <c r="O173" s="26" t="n">
        <f aca="false">datos_base!$G$13*parametros_recargas!P$66+sobrestock_sustitutos!$F$62/12</f>
        <v>35.5249614921932</v>
      </c>
      <c r="P173" s="8" t="n">
        <f aca="false">SUM(D173:O173)</f>
        <v>426.299537906318</v>
      </c>
    </row>
    <row r="174" customFormat="false" ht="15" hidden="false" customHeight="false" outlineLevel="0" collapsed="false">
      <c r="A174" s="10" t="str">
        <f aca="false">parametros_recargas!A67</f>
        <v>Clase D 9 l</v>
      </c>
      <c r="B174" s="10" t="str">
        <f aca="false">parametros_recargas!B67</f>
        <v>Clase D</v>
      </c>
      <c r="C174" s="25" t="n">
        <f aca="false">parametros_recargas!C67</f>
        <v>1</v>
      </c>
      <c r="D174" s="26" t="n">
        <f aca="false">datos_base!$G$14*parametros_recargas!E$67+sobrestock_sustitutos!$F$63/12</f>
        <v>12.0689017854267</v>
      </c>
      <c r="E174" s="26" t="n">
        <f aca="false">datos_base!$G$14*parametros_recargas!F$67+sobrestock_sustitutos!$F$63/12</f>
        <v>12.0689017854267</v>
      </c>
      <c r="F174" s="26" t="n">
        <f aca="false">datos_base!$G$14*parametros_recargas!G$67+sobrestock_sustitutos!$F$63/12</f>
        <v>12.0689017854267</v>
      </c>
      <c r="G174" s="26" t="n">
        <f aca="false">datos_base!$G$14*parametros_recargas!H$67+sobrestock_sustitutos!$F$63/12</f>
        <v>12.0689017854267</v>
      </c>
      <c r="H174" s="26" t="n">
        <f aca="false">datos_base!$G$14*parametros_recargas!I$67+sobrestock_sustitutos!$F$63/12</f>
        <v>12.0689017854267</v>
      </c>
      <c r="I174" s="26" t="n">
        <f aca="false">datos_base!$G$14*parametros_recargas!J$67+sobrestock_sustitutos!$F$63/12</f>
        <v>12.0689017854267</v>
      </c>
      <c r="J174" s="26" t="n">
        <f aca="false">datos_base!$G$14*parametros_recargas!K$67+sobrestock_sustitutos!$F$63/12</f>
        <v>12.0689017854267</v>
      </c>
      <c r="K174" s="26" t="n">
        <f aca="false">datos_base!$G$14*parametros_recargas!L$67+sobrestock_sustitutos!$F$63/12</f>
        <v>12.0689017854267</v>
      </c>
      <c r="L174" s="26" t="n">
        <f aca="false">datos_base!$G$14*parametros_recargas!M$67+sobrestock_sustitutos!$F$63/12</f>
        <v>12.0689017854267</v>
      </c>
      <c r="M174" s="26" t="n">
        <f aca="false">datos_base!$G$14*parametros_recargas!N$67+sobrestock_sustitutos!$F$63/12</f>
        <v>12.0689017854267</v>
      </c>
      <c r="N174" s="26" t="n">
        <f aca="false">datos_base!$G$14*parametros_recargas!O$67+sobrestock_sustitutos!$F$63/12</f>
        <v>12.0689017854267</v>
      </c>
      <c r="O174" s="26" t="n">
        <f aca="false">datos_base!$G$14*parametros_recargas!P$67+sobrestock_sustitutos!$F$63/12</f>
        <v>12.0689017854267</v>
      </c>
      <c r="P174" s="8" t="n">
        <f aca="false">SUM(D174:O174)</f>
        <v>144.826821425121</v>
      </c>
    </row>
    <row r="175" customFormat="false" ht="15" hidden="false" customHeight="false" outlineLevel="0" collapsed="false">
      <c r="A175" s="10" t="str">
        <f aca="false">parametros_recargas!A68</f>
        <v>ABC 25 kg s/ruedas</v>
      </c>
      <c r="B175" s="10" t="str">
        <f aca="false">parametros_recargas!B68</f>
        <v>ABC</v>
      </c>
      <c r="C175" s="25" t="n">
        <f aca="false">parametros_recargas!C68</f>
        <v>6.360853875</v>
      </c>
      <c r="D175" s="26" t="n">
        <f aca="false">datos_base!$G$15*parametros_recargas!E$68+sobrestock_sustitutos!$F$64/12</f>
        <v>29.8283562498871</v>
      </c>
      <c r="E175" s="26" t="n">
        <f aca="false">datos_base!$G$15*parametros_recargas!F$68+sobrestock_sustitutos!$F$64/12</f>
        <v>34.5664811965998</v>
      </c>
      <c r="F175" s="26" t="n">
        <f aca="false">datos_base!$G$15*parametros_recargas!G$68+sobrestock_sustitutos!$F$64/12</f>
        <v>29.8283562498871</v>
      </c>
      <c r="G175" s="26" t="n">
        <f aca="false">datos_base!$G$15*parametros_recargas!H$68+sobrestock_sustitutos!$F$64/12</f>
        <v>29.8283562498871</v>
      </c>
      <c r="H175" s="26" t="n">
        <f aca="false">datos_base!$G$15*parametros_recargas!I$68+sobrestock_sustitutos!$F$64/12</f>
        <v>29.8283562498871</v>
      </c>
      <c r="I175" s="26" t="n">
        <f aca="false">datos_base!$G$15*parametros_recargas!J$68+sobrestock_sustitutos!$F$64/12</f>
        <v>29.8283562498871</v>
      </c>
      <c r="J175" s="26" t="n">
        <f aca="false">datos_base!$G$15*parametros_recargas!K$68+sobrestock_sustitutos!$F$64/12</f>
        <v>29.8283562498871</v>
      </c>
      <c r="K175" s="26" t="n">
        <f aca="false">datos_base!$G$15*parametros_recargas!L$68+sobrestock_sustitutos!$F$64/12</f>
        <v>29.8283562498871</v>
      </c>
      <c r="L175" s="26" t="n">
        <f aca="false">datos_base!$G$15*parametros_recargas!M$68+sobrestock_sustitutos!$F$64/12</f>
        <v>29.8283562498871</v>
      </c>
      <c r="M175" s="26" t="n">
        <f aca="false">datos_base!$G$15*parametros_recargas!N$68+sobrestock_sustitutos!$F$64/12</f>
        <v>29.8283562498871</v>
      </c>
      <c r="N175" s="26" t="n">
        <f aca="false">datos_base!$G$15*parametros_recargas!O$68+sobrestock_sustitutos!$F$64/12</f>
        <v>29.8283562498871</v>
      </c>
      <c r="O175" s="26" t="n">
        <f aca="false">datos_base!$G$15*parametros_recargas!P$68+sobrestock_sustitutos!$F$64/12</f>
        <v>29.8283562498871</v>
      </c>
      <c r="P175" s="8" t="n">
        <f aca="false">SUM(D175:O175)</f>
        <v>362.678399945357</v>
      </c>
    </row>
    <row r="176" customFormat="false" ht="15" hidden="false" customHeight="false" outlineLevel="0" collapsed="false">
      <c r="A176" s="10" t="str">
        <f aca="false">parametros_recargas!A69</f>
        <v>ABC 50 kg s/ruedas</v>
      </c>
      <c r="B176" s="10" t="str">
        <f aca="false">parametros_recargas!B69</f>
        <v>ABC</v>
      </c>
      <c r="C176" s="25" t="n">
        <f aca="false">parametros_recargas!C69</f>
        <v>6.360853875</v>
      </c>
      <c r="D176" s="26" t="n">
        <f aca="false">datos_base!$G$16*parametros_recargas!E$69+sobrestock_sustitutos!$F$65/12</f>
        <v>65.6055989721139</v>
      </c>
      <c r="E176" s="26" t="n">
        <f aca="false">datos_base!$G$16*parametros_recargas!F$69+sobrestock_sustitutos!$F$65/12</f>
        <v>76.0308917410529</v>
      </c>
      <c r="F176" s="26" t="n">
        <f aca="false">datos_base!$G$16*parametros_recargas!G$69+sobrestock_sustitutos!$F$65/12</f>
        <v>65.6055989721139</v>
      </c>
      <c r="G176" s="26" t="n">
        <f aca="false">datos_base!$G$16*parametros_recargas!H$69+sobrestock_sustitutos!$F$65/12</f>
        <v>65.6055989721139</v>
      </c>
      <c r="H176" s="26" t="n">
        <f aca="false">datos_base!$G$16*parametros_recargas!I$69+sobrestock_sustitutos!$F$65/12</f>
        <v>65.6055989721139</v>
      </c>
      <c r="I176" s="26" t="n">
        <f aca="false">datos_base!$G$16*parametros_recargas!J$69+sobrestock_sustitutos!$F$65/12</f>
        <v>65.6055989721139</v>
      </c>
      <c r="J176" s="26" t="n">
        <f aca="false">datos_base!$G$16*parametros_recargas!K$69+sobrestock_sustitutos!$F$65/12</f>
        <v>65.6055989721139</v>
      </c>
      <c r="K176" s="26" t="n">
        <f aca="false">datos_base!$G$16*parametros_recargas!L$69+sobrestock_sustitutos!$F$65/12</f>
        <v>65.6055989721139</v>
      </c>
      <c r="L176" s="26" t="n">
        <f aca="false">datos_base!$G$16*parametros_recargas!M$69+sobrestock_sustitutos!$F$65/12</f>
        <v>65.6055989721139</v>
      </c>
      <c r="M176" s="26" t="n">
        <f aca="false">datos_base!$G$16*parametros_recargas!N$69+sobrestock_sustitutos!$F$65/12</f>
        <v>65.6055989721139</v>
      </c>
      <c r="N176" s="26" t="n">
        <f aca="false">datos_base!$G$16*parametros_recargas!O$69+sobrestock_sustitutos!$F$65/12</f>
        <v>65.6055989721139</v>
      </c>
      <c r="O176" s="26" t="n">
        <f aca="false">datos_base!$G$16*parametros_recargas!P$69+sobrestock_sustitutos!$F$65/12</f>
        <v>65.6055989721139</v>
      </c>
      <c r="P176" s="8" t="n">
        <f aca="false">SUM(D176:O176)</f>
        <v>797.692480434306</v>
      </c>
    </row>
    <row r="177" customFormat="false" ht="15" hidden="false" customHeight="false" outlineLevel="0" collapsed="false">
      <c r="A177" s="10" t="str">
        <f aca="false">parametros_recargas!A70</f>
        <v>ABC 70 kg s/ruedas</v>
      </c>
      <c r="B177" s="10" t="str">
        <f aca="false">parametros_recargas!B70</f>
        <v>ABC</v>
      </c>
      <c r="C177" s="25" t="n">
        <f aca="false">parametros_recargas!C70</f>
        <v>6.360853875</v>
      </c>
      <c r="D177" s="26" t="n">
        <f aca="false">datos_base!$G$17*parametros_recargas!E$70+sobrestock_sustitutos!$F$66/12</f>
        <v>14.3276422601983</v>
      </c>
      <c r="E177" s="26" t="n">
        <f aca="false">datos_base!$G$17*parametros_recargas!F$70+sobrestock_sustitutos!$F$66/12</f>
        <v>16.6015672224944</v>
      </c>
      <c r="F177" s="26" t="n">
        <f aca="false">datos_base!$G$17*parametros_recargas!G$70+sobrestock_sustitutos!$F$66/12</f>
        <v>14.3276422601983</v>
      </c>
      <c r="G177" s="26" t="n">
        <f aca="false">datos_base!$G$17*parametros_recargas!H$70+sobrestock_sustitutos!$F$66/12</f>
        <v>14.3276422601983</v>
      </c>
      <c r="H177" s="26" t="n">
        <f aca="false">datos_base!$G$17*parametros_recargas!I$70+sobrestock_sustitutos!$F$66/12</f>
        <v>14.3276422601983</v>
      </c>
      <c r="I177" s="26" t="n">
        <f aca="false">datos_base!$G$17*parametros_recargas!J$70+sobrestock_sustitutos!$F$66/12</f>
        <v>14.3276422601983</v>
      </c>
      <c r="J177" s="26" t="n">
        <f aca="false">datos_base!$G$17*parametros_recargas!K$70+sobrestock_sustitutos!$F$66/12</f>
        <v>14.3276422601983</v>
      </c>
      <c r="K177" s="26" t="n">
        <f aca="false">datos_base!$G$17*parametros_recargas!L$70+sobrestock_sustitutos!$F$66/12</f>
        <v>14.3276422601983</v>
      </c>
      <c r="L177" s="26" t="n">
        <f aca="false">datos_base!$G$17*parametros_recargas!M$70+sobrestock_sustitutos!$F$66/12</f>
        <v>14.3276422601983</v>
      </c>
      <c r="M177" s="26" t="n">
        <f aca="false">datos_base!$G$17*parametros_recargas!N$70+sobrestock_sustitutos!$F$66/12</f>
        <v>14.3276422601983</v>
      </c>
      <c r="N177" s="26" t="n">
        <f aca="false">datos_base!$G$17*parametros_recargas!O$70+sobrestock_sustitutos!$F$66/12</f>
        <v>14.3276422601983</v>
      </c>
      <c r="O177" s="26" t="n">
        <f aca="false">datos_base!$G$17*parametros_recargas!P$70+sobrestock_sustitutos!$F$66/12</f>
        <v>14.3276422601983</v>
      </c>
      <c r="P177" s="8" t="n">
        <f aca="false">SUM(D177:O177)</f>
        <v>174.205632084676</v>
      </c>
    </row>
    <row r="178" customFormat="false" ht="15" hidden="false" customHeight="false" outlineLevel="0" collapsed="false">
      <c r="A178" s="10" t="str">
        <f aca="false">parametros_recargas!A71</f>
        <v>ABC 100 kg s/ruedas</v>
      </c>
      <c r="B178" s="10" t="str">
        <f aca="false">parametros_recargas!B71</f>
        <v>ABC</v>
      </c>
      <c r="C178" s="25" t="n">
        <f aca="false">parametros_recargas!C71</f>
        <v>6.360853875</v>
      </c>
      <c r="D178" s="26" t="n">
        <f aca="false">datos_base!$G$18*parametros_recargas!E$71+sobrestock_sustitutos!$F$67/12</f>
        <v>9.55162934812274</v>
      </c>
      <c r="E178" s="26" t="n">
        <f aca="false">datos_base!$G$18*parametros_recargas!F$71+sobrestock_sustitutos!$F$67/12</f>
        <v>11.0691650422602</v>
      </c>
      <c r="F178" s="26" t="n">
        <f aca="false">datos_base!$G$18*parametros_recargas!G$71+sobrestock_sustitutos!$F$67/12</f>
        <v>9.55162934812274</v>
      </c>
      <c r="G178" s="26" t="n">
        <f aca="false">datos_base!$G$18*parametros_recargas!H$71+sobrestock_sustitutos!$F$67/12</f>
        <v>9.55162934812274</v>
      </c>
      <c r="H178" s="26" t="n">
        <f aca="false">datos_base!$G$18*parametros_recargas!I$71+sobrestock_sustitutos!$F$67/12</f>
        <v>9.55162934812274</v>
      </c>
      <c r="I178" s="26" t="n">
        <f aca="false">datos_base!$G$18*parametros_recargas!J$71+sobrestock_sustitutos!$F$67/12</f>
        <v>9.55162934812274</v>
      </c>
      <c r="J178" s="26" t="n">
        <f aca="false">datos_base!$G$18*parametros_recargas!K$71+sobrestock_sustitutos!$F$67/12</f>
        <v>9.55162934812274</v>
      </c>
      <c r="K178" s="26" t="n">
        <f aca="false">datos_base!$G$18*parametros_recargas!L$71+sobrestock_sustitutos!$F$67/12</f>
        <v>9.55162934812274</v>
      </c>
      <c r="L178" s="26" t="n">
        <f aca="false">datos_base!$G$18*parametros_recargas!M$71+sobrestock_sustitutos!$F$67/12</f>
        <v>9.55162934812274</v>
      </c>
      <c r="M178" s="26" t="n">
        <f aca="false">datos_base!$G$18*parametros_recargas!N$71+sobrestock_sustitutos!$F$67/12</f>
        <v>9.55162934812274</v>
      </c>
      <c r="N178" s="26" t="n">
        <f aca="false">datos_base!$G$18*parametros_recargas!O$71+sobrestock_sustitutos!$F$67/12</f>
        <v>9.55162934812274</v>
      </c>
      <c r="O178" s="26" t="n">
        <f aca="false">datos_base!$G$18*parametros_recargas!P$71+sobrestock_sustitutos!$F$67/12</f>
        <v>9.55162934812274</v>
      </c>
      <c r="P178" s="8" t="n">
        <f aca="false">SUM(D178:O178)</f>
        <v>116.13708787161</v>
      </c>
    </row>
    <row r="179" customFormat="false" ht="15" hidden="false" customHeight="false" outlineLevel="0" collapsed="false">
      <c r="A179" s="4" t="s">
        <v>430</v>
      </c>
      <c r="D179" s="8" t="n">
        <f aca="false">SUM(D162:D178)</f>
        <v>5314.43854117848</v>
      </c>
      <c r="E179" s="8" t="n">
        <f aca="false">SUM(E162:E178)</f>
        <v>13875.97136847</v>
      </c>
      <c r="F179" s="8" t="n">
        <f aca="false">SUM(F162:F178)</f>
        <v>11470.4000527816</v>
      </c>
      <c r="G179" s="8" t="n">
        <f aca="false">SUM(G162:G178)</f>
        <v>11518.008964928</v>
      </c>
      <c r="H179" s="8" t="n">
        <f aca="false">SUM(H162:H178)</f>
        <v>11520.4942823092</v>
      </c>
      <c r="I179" s="8" t="n">
        <f aca="false">SUM(I162:I178)</f>
        <v>11497.8606549445</v>
      </c>
      <c r="J179" s="8" t="n">
        <f aca="false">SUM(J162:J178)</f>
        <v>11569.0513502195</v>
      </c>
      <c r="K179" s="8" t="n">
        <f aca="false">SUM(K162:K178)</f>
        <v>11515.4733665593</v>
      </c>
      <c r="L179" s="8" t="n">
        <f aca="false">SUM(L162:L178)</f>
        <v>11523.8271934794</v>
      </c>
      <c r="M179" s="8" t="n">
        <f aca="false">SUM(M162:M178)</f>
        <v>11496.2085653558</v>
      </c>
      <c r="N179" s="8" t="n">
        <f aca="false">SUM(N162:N178)</f>
        <v>11377.2724809684</v>
      </c>
      <c r="O179" s="8" t="n">
        <f aca="false">SUM(O162:O178)</f>
        <v>4991.26826864111</v>
      </c>
      <c r="P179" s="8" t="n">
        <f aca="false">SUM(P162:P178)</f>
        <v>127670.275089835</v>
      </c>
    </row>
    <row r="180" customFormat="false" ht="15" hidden="false" customHeight="false" outlineLevel="0" collapsed="false">
      <c r="A180" s="4" t="s">
        <v>431</v>
      </c>
    </row>
    <row r="181" customFormat="false" ht="15" hidden="false" customHeight="false" outlineLevel="0" collapsed="false">
      <c r="A181" s="5" t="s">
        <v>110</v>
      </c>
      <c r="D181" s="26" t="n">
        <f aca="false">SUMPRODUCT(($B$162:$B$178=$A181)*D$162:D$178*$C$162:$C$178)</f>
        <v>4606.43103109524</v>
      </c>
      <c r="E181" s="26" t="n">
        <f aca="false">SUMPRODUCT(($B$162:$B$178=$A181)*E$162:E$178*$C$162:$C$178)</f>
        <v>12551.1277264453</v>
      </c>
      <c r="F181" s="26" t="n">
        <f aca="false">SUMPRODUCT(($B$162:$B$178=$A181)*F$162:F$178*$C$162:$C$178)</f>
        <v>10762.3925426984</v>
      </c>
      <c r="G181" s="26" t="n">
        <f aca="false">SUMPRODUCT(($B$162:$B$178=$A181)*G$162:G$178*$C$162:$C$178)</f>
        <v>10810.0014548448</v>
      </c>
      <c r="H181" s="26" t="n">
        <f aca="false">SUMPRODUCT(($B$162:$B$178=$A181)*H$162:H$178*$C$162:$C$178)</f>
        <v>10812.486772226</v>
      </c>
      <c r="I181" s="26" t="n">
        <f aca="false">SUMPRODUCT(($B$162:$B$178=$A181)*I$162:I$178*$C$162:$C$178)</f>
        <v>10789.8531448613</v>
      </c>
      <c r="J181" s="26" t="n">
        <f aca="false">SUMPRODUCT(($B$162:$B$178=$A181)*J$162:J$178*$C$162:$C$178)</f>
        <v>10861.0438401363</v>
      </c>
      <c r="K181" s="26" t="n">
        <f aca="false">SUMPRODUCT(($B$162:$B$178=$A181)*K$162:K$178*$C$162:$C$178)</f>
        <v>10807.4658564761</v>
      </c>
      <c r="L181" s="26" t="n">
        <f aca="false">SUMPRODUCT(($B$162:$B$178=$A181)*L$162:L$178*$C$162:$C$178)</f>
        <v>10815.8196833961</v>
      </c>
      <c r="M181" s="26" t="n">
        <f aca="false">SUMPRODUCT(($B$162:$B$178=$A181)*M$162:M$178*$C$162:$C$178)</f>
        <v>10788.2010552726</v>
      </c>
      <c r="N181" s="26" t="n">
        <f aca="false">SUMPRODUCT(($B$162:$B$178=$A181)*N$162:N$178*$C$162:$C$178)</f>
        <v>10669.2649708852</v>
      </c>
      <c r="O181" s="26" t="n">
        <f aca="false">SUMPRODUCT(($B$162:$B$178=$A181)*O$162:O$178*$C$162:$C$178)</f>
        <v>4283.26075855786</v>
      </c>
      <c r="P181" s="26" t="n">
        <f aca="false">SUMPRODUCT(($B$162:$B$178=$A181)*P$162:P$178*$C$162:$C$178)</f>
        <v>118557.348836895</v>
      </c>
    </row>
    <row r="182" customFormat="false" ht="15" hidden="false" customHeight="false" outlineLevel="0" collapsed="false">
      <c r="A182" s="5" t="s">
        <v>111</v>
      </c>
      <c r="D182" s="26" t="n">
        <f aca="false">SUMPRODUCT(($B$162:$B$178=$A182)*D$162:D$178*$C$162:$C$178)</f>
        <v>13.8206328898618</v>
      </c>
      <c r="E182" s="26" t="n">
        <f aca="false">SUMPRODUCT(($B$162:$B$178=$A182)*E$162:E$178*$C$162:$C$178)</f>
        <v>13.8206328898618</v>
      </c>
      <c r="F182" s="26" t="n">
        <f aca="false">SUMPRODUCT(($B$162:$B$178=$A182)*F$162:F$178*$C$162:$C$178)</f>
        <v>13.8206328898618</v>
      </c>
      <c r="G182" s="26" t="n">
        <f aca="false">SUMPRODUCT(($B$162:$B$178=$A182)*G$162:G$178*$C$162:$C$178)</f>
        <v>13.8206328898618</v>
      </c>
      <c r="H182" s="26" t="n">
        <f aca="false">SUMPRODUCT(($B$162:$B$178=$A182)*H$162:H$178*$C$162:$C$178)</f>
        <v>13.8206328898618</v>
      </c>
      <c r="I182" s="26" t="n">
        <f aca="false">SUMPRODUCT(($B$162:$B$178=$A182)*I$162:I$178*$C$162:$C$178)</f>
        <v>13.8206328898618</v>
      </c>
      <c r="J182" s="26" t="n">
        <f aca="false">SUMPRODUCT(($B$162:$B$178=$A182)*J$162:J$178*$C$162:$C$178)</f>
        <v>13.8206328898618</v>
      </c>
      <c r="K182" s="26" t="n">
        <f aca="false">SUMPRODUCT(($B$162:$B$178=$A182)*K$162:K$178*$C$162:$C$178)</f>
        <v>13.8206328898618</v>
      </c>
      <c r="L182" s="26" t="n">
        <f aca="false">SUMPRODUCT(($B$162:$B$178=$A182)*L$162:L$178*$C$162:$C$178)</f>
        <v>13.8206328898618</v>
      </c>
      <c r="M182" s="26" t="n">
        <f aca="false">SUMPRODUCT(($B$162:$B$178=$A182)*M$162:M$178*$C$162:$C$178)</f>
        <v>13.8206328898618</v>
      </c>
      <c r="N182" s="26" t="n">
        <f aca="false">SUMPRODUCT(($B$162:$B$178=$A182)*N$162:N$178*$C$162:$C$178)</f>
        <v>13.8206328898618</v>
      </c>
      <c r="O182" s="26" t="n">
        <f aca="false">SUMPRODUCT(($B$162:$B$178=$A182)*O$162:O$178*$C$162:$C$178)</f>
        <v>13.8206328898618</v>
      </c>
      <c r="P182" s="26" t="n">
        <f aca="false">SUMPRODUCT(($B$162:$B$178=$A182)*P$162:P$178*$C$162:$C$178)</f>
        <v>165.847594678341</v>
      </c>
    </row>
    <row r="183" customFormat="false" ht="15" hidden="false" customHeight="false" outlineLevel="0" collapsed="false">
      <c r="A183" s="5" t="s">
        <v>112</v>
      </c>
      <c r="D183" s="26" t="n">
        <f aca="false">SUMPRODUCT(($B$162:$B$178=$A183)*D$162:D$178*$C$162:$C$178)</f>
        <v>12.0689017854267</v>
      </c>
      <c r="E183" s="26" t="n">
        <f aca="false">SUMPRODUCT(($B$162:$B$178=$A183)*E$162:E$178*$C$162:$C$178)</f>
        <v>12.0689017854267</v>
      </c>
      <c r="F183" s="26" t="n">
        <f aca="false">SUMPRODUCT(($B$162:$B$178=$A183)*F$162:F$178*$C$162:$C$178)</f>
        <v>12.0689017854267</v>
      </c>
      <c r="G183" s="26" t="n">
        <f aca="false">SUMPRODUCT(($B$162:$B$178=$A183)*G$162:G$178*$C$162:$C$178)</f>
        <v>12.0689017854267</v>
      </c>
      <c r="H183" s="26" t="n">
        <f aca="false">SUMPRODUCT(($B$162:$B$178=$A183)*H$162:H$178*$C$162:$C$178)</f>
        <v>12.0689017854267</v>
      </c>
      <c r="I183" s="26" t="n">
        <f aca="false">SUMPRODUCT(($B$162:$B$178=$A183)*I$162:I$178*$C$162:$C$178)</f>
        <v>12.0689017854267</v>
      </c>
      <c r="J183" s="26" t="n">
        <f aca="false">SUMPRODUCT(($B$162:$B$178=$A183)*J$162:J$178*$C$162:$C$178)</f>
        <v>12.0689017854267</v>
      </c>
      <c r="K183" s="26" t="n">
        <f aca="false">SUMPRODUCT(($B$162:$B$178=$A183)*K$162:K$178*$C$162:$C$178)</f>
        <v>12.0689017854267</v>
      </c>
      <c r="L183" s="26" t="n">
        <f aca="false">SUMPRODUCT(($B$162:$B$178=$A183)*L$162:L$178*$C$162:$C$178)</f>
        <v>12.0689017854267</v>
      </c>
      <c r="M183" s="26" t="n">
        <f aca="false">SUMPRODUCT(($B$162:$B$178=$A183)*M$162:M$178*$C$162:$C$178)</f>
        <v>12.0689017854267</v>
      </c>
      <c r="N183" s="26" t="n">
        <f aca="false">SUMPRODUCT(($B$162:$B$178=$A183)*N$162:N$178*$C$162:$C$178)</f>
        <v>12.0689017854267</v>
      </c>
      <c r="O183" s="26" t="n">
        <f aca="false">SUMPRODUCT(($B$162:$B$178=$A183)*O$162:O$178*$C$162:$C$178)</f>
        <v>12.0689017854267</v>
      </c>
      <c r="P183" s="26" t="n">
        <f aca="false">SUMPRODUCT(($B$162:$B$178=$A183)*P$162:P$178*$C$162:$C$178)</f>
        <v>144.826821425121</v>
      </c>
    </row>
    <row r="184" customFormat="false" ht="15" hidden="false" customHeight="false" outlineLevel="0" collapsed="false">
      <c r="A184" s="5" t="s">
        <v>113</v>
      </c>
      <c r="D184" s="26" t="n">
        <f aca="false">SUMPRODUCT(($B$162:$B$178=$A184)*D$162:D$178*$C$162:$C$178)</f>
        <v>240.845852901594</v>
      </c>
      <c r="E184" s="26" t="n">
        <f aca="false">SUMPRODUCT(($B$162:$B$178=$A184)*E$162:E$178*$C$162:$C$178)</f>
        <v>356.477520042232</v>
      </c>
      <c r="F184" s="26" t="n">
        <f aca="false">SUMPRODUCT(($B$162:$B$178=$A184)*F$162:F$178*$C$162:$C$178)</f>
        <v>240.845852901594</v>
      </c>
      <c r="G184" s="26" t="n">
        <f aca="false">SUMPRODUCT(($B$162:$B$178=$A184)*G$162:G$178*$C$162:$C$178)</f>
        <v>240.845852901594</v>
      </c>
      <c r="H184" s="26" t="n">
        <f aca="false">SUMPRODUCT(($B$162:$B$178=$A184)*H$162:H$178*$C$162:$C$178)</f>
        <v>240.845852901594</v>
      </c>
      <c r="I184" s="26" t="n">
        <f aca="false">SUMPRODUCT(($B$162:$B$178=$A184)*I$162:I$178*$C$162:$C$178)</f>
        <v>240.845852901594</v>
      </c>
      <c r="J184" s="26" t="n">
        <f aca="false">SUMPRODUCT(($B$162:$B$178=$A184)*J$162:J$178*$C$162:$C$178)</f>
        <v>240.845852901594</v>
      </c>
      <c r="K184" s="26" t="n">
        <f aca="false">SUMPRODUCT(($B$162:$B$178=$A184)*K$162:K$178*$C$162:$C$178)</f>
        <v>240.845852901594</v>
      </c>
      <c r="L184" s="26" t="n">
        <f aca="false">SUMPRODUCT(($B$162:$B$178=$A184)*L$162:L$178*$C$162:$C$178)</f>
        <v>240.845852901594</v>
      </c>
      <c r="M184" s="26" t="n">
        <f aca="false">SUMPRODUCT(($B$162:$B$178=$A184)*M$162:M$178*$C$162:$C$178)</f>
        <v>240.845852901594</v>
      </c>
      <c r="N184" s="26" t="n">
        <f aca="false">SUMPRODUCT(($B$162:$B$178=$A184)*N$162:N$178*$C$162:$C$178)</f>
        <v>240.845852901594</v>
      </c>
      <c r="O184" s="26" t="n">
        <f aca="false">SUMPRODUCT(($B$162:$B$178=$A184)*O$162:O$178*$C$162:$C$178)</f>
        <v>240.845852901594</v>
      </c>
      <c r="P184" s="26" t="n">
        <f aca="false">SUMPRODUCT(($B$162:$B$178=$A184)*P$162:P$178*$C$162:$C$178)</f>
        <v>3005.78190195976</v>
      </c>
    </row>
    <row r="185" customFormat="false" ht="15" hidden="false" customHeight="false" outlineLevel="0" collapsed="false">
      <c r="A185" s="5" t="s">
        <v>114</v>
      </c>
      <c r="D185" s="26" t="n">
        <f aca="false">SUMPRODUCT(($B$162:$B$178=$A185)*D$162:D$178*$C$162:$C$178)</f>
        <v>199.829031303247</v>
      </c>
      <c r="E185" s="26" t="n">
        <f aca="false">SUMPRODUCT(($B$162:$B$178=$A185)*E$162:E$178*$C$162:$C$178)</f>
        <v>199.829031303247</v>
      </c>
      <c r="F185" s="26" t="n">
        <f aca="false">SUMPRODUCT(($B$162:$B$178=$A185)*F$162:F$178*$C$162:$C$178)</f>
        <v>199.829031303247</v>
      </c>
      <c r="G185" s="26" t="n">
        <f aca="false">SUMPRODUCT(($B$162:$B$178=$A185)*G$162:G$178*$C$162:$C$178)</f>
        <v>199.829031303247</v>
      </c>
      <c r="H185" s="26" t="n">
        <f aca="false">SUMPRODUCT(($B$162:$B$178=$A185)*H$162:H$178*$C$162:$C$178)</f>
        <v>199.829031303247</v>
      </c>
      <c r="I185" s="26" t="n">
        <f aca="false">SUMPRODUCT(($B$162:$B$178=$A185)*I$162:I$178*$C$162:$C$178)</f>
        <v>199.829031303247</v>
      </c>
      <c r="J185" s="26" t="n">
        <f aca="false">SUMPRODUCT(($B$162:$B$178=$A185)*J$162:J$178*$C$162:$C$178)</f>
        <v>199.829031303247</v>
      </c>
      <c r="K185" s="26" t="n">
        <f aca="false">SUMPRODUCT(($B$162:$B$178=$A185)*K$162:K$178*$C$162:$C$178)</f>
        <v>199.829031303247</v>
      </c>
      <c r="L185" s="26" t="n">
        <f aca="false">SUMPRODUCT(($B$162:$B$178=$A185)*L$162:L$178*$C$162:$C$178)</f>
        <v>199.829031303247</v>
      </c>
      <c r="M185" s="26" t="n">
        <f aca="false">SUMPRODUCT(($B$162:$B$178=$A185)*M$162:M$178*$C$162:$C$178)</f>
        <v>199.829031303247</v>
      </c>
      <c r="N185" s="26" t="n">
        <f aca="false">SUMPRODUCT(($B$162:$B$178=$A185)*N$162:N$178*$C$162:$C$178)</f>
        <v>199.829031303247</v>
      </c>
      <c r="O185" s="26" t="n">
        <f aca="false">SUMPRODUCT(($B$162:$B$178=$A185)*O$162:O$178*$C$162:$C$178)</f>
        <v>199.829031303247</v>
      </c>
      <c r="P185" s="26" t="n">
        <f aca="false">SUMPRODUCT(($B$162:$B$178=$A185)*P$162:P$178*$C$162:$C$178)</f>
        <v>2397.94837563897</v>
      </c>
    </row>
    <row r="186" customFormat="false" ht="15" hidden="false" customHeight="false" outlineLevel="0" collapsed="false">
      <c r="A186" s="5" t="s">
        <v>115</v>
      </c>
      <c r="D186" s="26" t="n">
        <f aca="false">SUMPRODUCT(($B$162:$B$178=$A186)*D$162:D$178*$C$162:$C$178)</f>
        <v>113.396283560409</v>
      </c>
      <c r="E186" s="26" t="n">
        <f aca="false">SUMPRODUCT(($B$162:$B$178=$A186)*E$162:E$178*$C$162:$C$178)</f>
        <v>225.583386138581</v>
      </c>
      <c r="F186" s="26" t="n">
        <f aca="false">SUMPRODUCT(($B$162:$B$178=$A186)*F$162:F$178*$C$162:$C$178)</f>
        <v>113.396283560409</v>
      </c>
      <c r="G186" s="26" t="n">
        <f aca="false">SUMPRODUCT(($B$162:$B$178=$A186)*G$162:G$178*$C$162:$C$178)</f>
        <v>113.396283560409</v>
      </c>
      <c r="H186" s="26" t="n">
        <f aca="false">SUMPRODUCT(($B$162:$B$178=$A186)*H$162:H$178*$C$162:$C$178)</f>
        <v>113.396283560409</v>
      </c>
      <c r="I186" s="26" t="n">
        <f aca="false">SUMPRODUCT(($B$162:$B$178=$A186)*I$162:I$178*$C$162:$C$178)</f>
        <v>113.396283560409</v>
      </c>
      <c r="J186" s="26" t="n">
        <f aca="false">SUMPRODUCT(($B$162:$B$178=$A186)*J$162:J$178*$C$162:$C$178)</f>
        <v>113.396283560409</v>
      </c>
      <c r="K186" s="26" t="n">
        <f aca="false">SUMPRODUCT(($B$162:$B$178=$A186)*K$162:K$178*$C$162:$C$178)</f>
        <v>113.396283560409</v>
      </c>
      <c r="L186" s="26" t="n">
        <f aca="false">SUMPRODUCT(($B$162:$B$178=$A186)*L$162:L$178*$C$162:$C$178)</f>
        <v>113.396283560409</v>
      </c>
      <c r="M186" s="26" t="n">
        <f aca="false">SUMPRODUCT(($B$162:$B$178=$A186)*M$162:M$178*$C$162:$C$178)</f>
        <v>113.396283560409</v>
      </c>
      <c r="N186" s="26" t="n">
        <f aca="false">SUMPRODUCT(($B$162:$B$178=$A186)*N$162:N$178*$C$162:$C$178)</f>
        <v>113.396283560409</v>
      </c>
      <c r="O186" s="26" t="n">
        <f aca="false">SUMPRODUCT(($B$162:$B$178=$A186)*O$162:O$178*$C$162:$C$178)</f>
        <v>113.396283560409</v>
      </c>
      <c r="P186" s="26" t="n">
        <f aca="false">SUMPRODUCT(($B$162:$B$178=$A186)*P$162:P$178*$C$162:$C$178)</f>
        <v>1472.94250530308</v>
      </c>
    </row>
    <row r="187" customFormat="false" ht="15" hidden="false" customHeight="false" outlineLevel="0" collapsed="false">
      <c r="A187" s="5" t="s">
        <v>116</v>
      </c>
      <c r="D187" s="26" t="n">
        <f aca="false">SUMPRODUCT(($B$162:$B$178=$A187)*D$162:D$178*$C$162:$C$178)</f>
        <v>862.284288510988</v>
      </c>
      <c r="E187" s="26" t="n">
        <f aca="false">SUMPRODUCT(($B$162:$B$178=$A187)*E$162:E$178*$C$162:$C$178)</f>
        <v>1352.91598390481</v>
      </c>
      <c r="F187" s="26" t="n">
        <f aca="false">SUMPRODUCT(($B$162:$B$178=$A187)*F$162:F$178*$C$162:$C$178)</f>
        <v>862.284288510988</v>
      </c>
      <c r="G187" s="26" t="n">
        <f aca="false">SUMPRODUCT(($B$162:$B$178=$A187)*G$162:G$178*$C$162:$C$178)</f>
        <v>862.284288510988</v>
      </c>
      <c r="H187" s="26" t="n">
        <f aca="false">SUMPRODUCT(($B$162:$B$178=$A187)*H$162:H$178*$C$162:$C$178)</f>
        <v>862.284288510988</v>
      </c>
      <c r="I187" s="26" t="n">
        <f aca="false">SUMPRODUCT(($B$162:$B$178=$A187)*I$162:I$178*$C$162:$C$178)</f>
        <v>862.284288510988</v>
      </c>
      <c r="J187" s="26" t="n">
        <f aca="false">SUMPRODUCT(($B$162:$B$178=$A187)*J$162:J$178*$C$162:$C$178)</f>
        <v>862.284288510988</v>
      </c>
      <c r="K187" s="26" t="n">
        <f aca="false">SUMPRODUCT(($B$162:$B$178=$A187)*K$162:K$178*$C$162:$C$178)</f>
        <v>862.284288510988</v>
      </c>
      <c r="L187" s="26" t="n">
        <f aca="false">SUMPRODUCT(($B$162:$B$178=$A187)*L$162:L$178*$C$162:$C$178)</f>
        <v>862.284288510988</v>
      </c>
      <c r="M187" s="26" t="n">
        <f aca="false">SUMPRODUCT(($B$162:$B$178=$A187)*M$162:M$178*$C$162:$C$178)</f>
        <v>862.284288510988</v>
      </c>
      <c r="N187" s="26" t="n">
        <f aca="false">SUMPRODUCT(($B$162:$B$178=$A187)*N$162:N$178*$C$162:$C$178)</f>
        <v>862.284288510988</v>
      </c>
      <c r="O187" s="26" t="n">
        <f aca="false">SUMPRODUCT(($B$162:$B$178=$A187)*O$162:O$178*$C$162:$C$178)</f>
        <v>862.284288510988</v>
      </c>
      <c r="P187" s="26" t="n">
        <f aca="false">SUMPRODUCT(($B$162:$B$178=$A187)*P$162:P$178*$C$162:$C$178)</f>
        <v>10838.0431575257</v>
      </c>
    </row>
    <row r="188" customFormat="false" ht="15" hidden="false" customHeight="false" outlineLevel="0" collapsed="false">
      <c r="A188" s="5" t="s">
        <v>117</v>
      </c>
      <c r="D188" s="26" t="n">
        <f aca="false">SUMPRODUCT(($B$162:$B$178=$A188)*D$162:D$178*$C$162:$C$178)</f>
        <v>35.5249614921932</v>
      </c>
      <c r="E188" s="26" t="n">
        <f aca="false">SUMPRODUCT(($B$162:$B$178=$A188)*E$162:E$178*$C$162:$C$178)</f>
        <v>35.5249614921932</v>
      </c>
      <c r="F188" s="26" t="n">
        <f aca="false">SUMPRODUCT(($B$162:$B$178=$A188)*F$162:F$178*$C$162:$C$178)</f>
        <v>35.5249614921932</v>
      </c>
      <c r="G188" s="26" t="n">
        <f aca="false">SUMPRODUCT(($B$162:$B$178=$A188)*G$162:G$178*$C$162:$C$178)</f>
        <v>35.5249614921932</v>
      </c>
      <c r="H188" s="26" t="n">
        <f aca="false">SUMPRODUCT(($B$162:$B$178=$A188)*H$162:H$178*$C$162:$C$178)</f>
        <v>35.5249614921932</v>
      </c>
      <c r="I188" s="26" t="n">
        <f aca="false">SUMPRODUCT(($B$162:$B$178=$A188)*I$162:I$178*$C$162:$C$178)</f>
        <v>35.5249614921932</v>
      </c>
      <c r="J188" s="26" t="n">
        <f aca="false">SUMPRODUCT(($B$162:$B$178=$A188)*J$162:J$178*$C$162:$C$178)</f>
        <v>35.5249614921932</v>
      </c>
      <c r="K188" s="26" t="n">
        <f aca="false">SUMPRODUCT(($B$162:$B$178=$A188)*K$162:K$178*$C$162:$C$178)</f>
        <v>35.5249614921932</v>
      </c>
      <c r="L188" s="26" t="n">
        <f aca="false">SUMPRODUCT(($B$162:$B$178=$A188)*L$162:L$178*$C$162:$C$178)</f>
        <v>35.5249614921932</v>
      </c>
      <c r="M188" s="26" t="n">
        <f aca="false">SUMPRODUCT(($B$162:$B$178=$A188)*M$162:M$178*$C$162:$C$178)</f>
        <v>35.5249614921932</v>
      </c>
      <c r="N188" s="26" t="n">
        <f aca="false">SUMPRODUCT(($B$162:$B$178=$A188)*N$162:N$178*$C$162:$C$178)</f>
        <v>35.5249614921932</v>
      </c>
      <c r="O188" s="26" t="n">
        <f aca="false">SUMPRODUCT(($B$162:$B$178=$A188)*O$162:O$178*$C$162:$C$178)</f>
        <v>35.5249614921932</v>
      </c>
      <c r="P188" s="26" t="n">
        <f aca="false">SUMPRODUCT(($B$162:$B$178=$A188)*P$162:P$178*$C$162:$C$178)</f>
        <v>426.299537906318</v>
      </c>
    </row>
    <row r="189" customFormat="false" ht="15" hidden="false" customHeight="false" outlineLevel="0" collapsed="false">
      <c r="A189" s="4" t="s">
        <v>432</v>
      </c>
      <c r="D189" s="27" t="n">
        <f aca="false">SUMPRODUCT(D$162:D$178*parametros_recargas!$D$55:$D$71)</f>
        <v>363.44013420112</v>
      </c>
      <c r="E189" s="27" t="n">
        <f aca="false">SUMPRODUCT(E$162:E$178*parametros_recargas!$D$55:$D$71)</f>
        <v>403.440454472048</v>
      </c>
      <c r="F189" s="27" t="n">
        <f aca="false">SUMPRODUCT(F$162:F$178*parametros_recargas!$D$55:$D$71)</f>
        <v>363.44013420112</v>
      </c>
      <c r="G189" s="27" t="n">
        <f aca="false">SUMPRODUCT(G$162:G$178*parametros_recargas!$D$55:$D$71)</f>
        <v>363.44013420112</v>
      </c>
      <c r="H189" s="27" t="n">
        <f aca="false">SUMPRODUCT(H$162:H$178*parametros_recargas!$D$55:$D$71)</f>
        <v>363.44013420112</v>
      </c>
      <c r="I189" s="27" t="n">
        <f aca="false">SUMPRODUCT(I$162:I$178*parametros_recargas!$D$55:$D$71)</f>
        <v>363.44013420112</v>
      </c>
      <c r="J189" s="27" t="n">
        <f aca="false">SUMPRODUCT(J$162:J$178*parametros_recargas!$D$55:$D$71)</f>
        <v>363.44013420112</v>
      </c>
      <c r="K189" s="27" t="n">
        <f aca="false">SUMPRODUCT(K$162:K$178*parametros_recargas!$D$55:$D$71)</f>
        <v>363.44013420112</v>
      </c>
      <c r="L189" s="27" t="n">
        <f aca="false">SUMPRODUCT(L$162:L$178*parametros_recargas!$D$55:$D$71)</f>
        <v>363.44013420112</v>
      </c>
      <c r="M189" s="27" t="n">
        <f aca="false">SUMPRODUCT(M$162:M$178*parametros_recargas!$D$55:$D$71)</f>
        <v>363.44013420112</v>
      </c>
      <c r="N189" s="27" t="n">
        <f aca="false">SUMPRODUCT(N$162:N$178*parametros_recargas!$D$55:$D$71)</f>
        <v>363.44013420112</v>
      </c>
      <c r="O189" s="27" t="n">
        <f aca="false">SUMPRODUCT(O$162:O$178*parametros_recargas!$D$55:$D$71)</f>
        <v>363.44013420112</v>
      </c>
      <c r="P189" s="27" t="n">
        <f aca="false">SUMPRODUCT(P$162:P$178*parametros_recargas!$D$55:$D$71)</f>
        <v>4401.28193068436</v>
      </c>
    </row>
    <row r="190" customFormat="false" ht="15" hidden="false" customHeight="false" outlineLevel="0" collapsed="false">
      <c r="A190" s="4" t="s">
        <v>433</v>
      </c>
      <c r="D190" s="27" t="n">
        <f aca="false">SUMPRODUCT(sobrestock_sustitutos!$G$73:$G$73,--(sobrestock_sustitutos!$F$30:$F$30="Fábrica: cilindro vacío"),parametros_recargas!$C$55:$C$55)*parametros_recargas!E$109+SUMPRODUCT(sobrestock_sustitutos!$G$74:$G$76,--(sobrestock_sustitutos!$F$31:$F$33="Fábrica: cilindro vacío"),parametros_recargas!$C$56:$C$58)*parametros_recargas!E$110+SUMPRODUCT(sobrestock_sustitutos!$G$86:$G$89,--(sobrestock_sustitutos!$F$43:$F$46="Fábrica: cilindro vacío"),parametros_recargas!$C$68:$C$71)*parametros_recargas!E$111</f>
        <v>32.5674719874</v>
      </c>
      <c r="E190" s="27" t="n">
        <f aca="false">SUMPRODUCT(sobrestock_sustitutos!$G$73:$G$73,--(sobrestock_sustitutos!$F$30:$F$30="Fábrica: cilindro vacío"),parametros_recargas!$C$55:$C$55)*parametros_recargas!F$109+SUMPRODUCT(sobrestock_sustitutos!$G$74:$G$76,--(sobrestock_sustitutos!$F$31:$F$33="Fábrica: cilindro vacío"),parametros_recargas!$C$56:$C$58)*parametros_recargas!F$110+SUMPRODUCT(sobrestock_sustitutos!$G$86:$G$89,--(sobrestock_sustitutos!$F$43:$F$46="Fábrica: cilindro vacío"),parametros_recargas!$C$68:$C$71)*parametros_recargas!F$111</f>
        <v>26.495675283</v>
      </c>
      <c r="F190" s="27" t="n">
        <f aca="false">SUMPRODUCT(sobrestock_sustitutos!$G$73:$G$73,--(sobrestock_sustitutos!$F$30:$F$30="Fábrica: cilindro vacío"),parametros_recargas!$C$55:$C$55)*parametros_recargas!G$109+SUMPRODUCT(sobrestock_sustitutos!$G$74:$G$76,--(sobrestock_sustitutos!$F$31:$F$33="Fábrica: cilindro vacío"),parametros_recargas!$C$56:$C$58)*parametros_recargas!G$110+SUMPRODUCT(sobrestock_sustitutos!$G$86:$G$89,--(sobrestock_sustitutos!$F$43:$F$46="Fábrica: cilindro vacío"),parametros_recargas!$C$68:$C$71)*parametros_recargas!G$111</f>
        <v>28.8023703396</v>
      </c>
      <c r="G190" s="27" t="n">
        <f aca="false">SUMPRODUCT(sobrestock_sustitutos!$G$73:$G$73,--(sobrestock_sustitutos!$F$30:$F$30="Fábrica: cilindro vacío"),parametros_recargas!$C$55:$C$55)*parametros_recargas!H$109+SUMPRODUCT(sobrestock_sustitutos!$G$74:$G$76,--(sobrestock_sustitutos!$F$31:$F$33="Fábrica: cilindro vacío"),parametros_recargas!$C$56:$C$58)*parametros_recargas!H$110+SUMPRODUCT(sobrestock_sustitutos!$G$86:$G$89,--(sobrestock_sustitutos!$F$43:$F$46="Fábrica: cilindro vacío"),parametros_recargas!$C$68:$C$71)*parametros_recargas!H$111</f>
        <v>28.8023703396</v>
      </c>
      <c r="H190" s="27" t="n">
        <f aca="false">SUMPRODUCT(sobrestock_sustitutos!$G$73:$G$73,--(sobrestock_sustitutos!$F$30:$F$30="Fábrica: cilindro vacío"),parametros_recargas!$C$55:$C$55)*parametros_recargas!I$109+SUMPRODUCT(sobrestock_sustitutos!$G$74:$G$76,--(sobrestock_sustitutos!$F$31:$F$33="Fábrica: cilindro vacío"),parametros_recargas!$C$56:$C$58)*parametros_recargas!I$110+SUMPRODUCT(sobrestock_sustitutos!$G$86:$G$89,--(sobrestock_sustitutos!$F$43:$F$46="Fábrica: cilindro vacío"),parametros_recargas!$C$68:$C$71)*parametros_recargas!I$111</f>
        <v>27.4421703396</v>
      </c>
      <c r="I190" s="27" t="n">
        <f aca="false">SUMPRODUCT(sobrestock_sustitutos!$G$73:$G$73,--(sobrestock_sustitutos!$F$30:$F$30="Fábrica: cilindro vacío"),parametros_recargas!$C$55:$C$55)*parametros_recargas!J$109+SUMPRODUCT(sobrestock_sustitutos!$G$74:$G$76,--(sobrestock_sustitutos!$F$31:$F$33="Fábrica: cilindro vacío"),parametros_recargas!$C$56:$C$58)*parametros_recargas!J$110+SUMPRODUCT(sobrestock_sustitutos!$G$86:$G$89,--(sobrestock_sustitutos!$F$43:$F$46="Fábrica: cilindro vacío"),parametros_recargas!$C$68:$C$71)*parametros_recargas!J$111</f>
        <v>25.4509736352</v>
      </c>
      <c r="J190" s="27" t="n">
        <f aca="false">SUMPRODUCT(sobrestock_sustitutos!$G$73:$G$73,--(sobrestock_sustitutos!$F$30:$F$30="Fábrica: cilindro vacío"),parametros_recargas!$C$55:$C$55)*parametros_recargas!K$109+SUMPRODUCT(sobrestock_sustitutos!$G$74:$G$76,--(sobrestock_sustitutos!$F$31:$F$33="Fábrica: cilindro vacío"),parametros_recargas!$C$56:$C$58)*parametros_recargas!K$110+SUMPRODUCT(sobrestock_sustitutos!$G$86:$G$89,--(sobrestock_sustitutos!$F$43:$F$46="Fábrica: cilindro vacío"),parametros_recargas!$C$68:$C$71)*parametros_recargas!K$111</f>
        <v>27.4421703396</v>
      </c>
      <c r="K190" s="27" t="n">
        <f aca="false">SUMPRODUCT(sobrestock_sustitutos!$G$73:$G$73,--(sobrestock_sustitutos!$F$30:$F$30="Fábrica: cilindro vacío"),parametros_recargas!$C$55:$C$55)*parametros_recargas!L$109+SUMPRODUCT(sobrestock_sustitutos!$G$74:$G$76,--(sobrestock_sustitutos!$F$31:$F$33="Fábrica: cilindro vacío"),parametros_recargas!$C$56:$C$58)*parametros_recargas!L$110+SUMPRODUCT(sobrestock_sustitutos!$G$86:$G$89,--(sobrestock_sustitutos!$F$43:$F$46="Fábrica: cilindro vacío"),parametros_recargas!$C$68:$C$71)*parametros_recargas!L$111</f>
        <v>27.4421703396</v>
      </c>
      <c r="L190" s="27" t="n">
        <f aca="false">SUMPRODUCT(sobrestock_sustitutos!$G$73:$G$73,--(sobrestock_sustitutos!$F$30:$F$30="Fábrica: cilindro vacío"),parametros_recargas!$C$55:$C$55)*parametros_recargas!M$109+SUMPRODUCT(sobrestock_sustitutos!$G$74:$G$76,--(sobrestock_sustitutos!$F$31:$F$33="Fábrica: cilindro vacío"),parametros_recargas!$C$56:$C$58)*parametros_recargas!M$110+SUMPRODUCT(sobrestock_sustitutos!$G$86:$G$89,--(sobrestock_sustitutos!$F$43:$F$46="Fábrica: cilindro vacío"),parametros_recargas!$C$68:$C$71)*parametros_recargas!M$111</f>
        <v>27.1266719874</v>
      </c>
      <c r="M190" s="27" t="n">
        <f aca="false">SUMPRODUCT(sobrestock_sustitutos!$G$73:$G$73,--(sobrestock_sustitutos!$F$30:$F$30="Fábrica: cilindro vacío"),parametros_recargas!$C$55:$C$55)*parametros_recargas!N$109+SUMPRODUCT(sobrestock_sustitutos!$G$74:$G$76,--(sobrestock_sustitutos!$F$31:$F$33="Fábrica: cilindro vacío"),parametros_recargas!$C$56:$C$58)*parametros_recargas!N$110+SUMPRODUCT(sobrestock_sustitutos!$G$86:$G$89,--(sobrestock_sustitutos!$F$43:$F$46="Fábrica: cilindro vacío"),parametros_recargas!$C$68:$C$71)*parametros_recargas!N$111</f>
        <v>25.135475283</v>
      </c>
      <c r="N190" s="27" t="n">
        <f aca="false">SUMPRODUCT(sobrestock_sustitutos!$G$73:$G$73,--(sobrestock_sustitutos!$F$30:$F$30="Fábrica: cilindro vacío"),parametros_recargas!$C$55:$C$55)*parametros_recargas!O$109+SUMPRODUCT(sobrestock_sustitutos!$G$74:$G$76,--(sobrestock_sustitutos!$F$31:$F$33="Fábrica: cilindro vacío"),parametros_recargas!$C$56:$C$58)*parametros_recargas!O$110+SUMPRODUCT(sobrestock_sustitutos!$G$86:$G$89,--(sobrestock_sustitutos!$F$43:$F$46="Fábrica: cilindro vacío"),parametros_recargas!$C$68:$C$71)*parametros_recargas!O$111</f>
        <v>23.4597769308</v>
      </c>
      <c r="O190" s="27" t="n">
        <f aca="false">SUMPRODUCT(sobrestock_sustitutos!$G$73:$G$73,--(sobrestock_sustitutos!$F$30:$F$30="Fábrica: cilindro vacío"),parametros_recargas!$C$55:$C$55)*parametros_recargas!P$109+SUMPRODUCT(sobrestock_sustitutos!$G$74:$G$76,--(sobrestock_sustitutos!$F$31:$F$33="Fábrica: cilindro vacío"),parametros_recargas!$C$56:$C$58)*parametros_recargas!P$110+SUMPRODUCT(sobrestock_sustitutos!$G$86:$G$89,--(sobrestock_sustitutos!$F$43:$F$46="Fábrica: cilindro vacío"),parametros_recargas!$C$68:$C$71)*parametros_recargas!P$111</f>
        <v>34.9723736352</v>
      </c>
      <c r="P190" s="8" t="n">
        <f aca="false">SUM(D190:O190)</f>
        <v>335.13967044</v>
      </c>
    </row>
    <row r="193" customFormat="false" ht="15" hidden="false" customHeight="false" outlineLevel="0" collapsed="false">
      <c r="A193" s="28" t="n">
        <v>2032</v>
      </c>
      <c r="B193" s="6" t="s">
        <v>428</v>
      </c>
      <c r="C193" s="6" t="s">
        <v>429</v>
      </c>
      <c r="D193" s="6" t="s">
        <v>175</v>
      </c>
      <c r="E193" s="6" t="s">
        <v>176</v>
      </c>
      <c r="F193" s="6" t="s">
        <v>177</v>
      </c>
      <c r="G193" s="6" t="s">
        <v>178</v>
      </c>
      <c r="H193" s="6" t="s">
        <v>179</v>
      </c>
      <c r="I193" s="6" t="s">
        <v>180</v>
      </c>
      <c r="J193" s="6" t="s">
        <v>181</v>
      </c>
      <c r="K193" s="6" t="s">
        <v>182</v>
      </c>
      <c r="L193" s="6" t="s">
        <v>183</v>
      </c>
      <c r="M193" s="6" t="s">
        <v>184</v>
      </c>
      <c r="N193" s="6" t="s">
        <v>185</v>
      </c>
      <c r="O193" s="6" t="s">
        <v>186</v>
      </c>
      <c r="P193" s="6" t="s">
        <v>85</v>
      </c>
    </row>
    <row r="194" customFormat="false" ht="15" hidden="false" customHeight="false" outlineLevel="0" collapsed="false">
      <c r="A194" s="10" t="str">
        <f aca="false">parametros_recargas!A55</f>
        <v>ABC 1 kg</v>
      </c>
      <c r="B194" s="10" t="str">
        <f aca="false">parametros_recargas!B55</f>
        <v>ABC</v>
      </c>
      <c r="C194" s="25" t="n">
        <f aca="false">parametros_recargas!C55</f>
        <v>1</v>
      </c>
      <c r="D194" s="26" t="n">
        <f aca="false">datos_base!$H$2*parametros_recargas!E$55+sobrestock_sustitutos!$G$51/12</f>
        <v>613.144827200272</v>
      </c>
      <c r="E194" s="26" t="n">
        <f aca="false">datos_base!$H$2*parametros_recargas!F$55+sobrestock_sustitutos!$G$51/12</f>
        <v>8028.06125921941</v>
      </c>
      <c r="F194" s="26" t="n">
        <f aca="false">datos_base!$H$2*parametros_recargas!G$55+sobrestock_sustitutos!$G$51/12</f>
        <v>8075.70042600521</v>
      </c>
      <c r="G194" s="26" t="n">
        <f aca="false">datos_base!$H$2*parametros_recargas!H$55+sobrestock_sustitutos!$G$51/12</f>
        <v>8133.41426213322</v>
      </c>
      <c r="H194" s="26" t="n">
        <f aca="false">datos_base!$H$2*parametros_recargas!I$55+sobrestock_sustitutos!$G$51/12</f>
        <v>8136.42708459856</v>
      </c>
      <c r="I194" s="26" t="n">
        <f aca="false">datos_base!$H$2*parametros_recargas!J$55+sobrestock_sustitutos!$G$51/12</f>
        <v>8108.98950197343</v>
      </c>
      <c r="J194" s="26" t="n">
        <f aca="false">datos_base!$H$2*parametros_recargas!K$55+sobrestock_sustitutos!$G$51/12</f>
        <v>8195.29032120467</v>
      </c>
      <c r="K194" s="26" t="n">
        <f aca="false">datos_base!$H$2*parametros_recargas!L$55+sobrestock_sustitutos!$G$51/12</f>
        <v>8130.34048661222</v>
      </c>
      <c r="L194" s="26" t="n">
        <f aca="false">datos_base!$H$2*parametros_recargas!M$55+sobrestock_sustitutos!$G$51/12</f>
        <v>8140.46740143069</v>
      </c>
      <c r="M194" s="26" t="n">
        <f aca="false">datos_base!$H$2*parametros_recargas!N$55+sobrestock_sustitutos!$G$51/12</f>
        <v>8106.98675871612</v>
      </c>
      <c r="N194" s="26" t="n">
        <f aca="false">datos_base!$H$2*parametros_recargas!O$55+sobrestock_sustitutos!$G$51/12</f>
        <v>7962.80665934866</v>
      </c>
      <c r="O194" s="26" t="n">
        <f aca="false">datos_base!$H$2*parametros_recargas!P$55+sobrestock_sustitutos!$G$51/12</f>
        <v>221.382123332575</v>
      </c>
      <c r="P194" s="8" t="n">
        <f aca="false">SUM(D194:O194)</f>
        <v>81853.011111775</v>
      </c>
    </row>
    <row r="195" customFormat="false" ht="15" hidden="false" customHeight="false" outlineLevel="0" collapsed="false">
      <c r="A195" s="10" t="str">
        <f aca="false">parametros_recargas!A56</f>
        <v>ABC 2,5 kg</v>
      </c>
      <c r="B195" s="10" t="str">
        <f aca="false">parametros_recargas!B56</f>
        <v>ABC</v>
      </c>
      <c r="C195" s="25" t="n">
        <f aca="false">parametros_recargas!C56</f>
        <v>1</v>
      </c>
      <c r="D195" s="26" t="n">
        <f aca="false">datos_base!$H$3*parametros_recargas!E$56+sobrestock_sustitutos!$G$52/12</f>
        <v>568.929868483971</v>
      </c>
      <c r="E195" s="26" t="n">
        <f aca="false">datos_base!$H$3*parametros_recargas!F$56+sobrestock_sustitutos!$G$52/12</f>
        <v>964.11147112175</v>
      </c>
      <c r="F195" s="26" t="n">
        <f aca="false">datos_base!$H$3*parametros_recargas!G$56+sobrestock_sustitutos!$G$52/12</f>
        <v>568.929868483971</v>
      </c>
      <c r="G195" s="26" t="n">
        <f aca="false">datos_base!$H$3*parametros_recargas!H$56+sobrestock_sustitutos!$G$52/12</f>
        <v>568.929868483971</v>
      </c>
      <c r="H195" s="26" t="n">
        <f aca="false">datos_base!$H$3*parametros_recargas!I$56+sobrestock_sustitutos!$G$52/12</f>
        <v>568.929868483971</v>
      </c>
      <c r="I195" s="26" t="n">
        <f aca="false">datos_base!$H$3*parametros_recargas!J$56+sobrestock_sustitutos!$G$52/12</f>
        <v>568.929868483971</v>
      </c>
      <c r="J195" s="26" t="n">
        <f aca="false">datos_base!$H$3*parametros_recargas!K$56+sobrestock_sustitutos!$G$52/12</f>
        <v>568.929868483971</v>
      </c>
      <c r="K195" s="26" t="n">
        <f aca="false">datos_base!$H$3*parametros_recargas!L$56+sobrestock_sustitutos!$G$52/12</f>
        <v>568.929868483971</v>
      </c>
      <c r="L195" s="26" t="n">
        <f aca="false">datos_base!$H$3*parametros_recargas!M$56+sobrestock_sustitutos!$G$52/12</f>
        <v>568.929868483971</v>
      </c>
      <c r="M195" s="26" t="n">
        <f aca="false">datos_base!$H$3*parametros_recargas!N$56+sobrestock_sustitutos!$G$52/12</f>
        <v>568.929868483971</v>
      </c>
      <c r="N195" s="26" t="n">
        <f aca="false">datos_base!$H$3*parametros_recargas!O$56+sobrestock_sustitutos!$G$52/12</f>
        <v>568.929868483971</v>
      </c>
      <c r="O195" s="26" t="n">
        <f aca="false">datos_base!$H$3*parametros_recargas!P$56+sobrestock_sustitutos!$G$52/12</f>
        <v>568.929868483971</v>
      </c>
      <c r="P195" s="8" t="n">
        <f aca="false">SUM(D195:O195)</f>
        <v>7222.34002444543</v>
      </c>
    </row>
    <row r="196" customFormat="false" ht="15" hidden="false" customHeight="false" outlineLevel="0" collapsed="false">
      <c r="A196" s="10" t="str">
        <f aca="false">parametros_recargas!A57</f>
        <v>ABC 5 kg</v>
      </c>
      <c r="B196" s="10" t="str">
        <f aca="false">parametros_recargas!B57</f>
        <v>ABC</v>
      </c>
      <c r="C196" s="25" t="n">
        <f aca="false">parametros_recargas!C57</f>
        <v>1</v>
      </c>
      <c r="D196" s="26" t="n">
        <f aca="false">datos_base!$H$4*parametros_recargas!E$57+sobrestock_sustitutos!$G$53/12</f>
        <v>3345.76658065523</v>
      </c>
      <c r="E196" s="26" t="n">
        <f aca="false">datos_base!$H$4*parametros_recargas!F$57+sobrestock_sustitutos!$G$53/12</f>
        <v>5140.12525894558</v>
      </c>
      <c r="F196" s="26" t="n">
        <f aca="false">datos_base!$H$4*parametros_recargas!G$57+sobrestock_sustitutos!$G$53/12</f>
        <v>3615.41464618576</v>
      </c>
      <c r="G196" s="26" t="n">
        <f aca="false">datos_base!$H$4*parametros_recargas!H$57+sobrestock_sustitutos!$G$53/12</f>
        <v>3617.50004763573</v>
      </c>
      <c r="H196" s="26" t="n">
        <f aca="false">datos_base!$H$4*parametros_recargas!I$57+sobrestock_sustitutos!$G$53/12</f>
        <v>3617.60891138071</v>
      </c>
      <c r="I196" s="26" t="n">
        <f aca="false">datos_base!$H$4*parametros_recargas!J$57+sobrestock_sustitutos!$G$53/12</f>
        <v>3616.6174961772</v>
      </c>
      <c r="J196" s="26" t="n">
        <f aca="false">datos_base!$H$4*parametros_recargas!K$57+sobrestock_sustitutos!$G$53/12</f>
        <v>3619.73584466402</v>
      </c>
      <c r="K196" s="26" t="n">
        <f aca="false">datos_base!$H$4*parametros_recargas!L$57+sobrestock_sustitutos!$G$53/12</f>
        <v>3617.38898144505</v>
      </c>
      <c r="L196" s="26" t="n">
        <f aca="false">datos_base!$H$4*parametros_recargas!M$57+sobrestock_sustitutos!$G$53/12</f>
        <v>3617.75490206761</v>
      </c>
      <c r="M196" s="26" t="n">
        <f aca="false">datos_base!$H$4*parametros_recargas!N$57+sobrestock_sustitutos!$G$53/12</f>
        <v>3616.54513010395</v>
      </c>
      <c r="N196" s="26" t="n">
        <f aca="false">datos_base!$H$4*parametros_recargas!O$57+sobrestock_sustitutos!$G$53/12</f>
        <v>3611.33540210022</v>
      </c>
      <c r="O196" s="26" t="n">
        <f aca="false">datos_base!$H$4*parametros_recargas!P$57+sobrestock_sustitutos!$G$53/12</f>
        <v>3331.61083282243</v>
      </c>
      <c r="P196" s="8" t="n">
        <f aca="false">SUM(D196:O196)</f>
        <v>44367.4040341835</v>
      </c>
    </row>
    <row r="197" customFormat="false" ht="15" hidden="false" customHeight="false" outlineLevel="0" collapsed="false">
      <c r="A197" s="10" t="str">
        <f aca="false">parametros_recargas!A58</f>
        <v>ABC 10 kg</v>
      </c>
      <c r="B197" s="10" t="str">
        <f aca="false">parametros_recargas!B58</f>
        <v>ABC</v>
      </c>
      <c r="C197" s="25" t="n">
        <f aca="false">parametros_recargas!C58</f>
        <v>1</v>
      </c>
      <c r="D197" s="26" t="n">
        <f aca="false">datos_base!$H$5*parametros_recargas!E$58+sobrestock_sustitutos!$G$54/12</f>
        <v>205.367879080916</v>
      </c>
      <c r="E197" s="26" t="n">
        <f aca="false">datos_base!$H$5*parametros_recargas!F$58+sobrestock_sustitutos!$G$54/12</f>
        <v>375.05487579998</v>
      </c>
      <c r="F197" s="26" t="n">
        <f aca="false">datos_base!$H$5*parametros_recargas!G$58+sobrestock_sustitutos!$G$54/12</f>
        <v>205.367879080916</v>
      </c>
      <c r="G197" s="26" t="n">
        <f aca="false">datos_base!$H$5*parametros_recargas!H$58+sobrestock_sustitutos!$G$54/12</f>
        <v>205.367879080916</v>
      </c>
      <c r="H197" s="26" t="n">
        <f aca="false">datos_base!$H$5*parametros_recargas!I$58+sobrestock_sustitutos!$G$54/12</f>
        <v>205.367879080916</v>
      </c>
      <c r="I197" s="26" t="n">
        <f aca="false">datos_base!$H$5*parametros_recargas!J$58+sobrestock_sustitutos!$G$54/12</f>
        <v>205.367879080916</v>
      </c>
      <c r="J197" s="26" t="n">
        <f aca="false">datos_base!$H$5*parametros_recargas!K$58+sobrestock_sustitutos!$G$54/12</f>
        <v>205.367879080916</v>
      </c>
      <c r="K197" s="26" t="n">
        <f aca="false">datos_base!$H$5*parametros_recargas!L$58+sobrestock_sustitutos!$G$54/12</f>
        <v>205.367879080916</v>
      </c>
      <c r="L197" s="26" t="n">
        <f aca="false">datos_base!$H$5*parametros_recargas!M$58+sobrestock_sustitutos!$G$54/12</f>
        <v>205.367879080916</v>
      </c>
      <c r="M197" s="26" t="n">
        <f aca="false">datos_base!$H$5*parametros_recargas!N$58+sobrestock_sustitutos!$G$54/12</f>
        <v>205.367879080916</v>
      </c>
      <c r="N197" s="26" t="n">
        <f aca="false">datos_base!$H$5*parametros_recargas!O$58+sobrestock_sustitutos!$G$54/12</f>
        <v>205.367879080916</v>
      </c>
      <c r="O197" s="26" t="n">
        <f aca="false">datos_base!$H$5*parametros_recargas!P$58+sobrestock_sustitutos!$G$54/12</f>
        <v>205.367879080916</v>
      </c>
      <c r="P197" s="8" t="n">
        <f aca="false">SUM(D197:O197)</f>
        <v>2634.10154569006</v>
      </c>
    </row>
    <row r="198" customFormat="false" ht="15" hidden="false" customHeight="false" outlineLevel="0" collapsed="false">
      <c r="A198" s="10" t="str">
        <f aca="false">parametros_recargas!A59</f>
        <v>Agua 10 l</v>
      </c>
      <c r="B198" s="10" t="str">
        <f aca="false">parametros_recargas!B59</f>
        <v>Agua</v>
      </c>
      <c r="C198" s="25" t="n">
        <f aca="false">parametros_recargas!C59</f>
        <v>1</v>
      </c>
      <c r="D198" s="26" t="n">
        <f aca="false">datos_base!$H$6*parametros_recargas!E$59+sobrestock_sustitutos!$G$55/12</f>
        <v>295.606281621374</v>
      </c>
      <c r="E198" s="26" t="n">
        <f aca="false">datos_base!$H$6*parametros_recargas!F$59+sobrestock_sustitutos!$G$55/12</f>
        <v>437.312676861956</v>
      </c>
      <c r="F198" s="26" t="n">
        <f aca="false">datos_base!$H$6*parametros_recargas!G$59+sobrestock_sustitutos!$G$55/12</f>
        <v>295.606281621374</v>
      </c>
      <c r="G198" s="26" t="n">
        <f aca="false">datos_base!$H$6*parametros_recargas!H$59+sobrestock_sustitutos!$G$55/12</f>
        <v>295.606281621374</v>
      </c>
      <c r="H198" s="26" t="n">
        <f aca="false">datos_base!$H$6*parametros_recargas!I$59+sobrestock_sustitutos!$G$55/12</f>
        <v>295.606281621374</v>
      </c>
      <c r="I198" s="26" t="n">
        <f aca="false">datos_base!$H$6*parametros_recargas!J$59+sobrestock_sustitutos!$G$55/12</f>
        <v>295.606281621374</v>
      </c>
      <c r="J198" s="26" t="n">
        <f aca="false">datos_base!$H$6*parametros_recargas!K$59+sobrestock_sustitutos!$G$55/12</f>
        <v>295.606281621374</v>
      </c>
      <c r="K198" s="26" t="n">
        <f aca="false">datos_base!$H$6*parametros_recargas!L$59+sobrestock_sustitutos!$G$55/12</f>
        <v>295.606281621374</v>
      </c>
      <c r="L198" s="26" t="n">
        <f aca="false">datos_base!$H$6*parametros_recargas!M$59+sobrestock_sustitutos!$G$55/12</f>
        <v>295.606281621374</v>
      </c>
      <c r="M198" s="26" t="n">
        <f aca="false">datos_base!$H$6*parametros_recargas!N$59+sobrestock_sustitutos!$G$55/12</f>
        <v>295.606281621374</v>
      </c>
      <c r="N198" s="26" t="n">
        <f aca="false">datos_base!$H$6*parametros_recargas!O$59+sobrestock_sustitutos!$G$55/12</f>
        <v>295.606281621374</v>
      </c>
      <c r="O198" s="26" t="n">
        <f aca="false">datos_base!$H$6*parametros_recargas!P$59+sobrestock_sustitutos!$G$55/12</f>
        <v>295.606281621374</v>
      </c>
      <c r="P198" s="8" t="n">
        <f aca="false">SUM(D198:O198)</f>
        <v>3688.98177469707</v>
      </c>
    </row>
    <row r="199" customFormat="false" ht="15" hidden="false" customHeight="false" outlineLevel="0" collapsed="false">
      <c r="A199" s="10" t="str">
        <f aca="false">parametros_recargas!A60</f>
        <v>AFFF 10 l</v>
      </c>
      <c r="B199" s="10" t="str">
        <f aca="false">parametros_recargas!B60</f>
        <v>AFFF</v>
      </c>
      <c r="C199" s="25" t="n">
        <f aca="false">parametros_recargas!C60</f>
        <v>1</v>
      </c>
      <c r="D199" s="26" t="n">
        <f aca="false">datos_base!$H$7*parametros_recargas!E$60+sobrestock_sustitutos!$G$56/12</f>
        <v>56.3849200521858</v>
      </c>
      <c r="E199" s="26" t="n">
        <f aca="false">datos_base!$H$7*parametros_recargas!F$60+sobrestock_sustitutos!$G$56/12</f>
        <v>56.3849200521858</v>
      </c>
      <c r="F199" s="26" t="n">
        <f aca="false">datos_base!$H$7*parametros_recargas!G$60+sobrestock_sustitutos!$G$56/12</f>
        <v>56.3849200521858</v>
      </c>
      <c r="G199" s="26" t="n">
        <f aca="false">datos_base!$H$7*parametros_recargas!H$60+sobrestock_sustitutos!$G$56/12</f>
        <v>56.3849200521858</v>
      </c>
      <c r="H199" s="26" t="n">
        <f aca="false">datos_base!$H$7*parametros_recargas!I$60+sobrestock_sustitutos!$G$56/12</f>
        <v>56.3849200521858</v>
      </c>
      <c r="I199" s="26" t="n">
        <f aca="false">datos_base!$H$7*parametros_recargas!J$60+sobrestock_sustitutos!$G$56/12</f>
        <v>56.3849200521858</v>
      </c>
      <c r="J199" s="26" t="n">
        <f aca="false">datos_base!$H$7*parametros_recargas!K$60+sobrestock_sustitutos!$G$56/12</f>
        <v>56.3849200521858</v>
      </c>
      <c r="K199" s="26" t="n">
        <f aca="false">datos_base!$H$7*parametros_recargas!L$60+sobrestock_sustitutos!$G$56/12</f>
        <v>56.3849200521858</v>
      </c>
      <c r="L199" s="26" t="n">
        <f aca="false">datos_base!$H$7*parametros_recargas!M$60+sobrestock_sustitutos!$G$56/12</f>
        <v>56.3849200521858</v>
      </c>
      <c r="M199" s="26" t="n">
        <f aca="false">datos_base!$H$7*parametros_recargas!N$60+sobrestock_sustitutos!$G$56/12</f>
        <v>56.3849200521858</v>
      </c>
      <c r="N199" s="26" t="n">
        <f aca="false">datos_base!$H$7*parametros_recargas!O$60+sobrestock_sustitutos!$G$56/12</f>
        <v>56.3849200521858</v>
      </c>
      <c r="O199" s="26" t="n">
        <f aca="false">datos_base!$H$7*parametros_recargas!P$60+sobrestock_sustitutos!$G$56/12</f>
        <v>56.3849200521858</v>
      </c>
      <c r="P199" s="8" t="n">
        <f aca="false">SUM(D199:O199)</f>
        <v>676.61904062623</v>
      </c>
    </row>
    <row r="200" customFormat="false" ht="15" hidden="false" customHeight="false" outlineLevel="0" collapsed="false">
      <c r="A200" s="10" t="str">
        <f aca="false">parametros_recargas!A61</f>
        <v>AFFF 50 l s/ruedas</v>
      </c>
      <c r="B200" s="10" t="str">
        <f aca="false">parametros_recargas!B61</f>
        <v>AFFF</v>
      </c>
      <c r="C200" s="25" t="n">
        <f aca="false">parametros_recargas!C61</f>
        <v>6.360853875</v>
      </c>
      <c r="D200" s="26" t="n">
        <f aca="false">datos_base!$H$8*parametros_recargas!E$61+sobrestock_sustitutos!$G$57/12</f>
        <v>29.7357699652997</v>
      </c>
      <c r="E200" s="26" t="n">
        <f aca="false">datos_base!$H$8*parametros_recargas!F$61+sobrestock_sustitutos!$G$57/12</f>
        <v>29.7357699652997</v>
      </c>
      <c r="F200" s="26" t="n">
        <f aca="false">datos_base!$H$8*parametros_recargas!G$61+sobrestock_sustitutos!$G$57/12</f>
        <v>29.7357699652997</v>
      </c>
      <c r="G200" s="26" t="n">
        <f aca="false">datos_base!$H$8*parametros_recargas!H$61+sobrestock_sustitutos!$G$57/12</f>
        <v>29.7357699652997</v>
      </c>
      <c r="H200" s="26" t="n">
        <f aca="false">datos_base!$H$8*parametros_recargas!I$61+sobrestock_sustitutos!$G$57/12</f>
        <v>29.7357699652997</v>
      </c>
      <c r="I200" s="26" t="n">
        <f aca="false">datos_base!$H$8*parametros_recargas!J$61+sobrestock_sustitutos!$G$57/12</f>
        <v>29.7357699652997</v>
      </c>
      <c r="J200" s="26" t="n">
        <f aca="false">datos_base!$H$8*parametros_recargas!K$61+sobrestock_sustitutos!$G$57/12</f>
        <v>29.7357699652997</v>
      </c>
      <c r="K200" s="26" t="n">
        <f aca="false">datos_base!$H$8*parametros_recargas!L$61+sobrestock_sustitutos!$G$57/12</f>
        <v>29.7357699652997</v>
      </c>
      <c r="L200" s="26" t="n">
        <f aca="false">datos_base!$H$8*parametros_recargas!M$61+sobrestock_sustitutos!$G$57/12</f>
        <v>29.7357699652997</v>
      </c>
      <c r="M200" s="26" t="n">
        <f aca="false">datos_base!$H$8*parametros_recargas!N$61+sobrestock_sustitutos!$G$57/12</f>
        <v>29.7357699652997</v>
      </c>
      <c r="N200" s="26" t="n">
        <f aca="false">datos_base!$H$8*parametros_recargas!O$61+sobrestock_sustitutos!$G$57/12</f>
        <v>29.7357699652997</v>
      </c>
      <c r="O200" s="26" t="n">
        <f aca="false">datos_base!$H$8*parametros_recargas!P$61+sobrestock_sustitutos!$G$57/12</f>
        <v>29.7357699652997</v>
      </c>
      <c r="P200" s="8" t="n">
        <f aca="false">SUM(D200:O200)</f>
        <v>356.829239583597</v>
      </c>
    </row>
    <row r="201" customFormat="false" ht="15" hidden="false" customHeight="false" outlineLevel="0" collapsed="false">
      <c r="A201" s="10" t="str">
        <f aca="false">parametros_recargas!A62</f>
        <v>BC 5 kg</v>
      </c>
      <c r="B201" s="10" t="str">
        <f aca="false">parametros_recargas!B62</f>
        <v>BC</v>
      </c>
      <c r="C201" s="25" t="n">
        <f aca="false">parametros_recargas!C62</f>
        <v>1</v>
      </c>
      <c r="D201" s="26" t="n">
        <f aca="false">datos_base!$H$9*parametros_recargas!E$62+sobrestock_sustitutos!$G$58/12</f>
        <v>17.4609476907223</v>
      </c>
      <c r="E201" s="26" t="n">
        <f aca="false">datos_base!$H$9*parametros_recargas!F$62+sobrestock_sustitutos!$G$58/12</f>
        <v>17.4609476907223</v>
      </c>
      <c r="F201" s="26" t="n">
        <f aca="false">datos_base!$H$9*parametros_recargas!G$62+sobrestock_sustitutos!$G$58/12</f>
        <v>17.4609476907223</v>
      </c>
      <c r="G201" s="26" t="n">
        <f aca="false">datos_base!$H$9*parametros_recargas!H$62+sobrestock_sustitutos!$G$58/12</f>
        <v>17.4609476907223</v>
      </c>
      <c r="H201" s="26" t="n">
        <f aca="false">datos_base!$H$9*parametros_recargas!I$62+sobrestock_sustitutos!$G$58/12</f>
        <v>17.4609476907223</v>
      </c>
      <c r="I201" s="26" t="n">
        <f aca="false">datos_base!$H$9*parametros_recargas!J$62+sobrestock_sustitutos!$G$58/12</f>
        <v>17.4609476907223</v>
      </c>
      <c r="J201" s="26" t="n">
        <f aca="false">datos_base!$H$9*parametros_recargas!K$62+sobrestock_sustitutos!$G$58/12</f>
        <v>17.4609476907223</v>
      </c>
      <c r="K201" s="26" t="n">
        <f aca="false">datos_base!$H$9*parametros_recargas!L$62+sobrestock_sustitutos!$G$58/12</f>
        <v>17.4609476907223</v>
      </c>
      <c r="L201" s="26" t="n">
        <f aca="false">datos_base!$H$9*parametros_recargas!M$62+sobrestock_sustitutos!$G$58/12</f>
        <v>17.4609476907223</v>
      </c>
      <c r="M201" s="26" t="n">
        <f aca="false">datos_base!$H$9*parametros_recargas!N$62+sobrestock_sustitutos!$G$58/12</f>
        <v>17.4609476907223</v>
      </c>
      <c r="N201" s="26" t="n">
        <f aca="false">datos_base!$H$9*parametros_recargas!O$62+sobrestock_sustitutos!$G$58/12</f>
        <v>17.4609476907223</v>
      </c>
      <c r="O201" s="26" t="n">
        <f aca="false">datos_base!$H$9*parametros_recargas!P$62+sobrestock_sustitutos!$G$58/12</f>
        <v>17.4609476907223</v>
      </c>
      <c r="P201" s="8" t="n">
        <f aca="false">SUM(D201:O201)</f>
        <v>209.531372288667</v>
      </c>
    </row>
    <row r="202" customFormat="false" ht="15" hidden="false" customHeight="false" outlineLevel="0" collapsed="false">
      <c r="A202" s="10" t="str">
        <f aca="false">parametros_recargas!A63</f>
        <v>Sales K 6 l</v>
      </c>
      <c r="B202" s="10" t="str">
        <f aca="false">parametros_recargas!B63</f>
        <v>Sales K</v>
      </c>
      <c r="C202" s="25" t="n">
        <f aca="false">parametros_recargas!C63</f>
        <v>1</v>
      </c>
      <c r="D202" s="26" t="n">
        <f aca="false">datos_base!$H$10*parametros_recargas!E$63+sobrestock_sustitutos!$G$59/12</f>
        <v>139.742492916085</v>
      </c>
      <c r="E202" s="26" t="n">
        <f aca="false">datos_base!$H$10*parametros_recargas!F$63+sobrestock_sustitutos!$G$59/12</f>
        <v>277.77828638361</v>
      </c>
      <c r="F202" s="26" t="n">
        <f aca="false">datos_base!$H$10*parametros_recargas!G$63+sobrestock_sustitutos!$G$59/12</f>
        <v>139.742492916085</v>
      </c>
      <c r="G202" s="26" t="n">
        <f aca="false">datos_base!$H$10*parametros_recargas!H$63+sobrestock_sustitutos!$G$59/12</f>
        <v>139.742492916085</v>
      </c>
      <c r="H202" s="26" t="n">
        <f aca="false">datos_base!$H$10*parametros_recargas!I$63+sobrestock_sustitutos!$G$59/12</f>
        <v>139.742492916085</v>
      </c>
      <c r="I202" s="26" t="n">
        <f aca="false">datos_base!$H$10*parametros_recargas!J$63+sobrestock_sustitutos!$G$59/12</f>
        <v>139.742492916085</v>
      </c>
      <c r="J202" s="26" t="n">
        <f aca="false">datos_base!$H$10*parametros_recargas!K$63+sobrestock_sustitutos!$G$59/12</f>
        <v>139.742492916085</v>
      </c>
      <c r="K202" s="26" t="n">
        <f aca="false">datos_base!$H$10*parametros_recargas!L$63+sobrestock_sustitutos!$G$59/12</f>
        <v>139.742492916085</v>
      </c>
      <c r="L202" s="26" t="n">
        <f aca="false">datos_base!$H$10*parametros_recargas!M$63+sobrestock_sustitutos!$G$59/12</f>
        <v>139.742492916085</v>
      </c>
      <c r="M202" s="26" t="n">
        <f aca="false">datos_base!$H$10*parametros_recargas!N$63+sobrestock_sustitutos!$G$59/12</f>
        <v>139.742492916085</v>
      </c>
      <c r="N202" s="26" t="n">
        <f aca="false">datos_base!$H$10*parametros_recargas!O$63+sobrestock_sustitutos!$G$59/12</f>
        <v>139.742492916085</v>
      </c>
      <c r="O202" s="26" t="n">
        <f aca="false">datos_base!$H$10*parametros_recargas!P$63+sobrestock_sustitutos!$G$59/12</f>
        <v>139.742492916085</v>
      </c>
      <c r="P202" s="8" t="n">
        <f aca="false">SUM(D202:O202)</f>
        <v>1814.94570846055</v>
      </c>
    </row>
    <row r="203" customFormat="false" ht="15" hidden="false" customHeight="false" outlineLevel="0" collapsed="false">
      <c r="A203" s="10" t="str">
        <f aca="false">parametros_recargas!A64</f>
        <v>CO₂ 2 kg</v>
      </c>
      <c r="B203" s="10" t="str">
        <f aca="false">parametros_recargas!B64</f>
        <v>CO₂</v>
      </c>
      <c r="C203" s="25" t="n">
        <f aca="false">parametros_recargas!C64</f>
        <v>1</v>
      </c>
      <c r="D203" s="26" t="n">
        <f aca="false">datos_base!$H$11*parametros_recargas!E$64+sobrestock_sustitutos!$G$60/12</f>
        <v>786.637379785496</v>
      </c>
      <c r="E203" s="26" t="n">
        <f aca="false">datos_base!$H$11*parametros_recargas!F$64+sobrestock_sustitutos!$G$60/12</f>
        <v>1360.77296394899</v>
      </c>
      <c r="F203" s="26" t="n">
        <f aca="false">datos_base!$H$11*parametros_recargas!G$64+sobrestock_sustitutos!$G$60/12</f>
        <v>786.637379785496</v>
      </c>
      <c r="G203" s="26" t="n">
        <f aca="false">datos_base!$H$11*parametros_recargas!H$64+sobrestock_sustitutos!$G$60/12</f>
        <v>786.637379785496</v>
      </c>
      <c r="H203" s="26" t="n">
        <f aca="false">datos_base!$H$11*parametros_recargas!I$64+sobrestock_sustitutos!$G$60/12</f>
        <v>786.637379785496</v>
      </c>
      <c r="I203" s="26" t="n">
        <f aca="false">datos_base!$H$11*parametros_recargas!J$64+sobrestock_sustitutos!$G$60/12</f>
        <v>786.637379785496</v>
      </c>
      <c r="J203" s="26" t="n">
        <f aca="false">datos_base!$H$11*parametros_recargas!K$64+sobrestock_sustitutos!$G$60/12</f>
        <v>786.637379785496</v>
      </c>
      <c r="K203" s="26" t="n">
        <f aca="false">datos_base!$H$11*parametros_recargas!L$64+sobrestock_sustitutos!$G$60/12</f>
        <v>786.637379785496</v>
      </c>
      <c r="L203" s="26" t="n">
        <f aca="false">datos_base!$H$11*parametros_recargas!M$64+sobrestock_sustitutos!$G$60/12</f>
        <v>786.637379785496</v>
      </c>
      <c r="M203" s="26" t="n">
        <f aca="false">datos_base!$H$11*parametros_recargas!N$64+sobrestock_sustitutos!$G$60/12</f>
        <v>786.637379785496</v>
      </c>
      <c r="N203" s="26" t="n">
        <f aca="false">datos_base!$H$11*parametros_recargas!O$64+sobrestock_sustitutos!$G$60/12</f>
        <v>786.637379785496</v>
      </c>
      <c r="O203" s="26" t="n">
        <f aca="false">datos_base!$H$11*parametros_recargas!P$64+sobrestock_sustitutos!$G$60/12</f>
        <v>786.637379785496</v>
      </c>
      <c r="P203" s="8" t="n">
        <f aca="false">SUM(D203:O203)</f>
        <v>10013.7841415894</v>
      </c>
    </row>
    <row r="204" customFormat="false" ht="15" hidden="false" customHeight="false" outlineLevel="0" collapsed="false">
      <c r="A204" s="10" t="str">
        <f aca="false">parametros_recargas!A65</f>
        <v>CO₂ 5 kg</v>
      </c>
      <c r="B204" s="10" t="str">
        <f aca="false">parametros_recargas!B65</f>
        <v>CO₂</v>
      </c>
      <c r="C204" s="25" t="n">
        <f aca="false">parametros_recargas!C65</f>
        <v>1</v>
      </c>
      <c r="D204" s="26" t="n">
        <f aca="false">datos_base!$H$12*parametros_recargas!E$65+sobrestock_sustitutos!$G$61/12</f>
        <v>272.751985378945</v>
      </c>
      <c r="E204" s="26" t="n">
        <f aca="false">datos_base!$H$12*parametros_recargas!F$65+sobrestock_sustitutos!$G$61/12</f>
        <v>298.834131681526</v>
      </c>
      <c r="F204" s="26" t="n">
        <f aca="false">datos_base!$H$12*parametros_recargas!G$65+sobrestock_sustitutos!$G$61/12</f>
        <v>272.751985378945</v>
      </c>
      <c r="G204" s="26" t="n">
        <f aca="false">datos_base!$H$12*parametros_recargas!H$65+sobrestock_sustitutos!$G$61/12</f>
        <v>272.751985378945</v>
      </c>
      <c r="H204" s="26" t="n">
        <f aca="false">datos_base!$H$12*parametros_recargas!I$65+sobrestock_sustitutos!$G$61/12</f>
        <v>272.751985378945</v>
      </c>
      <c r="I204" s="26" t="n">
        <f aca="false">datos_base!$H$12*parametros_recargas!J$65+sobrestock_sustitutos!$G$61/12</f>
        <v>272.751985378945</v>
      </c>
      <c r="J204" s="26" t="n">
        <f aca="false">datos_base!$H$12*parametros_recargas!K$65+sobrestock_sustitutos!$G$61/12</f>
        <v>272.751985378945</v>
      </c>
      <c r="K204" s="26" t="n">
        <f aca="false">datos_base!$H$12*parametros_recargas!L$65+sobrestock_sustitutos!$G$61/12</f>
        <v>272.751985378945</v>
      </c>
      <c r="L204" s="26" t="n">
        <f aca="false">datos_base!$H$12*parametros_recargas!M$65+sobrestock_sustitutos!$G$61/12</f>
        <v>272.751985378945</v>
      </c>
      <c r="M204" s="26" t="n">
        <f aca="false">datos_base!$H$12*parametros_recargas!N$65+sobrestock_sustitutos!$G$61/12</f>
        <v>272.751985378945</v>
      </c>
      <c r="N204" s="26" t="n">
        <f aca="false">datos_base!$H$12*parametros_recargas!O$65+sobrestock_sustitutos!$G$61/12</f>
        <v>272.751985378945</v>
      </c>
      <c r="O204" s="26" t="n">
        <f aca="false">datos_base!$H$12*parametros_recargas!P$65+sobrestock_sustitutos!$G$61/12</f>
        <v>272.751985378945</v>
      </c>
      <c r="P204" s="8" t="n">
        <f aca="false">SUM(D204:O204)</f>
        <v>3299.10597084992</v>
      </c>
    </row>
    <row r="205" customFormat="false" ht="15" hidden="false" customHeight="false" outlineLevel="0" collapsed="false">
      <c r="A205" s="10" t="str">
        <f aca="false">parametros_recargas!A66</f>
        <v>HCFC/HFC 5 kg</v>
      </c>
      <c r="B205" s="10" t="str">
        <f aca="false">parametros_recargas!B66</f>
        <v>Halogenado</v>
      </c>
      <c r="C205" s="25" t="n">
        <f aca="false">parametros_recargas!C66</f>
        <v>1</v>
      </c>
      <c r="D205" s="26" t="n">
        <f aca="false">datos_base!$H$13*parametros_recargas!E$66+sobrestock_sustitutos!$G$62/12</f>
        <v>44.4947776713973</v>
      </c>
      <c r="E205" s="26" t="n">
        <f aca="false">datos_base!$H$13*parametros_recargas!F$66+sobrestock_sustitutos!$G$62/12</f>
        <v>44.4947776713973</v>
      </c>
      <c r="F205" s="26" t="n">
        <f aca="false">datos_base!$H$13*parametros_recargas!G$66+sobrestock_sustitutos!$G$62/12</f>
        <v>44.4947776713973</v>
      </c>
      <c r="G205" s="26" t="n">
        <f aca="false">datos_base!$H$13*parametros_recargas!H$66+sobrestock_sustitutos!$G$62/12</f>
        <v>44.4947776713973</v>
      </c>
      <c r="H205" s="26" t="n">
        <f aca="false">datos_base!$H$13*parametros_recargas!I$66+sobrestock_sustitutos!$G$62/12</f>
        <v>44.4947776713973</v>
      </c>
      <c r="I205" s="26" t="n">
        <f aca="false">datos_base!$H$13*parametros_recargas!J$66+sobrestock_sustitutos!$G$62/12</f>
        <v>44.4947776713973</v>
      </c>
      <c r="J205" s="26" t="n">
        <f aca="false">datos_base!$H$13*parametros_recargas!K$66+sobrestock_sustitutos!$G$62/12</f>
        <v>44.4947776713973</v>
      </c>
      <c r="K205" s="26" t="n">
        <f aca="false">datos_base!$H$13*parametros_recargas!L$66+sobrestock_sustitutos!$G$62/12</f>
        <v>44.4947776713973</v>
      </c>
      <c r="L205" s="26" t="n">
        <f aca="false">datos_base!$H$13*parametros_recargas!M$66+sobrestock_sustitutos!$G$62/12</f>
        <v>44.4947776713973</v>
      </c>
      <c r="M205" s="26" t="n">
        <f aca="false">datos_base!$H$13*parametros_recargas!N$66+sobrestock_sustitutos!$G$62/12</f>
        <v>44.4947776713973</v>
      </c>
      <c r="N205" s="26" t="n">
        <f aca="false">datos_base!$H$13*parametros_recargas!O$66+sobrestock_sustitutos!$G$62/12</f>
        <v>44.4947776713973</v>
      </c>
      <c r="O205" s="26" t="n">
        <f aca="false">datos_base!$H$13*parametros_recargas!P$66+sobrestock_sustitutos!$G$62/12</f>
        <v>44.4947776713973</v>
      </c>
      <c r="P205" s="8" t="n">
        <f aca="false">SUM(D205:O205)</f>
        <v>533.937332056768</v>
      </c>
    </row>
    <row r="206" customFormat="false" ht="15" hidden="false" customHeight="false" outlineLevel="0" collapsed="false">
      <c r="A206" s="10" t="str">
        <f aca="false">parametros_recargas!A67</f>
        <v>Clase D 9 l</v>
      </c>
      <c r="B206" s="10" t="str">
        <f aca="false">parametros_recargas!B67</f>
        <v>Clase D</v>
      </c>
      <c r="C206" s="25" t="n">
        <f aca="false">parametros_recargas!C67</f>
        <v>1</v>
      </c>
      <c r="D206" s="26" t="n">
        <f aca="false">datos_base!$H$14*parametros_recargas!E$67+sobrestock_sustitutos!$G$63/12</f>
        <v>15.5095174389271</v>
      </c>
      <c r="E206" s="26" t="n">
        <f aca="false">datos_base!$H$14*parametros_recargas!F$67+sobrestock_sustitutos!$G$63/12</f>
        <v>15.5095174389271</v>
      </c>
      <c r="F206" s="26" t="n">
        <f aca="false">datos_base!$H$14*parametros_recargas!G$67+sobrestock_sustitutos!$G$63/12</f>
        <v>15.5095174389271</v>
      </c>
      <c r="G206" s="26" t="n">
        <f aca="false">datos_base!$H$14*parametros_recargas!H$67+sobrestock_sustitutos!$G$63/12</f>
        <v>15.5095174389271</v>
      </c>
      <c r="H206" s="26" t="n">
        <f aca="false">datos_base!$H$14*parametros_recargas!I$67+sobrestock_sustitutos!$G$63/12</f>
        <v>15.5095174389271</v>
      </c>
      <c r="I206" s="26" t="n">
        <f aca="false">datos_base!$H$14*parametros_recargas!J$67+sobrestock_sustitutos!$G$63/12</f>
        <v>15.5095174389271</v>
      </c>
      <c r="J206" s="26" t="n">
        <f aca="false">datos_base!$H$14*parametros_recargas!K$67+sobrestock_sustitutos!$G$63/12</f>
        <v>15.5095174389271</v>
      </c>
      <c r="K206" s="26" t="n">
        <f aca="false">datos_base!$H$14*parametros_recargas!L$67+sobrestock_sustitutos!$G$63/12</f>
        <v>15.5095174389271</v>
      </c>
      <c r="L206" s="26" t="n">
        <f aca="false">datos_base!$H$14*parametros_recargas!M$67+sobrestock_sustitutos!$G$63/12</f>
        <v>15.5095174389271</v>
      </c>
      <c r="M206" s="26" t="n">
        <f aca="false">datos_base!$H$14*parametros_recargas!N$67+sobrestock_sustitutos!$G$63/12</f>
        <v>15.5095174389271</v>
      </c>
      <c r="N206" s="26" t="n">
        <f aca="false">datos_base!$H$14*parametros_recargas!O$67+sobrestock_sustitutos!$G$63/12</f>
        <v>15.5095174389271</v>
      </c>
      <c r="O206" s="26" t="n">
        <f aca="false">datos_base!$H$14*parametros_recargas!P$67+sobrestock_sustitutos!$G$63/12</f>
        <v>15.5095174389271</v>
      </c>
      <c r="P206" s="8" t="n">
        <f aca="false">SUM(D206:O206)</f>
        <v>186.114209267126</v>
      </c>
    </row>
    <row r="207" customFormat="false" ht="15" hidden="false" customHeight="false" outlineLevel="0" collapsed="false">
      <c r="A207" s="10" t="str">
        <f aca="false">parametros_recargas!A68</f>
        <v>ABC 25 kg s/ruedas</v>
      </c>
      <c r="B207" s="10" t="str">
        <f aca="false">parametros_recargas!B68</f>
        <v>ABC</v>
      </c>
      <c r="C207" s="25" t="n">
        <f aca="false">parametros_recargas!C68</f>
        <v>6.360853875</v>
      </c>
      <c r="D207" s="26" t="n">
        <f aca="false">datos_base!$H$15*parametros_recargas!E$68+sobrestock_sustitutos!$G$64/12</f>
        <v>36.7984824098736</v>
      </c>
      <c r="E207" s="26" t="n">
        <f aca="false">datos_base!$H$15*parametros_recargas!F$68+sobrestock_sustitutos!$G$64/12</f>
        <v>42.6357361613031</v>
      </c>
      <c r="F207" s="26" t="n">
        <f aca="false">datos_base!$H$15*parametros_recargas!G$68+sobrestock_sustitutos!$G$64/12</f>
        <v>36.7984824098736</v>
      </c>
      <c r="G207" s="26" t="n">
        <f aca="false">datos_base!$H$15*parametros_recargas!H$68+sobrestock_sustitutos!$G$64/12</f>
        <v>36.7984824098736</v>
      </c>
      <c r="H207" s="26" t="n">
        <f aca="false">datos_base!$H$15*parametros_recargas!I$68+sobrestock_sustitutos!$G$64/12</f>
        <v>36.7984824098736</v>
      </c>
      <c r="I207" s="26" t="n">
        <f aca="false">datos_base!$H$15*parametros_recargas!J$68+sobrestock_sustitutos!$G$64/12</f>
        <v>36.7984824098736</v>
      </c>
      <c r="J207" s="26" t="n">
        <f aca="false">datos_base!$H$15*parametros_recargas!K$68+sobrestock_sustitutos!$G$64/12</f>
        <v>36.7984824098736</v>
      </c>
      <c r="K207" s="26" t="n">
        <f aca="false">datos_base!$H$15*parametros_recargas!L$68+sobrestock_sustitutos!$G$64/12</f>
        <v>36.7984824098736</v>
      </c>
      <c r="L207" s="26" t="n">
        <f aca="false">datos_base!$H$15*parametros_recargas!M$68+sobrestock_sustitutos!$G$64/12</f>
        <v>36.7984824098736</v>
      </c>
      <c r="M207" s="26" t="n">
        <f aca="false">datos_base!$H$15*parametros_recargas!N$68+sobrestock_sustitutos!$G$64/12</f>
        <v>36.7984824098736</v>
      </c>
      <c r="N207" s="26" t="n">
        <f aca="false">datos_base!$H$15*parametros_recargas!O$68+sobrestock_sustitutos!$G$64/12</f>
        <v>36.7984824098736</v>
      </c>
      <c r="O207" s="26" t="n">
        <f aca="false">datos_base!$H$15*parametros_recargas!P$68+sobrestock_sustitutos!$G$64/12</f>
        <v>36.7984824098736</v>
      </c>
      <c r="P207" s="8" t="n">
        <f aca="false">SUM(D207:O207)</f>
        <v>447.419042669912</v>
      </c>
    </row>
    <row r="208" customFormat="false" ht="15" hidden="false" customHeight="false" outlineLevel="0" collapsed="false">
      <c r="A208" s="10" t="str">
        <f aca="false">parametros_recargas!A69</f>
        <v>ABC 50 kg s/ruedas</v>
      </c>
      <c r="B208" s="10" t="str">
        <f aca="false">parametros_recargas!B69</f>
        <v>ABC</v>
      </c>
      <c r="C208" s="25" t="n">
        <f aca="false">parametros_recargas!C69</f>
        <v>6.360853875</v>
      </c>
      <c r="D208" s="26" t="n">
        <f aca="false">datos_base!$H$16*parametros_recargas!E$69+sobrestock_sustitutos!$G$65/12</f>
        <v>80.9065157630862</v>
      </c>
      <c r="E208" s="26" t="n">
        <f aca="false">datos_base!$H$16*parametros_recargas!F$69+sobrestock_sustitutos!$G$65/12</f>
        <v>93.7502208125702</v>
      </c>
      <c r="F208" s="26" t="n">
        <f aca="false">datos_base!$H$16*parametros_recargas!G$69+sobrestock_sustitutos!$G$65/12</f>
        <v>80.9065157630862</v>
      </c>
      <c r="G208" s="26" t="n">
        <f aca="false">datos_base!$H$16*parametros_recargas!H$69+sobrestock_sustitutos!$G$65/12</f>
        <v>80.9065157630862</v>
      </c>
      <c r="H208" s="26" t="n">
        <f aca="false">datos_base!$H$16*parametros_recargas!I$69+sobrestock_sustitutos!$G$65/12</f>
        <v>80.9065157630862</v>
      </c>
      <c r="I208" s="26" t="n">
        <f aca="false">datos_base!$H$16*parametros_recargas!J$69+sobrestock_sustitutos!$G$65/12</f>
        <v>80.9065157630862</v>
      </c>
      <c r="J208" s="26" t="n">
        <f aca="false">datos_base!$H$16*parametros_recargas!K$69+sobrestock_sustitutos!$G$65/12</f>
        <v>80.9065157630862</v>
      </c>
      <c r="K208" s="26" t="n">
        <f aca="false">datos_base!$H$16*parametros_recargas!L$69+sobrestock_sustitutos!$G$65/12</f>
        <v>80.9065157630862</v>
      </c>
      <c r="L208" s="26" t="n">
        <f aca="false">datos_base!$H$16*parametros_recargas!M$69+sobrestock_sustitutos!$G$65/12</f>
        <v>80.9065157630862</v>
      </c>
      <c r="M208" s="26" t="n">
        <f aca="false">datos_base!$H$16*parametros_recargas!N$69+sobrestock_sustitutos!$G$65/12</f>
        <v>80.9065157630862</v>
      </c>
      <c r="N208" s="26" t="n">
        <f aca="false">datos_base!$H$16*parametros_recargas!O$69+sobrestock_sustitutos!$G$65/12</f>
        <v>80.9065157630862</v>
      </c>
      <c r="O208" s="26" t="n">
        <f aca="false">datos_base!$H$16*parametros_recargas!P$69+sobrestock_sustitutos!$G$65/12</f>
        <v>80.9065157630862</v>
      </c>
      <c r="P208" s="8" t="n">
        <f aca="false">SUM(D208:O208)</f>
        <v>983.721894206519</v>
      </c>
    </row>
    <row r="209" customFormat="false" ht="15" hidden="false" customHeight="false" outlineLevel="0" collapsed="false">
      <c r="A209" s="10" t="str">
        <f aca="false">parametros_recargas!A70</f>
        <v>ABC 70 kg s/ruedas</v>
      </c>
      <c r="B209" s="10" t="str">
        <f aca="false">parametros_recargas!B70</f>
        <v>ABC</v>
      </c>
      <c r="C209" s="25" t="n">
        <f aca="false">parametros_recargas!C70</f>
        <v>6.360853875</v>
      </c>
      <c r="D209" s="26" t="n">
        <f aca="false">datos_base!$H$17*parametros_recargas!E$70+sobrestock_sustitutos!$G$66/12</f>
        <v>17.6766433834071</v>
      </c>
      <c r="E209" s="26" t="n">
        <f aca="false">datos_base!$H$17*parametros_recargas!F$70+sobrestock_sustitutos!$G$66/12</f>
        <v>20.4780631753565</v>
      </c>
      <c r="F209" s="26" t="n">
        <f aca="false">datos_base!$H$17*parametros_recargas!G$70+sobrestock_sustitutos!$G$66/12</f>
        <v>17.6766433834071</v>
      </c>
      <c r="G209" s="26" t="n">
        <f aca="false">datos_base!$H$17*parametros_recargas!H$70+sobrestock_sustitutos!$G$66/12</f>
        <v>17.6766433834071</v>
      </c>
      <c r="H209" s="26" t="n">
        <f aca="false">datos_base!$H$17*parametros_recargas!I$70+sobrestock_sustitutos!$G$66/12</f>
        <v>17.6766433834071</v>
      </c>
      <c r="I209" s="26" t="n">
        <f aca="false">datos_base!$H$17*parametros_recargas!J$70+sobrestock_sustitutos!$G$66/12</f>
        <v>17.6766433834071</v>
      </c>
      <c r="J209" s="26" t="n">
        <f aca="false">datos_base!$H$17*parametros_recargas!K$70+sobrestock_sustitutos!$G$66/12</f>
        <v>17.6766433834071</v>
      </c>
      <c r="K209" s="26" t="n">
        <f aca="false">datos_base!$H$17*parametros_recargas!L$70+sobrestock_sustitutos!$G$66/12</f>
        <v>17.6766433834071</v>
      </c>
      <c r="L209" s="26" t="n">
        <f aca="false">datos_base!$H$17*parametros_recargas!M$70+sobrestock_sustitutos!$G$66/12</f>
        <v>17.6766433834071</v>
      </c>
      <c r="M209" s="26" t="n">
        <f aca="false">datos_base!$H$17*parametros_recargas!N$70+sobrestock_sustitutos!$G$66/12</f>
        <v>17.6766433834071</v>
      </c>
      <c r="N209" s="26" t="n">
        <f aca="false">datos_base!$H$17*parametros_recargas!O$70+sobrestock_sustitutos!$G$66/12</f>
        <v>17.6766433834071</v>
      </c>
      <c r="O209" s="26" t="n">
        <f aca="false">datos_base!$H$17*parametros_recargas!P$70+sobrestock_sustitutos!$G$66/12</f>
        <v>17.6766433834071</v>
      </c>
      <c r="P209" s="8" t="n">
        <f aca="false">SUM(D209:O209)</f>
        <v>214.921140392835</v>
      </c>
    </row>
    <row r="210" customFormat="false" ht="15" hidden="false" customHeight="false" outlineLevel="0" collapsed="false">
      <c r="A210" s="10" t="str">
        <f aca="false">parametros_recargas!A71</f>
        <v>ABC 100 kg s/ruedas</v>
      </c>
      <c r="B210" s="10" t="str">
        <f aca="false">parametros_recargas!B71</f>
        <v>ABC</v>
      </c>
      <c r="C210" s="25" t="n">
        <f aca="false">parametros_recargas!C71</f>
        <v>6.360853875</v>
      </c>
      <c r="D210" s="26" t="n">
        <f aca="false">datos_base!$H$18*parametros_recargas!E$71+sobrestock_sustitutos!$G$67/12</f>
        <v>11.8120439329223</v>
      </c>
      <c r="E210" s="26" t="n">
        <f aca="false">datos_base!$H$18*parametros_recargas!F$71+sobrestock_sustitutos!$G$67/12</f>
        <v>13.6816107027577</v>
      </c>
      <c r="F210" s="26" t="n">
        <f aca="false">datos_base!$H$18*parametros_recargas!G$71+sobrestock_sustitutos!$G$67/12</f>
        <v>11.8120439329223</v>
      </c>
      <c r="G210" s="26" t="n">
        <f aca="false">datos_base!$H$18*parametros_recargas!H$71+sobrestock_sustitutos!$G$67/12</f>
        <v>11.8120439329223</v>
      </c>
      <c r="H210" s="26" t="n">
        <f aca="false">datos_base!$H$18*parametros_recargas!I$71+sobrestock_sustitutos!$G$67/12</f>
        <v>11.8120439329223</v>
      </c>
      <c r="I210" s="26" t="n">
        <f aca="false">datos_base!$H$18*parametros_recargas!J$71+sobrestock_sustitutos!$G$67/12</f>
        <v>11.8120439329223</v>
      </c>
      <c r="J210" s="26" t="n">
        <f aca="false">datos_base!$H$18*parametros_recargas!K$71+sobrestock_sustitutos!$G$67/12</f>
        <v>11.8120439329223</v>
      </c>
      <c r="K210" s="26" t="n">
        <f aca="false">datos_base!$H$18*parametros_recargas!L$71+sobrestock_sustitutos!$G$67/12</f>
        <v>11.8120439329223</v>
      </c>
      <c r="L210" s="26" t="n">
        <f aca="false">datos_base!$H$18*parametros_recargas!M$71+sobrestock_sustitutos!$G$67/12</f>
        <v>11.8120439329223</v>
      </c>
      <c r="M210" s="26" t="n">
        <f aca="false">datos_base!$H$18*parametros_recargas!N$71+sobrestock_sustitutos!$G$67/12</f>
        <v>11.8120439329223</v>
      </c>
      <c r="N210" s="26" t="n">
        <f aca="false">datos_base!$H$18*parametros_recargas!O$71+sobrestock_sustitutos!$G$67/12</f>
        <v>11.8120439329223</v>
      </c>
      <c r="O210" s="26" t="n">
        <f aca="false">datos_base!$H$18*parametros_recargas!P$71+sobrestock_sustitutos!$G$67/12</f>
        <v>11.8120439329223</v>
      </c>
      <c r="P210" s="8" t="n">
        <f aca="false">SUM(D210:O210)</f>
        <v>143.614093964903</v>
      </c>
    </row>
    <row r="211" customFormat="false" ht="15" hidden="false" customHeight="false" outlineLevel="0" collapsed="false">
      <c r="A211" s="4" t="s">
        <v>430</v>
      </c>
      <c r="D211" s="8" t="n">
        <f aca="false">SUM(D194:D210)</f>
        <v>6538.72691343011</v>
      </c>
      <c r="E211" s="8" t="n">
        <f aca="false">SUM(E194:E210)</f>
        <v>17216.1824876333</v>
      </c>
      <c r="F211" s="8" t="n">
        <f aca="false">SUM(F194:F210)</f>
        <v>14270.9305777656</v>
      </c>
      <c r="G211" s="8" t="n">
        <f aca="false">SUM(G194:G210)</f>
        <v>14330.7298153436</v>
      </c>
      <c r="H211" s="8" t="n">
        <f aca="false">SUM(H194:H210)</f>
        <v>14333.8515015539</v>
      </c>
      <c r="I211" s="8" t="n">
        <f aca="false">SUM(I194:I210)</f>
        <v>14305.4225037252</v>
      </c>
      <c r="J211" s="8" t="n">
        <f aca="false">SUM(J194:J210)</f>
        <v>14394.8416714433</v>
      </c>
      <c r="K211" s="8" t="n">
        <f aca="false">SUM(K194:K210)</f>
        <v>14327.5449736319</v>
      </c>
      <c r="L211" s="8" t="n">
        <f aca="false">SUM(L194:L210)</f>
        <v>14338.0378090729</v>
      </c>
      <c r="M211" s="8" t="n">
        <f aca="false">SUM(M194:M210)</f>
        <v>14303.3473943947</v>
      </c>
      <c r="N211" s="8" t="n">
        <f aca="false">SUM(N194:N210)</f>
        <v>14153.9575670235</v>
      </c>
      <c r="O211" s="8" t="n">
        <f aca="false">SUM(O194:O210)</f>
        <v>6132.80846172961</v>
      </c>
      <c r="P211" s="8" t="n">
        <f aca="false">SUM(P194:P210)</f>
        <v>158646.381676748</v>
      </c>
    </row>
    <row r="212" customFormat="false" ht="15" hidden="false" customHeight="false" outlineLevel="0" collapsed="false">
      <c r="A212" s="4" t="s">
        <v>431</v>
      </c>
    </row>
    <row r="213" customFormat="false" ht="15" hidden="false" customHeight="false" outlineLevel="0" collapsed="false">
      <c r="A213" s="5" t="s">
        <v>110</v>
      </c>
      <c r="D213" s="26" t="n">
        <f aca="false">SUMPRODUCT(($B$194:$B$210=$A213)*D$194:D$210*$C$194:$C$210)</f>
        <v>5669.48668014046</v>
      </c>
      <c r="E213" s="26" t="n">
        <f aca="false">SUMPRODUCT(($B$194:$B$210=$A213)*E$194:E$210*$C$194:$C$210)</f>
        <v>15592.1687019559</v>
      </c>
      <c r="F213" s="26" t="n">
        <f aca="false">SUMPRODUCT(($B$194:$B$210=$A213)*F$194:F$210*$C$194:$C$210)</f>
        <v>13401.6903444759</v>
      </c>
      <c r="G213" s="26" t="n">
        <f aca="false">SUMPRODUCT(($B$194:$B$210=$A213)*G$194:G$210*$C$194:$C$210)</f>
        <v>13461.4895820539</v>
      </c>
      <c r="H213" s="26" t="n">
        <f aca="false">SUMPRODUCT(($B$194:$B$210=$A213)*H$194:H$210*$C$194:$C$210)</f>
        <v>13464.6112682642</v>
      </c>
      <c r="I213" s="26" t="n">
        <f aca="false">SUMPRODUCT(($B$194:$B$210=$A213)*I$194:I$210*$C$194:$C$210)</f>
        <v>13436.1822704356</v>
      </c>
      <c r="J213" s="26" t="n">
        <f aca="false">SUMPRODUCT(($B$194:$B$210=$A213)*J$194:J$210*$C$194:$C$210)</f>
        <v>13525.6014381537</v>
      </c>
      <c r="K213" s="26" t="n">
        <f aca="false">SUMPRODUCT(($B$194:$B$210=$A213)*K$194:K$210*$C$194:$C$210)</f>
        <v>13458.3047403422</v>
      </c>
      <c r="L213" s="26" t="n">
        <f aca="false">SUMPRODUCT(($B$194:$B$210=$A213)*L$194:L$210*$C$194:$C$210)</f>
        <v>13468.7975757833</v>
      </c>
      <c r="M213" s="26" t="n">
        <f aca="false">SUMPRODUCT(($B$194:$B$210=$A213)*M$194:M$210*$C$194:$C$210)</f>
        <v>13434.107161105</v>
      </c>
      <c r="N213" s="26" t="n">
        <f aca="false">SUMPRODUCT(($B$194:$B$210=$A213)*N$194:N$210*$C$194:$C$210)</f>
        <v>13284.7173337339</v>
      </c>
      <c r="O213" s="26" t="n">
        <f aca="false">SUMPRODUCT(($B$194:$B$210=$A213)*O$194:O$210*$C$194:$C$210)</f>
        <v>5263.56822843996</v>
      </c>
      <c r="P213" s="26" t="n">
        <f aca="false">SUMPRODUCT(($B$194:$B$210=$A213)*P$194:P$210*$C$194:$C$210)</f>
        <v>147460.725324884</v>
      </c>
    </row>
    <row r="214" customFormat="false" ht="15" hidden="false" customHeight="false" outlineLevel="0" collapsed="false">
      <c r="A214" s="5" t="s">
        <v>111</v>
      </c>
      <c r="D214" s="26" t="n">
        <f aca="false">SUMPRODUCT(($B$194:$B$210=$A214)*D$194:D$210*$C$194:$C$210)</f>
        <v>17.4609476907223</v>
      </c>
      <c r="E214" s="26" t="n">
        <f aca="false">SUMPRODUCT(($B$194:$B$210=$A214)*E$194:E$210*$C$194:$C$210)</f>
        <v>17.4609476907223</v>
      </c>
      <c r="F214" s="26" t="n">
        <f aca="false">SUMPRODUCT(($B$194:$B$210=$A214)*F$194:F$210*$C$194:$C$210)</f>
        <v>17.4609476907223</v>
      </c>
      <c r="G214" s="26" t="n">
        <f aca="false">SUMPRODUCT(($B$194:$B$210=$A214)*G$194:G$210*$C$194:$C$210)</f>
        <v>17.4609476907223</v>
      </c>
      <c r="H214" s="26" t="n">
        <f aca="false">SUMPRODUCT(($B$194:$B$210=$A214)*H$194:H$210*$C$194:$C$210)</f>
        <v>17.4609476907223</v>
      </c>
      <c r="I214" s="26" t="n">
        <f aca="false">SUMPRODUCT(($B$194:$B$210=$A214)*I$194:I$210*$C$194:$C$210)</f>
        <v>17.4609476907223</v>
      </c>
      <c r="J214" s="26" t="n">
        <f aca="false">SUMPRODUCT(($B$194:$B$210=$A214)*J$194:J$210*$C$194:$C$210)</f>
        <v>17.4609476907223</v>
      </c>
      <c r="K214" s="26" t="n">
        <f aca="false">SUMPRODUCT(($B$194:$B$210=$A214)*K$194:K$210*$C$194:$C$210)</f>
        <v>17.4609476907223</v>
      </c>
      <c r="L214" s="26" t="n">
        <f aca="false">SUMPRODUCT(($B$194:$B$210=$A214)*L$194:L$210*$C$194:$C$210)</f>
        <v>17.4609476907223</v>
      </c>
      <c r="M214" s="26" t="n">
        <f aca="false">SUMPRODUCT(($B$194:$B$210=$A214)*M$194:M$210*$C$194:$C$210)</f>
        <v>17.4609476907223</v>
      </c>
      <c r="N214" s="26" t="n">
        <f aca="false">SUMPRODUCT(($B$194:$B$210=$A214)*N$194:N$210*$C$194:$C$210)</f>
        <v>17.4609476907223</v>
      </c>
      <c r="O214" s="26" t="n">
        <f aca="false">SUMPRODUCT(($B$194:$B$210=$A214)*O$194:O$210*$C$194:$C$210)</f>
        <v>17.4609476907223</v>
      </c>
      <c r="P214" s="26" t="n">
        <f aca="false">SUMPRODUCT(($B$194:$B$210=$A214)*P$194:P$210*$C$194:$C$210)</f>
        <v>209.531372288667</v>
      </c>
    </row>
    <row r="215" customFormat="false" ht="15" hidden="false" customHeight="false" outlineLevel="0" collapsed="false">
      <c r="A215" s="5" t="s">
        <v>112</v>
      </c>
      <c r="D215" s="26" t="n">
        <f aca="false">SUMPRODUCT(($B$194:$B$210=$A215)*D$194:D$210*$C$194:$C$210)</f>
        <v>15.5095174389271</v>
      </c>
      <c r="E215" s="26" t="n">
        <f aca="false">SUMPRODUCT(($B$194:$B$210=$A215)*E$194:E$210*$C$194:$C$210)</f>
        <v>15.5095174389271</v>
      </c>
      <c r="F215" s="26" t="n">
        <f aca="false">SUMPRODUCT(($B$194:$B$210=$A215)*F$194:F$210*$C$194:$C$210)</f>
        <v>15.5095174389271</v>
      </c>
      <c r="G215" s="26" t="n">
        <f aca="false">SUMPRODUCT(($B$194:$B$210=$A215)*G$194:G$210*$C$194:$C$210)</f>
        <v>15.5095174389271</v>
      </c>
      <c r="H215" s="26" t="n">
        <f aca="false">SUMPRODUCT(($B$194:$B$210=$A215)*H$194:H$210*$C$194:$C$210)</f>
        <v>15.5095174389271</v>
      </c>
      <c r="I215" s="26" t="n">
        <f aca="false">SUMPRODUCT(($B$194:$B$210=$A215)*I$194:I$210*$C$194:$C$210)</f>
        <v>15.5095174389271</v>
      </c>
      <c r="J215" s="26" t="n">
        <f aca="false">SUMPRODUCT(($B$194:$B$210=$A215)*J$194:J$210*$C$194:$C$210)</f>
        <v>15.5095174389271</v>
      </c>
      <c r="K215" s="26" t="n">
        <f aca="false">SUMPRODUCT(($B$194:$B$210=$A215)*K$194:K$210*$C$194:$C$210)</f>
        <v>15.5095174389271</v>
      </c>
      <c r="L215" s="26" t="n">
        <f aca="false">SUMPRODUCT(($B$194:$B$210=$A215)*L$194:L$210*$C$194:$C$210)</f>
        <v>15.5095174389271</v>
      </c>
      <c r="M215" s="26" t="n">
        <f aca="false">SUMPRODUCT(($B$194:$B$210=$A215)*M$194:M$210*$C$194:$C$210)</f>
        <v>15.5095174389271</v>
      </c>
      <c r="N215" s="26" t="n">
        <f aca="false">SUMPRODUCT(($B$194:$B$210=$A215)*N$194:N$210*$C$194:$C$210)</f>
        <v>15.5095174389271</v>
      </c>
      <c r="O215" s="26" t="n">
        <f aca="false">SUMPRODUCT(($B$194:$B$210=$A215)*O$194:O$210*$C$194:$C$210)</f>
        <v>15.5095174389271</v>
      </c>
      <c r="P215" s="26" t="n">
        <f aca="false">SUMPRODUCT(($B$194:$B$210=$A215)*P$194:P$210*$C$194:$C$210)</f>
        <v>186.114209267126</v>
      </c>
    </row>
    <row r="216" customFormat="false" ht="15" hidden="false" customHeight="false" outlineLevel="0" collapsed="false">
      <c r="A216" s="5" t="s">
        <v>113</v>
      </c>
      <c r="D216" s="26" t="n">
        <f aca="false">SUMPRODUCT(($B$194:$B$210=$A216)*D$194:D$210*$C$194:$C$210)</f>
        <v>295.606281621374</v>
      </c>
      <c r="E216" s="26" t="n">
        <f aca="false">SUMPRODUCT(($B$194:$B$210=$A216)*E$194:E$210*$C$194:$C$210)</f>
        <v>437.312676861956</v>
      </c>
      <c r="F216" s="26" t="n">
        <f aca="false">SUMPRODUCT(($B$194:$B$210=$A216)*F$194:F$210*$C$194:$C$210)</f>
        <v>295.606281621374</v>
      </c>
      <c r="G216" s="26" t="n">
        <f aca="false">SUMPRODUCT(($B$194:$B$210=$A216)*G$194:G$210*$C$194:$C$210)</f>
        <v>295.606281621374</v>
      </c>
      <c r="H216" s="26" t="n">
        <f aca="false">SUMPRODUCT(($B$194:$B$210=$A216)*H$194:H$210*$C$194:$C$210)</f>
        <v>295.606281621374</v>
      </c>
      <c r="I216" s="26" t="n">
        <f aca="false">SUMPRODUCT(($B$194:$B$210=$A216)*I$194:I$210*$C$194:$C$210)</f>
        <v>295.606281621374</v>
      </c>
      <c r="J216" s="26" t="n">
        <f aca="false">SUMPRODUCT(($B$194:$B$210=$A216)*J$194:J$210*$C$194:$C$210)</f>
        <v>295.606281621374</v>
      </c>
      <c r="K216" s="26" t="n">
        <f aca="false">SUMPRODUCT(($B$194:$B$210=$A216)*K$194:K$210*$C$194:$C$210)</f>
        <v>295.606281621374</v>
      </c>
      <c r="L216" s="26" t="n">
        <f aca="false">SUMPRODUCT(($B$194:$B$210=$A216)*L$194:L$210*$C$194:$C$210)</f>
        <v>295.606281621374</v>
      </c>
      <c r="M216" s="26" t="n">
        <f aca="false">SUMPRODUCT(($B$194:$B$210=$A216)*M$194:M$210*$C$194:$C$210)</f>
        <v>295.606281621374</v>
      </c>
      <c r="N216" s="26" t="n">
        <f aca="false">SUMPRODUCT(($B$194:$B$210=$A216)*N$194:N$210*$C$194:$C$210)</f>
        <v>295.606281621374</v>
      </c>
      <c r="O216" s="26" t="n">
        <f aca="false">SUMPRODUCT(($B$194:$B$210=$A216)*O$194:O$210*$C$194:$C$210)</f>
        <v>295.606281621374</v>
      </c>
      <c r="P216" s="26" t="n">
        <f aca="false">SUMPRODUCT(($B$194:$B$210=$A216)*P$194:P$210*$C$194:$C$210)</f>
        <v>3688.98177469707</v>
      </c>
    </row>
    <row r="217" customFormat="false" ht="15" hidden="false" customHeight="false" outlineLevel="0" collapsed="false">
      <c r="A217" s="5" t="s">
        <v>114</v>
      </c>
      <c r="D217" s="26" t="n">
        <f aca="false">SUMPRODUCT(($B$194:$B$210=$A217)*D$194:D$210*$C$194:$C$210)</f>
        <v>245.529807662071</v>
      </c>
      <c r="E217" s="26" t="n">
        <f aca="false">SUMPRODUCT(($B$194:$B$210=$A217)*E$194:E$210*$C$194:$C$210)</f>
        <v>245.529807662071</v>
      </c>
      <c r="F217" s="26" t="n">
        <f aca="false">SUMPRODUCT(($B$194:$B$210=$A217)*F$194:F$210*$C$194:$C$210)</f>
        <v>245.529807662071</v>
      </c>
      <c r="G217" s="26" t="n">
        <f aca="false">SUMPRODUCT(($B$194:$B$210=$A217)*G$194:G$210*$C$194:$C$210)</f>
        <v>245.529807662071</v>
      </c>
      <c r="H217" s="26" t="n">
        <f aca="false">SUMPRODUCT(($B$194:$B$210=$A217)*H$194:H$210*$C$194:$C$210)</f>
        <v>245.529807662071</v>
      </c>
      <c r="I217" s="26" t="n">
        <f aca="false">SUMPRODUCT(($B$194:$B$210=$A217)*I$194:I$210*$C$194:$C$210)</f>
        <v>245.529807662071</v>
      </c>
      <c r="J217" s="26" t="n">
        <f aca="false">SUMPRODUCT(($B$194:$B$210=$A217)*J$194:J$210*$C$194:$C$210)</f>
        <v>245.529807662071</v>
      </c>
      <c r="K217" s="26" t="n">
        <f aca="false">SUMPRODUCT(($B$194:$B$210=$A217)*K$194:K$210*$C$194:$C$210)</f>
        <v>245.529807662071</v>
      </c>
      <c r="L217" s="26" t="n">
        <f aca="false">SUMPRODUCT(($B$194:$B$210=$A217)*L$194:L$210*$C$194:$C$210)</f>
        <v>245.529807662071</v>
      </c>
      <c r="M217" s="26" t="n">
        <f aca="false">SUMPRODUCT(($B$194:$B$210=$A217)*M$194:M$210*$C$194:$C$210)</f>
        <v>245.529807662071</v>
      </c>
      <c r="N217" s="26" t="n">
        <f aca="false">SUMPRODUCT(($B$194:$B$210=$A217)*N$194:N$210*$C$194:$C$210)</f>
        <v>245.529807662071</v>
      </c>
      <c r="O217" s="26" t="n">
        <f aca="false">SUMPRODUCT(($B$194:$B$210=$A217)*O$194:O$210*$C$194:$C$210)</f>
        <v>245.529807662071</v>
      </c>
      <c r="P217" s="26" t="n">
        <f aca="false">SUMPRODUCT(($B$194:$B$210=$A217)*P$194:P$210*$C$194:$C$210)</f>
        <v>2946.35769194485</v>
      </c>
    </row>
    <row r="218" customFormat="false" ht="15" hidden="false" customHeight="false" outlineLevel="0" collapsed="false">
      <c r="A218" s="5" t="s">
        <v>115</v>
      </c>
      <c r="D218" s="26" t="n">
        <f aca="false">SUMPRODUCT(($B$194:$B$210=$A218)*D$194:D$210*$C$194:$C$210)</f>
        <v>139.742492916085</v>
      </c>
      <c r="E218" s="26" t="n">
        <f aca="false">SUMPRODUCT(($B$194:$B$210=$A218)*E$194:E$210*$C$194:$C$210)</f>
        <v>277.77828638361</v>
      </c>
      <c r="F218" s="26" t="n">
        <f aca="false">SUMPRODUCT(($B$194:$B$210=$A218)*F$194:F$210*$C$194:$C$210)</f>
        <v>139.742492916085</v>
      </c>
      <c r="G218" s="26" t="n">
        <f aca="false">SUMPRODUCT(($B$194:$B$210=$A218)*G$194:G$210*$C$194:$C$210)</f>
        <v>139.742492916085</v>
      </c>
      <c r="H218" s="26" t="n">
        <f aca="false">SUMPRODUCT(($B$194:$B$210=$A218)*H$194:H$210*$C$194:$C$210)</f>
        <v>139.742492916085</v>
      </c>
      <c r="I218" s="26" t="n">
        <f aca="false">SUMPRODUCT(($B$194:$B$210=$A218)*I$194:I$210*$C$194:$C$210)</f>
        <v>139.742492916085</v>
      </c>
      <c r="J218" s="26" t="n">
        <f aca="false">SUMPRODUCT(($B$194:$B$210=$A218)*J$194:J$210*$C$194:$C$210)</f>
        <v>139.742492916085</v>
      </c>
      <c r="K218" s="26" t="n">
        <f aca="false">SUMPRODUCT(($B$194:$B$210=$A218)*K$194:K$210*$C$194:$C$210)</f>
        <v>139.742492916085</v>
      </c>
      <c r="L218" s="26" t="n">
        <f aca="false">SUMPRODUCT(($B$194:$B$210=$A218)*L$194:L$210*$C$194:$C$210)</f>
        <v>139.742492916085</v>
      </c>
      <c r="M218" s="26" t="n">
        <f aca="false">SUMPRODUCT(($B$194:$B$210=$A218)*M$194:M$210*$C$194:$C$210)</f>
        <v>139.742492916085</v>
      </c>
      <c r="N218" s="26" t="n">
        <f aca="false">SUMPRODUCT(($B$194:$B$210=$A218)*N$194:N$210*$C$194:$C$210)</f>
        <v>139.742492916085</v>
      </c>
      <c r="O218" s="26" t="n">
        <f aca="false">SUMPRODUCT(($B$194:$B$210=$A218)*O$194:O$210*$C$194:$C$210)</f>
        <v>139.742492916085</v>
      </c>
      <c r="P218" s="26" t="n">
        <f aca="false">SUMPRODUCT(($B$194:$B$210=$A218)*P$194:P$210*$C$194:$C$210)</f>
        <v>1814.94570846055</v>
      </c>
    </row>
    <row r="219" customFormat="false" ht="15" hidden="false" customHeight="false" outlineLevel="0" collapsed="false">
      <c r="A219" s="5" t="s">
        <v>116</v>
      </c>
      <c r="D219" s="26" t="n">
        <f aca="false">SUMPRODUCT(($B$194:$B$210=$A219)*D$194:D$210*$C$194:$C$210)</f>
        <v>1059.38936516444</v>
      </c>
      <c r="E219" s="26" t="n">
        <f aca="false">SUMPRODUCT(($B$194:$B$210=$A219)*E$194:E$210*$C$194:$C$210)</f>
        <v>1659.60709563052</v>
      </c>
      <c r="F219" s="26" t="n">
        <f aca="false">SUMPRODUCT(($B$194:$B$210=$A219)*F$194:F$210*$C$194:$C$210)</f>
        <v>1059.38936516444</v>
      </c>
      <c r="G219" s="26" t="n">
        <f aca="false">SUMPRODUCT(($B$194:$B$210=$A219)*G$194:G$210*$C$194:$C$210)</f>
        <v>1059.38936516444</v>
      </c>
      <c r="H219" s="26" t="n">
        <f aca="false">SUMPRODUCT(($B$194:$B$210=$A219)*H$194:H$210*$C$194:$C$210)</f>
        <v>1059.38936516444</v>
      </c>
      <c r="I219" s="26" t="n">
        <f aca="false">SUMPRODUCT(($B$194:$B$210=$A219)*I$194:I$210*$C$194:$C$210)</f>
        <v>1059.38936516444</v>
      </c>
      <c r="J219" s="26" t="n">
        <f aca="false">SUMPRODUCT(($B$194:$B$210=$A219)*J$194:J$210*$C$194:$C$210)</f>
        <v>1059.38936516444</v>
      </c>
      <c r="K219" s="26" t="n">
        <f aca="false">SUMPRODUCT(($B$194:$B$210=$A219)*K$194:K$210*$C$194:$C$210)</f>
        <v>1059.38936516444</v>
      </c>
      <c r="L219" s="26" t="n">
        <f aca="false">SUMPRODUCT(($B$194:$B$210=$A219)*L$194:L$210*$C$194:$C$210)</f>
        <v>1059.38936516444</v>
      </c>
      <c r="M219" s="26" t="n">
        <f aca="false">SUMPRODUCT(($B$194:$B$210=$A219)*M$194:M$210*$C$194:$C$210)</f>
        <v>1059.38936516444</v>
      </c>
      <c r="N219" s="26" t="n">
        <f aca="false">SUMPRODUCT(($B$194:$B$210=$A219)*N$194:N$210*$C$194:$C$210)</f>
        <v>1059.38936516444</v>
      </c>
      <c r="O219" s="26" t="n">
        <f aca="false">SUMPRODUCT(($B$194:$B$210=$A219)*O$194:O$210*$C$194:$C$210)</f>
        <v>1059.38936516444</v>
      </c>
      <c r="P219" s="26" t="n">
        <f aca="false">SUMPRODUCT(($B$194:$B$210=$A219)*P$194:P$210*$C$194:$C$210)</f>
        <v>13312.8901124394</v>
      </c>
    </row>
    <row r="220" customFormat="false" ht="15" hidden="false" customHeight="false" outlineLevel="0" collapsed="false">
      <c r="A220" s="5" t="s">
        <v>117</v>
      </c>
      <c r="D220" s="26" t="n">
        <f aca="false">SUMPRODUCT(($B$194:$B$210=$A220)*D$194:D$210*$C$194:$C$210)</f>
        <v>44.4947776713973</v>
      </c>
      <c r="E220" s="26" t="n">
        <f aca="false">SUMPRODUCT(($B$194:$B$210=$A220)*E$194:E$210*$C$194:$C$210)</f>
        <v>44.4947776713973</v>
      </c>
      <c r="F220" s="26" t="n">
        <f aca="false">SUMPRODUCT(($B$194:$B$210=$A220)*F$194:F$210*$C$194:$C$210)</f>
        <v>44.4947776713973</v>
      </c>
      <c r="G220" s="26" t="n">
        <f aca="false">SUMPRODUCT(($B$194:$B$210=$A220)*G$194:G$210*$C$194:$C$210)</f>
        <v>44.4947776713973</v>
      </c>
      <c r="H220" s="26" t="n">
        <f aca="false">SUMPRODUCT(($B$194:$B$210=$A220)*H$194:H$210*$C$194:$C$210)</f>
        <v>44.4947776713973</v>
      </c>
      <c r="I220" s="26" t="n">
        <f aca="false">SUMPRODUCT(($B$194:$B$210=$A220)*I$194:I$210*$C$194:$C$210)</f>
        <v>44.4947776713973</v>
      </c>
      <c r="J220" s="26" t="n">
        <f aca="false">SUMPRODUCT(($B$194:$B$210=$A220)*J$194:J$210*$C$194:$C$210)</f>
        <v>44.4947776713973</v>
      </c>
      <c r="K220" s="26" t="n">
        <f aca="false">SUMPRODUCT(($B$194:$B$210=$A220)*K$194:K$210*$C$194:$C$210)</f>
        <v>44.4947776713973</v>
      </c>
      <c r="L220" s="26" t="n">
        <f aca="false">SUMPRODUCT(($B$194:$B$210=$A220)*L$194:L$210*$C$194:$C$210)</f>
        <v>44.4947776713973</v>
      </c>
      <c r="M220" s="26" t="n">
        <f aca="false">SUMPRODUCT(($B$194:$B$210=$A220)*M$194:M$210*$C$194:$C$210)</f>
        <v>44.4947776713973</v>
      </c>
      <c r="N220" s="26" t="n">
        <f aca="false">SUMPRODUCT(($B$194:$B$210=$A220)*N$194:N$210*$C$194:$C$210)</f>
        <v>44.4947776713973</v>
      </c>
      <c r="O220" s="26" t="n">
        <f aca="false">SUMPRODUCT(($B$194:$B$210=$A220)*O$194:O$210*$C$194:$C$210)</f>
        <v>44.4947776713973</v>
      </c>
      <c r="P220" s="26" t="n">
        <f aca="false">SUMPRODUCT(($B$194:$B$210=$A220)*P$194:P$210*$C$194:$C$210)</f>
        <v>533.937332056768</v>
      </c>
    </row>
    <row r="221" customFormat="false" ht="15" hidden="false" customHeight="false" outlineLevel="0" collapsed="false">
      <c r="A221" s="4" t="s">
        <v>432</v>
      </c>
      <c r="D221" s="27" t="n">
        <f aca="false">SUMPRODUCT(D$194:D$210*parametros_recargas!$D$55:$D$71)</f>
        <v>449.681440833534</v>
      </c>
      <c r="E221" s="27" t="n">
        <f aca="false">SUMPRODUCT(E$194:E$210*parametros_recargas!$D$55:$D$71)</f>
        <v>499.115532498813</v>
      </c>
      <c r="F221" s="27" t="n">
        <f aca="false">SUMPRODUCT(F$194:F$210*parametros_recargas!$D$55:$D$71)</f>
        <v>449.681440833534</v>
      </c>
      <c r="G221" s="27" t="n">
        <f aca="false">SUMPRODUCT(G$194:G$210*parametros_recargas!$D$55:$D$71)</f>
        <v>449.681440833534</v>
      </c>
      <c r="H221" s="27" t="n">
        <f aca="false">SUMPRODUCT(H$194:H$210*parametros_recargas!$D$55:$D$71)</f>
        <v>449.681440833534</v>
      </c>
      <c r="I221" s="27" t="n">
        <f aca="false">SUMPRODUCT(I$194:I$210*parametros_recargas!$D$55:$D$71)</f>
        <v>449.681440833534</v>
      </c>
      <c r="J221" s="27" t="n">
        <f aca="false">SUMPRODUCT(J$194:J$210*parametros_recargas!$D$55:$D$71)</f>
        <v>449.681440833534</v>
      </c>
      <c r="K221" s="27" t="n">
        <f aca="false">SUMPRODUCT(K$194:K$210*parametros_recargas!$D$55:$D$71)</f>
        <v>449.681440833534</v>
      </c>
      <c r="L221" s="27" t="n">
        <f aca="false">SUMPRODUCT(L$194:L$210*parametros_recargas!$D$55:$D$71)</f>
        <v>449.681440833534</v>
      </c>
      <c r="M221" s="27" t="n">
        <f aca="false">SUMPRODUCT(M$194:M$210*parametros_recargas!$D$55:$D$71)</f>
        <v>449.681440833534</v>
      </c>
      <c r="N221" s="27" t="n">
        <f aca="false">SUMPRODUCT(N$194:N$210*parametros_recargas!$D$55:$D$71)</f>
        <v>449.681440833534</v>
      </c>
      <c r="O221" s="27" t="n">
        <f aca="false">SUMPRODUCT(O$194:O$210*parametros_recargas!$D$55:$D$71)</f>
        <v>449.681440833534</v>
      </c>
      <c r="P221" s="27" t="n">
        <f aca="false">SUMPRODUCT(P$194:P$210*parametros_recargas!$D$55:$D$71)</f>
        <v>5445.61138166768</v>
      </c>
    </row>
    <row r="222" customFormat="false" ht="15" hidden="false" customHeight="false" outlineLevel="0" collapsed="false">
      <c r="A222" s="4" t="s">
        <v>433</v>
      </c>
      <c r="D222" s="27" t="n">
        <f aca="false">SUMPRODUCT(sobrestock_sustitutos!$H$73:$H$73,--(sobrestock_sustitutos!$F$30:$F$30="Fábrica: cilindro vacío"),parametros_recargas!$C$55:$C$55)*parametros_recargas!E$109+SUMPRODUCT(sobrestock_sustitutos!$H$74:$H$76,--(sobrestock_sustitutos!$F$31:$F$33="Fábrica: cilindro vacío"),parametros_recargas!$C$56:$C$58)*parametros_recargas!E$110+SUMPRODUCT(sobrestock_sustitutos!$H$86:$H$89,--(sobrestock_sustitutos!$F$43:$F$46="Fábrica: cilindro vacío"),parametros_recargas!$C$68:$C$71)*parametros_recargas!E$111</f>
        <v>19.3401218032</v>
      </c>
      <c r="E222" s="27" t="n">
        <f aca="false">SUMPRODUCT(sobrestock_sustitutos!$H$73:$H$73,--(sobrestock_sustitutos!$F$30:$F$30="Fábrica: cilindro vacío"),parametros_recargas!$C$55:$C$55)*parametros_recargas!F$109+SUMPRODUCT(sobrestock_sustitutos!$H$74:$H$76,--(sobrestock_sustitutos!$F$31:$F$33="Fábrica: cilindro vacío"),parametros_recargas!$C$56:$C$58)*parametros_recargas!F$110+SUMPRODUCT(sobrestock_sustitutos!$H$86:$H$89,--(sobrestock_sustitutos!$F$43:$F$46="Fábrica: cilindro vacío"),parametros_recargas!$C$68:$C$71)*parametros_recargas!F$111</f>
        <v>15.586083944</v>
      </c>
      <c r="F222" s="27" t="n">
        <f aca="false">SUMPRODUCT(sobrestock_sustitutos!$H$73:$H$73,--(sobrestock_sustitutos!$F$30:$F$30="Fábrica: cilindro vacío"),parametros_recargas!$C$55:$C$55)*parametros_recargas!G$109+SUMPRODUCT(sobrestock_sustitutos!$H$74:$H$76,--(sobrestock_sustitutos!$F$31:$F$33="Fábrica: cilindro vacío"),parametros_recargas!$C$56:$C$58)*parametros_recargas!G$110+SUMPRODUCT(sobrestock_sustitutos!$H$86:$H$89,--(sobrestock_sustitutos!$F$43:$F$46="Fábrica: cilindro vacío"),parametros_recargas!$C$68:$C$71)*parametros_recargas!G$111</f>
        <v>16.7281407328</v>
      </c>
      <c r="G222" s="27" t="n">
        <f aca="false">SUMPRODUCT(sobrestock_sustitutos!$H$73:$H$73,--(sobrestock_sustitutos!$F$30:$F$30="Fábrica: cilindro vacío"),parametros_recargas!$C$55:$C$55)*parametros_recargas!H$109+SUMPRODUCT(sobrestock_sustitutos!$H$74:$H$76,--(sobrestock_sustitutos!$F$31:$F$33="Fábrica: cilindro vacío"),parametros_recargas!$C$56:$C$58)*parametros_recargas!H$110+SUMPRODUCT(sobrestock_sustitutos!$H$86:$H$89,--(sobrestock_sustitutos!$F$43:$F$46="Fábrica: cilindro vacío"),parametros_recargas!$C$68:$C$71)*parametros_recargas!H$111</f>
        <v>16.7281407328</v>
      </c>
      <c r="H222" s="27" t="n">
        <f aca="false">SUMPRODUCT(sobrestock_sustitutos!$H$73:$H$73,--(sobrestock_sustitutos!$F$30:$F$30="Fábrica: cilindro vacío"),parametros_recargas!$C$55:$C$55)*parametros_recargas!I$109+SUMPRODUCT(sobrestock_sustitutos!$H$74:$H$76,--(sobrestock_sustitutos!$F$31:$F$33="Fábrica: cilindro vacío"),parametros_recargas!$C$56:$C$58)*parametros_recargas!I$110+SUMPRODUCT(sobrestock_sustitutos!$H$86:$H$89,--(sobrestock_sustitutos!$F$43:$F$46="Fábrica: cilindro vacío"),parametros_recargas!$C$68:$C$71)*parametros_recargas!I$111</f>
        <v>15.8303407328</v>
      </c>
      <c r="I222" s="27" t="n">
        <f aca="false">SUMPRODUCT(sobrestock_sustitutos!$H$73:$H$73,--(sobrestock_sustitutos!$F$30:$F$30="Fábrica: cilindro vacío"),parametros_recargas!$C$55:$C$55)*parametros_recargas!J$109+SUMPRODUCT(sobrestock_sustitutos!$H$74:$H$76,--(sobrestock_sustitutos!$F$31:$F$33="Fábrica: cilindro vacío"),parametros_recargas!$C$56:$C$58)*parametros_recargas!J$110+SUMPRODUCT(sobrestock_sustitutos!$H$86:$H$89,--(sobrestock_sustitutos!$F$43:$F$46="Fábrica: cilindro vacío"),parametros_recargas!$C$68:$C$71)*parametros_recargas!J$111</f>
        <v>14.7697028736</v>
      </c>
      <c r="J222" s="27" t="n">
        <f aca="false">SUMPRODUCT(sobrestock_sustitutos!$H$73:$H$73,--(sobrestock_sustitutos!$F$30:$F$30="Fábrica: cilindro vacío"),parametros_recargas!$C$55:$C$55)*parametros_recargas!K$109+SUMPRODUCT(sobrestock_sustitutos!$H$74:$H$76,--(sobrestock_sustitutos!$F$31:$F$33="Fábrica: cilindro vacío"),parametros_recargas!$C$56:$C$58)*parametros_recargas!K$110+SUMPRODUCT(sobrestock_sustitutos!$H$86:$H$89,--(sobrestock_sustitutos!$F$43:$F$46="Fábrica: cilindro vacío"),parametros_recargas!$C$68:$C$71)*parametros_recargas!K$111</f>
        <v>15.8303407328</v>
      </c>
      <c r="K222" s="27" t="n">
        <f aca="false">SUMPRODUCT(sobrestock_sustitutos!$H$73:$H$73,--(sobrestock_sustitutos!$F$30:$F$30="Fábrica: cilindro vacío"),parametros_recargas!$C$55:$C$55)*parametros_recargas!L$109+SUMPRODUCT(sobrestock_sustitutos!$H$74:$H$76,--(sobrestock_sustitutos!$F$31:$F$33="Fábrica: cilindro vacío"),parametros_recargas!$C$56:$C$58)*parametros_recargas!L$110+SUMPRODUCT(sobrestock_sustitutos!$H$86:$H$89,--(sobrestock_sustitutos!$F$43:$F$46="Fábrica: cilindro vacío"),parametros_recargas!$C$68:$C$71)*parametros_recargas!L$111</f>
        <v>15.8303407328</v>
      </c>
      <c r="L222" s="27" t="n">
        <f aca="false">SUMPRODUCT(sobrestock_sustitutos!$H$73:$H$73,--(sobrestock_sustitutos!$F$30:$F$30="Fábrica: cilindro vacío"),parametros_recargas!$C$55:$C$55)*parametros_recargas!M$109+SUMPRODUCT(sobrestock_sustitutos!$H$74:$H$76,--(sobrestock_sustitutos!$F$31:$F$33="Fábrica: cilindro vacío"),parametros_recargas!$C$56:$C$58)*parametros_recargas!M$110+SUMPRODUCT(sobrestock_sustitutos!$H$86:$H$89,--(sobrestock_sustitutos!$F$43:$F$46="Fábrica: cilindro vacío"),parametros_recargas!$C$68:$C$71)*parametros_recargas!M$111</f>
        <v>15.7489218032</v>
      </c>
      <c r="M222" s="27" t="n">
        <f aca="false">SUMPRODUCT(sobrestock_sustitutos!$H$73:$H$73,--(sobrestock_sustitutos!$F$30:$F$30="Fábrica: cilindro vacío"),parametros_recargas!$C$55:$C$55)*parametros_recargas!N$109+SUMPRODUCT(sobrestock_sustitutos!$H$74:$H$76,--(sobrestock_sustitutos!$F$31:$F$33="Fábrica: cilindro vacío"),parametros_recargas!$C$56:$C$58)*parametros_recargas!N$110+SUMPRODUCT(sobrestock_sustitutos!$H$86:$H$89,--(sobrestock_sustitutos!$F$43:$F$46="Fábrica: cilindro vacío"),parametros_recargas!$C$68:$C$71)*parametros_recargas!N$111</f>
        <v>14.688283944</v>
      </c>
      <c r="N222" s="27" t="n">
        <f aca="false">SUMPRODUCT(sobrestock_sustitutos!$H$73:$H$73,--(sobrestock_sustitutos!$F$30:$F$30="Fábrica: cilindro vacío"),parametros_recargas!$C$55:$C$55)*parametros_recargas!O$109+SUMPRODUCT(sobrestock_sustitutos!$H$74:$H$76,--(sobrestock_sustitutos!$F$31:$F$33="Fábrica: cilindro vacío"),parametros_recargas!$C$56:$C$58)*parametros_recargas!O$110+SUMPRODUCT(sobrestock_sustitutos!$H$86:$H$89,--(sobrestock_sustitutos!$F$43:$F$46="Fábrica: cilindro vacío"),parametros_recargas!$C$68:$C$71)*parametros_recargas!O$111</f>
        <v>13.7090650144</v>
      </c>
      <c r="O222" s="27" t="n">
        <f aca="false">SUMPRODUCT(sobrestock_sustitutos!$H$73:$H$73,--(sobrestock_sustitutos!$F$30:$F$30="Fábrica: cilindro vacío"),parametros_recargas!$C$55:$C$55)*parametros_recargas!P$109+SUMPRODUCT(sobrestock_sustitutos!$H$74:$H$76,--(sobrestock_sustitutos!$F$31:$F$33="Fábrica: cilindro vacío"),parametros_recargas!$C$56:$C$58)*parametros_recargas!P$110+SUMPRODUCT(sobrestock_sustitutos!$H$86:$H$89,--(sobrestock_sustitutos!$F$43:$F$46="Fábrica: cilindro vacío"),parametros_recargas!$C$68:$C$71)*parametros_recargas!P$111</f>
        <v>21.0543028736</v>
      </c>
      <c r="P222" s="8" t="n">
        <f aca="false">SUM(D222:O222)</f>
        <v>195.84378592</v>
      </c>
    </row>
    <row r="225" customFormat="false" ht="15" hidden="false" customHeight="false" outlineLevel="0" collapsed="false">
      <c r="A225" s="28" t="n">
        <v>2033</v>
      </c>
      <c r="B225" s="6" t="s">
        <v>428</v>
      </c>
      <c r="C225" s="6" t="s">
        <v>429</v>
      </c>
      <c r="D225" s="6" t="s">
        <v>175</v>
      </c>
      <c r="E225" s="6" t="s">
        <v>176</v>
      </c>
      <c r="F225" s="6" t="s">
        <v>177</v>
      </c>
      <c r="G225" s="6" t="s">
        <v>178</v>
      </c>
      <c r="H225" s="6" t="s">
        <v>179</v>
      </c>
      <c r="I225" s="6" t="s">
        <v>180</v>
      </c>
      <c r="J225" s="6" t="s">
        <v>181</v>
      </c>
      <c r="K225" s="6" t="s">
        <v>182</v>
      </c>
      <c r="L225" s="6" t="s">
        <v>183</v>
      </c>
      <c r="M225" s="6" t="s">
        <v>184</v>
      </c>
      <c r="N225" s="6" t="s">
        <v>185</v>
      </c>
      <c r="O225" s="6" t="s">
        <v>186</v>
      </c>
      <c r="P225" s="6" t="s">
        <v>85</v>
      </c>
    </row>
    <row r="226" customFormat="false" ht="15" hidden="false" customHeight="false" outlineLevel="0" collapsed="false">
      <c r="A226" s="10" t="str">
        <f aca="false">parametros_recargas!A55</f>
        <v>ABC 1 kg</v>
      </c>
      <c r="B226" s="10" t="str">
        <f aca="false">parametros_recargas!B55</f>
        <v>ABC</v>
      </c>
      <c r="C226" s="25" t="n">
        <f aca="false">parametros_recargas!C55</f>
        <v>1</v>
      </c>
      <c r="D226" s="26" t="n">
        <f aca="false">datos_base!$I$2*parametros_recargas!E$55+sobrestock_sustitutos!$H$51/12</f>
        <v>711.97916529244</v>
      </c>
      <c r="E226" s="26" t="n">
        <f aca="false">datos_base!$I$2*parametros_recargas!F$55+sobrestock_sustitutos!$H$51/12</f>
        <v>9322.12439980131</v>
      </c>
      <c r="F226" s="26" t="n">
        <f aca="false">datos_base!$I$2*parametros_recargas!G$55+sobrestock_sustitutos!$H$51/12</f>
        <v>9377.44264224373</v>
      </c>
      <c r="G226" s="26" t="n">
        <f aca="false">datos_base!$I$2*parametros_recargas!H$55+sobrestock_sustitutos!$H$51/12</f>
        <v>9444.45951501076</v>
      </c>
      <c r="H226" s="26" t="n">
        <f aca="false">datos_base!$I$2*parametros_recargas!I$55+sobrestock_sustitutos!$H$51/12</f>
        <v>9447.95798181483</v>
      </c>
      <c r="I226" s="26" t="n">
        <f aca="false">datos_base!$I$2*parametros_recargas!J$55+sobrestock_sustitutos!$H$51/12</f>
        <v>9416.09766707601</v>
      </c>
      <c r="J226" s="26" t="n">
        <f aca="false">datos_base!$I$2*parametros_recargas!K$55+sobrestock_sustitutos!$H$51/12</f>
        <v>9516.30952977879</v>
      </c>
      <c r="K226" s="26" t="n">
        <f aca="false">datos_base!$I$2*parametros_recargas!L$55+sobrestock_sustitutos!$H$51/12</f>
        <v>9440.89026997655</v>
      </c>
      <c r="L226" s="26" t="n">
        <f aca="false">datos_base!$I$2*parametros_recargas!M$55+sobrestock_sustitutos!$H$51/12</f>
        <v>9452.64956735555</v>
      </c>
      <c r="M226" s="26" t="n">
        <f aca="false">datos_base!$I$2*parametros_recargas!N$55+sobrestock_sustitutos!$H$51/12</f>
        <v>9413.77209665712</v>
      </c>
      <c r="N226" s="26" t="n">
        <f aca="false">datos_base!$I$2*parametros_recargas!O$55+sobrestock_sustitutos!$H$51/12</f>
        <v>9246.35124884836</v>
      </c>
      <c r="O226" s="26" t="n">
        <f aca="false">datos_base!$I$2*parametros_recargas!P$55+sobrestock_sustitutos!$H$51/12</f>
        <v>257.067257829953</v>
      </c>
      <c r="P226" s="8" t="n">
        <f aca="false">SUM(D226:O226)</f>
        <v>95047.1013416854</v>
      </c>
    </row>
    <row r="227" customFormat="false" ht="15" hidden="false" customHeight="false" outlineLevel="0" collapsed="false">
      <c r="A227" s="10" t="str">
        <f aca="false">parametros_recargas!A56</f>
        <v>ABC 2,5 kg</v>
      </c>
      <c r="B227" s="10" t="str">
        <f aca="false">parametros_recargas!B56</f>
        <v>ABC</v>
      </c>
      <c r="C227" s="25" t="n">
        <f aca="false">parametros_recargas!C56</f>
        <v>1</v>
      </c>
      <c r="D227" s="26" t="n">
        <f aca="false">datos_base!$I$3*parametros_recargas!E$56+sobrestock_sustitutos!$H$52/12</f>
        <v>634.428446274371</v>
      </c>
      <c r="E227" s="26" t="n">
        <f aca="false">datos_base!$I$3*parametros_recargas!F$56+sobrestock_sustitutos!$H$52/12</f>
        <v>1074.44000615599</v>
      </c>
      <c r="F227" s="26" t="n">
        <f aca="false">datos_base!$I$3*parametros_recargas!G$56+sobrestock_sustitutos!$H$52/12</f>
        <v>634.428446274371</v>
      </c>
      <c r="G227" s="26" t="n">
        <f aca="false">datos_base!$I$3*parametros_recargas!H$56+sobrestock_sustitutos!$H$52/12</f>
        <v>634.428446274371</v>
      </c>
      <c r="H227" s="26" t="n">
        <f aca="false">datos_base!$I$3*parametros_recargas!I$56+sobrestock_sustitutos!$H$52/12</f>
        <v>634.428446274371</v>
      </c>
      <c r="I227" s="26" t="n">
        <f aca="false">datos_base!$I$3*parametros_recargas!J$56+sobrestock_sustitutos!$H$52/12</f>
        <v>634.428446274371</v>
      </c>
      <c r="J227" s="26" t="n">
        <f aca="false">datos_base!$I$3*parametros_recargas!K$56+sobrestock_sustitutos!$H$52/12</f>
        <v>634.428446274371</v>
      </c>
      <c r="K227" s="26" t="n">
        <f aca="false">datos_base!$I$3*parametros_recargas!L$56+sobrestock_sustitutos!$H$52/12</f>
        <v>634.428446274371</v>
      </c>
      <c r="L227" s="26" t="n">
        <f aca="false">datos_base!$I$3*parametros_recargas!M$56+sobrestock_sustitutos!$H$52/12</f>
        <v>634.428446274371</v>
      </c>
      <c r="M227" s="26" t="n">
        <f aca="false">datos_base!$I$3*parametros_recargas!N$56+sobrestock_sustitutos!$H$52/12</f>
        <v>634.428446274371</v>
      </c>
      <c r="N227" s="26" t="n">
        <f aca="false">datos_base!$I$3*parametros_recargas!O$56+sobrestock_sustitutos!$H$52/12</f>
        <v>634.428446274371</v>
      </c>
      <c r="O227" s="26" t="n">
        <f aca="false">datos_base!$I$3*parametros_recargas!P$56+sobrestock_sustitutos!$H$52/12</f>
        <v>634.428446274371</v>
      </c>
      <c r="P227" s="8" t="n">
        <f aca="false">SUM(D227:O227)</f>
        <v>8053.15291517406</v>
      </c>
    </row>
    <row r="228" customFormat="false" ht="15" hidden="false" customHeight="false" outlineLevel="0" collapsed="false">
      <c r="A228" s="10" t="str">
        <f aca="false">parametros_recargas!A57</f>
        <v>ABC 5 kg</v>
      </c>
      <c r="B228" s="10" t="str">
        <f aca="false">parametros_recargas!B57</f>
        <v>ABC</v>
      </c>
      <c r="C228" s="25" t="n">
        <f aca="false">parametros_recargas!C57</f>
        <v>1</v>
      </c>
      <c r="D228" s="26" t="n">
        <f aca="false">datos_base!$I$4*parametros_recargas!E$57+sobrestock_sustitutos!$H$53/12</f>
        <v>3707.60186303313</v>
      </c>
      <c r="E228" s="26" t="n">
        <f aca="false">datos_base!$I$4*parametros_recargas!F$57+sobrestock_sustitutos!$H$53/12</f>
        <v>5696.07570758427</v>
      </c>
      <c r="F228" s="26" t="n">
        <f aca="false">datos_base!$I$4*parametros_recargas!G$57+sobrestock_sustitutos!$H$53/12</f>
        <v>4006.42067335714</v>
      </c>
      <c r="G228" s="26" t="n">
        <f aca="false">datos_base!$I$4*parametros_recargas!H$57+sobrestock_sustitutos!$H$53/12</f>
        <v>4008.7316752147</v>
      </c>
      <c r="H228" s="26" t="n">
        <f aca="false">datos_base!$I$4*parametros_recargas!I$57+sobrestock_sustitutos!$H$53/12</f>
        <v>4008.85231592724</v>
      </c>
      <c r="I228" s="26" t="n">
        <f aca="false">datos_base!$I$4*parametros_recargas!J$57+sobrestock_sustitutos!$H$53/12</f>
        <v>4007.75364862893</v>
      </c>
      <c r="J228" s="26" t="n">
        <f aca="false">datos_base!$I$4*parametros_recargas!K$57+sobrestock_sustitutos!$H$53/12</f>
        <v>4011.20934256531</v>
      </c>
      <c r="K228" s="26" t="n">
        <f aca="false">datos_base!$I$4*parametros_recargas!L$57+sobrestock_sustitutos!$H$53/12</f>
        <v>4008.6085937941</v>
      </c>
      <c r="L228" s="26" t="n">
        <f aca="false">datos_base!$I$4*parametros_recargas!M$57+sobrestock_sustitutos!$H$53/12</f>
        <v>4009.01410000417</v>
      </c>
      <c r="M228" s="26" t="n">
        <f aca="false">datos_base!$I$4*parametros_recargas!N$57+sobrestock_sustitutos!$H$53/12</f>
        <v>4007.67345393563</v>
      </c>
      <c r="N228" s="26" t="n">
        <f aca="false">datos_base!$I$4*parametros_recargas!O$57+sobrestock_sustitutos!$H$53/12</f>
        <v>4001.90013336267</v>
      </c>
      <c r="O228" s="26" t="n">
        <f aca="false">datos_base!$I$4*parametros_recargas!P$57+sobrestock_sustitutos!$H$53/12</f>
        <v>3691.91473500453</v>
      </c>
      <c r="P228" s="8" t="n">
        <f aca="false">SUM(D228:O228)</f>
        <v>49165.7562424118</v>
      </c>
    </row>
    <row r="229" customFormat="false" ht="15" hidden="false" customHeight="false" outlineLevel="0" collapsed="false">
      <c r="A229" s="10" t="str">
        <f aca="false">parametros_recargas!A58</f>
        <v>ABC 10 kg</v>
      </c>
      <c r="B229" s="10" t="str">
        <f aca="false">parametros_recargas!B58</f>
        <v>ABC</v>
      </c>
      <c r="C229" s="25" t="n">
        <f aca="false">parametros_recargas!C58</f>
        <v>1</v>
      </c>
      <c r="D229" s="26" t="n">
        <f aca="false">datos_base!$I$5*parametros_recargas!E$58+sobrestock_sustitutos!$H$54/12</f>
        <v>227.659620436852</v>
      </c>
      <c r="E229" s="26" t="n">
        <f aca="false">datos_base!$I$5*parametros_recargas!F$58+sobrestock_sustitutos!$H$54/12</f>
        <v>415.569453859545</v>
      </c>
      <c r="F229" s="26" t="n">
        <f aca="false">datos_base!$I$5*parametros_recargas!G$58+sobrestock_sustitutos!$H$54/12</f>
        <v>227.659620436852</v>
      </c>
      <c r="G229" s="26" t="n">
        <f aca="false">datos_base!$I$5*parametros_recargas!H$58+sobrestock_sustitutos!$H$54/12</f>
        <v>227.659620436852</v>
      </c>
      <c r="H229" s="26" t="n">
        <f aca="false">datos_base!$I$5*parametros_recargas!I$58+sobrestock_sustitutos!$H$54/12</f>
        <v>227.659620436852</v>
      </c>
      <c r="I229" s="26" t="n">
        <f aca="false">datos_base!$I$5*parametros_recargas!J$58+sobrestock_sustitutos!$H$54/12</f>
        <v>227.659620436852</v>
      </c>
      <c r="J229" s="26" t="n">
        <f aca="false">datos_base!$I$5*parametros_recargas!K$58+sobrestock_sustitutos!$H$54/12</f>
        <v>227.659620436852</v>
      </c>
      <c r="K229" s="26" t="n">
        <f aca="false">datos_base!$I$5*parametros_recargas!L$58+sobrestock_sustitutos!$H$54/12</f>
        <v>227.659620436852</v>
      </c>
      <c r="L229" s="26" t="n">
        <f aca="false">datos_base!$I$5*parametros_recargas!M$58+sobrestock_sustitutos!$H$54/12</f>
        <v>227.659620436852</v>
      </c>
      <c r="M229" s="26" t="n">
        <f aca="false">datos_base!$I$5*parametros_recargas!N$58+sobrestock_sustitutos!$H$54/12</f>
        <v>227.659620436852</v>
      </c>
      <c r="N229" s="26" t="n">
        <f aca="false">datos_base!$I$5*parametros_recargas!O$58+sobrestock_sustitutos!$H$54/12</f>
        <v>227.659620436852</v>
      </c>
      <c r="O229" s="26" t="n">
        <f aca="false">datos_base!$I$5*parametros_recargas!P$58+sobrestock_sustitutos!$H$54/12</f>
        <v>227.659620436852</v>
      </c>
      <c r="P229" s="8" t="n">
        <f aca="false">SUM(D229:O229)</f>
        <v>2919.82527866492</v>
      </c>
    </row>
    <row r="230" customFormat="false" ht="15" hidden="false" customHeight="false" outlineLevel="0" collapsed="false">
      <c r="A230" s="10" t="str">
        <f aca="false">parametros_recargas!A59</f>
        <v>Agua 10 l</v>
      </c>
      <c r="B230" s="10" t="str">
        <f aca="false">parametros_recargas!B59</f>
        <v>Agua</v>
      </c>
      <c r="C230" s="25" t="n">
        <f aca="false">parametros_recargas!C59</f>
        <v>1</v>
      </c>
      <c r="D230" s="26" t="n">
        <f aca="false">datos_base!$I$6*parametros_recargas!E$59+sobrestock_sustitutos!$H$55/12</f>
        <v>328.559463572186</v>
      </c>
      <c r="E230" s="26" t="n">
        <f aca="false">datos_base!$I$6*parametros_recargas!F$59+sobrestock_sustitutos!$H$55/12</f>
        <v>486.104412064159</v>
      </c>
      <c r="F230" s="26" t="n">
        <f aca="false">datos_base!$I$6*parametros_recargas!G$59+sobrestock_sustitutos!$H$55/12</f>
        <v>328.559463572186</v>
      </c>
      <c r="G230" s="26" t="n">
        <f aca="false">datos_base!$I$6*parametros_recargas!H$59+sobrestock_sustitutos!$H$55/12</f>
        <v>328.559463572186</v>
      </c>
      <c r="H230" s="26" t="n">
        <f aca="false">datos_base!$I$6*parametros_recargas!I$59+sobrestock_sustitutos!$H$55/12</f>
        <v>328.559463572186</v>
      </c>
      <c r="I230" s="26" t="n">
        <f aca="false">datos_base!$I$6*parametros_recargas!J$59+sobrestock_sustitutos!$H$55/12</f>
        <v>328.559463572186</v>
      </c>
      <c r="J230" s="26" t="n">
        <f aca="false">datos_base!$I$6*parametros_recargas!K$59+sobrestock_sustitutos!$H$55/12</f>
        <v>328.559463572186</v>
      </c>
      <c r="K230" s="26" t="n">
        <f aca="false">datos_base!$I$6*parametros_recargas!L$59+sobrestock_sustitutos!$H$55/12</f>
        <v>328.559463572186</v>
      </c>
      <c r="L230" s="26" t="n">
        <f aca="false">datos_base!$I$6*parametros_recargas!M$59+sobrestock_sustitutos!$H$55/12</f>
        <v>328.559463572186</v>
      </c>
      <c r="M230" s="26" t="n">
        <f aca="false">datos_base!$I$6*parametros_recargas!N$59+sobrestock_sustitutos!$H$55/12</f>
        <v>328.559463572186</v>
      </c>
      <c r="N230" s="26" t="n">
        <f aca="false">datos_base!$I$6*parametros_recargas!O$59+sobrestock_sustitutos!$H$55/12</f>
        <v>328.559463572186</v>
      </c>
      <c r="O230" s="26" t="n">
        <f aca="false">datos_base!$I$6*parametros_recargas!P$59+sobrestock_sustitutos!$H$55/12</f>
        <v>328.559463572186</v>
      </c>
      <c r="P230" s="8" t="n">
        <f aca="false">SUM(D230:O230)</f>
        <v>4100.2585113582</v>
      </c>
    </row>
    <row r="231" customFormat="false" ht="15" hidden="false" customHeight="false" outlineLevel="0" collapsed="false">
      <c r="A231" s="10" t="str">
        <f aca="false">parametros_recargas!A60</f>
        <v>AFFF 10 l</v>
      </c>
      <c r="B231" s="10" t="str">
        <f aca="false">parametros_recargas!B60</f>
        <v>AFFF</v>
      </c>
      <c r="C231" s="25" t="n">
        <f aca="false">parametros_recargas!C60</f>
        <v>1</v>
      </c>
      <c r="D231" s="26" t="n">
        <f aca="false">datos_base!$I$7*parametros_recargas!E$60+sobrestock_sustitutos!$H$56/12</f>
        <v>63.4582006174928</v>
      </c>
      <c r="E231" s="26" t="n">
        <f aca="false">datos_base!$I$7*parametros_recargas!F$60+sobrestock_sustitutos!$H$56/12</f>
        <v>63.4582006174928</v>
      </c>
      <c r="F231" s="26" t="n">
        <f aca="false">datos_base!$I$7*parametros_recargas!G$60+sobrestock_sustitutos!$H$56/12</f>
        <v>63.4582006174928</v>
      </c>
      <c r="G231" s="26" t="n">
        <f aca="false">datos_base!$I$7*parametros_recargas!H$60+sobrestock_sustitutos!$H$56/12</f>
        <v>63.4582006174928</v>
      </c>
      <c r="H231" s="26" t="n">
        <f aca="false">datos_base!$I$7*parametros_recargas!I$60+sobrestock_sustitutos!$H$56/12</f>
        <v>63.4582006174928</v>
      </c>
      <c r="I231" s="26" t="n">
        <f aca="false">datos_base!$I$7*parametros_recargas!J$60+sobrestock_sustitutos!$H$56/12</f>
        <v>63.4582006174928</v>
      </c>
      <c r="J231" s="26" t="n">
        <f aca="false">datos_base!$I$7*parametros_recargas!K$60+sobrestock_sustitutos!$H$56/12</f>
        <v>63.4582006174928</v>
      </c>
      <c r="K231" s="26" t="n">
        <f aca="false">datos_base!$I$7*parametros_recargas!L$60+sobrestock_sustitutos!$H$56/12</f>
        <v>63.4582006174928</v>
      </c>
      <c r="L231" s="26" t="n">
        <f aca="false">datos_base!$I$7*parametros_recargas!M$60+sobrestock_sustitutos!$H$56/12</f>
        <v>63.4582006174928</v>
      </c>
      <c r="M231" s="26" t="n">
        <f aca="false">datos_base!$I$7*parametros_recargas!N$60+sobrestock_sustitutos!$H$56/12</f>
        <v>63.4582006174928</v>
      </c>
      <c r="N231" s="26" t="n">
        <f aca="false">datos_base!$I$7*parametros_recargas!O$60+sobrestock_sustitutos!$H$56/12</f>
        <v>63.4582006174928</v>
      </c>
      <c r="O231" s="26" t="n">
        <f aca="false">datos_base!$I$7*parametros_recargas!P$60+sobrestock_sustitutos!$H$56/12</f>
        <v>63.4582006174928</v>
      </c>
      <c r="P231" s="8" t="n">
        <f aca="false">SUM(D231:O231)</f>
        <v>761.498407409914</v>
      </c>
    </row>
    <row r="232" customFormat="false" ht="15" hidden="false" customHeight="false" outlineLevel="0" collapsed="false">
      <c r="A232" s="10" t="str">
        <f aca="false">parametros_recargas!A61</f>
        <v>AFFF 50 l s/ruedas</v>
      </c>
      <c r="B232" s="10" t="str">
        <f aca="false">parametros_recargas!B61</f>
        <v>AFFF</v>
      </c>
      <c r="C232" s="25" t="n">
        <f aca="false">parametros_recargas!C61</f>
        <v>6.360853875</v>
      </c>
      <c r="D232" s="26" t="n">
        <f aca="false">datos_base!$I$8*parametros_recargas!E$61+sobrestock_sustitutos!$H$57/12</f>
        <v>33.3635210149915</v>
      </c>
      <c r="E232" s="26" t="n">
        <f aca="false">datos_base!$I$8*parametros_recargas!F$61+sobrestock_sustitutos!$H$57/12</f>
        <v>33.3635210149915</v>
      </c>
      <c r="F232" s="26" t="n">
        <f aca="false">datos_base!$I$8*parametros_recargas!G$61+sobrestock_sustitutos!$H$57/12</f>
        <v>33.3635210149915</v>
      </c>
      <c r="G232" s="26" t="n">
        <f aca="false">datos_base!$I$8*parametros_recargas!H$61+sobrestock_sustitutos!$H$57/12</f>
        <v>33.3635210149915</v>
      </c>
      <c r="H232" s="26" t="n">
        <f aca="false">datos_base!$I$8*parametros_recargas!I$61+sobrestock_sustitutos!$H$57/12</f>
        <v>33.3635210149915</v>
      </c>
      <c r="I232" s="26" t="n">
        <f aca="false">datos_base!$I$8*parametros_recargas!J$61+sobrestock_sustitutos!$H$57/12</f>
        <v>33.3635210149915</v>
      </c>
      <c r="J232" s="26" t="n">
        <f aca="false">datos_base!$I$8*parametros_recargas!K$61+sobrestock_sustitutos!$H$57/12</f>
        <v>33.3635210149915</v>
      </c>
      <c r="K232" s="26" t="n">
        <f aca="false">datos_base!$I$8*parametros_recargas!L$61+sobrestock_sustitutos!$H$57/12</f>
        <v>33.3635210149915</v>
      </c>
      <c r="L232" s="26" t="n">
        <f aca="false">datos_base!$I$8*parametros_recargas!M$61+sobrestock_sustitutos!$H$57/12</f>
        <v>33.3635210149915</v>
      </c>
      <c r="M232" s="26" t="n">
        <f aca="false">datos_base!$I$8*parametros_recargas!N$61+sobrestock_sustitutos!$H$57/12</f>
        <v>33.3635210149915</v>
      </c>
      <c r="N232" s="26" t="n">
        <f aca="false">datos_base!$I$8*parametros_recargas!O$61+sobrestock_sustitutos!$H$57/12</f>
        <v>33.3635210149915</v>
      </c>
      <c r="O232" s="26" t="n">
        <f aca="false">datos_base!$I$8*parametros_recargas!P$61+sobrestock_sustitutos!$H$57/12</f>
        <v>33.3635210149915</v>
      </c>
      <c r="P232" s="8" t="n">
        <f aca="false">SUM(D232:O232)</f>
        <v>400.362252179898</v>
      </c>
    </row>
    <row r="233" customFormat="false" ht="15" hidden="false" customHeight="false" outlineLevel="0" collapsed="false">
      <c r="A233" s="10" t="str">
        <f aca="false">parametros_recargas!A62</f>
        <v>BC 5 kg</v>
      </c>
      <c r="B233" s="10" t="str">
        <f aca="false">parametros_recargas!B62</f>
        <v>BC</v>
      </c>
      <c r="C233" s="25" t="n">
        <f aca="false">parametros_recargas!C62</f>
        <v>1</v>
      </c>
      <c r="D233" s="26" t="n">
        <f aca="false">datos_base!$I$9*parametros_recargas!E$62+sobrestock_sustitutos!$H$58/12</f>
        <v>19.2059021651652</v>
      </c>
      <c r="E233" s="26" t="n">
        <f aca="false">datos_base!$I$9*parametros_recargas!F$62+sobrestock_sustitutos!$H$58/12</f>
        <v>19.2059021651652</v>
      </c>
      <c r="F233" s="26" t="n">
        <f aca="false">datos_base!$I$9*parametros_recargas!G$62+sobrestock_sustitutos!$H$58/12</f>
        <v>19.2059021651652</v>
      </c>
      <c r="G233" s="26" t="n">
        <f aca="false">datos_base!$I$9*parametros_recargas!H$62+sobrestock_sustitutos!$H$58/12</f>
        <v>19.2059021651652</v>
      </c>
      <c r="H233" s="26" t="n">
        <f aca="false">datos_base!$I$9*parametros_recargas!I$62+sobrestock_sustitutos!$H$58/12</f>
        <v>19.2059021651652</v>
      </c>
      <c r="I233" s="26" t="n">
        <f aca="false">datos_base!$I$9*parametros_recargas!J$62+sobrestock_sustitutos!$H$58/12</f>
        <v>19.2059021651652</v>
      </c>
      <c r="J233" s="26" t="n">
        <f aca="false">datos_base!$I$9*parametros_recargas!K$62+sobrestock_sustitutos!$H$58/12</f>
        <v>19.2059021651652</v>
      </c>
      <c r="K233" s="26" t="n">
        <f aca="false">datos_base!$I$9*parametros_recargas!L$62+sobrestock_sustitutos!$H$58/12</f>
        <v>19.2059021651652</v>
      </c>
      <c r="L233" s="26" t="n">
        <f aca="false">datos_base!$I$9*parametros_recargas!M$62+sobrestock_sustitutos!$H$58/12</f>
        <v>19.2059021651652</v>
      </c>
      <c r="M233" s="26" t="n">
        <f aca="false">datos_base!$I$9*parametros_recargas!N$62+sobrestock_sustitutos!$H$58/12</f>
        <v>19.2059021651652</v>
      </c>
      <c r="N233" s="26" t="n">
        <f aca="false">datos_base!$I$9*parametros_recargas!O$62+sobrestock_sustitutos!$H$58/12</f>
        <v>19.2059021651652</v>
      </c>
      <c r="O233" s="26" t="n">
        <f aca="false">datos_base!$I$9*parametros_recargas!P$62+sobrestock_sustitutos!$H$58/12</f>
        <v>19.2059021651652</v>
      </c>
      <c r="P233" s="8" t="n">
        <f aca="false">SUM(D233:O233)</f>
        <v>230.470825981982</v>
      </c>
    </row>
    <row r="234" customFormat="false" ht="15" hidden="false" customHeight="false" outlineLevel="0" collapsed="false">
      <c r="A234" s="10" t="str">
        <f aca="false">parametros_recargas!A63</f>
        <v>Sales K 6 l</v>
      </c>
      <c r="B234" s="10" t="str">
        <f aca="false">parametros_recargas!B63</f>
        <v>Sales K</v>
      </c>
      <c r="C234" s="25" t="n">
        <f aca="false">parametros_recargas!C63</f>
        <v>1</v>
      </c>
      <c r="D234" s="26" t="n">
        <f aca="false">datos_base!$I$10*parametros_recargas!E$63+sobrestock_sustitutos!$H$59/12</f>
        <v>156.239508433165</v>
      </c>
      <c r="E234" s="26" t="n">
        <f aca="false">datos_base!$I$10*parametros_recargas!F$63+sobrestock_sustitutos!$H$59/12</f>
        <v>310.736169801577</v>
      </c>
      <c r="F234" s="26" t="n">
        <f aca="false">datos_base!$I$10*parametros_recargas!G$63+sobrestock_sustitutos!$H$59/12</f>
        <v>156.239508433165</v>
      </c>
      <c r="G234" s="26" t="n">
        <f aca="false">datos_base!$I$10*parametros_recargas!H$63+sobrestock_sustitutos!$H$59/12</f>
        <v>156.239508433165</v>
      </c>
      <c r="H234" s="26" t="n">
        <f aca="false">datos_base!$I$10*parametros_recargas!I$63+sobrestock_sustitutos!$H$59/12</f>
        <v>156.239508433165</v>
      </c>
      <c r="I234" s="26" t="n">
        <f aca="false">datos_base!$I$10*parametros_recargas!J$63+sobrestock_sustitutos!$H$59/12</f>
        <v>156.239508433165</v>
      </c>
      <c r="J234" s="26" t="n">
        <f aca="false">datos_base!$I$10*parametros_recargas!K$63+sobrestock_sustitutos!$H$59/12</f>
        <v>156.239508433165</v>
      </c>
      <c r="K234" s="26" t="n">
        <f aca="false">datos_base!$I$10*parametros_recargas!L$63+sobrestock_sustitutos!$H$59/12</f>
        <v>156.239508433165</v>
      </c>
      <c r="L234" s="26" t="n">
        <f aca="false">datos_base!$I$10*parametros_recargas!M$63+sobrestock_sustitutos!$H$59/12</f>
        <v>156.239508433165</v>
      </c>
      <c r="M234" s="26" t="n">
        <f aca="false">datos_base!$I$10*parametros_recargas!N$63+sobrestock_sustitutos!$H$59/12</f>
        <v>156.239508433165</v>
      </c>
      <c r="N234" s="26" t="n">
        <f aca="false">datos_base!$I$10*parametros_recargas!O$63+sobrestock_sustitutos!$H$59/12</f>
        <v>156.239508433165</v>
      </c>
      <c r="O234" s="26" t="n">
        <f aca="false">datos_base!$I$10*parametros_recargas!P$63+sobrestock_sustitutos!$H$59/12</f>
        <v>156.239508433165</v>
      </c>
      <c r="P234" s="8" t="n">
        <f aca="false">SUM(D234:O234)</f>
        <v>2029.37076256639</v>
      </c>
    </row>
    <row r="235" customFormat="false" ht="15" hidden="false" customHeight="false" outlineLevel="0" collapsed="false">
      <c r="A235" s="10" t="str">
        <f aca="false">parametros_recargas!A64</f>
        <v>CO₂ 2 kg</v>
      </c>
      <c r="B235" s="10" t="str">
        <f aca="false">parametros_recargas!B64</f>
        <v>CO₂</v>
      </c>
      <c r="C235" s="25" t="n">
        <f aca="false">parametros_recargas!C64</f>
        <v>1</v>
      </c>
      <c r="D235" s="26" t="n">
        <f aca="false">datos_base!$I$11*parametros_recargas!E$64+sobrestock_sustitutos!$H$60/12</f>
        <v>870.622574190081</v>
      </c>
      <c r="E235" s="26" t="n">
        <f aca="false">datos_base!$I$11*parametros_recargas!F$64+sobrestock_sustitutos!$H$60/12</f>
        <v>1505.27933353597</v>
      </c>
      <c r="F235" s="26" t="n">
        <f aca="false">datos_base!$I$11*parametros_recargas!G$64+sobrestock_sustitutos!$H$60/12</f>
        <v>870.622574190081</v>
      </c>
      <c r="G235" s="26" t="n">
        <f aca="false">datos_base!$I$11*parametros_recargas!H$64+sobrestock_sustitutos!$H$60/12</f>
        <v>870.622574190081</v>
      </c>
      <c r="H235" s="26" t="n">
        <f aca="false">datos_base!$I$11*parametros_recargas!I$64+sobrestock_sustitutos!$H$60/12</f>
        <v>870.622574190081</v>
      </c>
      <c r="I235" s="26" t="n">
        <f aca="false">datos_base!$I$11*parametros_recargas!J$64+sobrestock_sustitutos!$H$60/12</f>
        <v>870.622574190081</v>
      </c>
      <c r="J235" s="26" t="n">
        <f aca="false">datos_base!$I$11*parametros_recargas!K$64+sobrestock_sustitutos!$H$60/12</f>
        <v>870.622574190081</v>
      </c>
      <c r="K235" s="26" t="n">
        <f aca="false">datos_base!$I$11*parametros_recargas!L$64+sobrestock_sustitutos!$H$60/12</f>
        <v>870.622574190081</v>
      </c>
      <c r="L235" s="26" t="n">
        <f aca="false">datos_base!$I$11*parametros_recargas!M$64+sobrestock_sustitutos!$H$60/12</f>
        <v>870.622574190081</v>
      </c>
      <c r="M235" s="26" t="n">
        <f aca="false">datos_base!$I$11*parametros_recargas!N$64+sobrestock_sustitutos!$H$60/12</f>
        <v>870.622574190081</v>
      </c>
      <c r="N235" s="26" t="n">
        <f aca="false">datos_base!$I$11*parametros_recargas!O$64+sobrestock_sustitutos!$H$60/12</f>
        <v>870.622574190081</v>
      </c>
      <c r="O235" s="26" t="n">
        <f aca="false">datos_base!$I$11*parametros_recargas!P$64+sobrestock_sustitutos!$H$60/12</f>
        <v>870.622574190081</v>
      </c>
      <c r="P235" s="8" t="n">
        <f aca="false">SUM(D235:O235)</f>
        <v>11082.1276496269</v>
      </c>
    </row>
    <row r="236" customFormat="false" ht="15" hidden="false" customHeight="false" outlineLevel="0" collapsed="false">
      <c r="A236" s="10" t="str">
        <f aca="false">parametros_recargas!A65</f>
        <v>CO₂ 5 kg</v>
      </c>
      <c r="B236" s="10" t="str">
        <f aca="false">parametros_recargas!B65</f>
        <v>CO₂</v>
      </c>
      <c r="C236" s="25" t="n">
        <f aca="false">parametros_recargas!C65</f>
        <v>1</v>
      </c>
      <c r="D236" s="26" t="n">
        <f aca="false">datos_base!$I$12*parametros_recargas!E$65+sobrestock_sustitutos!$H$61/12</f>
        <v>307.173115759226</v>
      </c>
      <c r="E236" s="26" t="n">
        <f aca="false">datos_base!$I$12*parametros_recargas!F$65+sobrestock_sustitutos!$H$61/12</f>
        <v>336.617189918311</v>
      </c>
      <c r="F236" s="26" t="n">
        <f aca="false">datos_base!$I$12*parametros_recargas!G$65+sobrestock_sustitutos!$H$61/12</f>
        <v>307.173115759226</v>
      </c>
      <c r="G236" s="26" t="n">
        <f aca="false">datos_base!$I$12*parametros_recargas!H$65+sobrestock_sustitutos!$H$61/12</f>
        <v>307.173115759226</v>
      </c>
      <c r="H236" s="26" t="n">
        <f aca="false">datos_base!$I$12*parametros_recargas!I$65+sobrestock_sustitutos!$H$61/12</f>
        <v>307.173115759226</v>
      </c>
      <c r="I236" s="26" t="n">
        <f aca="false">datos_base!$I$12*parametros_recargas!J$65+sobrestock_sustitutos!$H$61/12</f>
        <v>307.173115759226</v>
      </c>
      <c r="J236" s="26" t="n">
        <f aca="false">datos_base!$I$12*parametros_recargas!K$65+sobrestock_sustitutos!$H$61/12</f>
        <v>307.173115759226</v>
      </c>
      <c r="K236" s="26" t="n">
        <f aca="false">datos_base!$I$12*parametros_recargas!L$65+sobrestock_sustitutos!$H$61/12</f>
        <v>307.173115759226</v>
      </c>
      <c r="L236" s="26" t="n">
        <f aca="false">datos_base!$I$12*parametros_recargas!M$65+sobrestock_sustitutos!$H$61/12</f>
        <v>307.173115759226</v>
      </c>
      <c r="M236" s="26" t="n">
        <f aca="false">datos_base!$I$12*parametros_recargas!N$65+sobrestock_sustitutos!$H$61/12</f>
        <v>307.173115759226</v>
      </c>
      <c r="N236" s="26" t="n">
        <f aca="false">datos_base!$I$12*parametros_recargas!O$65+sobrestock_sustitutos!$H$61/12</f>
        <v>307.173115759226</v>
      </c>
      <c r="O236" s="26" t="n">
        <f aca="false">datos_base!$I$12*parametros_recargas!P$65+sobrestock_sustitutos!$H$61/12</f>
        <v>307.173115759226</v>
      </c>
      <c r="P236" s="8" t="n">
        <f aca="false">SUM(D236:O236)</f>
        <v>3715.5214632698</v>
      </c>
    </row>
    <row r="237" customFormat="false" ht="15" hidden="false" customHeight="false" outlineLevel="0" collapsed="false">
      <c r="A237" s="10" t="str">
        <f aca="false">parametros_recargas!A66</f>
        <v>HCFC/HFC 5 kg</v>
      </c>
      <c r="B237" s="10" t="str">
        <f aca="false">parametros_recargas!B66</f>
        <v>Halogenado</v>
      </c>
      <c r="C237" s="25" t="n">
        <f aca="false">parametros_recargas!C66</f>
        <v>1</v>
      </c>
      <c r="D237" s="26" t="n">
        <f aca="false">datos_base!$I$13*parametros_recargas!E$66+sobrestock_sustitutos!$H$62/12</f>
        <v>50.2979408168706</v>
      </c>
      <c r="E237" s="26" t="n">
        <f aca="false">datos_base!$I$13*parametros_recargas!F$66+sobrestock_sustitutos!$H$62/12</f>
        <v>50.2979408168706</v>
      </c>
      <c r="F237" s="26" t="n">
        <f aca="false">datos_base!$I$13*parametros_recargas!G$66+sobrestock_sustitutos!$H$62/12</f>
        <v>50.2979408168706</v>
      </c>
      <c r="G237" s="26" t="n">
        <f aca="false">datos_base!$I$13*parametros_recargas!H$66+sobrestock_sustitutos!$H$62/12</f>
        <v>50.2979408168706</v>
      </c>
      <c r="H237" s="26" t="n">
        <f aca="false">datos_base!$I$13*parametros_recargas!I$66+sobrestock_sustitutos!$H$62/12</f>
        <v>50.2979408168706</v>
      </c>
      <c r="I237" s="26" t="n">
        <f aca="false">datos_base!$I$13*parametros_recargas!J$66+sobrestock_sustitutos!$H$62/12</f>
        <v>50.2979408168706</v>
      </c>
      <c r="J237" s="26" t="n">
        <f aca="false">datos_base!$I$13*parametros_recargas!K$66+sobrestock_sustitutos!$H$62/12</f>
        <v>50.2979408168706</v>
      </c>
      <c r="K237" s="26" t="n">
        <f aca="false">datos_base!$I$13*parametros_recargas!L$66+sobrestock_sustitutos!$H$62/12</f>
        <v>50.2979408168706</v>
      </c>
      <c r="L237" s="26" t="n">
        <f aca="false">datos_base!$I$13*parametros_recargas!M$66+sobrestock_sustitutos!$H$62/12</f>
        <v>50.2979408168706</v>
      </c>
      <c r="M237" s="26" t="n">
        <f aca="false">datos_base!$I$13*parametros_recargas!N$66+sobrestock_sustitutos!$H$62/12</f>
        <v>50.2979408168706</v>
      </c>
      <c r="N237" s="26" t="n">
        <f aca="false">datos_base!$I$13*parametros_recargas!O$66+sobrestock_sustitutos!$H$62/12</f>
        <v>50.2979408168706</v>
      </c>
      <c r="O237" s="26" t="n">
        <f aca="false">datos_base!$I$13*parametros_recargas!P$66+sobrestock_sustitutos!$H$62/12</f>
        <v>50.2979408168706</v>
      </c>
      <c r="P237" s="8" t="n">
        <f aca="false">SUM(D237:O237)</f>
        <v>603.575289802447</v>
      </c>
    </row>
    <row r="238" customFormat="false" ht="15" hidden="false" customHeight="false" outlineLevel="0" collapsed="false">
      <c r="A238" s="10" t="str">
        <f aca="false">parametros_recargas!A67</f>
        <v>Clase D 9 l</v>
      </c>
      <c r="B238" s="10" t="str">
        <f aca="false">parametros_recargas!B67</f>
        <v>Clase D</v>
      </c>
      <c r="C238" s="25" t="n">
        <f aca="false">parametros_recargas!C67</f>
        <v>1</v>
      </c>
      <c r="D238" s="26" t="n">
        <f aca="false">datos_base!$I$14*parametros_recargas!E$67+sobrestock_sustitutos!$H$63/12</f>
        <v>17.2881473109352</v>
      </c>
      <c r="E238" s="26" t="n">
        <f aca="false">datos_base!$I$14*parametros_recargas!F$67+sobrestock_sustitutos!$H$63/12</f>
        <v>17.2881473109352</v>
      </c>
      <c r="F238" s="26" t="n">
        <f aca="false">datos_base!$I$14*parametros_recargas!G$67+sobrestock_sustitutos!$H$63/12</f>
        <v>17.2881473109352</v>
      </c>
      <c r="G238" s="26" t="n">
        <f aca="false">datos_base!$I$14*parametros_recargas!H$67+sobrestock_sustitutos!$H$63/12</f>
        <v>17.2881473109352</v>
      </c>
      <c r="H238" s="26" t="n">
        <f aca="false">datos_base!$I$14*parametros_recargas!I$67+sobrestock_sustitutos!$H$63/12</f>
        <v>17.2881473109352</v>
      </c>
      <c r="I238" s="26" t="n">
        <f aca="false">datos_base!$I$14*parametros_recargas!J$67+sobrestock_sustitutos!$H$63/12</f>
        <v>17.2881473109352</v>
      </c>
      <c r="J238" s="26" t="n">
        <f aca="false">datos_base!$I$14*parametros_recargas!K$67+sobrestock_sustitutos!$H$63/12</f>
        <v>17.2881473109352</v>
      </c>
      <c r="K238" s="26" t="n">
        <f aca="false">datos_base!$I$14*parametros_recargas!L$67+sobrestock_sustitutos!$H$63/12</f>
        <v>17.2881473109352</v>
      </c>
      <c r="L238" s="26" t="n">
        <f aca="false">datos_base!$I$14*parametros_recargas!M$67+sobrestock_sustitutos!$H$63/12</f>
        <v>17.2881473109352</v>
      </c>
      <c r="M238" s="26" t="n">
        <f aca="false">datos_base!$I$14*parametros_recargas!N$67+sobrestock_sustitutos!$H$63/12</f>
        <v>17.2881473109352</v>
      </c>
      <c r="N238" s="26" t="n">
        <f aca="false">datos_base!$I$14*parametros_recargas!O$67+sobrestock_sustitutos!$H$63/12</f>
        <v>17.2881473109352</v>
      </c>
      <c r="O238" s="26" t="n">
        <f aca="false">datos_base!$I$14*parametros_recargas!P$67+sobrestock_sustitutos!$H$63/12</f>
        <v>17.2881473109352</v>
      </c>
      <c r="P238" s="8" t="n">
        <f aca="false">SUM(D238:O238)</f>
        <v>207.457767731223</v>
      </c>
    </row>
    <row r="239" customFormat="false" ht="15" hidden="false" customHeight="false" outlineLevel="0" collapsed="false">
      <c r="A239" s="10" t="str">
        <f aca="false">parametros_recargas!A68</f>
        <v>ABC 25 kg s/ruedas</v>
      </c>
      <c r="B239" s="10" t="str">
        <f aca="false">parametros_recargas!B68</f>
        <v>ABC</v>
      </c>
      <c r="C239" s="25" t="n">
        <f aca="false">parametros_recargas!C68</f>
        <v>6.360853875</v>
      </c>
      <c r="D239" s="26" t="n">
        <f aca="false">datos_base!$I$15*parametros_recargas!E$68+sobrestock_sustitutos!$H$64/12</f>
        <v>41.23252146071</v>
      </c>
      <c r="E239" s="26" t="n">
        <f aca="false">datos_base!$I$15*parametros_recargas!F$68+sobrestock_sustitutos!$H$64/12</f>
        <v>47.7861137229809</v>
      </c>
      <c r="F239" s="26" t="n">
        <f aca="false">datos_base!$I$15*parametros_recargas!G$68+sobrestock_sustitutos!$H$64/12</f>
        <v>41.23252146071</v>
      </c>
      <c r="G239" s="26" t="n">
        <f aca="false">datos_base!$I$15*parametros_recargas!H$68+sobrestock_sustitutos!$H$64/12</f>
        <v>41.23252146071</v>
      </c>
      <c r="H239" s="26" t="n">
        <f aca="false">datos_base!$I$15*parametros_recargas!I$68+sobrestock_sustitutos!$H$64/12</f>
        <v>41.23252146071</v>
      </c>
      <c r="I239" s="26" t="n">
        <f aca="false">datos_base!$I$15*parametros_recargas!J$68+sobrestock_sustitutos!$H$64/12</f>
        <v>41.23252146071</v>
      </c>
      <c r="J239" s="26" t="n">
        <f aca="false">datos_base!$I$15*parametros_recargas!K$68+sobrestock_sustitutos!$H$64/12</f>
        <v>41.23252146071</v>
      </c>
      <c r="K239" s="26" t="n">
        <f aca="false">datos_base!$I$15*parametros_recargas!L$68+sobrestock_sustitutos!$H$64/12</f>
        <v>41.23252146071</v>
      </c>
      <c r="L239" s="26" t="n">
        <f aca="false">datos_base!$I$15*parametros_recargas!M$68+sobrestock_sustitutos!$H$64/12</f>
        <v>41.23252146071</v>
      </c>
      <c r="M239" s="26" t="n">
        <f aca="false">datos_base!$I$15*parametros_recargas!N$68+sobrestock_sustitutos!$H$64/12</f>
        <v>41.23252146071</v>
      </c>
      <c r="N239" s="26" t="n">
        <f aca="false">datos_base!$I$15*parametros_recargas!O$68+sobrestock_sustitutos!$H$64/12</f>
        <v>41.23252146071</v>
      </c>
      <c r="O239" s="26" t="n">
        <f aca="false">datos_base!$I$15*parametros_recargas!P$68+sobrestock_sustitutos!$H$64/12</f>
        <v>41.23252146071</v>
      </c>
      <c r="P239" s="8" t="n">
        <f aca="false">SUM(D239:O239)</f>
        <v>501.343849790791</v>
      </c>
    </row>
    <row r="240" customFormat="false" ht="15" hidden="false" customHeight="false" outlineLevel="0" collapsed="false">
      <c r="A240" s="10" t="str">
        <f aca="false">parametros_recargas!A69</f>
        <v>ABC 50 kg s/ruedas</v>
      </c>
      <c r="B240" s="10" t="str">
        <f aca="false">parametros_recargas!B69</f>
        <v>ABC</v>
      </c>
      <c r="C240" s="25" t="n">
        <f aca="false">parametros_recargas!C69</f>
        <v>6.360853875</v>
      </c>
      <c r="D240" s="26" t="n">
        <f aca="false">datos_base!$I$16*parametros_recargas!E$69+sobrestock_sustitutos!$H$65/12</f>
        <v>90.5780504323695</v>
      </c>
      <c r="E240" s="26" t="n">
        <f aca="false">datos_base!$I$16*parametros_recargas!F$69+sobrestock_sustitutos!$H$65/12</f>
        <v>104.997914561867</v>
      </c>
      <c r="F240" s="26" t="n">
        <f aca="false">datos_base!$I$16*parametros_recargas!G$69+sobrestock_sustitutos!$H$65/12</f>
        <v>90.5780504323695</v>
      </c>
      <c r="G240" s="26" t="n">
        <f aca="false">datos_base!$I$16*parametros_recargas!H$69+sobrestock_sustitutos!$H$65/12</f>
        <v>90.5780504323695</v>
      </c>
      <c r="H240" s="26" t="n">
        <f aca="false">datos_base!$I$16*parametros_recargas!I$69+sobrestock_sustitutos!$H$65/12</f>
        <v>90.5780504323695</v>
      </c>
      <c r="I240" s="26" t="n">
        <f aca="false">datos_base!$I$16*parametros_recargas!J$69+sobrestock_sustitutos!$H$65/12</f>
        <v>90.5780504323695</v>
      </c>
      <c r="J240" s="26" t="n">
        <f aca="false">datos_base!$I$16*parametros_recargas!K$69+sobrestock_sustitutos!$H$65/12</f>
        <v>90.5780504323695</v>
      </c>
      <c r="K240" s="26" t="n">
        <f aca="false">datos_base!$I$16*parametros_recargas!L$69+sobrestock_sustitutos!$H$65/12</f>
        <v>90.5780504323695</v>
      </c>
      <c r="L240" s="26" t="n">
        <f aca="false">datos_base!$I$16*parametros_recargas!M$69+sobrestock_sustitutos!$H$65/12</f>
        <v>90.5780504323695</v>
      </c>
      <c r="M240" s="26" t="n">
        <f aca="false">datos_base!$I$16*parametros_recargas!N$69+sobrestock_sustitutos!$H$65/12</f>
        <v>90.5780504323695</v>
      </c>
      <c r="N240" s="26" t="n">
        <f aca="false">datos_base!$I$16*parametros_recargas!O$69+sobrestock_sustitutos!$H$65/12</f>
        <v>90.5780504323695</v>
      </c>
      <c r="O240" s="26" t="n">
        <f aca="false">datos_base!$I$16*parametros_recargas!P$69+sobrestock_sustitutos!$H$65/12</f>
        <v>90.5780504323695</v>
      </c>
      <c r="P240" s="8" t="n">
        <f aca="false">SUM(D240:O240)</f>
        <v>1101.35646931793</v>
      </c>
    </row>
    <row r="241" customFormat="false" ht="15" hidden="false" customHeight="false" outlineLevel="0" collapsed="false">
      <c r="A241" s="10" t="str">
        <f aca="false">parametros_recargas!A70</f>
        <v>ABC 70 kg s/ruedas</v>
      </c>
      <c r="B241" s="10" t="str">
        <f aca="false">parametros_recargas!B70</f>
        <v>ABC</v>
      </c>
      <c r="C241" s="25" t="n">
        <f aca="false">parametros_recargas!C70</f>
        <v>6.360853875</v>
      </c>
      <c r="D241" s="26" t="n">
        <f aca="false">datos_base!$I$17*parametros_recargas!E$70+sobrestock_sustitutos!$H$66/12</f>
        <v>19.8049868434255</v>
      </c>
      <c r="E241" s="26" t="n">
        <f aca="false">datos_base!$I$17*parametros_recargas!F$70+sobrestock_sustitutos!$H$66/12</f>
        <v>22.9501924222718</v>
      </c>
      <c r="F241" s="26" t="n">
        <f aca="false">datos_base!$I$17*parametros_recargas!G$70+sobrestock_sustitutos!$H$66/12</f>
        <v>19.8049868434255</v>
      </c>
      <c r="G241" s="26" t="n">
        <f aca="false">datos_base!$I$17*parametros_recargas!H$70+sobrestock_sustitutos!$H$66/12</f>
        <v>19.8049868434255</v>
      </c>
      <c r="H241" s="26" t="n">
        <f aca="false">datos_base!$I$17*parametros_recargas!I$70+sobrestock_sustitutos!$H$66/12</f>
        <v>19.8049868434255</v>
      </c>
      <c r="I241" s="26" t="n">
        <f aca="false">datos_base!$I$17*parametros_recargas!J$70+sobrestock_sustitutos!$H$66/12</f>
        <v>19.8049868434255</v>
      </c>
      <c r="J241" s="26" t="n">
        <f aca="false">datos_base!$I$17*parametros_recargas!K$70+sobrestock_sustitutos!$H$66/12</f>
        <v>19.8049868434255</v>
      </c>
      <c r="K241" s="26" t="n">
        <f aca="false">datos_base!$I$17*parametros_recargas!L$70+sobrestock_sustitutos!$H$66/12</f>
        <v>19.8049868434255</v>
      </c>
      <c r="L241" s="26" t="n">
        <f aca="false">datos_base!$I$17*parametros_recargas!M$70+sobrestock_sustitutos!$H$66/12</f>
        <v>19.8049868434255</v>
      </c>
      <c r="M241" s="26" t="n">
        <f aca="false">datos_base!$I$17*parametros_recargas!N$70+sobrestock_sustitutos!$H$66/12</f>
        <v>19.8049868434255</v>
      </c>
      <c r="N241" s="26" t="n">
        <f aca="false">datos_base!$I$17*parametros_recargas!O$70+sobrestock_sustitutos!$H$66/12</f>
        <v>19.8049868434255</v>
      </c>
      <c r="O241" s="26" t="n">
        <f aca="false">datos_base!$I$17*parametros_recargas!P$70+sobrestock_sustitutos!$H$66/12</f>
        <v>19.8049868434255</v>
      </c>
      <c r="P241" s="8" t="n">
        <f aca="false">SUM(D241:O241)</f>
        <v>240.805047699952</v>
      </c>
    </row>
    <row r="242" customFormat="false" ht="15" hidden="false" customHeight="false" outlineLevel="0" collapsed="false">
      <c r="A242" s="10" t="str">
        <f aca="false">parametros_recargas!A71</f>
        <v>ABC 100 kg s/ruedas</v>
      </c>
      <c r="B242" s="10" t="str">
        <f aca="false">parametros_recargas!B71</f>
        <v>ABC</v>
      </c>
      <c r="C242" s="25" t="n">
        <f aca="false">parametros_recargas!C71</f>
        <v>6.360853875</v>
      </c>
      <c r="D242" s="26" t="n">
        <f aca="false">datos_base!$I$18*parametros_recargas!E$71+sobrestock_sustitutos!$H$67/12</f>
        <v>13.230919564284</v>
      </c>
      <c r="E242" s="26" t="n">
        <f aca="false">datos_base!$I$18*parametros_recargas!F$71+sobrestock_sustitutos!$H$67/12</f>
        <v>15.3299165928446</v>
      </c>
      <c r="F242" s="26" t="n">
        <f aca="false">datos_base!$I$18*parametros_recargas!G$71+sobrestock_sustitutos!$H$67/12</f>
        <v>13.230919564284</v>
      </c>
      <c r="G242" s="26" t="n">
        <f aca="false">datos_base!$I$18*parametros_recargas!H$71+sobrestock_sustitutos!$H$67/12</f>
        <v>13.230919564284</v>
      </c>
      <c r="H242" s="26" t="n">
        <f aca="false">datos_base!$I$18*parametros_recargas!I$71+sobrestock_sustitutos!$H$67/12</f>
        <v>13.230919564284</v>
      </c>
      <c r="I242" s="26" t="n">
        <f aca="false">datos_base!$I$18*parametros_recargas!J$71+sobrestock_sustitutos!$H$67/12</f>
        <v>13.230919564284</v>
      </c>
      <c r="J242" s="26" t="n">
        <f aca="false">datos_base!$I$18*parametros_recargas!K$71+sobrestock_sustitutos!$H$67/12</f>
        <v>13.230919564284</v>
      </c>
      <c r="K242" s="26" t="n">
        <f aca="false">datos_base!$I$18*parametros_recargas!L$71+sobrestock_sustitutos!$H$67/12</f>
        <v>13.230919564284</v>
      </c>
      <c r="L242" s="26" t="n">
        <f aca="false">datos_base!$I$18*parametros_recargas!M$71+sobrestock_sustitutos!$H$67/12</f>
        <v>13.230919564284</v>
      </c>
      <c r="M242" s="26" t="n">
        <f aca="false">datos_base!$I$18*parametros_recargas!N$71+sobrestock_sustitutos!$H$67/12</f>
        <v>13.230919564284</v>
      </c>
      <c r="N242" s="26" t="n">
        <f aca="false">datos_base!$I$18*parametros_recargas!O$71+sobrestock_sustitutos!$H$67/12</f>
        <v>13.230919564284</v>
      </c>
      <c r="O242" s="26" t="n">
        <f aca="false">datos_base!$I$18*parametros_recargas!P$71+sobrestock_sustitutos!$H$67/12</f>
        <v>13.230919564284</v>
      </c>
      <c r="P242" s="8" t="n">
        <f aca="false">SUM(D242:O242)</f>
        <v>160.870031799968</v>
      </c>
    </row>
    <row r="243" customFormat="false" ht="15" hidden="false" customHeight="false" outlineLevel="0" collapsed="false">
      <c r="A243" s="4" t="s">
        <v>430</v>
      </c>
      <c r="D243" s="8" t="n">
        <f aca="false">SUM(D226:D242)</f>
        <v>7292.7239472177</v>
      </c>
      <c r="E243" s="8" t="n">
        <f aca="false">SUM(E226:E242)</f>
        <v>19521.6245219465</v>
      </c>
      <c r="F243" s="8" t="n">
        <f aca="false">SUM(F226:F242)</f>
        <v>16257.006234493</v>
      </c>
      <c r="G243" s="8" t="n">
        <f aca="false">SUM(G226:G242)</f>
        <v>16326.3341091176</v>
      </c>
      <c r="H243" s="8" t="n">
        <f aca="false">SUM(H226:H242)</f>
        <v>16329.9532166342</v>
      </c>
      <c r="I243" s="8" t="n">
        <f aca="false">SUM(I226:I242)</f>
        <v>16296.9942345971</v>
      </c>
      <c r="J243" s="8" t="n">
        <f aca="false">SUM(J226:J242)</f>
        <v>16400.6617912362</v>
      </c>
      <c r="K243" s="8" t="n">
        <f aca="false">SUM(K226:K242)</f>
        <v>16322.6417826628</v>
      </c>
      <c r="L243" s="8" t="n">
        <f aca="false">SUM(L226:L242)</f>
        <v>16334.8065862519</v>
      </c>
      <c r="M243" s="8" t="n">
        <f aca="false">SUM(M226:M242)</f>
        <v>16294.5884694849</v>
      </c>
      <c r="N243" s="8" t="n">
        <f aca="false">SUM(N226:N242)</f>
        <v>16121.3943011032</v>
      </c>
      <c r="O243" s="8" t="n">
        <f aca="false">SUM(O226:O242)</f>
        <v>6822.1249117266</v>
      </c>
      <c r="P243" s="8" t="n">
        <f aca="false">SUM(P226:P242)</f>
        <v>180320.854106472</v>
      </c>
    </row>
    <row r="244" customFormat="false" ht="15" hidden="false" customHeight="false" outlineLevel="0" collapsed="false">
      <c r="A244" s="4" t="s">
        <v>431</v>
      </c>
    </row>
    <row r="245" customFormat="false" ht="15" hidden="false" customHeight="false" outlineLevel="0" collapsed="false">
      <c r="A245" s="5" t="s">
        <v>110</v>
      </c>
      <c r="D245" s="26" t="n">
        <f aca="false">SUMPRODUCT(($B$226:$B$242=$A245)*D$226:D$242*$C$226:$C$242)</f>
        <v>6330.23345531648</v>
      </c>
      <c r="E245" s="26" t="n">
        <f aca="false">SUMPRODUCT(($B$226:$B$242=$A245)*E$226:E$242*$C$226:$C$242)</f>
        <v>17723.5406255191</v>
      </c>
      <c r="F245" s="26" t="n">
        <f aca="false">SUMPRODUCT(($B$226:$B$242=$A245)*F$226:F$242*$C$226:$C$242)</f>
        <v>15294.5157425918</v>
      </c>
      <c r="G245" s="26" t="n">
        <f aca="false">SUMPRODUCT(($B$226:$B$242=$A245)*G$226:G$242*$C$226:$C$242)</f>
        <v>15363.8436172164</v>
      </c>
      <c r="H245" s="26" t="n">
        <f aca="false">SUMPRODUCT(($B$226:$B$242=$A245)*H$226:H$242*$C$226:$C$242)</f>
        <v>15367.462724733</v>
      </c>
      <c r="I245" s="26" t="n">
        <f aca="false">SUMPRODUCT(($B$226:$B$242=$A245)*I$226:I$242*$C$226:$C$242)</f>
        <v>15334.5037426958</v>
      </c>
      <c r="J245" s="26" t="n">
        <f aca="false">SUMPRODUCT(($B$226:$B$242=$A245)*J$226:J$242*$C$226:$C$242)</f>
        <v>15438.171299335</v>
      </c>
      <c r="K245" s="26" t="n">
        <f aca="false">SUMPRODUCT(($B$226:$B$242=$A245)*K$226:K$242*$C$226:$C$242)</f>
        <v>15360.1512907616</v>
      </c>
      <c r="L245" s="26" t="n">
        <f aca="false">SUMPRODUCT(($B$226:$B$242=$A245)*L$226:L$242*$C$226:$C$242)</f>
        <v>15372.3160943506</v>
      </c>
      <c r="M245" s="26" t="n">
        <f aca="false">SUMPRODUCT(($B$226:$B$242=$A245)*M$226:M$242*$C$226:$C$242)</f>
        <v>15332.0979775836</v>
      </c>
      <c r="N245" s="26" t="n">
        <f aca="false">SUMPRODUCT(($B$226:$B$242=$A245)*N$226:N$242*$C$226:$C$242)</f>
        <v>15158.9038092019</v>
      </c>
      <c r="O245" s="26" t="n">
        <f aca="false">SUMPRODUCT(($B$226:$B$242=$A245)*O$226:O$242*$C$226:$C$242)</f>
        <v>5859.63441982538</v>
      </c>
      <c r="P245" s="26" t="n">
        <f aca="false">SUMPRODUCT(($B$226:$B$242=$A245)*P$226:P$242*$C$226:$C$242)</f>
        <v>167935.374799131</v>
      </c>
    </row>
    <row r="246" customFormat="false" ht="15" hidden="false" customHeight="false" outlineLevel="0" collapsed="false">
      <c r="A246" s="5" t="s">
        <v>111</v>
      </c>
      <c r="D246" s="26" t="n">
        <f aca="false">SUMPRODUCT(($B$226:$B$242=$A246)*D$226:D$242*$C$226:$C$242)</f>
        <v>19.2059021651652</v>
      </c>
      <c r="E246" s="26" t="n">
        <f aca="false">SUMPRODUCT(($B$226:$B$242=$A246)*E$226:E$242*$C$226:$C$242)</f>
        <v>19.2059021651652</v>
      </c>
      <c r="F246" s="26" t="n">
        <f aca="false">SUMPRODUCT(($B$226:$B$242=$A246)*F$226:F$242*$C$226:$C$242)</f>
        <v>19.2059021651652</v>
      </c>
      <c r="G246" s="26" t="n">
        <f aca="false">SUMPRODUCT(($B$226:$B$242=$A246)*G$226:G$242*$C$226:$C$242)</f>
        <v>19.2059021651652</v>
      </c>
      <c r="H246" s="26" t="n">
        <f aca="false">SUMPRODUCT(($B$226:$B$242=$A246)*H$226:H$242*$C$226:$C$242)</f>
        <v>19.2059021651652</v>
      </c>
      <c r="I246" s="26" t="n">
        <f aca="false">SUMPRODUCT(($B$226:$B$242=$A246)*I$226:I$242*$C$226:$C$242)</f>
        <v>19.2059021651652</v>
      </c>
      <c r="J246" s="26" t="n">
        <f aca="false">SUMPRODUCT(($B$226:$B$242=$A246)*J$226:J$242*$C$226:$C$242)</f>
        <v>19.2059021651652</v>
      </c>
      <c r="K246" s="26" t="n">
        <f aca="false">SUMPRODUCT(($B$226:$B$242=$A246)*K$226:K$242*$C$226:$C$242)</f>
        <v>19.2059021651652</v>
      </c>
      <c r="L246" s="26" t="n">
        <f aca="false">SUMPRODUCT(($B$226:$B$242=$A246)*L$226:L$242*$C$226:$C$242)</f>
        <v>19.2059021651652</v>
      </c>
      <c r="M246" s="26" t="n">
        <f aca="false">SUMPRODUCT(($B$226:$B$242=$A246)*M$226:M$242*$C$226:$C$242)</f>
        <v>19.2059021651652</v>
      </c>
      <c r="N246" s="26" t="n">
        <f aca="false">SUMPRODUCT(($B$226:$B$242=$A246)*N$226:N$242*$C$226:$C$242)</f>
        <v>19.2059021651652</v>
      </c>
      <c r="O246" s="26" t="n">
        <f aca="false">SUMPRODUCT(($B$226:$B$242=$A246)*O$226:O$242*$C$226:$C$242)</f>
        <v>19.2059021651652</v>
      </c>
      <c r="P246" s="26" t="n">
        <f aca="false">SUMPRODUCT(($B$226:$B$242=$A246)*P$226:P$242*$C$226:$C$242)</f>
        <v>230.470825981982</v>
      </c>
    </row>
    <row r="247" customFormat="false" ht="15" hidden="false" customHeight="false" outlineLevel="0" collapsed="false">
      <c r="A247" s="5" t="s">
        <v>112</v>
      </c>
      <c r="D247" s="26" t="n">
        <f aca="false">SUMPRODUCT(($B$226:$B$242=$A247)*D$226:D$242*$C$226:$C$242)</f>
        <v>17.2881473109352</v>
      </c>
      <c r="E247" s="26" t="n">
        <f aca="false">SUMPRODUCT(($B$226:$B$242=$A247)*E$226:E$242*$C$226:$C$242)</f>
        <v>17.2881473109352</v>
      </c>
      <c r="F247" s="26" t="n">
        <f aca="false">SUMPRODUCT(($B$226:$B$242=$A247)*F$226:F$242*$C$226:$C$242)</f>
        <v>17.2881473109352</v>
      </c>
      <c r="G247" s="26" t="n">
        <f aca="false">SUMPRODUCT(($B$226:$B$242=$A247)*G$226:G$242*$C$226:$C$242)</f>
        <v>17.2881473109352</v>
      </c>
      <c r="H247" s="26" t="n">
        <f aca="false">SUMPRODUCT(($B$226:$B$242=$A247)*H$226:H$242*$C$226:$C$242)</f>
        <v>17.2881473109352</v>
      </c>
      <c r="I247" s="26" t="n">
        <f aca="false">SUMPRODUCT(($B$226:$B$242=$A247)*I$226:I$242*$C$226:$C$242)</f>
        <v>17.2881473109352</v>
      </c>
      <c r="J247" s="26" t="n">
        <f aca="false">SUMPRODUCT(($B$226:$B$242=$A247)*J$226:J$242*$C$226:$C$242)</f>
        <v>17.2881473109352</v>
      </c>
      <c r="K247" s="26" t="n">
        <f aca="false">SUMPRODUCT(($B$226:$B$242=$A247)*K$226:K$242*$C$226:$C$242)</f>
        <v>17.2881473109352</v>
      </c>
      <c r="L247" s="26" t="n">
        <f aca="false">SUMPRODUCT(($B$226:$B$242=$A247)*L$226:L$242*$C$226:$C$242)</f>
        <v>17.2881473109352</v>
      </c>
      <c r="M247" s="26" t="n">
        <f aca="false">SUMPRODUCT(($B$226:$B$242=$A247)*M$226:M$242*$C$226:$C$242)</f>
        <v>17.2881473109352</v>
      </c>
      <c r="N247" s="26" t="n">
        <f aca="false">SUMPRODUCT(($B$226:$B$242=$A247)*N$226:N$242*$C$226:$C$242)</f>
        <v>17.2881473109352</v>
      </c>
      <c r="O247" s="26" t="n">
        <f aca="false">SUMPRODUCT(($B$226:$B$242=$A247)*O$226:O$242*$C$226:$C$242)</f>
        <v>17.2881473109352</v>
      </c>
      <c r="P247" s="26" t="n">
        <f aca="false">SUMPRODUCT(($B$226:$B$242=$A247)*P$226:P$242*$C$226:$C$242)</f>
        <v>207.457767731223</v>
      </c>
    </row>
    <row r="248" customFormat="false" ht="15" hidden="false" customHeight="false" outlineLevel="0" collapsed="false">
      <c r="A248" s="5" t="s">
        <v>113</v>
      </c>
      <c r="D248" s="26" t="n">
        <f aca="false">SUMPRODUCT(($B$226:$B$242=$A248)*D$226:D$242*$C$226:$C$242)</f>
        <v>328.559463572186</v>
      </c>
      <c r="E248" s="26" t="n">
        <f aca="false">SUMPRODUCT(($B$226:$B$242=$A248)*E$226:E$242*$C$226:$C$242)</f>
        <v>486.104412064159</v>
      </c>
      <c r="F248" s="26" t="n">
        <f aca="false">SUMPRODUCT(($B$226:$B$242=$A248)*F$226:F$242*$C$226:$C$242)</f>
        <v>328.559463572186</v>
      </c>
      <c r="G248" s="26" t="n">
        <f aca="false">SUMPRODUCT(($B$226:$B$242=$A248)*G$226:G$242*$C$226:$C$242)</f>
        <v>328.559463572186</v>
      </c>
      <c r="H248" s="26" t="n">
        <f aca="false">SUMPRODUCT(($B$226:$B$242=$A248)*H$226:H$242*$C$226:$C$242)</f>
        <v>328.559463572186</v>
      </c>
      <c r="I248" s="26" t="n">
        <f aca="false">SUMPRODUCT(($B$226:$B$242=$A248)*I$226:I$242*$C$226:$C$242)</f>
        <v>328.559463572186</v>
      </c>
      <c r="J248" s="26" t="n">
        <f aca="false">SUMPRODUCT(($B$226:$B$242=$A248)*J$226:J$242*$C$226:$C$242)</f>
        <v>328.559463572186</v>
      </c>
      <c r="K248" s="26" t="n">
        <f aca="false">SUMPRODUCT(($B$226:$B$242=$A248)*K$226:K$242*$C$226:$C$242)</f>
        <v>328.559463572186</v>
      </c>
      <c r="L248" s="26" t="n">
        <f aca="false">SUMPRODUCT(($B$226:$B$242=$A248)*L$226:L$242*$C$226:$C$242)</f>
        <v>328.559463572186</v>
      </c>
      <c r="M248" s="26" t="n">
        <f aca="false">SUMPRODUCT(($B$226:$B$242=$A248)*M$226:M$242*$C$226:$C$242)</f>
        <v>328.559463572186</v>
      </c>
      <c r="N248" s="26" t="n">
        <f aca="false">SUMPRODUCT(($B$226:$B$242=$A248)*N$226:N$242*$C$226:$C$242)</f>
        <v>328.559463572186</v>
      </c>
      <c r="O248" s="26" t="n">
        <f aca="false">SUMPRODUCT(($B$226:$B$242=$A248)*O$226:O$242*$C$226:$C$242)</f>
        <v>328.559463572186</v>
      </c>
      <c r="P248" s="26" t="n">
        <f aca="false">SUMPRODUCT(($B$226:$B$242=$A248)*P$226:P$242*$C$226:$C$242)</f>
        <v>4100.2585113582</v>
      </c>
    </row>
    <row r="249" customFormat="false" ht="15" hidden="false" customHeight="false" outlineLevel="0" collapsed="false">
      <c r="A249" s="5" t="s">
        <v>114</v>
      </c>
      <c r="D249" s="26" t="n">
        <f aca="false">SUMPRODUCT(($B$226:$B$242=$A249)*D$226:D$242*$C$226:$C$242)</f>
        <v>275.678682549345</v>
      </c>
      <c r="E249" s="26" t="n">
        <f aca="false">SUMPRODUCT(($B$226:$B$242=$A249)*E$226:E$242*$C$226:$C$242)</f>
        <v>275.678682549345</v>
      </c>
      <c r="F249" s="26" t="n">
        <f aca="false">SUMPRODUCT(($B$226:$B$242=$A249)*F$226:F$242*$C$226:$C$242)</f>
        <v>275.678682549345</v>
      </c>
      <c r="G249" s="26" t="n">
        <f aca="false">SUMPRODUCT(($B$226:$B$242=$A249)*G$226:G$242*$C$226:$C$242)</f>
        <v>275.678682549345</v>
      </c>
      <c r="H249" s="26" t="n">
        <f aca="false">SUMPRODUCT(($B$226:$B$242=$A249)*H$226:H$242*$C$226:$C$242)</f>
        <v>275.678682549345</v>
      </c>
      <c r="I249" s="26" t="n">
        <f aca="false">SUMPRODUCT(($B$226:$B$242=$A249)*I$226:I$242*$C$226:$C$242)</f>
        <v>275.678682549345</v>
      </c>
      <c r="J249" s="26" t="n">
        <f aca="false">SUMPRODUCT(($B$226:$B$242=$A249)*J$226:J$242*$C$226:$C$242)</f>
        <v>275.678682549345</v>
      </c>
      <c r="K249" s="26" t="n">
        <f aca="false">SUMPRODUCT(($B$226:$B$242=$A249)*K$226:K$242*$C$226:$C$242)</f>
        <v>275.678682549345</v>
      </c>
      <c r="L249" s="26" t="n">
        <f aca="false">SUMPRODUCT(($B$226:$B$242=$A249)*L$226:L$242*$C$226:$C$242)</f>
        <v>275.678682549345</v>
      </c>
      <c r="M249" s="26" t="n">
        <f aca="false">SUMPRODUCT(($B$226:$B$242=$A249)*M$226:M$242*$C$226:$C$242)</f>
        <v>275.678682549345</v>
      </c>
      <c r="N249" s="26" t="n">
        <f aca="false">SUMPRODUCT(($B$226:$B$242=$A249)*N$226:N$242*$C$226:$C$242)</f>
        <v>275.678682549345</v>
      </c>
      <c r="O249" s="26" t="n">
        <f aca="false">SUMPRODUCT(($B$226:$B$242=$A249)*O$226:O$242*$C$226:$C$242)</f>
        <v>275.678682549345</v>
      </c>
      <c r="P249" s="26" t="n">
        <f aca="false">SUMPRODUCT(($B$226:$B$242=$A249)*P$226:P$242*$C$226:$C$242)</f>
        <v>3308.14419059214</v>
      </c>
    </row>
    <row r="250" customFormat="false" ht="15" hidden="false" customHeight="false" outlineLevel="0" collapsed="false">
      <c r="A250" s="5" t="s">
        <v>115</v>
      </c>
      <c r="D250" s="26" t="n">
        <f aca="false">SUMPRODUCT(($B$226:$B$242=$A250)*D$226:D$242*$C$226:$C$242)</f>
        <v>156.239508433165</v>
      </c>
      <c r="E250" s="26" t="n">
        <f aca="false">SUMPRODUCT(($B$226:$B$242=$A250)*E$226:E$242*$C$226:$C$242)</f>
        <v>310.736169801577</v>
      </c>
      <c r="F250" s="26" t="n">
        <f aca="false">SUMPRODUCT(($B$226:$B$242=$A250)*F$226:F$242*$C$226:$C$242)</f>
        <v>156.239508433165</v>
      </c>
      <c r="G250" s="26" t="n">
        <f aca="false">SUMPRODUCT(($B$226:$B$242=$A250)*G$226:G$242*$C$226:$C$242)</f>
        <v>156.239508433165</v>
      </c>
      <c r="H250" s="26" t="n">
        <f aca="false">SUMPRODUCT(($B$226:$B$242=$A250)*H$226:H$242*$C$226:$C$242)</f>
        <v>156.239508433165</v>
      </c>
      <c r="I250" s="26" t="n">
        <f aca="false">SUMPRODUCT(($B$226:$B$242=$A250)*I$226:I$242*$C$226:$C$242)</f>
        <v>156.239508433165</v>
      </c>
      <c r="J250" s="26" t="n">
        <f aca="false">SUMPRODUCT(($B$226:$B$242=$A250)*J$226:J$242*$C$226:$C$242)</f>
        <v>156.239508433165</v>
      </c>
      <c r="K250" s="26" t="n">
        <f aca="false">SUMPRODUCT(($B$226:$B$242=$A250)*K$226:K$242*$C$226:$C$242)</f>
        <v>156.239508433165</v>
      </c>
      <c r="L250" s="26" t="n">
        <f aca="false">SUMPRODUCT(($B$226:$B$242=$A250)*L$226:L$242*$C$226:$C$242)</f>
        <v>156.239508433165</v>
      </c>
      <c r="M250" s="26" t="n">
        <f aca="false">SUMPRODUCT(($B$226:$B$242=$A250)*M$226:M$242*$C$226:$C$242)</f>
        <v>156.239508433165</v>
      </c>
      <c r="N250" s="26" t="n">
        <f aca="false">SUMPRODUCT(($B$226:$B$242=$A250)*N$226:N$242*$C$226:$C$242)</f>
        <v>156.239508433165</v>
      </c>
      <c r="O250" s="26" t="n">
        <f aca="false">SUMPRODUCT(($B$226:$B$242=$A250)*O$226:O$242*$C$226:$C$242)</f>
        <v>156.239508433165</v>
      </c>
      <c r="P250" s="26" t="n">
        <f aca="false">SUMPRODUCT(($B$226:$B$242=$A250)*P$226:P$242*$C$226:$C$242)</f>
        <v>2029.37076256639</v>
      </c>
    </row>
    <row r="251" customFormat="false" ht="15" hidden="false" customHeight="false" outlineLevel="0" collapsed="false">
      <c r="A251" s="5" t="s">
        <v>116</v>
      </c>
      <c r="D251" s="26" t="n">
        <f aca="false">SUMPRODUCT(($B$226:$B$242=$A251)*D$226:D$242*$C$226:$C$242)</f>
        <v>1177.79568994931</v>
      </c>
      <c r="E251" s="26" t="n">
        <f aca="false">SUMPRODUCT(($B$226:$B$242=$A251)*E$226:E$242*$C$226:$C$242)</f>
        <v>1841.89652345428</v>
      </c>
      <c r="F251" s="26" t="n">
        <f aca="false">SUMPRODUCT(($B$226:$B$242=$A251)*F$226:F$242*$C$226:$C$242)</f>
        <v>1177.79568994931</v>
      </c>
      <c r="G251" s="26" t="n">
        <f aca="false">SUMPRODUCT(($B$226:$B$242=$A251)*G$226:G$242*$C$226:$C$242)</f>
        <v>1177.79568994931</v>
      </c>
      <c r="H251" s="26" t="n">
        <f aca="false">SUMPRODUCT(($B$226:$B$242=$A251)*H$226:H$242*$C$226:$C$242)</f>
        <v>1177.79568994931</v>
      </c>
      <c r="I251" s="26" t="n">
        <f aca="false">SUMPRODUCT(($B$226:$B$242=$A251)*I$226:I$242*$C$226:$C$242)</f>
        <v>1177.79568994931</v>
      </c>
      <c r="J251" s="26" t="n">
        <f aca="false">SUMPRODUCT(($B$226:$B$242=$A251)*J$226:J$242*$C$226:$C$242)</f>
        <v>1177.79568994931</v>
      </c>
      <c r="K251" s="26" t="n">
        <f aca="false">SUMPRODUCT(($B$226:$B$242=$A251)*K$226:K$242*$C$226:$C$242)</f>
        <v>1177.79568994931</v>
      </c>
      <c r="L251" s="26" t="n">
        <f aca="false">SUMPRODUCT(($B$226:$B$242=$A251)*L$226:L$242*$C$226:$C$242)</f>
        <v>1177.79568994931</v>
      </c>
      <c r="M251" s="26" t="n">
        <f aca="false">SUMPRODUCT(($B$226:$B$242=$A251)*M$226:M$242*$C$226:$C$242)</f>
        <v>1177.79568994931</v>
      </c>
      <c r="N251" s="26" t="n">
        <f aca="false">SUMPRODUCT(($B$226:$B$242=$A251)*N$226:N$242*$C$226:$C$242)</f>
        <v>1177.79568994931</v>
      </c>
      <c r="O251" s="26" t="n">
        <f aca="false">SUMPRODUCT(($B$226:$B$242=$A251)*O$226:O$242*$C$226:$C$242)</f>
        <v>1177.79568994931</v>
      </c>
      <c r="P251" s="26" t="n">
        <f aca="false">SUMPRODUCT(($B$226:$B$242=$A251)*P$226:P$242*$C$226:$C$242)</f>
        <v>14797.6491128967</v>
      </c>
    </row>
    <row r="252" customFormat="false" ht="15" hidden="false" customHeight="false" outlineLevel="0" collapsed="false">
      <c r="A252" s="5" t="s">
        <v>117</v>
      </c>
      <c r="D252" s="26" t="n">
        <f aca="false">SUMPRODUCT(($B$226:$B$242=$A252)*D$226:D$242*$C$226:$C$242)</f>
        <v>50.2979408168706</v>
      </c>
      <c r="E252" s="26" t="n">
        <f aca="false">SUMPRODUCT(($B$226:$B$242=$A252)*E$226:E$242*$C$226:$C$242)</f>
        <v>50.2979408168706</v>
      </c>
      <c r="F252" s="26" t="n">
        <f aca="false">SUMPRODUCT(($B$226:$B$242=$A252)*F$226:F$242*$C$226:$C$242)</f>
        <v>50.2979408168706</v>
      </c>
      <c r="G252" s="26" t="n">
        <f aca="false">SUMPRODUCT(($B$226:$B$242=$A252)*G$226:G$242*$C$226:$C$242)</f>
        <v>50.2979408168706</v>
      </c>
      <c r="H252" s="26" t="n">
        <f aca="false">SUMPRODUCT(($B$226:$B$242=$A252)*H$226:H$242*$C$226:$C$242)</f>
        <v>50.2979408168706</v>
      </c>
      <c r="I252" s="26" t="n">
        <f aca="false">SUMPRODUCT(($B$226:$B$242=$A252)*I$226:I$242*$C$226:$C$242)</f>
        <v>50.2979408168706</v>
      </c>
      <c r="J252" s="26" t="n">
        <f aca="false">SUMPRODUCT(($B$226:$B$242=$A252)*J$226:J$242*$C$226:$C$242)</f>
        <v>50.2979408168706</v>
      </c>
      <c r="K252" s="26" t="n">
        <f aca="false">SUMPRODUCT(($B$226:$B$242=$A252)*K$226:K$242*$C$226:$C$242)</f>
        <v>50.2979408168706</v>
      </c>
      <c r="L252" s="26" t="n">
        <f aca="false">SUMPRODUCT(($B$226:$B$242=$A252)*L$226:L$242*$C$226:$C$242)</f>
        <v>50.2979408168706</v>
      </c>
      <c r="M252" s="26" t="n">
        <f aca="false">SUMPRODUCT(($B$226:$B$242=$A252)*M$226:M$242*$C$226:$C$242)</f>
        <v>50.2979408168706</v>
      </c>
      <c r="N252" s="26" t="n">
        <f aca="false">SUMPRODUCT(($B$226:$B$242=$A252)*N$226:N$242*$C$226:$C$242)</f>
        <v>50.2979408168706</v>
      </c>
      <c r="O252" s="26" t="n">
        <f aca="false">SUMPRODUCT(($B$226:$B$242=$A252)*O$226:O$242*$C$226:$C$242)</f>
        <v>50.2979408168706</v>
      </c>
      <c r="P252" s="26" t="n">
        <f aca="false">SUMPRODUCT(($B$226:$B$242=$A252)*P$226:P$242*$C$226:$C$242)</f>
        <v>603.575289802447</v>
      </c>
    </row>
    <row r="253" customFormat="false" ht="15" hidden="false" customHeight="false" outlineLevel="0" collapsed="false">
      <c r="A253" s="4" t="s">
        <v>432</v>
      </c>
      <c r="D253" s="27" t="n">
        <f aca="false">SUMPRODUCT(D$226:D$242*parametros_recargas!$D$55:$D$71)</f>
        <v>505.383115075006</v>
      </c>
      <c r="E253" s="27" t="n">
        <f aca="false">SUMPRODUCT(E$226:E$242*parametros_recargas!$D$55:$D$71)</f>
        <v>561.044848233267</v>
      </c>
      <c r="F253" s="27" t="n">
        <f aca="false">SUMPRODUCT(F$226:F$242*parametros_recargas!$D$55:$D$71)</f>
        <v>505.383115075006</v>
      </c>
      <c r="G253" s="27" t="n">
        <f aca="false">SUMPRODUCT(G$226:G$242*parametros_recargas!$D$55:$D$71)</f>
        <v>505.383115075006</v>
      </c>
      <c r="H253" s="27" t="n">
        <f aca="false">SUMPRODUCT(H$226:H$242*parametros_recargas!$D$55:$D$71)</f>
        <v>505.383115075006</v>
      </c>
      <c r="I253" s="27" t="n">
        <f aca="false">SUMPRODUCT(I$226:I$242*parametros_recargas!$D$55:$D$71)</f>
        <v>505.383115075006</v>
      </c>
      <c r="J253" s="27" t="n">
        <f aca="false">SUMPRODUCT(J$226:J$242*parametros_recargas!$D$55:$D$71)</f>
        <v>505.383115075006</v>
      </c>
      <c r="K253" s="27" t="n">
        <f aca="false">SUMPRODUCT(K$226:K$242*parametros_recargas!$D$55:$D$71)</f>
        <v>505.383115075006</v>
      </c>
      <c r="L253" s="27" t="n">
        <f aca="false">SUMPRODUCT(L$226:L$242*parametros_recargas!$D$55:$D$71)</f>
        <v>505.383115075006</v>
      </c>
      <c r="M253" s="27" t="n">
        <f aca="false">SUMPRODUCT(M$226:M$242*parametros_recargas!$D$55:$D$71)</f>
        <v>505.383115075006</v>
      </c>
      <c r="N253" s="27" t="n">
        <f aca="false">SUMPRODUCT(N$226:N$242*parametros_recargas!$D$55:$D$71)</f>
        <v>505.383115075006</v>
      </c>
      <c r="O253" s="27" t="n">
        <f aca="false">SUMPRODUCT(O$226:O$242*parametros_recargas!$D$55:$D$71)</f>
        <v>505.383115075006</v>
      </c>
      <c r="P253" s="27" t="n">
        <f aca="false">SUMPRODUCT(P$226:P$242*parametros_recargas!$D$55:$D$71)</f>
        <v>6120.25911405834</v>
      </c>
    </row>
    <row r="254" customFormat="false" ht="15" hidden="false" customHeight="false" outlineLevel="0" collapsed="false">
      <c r="A254" s="4" t="s">
        <v>433</v>
      </c>
      <c r="D254" s="27" t="n">
        <f aca="false">SUMPRODUCT(sobrestock_sustitutos!$I$73:$I$73,--(sobrestock_sustitutos!$F$30:$F$30="Fábrica: cilindro vacío"),parametros_recargas!$C$55:$C$55)*parametros_recargas!E$109+SUMPRODUCT(sobrestock_sustitutos!$I$74:$I$76,--(sobrestock_sustitutos!$F$31:$F$33="Fábrica: cilindro vacío"),parametros_recargas!$C$56:$C$58)*parametros_recargas!E$110+SUMPRODUCT(sobrestock_sustitutos!$I$86:$I$89,--(sobrestock_sustitutos!$F$43:$F$46="Fábrica: cilindro vacío"),parametros_recargas!$C$68:$C$71)*parametros_recargas!E$111</f>
        <v>21.590885734975</v>
      </c>
      <c r="E254" s="27" t="n">
        <f aca="false">SUMPRODUCT(sobrestock_sustitutos!$I$73:$I$73,--(sobrestock_sustitutos!$F$30:$F$30="Fábrica: cilindro vacío"),parametros_recargas!$C$55:$C$55)*parametros_recargas!F$109+SUMPRODUCT(sobrestock_sustitutos!$I$74:$I$76,--(sobrestock_sustitutos!$F$31:$F$33="Fábrica: cilindro vacío"),parametros_recargas!$C$56:$C$58)*parametros_recargas!F$110+SUMPRODUCT(sobrestock_sustitutos!$I$86:$I$89,--(sobrestock_sustitutos!$F$43:$F$46="Fábrica: cilindro vacío"),parametros_recargas!$C$68:$C$71)*parametros_recargas!F$111</f>
        <v>17.516710942625</v>
      </c>
      <c r="F254" s="27" t="n">
        <f aca="false">SUMPRODUCT(sobrestock_sustitutos!$I$73:$I$73,--(sobrestock_sustitutos!$F$30:$F$30="Fábrica: cilindro vacío"),parametros_recargas!$C$55:$C$55)*parametros_recargas!G$109+SUMPRODUCT(sobrestock_sustitutos!$I$74:$I$76,--(sobrestock_sustitutos!$F$31:$F$33="Fábrica: cilindro vacío"),parametros_recargas!$C$56:$C$58)*parametros_recargas!G$110+SUMPRODUCT(sobrestock_sustitutos!$I$86:$I$89,--(sobrestock_sustitutos!$F$43:$F$46="Fábrica: cilindro vacío"),parametros_recargas!$C$68:$C$71)*parametros_recargas!G$111</f>
        <v>18.97097313115</v>
      </c>
      <c r="G254" s="27" t="n">
        <f aca="false">SUMPRODUCT(sobrestock_sustitutos!$I$73:$I$73,--(sobrestock_sustitutos!$F$30:$F$30="Fábrica: cilindro vacío"),parametros_recargas!$C$55:$C$55)*parametros_recargas!H$109+SUMPRODUCT(sobrestock_sustitutos!$I$74:$I$76,--(sobrestock_sustitutos!$F$31:$F$33="Fábrica: cilindro vacío"),parametros_recargas!$C$56:$C$58)*parametros_recargas!H$110+SUMPRODUCT(sobrestock_sustitutos!$I$86:$I$89,--(sobrestock_sustitutos!$F$43:$F$46="Fábrica: cilindro vacío"),parametros_recargas!$C$68:$C$71)*parametros_recargas!H$111</f>
        <v>18.97097313115</v>
      </c>
      <c r="H254" s="27" t="n">
        <f aca="false">SUMPRODUCT(sobrestock_sustitutos!$I$73:$I$73,--(sobrestock_sustitutos!$F$30:$F$30="Fábrica: cilindro vacío"),parametros_recargas!$C$55:$C$55)*parametros_recargas!I$109+SUMPRODUCT(sobrestock_sustitutos!$I$74:$I$76,--(sobrestock_sustitutos!$F$31:$F$33="Fábrica: cilindro vacío"),parametros_recargas!$C$56:$C$58)*parametros_recargas!I$110+SUMPRODUCT(sobrestock_sustitutos!$I$86:$I$89,--(sobrestock_sustitutos!$F$43:$F$46="Fábrica: cilindro vacío"),parametros_recargas!$C$68:$C$71)*parametros_recargas!I$111</f>
        <v>18.03957313115</v>
      </c>
      <c r="I254" s="27" t="n">
        <f aca="false">SUMPRODUCT(sobrestock_sustitutos!$I$73:$I$73,--(sobrestock_sustitutos!$F$30:$F$30="Fábrica: cilindro vacío"),parametros_recargas!$C$55:$C$55)*parametros_recargas!J$109+SUMPRODUCT(sobrestock_sustitutos!$I$74:$I$76,--(sobrestock_sustitutos!$F$31:$F$33="Fábrica: cilindro vacío"),parametros_recargas!$C$56:$C$58)*parametros_recargas!J$110+SUMPRODUCT(sobrestock_sustitutos!$I$86:$I$89,--(sobrestock_sustitutos!$F$43:$F$46="Fábrica: cilindro vacío"),parametros_recargas!$C$68:$C$71)*parametros_recargas!J$111</f>
        <v>16.7595983388</v>
      </c>
      <c r="J254" s="27" t="n">
        <f aca="false">SUMPRODUCT(sobrestock_sustitutos!$I$73:$I$73,--(sobrestock_sustitutos!$F$30:$F$30="Fábrica: cilindro vacío"),parametros_recargas!$C$55:$C$55)*parametros_recargas!K$109+SUMPRODUCT(sobrestock_sustitutos!$I$74:$I$76,--(sobrestock_sustitutos!$F$31:$F$33="Fábrica: cilindro vacío"),parametros_recargas!$C$56:$C$58)*parametros_recargas!K$110+SUMPRODUCT(sobrestock_sustitutos!$I$86:$I$89,--(sobrestock_sustitutos!$F$43:$F$46="Fábrica: cilindro vacío"),parametros_recargas!$C$68:$C$71)*parametros_recargas!K$111</f>
        <v>18.03957313115</v>
      </c>
      <c r="K254" s="27" t="n">
        <f aca="false">SUMPRODUCT(sobrestock_sustitutos!$I$73:$I$73,--(sobrestock_sustitutos!$F$30:$F$30="Fábrica: cilindro vacío"),parametros_recargas!$C$55:$C$55)*parametros_recargas!L$109+SUMPRODUCT(sobrestock_sustitutos!$I$74:$I$76,--(sobrestock_sustitutos!$F$31:$F$33="Fábrica: cilindro vacío"),parametros_recargas!$C$56:$C$58)*parametros_recargas!L$110+SUMPRODUCT(sobrestock_sustitutos!$I$86:$I$89,--(sobrestock_sustitutos!$F$43:$F$46="Fábrica: cilindro vacío"),parametros_recargas!$C$68:$C$71)*parametros_recargas!L$111</f>
        <v>18.03957313115</v>
      </c>
      <c r="L254" s="27" t="n">
        <f aca="false">SUMPRODUCT(sobrestock_sustitutos!$I$73:$I$73,--(sobrestock_sustitutos!$F$30:$F$30="Fábrica: cilindro vacío"),parametros_recargas!$C$55:$C$55)*parametros_recargas!M$109+SUMPRODUCT(sobrestock_sustitutos!$I$74:$I$76,--(sobrestock_sustitutos!$F$31:$F$33="Fábrica: cilindro vacío"),parametros_recargas!$C$56:$C$58)*parametros_recargas!M$110+SUMPRODUCT(sobrestock_sustitutos!$I$86:$I$89,--(sobrestock_sustitutos!$F$43:$F$46="Fábrica: cilindro vacío"),parametros_recargas!$C$68:$C$71)*parametros_recargas!M$111</f>
        <v>17.865285734975</v>
      </c>
      <c r="M254" s="27" t="n">
        <f aca="false">SUMPRODUCT(sobrestock_sustitutos!$I$73:$I$73,--(sobrestock_sustitutos!$F$30:$F$30="Fábrica: cilindro vacío"),parametros_recargas!$C$55:$C$55)*parametros_recargas!N$109+SUMPRODUCT(sobrestock_sustitutos!$I$74:$I$76,--(sobrestock_sustitutos!$F$31:$F$33="Fábrica: cilindro vacío"),parametros_recargas!$C$56:$C$58)*parametros_recargas!N$110+SUMPRODUCT(sobrestock_sustitutos!$I$86:$I$89,--(sobrestock_sustitutos!$F$43:$F$46="Fábrica: cilindro vacío"),parametros_recargas!$C$68:$C$71)*parametros_recargas!N$111</f>
        <v>16.585310942625</v>
      </c>
      <c r="N254" s="27" t="n">
        <f aca="false">SUMPRODUCT(sobrestock_sustitutos!$I$73:$I$73,--(sobrestock_sustitutos!$F$30:$F$30="Fábrica: cilindro vacío"),parametros_recargas!$C$55:$C$55)*parametros_recargas!O$109+SUMPRODUCT(sobrestock_sustitutos!$I$74:$I$76,--(sobrestock_sustitutos!$F$31:$F$33="Fábrica: cilindro vacío"),parametros_recargas!$C$56:$C$58)*parametros_recargas!O$110+SUMPRODUCT(sobrestock_sustitutos!$I$86:$I$89,--(sobrestock_sustitutos!$F$43:$F$46="Fábrica: cilindro vacío"),parametros_recargas!$C$68:$C$71)*parametros_recargas!O$111</f>
        <v>15.47962354645</v>
      </c>
      <c r="O254" s="27" t="n">
        <f aca="false">SUMPRODUCT(sobrestock_sustitutos!$I$73:$I$73,--(sobrestock_sustitutos!$F$30:$F$30="Fábrica: cilindro vacío"),parametros_recargas!$C$55:$C$55)*parametros_recargas!P$109+SUMPRODUCT(sobrestock_sustitutos!$I$74:$I$76,--(sobrestock_sustitutos!$F$31:$F$33="Fábrica: cilindro vacío"),parametros_recargas!$C$56:$C$58)*parametros_recargas!P$110+SUMPRODUCT(sobrestock_sustitutos!$I$86:$I$89,--(sobrestock_sustitutos!$F$43:$F$46="Fábrica: cilindro vacío"),parametros_recargas!$C$68:$C$71)*parametros_recargas!P$111</f>
        <v>23.2793983388</v>
      </c>
      <c r="P254" s="8" t="n">
        <f aca="false">SUM(D254:O254)</f>
        <v>221.137479235</v>
      </c>
    </row>
    <row r="257" customFormat="false" ht="15" hidden="false" customHeight="false" outlineLevel="0" collapsed="false">
      <c r="A257" s="28" t="n">
        <v>2034</v>
      </c>
      <c r="B257" s="6" t="s">
        <v>428</v>
      </c>
      <c r="C257" s="6" t="s">
        <v>429</v>
      </c>
      <c r="D257" s="6" t="s">
        <v>175</v>
      </c>
      <c r="E257" s="6" t="s">
        <v>176</v>
      </c>
      <c r="F257" s="6" t="s">
        <v>177</v>
      </c>
      <c r="G257" s="6" t="s">
        <v>178</v>
      </c>
      <c r="H257" s="6" t="s">
        <v>179</v>
      </c>
      <c r="I257" s="6" t="s">
        <v>180</v>
      </c>
      <c r="J257" s="6" t="s">
        <v>181</v>
      </c>
      <c r="K257" s="6" t="s">
        <v>182</v>
      </c>
      <c r="L257" s="6" t="s">
        <v>183</v>
      </c>
      <c r="M257" s="6" t="s">
        <v>184</v>
      </c>
      <c r="N257" s="6" t="s">
        <v>185</v>
      </c>
      <c r="O257" s="6" t="s">
        <v>186</v>
      </c>
      <c r="P257" s="6" t="s">
        <v>85</v>
      </c>
    </row>
    <row r="258" customFormat="false" ht="15" hidden="false" customHeight="false" outlineLevel="0" collapsed="false">
      <c r="A258" s="10" t="str">
        <f aca="false">parametros_recargas!A55</f>
        <v>ABC 1 kg</v>
      </c>
      <c r="B258" s="10" t="str">
        <f aca="false">parametros_recargas!B55</f>
        <v>ABC</v>
      </c>
      <c r="C258" s="25" t="n">
        <f aca="false">parametros_recargas!C55</f>
        <v>1</v>
      </c>
      <c r="D258" s="26" t="n">
        <f aca="false">datos_base!$J$2*parametros_recargas!E$55+sobrestock_sustitutos!$I$51/12</f>
        <v>763.0135856443</v>
      </c>
      <c r="E258" s="26" t="n">
        <f aca="false">datos_base!$J$2*parametros_recargas!F$55+sobrestock_sustitutos!$I$51/12</f>
        <v>9990.33105300635</v>
      </c>
      <c r="F258" s="26" t="n">
        <f aca="false">datos_base!$J$2*parametros_recargas!G$55+sobrestock_sustitutos!$I$51/12</f>
        <v>10049.6144879369</v>
      </c>
      <c r="G258" s="26" t="n">
        <f aca="false">datos_base!$J$2*parametros_recargas!H$55+sobrestock_sustitutos!$I$51/12</f>
        <v>10121.4351069682</v>
      </c>
      <c r="H258" s="26" t="n">
        <f aca="false">datos_base!$J$2*parametros_recargas!I$55+sobrestock_sustitutos!$I$51/12</f>
        <v>10125.1843426629</v>
      </c>
      <c r="I258" s="26" t="n">
        <f aca="false">datos_base!$J$2*parametros_recargas!J$55+sobrestock_sustitutos!$I$51/12</f>
        <v>10091.0402915815</v>
      </c>
      <c r="J258" s="26" t="n">
        <f aca="false">datos_base!$J$2*parametros_recargas!K$55+sobrestock_sustitutos!$I$51/12</f>
        <v>10198.4353059476</v>
      </c>
      <c r="K258" s="26" t="n">
        <f aca="false">datos_base!$J$2*parametros_recargas!L$55+sobrestock_sustitutos!$I$51/12</f>
        <v>10117.6100196842</v>
      </c>
      <c r="L258" s="26" t="n">
        <f aca="false">datos_base!$J$2*parametros_recargas!M$55+sobrestock_sustitutos!$I$51/12</f>
        <v>10130.2122194327</v>
      </c>
      <c r="M258" s="26" t="n">
        <f aca="false">datos_base!$J$2*parametros_recargas!N$55+sobrestock_sustitutos!$I$51/12</f>
        <v>10088.5480250792</v>
      </c>
      <c r="N258" s="26" t="n">
        <f aca="false">datos_base!$J$2*parametros_recargas!O$55+sobrestock_sustitutos!$I$51/12</f>
        <v>9909.12650879694</v>
      </c>
      <c r="O258" s="26" t="n">
        <f aca="false">datos_base!$J$2*parametros_recargas!P$55+sobrestock_sustitutos!$I$51/12</f>
        <v>275.493749972325</v>
      </c>
      <c r="P258" s="8" t="n">
        <f aca="false">SUM(D258:O258)</f>
        <v>101860.044696713</v>
      </c>
    </row>
    <row r="259" customFormat="false" ht="15" hidden="false" customHeight="false" outlineLevel="0" collapsed="false">
      <c r="A259" s="10" t="str">
        <f aca="false">parametros_recargas!A56</f>
        <v>ABC 2,5 kg</v>
      </c>
      <c r="B259" s="10" t="str">
        <f aca="false">parametros_recargas!B56</f>
        <v>ABC</v>
      </c>
      <c r="C259" s="25" t="n">
        <f aca="false">parametros_recargas!C56</f>
        <v>1</v>
      </c>
      <c r="D259" s="26" t="n">
        <f aca="false">datos_base!$J$3*parametros_recargas!E$56+sobrestock_sustitutos!$I$52/12</f>
        <v>686.810945657936</v>
      </c>
      <c r="E259" s="26" t="n">
        <f aca="false">datos_base!$J$3*parametros_recargas!F$56+sobrestock_sustitutos!$I$52/12</f>
        <v>1162.91054637199</v>
      </c>
      <c r="F259" s="26" t="n">
        <f aca="false">datos_base!$J$3*parametros_recargas!G$56+sobrestock_sustitutos!$I$52/12</f>
        <v>686.810945657936</v>
      </c>
      <c r="G259" s="26" t="n">
        <f aca="false">datos_base!$J$3*parametros_recargas!H$56+sobrestock_sustitutos!$I$52/12</f>
        <v>686.810945657936</v>
      </c>
      <c r="H259" s="26" t="n">
        <f aca="false">datos_base!$J$3*parametros_recargas!I$56+sobrestock_sustitutos!$I$52/12</f>
        <v>686.810945657936</v>
      </c>
      <c r="I259" s="26" t="n">
        <f aca="false">datos_base!$J$3*parametros_recargas!J$56+sobrestock_sustitutos!$I$52/12</f>
        <v>686.810945657936</v>
      </c>
      <c r="J259" s="26" t="n">
        <f aca="false">datos_base!$J$3*parametros_recargas!K$56+sobrestock_sustitutos!$I$52/12</f>
        <v>686.810945657936</v>
      </c>
      <c r="K259" s="26" t="n">
        <f aca="false">datos_base!$J$3*parametros_recargas!L$56+sobrestock_sustitutos!$I$52/12</f>
        <v>686.810945657936</v>
      </c>
      <c r="L259" s="26" t="n">
        <f aca="false">datos_base!$J$3*parametros_recargas!M$56+sobrestock_sustitutos!$I$52/12</f>
        <v>686.810945657936</v>
      </c>
      <c r="M259" s="26" t="n">
        <f aca="false">datos_base!$J$3*parametros_recargas!N$56+sobrestock_sustitutos!$I$52/12</f>
        <v>686.810945657936</v>
      </c>
      <c r="N259" s="26" t="n">
        <f aca="false">datos_base!$J$3*parametros_recargas!O$56+sobrestock_sustitutos!$I$52/12</f>
        <v>686.810945657936</v>
      </c>
      <c r="O259" s="26" t="n">
        <f aca="false">datos_base!$J$3*parametros_recargas!P$56+sobrestock_sustitutos!$I$52/12</f>
        <v>686.810945657936</v>
      </c>
      <c r="P259" s="8" t="n">
        <f aca="false">SUM(D259:O259)</f>
        <v>8717.83094860929</v>
      </c>
    </row>
    <row r="260" customFormat="false" ht="15" hidden="false" customHeight="false" outlineLevel="0" collapsed="false">
      <c r="A260" s="10" t="str">
        <f aca="false">parametros_recargas!A57</f>
        <v>ABC 5 kg</v>
      </c>
      <c r="B260" s="10" t="str">
        <f aca="false">parametros_recargas!B57</f>
        <v>ABC</v>
      </c>
      <c r="C260" s="25" t="n">
        <f aca="false">parametros_recargas!C57</f>
        <v>1</v>
      </c>
      <c r="D260" s="26" t="n">
        <f aca="false">datos_base!$J$4*parametros_recargas!E$57+sobrestock_sustitutos!$I$53/12</f>
        <v>4001.32283186444</v>
      </c>
      <c r="E260" s="26" t="n">
        <f aca="false">datos_base!$J$4*parametros_recargas!F$57+sobrestock_sustitutos!$I$53/12</f>
        <v>6146.30977689455</v>
      </c>
      <c r="F260" s="26" t="n">
        <f aca="false">datos_base!$J$4*parametros_recargas!G$57+sobrestock_sustitutos!$I$53/12</f>
        <v>4323.66171946449</v>
      </c>
      <c r="G260" s="26" t="n">
        <f aca="false">datos_base!$J$4*parametros_recargas!H$57+sobrestock_sustitutos!$I$53/12</f>
        <v>4326.15462065502</v>
      </c>
      <c r="H260" s="26" t="n">
        <f aca="false">datos_base!$J$4*parametros_recargas!I$57+sobrestock_sustitutos!$I$53/12</f>
        <v>4326.28475701771</v>
      </c>
      <c r="I260" s="26" t="n">
        <f aca="false">datos_base!$J$4*parametros_recargas!J$57+sobrestock_sustitutos!$I$53/12</f>
        <v>4325.09961343724</v>
      </c>
      <c r="J260" s="26" t="n">
        <f aca="false">datos_base!$J$4*parametros_recargas!K$57+sobrestock_sustitutos!$I$53/12</f>
        <v>4328.82730560672</v>
      </c>
      <c r="K260" s="26" t="n">
        <f aca="false">datos_base!$J$4*parametros_recargas!L$57+sobrestock_sustitutos!$I$53/12</f>
        <v>4326.02185147574</v>
      </c>
      <c r="L260" s="26" t="n">
        <f aca="false">datos_base!$J$4*parametros_recargas!M$57+sobrestock_sustitutos!$I$53/12</f>
        <v>4326.45927514572</v>
      </c>
      <c r="M260" s="26" t="n">
        <f aca="false">datos_base!$J$4*parametros_recargas!N$57+sobrestock_sustitutos!$I$53/12</f>
        <v>4325.01310660655</v>
      </c>
      <c r="N260" s="26" t="n">
        <f aca="false">datos_base!$J$4*parametros_recargas!O$57+sobrestock_sustitutos!$I$53/12</f>
        <v>4318.7853670301</v>
      </c>
      <c r="O260" s="26" t="n">
        <f aca="false">datos_base!$J$4*parametros_recargas!P$57+sobrestock_sustitutos!$I$53/12</f>
        <v>3984.40096743128</v>
      </c>
      <c r="P260" s="8" t="n">
        <f aca="false">SUM(D260:O260)</f>
        <v>53058.3411926296</v>
      </c>
    </row>
    <row r="261" customFormat="false" ht="15" hidden="false" customHeight="false" outlineLevel="0" collapsed="false">
      <c r="A261" s="10" t="str">
        <f aca="false">parametros_recargas!A58</f>
        <v>ABC 10 kg</v>
      </c>
      <c r="B261" s="10" t="str">
        <f aca="false">parametros_recargas!B58</f>
        <v>ABC</v>
      </c>
      <c r="C261" s="25" t="n">
        <f aca="false">parametros_recargas!C58</f>
        <v>1</v>
      </c>
      <c r="D261" s="26" t="n">
        <f aca="false">datos_base!$J$5*parametros_recargas!E$58+sobrestock_sustitutos!$I$54/12</f>
        <v>245.734314710749</v>
      </c>
      <c r="E261" s="26" t="n">
        <f aca="false">datos_base!$J$5*parametros_recargas!F$58+sobrestock_sustitutos!$I$54/12</f>
        <v>448.453844214092</v>
      </c>
      <c r="F261" s="26" t="n">
        <f aca="false">datos_base!$J$5*parametros_recargas!G$58+sobrestock_sustitutos!$I$54/12</f>
        <v>245.734314710749</v>
      </c>
      <c r="G261" s="26" t="n">
        <f aca="false">datos_base!$J$5*parametros_recargas!H$58+sobrestock_sustitutos!$I$54/12</f>
        <v>245.734314710749</v>
      </c>
      <c r="H261" s="26" t="n">
        <f aca="false">datos_base!$J$5*parametros_recargas!I$58+sobrestock_sustitutos!$I$54/12</f>
        <v>245.734314710749</v>
      </c>
      <c r="I261" s="26" t="n">
        <f aca="false">datos_base!$J$5*parametros_recargas!J$58+sobrestock_sustitutos!$I$54/12</f>
        <v>245.734314710749</v>
      </c>
      <c r="J261" s="26" t="n">
        <f aca="false">datos_base!$J$5*parametros_recargas!K$58+sobrestock_sustitutos!$I$54/12</f>
        <v>245.734314710749</v>
      </c>
      <c r="K261" s="26" t="n">
        <f aca="false">datos_base!$J$5*parametros_recargas!L$58+sobrestock_sustitutos!$I$54/12</f>
        <v>245.734314710749</v>
      </c>
      <c r="L261" s="26" t="n">
        <f aca="false">datos_base!$J$5*parametros_recargas!M$58+sobrestock_sustitutos!$I$54/12</f>
        <v>245.734314710749</v>
      </c>
      <c r="M261" s="26" t="n">
        <f aca="false">datos_base!$J$5*parametros_recargas!N$58+sobrestock_sustitutos!$I$54/12</f>
        <v>245.734314710749</v>
      </c>
      <c r="N261" s="26" t="n">
        <f aca="false">datos_base!$J$5*parametros_recargas!O$58+sobrestock_sustitutos!$I$54/12</f>
        <v>245.734314710749</v>
      </c>
      <c r="O261" s="26" t="n">
        <f aca="false">datos_base!$J$5*parametros_recargas!P$58+sobrestock_sustitutos!$I$54/12</f>
        <v>245.734314710749</v>
      </c>
      <c r="P261" s="8" t="n">
        <f aca="false">SUM(D261:O261)</f>
        <v>3151.53130603234</v>
      </c>
    </row>
    <row r="262" customFormat="false" ht="15" hidden="false" customHeight="false" outlineLevel="0" collapsed="false">
      <c r="A262" s="10" t="str">
        <f aca="false">parametros_recargas!A59</f>
        <v>Agua 10 l</v>
      </c>
      <c r="B262" s="10" t="str">
        <f aca="false">parametros_recargas!B59</f>
        <v>Agua</v>
      </c>
      <c r="C262" s="25" t="n">
        <f aca="false">parametros_recargas!C59</f>
        <v>1</v>
      </c>
      <c r="D262" s="26" t="n">
        <f aca="false">datos_base!$J$6*parametros_recargas!E$59+sobrestock_sustitutos!$I$55/12</f>
        <v>355.146774725298</v>
      </c>
      <c r="E262" s="26" t="n">
        <f aca="false">datos_base!$J$6*parametros_recargas!F$59+sobrestock_sustitutos!$I$55/12</f>
        <v>525.382786548776</v>
      </c>
      <c r="F262" s="26" t="n">
        <f aca="false">datos_base!$J$6*parametros_recargas!G$59+sobrestock_sustitutos!$I$55/12</f>
        <v>355.146774725298</v>
      </c>
      <c r="G262" s="26" t="n">
        <f aca="false">datos_base!$J$6*parametros_recargas!H$59+sobrestock_sustitutos!$I$55/12</f>
        <v>355.146774725298</v>
      </c>
      <c r="H262" s="26" t="n">
        <f aca="false">datos_base!$J$6*parametros_recargas!I$59+sobrestock_sustitutos!$I$55/12</f>
        <v>355.146774725298</v>
      </c>
      <c r="I262" s="26" t="n">
        <f aca="false">datos_base!$J$6*parametros_recargas!J$59+sobrestock_sustitutos!$I$55/12</f>
        <v>355.146774725298</v>
      </c>
      <c r="J262" s="26" t="n">
        <f aca="false">datos_base!$J$6*parametros_recargas!K$59+sobrestock_sustitutos!$I$55/12</f>
        <v>355.146774725298</v>
      </c>
      <c r="K262" s="26" t="n">
        <f aca="false">datos_base!$J$6*parametros_recargas!L$59+sobrestock_sustitutos!$I$55/12</f>
        <v>355.146774725298</v>
      </c>
      <c r="L262" s="26" t="n">
        <f aca="false">datos_base!$J$6*parametros_recargas!M$59+sobrestock_sustitutos!$I$55/12</f>
        <v>355.146774725298</v>
      </c>
      <c r="M262" s="26" t="n">
        <f aca="false">datos_base!$J$6*parametros_recargas!N$59+sobrestock_sustitutos!$I$55/12</f>
        <v>355.146774725298</v>
      </c>
      <c r="N262" s="26" t="n">
        <f aca="false">datos_base!$J$6*parametros_recargas!O$59+sobrestock_sustitutos!$I$55/12</f>
        <v>355.146774725298</v>
      </c>
      <c r="O262" s="26" t="n">
        <f aca="false">datos_base!$J$6*parametros_recargas!P$59+sobrestock_sustitutos!$I$55/12</f>
        <v>355.146774725298</v>
      </c>
      <c r="P262" s="8" t="n">
        <f aca="false">SUM(D262:O262)</f>
        <v>4431.99730852705</v>
      </c>
    </row>
    <row r="263" customFormat="false" ht="15" hidden="false" customHeight="false" outlineLevel="0" collapsed="false">
      <c r="A263" s="10" t="str">
        <f aca="false">parametros_recargas!A60</f>
        <v>AFFF 10 l</v>
      </c>
      <c r="B263" s="10" t="str">
        <f aca="false">parametros_recargas!B60</f>
        <v>AFFF</v>
      </c>
      <c r="C263" s="25" t="n">
        <f aca="false">parametros_recargas!C60</f>
        <v>1</v>
      </c>
      <c r="D263" s="26" t="n">
        <f aca="false">datos_base!$J$7*parametros_recargas!E$60+sobrestock_sustitutos!$I$56/12</f>
        <v>69.3608340049327</v>
      </c>
      <c r="E263" s="26" t="n">
        <f aca="false">datos_base!$J$7*parametros_recargas!F$60+sobrestock_sustitutos!$I$56/12</f>
        <v>69.3608340049327</v>
      </c>
      <c r="F263" s="26" t="n">
        <f aca="false">datos_base!$J$7*parametros_recargas!G$60+sobrestock_sustitutos!$I$56/12</f>
        <v>69.3608340049327</v>
      </c>
      <c r="G263" s="26" t="n">
        <f aca="false">datos_base!$J$7*parametros_recargas!H$60+sobrestock_sustitutos!$I$56/12</f>
        <v>69.3608340049327</v>
      </c>
      <c r="H263" s="26" t="n">
        <f aca="false">datos_base!$J$7*parametros_recargas!I$60+sobrestock_sustitutos!$I$56/12</f>
        <v>69.3608340049327</v>
      </c>
      <c r="I263" s="26" t="n">
        <f aca="false">datos_base!$J$7*parametros_recargas!J$60+sobrestock_sustitutos!$I$56/12</f>
        <v>69.3608340049327</v>
      </c>
      <c r="J263" s="26" t="n">
        <f aca="false">datos_base!$J$7*parametros_recargas!K$60+sobrestock_sustitutos!$I$56/12</f>
        <v>69.3608340049327</v>
      </c>
      <c r="K263" s="26" t="n">
        <f aca="false">datos_base!$J$7*parametros_recargas!L$60+sobrestock_sustitutos!$I$56/12</f>
        <v>69.3608340049327</v>
      </c>
      <c r="L263" s="26" t="n">
        <f aca="false">datos_base!$J$7*parametros_recargas!M$60+sobrestock_sustitutos!$I$56/12</f>
        <v>69.3608340049327</v>
      </c>
      <c r="M263" s="26" t="n">
        <f aca="false">datos_base!$J$7*parametros_recargas!N$60+sobrestock_sustitutos!$I$56/12</f>
        <v>69.3608340049327</v>
      </c>
      <c r="N263" s="26" t="n">
        <f aca="false">datos_base!$J$7*parametros_recargas!O$60+sobrestock_sustitutos!$I$56/12</f>
        <v>69.3608340049327</v>
      </c>
      <c r="O263" s="26" t="n">
        <f aca="false">datos_base!$J$7*parametros_recargas!P$60+sobrestock_sustitutos!$I$56/12</f>
        <v>69.3608340049327</v>
      </c>
      <c r="P263" s="8" t="n">
        <f aca="false">SUM(D263:O263)</f>
        <v>832.330008059193</v>
      </c>
    </row>
    <row r="264" customFormat="false" ht="15" hidden="false" customHeight="false" outlineLevel="0" collapsed="false">
      <c r="A264" s="10" t="str">
        <f aca="false">parametros_recargas!A61</f>
        <v>AFFF 50 l s/ruedas</v>
      </c>
      <c r="B264" s="10" t="str">
        <f aca="false">parametros_recargas!B61</f>
        <v>AFFF</v>
      </c>
      <c r="C264" s="25" t="n">
        <f aca="false">parametros_recargas!C61</f>
        <v>6.360853875</v>
      </c>
      <c r="D264" s="26" t="n">
        <f aca="false">datos_base!$J$8*parametros_recargas!E$61+sobrestock_sustitutos!$I$57/12</f>
        <v>36.3226378909994</v>
      </c>
      <c r="E264" s="26" t="n">
        <f aca="false">datos_base!$J$8*parametros_recargas!F$61+sobrestock_sustitutos!$I$57/12</f>
        <v>36.3226378909994</v>
      </c>
      <c r="F264" s="26" t="n">
        <f aca="false">datos_base!$J$8*parametros_recargas!G$61+sobrestock_sustitutos!$I$57/12</f>
        <v>36.3226378909994</v>
      </c>
      <c r="G264" s="26" t="n">
        <f aca="false">datos_base!$J$8*parametros_recargas!H$61+sobrestock_sustitutos!$I$57/12</f>
        <v>36.3226378909994</v>
      </c>
      <c r="H264" s="26" t="n">
        <f aca="false">datos_base!$J$8*parametros_recargas!I$61+sobrestock_sustitutos!$I$57/12</f>
        <v>36.3226378909994</v>
      </c>
      <c r="I264" s="26" t="n">
        <f aca="false">datos_base!$J$8*parametros_recargas!J$61+sobrestock_sustitutos!$I$57/12</f>
        <v>36.3226378909994</v>
      </c>
      <c r="J264" s="26" t="n">
        <f aca="false">datos_base!$J$8*parametros_recargas!K$61+sobrestock_sustitutos!$I$57/12</f>
        <v>36.3226378909994</v>
      </c>
      <c r="K264" s="26" t="n">
        <f aca="false">datos_base!$J$8*parametros_recargas!L$61+sobrestock_sustitutos!$I$57/12</f>
        <v>36.3226378909994</v>
      </c>
      <c r="L264" s="26" t="n">
        <f aca="false">datos_base!$J$8*parametros_recargas!M$61+sobrestock_sustitutos!$I$57/12</f>
        <v>36.3226378909994</v>
      </c>
      <c r="M264" s="26" t="n">
        <f aca="false">datos_base!$J$8*parametros_recargas!N$61+sobrestock_sustitutos!$I$57/12</f>
        <v>36.3226378909994</v>
      </c>
      <c r="N264" s="26" t="n">
        <f aca="false">datos_base!$J$8*parametros_recargas!O$61+sobrestock_sustitutos!$I$57/12</f>
        <v>36.3226378909994</v>
      </c>
      <c r="O264" s="26" t="n">
        <f aca="false">datos_base!$J$8*parametros_recargas!P$61+sobrestock_sustitutos!$I$57/12</f>
        <v>36.3226378909994</v>
      </c>
      <c r="P264" s="8" t="n">
        <f aca="false">SUM(D264:O264)</f>
        <v>435.871654691993</v>
      </c>
    </row>
    <row r="265" customFormat="false" ht="15" hidden="false" customHeight="false" outlineLevel="0" collapsed="false">
      <c r="A265" s="10" t="str">
        <f aca="false">parametros_recargas!A62</f>
        <v>BC 5 kg</v>
      </c>
      <c r="B265" s="10" t="str">
        <f aca="false">parametros_recargas!B62</f>
        <v>BC</v>
      </c>
      <c r="C265" s="25" t="n">
        <f aca="false">parametros_recargas!C62</f>
        <v>1</v>
      </c>
      <c r="D265" s="26" t="n">
        <f aca="false">datos_base!$J$9*parametros_recargas!E$62+sobrestock_sustitutos!$I$58/12</f>
        <v>20.9329072661012</v>
      </c>
      <c r="E265" s="26" t="n">
        <f aca="false">datos_base!$J$9*parametros_recargas!F$62+sobrestock_sustitutos!$I$58/12</f>
        <v>20.9329072661012</v>
      </c>
      <c r="F265" s="26" t="n">
        <f aca="false">datos_base!$J$9*parametros_recargas!G$62+sobrestock_sustitutos!$I$58/12</f>
        <v>20.9329072661012</v>
      </c>
      <c r="G265" s="26" t="n">
        <f aca="false">datos_base!$J$9*parametros_recargas!H$62+sobrestock_sustitutos!$I$58/12</f>
        <v>20.9329072661012</v>
      </c>
      <c r="H265" s="26" t="n">
        <f aca="false">datos_base!$J$9*parametros_recargas!I$62+sobrestock_sustitutos!$I$58/12</f>
        <v>20.9329072661012</v>
      </c>
      <c r="I265" s="26" t="n">
        <f aca="false">datos_base!$J$9*parametros_recargas!J$62+sobrestock_sustitutos!$I$58/12</f>
        <v>20.9329072661012</v>
      </c>
      <c r="J265" s="26" t="n">
        <f aca="false">datos_base!$J$9*parametros_recargas!K$62+sobrestock_sustitutos!$I$58/12</f>
        <v>20.9329072661012</v>
      </c>
      <c r="K265" s="26" t="n">
        <f aca="false">datos_base!$J$9*parametros_recargas!L$62+sobrestock_sustitutos!$I$58/12</f>
        <v>20.9329072661012</v>
      </c>
      <c r="L265" s="26" t="n">
        <f aca="false">datos_base!$J$9*parametros_recargas!M$62+sobrestock_sustitutos!$I$58/12</f>
        <v>20.9329072661012</v>
      </c>
      <c r="M265" s="26" t="n">
        <f aca="false">datos_base!$J$9*parametros_recargas!N$62+sobrestock_sustitutos!$I$58/12</f>
        <v>20.9329072661012</v>
      </c>
      <c r="N265" s="26" t="n">
        <f aca="false">datos_base!$J$9*parametros_recargas!O$62+sobrestock_sustitutos!$I$58/12</f>
        <v>20.9329072661012</v>
      </c>
      <c r="O265" s="26" t="n">
        <f aca="false">datos_base!$J$9*parametros_recargas!P$62+sobrestock_sustitutos!$I$58/12</f>
        <v>20.9329072661012</v>
      </c>
      <c r="P265" s="8" t="n">
        <f aca="false">SUM(D265:O265)</f>
        <v>251.194887193214</v>
      </c>
    </row>
    <row r="266" customFormat="false" ht="15" hidden="false" customHeight="false" outlineLevel="0" collapsed="false">
      <c r="A266" s="10" t="str">
        <f aca="false">parametros_recargas!A63</f>
        <v>Sales K 6 l</v>
      </c>
      <c r="B266" s="10" t="str">
        <f aca="false">parametros_recargas!B63</f>
        <v>Sales K</v>
      </c>
      <c r="C266" s="25" t="n">
        <f aca="false">parametros_recargas!C63</f>
        <v>1</v>
      </c>
      <c r="D266" s="26" t="n">
        <f aca="false">datos_base!$J$10*parametros_recargas!E$63+sobrestock_sustitutos!$I$59/12</f>
        <v>169.107829744051</v>
      </c>
      <c r="E266" s="26" t="n">
        <f aca="false">datos_base!$J$10*parametros_recargas!F$63+sobrestock_sustitutos!$I$59/12</f>
        <v>336.220041459573</v>
      </c>
      <c r="F266" s="26" t="n">
        <f aca="false">datos_base!$J$10*parametros_recargas!G$63+sobrestock_sustitutos!$I$59/12</f>
        <v>169.107829744051</v>
      </c>
      <c r="G266" s="26" t="n">
        <f aca="false">datos_base!$J$10*parametros_recargas!H$63+sobrestock_sustitutos!$I$59/12</f>
        <v>169.107829744051</v>
      </c>
      <c r="H266" s="26" t="n">
        <f aca="false">datos_base!$J$10*parametros_recargas!I$63+sobrestock_sustitutos!$I$59/12</f>
        <v>169.107829744051</v>
      </c>
      <c r="I266" s="26" t="n">
        <f aca="false">datos_base!$J$10*parametros_recargas!J$63+sobrestock_sustitutos!$I$59/12</f>
        <v>169.107829744051</v>
      </c>
      <c r="J266" s="26" t="n">
        <f aca="false">datos_base!$J$10*parametros_recargas!K$63+sobrestock_sustitutos!$I$59/12</f>
        <v>169.107829744051</v>
      </c>
      <c r="K266" s="26" t="n">
        <f aca="false">datos_base!$J$10*parametros_recargas!L$63+sobrestock_sustitutos!$I$59/12</f>
        <v>169.107829744051</v>
      </c>
      <c r="L266" s="26" t="n">
        <f aca="false">datos_base!$J$10*parametros_recargas!M$63+sobrestock_sustitutos!$I$59/12</f>
        <v>169.107829744051</v>
      </c>
      <c r="M266" s="26" t="n">
        <f aca="false">datos_base!$J$10*parametros_recargas!N$63+sobrestock_sustitutos!$I$59/12</f>
        <v>169.107829744051</v>
      </c>
      <c r="N266" s="26" t="n">
        <f aca="false">datos_base!$J$10*parametros_recargas!O$63+sobrestock_sustitutos!$I$59/12</f>
        <v>169.107829744051</v>
      </c>
      <c r="O266" s="26" t="n">
        <f aca="false">datos_base!$J$10*parametros_recargas!P$63+sobrestock_sustitutos!$I$59/12</f>
        <v>169.107829744051</v>
      </c>
      <c r="P266" s="8" t="n">
        <f aca="false">SUM(D266:O266)</f>
        <v>2196.40616864414</v>
      </c>
    </row>
    <row r="267" customFormat="false" ht="15" hidden="false" customHeight="false" outlineLevel="0" collapsed="false">
      <c r="A267" s="10" t="str">
        <f aca="false">parametros_recargas!A64</f>
        <v>CO₂ 2 kg</v>
      </c>
      <c r="B267" s="10" t="str">
        <f aca="false">parametros_recargas!B64</f>
        <v>CO₂</v>
      </c>
      <c r="C267" s="25" t="n">
        <f aca="false">parametros_recargas!C64</f>
        <v>1</v>
      </c>
      <c r="D267" s="26" t="n">
        <f aca="false">datos_base!$J$11*parametros_recargas!E$64+sobrestock_sustitutos!$I$60/12</f>
        <v>939.667626600542</v>
      </c>
      <c r="E267" s="26" t="n">
        <f aca="false">datos_base!$J$11*parametros_recargas!F$64+sobrestock_sustitutos!$I$60/12</f>
        <v>1624.29538379642</v>
      </c>
      <c r="F267" s="26" t="n">
        <f aca="false">datos_base!$J$11*parametros_recargas!G$64+sobrestock_sustitutos!$I$60/12</f>
        <v>939.667626600542</v>
      </c>
      <c r="G267" s="26" t="n">
        <f aca="false">datos_base!$J$11*parametros_recargas!H$64+sobrestock_sustitutos!$I$60/12</f>
        <v>939.667626600542</v>
      </c>
      <c r="H267" s="26" t="n">
        <f aca="false">datos_base!$J$11*parametros_recargas!I$64+sobrestock_sustitutos!$I$60/12</f>
        <v>939.667626600542</v>
      </c>
      <c r="I267" s="26" t="n">
        <f aca="false">datos_base!$J$11*parametros_recargas!J$64+sobrestock_sustitutos!$I$60/12</f>
        <v>939.667626600542</v>
      </c>
      <c r="J267" s="26" t="n">
        <f aca="false">datos_base!$J$11*parametros_recargas!K$64+sobrestock_sustitutos!$I$60/12</f>
        <v>939.667626600542</v>
      </c>
      <c r="K267" s="26" t="n">
        <f aca="false">datos_base!$J$11*parametros_recargas!L$64+sobrestock_sustitutos!$I$60/12</f>
        <v>939.667626600542</v>
      </c>
      <c r="L267" s="26" t="n">
        <f aca="false">datos_base!$J$11*parametros_recargas!M$64+sobrestock_sustitutos!$I$60/12</f>
        <v>939.667626600542</v>
      </c>
      <c r="M267" s="26" t="n">
        <f aca="false">datos_base!$J$11*parametros_recargas!N$64+sobrestock_sustitutos!$I$60/12</f>
        <v>939.667626600542</v>
      </c>
      <c r="N267" s="26" t="n">
        <f aca="false">datos_base!$J$11*parametros_recargas!O$64+sobrestock_sustitutos!$I$60/12</f>
        <v>939.667626600542</v>
      </c>
      <c r="O267" s="26" t="n">
        <f aca="false">datos_base!$J$11*parametros_recargas!P$64+sobrestock_sustitutos!$I$60/12</f>
        <v>939.667626600542</v>
      </c>
      <c r="P267" s="8" t="n">
        <f aca="false">SUM(D267:O267)</f>
        <v>11960.6392764024</v>
      </c>
    </row>
    <row r="268" customFormat="false" ht="15" hidden="false" customHeight="false" outlineLevel="0" collapsed="false">
      <c r="A268" s="10" t="str">
        <f aca="false">parametros_recargas!A65</f>
        <v>CO₂ 5 kg</v>
      </c>
      <c r="B268" s="10" t="str">
        <f aca="false">parametros_recargas!B65</f>
        <v>CO₂</v>
      </c>
      <c r="C268" s="25" t="n">
        <f aca="false">parametros_recargas!C65</f>
        <v>1</v>
      </c>
      <c r="D268" s="26" t="n">
        <f aca="false">datos_base!$J$12*parametros_recargas!E$65+sobrestock_sustitutos!$I$61/12</f>
        <v>334.216761020021</v>
      </c>
      <c r="E268" s="26" t="n">
        <f aca="false">datos_base!$J$12*parametros_recargas!F$65+sobrestock_sustitutos!$I$61/12</f>
        <v>366.23277289575</v>
      </c>
      <c r="F268" s="26" t="n">
        <f aca="false">datos_base!$J$12*parametros_recargas!G$65+sobrestock_sustitutos!$I$61/12</f>
        <v>334.216761020021</v>
      </c>
      <c r="G268" s="26" t="n">
        <f aca="false">datos_base!$J$12*parametros_recargas!H$65+sobrestock_sustitutos!$I$61/12</f>
        <v>334.216761020021</v>
      </c>
      <c r="H268" s="26" t="n">
        <f aca="false">datos_base!$J$12*parametros_recargas!I$65+sobrestock_sustitutos!$I$61/12</f>
        <v>334.216761020021</v>
      </c>
      <c r="I268" s="26" t="n">
        <f aca="false">datos_base!$J$12*parametros_recargas!J$65+sobrestock_sustitutos!$I$61/12</f>
        <v>334.216761020021</v>
      </c>
      <c r="J268" s="26" t="n">
        <f aca="false">datos_base!$J$12*parametros_recargas!K$65+sobrestock_sustitutos!$I$61/12</f>
        <v>334.216761020021</v>
      </c>
      <c r="K268" s="26" t="n">
        <f aca="false">datos_base!$J$12*parametros_recargas!L$65+sobrestock_sustitutos!$I$61/12</f>
        <v>334.216761020021</v>
      </c>
      <c r="L268" s="26" t="n">
        <f aca="false">datos_base!$J$12*parametros_recargas!M$65+sobrestock_sustitutos!$I$61/12</f>
        <v>334.216761020021</v>
      </c>
      <c r="M268" s="26" t="n">
        <f aca="false">datos_base!$J$12*parametros_recargas!N$65+sobrestock_sustitutos!$I$61/12</f>
        <v>334.216761020021</v>
      </c>
      <c r="N268" s="26" t="n">
        <f aca="false">datos_base!$J$12*parametros_recargas!O$65+sobrestock_sustitutos!$I$61/12</f>
        <v>334.216761020021</v>
      </c>
      <c r="O268" s="26" t="n">
        <f aca="false">datos_base!$J$12*parametros_recargas!P$65+sobrestock_sustitutos!$I$61/12</f>
        <v>334.216761020021</v>
      </c>
      <c r="P268" s="8" t="n">
        <f aca="false">SUM(D268:O268)</f>
        <v>4042.61714411598</v>
      </c>
    </row>
    <row r="269" customFormat="false" ht="15" hidden="false" customHeight="false" outlineLevel="0" collapsed="false">
      <c r="A269" s="10" t="str">
        <f aca="false">parametros_recargas!A66</f>
        <v>HCFC/HFC 5 kg</v>
      </c>
      <c r="B269" s="10" t="str">
        <f aca="false">parametros_recargas!B66</f>
        <v>Halogenado</v>
      </c>
      <c r="C269" s="25" t="n">
        <f aca="false">parametros_recargas!C66</f>
        <v>1</v>
      </c>
      <c r="D269" s="26" t="n">
        <f aca="false">datos_base!$J$13*parametros_recargas!E$66+sobrestock_sustitutos!$I$62/12</f>
        <v>54.9773685853166</v>
      </c>
      <c r="E269" s="26" t="n">
        <f aca="false">datos_base!$J$13*parametros_recargas!F$66+sobrestock_sustitutos!$I$62/12</f>
        <v>54.9773685853166</v>
      </c>
      <c r="F269" s="26" t="n">
        <f aca="false">datos_base!$J$13*parametros_recargas!G$66+sobrestock_sustitutos!$I$62/12</f>
        <v>54.9773685853166</v>
      </c>
      <c r="G269" s="26" t="n">
        <f aca="false">datos_base!$J$13*parametros_recargas!H$66+sobrestock_sustitutos!$I$62/12</f>
        <v>54.9773685853166</v>
      </c>
      <c r="H269" s="26" t="n">
        <f aca="false">datos_base!$J$13*parametros_recargas!I$66+sobrestock_sustitutos!$I$62/12</f>
        <v>54.9773685853166</v>
      </c>
      <c r="I269" s="26" t="n">
        <f aca="false">datos_base!$J$13*parametros_recargas!J$66+sobrestock_sustitutos!$I$62/12</f>
        <v>54.9773685853166</v>
      </c>
      <c r="J269" s="26" t="n">
        <f aca="false">datos_base!$J$13*parametros_recargas!K$66+sobrestock_sustitutos!$I$62/12</f>
        <v>54.9773685853166</v>
      </c>
      <c r="K269" s="26" t="n">
        <f aca="false">datos_base!$J$13*parametros_recargas!L$66+sobrestock_sustitutos!$I$62/12</f>
        <v>54.9773685853166</v>
      </c>
      <c r="L269" s="26" t="n">
        <f aca="false">datos_base!$J$13*parametros_recargas!M$66+sobrestock_sustitutos!$I$62/12</f>
        <v>54.9773685853166</v>
      </c>
      <c r="M269" s="26" t="n">
        <f aca="false">datos_base!$J$13*parametros_recargas!N$66+sobrestock_sustitutos!$I$62/12</f>
        <v>54.9773685853166</v>
      </c>
      <c r="N269" s="26" t="n">
        <f aca="false">datos_base!$J$13*parametros_recargas!O$66+sobrestock_sustitutos!$I$62/12</f>
        <v>54.9773685853166</v>
      </c>
      <c r="O269" s="26" t="n">
        <f aca="false">datos_base!$J$13*parametros_recargas!P$66+sobrestock_sustitutos!$I$62/12</f>
        <v>54.9773685853166</v>
      </c>
      <c r="P269" s="8" t="n">
        <f aca="false">SUM(D269:O269)</f>
        <v>659.728423023799</v>
      </c>
    </row>
    <row r="270" customFormat="false" ht="15" hidden="false" customHeight="false" outlineLevel="0" collapsed="false">
      <c r="A270" s="10" t="str">
        <f aca="false">parametros_recargas!A67</f>
        <v>Clase D 9 l</v>
      </c>
      <c r="B270" s="10" t="str">
        <f aca="false">parametros_recargas!B67</f>
        <v>Clase D</v>
      </c>
      <c r="C270" s="25" t="n">
        <f aca="false">parametros_recargas!C67</f>
        <v>1</v>
      </c>
      <c r="D270" s="26" t="n">
        <f aca="false">datos_base!$J$14*parametros_recargas!E$67+sobrestock_sustitutos!$I$63/12</f>
        <v>18.8950362738789</v>
      </c>
      <c r="E270" s="26" t="n">
        <f aca="false">datos_base!$J$14*parametros_recargas!F$67+sobrestock_sustitutos!$I$63/12</f>
        <v>18.8950362738789</v>
      </c>
      <c r="F270" s="26" t="n">
        <f aca="false">datos_base!$J$14*parametros_recargas!G$67+sobrestock_sustitutos!$I$63/12</f>
        <v>18.8950362738789</v>
      </c>
      <c r="G270" s="26" t="n">
        <f aca="false">datos_base!$J$14*parametros_recargas!H$67+sobrestock_sustitutos!$I$63/12</f>
        <v>18.8950362738789</v>
      </c>
      <c r="H270" s="26" t="n">
        <f aca="false">datos_base!$J$14*parametros_recargas!I$67+sobrestock_sustitutos!$I$63/12</f>
        <v>18.8950362738789</v>
      </c>
      <c r="I270" s="26" t="n">
        <f aca="false">datos_base!$J$14*parametros_recargas!J$67+sobrestock_sustitutos!$I$63/12</f>
        <v>18.8950362738789</v>
      </c>
      <c r="J270" s="26" t="n">
        <f aca="false">datos_base!$J$14*parametros_recargas!K$67+sobrestock_sustitutos!$I$63/12</f>
        <v>18.8950362738789</v>
      </c>
      <c r="K270" s="26" t="n">
        <f aca="false">datos_base!$J$14*parametros_recargas!L$67+sobrestock_sustitutos!$I$63/12</f>
        <v>18.8950362738789</v>
      </c>
      <c r="L270" s="26" t="n">
        <f aca="false">datos_base!$J$14*parametros_recargas!M$67+sobrestock_sustitutos!$I$63/12</f>
        <v>18.8950362738789</v>
      </c>
      <c r="M270" s="26" t="n">
        <f aca="false">datos_base!$J$14*parametros_recargas!N$67+sobrestock_sustitutos!$I$63/12</f>
        <v>18.8950362738789</v>
      </c>
      <c r="N270" s="26" t="n">
        <f aca="false">datos_base!$J$14*parametros_recargas!O$67+sobrestock_sustitutos!$I$63/12</f>
        <v>18.8950362738789</v>
      </c>
      <c r="O270" s="26" t="n">
        <f aca="false">datos_base!$J$14*parametros_recargas!P$67+sobrestock_sustitutos!$I$63/12</f>
        <v>18.8950362738789</v>
      </c>
      <c r="P270" s="8" t="n">
        <f aca="false">SUM(D270:O270)</f>
        <v>226.740435286546</v>
      </c>
    </row>
    <row r="271" customFormat="false" ht="15" hidden="false" customHeight="false" outlineLevel="0" collapsed="false">
      <c r="A271" s="10" t="str">
        <f aca="false">parametros_recargas!A68</f>
        <v>ABC 25 kg s/ruedas</v>
      </c>
      <c r="B271" s="10" t="str">
        <f aca="false">parametros_recargas!B68</f>
        <v>ABC</v>
      </c>
      <c r="C271" s="25" t="n">
        <f aca="false">parametros_recargas!C68</f>
        <v>6.360853875</v>
      </c>
      <c r="D271" s="26" t="n">
        <f aca="false">datos_base!$J$15*parametros_recargas!E$68+sobrestock_sustitutos!$I$64/12</f>
        <v>44.7644447941492</v>
      </c>
      <c r="E271" s="26" t="n">
        <f aca="false">datos_base!$J$15*parametros_recargas!F$68+sobrestock_sustitutos!$I$64/12</f>
        <v>51.8751719388276</v>
      </c>
      <c r="F271" s="26" t="n">
        <f aca="false">datos_base!$J$15*parametros_recargas!G$68+sobrestock_sustitutos!$I$64/12</f>
        <v>44.7644447941492</v>
      </c>
      <c r="G271" s="26" t="n">
        <f aca="false">datos_base!$J$15*parametros_recargas!H$68+sobrestock_sustitutos!$I$64/12</f>
        <v>44.7644447941492</v>
      </c>
      <c r="H271" s="26" t="n">
        <f aca="false">datos_base!$J$15*parametros_recargas!I$68+sobrestock_sustitutos!$I$64/12</f>
        <v>44.7644447941492</v>
      </c>
      <c r="I271" s="26" t="n">
        <f aca="false">datos_base!$J$15*parametros_recargas!J$68+sobrestock_sustitutos!$I$64/12</f>
        <v>44.7644447941492</v>
      </c>
      <c r="J271" s="26" t="n">
        <f aca="false">datos_base!$J$15*parametros_recargas!K$68+sobrestock_sustitutos!$I$64/12</f>
        <v>44.7644447941492</v>
      </c>
      <c r="K271" s="26" t="n">
        <f aca="false">datos_base!$J$15*parametros_recargas!L$68+sobrestock_sustitutos!$I$64/12</f>
        <v>44.7644447941492</v>
      </c>
      <c r="L271" s="26" t="n">
        <f aca="false">datos_base!$J$15*parametros_recargas!M$68+sobrestock_sustitutos!$I$64/12</f>
        <v>44.7644447941492</v>
      </c>
      <c r="M271" s="26" t="n">
        <f aca="false">datos_base!$J$15*parametros_recargas!N$68+sobrestock_sustitutos!$I$64/12</f>
        <v>44.7644447941492</v>
      </c>
      <c r="N271" s="26" t="n">
        <f aca="false">datos_base!$J$15*parametros_recargas!O$68+sobrestock_sustitutos!$I$64/12</f>
        <v>44.7644447941492</v>
      </c>
      <c r="O271" s="26" t="n">
        <f aca="false">datos_base!$J$15*parametros_recargas!P$68+sobrestock_sustitutos!$I$64/12</f>
        <v>44.7644447941492</v>
      </c>
      <c r="P271" s="8" t="n">
        <f aca="false">SUM(D271:O271)</f>
        <v>544.284064674469</v>
      </c>
    </row>
    <row r="272" customFormat="false" ht="15" hidden="false" customHeight="false" outlineLevel="0" collapsed="false">
      <c r="A272" s="10" t="str">
        <f aca="false">parametros_recargas!A69</f>
        <v>ABC 50 kg s/ruedas</v>
      </c>
      <c r="B272" s="10" t="str">
        <f aca="false">parametros_recargas!B69</f>
        <v>ABC</v>
      </c>
      <c r="C272" s="25" t="n">
        <f aca="false">parametros_recargas!C69</f>
        <v>6.360853875</v>
      </c>
      <c r="D272" s="26" t="n">
        <f aca="false">datos_base!$J$16*parametros_recargas!E$69+sobrestock_sustitutos!$I$65/12</f>
        <v>98.3316011784102</v>
      </c>
      <c r="E272" s="26" t="n">
        <f aca="false">datos_base!$J$16*parametros_recargas!F$69+sobrestock_sustitutos!$I$65/12</f>
        <v>113.9773287668</v>
      </c>
      <c r="F272" s="26" t="n">
        <f aca="false">datos_base!$J$16*parametros_recargas!G$69+sobrestock_sustitutos!$I$65/12</f>
        <v>98.3316011784102</v>
      </c>
      <c r="G272" s="26" t="n">
        <f aca="false">datos_base!$J$16*parametros_recargas!H$69+sobrestock_sustitutos!$I$65/12</f>
        <v>98.3316011784102</v>
      </c>
      <c r="H272" s="26" t="n">
        <f aca="false">datos_base!$J$16*parametros_recargas!I$69+sobrestock_sustitutos!$I$65/12</f>
        <v>98.3316011784102</v>
      </c>
      <c r="I272" s="26" t="n">
        <f aca="false">datos_base!$J$16*parametros_recargas!J$69+sobrestock_sustitutos!$I$65/12</f>
        <v>98.3316011784102</v>
      </c>
      <c r="J272" s="26" t="n">
        <f aca="false">datos_base!$J$16*parametros_recargas!K$69+sobrestock_sustitutos!$I$65/12</f>
        <v>98.3316011784102</v>
      </c>
      <c r="K272" s="26" t="n">
        <f aca="false">datos_base!$J$16*parametros_recargas!L$69+sobrestock_sustitutos!$I$65/12</f>
        <v>98.3316011784102</v>
      </c>
      <c r="L272" s="26" t="n">
        <f aca="false">datos_base!$J$16*parametros_recargas!M$69+sobrestock_sustitutos!$I$65/12</f>
        <v>98.3316011784102</v>
      </c>
      <c r="M272" s="26" t="n">
        <f aca="false">datos_base!$J$16*parametros_recargas!N$69+sobrestock_sustitutos!$I$65/12</f>
        <v>98.3316011784102</v>
      </c>
      <c r="N272" s="26" t="n">
        <f aca="false">datos_base!$J$16*parametros_recargas!O$69+sobrestock_sustitutos!$I$65/12</f>
        <v>98.3316011784102</v>
      </c>
      <c r="O272" s="26" t="n">
        <f aca="false">datos_base!$J$16*parametros_recargas!P$69+sobrestock_sustitutos!$I$65/12</f>
        <v>98.3316011784102</v>
      </c>
      <c r="P272" s="8" t="n">
        <f aca="false">SUM(D272:O272)</f>
        <v>1195.62494172931</v>
      </c>
    </row>
    <row r="273" customFormat="false" ht="15" hidden="false" customHeight="false" outlineLevel="0" collapsed="false">
      <c r="A273" s="10" t="str">
        <f aca="false">parametros_recargas!A70</f>
        <v>ABC 70 kg s/ruedas</v>
      </c>
      <c r="B273" s="10" t="str">
        <f aca="false">parametros_recargas!B70</f>
        <v>ABC</v>
      </c>
      <c r="C273" s="25" t="n">
        <f aca="false">parametros_recargas!C70</f>
        <v>6.360853875</v>
      </c>
      <c r="D273" s="26" t="n">
        <f aca="false">datos_base!$J$17*parametros_recargas!E$70+sobrestock_sustitutos!$I$66/12</f>
        <v>21.460313743691</v>
      </c>
      <c r="E273" s="26" t="n">
        <f aca="false">datos_base!$J$17*parametros_recargas!F$70+sobrestock_sustitutos!$I$66/12</f>
        <v>24.8728999740485</v>
      </c>
      <c r="F273" s="26" t="n">
        <f aca="false">datos_base!$J$17*parametros_recargas!G$70+sobrestock_sustitutos!$I$66/12</f>
        <v>21.460313743691</v>
      </c>
      <c r="G273" s="26" t="n">
        <f aca="false">datos_base!$J$17*parametros_recargas!H$70+sobrestock_sustitutos!$I$66/12</f>
        <v>21.460313743691</v>
      </c>
      <c r="H273" s="26" t="n">
        <f aca="false">datos_base!$J$17*parametros_recargas!I$70+sobrestock_sustitutos!$I$66/12</f>
        <v>21.460313743691</v>
      </c>
      <c r="I273" s="26" t="n">
        <f aca="false">datos_base!$J$17*parametros_recargas!J$70+sobrestock_sustitutos!$I$66/12</f>
        <v>21.460313743691</v>
      </c>
      <c r="J273" s="26" t="n">
        <f aca="false">datos_base!$J$17*parametros_recargas!K$70+sobrestock_sustitutos!$I$66/12</f>
        <v>21.460313743691</v>
      </c>
      <c r="K273" s="26" t="n">
        <f aca="false">datos_base!$J$17*parametros_recargas!L$70+sobrestock_sustitutos!$I$66/12</f>
        <v>21.460313743691</v>
      </c>
      <c r="L273" s="26" t="n">
        <f aca="false">datos_base!$J$17*parametros_recargas!M$70+sobrestock_sustitutos!$I$66/12</f>
        <v>21.460313743691</v>
      </c>
      <c r="M273" s="26" t="n">
        <f aca="false">datos_base!$J$17*parametros_recargas!N$70+sobrestock_sustitutos!$I$66/12</f>
        <v>21.460313743691</v>
      </c>
      <c r="N273" s="26" t="n">
        <f aca="false">datos_base!$J$17*parametros_recargas!O$70+sobrestock_sustitutos!$I$66/12</f>
        <v>21.460313743691</v>
      </c>
      <c r="O273" s="26" t="n">
        <f aca="false">datos_base!$J$17*parametros_recargas!P$70+sobrestock_sustitutos!$I$66/12</f>
        <v>21.460313743691</v>
      </c>
      <c r="P273" s="8" t="n">
        <f aca="false">SUM(D273:O273)</f>
        <v>260.936351154649</v>
      </c>
    </row>
    <row r="274" customFormat="false" ht="15" hidden="false" customHeight="false" outlineLevel="0" collapsed="false">
      <c r="A274" s="10" t="str">
        <f aca="false">parametros_recargas!A71</f>
        <v>ABC 100 kg s/ruedas</v>
      </c>
      <c r="B274" s="10" t="str">
        <f aca="false">parametros_recargas!B71</f>
        <v>ABC</v>
      </c>
      <c r="C274" s="25" t="n">
        <f aca="false">parametros_recargas!C71</f>
        <v>6.360853875</v>
      </c>
      <c r="D274" s="26" t="n">
        <f aca="false">datos_base!$J$18*parametros_recargas!E$71+sobrestock_sustitutos!$I$67/12</f>
        <v>14.3344552777694</v>
      </c>
      <c r="E274" s="26" t="n">
        <f aca="false">datos_base!$J$18*parametros_recargas!F$71+sobrestock_sustitutos!$I$67/12</f>
        <v>16.6118925294626</v>
      </c>
      <c r="F274" s="26" t="n">
        <f aca="false">datos_base!$J$18*parametros_recargas!G$71+sobrestock_sustitutos!$I$67/12</f>
        <v>14.3344552777694</v>
      </c>
      <c r="G274" s="26" t="n">
        <f aca="false">datos_base!$J$18*parametros_recargas!H$71+sobrestock_sustitutos!$I$67/12</f>
        <v>14.3344552777694</v>
      </c>
      <c r="H274" s="26" t="n">
        <f aca="false">datos_base!$J$18*parametros_recargas!I$71+sobrestock_sustitutos!$I$67/12</f>
        <v>14.3344552777694</v>
      </c>
      <c r="I274" s="26" t="n">
        <f aca="false">datos_base!$J$18*parametros_recargas!J$71+sobrestock_sustitutos!$I$67/12</f>
        <v>14.3344552777694</v>
      </c>
      <c r="J274" s="26" t="n">
        <f aca="false">datos_base!$J$18*parametros_recargas!K$71+sobrestock_sustitutos!$I$67/12</f>
        <v>14.3344552777694</v>
      </c>
      <c r="K274" s="26" t="n">
        <f aca="false">datos_base!$J$18*parametros_recargas!L$71+sobrestock_sustitutos!$I$67/12</f>
        <v>14.3344552777694</v>
      </c>
      <c r="L274" s="26" t="n">
        <f aca="false">datos_base!$J$18*parametros_recargas!M$71+sobrestock_sustitutos!$I$67/12</f>
        <v>14.3344552777694</v>
      </c>
      <c r="M274" s="26" t="n">
        <f aca="false">datos_base!$J$18*parametros_recargas!N$71+sobrestock_sustitutos!$I$67/12</f>
        <v>14.3344552777694</v>
      </c>
      <c r="N274" s="26" t="n">
        <f aca="false">datos_base!$J$18*parametros_recargas!O$71+sobrestock_sustitutos!$I$67/12</f>
        <v>14.3344552777694</v>
      </c>
      <c r="O274" s="26" t="n">
        <f aca="false">datos_base!$J$18*parametros_recargas!P$71+sobrestock_sustitutos!$I$67/12</f>
        <v>14.3344552777694</v>
      </c>
      <c r="P274" s="8" t="n">
        <f aca="false">SUM(D274:O274)</f>
        <v>174.290900584926</v>
      </c>
    </row>
    <row r="275" customFormat="false" ht="15" hidden="false" customHeight="false" outlineLevel="0" collapsed="false">
      <c r="A275" s="4" t="s">
        <v>430</v>
      </c>
      <c r="D275" s="8" t="n">
        <f aca="false">SUM(D258:D274)</f>
        <v>7874.40026898259</v>
      </c>
      <c r="E275" s="8" t="n">
        <f aca="false">SUM(E258:E274)</f>
        <v>21007.9622824179</v>
      </c>
      <c r="F275" s="8" t="n">
        <f aca="false">SUM(F258:F274)</f>
        <v>17483.3400588753</v>
      </c>
      <c r="G275" s="8" t="n">
        <f aca="false">SUM(G258:G274)</f>
        <v>17557.653579097</v>
      </c>
      <c r="H275" s="8" t="n">
        <f aca="false">SUM(H258:H274)</f>
        <v>17561.5329511545</v>
      </c>
      <c r="I275" s="8" t="n">
        <f aca="false">SUM(I258:I274)</f>
        <v>17526.2037564926</v>
      </c>
      <c r="J275" s="8" t="n">
        <f aca="false">SUM(J258:J274)</f>
        <v>17637.3264630282</v>
      </c>
      <c r="K275" s="8" t="n">
        <f aca="false">SUM(K258:K274)</f>
        <v>17553.6957226338</v>
      </c>
      <c r="L275" s="8" t="n">
        <f aca="false">SUM(L258:L274)</f>
        <v>17566.7353460523</v>
      </c>
      <c r="M275" s="8" t="n">
        <f aca="false">SUM(M258:M274)</f>
        <v>17523.6249831596</v>
      </c>
      <c r="N275" s="8" t="n">
        <f aca="false">SUM(N258:N274)</f>
        <v>17337.9757273009</v>
      </c>
      <c r="O275" s="8" t="n">
        <f aca="false">SUM(O258:O274)</f>
        <v>7369.95856887745</v>
      </c>
      <c r="P275" s="8" t="n">
        <f aca="false">SUM(P258:P274)</f>
        <v>194000.409708072</v>
      </c>
    </row>
    <row r="276" customFormat="false" ht="15" hidden="false" customHeight="false" outlineLevel="0" collapsed="false">
      <c r="A276" s="4" t="s">
        <v>431</v>
      </c>
    </row>
    <row r="277" customFormat="false" ht="15" hidden="false" customHeight="false" outlineLevel="0" collapsed="false">
      <c r="A277" s="5" t="s">
        <v>110</v>
      </c>
      <c r="D277" s="26" t="n">
        <f aca="false">SUMPRODUCT(($B$258:$B$274=$A277)*D$258:D$274*$C$258:$C$274)</f>
        <v>6834.78001163405</v>
      </c>
      <c r="E277" s="26" t="n">
        <f aca="false">SUMPRODUCT(($B$258:$B$274=$A277)*E$258:E$274*$C$258:$C$274)</f>
        <v>19066.8474454283</v>
      </c>
      <c r="F277" s="26" t="n">
        <f aca="false">SUMPRODUCT(($B$258:$B$274=$A277)*F$258:F$274*$C$258:$C$274)</f>
        <v>16443.7198015267</v>
      </c>
      <c r="G277" s="26" t="n">
        <f aca="false">SUMPRODUCT(($B$258:$B$274=$A277)*G$258:G$274*$C$258:$C$274)</f>
        <v>16518.0333217485</v>
      </c>
      <c r="H277" s="26" t="n">
        <f aca="false">SUMPRODUCT(($B$258:$B$274=$A277)*H$258:H$274*$C$258:$C$274)</f>
        <v>16521.9126938059</v>
      </c>
      <c r="I277" s="26" t="n">
        <f aca="false">SUMPRODUCT(($B$258:$B$274=$A277)*I$258:I$274*$C$258:$C$274)</f>
        <v>16486.5834991441</v>
      </c>
      <c r="J277" s="26" t="n">
        <f aca="false">SUMPRODUCT(($B$258:$B$274=$A277)*J$258:J$274*$C$258:$C$274)</f>
        <v>16597.7062056796</v>
      </c>
      <c r="K277" s="26" t="n">
        <f aca="false">SUMPRODUCT(($B$258:$B$274=$A277)*K$258:K$274*$C$258:$C$274)</f>
        <v>16514.0754652853</v>
      </c>
      <c r="L277" s="26" t="n">
        <f aca="false">SUMPRODUCT(($B$258:$B$274=$A277)*L$258:L$274*$C$258:$C$274)</f>
        <v>16527.1150887038</v>
      </c>
      <c r="M277" s="26" t="n">
        <f aca="false">SUMPRODUCT(($B$258:$B$274=$A277)*M$258:M$274*$C$258:$C$274)</f>
        <v>16484.0047258111</v>
      </c>
      <c r="N277" s="26" t="n">
        <f aca="false">SUMPRODUCT(($B$258:$B$274=$A277)*N$258:N$274*$C$258:$C$274)</f>
        <v>16298.3554699523</v>
      </c>
      <c r="O277" s="26" t="n">
        <f aca="false">SUMPRODUCT(($B$258:$B$274=$A277)*O$258:O$274*$C$258:$C$274)</f>
        <v>6330.33831152891</v>
      </c>
      <c r="P277" s="26" t="n">
        <f aca="false">SUMPRODUCT(($B$258:$B$274=$A277)*P$258:P$274*$C$258:$C$274)</f>
        <v>180623.472040249</v>
      </c>
    </row>
    <row r="278" customFormat="false" ht="15" hidden="false" customHeight="false" outlineLevel="0" collapsed="false">
      <c r="A278" s="5" t="s">
        <v>111</v>
      </c>
      <c r="D278" s="26" t="n">
        <f aca="false">SUMPRODUCT(($B$258:$B$274=$A278)*D$258:D$274*$C$258:$C$274)</f>
        <v>20.9329072661012</v>
      </c>
      <c r="E278" s="26" t="n">
        <f aca="false">SUMPRODUCT(($B$258:$B$274=$A278)*E$258:E$274*$C$258:$C$274)</f>
        <v>20.9329072661012</v>
      </c>
      <c r="F278" s="26" t="n">
        <f aca="false">SUMPRODUCT(($B$258:$B$274=$A278)*F$258:F$274*$C$258:$C$274)</f>
        <v>20.9329072661012</v>
      </c>
      <c r="G278" s="26" t="n">
        <f aca="false">SUMPRODUCT(($B$258:$B$274=$A278)*G$258:G$274*$C$258:$C$274)</f>
        <v>20.9329072661012</v>
      </c>
      <c r="H278" s="26" t="n">
        <f aca="false">SUMPRODUCT(($B$258:$B$274=$A278)*H$258:H$274*$C$258:$C$274)</f>
        <v>20.9329072661012</v>
      </c>
      <c r="I278" s="26" t="n">
        <f aca="false">SUMPRODUCT(($B$258:$B$274=$A278)*I$258:I$274*$C$258:$C$274)</f>
        <v>20.9329072661012</v>
      </c>
      <c r="J278" s="26" t="n">
        <f aca="false">SUMPRODUCT(($B$258:$B$274=$A278)*J$258:J$274*$C$258:$C$274)</f>
        <v>20.9329072661012</v>
      </c>
      <c r="K278" s="26" t="n">
        <f aca="false">SUMPRODUCT(($B$258:$B$274=$A278)*K$258:K$274*$C$258:$C$274)</f>
        <v>20.9329072661012</v>
      </c>
      <c r="L278" s="26" t="n">
        <f aca="false">SUMPRODUCT(($B$258:$B$274=$A278)*L$258:L$274*$C$258:$C$274)</f>
        <v>20.9329072661012</v>
      </c>
      <c r="M278" s="26" t="n">
        <f aca="false">SUMPRODUCT(($B$258:$B$274=$A278)*M$258:M$274*$C$258:$C$274)</f>
        <v>20.9329072661012</v>
      </c>
      <c r="N278" s="26" t="n">
        <f aca="false">SUMPRODUCT(($B$258:$B$274=$A278)*N$258:N$274*$C$258:$C$274)</f>
        <v>20.9329072661012</v>
      </c>
      <c r="O278" s="26" t="n">
        <f aca="false">SUMPRODUCT(($B$258:$B$274=$A278)*O$258:O$274*$C$258:$C$274)</f>
        <v>20.9329072661012</v>
      </c>
      <c r="P278" s="26" t="n">
        <f aca="false">SUMPRODUCT(($B$258:$B$274=$A278)*P$258:P$274*$C$258:$C$274)</f>
        <v>251.194887193214</v>
      </c>
    </row>
    <row r="279" customFormat="false" ht="15" hidden="false" customHeight="false" outlineLevel="0" collapsed="false">
      <c r="A279" s="5" t="s">
        <v>112</v>
      </c>
      <c r="D279" s="26" t="n">
        <f aca="false">SUMPRODUCT(($B$258:$B$274=$A279)*D$258:D$274*$C$258:$C$274)</f>
        <v>18.8950362738789</v>
      </c>
      <c r="E279" s="26" t="n">
        <f aca="false">SUMPRODUCT(($B$258:$B$274=$A279)*E$258:E$274*$C$258:$C$274)</f>
        <v>18.8950362738789</v>
      </c>
      <c r="F279" s="26" t="n">
        <f aca="false">SUMPRODUCT(($B$258:$B$274=$A279)*F$258:F$274*$C$258:$C$274)</f>
        <v>18.8950362738789</v>
      </c>
      <c r="G279" s="26" t="n">
        <f aca="false">SUMPRODUCT(($B$258:$B$274=$A279)*G$258:G$274*$C$258:$C$274)</f>
        <v>18.8950362738789</v>
      </c>
      <c r="H279" s="26" t="n">
        <f aca="false">SUMPRODUCT(($B$258:$B$274=$A279)*H$258:H$274*$C$258:$C$274)</f>
        <v>18.8950362738789</v>
      </c>
      <c r="I279" s="26" t="n">
        <f aca="false">SUMPRODUCT(($B$258:$B$274=$A279)*I$258:I$274*$C$258:$C$274)</f>
        <v>18.8950362738789</v>
      </c>
      <c r="J279" s="26" t="n">
        <f aca="false">SUMPRODUCT(($B$258:$B$274=$A279)*J$258:J$274*$C$258:$C$274)</f>
        <v>18.8950362738789</v>
      </c>
      <c r="K279" s="26" t="n">
        <f aca="false">SUMPRODUCT(($B$258:$B$274=$A279)*K$258:K$274*$C$258:$C$274)</f>
        <v>18.8950362738789</v>
      </c>
      <c r="L279" s="26" t="n">
        <f aca="false">SUMPRODUCT(($B$258:$B$274=$A279)*L$258:L$274*$C$258:$C$274)</f>
        <v>18.8950362738789</v>
      </c>
      <c r="M279" s="26" t="n">
        <f aca="false">SUMPRODUCT(($B$258:$B$274=$A279)*M$258:M$274*$C$258:$C$274)</f>
        <v>18.8950362738789</v>
      </c>
      <c r="N279" s="26" t="n">
        <f aca="false">SUMPRODUCT(($B$258:$B$274=$A279)*N$258:N$274*$C$258:$C$274)</f>
        <v>18.8950362738789</v>
      </c>
      <c r="O279" s="26" t="n">
        <f aca="false">SUMPRODUCT(($B$258:$B$274=$A279)*O$258:O$274*$C$258:$C$274)</f>
        <v>18.8950362738789</v>
      </c>
      <c r="P279" s="26" t="n">
        <f aca="false">SUMPRODUCT(($B$258:$B$274=$A279)*P$258:P$274*$C$258:$C$274)</f>
        <v>226.740435286546</v>
      </c>
    </row>
    <row r="280" customFormat="false" ht="15" hidden="false" customHeight="false" outlineLevel="0" collapsed="false">
      <c r="A280" s="5" t="s">
        <v>113</v>
      </c>
      <c r="D280" s="26" t="n">
        <f aca="false">SUMPRODUCT(($B$258:$B$274=$A280)*D$258:D$274*$C$258:$C$274)</f>
        <v>355.146774725298</v>
      </c>
      <c r="E280" s="26" t="n">
        <f aca="false">SUMPRODUCT(($B$258:$B$274=$A280)*E$258:E$274*$C$258:$C$274)</f>
        <v>525.382786548776</v>
      </c>
      <c r="F280" s="26" t="n">
        <f aca="false">SUMPRODUCT(($B$258:$B$274=$A280)*F$258:F$274*$C$258:$C$274)</f>
        <v>355.146774725298</v>
      </c>
      <c r="G280" s="26" t="n">
        <f aca="false">SUMPRODUCT(($B$258:$B$274=$A280)*G$258:G$274*$C$258:$C$274)</f>
        <v>355.146774725298</v>
      </c>
      <c r="H280" s="26" t="n">
        <f aca="false">SUMPRODUCT(($B$258:$B$274=$A280)*H$258:H$274*$C$258:$C$274)</f>
        <v>355.146774725298</v>
      </c>
      <c r="I280" s="26" t="n">
        <f aca="false">SUMPRODUCT(($B$258:$B$274=$A280)*I$258:I$274*$C$258:$C$274)</f>
        <v>355.146774725298</v>
      </c>
      <c r="J280" s="26" t="n">
        <f aca="false">SUMPRODUCT(($B$258:$B$274=$A280)*J$258:J$274*$C$258:$C$274)</f>
        <v>355.146774725298</v>
      </c>
      <c r="K280" s="26" t="n">
        <f aca="false">SUMPRODUCT(($B$258:$B$274=$A280)*K$258:K$274*$C$258:$C$274)</f>
        <v>355.146774725298</v>
      </c>
      <c r="L280" s="26" t="n">
        <f aca="false">SUMPRODUCT(($B$258:$B$274=$A280)*L$258:L$274*$C$258:$C$274)</f>
        <v>355.146774725298</v>
      </c>
      <c r="M280" s="26" t="n">
        <f aca="false">SUMPRODUCT(($B$258:$B$274=$A280)*M$258:M$274*$C$258:$C$274)</f>
        <v>355.146774725298</v>
      </c>
      <c r="N280" s="26" t="n">
        <f aca="false">SUMPRODUCT(($B$258:$B$274=$A280)*N$258:N$274*$C$258:$C$274)</f>
        <v>355.146774725298</v>
      </c>
      <c r="O280" s="26" t="n">
        <f aca="false">SUMPRODUCT(($B$258:$B$274=$A280)*O$258:O$274*$C$258:$C$274)</f>
        <v>355.146774725298</v>
      </c>
      <c r="P280" s="26" t="n">
        <f aca="false">SUMPRODUCT(($B$258:$B$274=$A280)*P$258:P$274*$C$258:$C$274)</f>
        <v>4431.99730852705</v>
      </c>
    </row>
    <row r="281" customFormat="false" ht="15" hidden="false" customHeight="false" outlineLevel="0" collapsed="false">
      <c r="A281" s="5" t="s">
        <v>114</v>
      </c>
      <c r="D281" s="26" t="n">
        <f aca="false">SUMPRODUCT(($B$258:$B$274=$A281)*D$258:D$274*$C$258:$C$274)</f>
        <v>300.403825984118</v>
      </c>
      <c r="E281" s="26" t="n">
        <f aca="false">SUMPRODUCT(($B$258:$B$274=$A281)*E$258:E$274*$C$258:$C$274)</f>
        <v>300.403825984118</v>
      </c>
      <c r="F281" s="26" t="n">
        <f aca="false">SUMPRODUCT(($B$258:$B$274=$A281)*F$258:F$274*$C$258:$C$274)</f>
        <v>300.403825984118</v>
      </c>
      <c r="G281" s="26" t="n">
        <f aca="false">SUMPRODUCT(($B$258:$B$274=$A281)*G$258:G$274*$C$258:$C$274)</f>
        <v>300.403825984118</v>
      </c>
      <c r="H281" s="26" t="n">
        <f aca="false">SUMPRODUCT(($B$258:$B$274=$A281)*H$258:H$274*$C$258:$C$274)</f>
        <v>300.403825984118</v>
      </c>
      <c r="I281" s="26" t="n">
        <f aca="false">SUMPRODUCT(($B$258:$B$274=$A281)*I$258:I$274*$C$258:$C$274)</f>
        <v>300.403825984118</v>
      </c>
      <c r="J281" s="26" t="n">
        <f aca="false">SUMPRODUCT(($B$258:$B$274=$A281)*J$258:J$274*$C$258:$C$274)</f>
        <v>300.403825984118</v>
      </c>
      <c r="K281" s="26" t="n">
        <f aca="false">SUMPRODUCT(($B$258:$B$274=$A281)*K$258:K$274*$C$258:$C$274)</f>
        <v>300.403825984118</v>
      </c>
      <c r="L281" s="26" t="n">
        <f aca="false">SUMPRODUCT(($B$258:$B$274=$A281)*L$258:L$274*$C$258:$C$274)</f>
        <v>300.403825984118</v>
      </c>
      <c r="M281" s="26" t="n">
        <f aca="false">SUMPRODUCT(($B$258:$B$274=$A281)*M$258:M$274*$C$258:$C$274)</f>
        <v>300.403825984118</v>
      </c>
      <c r="N281" s="26" t="n">
        <f aca="false">SUMPRODUCT(($B$258:$B$274=$A281)*N$258:N$274*$C$258:$C$274)</f>
        <v>300.403825984118</v>
      </c>
      <c r="O281" s="26" t="n">
        <f aca="false">SUMPRODUCT(($B$258:$B$274=$A281)*O$258:O$274*$C$258:$C$274)</f>
        <v>300.403825984118</v>
      </c>
      <c r="P281" s="26" t="n">
        <f aca="false">SUMPRODUCT(($B$258:$B$274=$A281)*P$258:P$274*$C$258:$C$274)</f>
        <v>3604.84591180942</v>
      </c>
    </row>
    <row r="282" customFormat="false" ht="15" hidden="false" customHeight="false" outlineLevel="0" collapsed="false">
      <c r="A282" s="5" t="s">
        <v>115</v>
      </c>
      <c r="D282" s="26" t="n">
        <f aca="false">SUMPRODUCT(($B$258:$B$274=$A282)*D$258:D$274*$C$258:$C$274)</f>
        <v>169.107829744051</v>
      </c>
      <c r="E282" s="26" t="n">
        <f aca="false">SUMPRODUCT(($B$258:$B$274=$A282)*E$258:E$274*$C$258:$C$274)</f>
        <v>336.220041459573</v>
      </c>
      <c r="F282" s="26" t="n">
        <f aca="false">SUMPRODUCT(($B$258:$B$274=$A282)*F$258:F$274*$C$258:$C$274)</f>
        <v>169.107829744051</v>
      </c>
      <c r="G282" s="26" t="n">
        <f aca="false">SUMPRODUCT(($B$258:$B$274=$A282)*G$258:G$274*$C$258:$C$274)</f>
        <v>169.107829744051</v>
      </c>
      <c r="H282" s="26" t="n">
        <f aca="false">SUMPRODUCT(($B$258:$B$274=$A282)*H$258:H$274*$C$258:$C$274)</f>
        <v>169.107829744051</v>
      </c>
      <c r="I282" s="26" t="n">
        <f aca="false">SUMPRODUCT(($B$258:$B$274=$A282)*I$258:I$274*$C$258:$C$274)</f>
        <v>169.107829744051</v>
      </c>
      <c r="J282" s="26" t="n">
        <f aca="false">SUMPRODUCT(($B$258:$B$274=$A282)*J$258:J$274*$C$258:$C$274)</f>
        <v>169.107829744051</v>
      </c>
      <c r="K282" s="26" t="n">
        <f aca="false">SUMPRODUCT(($B$258:$B$274=$A282)*K$258:K$274*$C$258:$C$274)</f>
        <v>169.107829744051</v>
      </c>
      <c r="L282" s="26" t="n">
        <f aca="false">SUMPRODUCT(($B$258:$B$274=$A282)*L$258:L$274*$C$258:$C$274)</f>
        <v>169.107829744051</v>
      </c>
      <c r="M282" s="26" t="n">
        <f aca="false">SUMPRODUCT(($B$258:$B$274=$A282)*M$258:M$274*$C$258:$C$274)</f>
        <v>169.107829744051</v>
      </c>
      <c r="N282" s="26" t="n">
        <f aca="false">SUMPRODUCT(($B$258:$B$274=$A282)*N$258:N$274*$C$258:$C$274)</f>
        <v>169.107829744051</v>
      </c>
      <c r="O282" s="26" t="n">
        <f aca="false">SUMPRODUCT(($B$258:$B$274=$A282)*O$258:O$274*$C$258:$C$274)</f>
        <v>169.107829744051</v>
      </c>
      <c r="P282" s="26" t="n">
        <f aca="false">SUMPRODUCT(($B$258:$B$274=$A282)*P$258:P$274*$C$258:$C$274)</f>
        <v>2196.40616864414</v>
      </c>
    </row>
    <row r="283" customFormat="false" ht="15" hidden="false" customHeight="false" outlineLevel="0" collapsed="false">
      <c r="A283" s="5" t="s">
        <v>116</v>
      </c>
      <c r="D283" s="26" t="n">
        <f aca="false">SUMPRODUCT(($B$258:$B$274=$A283)*D$258:D$274*$C$258:$C$274)</f>
        <v>1273.88438762056</v>
      </c>
      <c r="E283" s="26" t="n">
        <f aca="false">SUMPRODUCT(($B$258:$B$274=$A283)*E$258:E$274*$C$258:$C$274)</f>
        <v>1990.52815669217</v>
      </c>
      <c r="F283" s="26" t="n">
        <f aca="false">SUMPRODUCT(($B$258:$B$274=$A283)*F$258:F$274*$C$258:$C$274)</f>
        <v>1273.88438762056</v>
      </c>
      <c r="G283" s="26" t="n">
        <f aca="false">SUMPRODUCT(($B$258:$B$274=$A283)*G$258:G$274*$C$258:$C$274)</f>
        <v>1273.88438762056</v>
      </c>
      <c r="H283" s="26" t="n">
        <f aca="false">SUMPRODUCT(($B$258:$B$274=$A283)*H$258:H$274*$C$258:$C$274)</f>
        <v>1273.88438762056</v>
      </c>
      <c r="I283" s="26" t="n">
        <f aca="false">SUMPRODUCT(($B$258:$B$274=$A283)*I$258:I$274*$C$258:$C$274)</f>
        <v>1273.88438762056</v>
      </c>
      <c r="J283" s="26" t="n">
        <f aca="false">SUMPRODUCT(($B$258:$B$274=$A283)*J$258:J$274*$C$258:$C$274)</f>
        <v>1273.88438762056</v>
      </c>
      <c r="K283" s="26" t="n">
        <f aca="false">SUMPRODUCT(($B$258:$B$274=$A283)*K$258:K$274*$C$258:$C$274)</f>
        <v>1273.88438762056</v>
      </c>
      <c r="L283" s="26" t="n">
        <f aca="false">SUMPRODUCT(($B$258:$B$274=$A283)*L$258:L$274*$C$258:$C$274)</f>
        <v>1273.88438762056</v>
      </c>
      <c r="M283" s="26" t="n">
        <f aca="false">SUMPRODUCT(($B$258:$B$274=$A283)*M$258:M$274*$C$258:$C$274)</f>
        <v>1273.88438762056</v>
      </c>
      <c r="N283" s="26" t="n">
        <f aca="false">SUMPRODUCT(($B$258:$B$274=$A283)*N$258:N$274*$C$258:$C$274)</f>
        <v>1273.88438762056</v>
      </c>
      <c r="O283" s="26" t="n">
        <f aca="false">SUMPRODUCT(($B$258:$B$274=$A283)*O$258:O$274*$C$258:$C$274)</f>
        <v>1273.88438762056</v>
      </c>
      <c r="P283" s="26" t="n">
        <f aca="false">SUMPRODUCT(($B$258:$B$274=$A283)*P$258:P$274*$C$258:$C$274)</f>
        <v>16003.2564205184</v>
      </c>
    </row>
    <row r="284" customFormat="false" ht="15" hidden="false" customHeight="false" outlineLevel="0" collapsed="false">
      <c r="A284" s="5" t="s">
        <v>117</v>
      </c>
      <c r="D284" s="26" t="n">
        <f aca="false">SUMPRODUCT(($B$258:$B$274=$A284)*D$258:D$274*$C$258:$C$274)</f>
        <v>54.9773685853166</v>
      </c>
      <c r="E284" s="26" t="n">
        <f aca="false">SUMPRODUCT(($B$258:$B$274=$A284)*E$258:E$274*$C$258:$C$274)</f>
        <v>54.9773685853166</v>
      </c>
      <c r="F284" s="26" t="n">
        <f aca="false">SUMPRODUCT(($B$258:$B$274=$A284)*F$258:F$274*$C$258:$C$274)</f>
        <v>54.9773685853166</v>
      </c>
      <c r="G284" s="26" t="n">
        <f aca="false">SUMPRODUCT(($B$258:$B$274=$A284)*G$258:G$274*$C$258:$C$274)</f>
        <v>54.9773685853166</v>
      </c>
      <c r="H284" s="26" t="n">
        <f aca="false">SUMPRODUCT(($B$258:$B$274=$A284)*H$258:H$274*$C$258:$C$274)</f>
        <v>54.9773685853166</v>
      </c>
      <c r="I284" s="26" t="n">
        <f aca="false">SUMPRODUCT(($B$258:$B$274=$A284)*I$258:I$274*$C$258:$C$274)</f>
        <v>54.9773685853166</v>
      </c>
      <c r="J284" s="26" t="n">
        <f aca="false">SUMPRODUCT(($B$258:$B$274=$A284)*J$258:J$274*$C$258:$C$274)</f>
        <v>54.9773685853166</v>
      </c>
      <c r="K284" s="26" t="n">
        <f aca="false">SUMPRODUCT(($B$258:$B$274=$A284)*K$258:K$274*$C$258:$C$274)</f>
        <v>54.9773685853166</v>
      </c>
      <c r="L284" s="26" t="n">
        <f aca="false">SUMPRODUCT(($B$258:$B$274=$A284)*L$258:L$274*$C$258:$C$274)</f>
        <v>54.9773685853166</v>
      </c>
      <c r="M284" s="26" t="n">
        <f aca="false">SUMPRODUCT(($B$258:$B$274=$A284)*M$258:M$274*$C$258:$C$274)</f>
        <v>54.9773685853166</v>
      </c>
      <c r="N284" s="26" t="n">
        <f aca="false">SUMPRODUCT(($B$258:$B$274=$A284)*N$258:N$274*$C$258:$C$274)</f>
        <v>54.9773685853166</v>
      </c>
      <c r="O284" s="26" t="n">
        <f aca="false">SUMPRODUCT(($B$258:$B$274=$A284)*O$258:O$274*$C$258:$C$274)</f>
        <v>54.9773685853166</v>
      </c>
      <c r="P284" s="26" t="n">
        <f aca="false">SUMPRODUCT(($B$258:$B$274=$A284)*P$258:P$274*$C$258:$C$274)</f>
        <v>659.728423023799</v>
      </c>
    </row>
    <row r="285" customFormat="false" ht="15" hidden="false" customHeight="false" outlineLevel="0" collapsed="false">
      <c r="A285" s="4" t="s">
        <v>432</v>
      </c>
      <c r="D285" s="27" t="n">
        <f aca="false">SUMPRODUCT(D$258:D$274*parametros_recargas!$D$55:$D$71)</f>
        <v>549.43021390504</v>
      </c>
      <c r="E285" s="27" t="n">
        <f aca="false">SUMPRODUCT(E$258:E$274*parametros_recargas!$D$55:$D$71)</f>
        <v>609.892703995888</v>
      </c>
      <c r="F285" s="27" t="n">
        <f aca="false">SUMPRODUCT(F$258:F$274*parametros_recargas!$D$55:$D$71)</f>
        <v>549.43021390504</v>
      </c>
      <c r="G285" s="27" t="n">
        <f aca="false">SUMPRODUCT(G$258:G$274*parametros_recargas!$D$55:$D$71)</f>
        <v>549.43021390504</v>
      </c>
      <c r="H285" s="27" t="n">
        <f aca="false">SUMPRODUCT(H$258:H$274*parametros_recargas!$D$55:$D$71)</f>
        <v>549.43021390504</v>
      </c>
      <c r="I285" s="27" t="n">
        <f aca="false">SUMPRODUCT(I$258:I$274*parametros_recargas!$D$55:$D$71)</f>
        <v>549.43021390504</v>
      </c>
      <c r="J285" s="27" t="n">
        <f aca="false">SUMPRODUCT(J$258:J$274*parametros_recargas!$D$55:$D$71)</f>
        <v>549.43021390504</v>
      </c>
      <c r="K285" s="27" t="n">
        <f aca="false">SUMPRODUCT(K$258:K$274*parametros_recargas!$D$55:$D$71)</f>
        <v>549.43021390504</v>
      </c>
      <c r="L285" s="27" t="n">
        <f aca="false">SUMPRODUCT(L$258:L$274*parametros_recargas!$D$55:$D$71)</f>
        <v>549.43021390504</v>
      </c>
      <c r="M285" s="27" t="n">
        <f aca="false">SUMPRODUCT(M$258:M$274*parametros_recargas!$D$55:$D$71)</f>
        <v>549.43021390504</v>
      </c>
      <c r="N285" s="27" t="n">
        <f aca="false">SUMPRODUCT(N$258:N$274*parametros_recargas!$D$55:$D$71)</f>
        <v>549.43021390504</v>
      </c>
      <c r="O285" s="27" t="n">
        <f aca="false">SUMPRODUCT(O$258:O$274*parametros_recargas!$D$55:$D$71)</f>
        <v>549.43021390504</v>
      </c>
      <c r="P285" s="27" t="n">
        <f aca="false">SUMPRODUCT(P$258:P$274*parametros_recargas!$D$55:$D$71)</f>
        <v>6653.62505695133</v>
      </c>
    </row>
    <row r="286" customFormat="false" ht="15" hidden="false" customHeight="false" outlineLevel="0" collapsed="false">
      <c r="A286" s="4" t="s">
        <v>433</v>
      </c>
      <c r="D286" s="27" t="n">
        <f aca="false">SUMPRODUCT(sobrestock_sustitutos!$J$73:$J$73,--(sobrestock_sustitutos!$F$30:$F$30="Fábrica: cilindro vacío"),parametros_recargas!$C$55:$C$55)*parametros_recargas!E$109+SUMPRODUCT(sobrestock_sustitutos!$J$74:$J$76,--(sobrestock_sustitutos!$F$31:$F$33="Fábrica: cilindro vacío"),parametros_recargas!$C$56:$C$58)*parametros_recargas!E$110+SUMPRODUCT(sobrestock_sustitutos!$J$86:$J$89,--(sobrestock_sustitutos!$F$43:$F$46="Fábrica: cilindro vacío"),parametros_recargas!$C$68:$C$71)*parametros_recargas!E$111</f>
        <v>20.576647154025</v>
      </c>
      <c r="E286" s="27" t="n">
        <f aca="false">SUMPRODUCT(sobrestock_sustitutos!$J$73:$J$73,--(sobrestock_sustitutos!$F$30:$F$30="Fábrica: cilindro vacío"),parametros_recargas!$C$55:$C$55)*parametros_recargas!F$109+SUMPRODUCT(sobrestock_sustitutos!$J$74:$J$76,--(sobrestock_sustitutos!$F$31:$F$33="Fábrica: cilindro vacío"),parametros_recargas!$C$56:$C$58)*parametros_recargas!F$110+SUMPRODUCT(sobrestock_sustitutos!$J$86:$J$89,--(sobrestock_sustitutos!$F$43:$F$46="Fábrica: cilindro vacío"),parametros_recargas!$C$68:$C$71)*parametros_recargas!F$111</f>
        <v>16.716006312375</v>
      </c>
      <c r="F286" s="27" t="n">
        <f aca="false">SUMPRODUCT(sobrestock_sustitutos!$J$73:$J$73,--(sobrestock_sustitutos!$F$30:$F$30="Fábrica: cilindro vacío"),parametros_recargas!$C$55:$C$55)*parametros_recargas!G$109+SUMPRODUCT(sobrestock_sustitutos!$J$74:$J$76,--(sobrestock_sustitutos!$F$31:$F$33="Fábrica: cilindro vacío"),parametros_recargas!$C$56:$C$58)*parametros_recargas!G$110+SUMPRODUCT(sobrestock_sustitutos!$J$86:$J$89,--(sobrestock_sustitutos!$F$43:$F$46="Fábrica: cilindro vacío"),parametros_recargas!$C$68:$C$71)*parametros_recargas!G$111</f>
        <v>18.13596757485</v>
      </c>
      <c r="G286" s="27" t="n">
        <f aca="false">SUMPRODUCT(sobrestock_sustitutos!$J$73:$J$73,--(sobrestock_sustitutos!$F$30:$F$30="Fábrica: cilindro vacío"),parametros_recargas!$C$55:$C$55)*parametros_recargas!H$109+SUMPRODUCT(sobrestock_sustitutos!$J$74:$J$76,--(sobrestock_sustitutos!$F$31:$F$33="Fábrica: cilindro vacío"),parametros_recargas!$C$56:$C$58)*parametros_recargas!H$110+SUMPRODUCT(sobrestock_sustitutos!$J$86:$J$89,--(sobrestock_sustitutos!$F$43:$F$46="Fábrica: cilindro vacío"),parametros_recargas!$C$68:$C$71)*parametros_recargas!H$111</f>
        <v>18.13596757485</v>
      </c>
      <c r="H286" s="27" t="n">
        <f aca="false">SUMPRODUCT(sobrestock_sustitutos!$J$73:$J$73,--(sobrestock_sustitutos!$F$30:$F$30="Fábrica: cilindro vacío"),parametros_recargas!$C$55:$C$55)*parametros_recargas!I$109+SUMPRODUCT(sobrestock_sustitutos!$J$74:$J$76,--(sobrestock_sustitutos!$F$31:$F$33="Fábrica: cilindro vacío"),parametros_recargas!$C$56:$C$58)*parametros_recargas!I$110+SUMPRODUCT(sobrestock_sustitutos!$J$86:$J$89,--(sobrestock_sustitutos!$F$43:$F$46="Fábrica: cilindro vacío"),parametros_recargas!$C$68:$C$71)*parametros_recargas!I$111</f>
        <v>17.26176757485</v>
      </c>
      <c r="I286" s="27" t="n">
        <f aca="false">SUMPRODUCT(sobrestock_sustitutos!$J$73:$J$73,--(sobrestock_sustitutos!$F$30:$F$30="Fábrica: cilindro vacío"),parametros_recargas!$C$55:$C$55)*parametros_recargas!J$109+SUMPRODUCT(sobrestock_sustitutos!$J$74:$J$76,--(sobrestock_sustitutos!$F$31:$F$33="Fábrica: cilindro vacío"),parametros_recargas!$C$56:$C$58)*parametros_recargas!J$110+SUMPRODUCT(sobrestock_sustitutos!$J$86:$J$89,--(sobrestock_sustitutos!$F$43:$F$46="Fábrica: cilindro vacío"),parametros_recargas!$C$68:$C$71)*parametros_recargas!J$111</f>
        <v>16.0237267332</v>
      </c>
      <c r="J286" s="27" t="n">
        <f aca="false">SUMPRODUCT(sobrestock_sustitutos!$J$73:$J$73,--(sobrestock_sustitutos!$F$30:$F$30="Fábrica: cilindro vacío"),parametros_recargas!$C$55:$C$55)*parametros_recargas!K$109+SUMPRODUCT(sobrestock_sustitutos!$J$74:$J$76,--(sobrestock_sustitutos!$F$31:$F$33="Fábrica: cilindro vacío"),parametros_recargas!$C$56:$C$58)*parametros_recargas!K$110+SUMPRODUCT(sobrestock_sustitutos!$J$86:$J$89,--(sobrestock_sustitutos!$F$43:$F$46="Fábrica: cilindro vacío"),parametros_recargas!$C$68:$C$71)*parametros_recargas!K$111</f>
        <v>17.26176757485</v>
      </c>
      <c r="K286" s="27" t="n">
        <f aca="false">SUMPRODUCT(sobrestock_sustitutos!$J$73:$J$73,--(sobrestock_sustitutos!$F$30:$F$30="Fábrica: cilindro vacío"),parametros_recargas!$C$55:$C$55)*parametros_recargas!L$109+SUMPRODUCT(sobrestock_sustitutos!$J$74:$J$76,--(sobrestock_sustitutos!$F$31:$F$33="Fábrica: cilindro vacío"),parametros_recargas!$C$56:$C$58)*parametros_recargas!L$110+SUMPRODUCT(sobrestock_sustitutos!$J$86:$J$89,--(sobrestock_sustitutos!$F$43:$F$46="Fábrica: cilindro vacío"),parametros_recargas!$C$68:$C$71)*parametros_recargas!L$111</f>
        <v>17.26176757485</v>
      </c>
      <c r="L286" s="27" t="n">
        <f aca="false">SUMPRODUCT(sobrestock_sustitutos!$J$73:$J$73,--(sobrestock_sustitutos!$F$30:$F$30="Fábrica: cilindro vacío"),parametros_recargas!$C$55:$C$55)*parametros_recargas!M$109+SUMPRODUCT(sobrestock_sustitutos!$J$74:$J$76,--(sobrestock_sustitutos!$F$31:$F$33="Fábrica: cilindro vacío"),parametros_recargas!$C$56:$C$58)*parametros_recargas!M$110+SUMPRODUCT(sobrestock_sustitutos!$J$86:$J$89,--(sobrestock_sustitutos!$F$43:$F$46="Fábrica: cilindro vacío"),parametros_recargas!$C$68:$C$71)*parametros_recargas!M$111</f>
        <v>17.079847154025</v>
      </c>
      <c r="M286" s="27" t="n">
        <f aca="false">SUMPRODUCT(sobrestock_sustitutos!$J$73:$J$73,--(sobrestock_sustitutos!$F$30:$F$30="Fábrica: cilindro vacío"),parametros_recargas!$C$55:$C$55)*parametros_recargas!N$109+SUMPRODUCT(sobrestock_sustitutos!$J$74:$J$76,--(sobrestock_sustitutos!$F$31:$F$33="Fábrica: cilindro vacío"),parametros_recargas!$C$56:$C$58)*parametros_recargas!N$110+SUMPRODUCT(sobrestock_sustitutos!$J$86:$J$89,--(sobrestock_sustitutos!$F$43:$F$46="Fábrica: cilindro vacío"),parametros_recargas!$C$68:$C$71)*parametros_recargas!N$111</f>
        <v>15.841806312375</v>
      </c>
      <c r="N286" s="27" t="n">
        <f aca="false">SUMPRODUCT(sobrestock_sustitutos!$J$73:$J$73,--(sobrestock_sustitutos!$F$30:$F$30="Fábrica: cilindro vacío"),parametros_recargas!$C$55:$C$55)*parametros_recargas!O$109+SUMPRODUCT(sobrestock_sustitutos!$J$74:$J$76,--(sobrestock_sustitutos!$F$31:$F$33="Fábrica: cilindro vacío"),parametros_recargas!$C$56:$C$58)*parametros_recargas!O$110+SUMPRODUCT(sobrestock_sustitutos!$J$86:$J$89,--(sobrestock_sustitutos!$F$43:$F$46="Fábrica: cilindro vacío"),parametros_recargas!$C$68:$C$71)*parametros_recargas!O$111</f>
        <v>14.78568589155</v>
      </c>
      <c r="O286" s="27" t="n">
        <f aca="false">SUMPRODUCT(sobrestock_sustitutos!$J$73:$J$73,--(sobrestock_sustitutos!$F$30:$F$30="Fábrica: cilindro vacío"),parametros_recargas!$C$55:$C$55)*parametros_recargas!P$109+SUMPRODUCT(sobrestock_sustitutos!$J$74:$J$76,--(sobrestock_sustitutos!$F$31:$F$33="Fábrica: cilindro vacío"),parametros_recargas!$C$56:$C$58)*parametros_recargas!P$110+SUMPRODUCT(sobrestock_sustitutos!$J$86:$J$89,--(sobrestock_sustitutos!$F$43:$F$46="Fábrica: cilindro vacío"),parametros_recargas!$C$68:$C$71)*parametros_recargas!P$111</f>
        <v>22.1431267332</v>
      </c>
      <c r="P286" s="8" t="n">
        <f aca="false">SUM(D286:O286)</f>
        <v>211.224084165</v>
      </c>
    </row>
    <row r="289" customFormat="false" ht="15" hidden="false" customHeight="false" outlineLevel="0" collapsed="false">
      <c r="A289" s="28" t="n">
        <v>2035</v>
      </c>
      <c r="B289" s="6" t="s">
        <v>428</v>
      </c>
      <c r="C289" s="6" t="s">
        <v>429</v>
      </c>
      <c r="D289" s="6" t="s">
        <v>175</v>
      </c>
      <c r="E289" s="6" t="s">
        <v>176</v>
      </c>
      <c r="F289" s="6" t="s">
        <v>177</v>
      </c>
      <c r="G289" s="6" t="s">
        <v>178</v>
      </c>
      <c r="H289" s="6" t="s">
        <v>179</v>
      </c>
      <c r="I289" s="6" t="s">
        <v>180</v>
      </c>
      <c r="J289" s="6" t="s">
        <v>181</v>
      </c>
      <c r="K289" s="6" t="s">
        <v>182</v>
      </c>
      <c r="L289" s="6" t="s">
        <v>183</v>
      </c>
      <c r="M289" s="6" t="s">
        <v>184</v>
      </c>
      <c r="N289" s="6" t="s">
        <v>185</v>
      </c>
      <c r="O289" s="6" t="s">
        <v>186</v>
      </c>
      <c r="P289" s="6" t="s">
        <v>85</v>
      </c>
    </row>
    <row r="290" customFormat="false" ht="15" hidden="false" customHeight="false" outlineLevel="0" collapsed="false">
      <c r="A290" s="10" t="str">
        <f aca="false">parametros_recargas!A55</f>
        <v>ABC 1 kg</v>
      </c>
      <c r="B290" s="10" t="str">
        <f aca="false">parametros_recargas!B55</f>
        <v>ABC</v>
      </c>
      <c r="C290" s="25" t="n">
        <f aca="false">parametros_recargas!C55</f>
        <v>1</v>
      </c>
      <c r="D290" s="26" t="n">
        <f aca="false">datos_base!$K$2*parametros_recargas!E$55+sobrestock_sustitutos!$J$51/12</f>
        <v>815.318733521231</v>
      </c>
      <c r="E290" s="26" t="n">
        <f aca="false">datos_base!$K$2*parametros_recargas!F$55+sobrestock_sustitutos!$J$51/12</f>
        <v>10675.1756650793</v>
      </c>
      <c r="F290" s="26" t="n">
        <f aca="false">datos_base!$K$2*parametros_recargas!G$55+sobrestock_sustitutos!$J$51/12</f>
        <v>10738.5230234957</v>
      </c>
      <c r="G290" s="26" t="n">
        <f aca="false">datos_base!$K$2*parametros_recargas!H$55+sobrestock_sustitutos!$J$51/12</f>
        <v>10815.2669992924</v>
      </c>
      <c r="H290" s="26" t="n">
        <f aca="false">datos_base!$K$2*parametros_recargas!I$55+sobrestock_sustitutos!$J$51/12</f>
        <v>10819.2732478781</v>
      </c>
      <c r="I290" s="26" t="n">
        <f aca="false">datos_base!$K$2*parametros_recargas!J$55+sobrestock_sustitutos!$J$51/12</f>
        <v>10782.7885967412</v>
      </c>
      <c r="J290" s="26" t="n">
        <f aca="false">datos_base!$K$2*parametros_recargas!K$55+sobrestock_sustitutos!$J$51/12</f>
        <v>10897.545619089</v>
      </c>
      <c r="K290" s="26" t="n">
        <f aca="false">datos_base!$K$2*parametros_recargas!L$55+sobrestock_sustitutos!$J$51/12</f>
        <v>10811.1796994348</v>
      </c>
      <c r="L290" s="26" t="n">
        <f aca="false">datos_base!$K$2*parametros_recargas!M$55+sobrestock_sustitutos!$J$51/12</f>
        <v>10824.645789334</v>
      </c>
      <c r="M290" s="26" t="n">
        <f aca="false">datos_base!$K$2*parametros_recargas!N$55+sobrestock_sustitutos!$J$51/12</f>
        <v>10780.1254835195</v>
      </c>
      <c r="N290" s="26" t="n">
        <f aca="false">datos_base!$K$2*parametros_recargas!O$55+sobrestock_sustitutos!$J$51/12</f>
        <v>10588.4044890654</v>
      </c>
      <c r="O290" s="26" t="n">
        <f aca="false">datos_base!$K$2*parametros_recargas!P$55+sobrestock_sustitutos!$J$51/12</f>
        <v>294.379051102717</v>
      </c>
      <c r="P290" s="8" t="n">
        <f aca="false">SUM(D290:O290)</f>
        <v>108842.626397553</v>
      </c>
    </row>
    <row r="291" customFormat="false" ht="15" hidden="false" customHeight="false" outlineLevel="0" collapsed="false">
      <c r="A291" s="10" t="str">
        <f aca="false">parametros_recargas!A56</f>
        <v>ABC 2,5 kg</v>
      </c>
      <c r="B291" s="10" t="str">
        <f aca="false">parametros_recargas!B56</f>
        <v>ABC</v>
      </c>
      <c r="C291" s="25" t="n">
        <f aca="false">parametros_recargas!C56</f>
        <v>1</v>
      </c>
      <c r="D291" s="26" t="n">
        <f aca="false">datos_base!$K$3*parametros_recargas!E$56+sobrestock_sustitutos!$J$52/12</f>
        <v>739.732869750917</v>
      </c>
      <c r="E291" s="26" t="n">
        <f aca="false">datos_base!$K$3*parametros_recargas!F$56+sobrestock_sustitutos!$J$52/12</f>
        <v>1252.47857704757</v>
      </c>
      <c r="F291" s="26" t="n">
        <f aca="false">datos_base!$K$3*parametros_recargas!G$56+sobrestock_sustitutos!$J$52/12</f>
        <v>739.732869750917</v>
      </c>
      <c r="G291" s="26" t="n">
        <f aca="false">datos_base!$K$3*parametros_recargas!H$56+sobrestock_sustitutos!$J$52/12</f>
        <v>739.732869750917</v>
      </c>
      <c r="H291" s="26" t="n">
        <f aca="false">datos_base!$K$3*parametros_recargas!I$56+sobrestock_sustitutos!$J$52/12</f>
        <v>739.732869750917</v>
      </c>
      <c r="I291" s="26" t="n">
        <f aca="false">datos_base!$K$3*parametros_recargas!J$56+sobrestock_sustitutos!$J$52/12</f>
        <v>739.732869750917</v>
      </c>
      <c r="J291" s="26" t="n">
        <f aca="false">datos_base!$K$3*parametros_recargas!K$56+sobrestock_sustitutos!$J$52/12</f>
        <v>739.732869750917</v>
      </c>
      <c r="K291" s="26" t="n">
        <f aca="false">datos_base!$K$3*parametros_recargas!L$56+sobrestock_sustitutos!$J$52/12</f>
        <v>739.732869750917</v>
      </c>
      <c r="L291" s="26" t="n">
        <f aca="false">datos_base!$K$3*parametros_recargas!M$56+sobrestock_sustitutos!$J$52/12</f>
        <v>739.732869750917</v>
      </c>
      <c r="M291" s="26" t="n">
        <f aca="false">datos_base!$K$3*parametros_recargas!N$56+sobrestock_sustitutos!$J$52/12</f>
        <v>739.732869750917</v>
      </c>
      <c r="N291" s="26" t="n">
        <f aca="false">datos_base!$K$3*parametros_recargas!O$56+sobrestock_sustitutos!$J$52/12</f>
        <v>739.732869750917</v>
      </c>
      <c r="O291" s="26" t="n">
        <f aca="false">datos_base!$K$3*parametros_recargas!P$56+sobrestock_sustitutos!$J$52/12</f>
        <v>739.732869750917</v>
      </c>
      <c r="P291" s="8" t="n">
        <f aca="false">SUM(D291:O291)</f>
        <v>9389.54014430766</v>
      </c>
    </row>
    <row r="292" customFormat="false" ht="15" hidden="false" customHeight="false" outlineLevel="0" collapsed="false">
      <c r="A292" s="10" t="str">
        <f aca="false">parametros_recargas!A57</f>
        <v>ABC 5 kg</v>
      </c>
      <c r="B292" s="10" t="str">
        <f aca="false">parametros_recargas!B57</f>
        <v>ABC</v>
      </c>
      <c r="C292" s="25" t="n">
        <f aca="false">parametros_recargas!C57</f>
        <v>1</v>
      </c>
      <c r="D292" s="26" t="n">
        <f aca="false">datos_base!$K$4*parametros_recargas!E$57+sobrestock_sustitutos!$J$53/12</f>
        <v>4298.93077450168</v>
      </c>
      <c r="E292" s="26" t="n">
        <f aca="false">datos_base!$K$4*parametros_recargas!F$57+sobrestock_sustitutos!$J$53/12</f>
        <v>6603.28127073543</v>
      </c>
      <c r="F292" s="26" t="n">
        <f aca="false">datos_base!$K$4*parametros_recargas!G$57+sobrestock_sustitutos!$J$53/12</f>
        <v>4645.21809215535</v>
      </c>
      <c r="G292" s="26" t="n">
        <f aca="false">datos_base!$K$4*parametros_recargas!H$57+sobrestock_sustitutos!$J$53/12</f>
        <v>4647.89620546917</v>
      </c>
      <c r="H292" s="26" t="n">
        <f aca="false">datos_base!$K$4*parametros_recargas!I$57+sobrestock_sustitutos!$J$53/12</f>
        <v>4648.03601041887</v>
      </c>
      <c r="I292" s="26" t="n">
        <f aca="false">datos_base!$K$4*parametros_recargas!J$57+sobrestock_sustitutos!$J$53/12</f>
        <v>4646.76281563132</v>
      </c>
      <c r="J292" s="26" t="n">
        <f aca="false">datos_base!$K$4*parametros_recargas!K$57+sobrestock_sustitutos!$J$53/12</f>
        <v>4650.76745972505</v>
      </c>
      <c r="K292" s="26" t="n">
        <f aca="false">datos_base!$K$4*parametros_recargas!L$57+sobrestock_sustitutos!$J$53/12</f>
        <v>4647.75357209564</v>
      </c>
      <c r="L292" s="26" t="n">
        <f aca="false">datos_base!$K$4*parametros_recargas!M$57+sobrestock_sustitutos!$J$53/12</f>
        <v>4648.22349451325</v>
      </c>
      <c r="M292" s="26" t="n">
        <f aca="false">datos_base!$K$4*parametros_recargas!N$57+sobrestock_sustitutos!$J$53/12</f>
        <v>4646.66988170522</v>
      </c>
      <c r="N292" s="26" t="n">
        <f aca="false">datos_base!$K$4*parametros_recargas!O$57+sobrestock_sustitutos!$J$53/12</f>
        <v>4639.97944714726</v>
      </c>
      <c r="O292" s="26" t="n">
        <f aca="false">datos_base!$K$4*parametros_recargas!P$57+sobrestock_sustitutos!$J$53/12</f>
        <v>4280.75168637525</v>
      </c>
      <c r="P292" s="8" t="n">
        <f aca="false">SUM(D292:O292)</f>
        <v>57004.2707104735</v>
      </c>
    </row>
    <row r="293" customFormat="false" ht="15" hidden="false" customHeight="false" outlineLevel="0" collapsed="false">
      <c r="A293" s="10" t="str">
        <f aca="false">parametros_recargas!A58</f>
        <v>ABC 10 kg</v>
      </c>
      <c r="B293" s="10" t="str">
        <f aca="false">parametros_recargas!B58</f>
        <v>ABC</v>
      </c>
      <c r="C293" s="25" t="n">
        <f aca="false">parametros_recargas!C58</f>
        <v>1</v>
      </c>
      <c r="D293" s="26" t="n">
        <f aca="false">datos_base!$K$5*parametros_recargas!E$58+sobrestock_sustitutos!$J$54/12</f>
        <v>264.044189735016</v>
      </c>
      <c r="E293" s="26" t="n">
        <f aca="false">datos_base!$K$5*parametros_recargas!F$58+sobrestock_sustitutos!$J$54/12</f>
        <v>481.841818097658</v>
      </c>
      <c r="F293" s="26" t="n">
        <f aca="false">datos_base!$K$5*parametros_recargas!G$58+sobrestock_sustitutos!$J$54/12</f>
        <v>264.044189735016</v>
      </c>
      <c r="G293" s="26" t="n">
        <f aca="false">datos_base!$K$5*parametros_recargas!H$58+sobrestock_sustitutos!$J$54/12</f>
        <v>264.044189735016</v>
      </c>
      <c r="H293" s="26" t="n">
        <f aca="false">datos_base!$K$5*parametros_recargas!I$58+sobrestock_sustitutos!$J$54/12</f>
        <v>264.044189735016</v>
      </c>
      <c r="I293" s="26" t="n">
        <f aca="false">datos_base!$K$5*parametros_recargas!J$58+sobrestock_sustitutos!$J$54/12</f>
        <v>264.044189735016</v>
      </c>
      <c r="J293" s="26" t="n">
        <f aca="false">datos_base!$K$5*parametros_recargas!K$58+sobrestock_sustitutos!$J$54/12</f>
        <v>264.044189735016</v>
      </c>
      <c r="K293" s="26" t="n">
        <f aca="false">datos_base!$K$5*parametros_recargas!L$58+sobrestock_sustitutos!$J$54/12</f>
        <v>264.044189735016</v>
      </c>
      <c r="L293" s="26" t="n">
        <f aca="false">datos_base!$K$5*parametros_recargas!M$58+sobrestock_sustitutos!$J$54/12</f>
        <v>264.044189735016</v>
      </c>
      <c r="M293" s="26" t="n">
        <f aca="false">datos_base!$K$5*parametros_recargas!N$58+sobrestock_sustitutos!$J$54/12</f>
        <v>264.044189735016</v>
      </c>
      <c r="N293" s="26" t="n">
        <f aca="false">datos_base!$K$5*parametros_recargas!O$58+sobrestock_sustitutos!$J$54/12</f>
        <v>264.044189735016</v>
      </c>
      <c r="O293" s="26" t="n">
        <f aca="false">datos_base!$K$5*parametros_recargas!P$58+sobrestock_sustitutos!$J$54/12</f>
        <v>264.044189735016</v>
      </c>
      <c r="P293" s="8" t="n">
        <f aca="false">SUM(D293:O293)</f>
        <v>3386.32790518283</v>
      </c>
    </row>
    <row r="294" customFormat="false" ht="15" hidden="false" customHeight="false" outlineLevel="0" collapsed="false">
      <c r="A294" s="10" t="str">
        <f aca="false">parametros_recargas!A59</f>
        <v>Agua 10 l</v>
      </c>
      <c r="B294" s="10" t="str">
        <f aca="false">parametros_recargas!B59</f>
        <v>Agua</v>
      </c>
      <c r="C294" s="25" t="n">
        <f aca="false">parametros_recargas!C59</f>
        <v>1</v>
      </c>
      <c r="D294" s="26" t="n">
        <f aca="false">datos_base!$K$6*parametros_recargas!E$59+sobrestock_sustitutos!$J$55/12</f>
        <v>382.083735673523</v>
      </c>
      <c r="E294" s="26" t="n">
        <f aca="false">datos_base!$K$6*parametros_recargas!F$59+sobrestock_sustitutos!$J$55/12</f>
        <v>565.222125279805</v>
      </c>
      <c r="F294" s="26" t="n">
        <f aca="false">datos_base!$K$6*parametros_recargas!G$59+sobrestock_sustitutos!$J$55/12</f>
        <v>382.083735673523</v>
      </c>
      <c r="G294" s="26" t="n">
        <f aca="false">datos_base!$K$6*parametros_recargas!H$59+sobrestock_sustitutos!$J$55/12</f>
        <v>382.083735673523</v>
      </c>
      <c r="H294" s="26" t="n">
        <f aca="false">datos_base!$K$6*parametros_recargas!I$59+sobrestock_sustitutos!$J$55/12</f>
        <v>382.083735673523</v>
      </c>
      <c r="I294" s="26" t="n">
        <f aca="false">datos_base!$K$6*parametros_recargas!J$59+sobrestock_sustitutos!$J$55/12</f>
        <v>382.083735673523</v>
      </c>
      <c r="J294" s="26" t="n">
        <f aca="false">datos_base!$K$6*parametros_recargas!K$59+sobrestock_sustitutos!$J$55/12</f>
        <v>382.083735673523</v>
      </c>
      <c r="K294" s="26" t="n">
        <f aca="false">datos_base!$K$6*parametros_recargas!L$59+sobrestock_sustitutos!$J$55/12</f>
        <v>382.083735673523</v>
      </c>
      <c r="L294" s="26" t="n">
        <f aca="false">datos_base!$K$6*parametros_recargas!M$59+sobrestock_sustitutos!$J$55/12</f>
        <v>382.083735673523</v>
      </c>
      <c r="M294" s="26" t="n">
        <f aca="false">datos_base!$K$6*parametros_recargas!N$59+sobrestock_sustitutos!$J$55/12</f>
        <v>382.083735673523</v>
      </c>
      <c r="N294" s="26" t="n">
        <f aca="false">datos_base!$K$6*parametros_recargas!O$59+sobrestock_sustitutos!$J$55/12</f>
        <v>382.083735673523</v>
      </c>
      <c r="O294" s="26" t="n">
        <f aca="false">datos_base!$K$6*parametros_recargas!P$59+sobrestock_sustitutos!$J$55/12</f>
        <v>382.083735673523</v>
      </c>
      <c r="P294" s="8" t="n">
        <f aca="false">SUM(D294:O294)</f>
        <v>4768.14321768856</v>
      </c>
    </row>
    <row r="295" customFormat="false" ht="15" hidden="false" customHeight="false" outlineLevel="0" collapsed="false">
      <c r="A295" s="10" t="str">
        <f aca="false">parametros_recargas!A60</f>
        <v>AFFF 10 l</v>
      </c>
      <c r="B295" s="10" t="str">
        <f aca="false">parametros_recargas!B60</f>
        <v>AFFF</v>
      </c>
      <c r="C295" s="25" t="n">
        <f aca="false">parametros_recargas!C60</f>
        <v>1</v>
      </c>
      <c r="D295" s="26" t="n">
        <f aca="false">datos_base!$K$7*parametros_recargas!E$60+sobrestock_sustitutos!$J$56/12</f>
        <v>75.3078698673154</v>
      </c>
      <c r="E295" s="26" t="n">
        <f aca="false">datos_base!$K$7*parametros_recargas!F$60+sobrestock_sustitutos!$J$56/12</f>
        <v>75.3078698673154</v>
      </c>
      <c r="F295" s="26" t="n">
        <f aca="false">datos_base!$K$7*parametros_recargas!G$60+sobrestock_sustitutos!$J$56/12</f>
        <v>75.3078698673154</v>
      </c>
      <c r="G295" s="26" t="n">
        <f aca="false">datos_base!$K$7*parametros_recargas!H$60+sobrestock_sustitutos!$J$56/12</f>
        <v>75.3078698673154</v>
      </c>
      <c r="H295" s="26" t="n">
        <f aca="false">datos_base!$K$7*parametros_recargas!I$60+sobrestock_sustitutos!$J$56/12</f>
        <v>75.3078698673154</v>
      </c>
      <c r="I295" s="26" t="n">
        <f aca="false">datos_base!$K$7*parametros_recargas!J$60+sobrestock_sustitutos!$J$56/12</f>
        <v>75.3078698673154</v>
      </c>
      <c r="J295" s="26" t="n">
        <f aca="false">datos_base!$K$7*parametros_recargas!K$60+sobrestock_sustitutos!$J$56/12</f>
        <v>75.3078698673154</v>
      </c>
      <c r="K295" s="26" t="n">
        <f aca="false">datos_base!$K$7*parametros_recargas!L$60+sobrestock_sustitutos!$J$56/12</f>
        <v>75.3078698673154</v>
      </c>
      <c r="L295" s="26" t="n">
        <f aca="false">datos_base!$K$7*parametros_recargas!M$60+sobrestock_sustitutos!$J$56/12</f>
        <v>75.3078698673154</v>
      </c>
      <c r="M295" s="26" t="n">
        <f aca="false">datos_base!$K$7*parametros_recargas!N$60+sobrestock_sustitutos!$J$56/12</f>
        <v>75.3078698673154</v>
      </c>
      <c r="N295" s="26" t="n">
        <f aca="false">datos_base!$K$7*parametros_recargas!O$60+sobrestock_sustitutos!$J$56/12</f>
        <v>75.3078698673154</v>
      </c>
      <c r="O295" s="26" t="n">
        <f aca="false">datos_base!$K$7*parametros_recargas!P$60+sobrestock_sustitutos!$J$56/12</f>
        <v>75.3078698673154</v>
      </c>
      <c r="P295" s="8" t="n">
        <f aca="false">SUM(D295:O295)</f>
        <v>903.694438407785</v>
      </c>
    </row>
    <row r="296" customFormat="false" ht="15" hidden="false" customHeight="false" outlineLevel="0" collapsed="false">
      <c r="A296" s="10" t="str">
        <f aca="false">parametros_recargas!A61</f>
        <v>AFFF 50 l s/ruedas</v>
      </c>
      <c r="B296" s="10" t="str">
        <f aca="false">parametros_recargas!B61</f>
        <v>AFFF</v>
      </c>
      <c r="C296" s="25" t="n">
        <f aca="false">parametros_recargas!C61</f>
        <v>6.360853875</v>
      </c>
      <c r="D296" s="26" t="n">
        <f aca="false">datos_base!$K$8*parametros_recargas!E$61+sobrestock_sustitutos!$J$57/12</f>
        <v>39.3144191681171</v>
      </c>
      <c r="E296" s="26" t="n">
        <f aca="false">datos_base!$K$8*parametros_recargas!F$61+sobrestock_sustitutos!$J$57/12</f>
        <v>39.3144191681171</v>
      </c>
      <c r="F296" s="26" t="n">
        <f aca="false">datos_base!$K$8*parametros_recargas!G$61+sobrestock_sustitutos!$J$57/12</f>
        <v>39.3144191681171</v>
      </c>
      <c r="G296" s="26" t="n">
        <f aca="false">datos_base!$K$8*parametros_recargas!H$61+sobrestock_sustitutos!$J$57/12</f>
        <v>39.3144191681171</v>
      </c>
      <c r="H296" s="26" t="n">
        <f aca="false">datos_base!$K$8*parametros_recargas!I$61+sobrestock_sustitutos!$J$57/12</f>
        <v>39.3144191681171</v>
      </c>
      <c r="I296" s="26" t="n">
        <f aca="false">datos_base!$K$8*parametros_recargas!J$61+sobrestock_sustitutos!$J$57/12</f>
        <v>39.3144191681171</v>
      </c>
      <c r="J296" s="26" t="n">
        <f aca="false">datos_base!$K$8*parametros_recargas!K$61+sobrestock_sustitutos!$J$57/12</f>
        <v>39.3144191681171</v>
      </c>
      <c r="K296" s="26" t="n">
        <f aca="false">datos_base!$K$8*parametros_recargas!L$61+sobrestock_sustitutos!$J$57/12</f>
        <v>39.3144191681171</v>
      </c>
      <c r="L296" s="26" t="n">
        <f aca="false">datos_base!$K$8*parametros_recargas!M$61+sobrestock_sustitutos!$J$57/12</f>
        <v>39.3144191681171</v>
      </c>
      <c r="M296" s="26" t="n">
        <f aca="false">datos_base!$K$8*parametros_recargas!N$61+sobrestock_sustitutos!$J$57/12</f>
        <v>39.3144191681171</v>
      </c>
      <c r="N296" s="26" t="n">
        <f aca="false">datos_base!$K$8*parametros_recargas!O$61+sobrestock_sustitutos!$J$57/12</f>
        <v>39.3144191681171</v>
      </c>
      <c r="O296" s="26" t="n">
        <f aca="false">datos_base!$K$8*parametros_recargas!P$61+sobrestock_sustitutos!$J$57/12</f>
        <v>39.3144191681171</v>
      </c>
      <c r="P296" s="8" t="n">
        <f aca="false">SUM(D296:O296)</f>
        <v>471.773030017405</v>
      </c>
    </row>
    <row r="297" customFormat="false" ht="15" hidden="false" customHeight="false" outlineLevel="0" collapsed="false">
      <c r="A297" s="10" t="str">
        <f aca="false">parametros_recargas!A62</f>
        <v>BC 5 kg</v>
      </c>
      <c r="B297" s="10" t="str">
        <f aca="false">parametros_recargas!B62</f>
        <v>BC</v>
      </c>
      <c r="C297" s="25" t="n">
        <f aca="false">parametros_recargas!C62</f>
        <v>1</v>
      </c>
      <c r="D297" s="26" t="n">
        <f aca="false">datos_base!$K$9*parametros_recargas!E$62+sobrestock_sustitutos!$J$58/12</f>
        <v>22.758230117595</v>
      </c>
      <c r="E297" s="26" t="n">
        <f aca="false">datos_base!$K$9*parametros_recargas!F$62+sobrestock_sustitutos!$J$58/12</f>
        <v>22.758230117595</v>
      </c>
      <c r="F297" s="26" t="n">
        <f aca="false">datos_base!$K$9*parametros_recargas!G$62+sobrestock_sustitutos!$J$58/12</f>
        <v>22.758230117595</v>
      </c>
      <c r="G297" s="26" t="n">
        <f aca="false">datos_base!$K$9*parametros_recargas!H$62+sobrestock_sustitutos!$J$58/12</f>
        <v>22.758230117595</v>
      </c>
      <c r="H297" s="26" t="n">
        <f aca="false">datos_base!$K$9*parametros_recargas!I$62+sobrestock_sustitutos!$J$58/12</f>
        <v>22.758230117595</v>
      </c>
      <c r="I297" s="26" t="n">
        <f aca="false">datos_base!$K$9*parametros_recargas!J$62+sobrestock_sustitutos!$J$58/12</f>
        <v>22.758230117595</v>
      </c>
      <c r="J297" s="26" t="n">
        <f aca="false">datos_base!$K$9*parametros_recargas!K$62+sobrestock_sustitutos!$J$58/12</f>
        <v>22.758230117595</v>
      </c>
      <c r="K297" s="26" t="n">
        <f aca="false">datos_base!$K$9*parametros_recargas!L$62+sobrestock_sustitutos!$J$58/12</f>
        <v>22.758230117595</v>
      </c>
      <c r="L297" s="26" t="n">
        <f aca="false">datos_base!$K$9*parametros_recargas!M$62+sobrestock_sustitutos!$J$58/12</f>
        <v>22.758230117595</v>
      </c>
      <c r="M297" s="26" t="n">
        <f aca="false">datos_base!$K$9*parametros_recargas!N$62+sobrestock_sustitutos!$J$58/12</f>
        <v>22.758230117595</v>
      </c>
      <c r="N297" s="26" t="n">
        <f aca="false">datos_base!$K$9*parametros_recargas!O$62+sobrestock_sustitutos!$J$58/12</f>
        <v>22.758230117595</v>
      </c>
      <c r="O297" s="26" t="n">
        <f aca="false">datos_base!$K$9*parametros_recargas!P$62+sobrestock_sustitutos!$J$58/12</f>
        <v>22.758230117595</v>
      </c>
      <c r="P297" s="8" t="n">
        <f aca="false">SUM(D297:O297)</f>
        <v>273.09876141114</v>
      </c>
    </row>
    <row r="298" customFormat="false" ht="15" hidden="false" customHeight="false" outlineLevel="0" collapsed="false">
      <c r="A298" s="10" t="str">
        <f aca="false">parametros_recargas!A63</f>
        <v>Sales K 6 l</v>
      </c>
      <c r="B298" s="10" t="str">
        <f aca="false">parametros_recargas!B63</f>
        <v>Sales K</v>
      </c>
      <c r="C298" s="25" t="n">
        <f aca="false">parametros_recargas!C63</f>
        <v>1</v>
      </c>
      <c r="D298" s="26" t="n">
        <f aca="false">datos_base!$K$10*parametros_recargas!E$63+sobrestock_sustitutos!$J$59/12</f>
        <v>182.088965176703</v>
      </c>
      <c r="E298" s="26" t="n">
        <f aca="false">datos_base!$K$10*parametros_recargas!F$63+sobrestock_sustitutos!$J$59/12</f>
        <v>362.01545649789</v>
      </c>
      <c r="F298" s="26" t="n">
        <f aca="false">datos_base!$K$10*parametros_recargas!G$63+sobrestock_sustitutos!$J$59/12</f>
        <v>182.088965176703</v>
      </c>
      <c r="G298" s="26" t="n">
        <f aca="false">datos_base!$K$10*parametros_recargas!H$63+sobrestock_sustitutos!$J$59/12</f>
        <v>182.088965176703</v>
      </c>
      <c r="H298" s="26" t="n">
        <f aca="false">datos_base!$K$10*parametros_recargas!I$63+sobrestock_sustitutos!$J$59/12</f>
        <v>182.088965176703</v>
      </c>
      <c r="I298" s="26" t="n">
        <f aca="false">datos_base!$K$10*parametros_recargas!J$63+sobrestock_sustitutos!$J$59/12</f>
        <v>182.088965176703</v>
      </c>
      <c r="J298" s="26" t="n">
        <f aca="false">datos_base!$K$10*parametros_recargas!K$63+sobrestock_sustitutos!$J$59/12</f>
        <v>182.088965176703</v>
      </c>
      <c r="K298" s="26" t="n">
        <f aca="false">datos_base!$K$10*parametros_recargas!L$63+sobrestock_sustitutos!$J$59/12</f>
        <v>182.088965176703</v>
      </c>
      <c r="L298" s="26" t="n">
        <f aca="false">datos_base!$K$10*parametros_recargas!M$63+sobrestock_sustitutos!$J$59/12</f>
        <v>182.088965176703</v>
      </c>
      <c r="M298" s="26" t="n">
        <f aca="false">datos_base!$K$10*parametros_recargas!N$63+sobrestock_sustitutos!$J$59/12</f>
        <v>182.088965176703</v>
      </c>
      <c r="N298" s="26" t="n">
        <f aca="false">datos_base!$K$10*parametros_recargas!O$63+sobrestock_sustitutos!$J$59/12</f>
        <v>182.088965176703</v>
      </c>
      <c r="O298" s="26" t="n">
        <f aca="false">datos_base!$K$10*parametros_recargas!P$63+sobrestock_sustitutos!$J$59/12</f>
        <v>182.088965176703</v>
      </c>
      <c r="P298" s="8" t="n">
        <f aca="false">SUM(D298:O298)</f>
        <v>2364.99407344162</v>
      </c>
    </row>
    <row r="299" customFormat="false" ht="15" hidden="false" customHeight="false" outlineLevel="0" collapsed="false">
      <c r="A299" s="10" t="str">
        <f aca="false">parametros_recargas!A64</f>
        <v>CO₂ 2 kg</v>
      </c>
      <c r="B299" s="10" t="str">
        <f aca="false">parametros_recargas!B64</f>
        <v>CO₂</v>
      </c>
      <c r="C299" s="25" t="n">
        <f aca="false">parametros_recargas!C64</f>
        <v>1</v>
      </c>
      <c r="D299" s="26" t="n">
        <f aca="false">datos_base!$K$11*parametros_recargas!E$64+sobrestock_sustitutos!$J$60/12</f>
        <v>1009.60185642597</v>
      </c>
      <c r="E299" s="26" t="n">
        <f aca="false">datos_base!$K$11*parametros_recargas!F$64+sobrestock_sustitutos!$J$60/12</f>
        <v>1745.10953156515</v>
      </c>
      <c r="F299" s="26" t="n">
        <f aca="false">datos_base!$K$11*parametros_recargas!G$64+sobrestock_sustitutos!$J$60/12</f>
        <v>1009.60185642597</v>
      </c>
      <c r="G299" s="26" t="n">
        <f aca="false">datos_base!$K$11*parametros_recargas!H$64+sobrestock_sustitutos!$J$60/12</f>
        <v>1009.60185642597</v>
      </c>
      <c r="H299" s="26" t="n">
        <f aca="false">datos_base!$K$11*parametros_recargas!I$64+sobrestock_sustitutos!$J$60/12</f>
        <v>1009.60185642597</v>
      </c>
      <c r="I299" s="26" t="n">
        <f aca="false">datos_base!$K$11*parametros_recargas!J$64+sobrestock_sustitutos!$J$60/12</f>
        <v>1009.60185642597</v>
      </c>
      <c r="J299" s="26" t="n">
        <f aca="false">datos_base!$K$11*parametros_recargas!K$64+sobrestock_sustitutos!$J$60/12</f>
        <v>1009.60185642597</v>
      </c>
      <c r="K299" s="26" t="n">
        <f aca="false">datos_base!$K$11*parametros_recargas!L$64+sobrestock_sustitutos!$J$60/12</f>
        <v>1009.60185642597</v>
      </c>
      <c r="L299" s="26" t="n">
        <f aca="false">datos_base!$K$11*parametros_recargas!M$64+sobrestock_sustitutos!$J$60/12</f>
        <v>1009.60185642597</v>
      </c>
      <c r="M299" s="26" t="n">
        <f aca="false">datos_base!$K$11*parametros_recargas!N$64+sobrestock_sustitutos!$J$60/12</f>
        <v>1009.60185642597</v>
      </c>
      <c r="N299" s="26" t="n">
        <f aca="false">datos_base!$K$11*parametros_recargas!O$64+sobrestock_sustitutos!$J$60/12</f>
        <v>1009.60185642597</v>
      </c>
      <c r="O299" s="26" t="n">
        <f aca="false">datos_base!$K$11*parametros_recargas!P$64+sobrestock_sustitutos!$J$60/12</f>
        <v>1009.60185642597</v>
      </c>
      <c r="P299" s="8" t="n">
        <f aca="false">SUM(D299:O299)</f>
        <v>12850.7299522508</v>
      </c>
    </row>
    <row r="300" customFormat="false" ht="15" hidden="false" customHeight="false" outlineLevel="0" collapsed="false">
      <c r="A300" s="10" t="str">
        <f aca="false">parametros_recargas!A65</f>
        <v>CO₂ 5 kg</v>
      </c>
      <c r="B300" s="10" t="str">
        <f aca="false">parametros_recargas!B65</f>
        <v>CO₂</v>
      </c>
      <c r="C300" s="25" t="n">
        <f aca="false">parametros_recargas!C65</f>
        <v>1</v>
      </c>
      <c r="D300" s="26" t="n">
        <f aca="false">datos_base!$K$12*parametros_recargas!E$65+sobrestock_sustitutos!$J$61/12</f>
        <v>361.397202805472</v>
      </c>
      <c r="E300" s="26" t="n">
        <f aca="false">datos_base!$K$12*parametros_recargas!F$65+sobrestock_sustitutos!$J$61/12</f>
        <v>396.014648967256</v>
      </c>
      <c r="F300" s="26" t="n">
        <f aca="false">datos_base!$K$12*parametros_recargas!G$65+sobrestock_sustitutos!$J$61/12</f>
        <v>361.397202805472</v>
      </c>
      <c r="G300" s="26" t="n">
        <f aca="false">datos_base!$K$12*parametros_recargas!H$65+sobrestock_sustitutos!$J$61/12</f>
        <v>361.397202805472</v>
      </c>
      <c r="H300" s="26" t="n">
        <f aca="false">datos_base!$K$12*parametros_recargas!I$65+sobrestock_sustitutos!$J$61/12</f>
        <v>361.397202805472</v>
      </c>
      <c r="I300" s="26" t="n">
        <f aca="false">datos_base!$K$12*parametros_recargas!J$65+sobrestock_sustitutos!$J$61/12</f>
        <v>361.397202805472</v>
      </c>
      <c r="J300" s="26" t="n">
        <f aca="false">datos_base!$K$12*parametros_recargas!K$65+sobrestock_sustitutos!$J$61/12</f>
        <v>361.397202805472</v>
      </c>
      <c r="K300" s="26" t="n">
        <f aca="false">datos_base!$K$12*parametros_recargas!L$65+sobrestock_sustitutos!$J$61/12</f>
        <v>361.397202805472</v>
      </c>
      <c r="L300" s="26" t="n">
        <f aca="false">datos_base!$K$12*parametros_recargas!M$65+sobrestock_sustitutos!$J$61/12</f>
        <v>361.397202805472</v>
      </c>
      <c r="M300" s="26" t="n">
        <f aca="false">datos_base!$K$12*parametros_recargas!N$65+sobrestock_sustitutos!$J$61/12</f>
        <v>361.397202805472</v>
      </c>
      <c r="N300" s="26" t="n">
        <f aca="false">datos_base!$K$12*parametros_recargas!O$65+sobrestock_sustitutos!$J$61/12</f>
        <v>361.397202805472</v>
      </c>
      <c r="O300" s="26" t="n">
        <f aca="false">datos_base!$K$12*parametros_recargas!P$65+sobrestock_sustitutos!$J$61/12</f>
        <v>361.397202805472</v>
      </c>
      <c r="P300" s="8" t="n">
        <f aca="false">SUM(D300:O300)</f>
        <v>4371.38387982745</v>
      </c>
    </row>
    <row r="301" customFormat="false" ht="15" hidden="false" customHeight="false" outlineLevel="0" collapsed="false">
      <c r="A301" s="10" t="str">
        <f aca="false">parametros_recargas!A66</f>
        <v>HCFC/HFC 5 kg</v>
      </c>
      <c r="B301" s="10" t="str">
        <f aca="false">parametros_recargas!B66</f>
        <v>Halogenado</v>
      </c>
      <c r="C301" s="25" t="n">
        <f aca="false">parametros_recargas!C66</f>
        <v>1</v>
      </c>
      <c r="D301" s="26" t="n">
        <f aca="false">datos_base!$K$13*parametros_recargas!E$66+sobrestock_sustitutos!$J$62/12</f>
        <v>59.6930371761382</v>
      </c>
      <c r="E301" s="26" t="n">
        <f aca="false">datos_base!$K$13*parametros_recargas!F$66+sobrestock_sustitutos!$J$62/12</f>
        <v>59.6930371761382</v>
      </c>
      <c r="F301" s="26" t="n">
        <f aca="false">datos_base!$K$13*parametros_recargas!G$66+sobrestock_sustitutos!$J$62/12</f>
        <v>59.6930371761382</v>
      </c>
      <c r="G301" s="26" t="n">
        <f aca="false">datos_base!$K$13*parametros_recargas!H$66+sobrestock_sustitutos!$J$62/12</f>
        <v>59.6930371761382</v>
      </c>
      <c r="H301" s="26" t="n">
        <f aca="false">datos_base!$K$13*parametros_recargas!I$66+sobrestock_sustitutos!$J$62/12</f>
        <v>59.6930371761382</v>
      </c>
      <c r="I301" s="26" t="n">
        <f aca="false">datos_base!$K$13*parametros_recargas!J$66+sobrestock_sustitutos!$J$62/12</f>
        <v>59.6930371761382</v>
      </c>
      <c r="J301" s="26" t="n">
        <f aca="false">datos_base!$K$13*parametros_recargas!K$66+sobrestock_sustitutos!$J$62/12</f>
        <v>59.6930371761382</v>
      </c>
      <c r="K301" s="26" t="n">
        <f aca="false">datos_base!$K$13*parametros_recargas!L$66+sobrestock_sustitutos!$J$62/12</f>
        <v>59.6930371761382</v>
      </c>
      <c r="L301" s="26" t="n">
        <f aca="false">datos_base!$K$13*parametros_recargas!M$66+sobrestock_sustitutos!$J$62/12</f>
        <v>59.6930371761382</v>
      </c>
      <c r="M301" s="26" t="n">
        <f aca="false">datos_base!$K$13*parametros_recargas!N$66+sobrestock_sustitutos!$J$62/12</f>
        <v>59.6930371761382</v>
      </c>
      <c r="N301" s="26" t="n">
        <f aca="false">datos_base!$K$13*parametros_recargas!O$66+sobrestock_sustitutos!$J$62/12</f>
        <v>59.6930371761382</v>
      </c>
      <c r="O301" s="26" t="n">
        <f aca="false">datos_base!$K$13*parametros_recargas!P$66+sobrestock_sustitutos!$J$62/12</f>
        <v>59.6930371761382</v>
      </c>
      <c r="P301" s="8" t="n">
        <f aca="false">SUM(D301:O301)</f>
        <v>716.316446113659</v>
      </c>
    </row>
    <row r="302" customFormat="false" ht="15" hidden="false" customHeight="false" outlineLevel="0" collapsed="false">
      <c r="A302" s="10" t="str">
        <f aca="false">parametros_recargas!A67</f>
        <v>Clase D 9 l</v>
      </c>
      <c r="B302" s="10" t="str">
        <f aca="false">parametros_recargas!B67</f>
        <v>Clase D</v>
      </c>
      <c r="C302" s="25" t="n">
        <f aca="false">parametros_recargas!C67</f>
        <v>1</v>
      </c>
      <c r="D302" s="26" t="n">
        <f aca="false">datos_base!$K$14*parametros_recargas!E$67+sobrestock_sustitutos!$J$63/12</f>
        <v>20.5126200279768</v>
      </c>
      <c r="E302" s="26" t="n">
        <f aca="false">datos_base!$K$14*parametros_recargas!F$67+sobrestock_sustitutos!$J$63/12</f>
        <v>20.5126200279768</v>
      </c>
      <c r="F302" s="26" t="n">
        <f aca="false">datos_base!$K$14*parametros_recargas!G$67+sobrestock_sustitutos!$J$63/12</f>
        <v>20.5126200279768</v>
      </c>
      <c r="G302" s="26" t="n">
        <f aca="false">datos_base!$K$14*parametros_recargas!H$67+sobrestock_sustitutos!$J$63/12</f>
        <v>20.5126200279768</v>
      </c>
      <c r="H302" s="26" t="n">
        <f aca="false">datos_base!$K$14*parametros_recargas!I$67+sobrestock_sustitutos!$J$63/12</f>
        <v>20.5126200279768</v>
      </c>
      <c r="I302" s="26" t="n">
        <f aca="false">datos_base!$K$14*parametros_recargas!J$67+sobrestock_sustitutos!$J$63/12</f>
        <v>20.5126200279768</v>
      </c>
      <c r="J302" s="26" t="n">
        <f aca="false">datos_base!$K$14*parametros_recargas!K$67+sobrestock_sustitutos!$J$63/12</f>
        <v>20.5126200279768</v>
      </c>
      <c r="K302" s="26" t="n">
        <f aca="false">datos_base!$K$14*parametros_recargas!L$67+sobrestock_sustitutos!$J$63/12</f>
        <v>20.5126200279768</v>
      </c>
      <c r="L302" s="26" t="n">
        <f aca="false">datos_base!$K$14*parametros_recargas!M$67+sobrestock_sustitutos!$J$63/12</f>
        <v>20.5126200279768</v>
      </c>
      <c r="M302" s="26" t="n">
        <f aca="false">datos_base!$K$14*parametros_recargas!N$67+sobrestock_sustitutos!$J$63/12</f>
        <v>20.5126200279768</v>
      </c>
      <c r="N302" s="26" t="n">
        <f aca="false">datos_base!$K$14*parametros_recargas!O$67+sobrestock_sustitutos!$J$63/12</f>
        <v>20.5126200279768</v>
      </c>
      <c r="O302" s="26" t="n">
        <f aca="false">datos_base!$K$14*parametros_recargas!P$67+sobrestock_sustitutos!$J$63/12</f>
        <v>20.5126200279768</v>
      </c>
      <c r="P302" s="8" t="n">
        <f aca="false">SUM(D302:O302)</f>
        <v>246.151440335721</v>
      </c>
    </row>
    <row r="303" customFormat="false" ht="15" hidden="false" customHeight="false" outlineLevel="0" collapsed="false">
      <c r="A303" s="10" t="str">
        <f aca="false">parametros_recargas!A68</f>
        <v>ABC 25 kg s/ruedas</v>
      </c>
      <c r="B303" s="10" t="str">
        <f aca="false">parametros_recargas!B68</f>
        <v>ABC</v>
      </c>
      <c r="C303" s="25" t="n">
        <f aca="false">parametros_recargas!C68</f>
        <v>6.360853875</v>
      </c>
      <c r="D303" s="26" t="n">
        <f aca="false">datos_base!$K$15*parametros_recargas!E$68+sobrestock_sustitutos!$J$64/12</f>
        <v>48.2584115550181</v>
      </c>
      <c r="E303" s="26" t="n">
        <f aca="false">datos_base!$K$15*parametros_recargas!F$68+sobrestock_sustitutos!$J$64/12</f>
        <v>55.9336043973852</v>
      </c>
      <c r="F303" s="26" t="n">
        <f aca="false">datos_base!$K$15*parametros_recargas!G$68+sobrestock_sustitutos!$J$64/12</f>
        <v>48.2584115550181</v>
      </c>
      <c r="G303" s="26" t="n">
        <f aca="false">datos_base!$K$15*parametros_recargas!H$68+sobrestock_sustitutos!$J$64/12</f>
        <v>48.2584115550181</v>
      </c>
      <c r="H303" s="26" t="n">
        <f aca="false">datos_base!$K$15*parametros_recargas!I$68+sobrestock_sustitutos!$J$64/12</f>
        <v>48.2584115550181</v>
      </c>
      <c r="I303" s="26" t="n">
        <f aca="false">datos_base!$K$15*parametros_recargas!J$68+sobrestock_sustitutos!$J$64/12</f>
        <v>48.2584115550181</v>
      </c>
      <c r="J303" s="26" t="n">
        <f aca="false">datos_base!$K$15*parametros_recargas!K$68+sobrestock_sustitutos!$J$64/12</f>
        <v>48.2584115550181</v>
      </c>
      <c r="K303" s="26" t="n">
        <f aca="false">datos_base!$K$15*parametros_recargas!L$68+sobrestock_sustitutos!$J$64/12</f>
        <v>48.2584115550181</v>
      </c>
      <c r="L303" s="26" t="n">
        <f aca="false">datos_base!$K$15*parametros_recargas!M$68+sobrestock_sustitutos!$J$64/12</f>
        <v>48.2584115550181</v>
      </c>
      <c r="M303" s="26" t="n">
        <f aca="false">datos_base!$K$15*parametros_recargas!N$68+sobrestock_sustitutos!$J$64/12</f>
        <v>48.2584115550181</v>
      </c>
      <c r="N303" s="26" t="n">
        <f aca="false">datos_base!$K$15*parametros_recargas!O$68+sobrestock_sustitutos!$J$64/12</f>
        <v>48.2584115550181</v>
      </c>
      <c r="O303" s="26" t="n">
        <f aca="false">datos_base!$K$15*parametros_recargas!P$68+sobrestock_sustitutos!$J$64/12</f>
        <v>48.2584115550181</v>
      </c>
      <c r="P303" s="8" t="n">
        <f aca="false">SUM(D303:O303)</f>
        <v>586.776131502584</v>
      </c>
    </row>
    <row r="304" customFormat="false" ht="15" hidden="false" customHeight="false" outlineLevel="0" collapsed="false">
      <c r="A304" s="10" t="str">
        <f aca="false">parametros_recargas!A69</f>
        <v>ABC 50 kg s/ruedas</v>
      </c>
      <c r="B304" s="10" t="str">
        <f aca="false">parametros_recargas!B69</f>
        <v>ABC</v>
      </c>
      <c r="C304" s="25" t="n">
        <f aca="false">parametros_recargas!C69</f>
        <v>6.360853875</v>
      </c>
      <c r="D304" s="26" t="n">
        <f aca="false">datos_base!$K$16*parametros_recargas!E$69+sobrestock_sustitutos!$J$65/12</f>
        <v>106.184980624437</v>
      </c>
      <c r="E304" s="26" t="n">
        <f aca="false">datos_base!$K$16*parametros_recargas!F$69+sobrestock_sustitutos!$J$65/12</f>
        <v>123.072701660549</v>
      </c>
      <c r="F304" s="26" t="n">
        <f aca="false">datos_base!$K$16*parametros_recargas!G$69+sobrestock_sustitutos!$J$65/12</f>
        <v>106.184980624437</v>
      </c>
      <c r="G304" s="26" t="n">
        <f aca="false">datos_base!$K$16*parametros_recargas!H$69+sobrestock_sustitutos!$J$65/12</f>
        <v>106.184980624437</v>
      </c>
      <c r="H304" s="26" t="n">
        <f aca="false">datos_base!$K$16*parametros_recargas!I$69+sobrestock_sustitutos!$J$65/12</f>
        <v>106.184980624437</v>
      </c>
      <c r="I304" s="26" t="n">
        <f aca="false">datos_base!$K$16*parametros_recargas!J$69+sobrestock_sustitutos!$J$65/12</f>
        <v>106.184980624437</v>
      </c>
      <c r="J304" s="26" t="n">
        <f aca="false">datos_base!$K$16*parametros_recargas!K$69+sobrestock_sustitutos!$J$65/12</f>
        <v>106.184980624437</v>
      </c>
      <c r="K304" s="26" t="n">
        <f aca="false">datos_base!$K$16*parametros_recargas!L$69+sobrestock_sustitutos!$J$65/12</f>
        <v>106.184980624437</v>
      </c>
      <c r="L304" s="26" t="n">
        <f aca="false">datos_base!$K$16*parametros_recargas!M$69+sobrestock_sustitutos!$J$65/12</f>
        <v>106.184980624437</v>
      </c>
      <c r="M304" s="26" t="n">
        <f aca="false">datos_base!$K$16*parametros_recargas!N$69+sobrestock_sustitutos!$J$65/12</f>
        <v>106.184980624437</v>
      </c>
      <c r="N304" s="26" t="n">
        <f aca="false">datos_base!$K$16*parametros_recargas!O$69+sobrestock_sustitutos!$J$65/12</f>
        <v>106.184980624437</v>
      </c>
      <c r="O304" s="26" t="n">
        <f aca="false">datos_base!$K$16*parametros_recargas!P$69+sobrestock_sustitutos!$J$65/12</f>
        <v>106.184980624437</v>
      </c>
      <c r="P304" s="8" t="n">
        <f aca="false">SUM(D304:O304)</f>
        <v>1291.10748852936</v>
      </c>
    </row>
    <row r="305" customFormat="false" ht="15" hidden="false" customHeight="false" outlineLevel="0" collapsed="false">
      <c r="A305" s="10" t="str">
        <f aca="false">parametros_recargas!A70</f>
        <v>ABC 70 kg s/ruedas</v>
      </c>
      <c r="B305" s="10" t="str">
        <f aca="false">parametros_recargas!B70</f>
        <v>ABC</v>
      </c>
      <c r="C305" s="25" t="n">
        <f aca="false">parametros_recargas!C70</f>
        <v>6.360853875</v>
      </c>
      <c r="D305" s="26" t="n">
        <f aca="false">datos_base!$K$17*parametros_recargas!E$70+sobrestock_sustitutos!$J$66/12</f>
        <v>23.2207548379783</v>
      </c>
      <c r="E305" s="26" t="n">
        <f aca="false">datos_base!$K$17*parametros_recargas!F$70+sobrestock_sustitutos!$J$66/12</f>
        <v>26.9042399256592</v>
      </c>
      <c r="F305" s="26" t="n">
        <f aca="false">datos_base!$K$17*parametros_recargas!G$70+sobrestock_sustitutos!$J$66/12</f>
        <v>23.2207548379783</v>
      </c>
      <c r="G305" s="26" t="n">
        <f aca="false">datos_base!$K$17*parametros_recargas!H$70+sobrestock_sustitutos!$J$66/12</f>
        <v>23.2207548379783</v>
      </c>
      <c r="H305" s="26" t="n">
        <f aca="false">datos_base!$K$17*parametros_recargas!I$70+sobrestock_sustitutos!$J$66/12</f>
        <v>23.2207548379783</v>
      </c>
      <c r="I305" s="26" t="n">
        <f aca="false">datos_base!$K$17*parametros_recargas!J$70+sobrestock_sustitutos!$J$66/12</f>
        <v>23.2207548379783</v>
      </c>
      <c r="J305" s="26" t="n">
        <f aca="false">datos_base!$K$17*parametros_recargas!K$70+sobrestock_sustitutos!$J$66/12</f>
        <v>23.2207548379783</v>
      </c>
      <c r="K305" s="26" t="n">
        <f aca="false">datos_base!$K$17*parametros_recargas!L$70+sobrestock_sustitutos!$J$66/12</f>
        <v>23.2207548379783</v>
      </c>
      <c r="L305" s="26" t="n">
        <f aca="false">datos_base!$K$17*parametros_recargas!M$70+sobrestock_sustitutos!$J$66/12</f>
        <v>23.2207548379783</v>
      </c>
      <c r="M305" s="26" t="n">
        <f aca="false">datos_base!$K$17*parametros_recargas!N$70+sobrestock_sustitutos!$J$66/12</f>
        <v>23.2207548379783</v>
      </c>
      <c r="N305" s="26" t="n">
        <f aca="false">datos_base!$K$17*parametros_recargas!O$70+sobrestock_sustitutos!$J$66/12</f>
        <v>23.2207548379783</v>
      </c>
      <c r="O305" s="26" t="n">
        <f aca="false">datos_base!$K$17*parametros_recargas!P$70+sobrestock_sustitutos!$J$66/12</f>
        <v>23.2207548379783</v>
      </c>
      <c r="P305" s="8" t="n">
        <f aca="false">SUM(D305:O305)</f>
        <v>282.332543143421</v>
      </c>
    </row>
    <row r="306" customFormat="false" ht="15" hidden="false" customHeight="false" outlineLevel="0" collapsed="false">
      <c r="A306" s="10" t="str">
        <f aca="false">parametros_recargas!A71</f>
        <v>ABC 100 kg s/ruedas</v>
      </c>
      <c r="B306" s="10" t="str">
        <f aca="false">parametros_recargas!B71</f>
        <v>ABC</v>
      </c>
      <c r="C306" s="25" t="n">
        <f aca="false">parametros_recargas!C71</f>
        <v>6.360853875</v>
      </c>
      <c r="D306" s="26" t="n">
        <f aca="false">datos_base!$K$18*parametros_recargas!E$71+sobrestock_sustitutos!$J$67/12</f>
        <v>15.4525113605955</v>
      </c>
      <c r="E306" s="26" t="n">
        <f aca="false">datos_base!$K$18*parametros_recargas!F$71+sobrestock_sustitutos!$J$67/12</f>
        <v>17.9107367593837</v>
      </c>
      <c r="F306" s="26" t="n">
        <f aca="false">datos_base!$K$18*parametros_recargas!G$71+sobrestock_sustitutos!$J$67/12</f>
        <v>15.4525113605955</v>
      </c>
      <c r="G306" s="26" t="n">
        <f aca="false">datos_base!$K$18*parametros_recargas!H$71+sobrestock_sustitutos!$J$67/12</f>
        <v>15.4525113605955</v>
      </c>
      <c r="H306" s="26" t="n">
        <f aca="false">datos_base!$K$18*parametros_recargas!I$71+sobrestock_sustitutos!$J$67/12</f>
        <v>15.4525113605955</v>
      </c>
      <c r="I306" s="26" t="n">
        <f aca="false">datos_base!$K$18*parametros_recargas!J$71+sobrestock_sustitutos!$J$67/12</f>
        <v>15.4525113605955</v>
      </c>
      <c r="J306" s="26" t="n">
        <f aca="false">datos_base!$K$18*parametros_recargas!K$71+sobrestock_sustitutos!$J$67/12</f>
        <v>15.4525113605955</v>
      </c>
      <c r="K306" s="26" t="n">
        <f aca="false">datos_base!$K$18*parametros_recargas!L$71+sobrestock_sustitutos!$J$67/12</f>
        <v>15.4525113605955</v>
      </c>
      <c r="L306" s="26" t="n">
        <f aca="false">datos_base!$K$18*parametros_recargas!M$71+sobrestock_sustitutos!$J$67/12</f>
        <v>15.4525113605955</v>
      </c>
      <c r="M306" s="26" t="n">
        <f aca="false">datos_base!$K$18*parametros_recargas!N$71+sobrestock_sustitutos!$J$67/12</f>
        <v>15.4525113605955</v>
      </c>
      <c r="N306" s="26" t="n">
        <f aca="false">datos_base!$K$18*parametros_recargas!O$71+sobrestock_sustitutos!$J$67/12</f>
        <v>15.4525113605955</v>
      </c>
      <c r="O306" s="26" t="n">
        <f aca="false">datos_base!$K$18*parametros_recargas!P$71+sobrestock_sustitutos!$J$67/12</f>
        <v>15.4525113605955</v>
      </c>
      <c r="P306" s="8" t="n">
        <f aca="false">SUM(D306:O306)</f>
        <v>187.888361725934</v>
      </c>
    </row>
    <row r="307" customFormat="false" ht="15" hidden="false" customHeight="false" outlineLevel="0" collapsed="false">
      <c r="A307" s="4" t="s">
        <v>430</v>
      </c>
      <c r="D307" s="8" t="n">
        <f aca="false">SUM(D290:D306)</f>
        <v>8463.90116232569</v>
      </c>
      <c r="E307" s="8" t="n">
        <f aca="false">SUM(E290:E306)</f>
        <v>22522.5465523702</v>
      </c>
      <c r="F307" s="8" t="n">
        <f aca="false">SUM(F290:F306)</f>
        <v>18733.3927699539</v>
      </c>
      <c r="G307" s="8" t="n">
        <f aca="false">SUM(G290:G306)</f>
        <v>18812.8148590644</v>
      </c>
      <c r="H307" s="8" t="n">
        <f aca="false">SUM(H290:H306)</f>
        <v>18816.9609125997</v>
      </c>
      <c r="I307" s="8" t="n">
        <f aca="false">SUM(I290:I306)</f>
        <v>18779.2030666753</v>
      </c>
      <c r="J307" s="8" t="n">
        <f aca="false">SUM(J290:J306)</f>
        <v>18897.9647331168</v>
      </c>
      <c r="K307" s="8" t="n">
        <f aca="false">SUM(K290:K306)</f>
        <v>18808.5849258332</v>
      </c>
      <c r="L307" s="8" t="n">
        <f aca="false">SUM(L290:L306)</f>
        <v>18822.52093815</v>
      </c>
      <c r="M307" s="8" t="n">
        <f aca="false">SUM(M290:M306)</f>
        <v>18776.4470195275</v>
      </c>
      <c r="N307" s="8" t="n">
        <f aca="false">SUM(N290:N306)</f>
        <v>18578.0355905154</v>
      </c>
      <c r="O307" s="8" t="n">
        <f aca="false">SUM(O290:O306)</f>
        <v>7924.78239178074</v>
      </c>
      <c r="P307" s="8" t="n">
        <f aca="false">SUM(P290:P306)</f>
        <v>207937.154921913</v>
      </c>
    </row>
    <row r="308" customFormat="false" ht="15" hidden="false" customHeight="false" outlineLevel="0" collapsed="false">
      <c r="A308" s="4" t="s">
        <v>431</v>
      </c>
    </row>
    <row r="309" customFormat="false" ht="15" hidden="false" customHeight="false" outlineLevel="0" collapsed="false">
      <c r="A309" s="5" t="s">
        <v>110</v>
      </c>
      <c r="D309" s="26" t="n">
        <f aca="false">SUMPRODUCT(($B$290:$B$306=$A309)*D$290:D$306*$C$290:$C$306)</f>
        <v>7346.41341227978</v>
      </c>
      <c r="E309" s="26" t="n">
        <f aca="false">SUMPRODUCT(($B$290:$B$306=$A309)*E$290:E$306*$C$290:$C$306)</f>
        <v>20436.4718046031</v>
      </c>
      <c r="F309" s="26" t="n">
        <f aca="false">SUMPRODUCT(($B$290:$B$306=$A309)*F$290:F$306*$C$290:$C$306)</f>
        <v>17615.905019908</v>
      </c>
      <c r="G309" s="26" t="n">
        <f aca="false">SUMPRODUCT(($B$290:$B$306=$A309)*G$290:G$306*$C$290:$C$306)</f>
        <v>17695.3271090185</v>
      </c>
      <c r="H309" s="26" t="n">
        <f aca="false">SUMPRODUCT(($B$290:$B$306=$A309)*H$290:H$306*$C$290:$C$306)</f>
        <v>17699.4731625538</v>
      </c>
      <c r="I309" s="26" t="n">
        <f aca="false">SUMPRODUCT(($B$290:$B$306=$A309)*I$290:I$306*$C$290:$C$306)</f>
        <v>17661.7153166294</v>
      </c>
      <c r="J309" s="26" t="n">
        <f aca="false">SUMPRODUCT(($B$290:$B$306=$A309)*J$290:J$306*$C$290:$C$306)</f>
        <v>17780.4769830709</v>
      </c>
      <c r="K309" s="26" t="n">
        <f aca="false">SUMPRODUCT(($B$290:$B$306=$A309)*K$290:K$306*$C$290:$C$306)</f>
        <v>17691.0971757873</v>
      </c>
      <c r="L309" s="26" t="n">
        <f aca="false">SUMPRODUCT(($B$290:$B$306=$A309)*L$290:L$306*$C$290:$C$306)</f>
        <v>17705.0331881041</v>
      </c>
      <c r="M309" s="26" t="n">
        <f aca="false">SUMPRODUCT(($B$290:$B$306=$A309)*M$290:M$306*$C$290:$C$306)</f>
        <v>17658.9592694816</v>
      </c>
      <c r="N309" s="26" t="n">
        <f aca="false">SUMPRODUCT(($B$290:$B$306=$A309)*N$290:N$306*$C$290:$C$306)</f>
        <v>17460.5478404695</v>
      </c>
      <c r="O309" s="26" t="n">
        <f aca="false">SUMPRODUCT(($B$290:$B$306=$A309)*O$290:O$306*$C$290:$C$306)</f>
        <v>6807.29464173483</v>
      </c>
      <c r="P309" s="26" t="n">
        <f aca="false">SUMPRODUCT(($B$290:$B$306=$A309)*P$290:P$306*$C$290:$C$306)</f>
        <v>193558.714923641</v>
      </c>
    </row>
    <row r="310" customFormat="false" ht="15" hidden="false" customHeight="false" outlineLevel="0" collapsed="false">
      <c r="A310" s="5" t="s">
        <v>111</v>
      </c>
      <c r="D310" s="26" t="n">
        <f aca="false">SUMPRODUCT(($B$290:$B$306=$A310)*D$290:D$306*$C$290:$C$306)</f>
        <v>22.758230117595</v>
      </c>
      <c r="E310" s="26" t="n">
        <f aca="false">SUMPRODUCT(($B$290:$B$306=$A310)*E$290:E$306*$C$290:$C$306)</f>
        <v>22.758230117595</v>
      </c>
      <c r="F310" s="26" t="n">
        <f aca="false">SUMPRODUCT(($B$290:$B$306=$A310)*F$290:F$306*$C$290:$C$306)</f>
        <v>22.758230117595</v>
      </c>
      <c r="G310" s="26" t="n">
        <f aca="false">SUMPRODUCT(($B$290:$B$306=$A310)*G$290:G$306*$C$290:$C$306)</f>
        <v>22.758230117595</v>
      </c>
      <c r="H310" s="26" t="n">
        <f aca="false">SUMPRODUCT(($B$290:$B$306=$A310)*H$290:H$306*$C$290:$C$306)</f>
        <v>22.758230117595</v>
      </c>
      <c r="I310" s="26" t="n">
        <f aca="false">SUMPRODUCT(($B$290:$B$306=$A310)*I$290:I$306*$C$290:$C$306)</f>
        <v>22.758230117595</v>
      </c>
      <c r="J310" s="26" t="n">
        <f aca="false">SUMPRODUCT(($B$290:$B$306=$A310)*J$290:J$306*$C$290:$C$306)</f>
        <v>22.758230117595</v>
      </c>
      <c r="K310" s="26" t="n">
        <f aca="false">SUMPRODUCT(($B$290:$B$306=$A310)*K$290:K$306*$C$290:$C$306)</f>
        <v>22.758230117595</v>
      </c>
      <c r="L310" s="26" t="n">
        <f aca="false">SUMPRODUCT(($B$290:$B$306=$A310)*L$290:L$306*$C$290:$C$306)</f>
        <v>22.758230117595</v>
      </c>
      <c r="M310" s="26" t="n">
        <f aca="false">SUMPRODUCT(($B$290:$B$306=$A310)*M$290:M$306*$C$290:$C$306)</f>
        <v>22.758230117595</v>
      </c>
      <c r="N310" s="26" t="n">
        <f aca="false">SUMPRODUCT(($B$290:$B$306=$A310)*N$290:N$306*$C$290:$C$306)</f>
        <v>22.758230117595</v>
      </c>
      <c r="O310" s="26" t="n">
        <f aca="false">SUMPRODUCT(($B$290:$B$306=$A310)*O$290:O$306*$C$290:$C$306)</f>
        <v>22.758230117595</v>
      </c>
      <c r="P310" s="26" t="n">
        <f aca="false">SUMPRODUCT(($B$290:$B$306=$A310)*P$290:P$306*$C$290:$C$306)</f>
        <v>273.09876141114</v>
      </c>
    </row>
    <row r="311" customFormat="false" ht="15" hidden="false" customHeight="false" outlineLevel="0" collapsed="false">
      <c r="A311" s="5" t="s">
        <v>112</v>
      </c>
      <c r="D311" s="26" t="n">
        <f aca="false">SUMPRODUCT(($B$290:$B$306=$A311)*D$290:D$306*$C$290:$C$306)</f>
        <v>20.5126200279768</v>
      </c>
      <c r="E311" s="26" t="n">
        <f aca="false">SUMPRODUCT(($B$290:$B$306=$A311)*E$290:E$306*$C$290:$C$306)</f>
        <v>20.5126200279768</v>
      </c>
      <c r="F311" s="26" t="n">
        <f aca="false">SUMPRODUCT(($B$290:$B$306=$A311)*F$290:F$306*$C$290:$C$306)</f>
        <v>20.5126200279768</v>
      </c>
      <c r="G311" s="26" t="n">
        <f aca="false">SUMPRODUCT(($B$290:$B$306=$A311)*G$290:G$306*$C$290:$C$306)</f>
        <v>20.5126200279768</v>
      </c>
      <c r="H311" s="26" t="n">
        <f aca="false">SUMPRODUCT(($B$290:$B$306=$A311)*H$290:H$306*$C$290:$C$306)</f>
        <v>20.5126200279768</v>
      </c>
      <c r="I311" s="26" t="n">
        <f aca="false">SUMPRODUCT(($B$290:$B$306=$A311)*I$290:I$306*$C$290:$C$306)</f>
        <v>20.5126200279768</v>
      </c>
      <c r="J311" s="26" t="n">
        <f aca="false">SUMPRODUCT(($B$290:$B$306=$A311)*J$290:J$306*$C$290:$C$306)</f>
        <v>20.5126200279768</v>
      </c>
      <c r="K311" s="26" t="n">
        <f aca="false">SUMPRODUCT(($B$290:$B$306=$A311)*K$290:K$306*$C$290:$C$306)</f>
        <v>20.5126200279768</v>
      </c>
      <c r="L311" s="26" t="n">
        <f aca="false">SUMPRODUCT(($B$290:$B$306=$A311)*L$290:L$306*$C$290:$C$306)</f>
        <v>20.5126200279768</v>
      </c>
      <c r="M311" s="26" t="n">
        <f aca="false">SUMPRODUCT(($B$290:$B$306=$A311)*M$290:M$306*$C$290:$C$306)</f>
        <v>20.5126200279768</v>
      </c>
      <c r="N311" s="26" t="n">
        <f aca="false">SUMPRODUCT(($B$290:$B$306=$A311)*N$290:N$306*$C$290:$C$306)</f>
        <v>20.5126200279768</v>
      </c>
      <c r="O311" s="26" t="n">
        <f aca="false">SUMPRODUCT(($B$290:$B$306=$A311)*O$290:O$306*$C$290:$C$306)</f>
        <v>20.5126200279768</v>
      </c>
      <c r="P311" s="26" t="n">
        <f aca="false">SUMPRODUCT(($B$290:$B$306=$A311)*P$290:P$306*$C$290:$C$306)</f>
        <v>246.151440335721</v>
      </c>
    </row>
    <row r="312" customFormat="false" ht="15" hidden="false" customHeight="false" outlineLevel="0" collapsed="false">
      <c r="A312" s="5" t="s">
        <v>113</v>
      </c>
      <c r="D312" s="26" t="n">
        <f aca="false">SUMPRODUCT(($B$290:$B$306=$A312)*D$290:D$306*$C$290:$C$306)</f>
        <v>382.083735673523</v>
      </c>
      <c r="E312" s="26" t="n">
        <f aca="false">SUMPRODUCT(($B$290:$B$306=$A312)*E$290:E$306*$C$290:$C$306)</f>
        <v>565.222125279805</v>
      </c>
      <c r="F312" s="26" t="n">
        <f aca="false">SUMPRODUCT(($B$290:$B$306=$A312)*F$290:F$306*$C$290:$C$306)</f>
        <v>382.083735673523</v>
      </c>
      <c r="G312" s="26" t="n">
        <f aca="false">SUMPRODUCT(($B$290:$B$306=$A312)*G$290:G$306*$C$290:$C$306)</f>
        <v>382.083735673523</v>
      </c>
      <c r="H312" s="26" t="n">
        <f aca="false">SUMPRODUCT(($B$290:$B$306=$A312)*H$290:H$306*$C$290:$C$306)</f>
        <v>382.083735673523</v>
      </c>
      <c r="I312" s="26" t="n">
        <f aca="false">SUMPRODUCT(($B$290:$B$306=$A312)*I$290:I$306*$C$290:$C$306)</f>
        <v>382.083735673523</v>
      </c>
      <c r="J312" s="26" t="n">
        <f aca="false">SUMPRODUCT(($B$290:$B$306=$A312)*J$290:J$306*$C$290:$C$306)</f>
        <v>382.083735673523</v>
      </c>
      <c r="K312" s="26" t="n">
        <f aca="false">SUMPRODUCT(($B$290:$B$306=$A312)*K$290:K$306*$C$290:$C$306)</f>
        <v>382.083735673523</v>
      </c>
      <c r="L312" s="26" t="n">
        <f aca="false">SUMPRODUCT(($B$290:$B$306=$A312)*L$290:L$306*$C$290:$C$306)</f>
        <v>382.083735673523</v>
      </c>
      <c r="M312" s="26" t="n">
        <f aca="false">SUMPRODUCT(($B$290:$B$306=$A312)*M$290:M$306*$C$290:$C$306)</f>
        <v>382.083735673523</v>
      </c>
      <c r="N312" s="26" t="n">
        <f aca="false">SUMPRODUCT(($B$290:$B$306=$A312)*N$290:N$306*$C$290:$C$306)</f>
        <v>382.083735673523</v>
      </c>
      <c r="O312" s="26" t="n">
        <f aca="false">SUMPRODUCT(($B$290:$B$306=$A312)*O$290:O$306*$C$290:$C$306)</f>
        <v>382.083735673523</v>
      </c>
      <c r="P312" s="26" t="n">
        <f aca="false">SUMPRODUCT(($B$290:$B$306=$A312)*P$290:P$306*$C$290:$C$306)</f>
        <v>4768.14321768856</v>
      </c>
    </row>
    <row r="313" customFormat="false" ht="15" hidden="false" customHeight="false" outlineLevel="0" collapsed="false">
      <c r="A313" s="5" t="s">
        <v>114</v>
      </c>
      <c r="D313" s="26" t="n">
        <f aca="false">SUMPRODUCT(($B$290:$B$306=$A313)*D$290:D$306*$C$290:$C$306)</f>
        <v>325.381145376207</v>
      </c>
      <c r="E313" s="26" t="n">
        <f aca="false">SUMPRODUCT(($B$290:$B$306=$A313)*E$290:E$306*$C$290:$C$306)</f>
        <v>325.381145376207</v>
      </c>
      <c r="F313" s="26" t="n">
        <f aca="false">SUMPRODUCT(($B$290:$B$306=$A313)*F$290:F$306*$C$290:$C$306)</f>
        <v>325.381145376207</v>
      </c>
      <c r="G313" s="26" t="n">
        <f aca="false">SUMPRODUCT(($B$290:$B$306=$A313)*G$290:G$306*$C$290:$C$306)</f>
        <v>325.381145376207</v>
      </c>
      <c r="H313" s="26" t="n">
        <f aca="false">SUMPRODUCT(($B$290:$B$306=$A313)*H$290:H$306*$C$290:$C$306)</f>
        <v>325.381145376207</v>
      </c>
      <c r="I313" s="26" t="n">
        <f aca="false">SUMPRODUCT(($B$290:$B$306=$A313)*I$290:I$306*$C$290:$C$306)</f>
        <v>325.381145376207</v>
      </c>
      <c r="J313" s="26" t="n">
        <f aca="false">SUMPRODUCT(($B$290:$B$306=$A313)*J$290:J$306*$C$290:$C$306)</f>
        <v>325.381145376207</v>
      </c>
      <c r="K313" s="26" t="n">
        <f aca="false">SUMPRODUCT(($B$290:$B$306=$A313)*K$290:K$306*$C$290:$C$306)</f>
        <v>325.381145376207</v>
      </c>
      <c r="L313" s="26" t="n">
        <f aca="false">SUMPRODUCT(($B$290:$B$306=$A313)*L$290:L$306*$C$290:$C$306)</f>
        <v>325.381145376207</v>
      </c>
      <c r="M313" s="26" t="n">
        <f aca="false">SUMPRODUCT(($B$290:$B$306=$A313)*M$290:M$306*$C$290:$C$306)</f>
        <v>325.381145376207</v>
      </c>
      <c r="N313" s="26" t="n">
        <f aca="false">SUMPRODUCT(($B$290:$B$306=$A313)*N$290:N$306*$C$290:$C$306)</f>
        <v>325.381145376207</v>
      </c>
      <c r="O313" s="26" t="n">
        <f aca="false">SUMPRODUCT(($B$290:$B$306=$A313)*O$290:O$306*$C$290:$C$306)</f>
        <v>325.381145376207</v>
      </c>
      <c r="P313" s="26" t="n">
        <f aca="false">SUMPRODUCT(($B$290:$B$306=$A313)*P$290:P$306*$C$290:$C$306)</f>
        <v>3904.57374451449</v>
      </c>
    </row>
    <row r="314" customFormat="false" ht="15" hidden="false" customHeight="false" outlineLevel="0" collapsed="false">
      <c r="A314" s="5" t="s">
        <v>115</v>
      </c>
      <c r="D314" s="26" t="n">
        <f aca="false">SUMPRODUCT(($B$290:$B$306=$A314)*D$290:D$306*$C$290:$C$306)</f>
        <v>182.088965176703</v>
      </c>
      <c r="E314" s="26" t="n">
        <f aca="false">SUMPRODUCT(($B$290:$B$306=$A314)*E$290:E$306*$C$290:$C$306)</f>
        <v>362.01545649789</v>
      </c>
      <c r="F314" s="26" t="n">
        <f aca="false">SUMPRODUCT(($B$290:$B$306=$A314)*F$290:F$306*$C$290:$C$306)</f>
        <v>182.088965176703</v>
      </c>
      <c r="G314" s="26" t="n">
        <f aca="false">SUMPRODUCT(($B$290:$B$306=$A314)*G$290:G$306*$C$290:$C$306)</f>
        <v>182.088965176703</v>
      </c>
      <c r="H314" s="26" t="n">
        <f aca="false">SUMPRODUCT(($B$290:$B$306=$A314)*H$290:H$306*$C$290:$C$306)</f>
        <v>182.088965176703</v>
      </c>
      <c r="I314" s="26" t="n">
        <f aca="false">SUMPRODUCT(($B$290:$B$306=$A314)*I$290:I$306*$C$290:$C$306)</f>
        <v>182.088965176703</v>
      </c>
      <c r="J314" s="26" t="n">
        <f aca="false">SUMPRODUCT(($B$290:$B$306=$A314)*J$290:J$306*$C$290:$C$306)</f>
        <v>182.088965176703</v>
      </c>
      <c r="K314" s="26" t="n">
        <f aca="false">SUMPRODUCT(($B$290:$B$306=$A314)*K$290:K$306*$C$290:$C$306)</f>
        <v>182.088965176703</v>
      </c>
      <c r="L314" s="26" t="n">
        <f aca="false">SUMPRODUCT(($B$290:$B$306=$A314)*L$290:L$306*$C$290:$C$306)</f>
        <v>182.088965176703</v>
      </c>
      <c r="M314" s="26" t="n">
        <f aca="false">SUMPRODUCT(($B$290:$B$306=$A314)*M$290:M$306*$C$290:$C$306)</f>
        <v>182.088965176703</v>
      </c>
      <c r="N314" s="26" t="n">
        <f aca="false">SUMPRODUCT(($B$290:$B$306=$A314)*N$290:N$306*$C$290:$C$306)</f>
        <v>182.088965176703</v>
      </c>
      <c r="O314" s="26" t="n">
        <f aca="false">SUMPRODUCT(($B$290:$B$306=$A314)*O$290:O$306*$C$290:$C$306)</f>
        <v>182.088965176703</v>
      </c>
      <c r="P314" s="26" t="n">
        <f aca="false">SUMPRODUCT(($B$290:$B$306=$A314)*P$290:P$306*$C$290:$C$306)</f>
        <v>2364.99407344162</v>
      </c>
    </row>
    <row r="315" customFormat="false" ht="15" hidden="false" customHeight="false" outlineLevel="0" collapsed="false">
      <c r="A315" s="5" t="s">
        <v>116</v>
      </c>
      <c r="D315" s="26" t="n">
        <f aca="false">SUMPRODUCT(($B$290:$B$306=$A315)*D$290:D$306*$C$290:$C$306)</f>
        <v>1370.99905923144</v>
      </c>
      <c r="E315" s="26" t="n">
        <f aca="false">SUMPRODUCT(($B$290:$B$306=$A315)*E$290:E$306*$C$290:$C$306)</f>
        <v>2141.1241805324</v>
      </c>
      <c r="F315" s="26" t="n">
        <f aca="false">SUMPRODUCT(($B$290:$B$306=$A315)*F$290:F$306*$C$290:$C$306)</f>
        <v>1370.99905923144</v>
      </c>
      <c r="G315" s="26" t="n">
        <f aca="false">SUMPRODUCT(($B$290:$B$306=$A315)*G$290:G$306*$C$290:$C$306)</f>
        <v>1370.99905923144</v>
      </c>
      <c r="H315" s="26" t="n">
        <f aca="false">SUMPRODUCT(($B$290:$B$306=$A315)*H$290:H$306*$C$290:$C$306)</f>
        <v>1370.99905923144</v>
      </c>
      <c r="I315" s="26" t="n">
        <f aca="false">SUMPRODUCT(($B$290:$B$306=$A315)*I$290:I$306*$C$290:$C$306)</f>
        <v>1370.99905923144</v>
      </c>
      <c r="J315" s="26" t="n">
        <f aca="false">SUMPRODUCT(($B$290:$B$306=$A315)*J$290:J$306*$C$290:$C$306)</f>
        <v>1370.99905923144</v>
      </c>
      <c r="K315" s="26" t="n">
        <f aca="false">SUMPRODUCT(($B$290:$B$306=$A315)*K$290:K$306*$C$290:$C$306)</f>
        <v>1370.99905923144</v>
      </c>
      <c r="L315" s="26" t="n">
        <f aca="false">SUMPRODUCT(($B$290:$B$306=$A315)*L$290:L$306*$C$290:$C$306)</f>
        <v>1370.99905923144</v>
      </c>
      <c r="M315" s="26" t="n">
        <f aca="false">SUMPRODUCT(($B$290:$B$306=$A315)*M$290:M$306*$C$290:$C$306)</f>
        <v>1370.99905923144</v>
      </c>
      <c r="N315" s="26" t="n">
        <f aca="false">SUMPRODUCT(($B$290:$B$306=$A315)*N$290:N$306*$C$290:$C$306)</f>
        <v>1370.99905923144</v>
      </c>
      <c r="O315" s="26" t="n">
        <f aca="false">SUMPRODUCT(($B$290:$B$306=$A315)*O$290:O$306*$C$290:$C$306)</f>
        <v>1370.99905923144</v>
      </c>
      <c r="P315" s="26" t="n">
        <f aca="false">SUMPRODUCT(($B$290:$B$306=$A315)*P$290:P$306*$C$290:$C$306)</f>
        <v>17222.1138320783</v>
      </c>
    </row>
    <row r="316" customFormat="false" ht="15" hidden="false" customHeight="false" outlineLevel="0" collapsed="false">
      <c r="A316" s="5" t="s">
        <v>117</v>
      </c>
      <c r="D316" s="26" t="n">
        <f aca="false">SUMPRODUCT(($B$290:$B$306=$A316)*D$290:D$306*$C$290:$C$306)</f>
        <v>59.6930371761382</v>
      </c>
      <c r="E316" s="26" t="n">
        <f aca="false">SUMPRODUCT(($B$290:$B$306=$A316)*E$290:E$306*$C$290:$C$306)</f>
        <v>59.6930371761382</v>
      </c>
      <c r="F316" s="26" t="n">
        <f aca="false">SUMPRODUCT(($B$290:$B$306=$A316)*F$290:F$306*$C$290:$C$306)</f>
        <v>59.6930371761382</v>
      </c>
      <c r="G316" s="26" t="n">
        <f aca="false">SUMPRODUCT(($B$290:$B$306=$A316)*G$290:G$306*$C$290:$C$306)</f>
        <v>59.6930371761382</v>
      </c>
      <c r="H316" s="26" t="n">
        <f aca="false">SUMPRODUCT(($B$290:$B$306=$A316)*H$290:H$306*$C$290:$C$306)</f>
        <v>59.6930371761382</v>
      </c>
      <c r="I316" s="26" t="n">
        <f aca="false">SUMPRODUCT(($B$290:$B$306=$A316)*I$290:I$306*$C$290:$C$306)</f>
        <v>59.6930371761382</v>
      </c>
      <c r="J316" s="26" t="n">
        <f aca="false">SUMPRODUCT(($B$290:$B$306=$A316)*J$290:J$306*$C$290:$C$306)</f>
        <v>59.6930371761382</v>
      </c>
      <c r="K316" s="26" t="n">
        <f aca="false">SUMPRODUCT(($B$290:$B$306=$A316)*K$290:K$306*$C$290:$C$306)</f>
        <v>59.6930371761382</v>
      </c>
      <c r="L316" s="26" t="n">
        <f aca="false">SUMPRODUCT(($B$290:$B$306=$A316)*L$290:L$306*$C$290:$C$306)</f>
        <v>59.6930371761382</v>
      </c>
      <c r="M316" s="26" t="n">
        <f aca="false">SUMPRODUCT(($B$290:$B$306=$A316)*M$290:M$306*$C$290:$C$306)</f>
        <v>59.6930371761382</v>
      </c>
      <c r="N316" s="26" t="n">
        <f aca="false">SUMPRODUCT(($B$290:$B$306=$A316)*N$290:N$306*$C$290:$C$306)</f>
        <v>59.6930371761382</v>
      </c>
      <c r="O316" s="26" t="n">
        <f aca="false">SUMPRODUCT(($B$290:$B$306=$A316)*O$290:O$306*$C$290:$C$306)</f>
        <v>59.6930371761382</v>
      </c>
      <c r="P316" s="26" t="n">
        <f aca="false">SUMPRODUCT(($B$290:$B$306=$A316)*P$290:P$306*$C$290:$C$306)</f>
        <v>716.316446113659</v>
      </c>
    </row>
    <row r="317" customFormat="false" ht="15" hidden="false" customHeight="false" outlineLevel="0" collapsed="false">
      <c r="A317" s="4" t="s">
        <v>432</v>
      </c>
      <c r="D317" s="27" t="n">
        <f aca="false">SUMPRODUCT(D$290:D$306*parametros_recargas!$D$55:$D$71)</f>
        <v>593.828280351618</v>
      </c>
      <c r="E317" s="27" t="n">
        <f aca="false">SUMPRODUCT(E$290:E$306*parametros_recargas!$D$55:$D$71)</f>
        <v>659.15035087835</v>
      </c>
      <c r="F317" s="27" t="n">
        <f aca="false">SUMPRODUCT(F$290:F$306*parametros_recargas!$D$55:$D$71)</f>
        <v>593.828280351618</v>
      </c>
      <c r="G317" s="27" t="n">
        <f aca="false">SUMPRODUCT(G$290:G$306*parametros_recargas!$D$55:$D$71)</f>
        <v>593.828280351618</v>
      </c>
      <c r="H317" s="27" t="n">
        <f aca="false">SUMPRODUCT(H$290:H$306*parametros_recargas!$D$55:$D$71)</f>
        <v>593.828280351618</v>
      </c>
      <c r="I317" s="27" t="n">
        <f aca="false">SUMPRODUCT(I$290:I$306*parametros_recargas!$D$55:$D$71)</f>
        <v>593.828280351618</v>
      </c>
      <c r="J317" s="27" t="n">
        <f aca="false">SUMPRODUCT(J$290:J$306*parametros_recargas!$D$55:$D$71)</f>
        <v>593.828280351618</v>
      </c>
      <c r="K317" s="27" t="n">
        <f aca="false">SUMPRODUCT(K$290:K$306*parametros_recargas!$D$55:$D$71)</f>
        <v>593.828280351618</v>
      </c>
      <c r="L317" s="27" t="n">
        <f aca="false">SUMPRODUCT(L$290:L$306*parametros_recargas!$D$55:$D$71)</f>
        <v>593.828280351618</v>
      </c>
      <c r="M317" s="27" t="n">
        <f aca="false">SUMPRODUCT(M$290:M$306*parametros_recargas!$D$55:$D$71)</f>
        <v>593.828280351618</v>
      </c>
      <c r="N317" s="27" t="n">
        <f aca="false">SUMPRODUCT(N$290:N$306*parametros_recargas!$D$55:$D$71)</f>
        <v>593.828280351618</v>
      </c>
      <c r="O317" s="27" t="n">
        <f aca="false">SUMPRODUCT(O$290:O$306*parametros_recargas!$D$55:$D$71)</f>
        <v>593.828280351618</v>
      </c>
      <c r="P317" s="27" t="n">
        <f aca="false">SUMPRODUCT(P$290:P$306*parametros_recargas!$D$55:$D$71)</f>
        <v>7191.26143474615</v>
      </c>
    </row>
    <row r="318" customFormat="false" ht="15" hidden="false" customHeight="false" outlineLevel="0" collapsed="false">
      <c r="A318" s="4" t="s">
        <v>433</v>
      </c>
      <c r="D318" s="27" t="n">
        <f aca="false">SUMPRODUCT(sobrestock_sustitutos!$K$73:$K$73,--(sobrestock_sustitutos!$F$30:$F$30="Fábrica: cilindro vacío"),parametros_recargas!$C$55:$C$55)*parametros_recargas!E$109+SUMPRODUCT(sobrestock_sustitutos!$K$74:$K$76,--(sobrestock_sustitutos!$F$31:$F$33="Fábrica: cilindro vacío"),parametros_recargas!$C$56:$C$58)*parametros_recargas!E$110+SUMPRODUCT(sobrestock_sustitutos!$K$86:$K$89,--(sobrestock_sustitutos!$F$43:$F$46="Fábrica: cilindro vacío"),parametros_recargas!$C$68:$C$71)*parametros_recargas!E$111</f>
        <v>20.9617359937</v>
      </c>
      <c r="E318" s="27" t="n">
        <f aca="false">SUMPRODUCT(sobrestock_sustitutos!$K$73:$K$73,--(sobrestock_sustitutos!$F$30:$F$30="Fábrica: cilindro vacío"),parametros_recargas!$C$55:$C$55)*parametros_recargas!F$109+SUMPRODUCT(sobrestock_sustitutos!$K$74:$K$76,--(sobrestock_sustitutos!$F$31:$F$33="Fábrica: cilindro vacío"),parametros_recargas!$C$56:$C$58)*parametros_recargas!F$110+SUMPRODUCT(sobrestock_sustitutos!$K$86:$K$89,--(sobrestock_sustitutos!$F$43:$F$46="Fábrica: cilindro vacío"),parametros_recargas!$C$68:$C$71)*parametros_recargas!F$111</f>
        <v>16.9902376415</v>
      </c>
      <c r="F318" s="27" t="n">
        <f aca="false">SUMPRODUCT(sobrestock_sustitutos!$K$73:$K$73,--(sobrestock_sustitutos!$F$30:$F$30="Fábrica: cilindro vacío"),parametros_recargas!$C$55:$C$55)*parametros_recargas!G$109+SUMPRODUCT(sobrestock_sustitutos!$K$74:$K$76,--(sobrestock_sustitutos!$F$31:$F$33="Fábrica: cilindro vacío"),parametros_recargas!$C$56:$C$58)*parametros_recargas!G$110+SUMPRODUCT(sobrestock_sustitutos!$K$86:$K$89,--(sobrestock_sustitutos!$F$43:$F$46="Fábrica: cilindro vacío"),parametros_recargas!$C$68:$C$71)*parametros_recargas!G$111</f>
        <v>18.3774851698</v>
      </c>
      <c r="G318" s="27" t="n">
        <f aca="false">SUMPRODUCT(sobrestock_sustitutos!$K$73:$K$73,--(sobrestock_sustitutos!$F$30:$F$30="Fábrica: cilindro vacío"),parametros_recargas!$C$55:$C$55)*parametros_recargas!H$109+SUMPRODUCT(sobrestock_sustitutos!$K$74:$K$76,--(sobrestock_sustitutos!$F$31:$F$33="Fábrica: cilindro vacío"),parametros_recargas!$C$56:$C$58)*parametros_recargas!H$110+SUMPRODUCT(sobrestock_sustitutos!$K$86:$K$89,--(sobrestock_sustitutos!$F$43:$F$46="Fábrica: cilindro vacío"),parametros_recargas!$C$68:$C$71)*parametros_recargas!H$111</f>
        <v>18.3774851698</v>
      </c>
      <c r="H318" s="27" t="n">
        <f aca="false">SUMPRODUCT(sobrestock_sustitutos!$K$73:$K$73,--(sobrestock_sustitutos!$F$30:$F$30="Fábrica: cilindro vacío"),parametros_recargas!$C$55:$C$55)*parametros_recargas!I$109+SUMPRODUCT(sobrestock_sustitutos!$K$74:$K$76,--(sobrestock_sustitutos!$F$31:$F$33="Fábrica: cilindro vacío"),parametros_recargas!$C$56:$C$58)*parametros_recargas!I$110+SUMPRODUCT(sobrestock_sustitutos!$K$86:$K$89,--(sobrestock_sustitutos!$F$43:$F$46="Fábrica: cilindro vacío"),parametros_recargas!$C$68:$C$71)*parametros_recargas!I$111</f>
        <v>17.4634851698</v>
      </c>
      <c r="I318" s="27" t="n">
        <f aca="false">SUMPRODUCT(sobrestock_sustitutos!$K$73:$K$73,--(sobrestock_sustitutos!$F$30:$F$30="Fábrica: cilindro vacío"),parametros_recargas!$C$55:$C$55)*parametros_recargas!J$109+SUMPRODUCT(sobrestock_sustitutos!$K$74:$K$76,--(sobrestock_sustitutos!$F$31:$F$33="Fábrica: cilindro vacío"),parametros_recargas!$C$56:$C$58)*parametros_recargas!J$110+SUMPRODUCT(sobrestock_sustitutos!$K$86:$K$89,--(sobrestock_sustitutos!$F$43:$F$46="Fábrica: cilindro vacío"),parametros_recargas!$C$68:$C$71)*parametros_recargas!J$111</f>
        <v>16.2339868176</v>
      </c>
      <c r="J318" s="27" t="n">
        <f aca="false">SUMPRODUCT(sobrestock_sustitutos!$K$73:$K$73,--(sobrestock_sustitutos!$F$30:$F$30="Fábrica: cilindro vacío"),parametros_recargas!$C$55:$C$55)*parametros_recargas!K$109+SUMPRODUCT(sobrestock_sustitutos!$K$74:$K$76,--(sobrestock_sustitutos!$F$31:$F$33="Fábrica: cilindro vacío"),parametros_recargas!$C$56:$C$58)*parametros_recargas!K$110+SUMPRODUCT(sobrestock_sustitutos!$K$86:$K$89,--(sobrestock_sustitutos!$F$43:$F$46="Fábrica: cilindro vacío"),parametros_recargas!$C$68:$C$71)*parametros_recargas!K$111</f>
        <v>17.4634851698</v>
      </c>
      <c r="K318" s="27" t="n">
        <f aca="false">SUMPRODUCT(sobrestock_sustitutos!$K$73:$K$73,--(sobrestock_sustitutos!$F$30:$F$30="Fábrica: cilindro vacío"),parametros_recargas!$C$55:$C$55)*parametros_recargas!L$109+SUMPRODUCT(sobrestock_sustitutos!$K$74:$K$76,--(sobrestock_sustitutos!$F$31:$F$33="Fábrica: cilindro vacío"),parametros_recargas!$C$56:$C$58)*parametros_recargas!L$110+SUMPRODUCT(sobrestock_sustitutos!$K$86:$K$89,--(sobrestock_sustitutos!$F$43:$F$46="Fábrica: cilindro vacío"),parametros_recargas!$C$68:$C$71)*parametros_recargas!L$111</f>
        <v>17.4634851698</v>
      </c>
      <c r="L318" s="27" t="n">
        <f aca="false">SUMPRODUCT(sobrestock_sustitutos!$K$73:$K$73,--(sobrestock_sustitutos!$F$30:$F$30="Fábrica: cilindro vacío"),parametros_recargas!$C$55:$C$55)*parametros_recargas!M$109+SUMPRODUCT(sobrestock_sustitutos!$K$74:$K$76,--(sobrestock_sustitutos!$F$31:$F$33="Fábrica: cilindro vacío"),parametros_recargas!$C$56:$C$58)*parametros_recargas!M$110+SUMPRODUCT(sobrestock_sustitutos!$K$86:$K$89,--(sobrestock_sustitutos!$F$43:$F$46="Fábrica: cilindro vacío"),parametros_recargas!$C$68:$C$71)*parametros_recargas!M$111</f>
        <v>17.3057359937</v>
      </c>
      <c r="M318" s="27" t="n">
        <f aca="false">SUMPRODUCT(sobrestock_sustitutos!$K$73:$K$73,--(sobrestock_sustitutos!$F$30:$F$30="Fábrica: cilindro vacío"),parametros_recargas!$C$55:$C$55)*parametros_recargas!N$109+SUMPRODUCT(sobrestock_sustitutos!$K$74:$K$76,--(sobrestock_sustitutos!$F$31:$F$33="Fábrica: cilindro vacío"),parametros_recargas!$C$56:$C$58)*parametros_recargas!N$110+SUMPRODUCT(sobrestock_sustitutos!$K$86:$K$89,--(sobrestock_sustitutos!$F$43:$F$46="Fábrica: cilindro vacío"),parametros_recargas!$C$68:$C$71)*parametros_recargas!N$111</f>
        <v>16.0762376415</v>
      </c>
      <c r="N318" s="27" t="n">
        <f aca="false">SUMPRODUCT(sobrestock_sustitutos!$K$73:$K$73,--(sobrestock_sustitutos!$F$30:$F$30="Fábrica: cilindro vacío"),parametros_recargas!$C$55:$C$55)*parametros_recargas!O$109+SUMPRODUCT(sobrestock_sustitutos!$K$74:$K$76,--(sobrestock_sustitutos!$F$31:$F$33="Fábrica: cilindro vacío"),parametros_recargas!$C$56:$C$58)*parametros_recargas!O$110+SUMPRODUCT(sobrestock_sustitutos!$K$86:$K$89,--(sobrestock_sustitutos!$F$43:$F$46="Fábrica: cilindro vacío"),parametros_recargas!$C$68:$C$71)*parametros_recargas!O$111</f>
        <v>15.0044884654</v>
      </c>
      <c r="O318" s="27" t="n">
        <f aca="false">SUMPRODUCT(sobrestock_sustitutos!$K$73:$K$73,--(sobrestock_sustitutos!$F$30:$F$30="Fábrica: cilindro vacío"),parametros_recargas!$C$55:$C$55)*parametros_recargas!P$109+SUMPRODUCT(sobrestock_sustitutos!$K$74:$K$76,--(sobrestock_sustitutos!$F$31:$F$33="Fábrica: cilindro vacío"),parametros_recargas!$C$56:$C$58)*parametros_recargas!P$110+SUMPRODUCT(sobrestock_sustitutos!$K$86:$K$89,--(sobrestock_sustitutos!$F$43:$F$46="Fábrica: cilindro vacío"),parametros_recargas!$C$68:$C$71)*parametros_recargas!P$111</f>
        <v>22.6319868176</v>
      </c>
      <c r="P318" s="8" t="n">
        <f aca="false">SUM(D318:O318)</f>
        <v>214.34983522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13" min="2" style="0" width="9"/>
    <col collapsed="false" customWidth="true" hidden="false" outlineLevel="0" max="14" min="14" style="0" width="11"/>
    <col collapsed="false" customWidth="true" hidden="false" outlineLevel="0" max="15" min="15" style="0" width="13"/>
    <col collapsed="false" customWidth="true" hidden="false" outlineLevel="0" max="16" min="16" style="0" width="12"/>
  </cols>
  <sheetData>
    <row r="1" customFormat="false" ht="23.85" hidden="false" customHeight="false" outlineLevel="0" collapsed="false">
      <c r="A1" s="6" t="s">
        <v>434</v>
      </c>
      <c r="B1" s="6" t="s">
        <v>175</v>
      </c>
      <c r="C1" s="6" t="s">
        <v>176</v>
      </c>
      <c r="D1" s="6" t="s">
        <v>177</v>
      </c>
      <c r="E1" s="6" t="s">
        <v>178</v>
      </c>
      <c r="F1" s="6" t="s">
        <v>179</v>
      </c>
      <c r="G1" s="6" t="s">
        <v>180</v>
      </c>
      <c r="H1" s="6" t="s">
        <v>181</v>
      </c>
      <c r="I1" s="6" t="s">
        <v>182</v>
      </c>
      <c r="J1" s="6" t="s">
        <v>183</v>
      </c>
      <c r="K1" s="6" t="s">
        <v>184</v>
      </c>
      <c r="L1" s="6" t="s">
        <v>185</v>
      </c>
      <c r="M1" s="6" t="s">
        <v>186</v>
      </c>
      <c r="N1" s="6" t="s">
        <v>435</v>
      </c>
      <c r="O1" s="6" t="s">
        <v>436</v>
      </c>
      <c r="P1" s="6" t="s">
        <v>437</v>
      </c>
    </row>
    <row r="2" customFormat="false" ht="15" hidden="false" customHeight="false" outlineLevel="0" collapsed="false">
      <c r="A2" s="10" t="str">
        <f aca="false">parametros_recargas!$B$76</f>
        <v>Recepción y registro</v>
      </c>
      <c r="B2" s="26" t="n">
        <f aca="false">parametros_recargas!$E$76*'Plan mensual'!D21+parametros_recargas!$F$76*'Plan mensual'!D22+parametros_recargas!$G$76*'Plan mensual'!D23+parametros_recargas!$H$76*'Plan mensual'!D24+parametros_recargas!$I$76*'Plan mensual'!D25+parametros_recargas!$J$76*'Plan mensual'!D26+parametros_recargas!$K$76*'Plan mensual'!D27+parametros_recargas!$L$76*'Plan mensual'!D28+parametros_recargas!$M$76*'Plan mensual'!D30</f>
        <v>182.578136966436</v>
      </c>
      <c r="C2" s="26" t="n">
        <f aca="false">parametros_recargas!$E$76*'Plan mensual'!E21+parametros_recargas!$F$76*'Plan mensual'!E22+parametros_recargas!$G$76*'Plan mensual'!E23+parametros_recargas!$H$76*'Plan mensual'!E24+parametros_recargas!$I$76*'Plan mensual'!E25+parametros_recargas!$J$76*'Plan mensual'!E26+parametros_recargas!$K$76*'Plan mensual'!E27+parametros_recargas!$L$76*'Plan mensual'!E28+parametros_recargas!$M$76*'Plan mensual'!E30</f>
        <v>440.822866149711</v>
      </c>
      <c r="D2" s="26" t="n">
        <f aca="false">parametros_recargas!$E$76*'Plan mensual'!F21+parametros_recargas!$F$76*'Plan mensual'!F22+parametros_recargas!$G$76*'Plan mensual'!F23+parametros_recargas!$H$76*'Plan mensual'!F24+parametros_recargas!$I$76*'Plan mensual'!F25+parametros_recargas!$J$76*'Plan mensual'!F26+parametros_recargas!$K$76*'Plan mensual'!F27+parametros_recargas!$L$76*'Plan mensual'!F28+parametros_recargas!$M$76*'Plan mensual'!F30</f>
        <v>364.772617554069</v>
      </c>
      <c r="E2" s="26" t="n">
        <f aca="false">parametros_recargas!$E$76*'Plan mensual'!G21+parametros_recargas!$F$76*'Plan mensual'!G22+parametros_recargas!$G$76*'Plan mensual'!G23+parametros_recargas!$H$76*'Plan mensual'!G24+parametros_recargas!$I$76*'Plan mensual'!G25+parametros_recargas!$J$76*'Plan mensual'!G26+parametros_recargas!$K$76*'Plan mensual'!G27+parametros_recargas!$L$76*'Plan mensual'!G28+parametros_recargas!$M$76*'Plan mensual'!G30</f>
        <v>366.183935685268</v>
      </c>
      <c r="F2" s="26" t="n">
        <f aca="false">parametros_recargas!$E$76*'Plan mensual'!H21+parametros_recargas!$F$76*'Plan mensual'!H22+parametros_recargas!$G$76*'Plan mensual'!H23+parametros_recargas!$H$76*'Plan mensual'!H24+parametros_recargas!$I$76*'Plan mensual'!H25+parametros_recargas!$J$76*'Plan mensual'!H26+parametros_recargas!$K$76*'Plan mensual'!H27+parametros_recargas!$L$76*'Plan mensual'!H28+parametros_recargas!$M$76*'Plan mensual'!H30</f>
        <v>366.117610409679</v>
      </c>
      <c r="G2" s="26" t="n">
        <f aca="false">parametros_recargas!$E$76*'Plan mensual'!I21+parametros_recargas!$F$76*'Plan mensual'!I22+parametros_recargas!$G$76*'Plan mensual'!I23+parametros_recargas!$H$76*'Plan mensual'!I24+parametros_recargas!$I$76*'Plan mensual'!I25+parametros_recargas!$J$76*'Plan mensual'!I26+parametros_recargas!$K$76*'Plan mensual'!I27+parametros_recargas!$L$76*'Plan mensual'!I28+parametros_recargas!$M$76*'Plan mensual'!I30</f>
        <v>365.05222522399</v>
      </c>
      <c r="H2" s="26" t="n">
        <f aca="false">parametros_recargas!$E$76*'Plan mensual'!J21+parametros_recargas!$F$76*'Plan mensual'!J22+parametros_recargas!$G$76*'Plan mensual'!J23+parametros_recargas!$H$76*'Plan mensual'!J24+parametros_recargas!$I$76*'Plan mensual'!J25+parametros_recargas!$J$76*'Plan mensual'!J26+parametros_recargas!$K$76*'Plan mensual'!J27+parametros_recargas!$L$76*'Plan mensual'!J28+parametros_recargas!$M$76*'Plan mensual'!J30</f>
        <v>367.557035661173</v>
      </c>
      <c r="I2" s="26" t="n">
        <f aca="false">parametros_recargas!$E$76*'Plan mensual'!K21+parametros_recargas!$F$76*'Plan mensual'!K22+parametros_recargas!$G$76*'Plan mensual'!K23+parametros_recargas!$H$76*'Plan mensual'!K24+parametros_recargas!$I$76*'Plan mensual'!K25+parametros_recargas!$J$76*'Plan mensual'!K26+parametros_recargas!$K$76*'Plan mensual'!K27+parametros_recargas!$L$76*'Plan mensual'!K28+parametros_recargas!$M$76*'Plan mensual'!K30</f>
        <v>365.968770431751</v>
      </c>
      <c r="J2" s="26" t="n">
        <f aca="false">parametros_recargas!$E$76*'Plan mensual'!L21+parametros_recargas!$F$76*'Plan mensual'!L22+parametros_recargas!$G$76*'Plan mensual'!L23+parametros_recargas!$H$76*'Plan mensual'!L24+parametros_recargas!$I$76*'Plan mensual'!L25+parametros_recargas!$J$76*'Plan mensual'!L26+parametros_recargas!$K$76*'Plan mensual'!L27+parametros_recargas!$L$76*'Plan mensual'!L28+parametros_recargas!$M$76*'Plan mensual'!L30</f>
        <v>366.089194118672</v>
      </c>
      <c r="K2" s="26" t="n">
        <f aca="false">parametros_recargas!$E$76*'Plan mensual'!M21+parametros_recargas!$F$76*'Plan mensual'!M22+parametros_recargas!$G$76*'Plan mensual'!M23+parametros_recargas!$H$76*'Plan mensual'!M24+parametros_recargas!$I$76*'Plan mensual'!M25+parametros_recargas!$J$76*'Plan mensual'!M26+parametros_recargas!$K$76*'Plan mensual'!M27+parametros_recargas!$L$76*'Plan mensual'!M28+parametros_recargas!$M$76*'Plan mensual'!M30</f>
        <v>364.876033618702</v>
      </c>
      <c r="L2" s="26" t="n">
        <f aca="false">parametros_recargas!$E$76*'Plan mensual'!N21+parametros_recargas!$F$76*'Plan mensual'!N22+parametros_recargas!$G$76*'Plan mensual'!N23+parametros_recargas!$H$76*'Plan mensual'!N24+parametros_recargas!$I$76*'Plan mensual'!N25+parametros_recargas!$J$76*'Plan mensual'!N26+parametros_recargas!$K$76*'Plan mensual'!N27+parametros_recargas!$L$76*'Plan mensual'!N28+parametros_recargas!$M$76*'Plan mensual'!N30</f>
        <v>361.08307640596</v>
      </c>
      <c r="M2" s="26" t="n">
        <f aca="false">parametros_recargas!$E$76*'Plan mensual'!O21+parametros_recargas!$F$76*'Plan mensual'!O22+parametros_recargas!$G$76*'Plan mensual'!O23+parametros_recargas!$H$76*'Plan mensual'!O24+parametros_recargas!$I$76*'Plan mensual'!O25+parametros_recargas!$J$76*'Plan mensual'!O26+parametros_recargas!$K$76*'Plan mensual'!O27+parametros_recargas!$L$76*'Plan mensual'!O28+parametros_recargas!$M$76*'Plan mensual'!O30</f>
        <v>173.150863455508</v>
      </c>
      <c r="N2" s="8" t="n">
        <f aca="false">SUM(B2:M2)</f>
        <v>4084.25236568092</v>
      </c>
      <c r="O2" s="27" t="n">
        <f aca="false">MAX(B2:M2)</f>
        <v>440.822866149711</v>
      </c>
      <c r="P2" s="13" t="n">
        <f aca="false">O2/parametros_recargas!$B$6</f>
        <v>2.93881910766474</v>
      </c>
    </row>
    <row r="3" customFormat="false" ht="15" hidden="false" customHeight="false" outlineLevel="0" collapsed="false">
      <c r="A3" s="10" t="str">
        <f aca="false">parametros_recargas!$B$77</f>
        <v>Inspección visual</v>
      </c>
      <c r="B3" s="26" t="n">
        <f aca="false">parametros_recargas!$E$77*'Plan mensual'!D21+parametros_recargas!$F$77*'Plan mensual'!D22+parametros_recargas!$G$77*'Plan mensual'!D23+parametros_recargas!$H$77*'Plan mensual'!D24+parametros_recargas!$I$77*'Plan mensual'!D25+parametros_recargas!$J$77*'Plan mensual'!D26+parametros_recargas!$K$77*'Plan mensual'!D27+parametros_recargas!$L$77*'Plan mensual'!D28+parametros_recargas!$M$77*'Plan mensual'!D30</f>
        <v>177.615446648936</v>
      </c>
      <c r="C3" s="26" t="n">
        <f aca="false">parametros_recargas!$E$77*'Plan mensual'!E21+parametros_recargas!$F$77*'Plan mensual'!E22+parametros_recargas!$G$77*'Plan mensual'!E23+parametros_recargas!$H$77*'Plan mensual'!E24+parametros_recargas!$I$77*'Plan mensual'!E25+parametros_recargas!$J$77*'Plan mensual'!E26+parametros_recargas!$K$77*'Plan mensual'!E27+parametros_recargas!$L$77*'Plan mensual'!E28+parametros_recargas!$M$77*'Plan mensual'!E30</f>
        <v>436.674609987211</v>
      </c>
      <c r="D3" s="26" t="n">
        <f aca="false">parametros_recargas!$E$77*'Plan mensual'!F21+parametros_recargas!$F$77*'Plan mensual'!F22+parametros_recargas!$G$77*'Plan mensual'!F23+parametros_recargas!$H$77*'Plan mensual'!F24+parametros_recargas!$I$77*'Plan mensual'!F25+parametros_recargas!$J$77*'Plan mensual'!F26+parametros_recargas!$K$77*'Plan mensual'!F27+parametros_recargas!$L$77*'Plan mensual'!F28+parametros_recargas!$M$77*'Plan mensual'!F30</f>
        <v>360.102710159069</v>
      </c>
      <c r="E3" s="26" t="n">
        <f aca="false">parametros_recargas!$E$77*'Plan mensual'!G21+parametros_recargas!$F$77*'Plan mensual'!G22+parametros_recargas!$G$77*'Plan mensual'!G23+parametros_recargas!$H$77*'Plan mensual'!G24+parametros_recargas!$I$77*'Plan mensual'!G25+parametros_recargas!$J$77*'Plan mensual'!G26+parametros_recargas!$K$77*'Plan mensual'!G27+parametros_recargas!$L$77*'Plan mensual'!G28+parametros_recargas!$M$77*'Plan mensual'!G30</f>
        <v>361.514028290268</v>
      </c>
      <c r="F3" s="26" t="n">
        <f aca="false">parametros_recargas!$E$77*'Plan mensual'!H21+parametros_recargas!$F$77*'Plan mensual'!H22+parametros_recargas!$G$77*'Plan mensual'!H23+parametros_recargas!$H$77*'Plan mensual'!H24+parametros_recargas!$I$77*'Plan mensual'!H25+parametros_recargas!$J$77*'Plan mensual'!H26+parametros_recargas!$K$77*'Plan mensual'!H27+parametros_recargas!$L$77*'Plan mensual'!H28+parametros_recargas!$M$77*'Plan mensual'!H30</f>
        <v>361.587703014679</v>
      </c>
      <c r="G3" s="26" t="n">
        <f aca="false">parametros_recargas!$E$77*'Plan mensual'!I21+parametros_recargas!$F$77*'Plan mensual'!I22+parametros_recargas!$G$77*'Plan mensual'!I23+parametros_recargas!$H$77*'Plan mensual'!I24+parametros_recargas!$I$77*'Plan mensual'!I25+parametros_recargas!$J$77*'Plan mensual'!I26+parametros_recargas!$K$77*'Plan mensual'!I27+parametros_recargas!$L$77*'Plan mensual'!I28+parametros_recargas!$M$77*'Plan mensual'!I30</f>
        <v>360.91675198399</v>
      </c>
      <c r="H3" s="26" t="n">
        <f aca="false">parametros_recargas!$E$77*'Plan mensual'!J21+parametros_recargas!$F$77*'Plan mensual'!J22+parametros_recargas!$G$77*'Plan mensual'!J23+parametros_recargas!$H$77*'Plan mensual'!J24+parametros_recargas!$I$77*'Plan mensual'!J25+parametros_recargas!$J$77*'Plan mensual'!J26+parametros_recargas!$K$77*'Plan mensual'!J27+parametros_recargas!$L$77*'Plan mensual'!J28+parametros_recargas!$M$77*'Plan mensual'!J30</f>
        <v>363.027128266173</v>
      </c>
      <c r="I3" s="26" t="n">
        <f aca="false">parametros_recargas!$E$77*'Plan mensual'!K21+parametros_recargas!$F$77*'Plan mensual'!K22+parametros_recargas!$G$77*'Plan mensual'!K23+parametros_recargas!$H$77*'Plan mensual'!K24+parametros_recargas!$I$77*'Plan mensual'!K25+parametros_recargas!$J$77*'Plan mensual'!K26+parametros_recargas!$K$77*'Plan mensual'!K27+parametros_recargas!$L$77*'Plan mensual'!K28+parametros_recargas!$M$77*'Plan mensual'!K30</f>
        <v>361.438863036751</v>
      </c>
      <c r="J3" s="26" t="n">
        <f aca="false">parametros_recargas!$E$77*'Plan mensual'!L21+parametros_recargas!$F$77*'Plan mensual'!L22+parametros_recargas!$G$77*'Plan mensual'!L23+parametros_recargas!$H$77*'Plan mensual'!L24+parametros_recargas!$I$77*'Plan mensual'!L25+parametros_recargas!$J$77*'Plan mensual'!L26+parametros_recargas!$K$77*'Plan mensual'!L27+parametros_recargas!$L$77*'Plan mensual'!L28+parametros_recargas!$M$77*'Plan mensual'!L30</f>
        <v>361.686503801172</v>
      </c>
      <c r="K3" s="26" t="n">
        <f aca="false">parametros_recargas!$E$77*'Plan mensual'!M21+parametros_recargas!$F$77*'Plan mensual'!M22+parametros_recargas!$G$77*'Plan mensual'!M23+parametros_recargas!$H$77*'Plan mensual'!M24+parametros_recargas!$I$77*'Plan mensual'!M25+parametros_recargas!$J$77*'Plan mensual'!M26+parametros_recargas!$K$77*'Plan mensual'!M27+parametros_recargas!$L$77*'Plan mensual'!M28+parametros_recargas!$M$77*'Plan mensual'!M30</f>
        <v>360.867777456202</v>
      </c>
      <c r="L3" s="26" t="n">
        <f aca="false">parametros_recargas!$E$77*'Plan mensual'!N21+parametros_recargas!$F$77*'Plan mensual'!N22+parametros_recargas!$G$77*'Plan mensual'!N23+parametros_recargas!$H$77*'Plan mensual'!N24+parametros_recargas!$I$77*'Plan mensual'!N25+parametros_recargas!$J$77*'Plan mensual'!N26+parametros_recargas!$K$77*'Plan mensual'!N27+parametros_recargas!$L$77*'Plan mensual'!N28+parametros_recargas!$M$77*'Plan mensual'!N30</f>
        <v>357.34203732096</v>
      </c>
      <c r="M3" s="26" t="n">
        <f aca="false">parametros_recargas!$E$77*'Plan mensual'!O21+parametros_recargas!$F$77*'Plan mensual'!O22+parametros_recargas!$G$77*'Plan mensual'!O23+parametros_recargas!$H$77*'Plan mensual'!O24+parametros_recargas!$I$77*'Plan mensual'!O25+parametros_recargas!$J$77*'Plan mensual'!O26+parametros_recargas!$K$77*'Plan mensual'!O27+parametros_recargas!$L$77*'Plan mensual'!O28+parametros_recargas!$M$77*'Plan mensual'!O30</f>
        <v>168.035390215508</v>
      </c>
      <c r="N3" s="8" t="n">
        <f aca="false">SUM(B3:M3)</f>
        <v>4030.80895018092</v>
      </c>
      <c r="O3" s="27" t="n">
        <f aca="false">MAX(B3:M3)</f>
        <v>436.674609987211</v>
      </c>
      <c r="P3" s="13" t="n">
        <f aca="false">O3/parametros_recargas!$B$6</f>
        <v>2.91116406658141</v>
      </c>
    </row>
    <row r="4" customFormat="false" ht="15" hidden="false" customHeight="false" outlineLevel="0" collapsed="false">
      <c r="A4" s="10" t="str">
        <f aca="false">parametros_recargas!$B$78</f>
        <v>Descarga ABC — ruta recuperable</v>
      </c>
      <c r="B4" s="26" t="n">
        <f aca="false">parametros_recargas!$E$78*'Plan mensual'!D21+parametros_recargas!$F$78*'Plan mensual'!D22+parametros_recargas!$G$78*'Plan mensual'!D23+parametros_recargas!$H$78*'Plan mensual'!D24+parametros_recargas!$I$78*'Plan mensual'!D25+parametros_recargas!$J$78*'Plan mensual'!D26+parametros_recargas!$K$78*'Plan mensual'!D27+parametros_recargas!$L$78*'Plan mensual'!D28+parametros_recargas!$M$78*'Plan mensual'!D30</f>
        <v>116.139563507247</v>
      </c>
      <c r="C4" s="26" t="n">
        <f aca="false">parametros_recargas!$E$78*'Plan mensual'!E21+parametros_recargas!$F$78*'Plan mensual'!E22+parametros_recargas!$G$78*'Plan mensual'!E23+parametros_recargas!$H$78*'Plan mensual'!E24+parametros_recargas!$I$78*'Plan mensual'!E25+parametros_recargas!$J$78*'Plan mensual'!E26+parametros_recargas!$K$78*'Plan mensual'!E27+parametros_recargas!$L$78*'Plan mensual'!E28+parametros_recargas!$M$78*'Plan mensual'!E30</f>
        <v>318.717732482563</v>
      </c>
      <c r="D4" s="26" t="n">
        <f aca="false">parametros_recargas!$E$78*'Plan mensual'!F21+parametros_recargas!$F$78*'Plan mensual'!F22+parametros_recargas!$G$78*'Plan mensual'!F23+parametros_recargas!$H$78*'Plan mensual'!F24+parametros_recargas!$I$78*'Plan mensual'!F25+parametros_recargas!$J$78*'Plan mensual'!F26+parametros_recargas!$K$78*'Plan mensual'!F27+parametros_recargas!$L$78*'Plan mensual'!F28+parametros_recargas!$M$78*'Plan mensual'!F30</f>
        <v>272.166173808411</v>
      </c>
      <c r="E4" s="26" t="n">
        <f aca="false">parametros_recargas!$E$78*'Plan mensual'!G21+parametros_recargas!$F$78*'Plan mensual'!G22+parametros_recargas!$G$78*'Plan mensual'!G23+parametros_recargas!$H$78*'Plan mensual'!G24+parametros_recargas!$I$78*'Plan mensual'!G25+parametros_recargas!$J$78*'Plan mensual'!G26+parametros_recargas!$K$78*'Plan mensual'!G27+parametros_recargas!$L$78*'Plan mensual'!G28+parametros_recargas!$M$78*'Plan mensual'!G30</f>
        <v>273.372850810586</v>
      </c>
      <c r="F4" s="26" t="n">
        <f aca="false">parametros_recargas!$E$78*'Plan mensual'!H21+parametros_recargas!$F$78*'Plan mensual'!H22+parametros_recargas!$G$78*'Plan mensual'!H23+parametros_recargas!$H$78*'Plan mensual'!H24+parametros_recargas!$I$78*'Plan mensual'!H25+parametros_recargas!$J$78*'Plan mensual'!H26+parametros_recargas!$K$78*'Plan mensual'!H27+parametros_recargas!$L$78*'Plan mensual'!H28+parametros_recargas!$M$78*'Plan mensual'!H30</f>
        <v>273.435842699958</v>
      </c>
      <c r="G4" s="26" t="n">
        <f aca="false">parametros_recargas!$E$78*'Plan mensual'!I21+parametros_recargas!$F$78*'Plan mensual'!I22+parametros_recargas!$G$78*'Plan mensual'!I23+parametros_recargas!$H$78*'Plan mensual'!I24+parametros_recargas!$I$78*'Plan mensual'!I25+parametros_recargas!$J$78*'Plan mensual'!I26+parametros_recargas!$K$78*'Plan mensual'!I27+parametros_recargas!$L$78*'Plan mensual'!I28+parametros_recargas!$M$78*'Plan mensual'!I30</f>
        <v>272.862179568718</v>
      </c>
      <c r="H4" s="26" t="n">
        <f aca="false">parametros_recargas!$E$78*'Plan mensual'!J21+parametros_recargas!$F$78*'Plan mensual'!J22+parametros_recargas!$G$78*'Plan mensual'!J23+parametros_recargas!$H$78*'Plan mensual'!J24+parametros_recargas!$I$78*'Plan mensual'!J25+parametros_recargas!$J$78*'Plan mensual'!J26+parametros_recargas!$K$78*'Plan mensual'!J27+parametros_recargas!$L$78*'Plan mensual'!J28+parametros_recargas!$M$78*'Plan mensual'!J30</f>
        <v>274.666551289985</v>
      </c>
      <c r="I4" s="26" t="n">
        <f aca="false">parametros_recargas!$E$78*'Plan mensual'!K21+parametros_recargas!$F$78*'Plan mensual'!K22+parametros_recargas!$G$78*'Plan mensual'!K23+parametros_recargas!$H$78*'Plan mensual'!K24+parametros_recargas!$I$78*'Plan mensual'!K25+parametros_recargas!$J$78*'Plan mensual'!K26+parametros_recargas!$K$78*'Plan mensual'!K27+parametros_recargas!$L$78*'Plan mensual'!K28+parametros_recargas!$M$78*'Plan mensual'!K30</f>
        <v>273.308584518829</v>
      </c>
      <c r="J4" s="26" t="n">
        <f aca="false">parametros_recargas!$E$78*'Plan mensual'!L21+parametros_recargas!$F$78*'Plan mensual'!L22+parametros_recargas!$G$78*'Plan mensual'!L23+parametros_recargas!$H$78*'Plan mensual'!L24+parametros_recargas!$I$78*'Plan mensual'!L25+parametros_recargas!$J$78*'Plan mensual'!L26+parametros_recargas!$K$78*'Plan mensual'!L27+parametros_recargas!$L$78*'Plan mensual'!L28+parametros_recargas!$M$78*'Plan mensual'!L30</f>
        <v>273.520317372409</v>
      </c>
      <c r="K4" s="26" t="n">
        <f aca="false">parametros_recargas!$E$78*'Plan mensual'!M21+parametros_recargas!$F$78*'Plan mensual'!M22+parametros_recargas!$G$78*'Plan mensual'!M23+parametros_recargas!$H$78*'Plan mensual'!M24+parametros_recargas!$I$78*'Plan mensual'!M25+parametros_recargas!$J$78*'Plan mensual'!M26+parametros_recargas!$K$78*'Plan mensual'!M27+parametros_recargas!$L$78*'Plan mensual'!M28+parametros_recargas!$M$78*'Plan mensual'!M30</f>
        <v>272.82030634746</v>
      </c>
      <c r="L4" s="26" t="n">
        <f aca="false">parametros_recargas!$E$78*'Plan mensual'!N21+parametros_recargas!$F$78*'Plan mensual'!N22+parametros_recargas!$G$78*'Plan mensual'!N23+parametros_recargas!$H$78*'Plan mensual'!N24+parametros_recargas!$I$78*'Plan mensual'!N25+parametros_recargas!$J$78*'Plan mensual'!N26+parametros_recargas!$K$78*'Plan mensual'!N27+parametros_recargas!$L$78*'Plan mensual'!N28+parametros_recargas!$M$78*'Plan mensual'!N30</f>
        <v>269.805798531828</v>
      </c>
      <c r="M4" s="26" t="n">
        <f aca="false">parametros_recargas!$E$78*'Plan mensual'!O21+parametros_recargas!$F$78*'Plan mensual'!O22+parametros_recargas!$G$78*'Plan mensual'!O23+parametros_recargas!$H$78*'Plan mensual'!O24+parametros_recargas!$I$78*'Plan mensual'!O25+parametros_recargas!$J$78*'Plan mensual'!O26+parametros_recargas!$K$78*'Plan mensual'!O27+parametros_recargas!$L$78*'Plan mensual'!O28+parametros_recargas!$M$78*'Plan mensual'!O30</f>
        <v>107.948615256666</v>
      </c>
      <c r="N4" s="8" t="n">
        <f aca="false">SUM(B4:M4)</f>
        <v>2998.76451619466</v>
      </c>
      <c r="O4" s="27" t="n">
        <f aca="false">MAX(B4:M4)</f>
        <v>318.717732482563</v>
      </c>
      <c r="P4" s="13" t="n">
        <f aca="false">O4/parametros_recargas!$B$6</f>
        <v>2.12478488321708</v>
      </c>
    </row>
    <row r="5" customFormat="false" ht="15" hidden="false" customHeight="false" outlineLevel="0" collapsed="false">
      <c r="A5" s="10" t="str">
        <f aca="false">parametros_recargas!$B$79</f>
        <v>Descarga ABC — ruta descarte</v>
      </c>
      <c r="B5" s="26" t="n">
        <f aca="false">parametros_recargas!$E$79*'Plan mensual'!D21+parametros_recargas!$F$79*'Plan mensual'!D22+parametros_recargas!$G$79*'Plan mensual'!D23+parametros_recargas!$H$79*'Plan mensual'!D24+parametros_recargas!$I$79*'Plan mensual'!D25+parametros_recargas!$J$79*'Plan mensual'!D26+parametros_recargas!$K$79*'Plan mensual'!D27+parametros_recargas!$L$79*'Plan mensual'!D28+parametros_recargas!$M$79*'Plan mensual'!D30</f>
        <v>12.9043959452497</v>
      </c>
      <c r="C5" s="26" t="n">
        <f aca="false">parametros_recargas!$E$79*'Plan mensual'!E21+parametros_recargas!$F$79*'Plan mensual'!E22+parametros_recargas!$G$79*'Plan mensual'!E23+parametros_recargas!$H$79*'Plan mensual'!E24+parametros_recargas!$I$79*'Plan mensual'!E25+parametros_recargas!$J$79*'Plan mensual'!E26+parametros_recargas!$K$79*'Plan mensual'!E27+parametros_recargas!$L$79*'Plan mensual'!E28+parametros_recargas!$M$79*'Plan mensual'!E30</f>
        <v>35.4130813869514</v>
      </c>
      <c r="D5" s="26" t="n">
        <f aca="false">parametros_recargas!$E$79*'Plan mensual'!F21+parametros_recargas!$F$79*'Plan mensual'!F22+parametros_recargas!$G$79*'Plan mensual'!F23+parametros_recargas!$H$79*'Plan mensual'!F24+parametros_recargas!$I$79*'Plan mensual'!F25+parametros_recargas!$J$79*'Plan mensual'!F26+parametros_recargas!$K$79*'Plan mensual'!F27+parametros_recargas!$L$79*'Plan mensual'!F28+parametros_recargas!$M$79*'Plan mensual'!F30</f>
        <v>30.2406859787124</v>
      </c>
      <c r="E5" s="26" t="n">
        <f aca="false">parametros_recargas!$E$79*'Plan mensual'!G21+parametros_recargas!$F$79*'Plan mensual'!G22+parametros_recargas!$G$79*'Plan mensual'!G23+parametros_recargas!$H$79*'Plan mensual'!G24+parametros_recargas!$I$79*'Plan mensual'!G25+parametros_recargas!$J$79*'Plan mensual'!G26+parametros_recargas!$K$79*'Plan mensual'!G27+parametros_recargas!$L$79*'Plan mensual'!G28+parametros_recargas!$M$79*'Plan mensual'!G30</f>
        <v>30.3747612011763</v>
      </c>
      <c r="F5" s="26" t="n">
        <f aca="false">parametros_recargas!$E$79*'Plan mensual'!H21+parametros_recargas!$F$79*'Plan mensual'!H22+parametros_recargas!$G$79*'Plan mensual'!H23+parametros_recargas!$H$79*'Plan mensual'!H24+parametros_recargas!$I$79*'Plan mensual'!H25+parametros_recargas!$J$79*'Plan mensual'!H26+parametros_recargas!$K$79*'Plan mensual'!H27+parametros_recargas!$L$79*'Plan mensual'!H28+parametros_recargas!$M$79*'Plan mensual'!H30</f>
        <v>30.3817602999953</v>
      </c>
      <c r="G5" s="26" t="n">
        <f aca="false">parametros_recargas!$E$79*'Plan mensual'!I21+parametros_recargas!$F$79*'Plan mensual'!I22+parametros_recargas!$G$79*'Plan mensual'!I23+parametros_recargas!$H$79*'Plan mensual'!I24+parametros_recargas!$I$79*'Plan mensual'!I25+parametros_recargas!$J$79*'Plan mensual'!I26+parametros_recargas!$K$79*'Plan mensual'!I27+parametros_recargas!$L$79*'Plan mensual'!I28+parametros_recargas!$M$79*'Plan mensual'!I30</f>
        <v>30.3180199520798</v>
      </c>
      <c r="H5" s="26" t="n">
        <f aca="false">parametros_recargas!$E$79*'Plan mensual'!J21+parametros_recargas!$F$79*'Plan mensual'!J22+parametros_recargas!$G$79*'Plan mensual'!J23+parametros_recargas!$H$79*'Plan mensual'!J24+parametros_recargas!$I$79*'Plan mensual'!J25+parametros_recargas!$J$79*'Plan mensual'!J26+parametros_recargas!$K$79*'Plan mensual'!J27+parametros_recargas!$L$79*'Plan mensual'!J28+parametros_recargas!$M$79*'Plan mensual'!J30</f>
        <v>30.5185056988872</v>
      </c>
      <c r="I5" s="26" t="n">
        <f aca="false">parametros_recargas!$E$79*'Plan mensual'!K21+parametros_recargas!$F$79*'Plan mensual'!K22+parametros_recargas!$G$79*'Plan mensual'!K23+parametros_recargas!$H$79*'Plan mensual'!K24+parametros_recargas!$I$79*'Plan mensual'!K25+parametros_recargas!$J$79*'Plan mensual'!K26+parametros_recargas!$K$79*'Plan mensual'!K27+parametros_recargas!$L$79*'Plan mensual'!K28+parametros_recargas!$M$79*'Plan mensual'!K30</f>
        <v>30.3676205020921</v>
      </c>
      <c r="J5" s="26" t="n">
        <f aca="false">parametros_recargas!$E$79*'Plan mensual'!L21+parametros_recargas!$F$79*'Plan mensual'!L22+parametros_recargas!$G$79*'Plan mensual'!L23+parametros_recargas!$H$79*'Plan mensual'!L24+parametros_recargas!$I$79*'Plan mensual'!L25+parametros_recargas!$J$79*'Plan mensual'!L26+parametros_recargas!$K$79*'Plan mensual'!L27+parametros_recargas!$L$79*'Plan mensual'!L28+parametros_recargas!$M$79*'Plan mensual'!L30</f>
        <v>30.3911463747121</v>
      </c>
      <c r="K5" s="26" t="n">
        <f aca="false">parametros_recargas!$E$79*'Plan mensual'!M21+parametros_recargas!$F$79*'Plan mensual'!M22+parametros_recargas!$G$79*'Plan mensual'!M23+parametros_recargas!$H$79*'Plan mensual'!M24+parametros_recargas!$I$79*'Plan mensual'!M25+parametros_recargas!$J$79*'Plan mensual'!M26+parametros_recargas!$K$79*'Plan mensual'!M27+parametros_recargas!$L$79*'Plan mensual'!M28+parametros_recargas!$M$79*'Plan mensual'!M30</f>
        <v>30.31336737194</v>
      </c>
      <c r="L5" s="26" t="n">
        <f aca="false">parametros_recargas!$E$79*'Plan mensual'!N21+parametros_recargas!$F$79*'Plan mensual'!N22+parametros_recargas!$G$79*'Plan mensual'!N23+parametros_recargas!$H$79*'Plan mensual'!N24+parametros_recargas!$I$79*'Plan mensual'!N25+parametros_recargas!$J$79*'Plan mensual'!N26+parametros_recargas!$K$79*'Plan mensual'!N27+parametros_recargas!$L$79*'Plan mensual'!N28+parametros_recargas!$M$79*'Plan mensual'!N30</f>
        <v>29.978422059092</v>
      </c>
      <c r="M5" s="26" t="n">
        <f aca="false">parametros_recargas!$E$79*'Plan mensual'!O21+parametros_recargas!$F$79*'Plan mensual'!O22+parametros_recargas!$G$79*'Plan mensual'!O23+parametros_recargas!$H$79*'Plan mensual'!O24+parametros_recargas!$I$79*'Plan mensual'!O25+parametros_recargas!$J$79*'Plan mensual'!O26+parametros_recargas!$K$79*'Plan mensual'!O27+parametros_recargas!$L$79*'Plan mensual'!O28+parametros_recargas!$M$79*'Plan mensual'!O30</f>
        <v>11.994290584074</v>
      </c>
      <c r="N5" s="8" t="n">
        <f aca="false">SUM(B5:M5)</f>
        <v>333.196057354962</v>
      </c>
      <c r="O5" s="27" t="n">
        <f aca="false">MAX(B5:M5)</f>
        <v>35.4130813869514</v>
      </c>
      <c r="P5" s="13" t="n">
        <f aca="false">O5/parametros_recargas!$B$6</f>
        <v>0.236087209246343</v>
      </c>
    </row>
    <row r="6" customFormat="false" ht="15" hidden="false" customHeight="false" outlineLevel="0" collapsed="false">
      <c r="A6" s="10" t="str">
        <f aca="false">parametros_recargas!$B$80</f>
        <v>Descarga BC</v>
      </c>
      <c r="B6" s="26" t="n">
        <f aca="false">parametros_recargas!$E$80*'Plan mensual'!D21+parametros_recargas!$F$80*'Plan mensual'!D22+parametros_recargas!$G$80*'Plan mensual'!D23+parametros_recargas!$H$80*'Plan mensual'!D24+parametros_recargas!$I$80*'Plan mensual'!D25+parametros_recargas!$J$80*'Plan mensual'!D26+parametros_recargas!$K$80*'Plan mensual'!D27+parametros_recargas!$L$80*'Plan mensual'!D28+parametros_recargas!$M$80*'Plan mensual'!D30</f>
        <v>0.299724441413879</v>
      </c>
      <c r="C6" s="26" t="n">
        <f aca="false">parametros_recargas!$E$80*'Plan mensual'!E21+parametros_recargas!$F$80*'Plan mensual'!E22+parametros_recargas!$G$80*'Plan mensual'!E23+parametros_recargas!$H$80*'Plan mensual'!E24+parametros_recargas!$I$80*'Plan mensual'!E25+parametros_recargas!$J$80*'Plan mensual'!E26+parametros_recargas!$K$80*'Plan mensual'!E27+parametros_recargas!$L$80*'Plan mensual'!E28+parametros_recargas!$M$80*'Plan mensual'!E30</f>
        <v>0.299724441413879</v>
      </c>
      <c r="D6" s="26" t="n">
        <f aca="false">parametros_recargas!$E$80*'Plan mensual'!F21+parametros_recargas!$F$80*'Plan mensual'!F22+parametros_recargas!$G$80*'Plan mensual'!F23+parametros_recargas!$H$80*'Plan mensual'!F24+parametros_recargas!$I$80*'Plan mensual'!F25+parametros_recargas!$J$80*'Plan mensual'!F26+parametros_recargas!$K$80*'Plan mensual'!F27+parametros_recargas!$L$80*'Plan mensual'!F28+parametros_recargas!$M$80*'Plan mensual'!F30</f>
        <v>0.299724441413879</v>
      </c>
      <c r="E6" s="26" t="n">
        <f aca="false">parametros_recargas!$E$80*'Plan mensual'!G21+parametros_recargas!$F$80*'Plan mensual'!G22+parametros_recargas!$G$80*'Plan mensual'!G23+parametros_recargas!$H$80*'Plan mensual'!G24+parametros_recargas!$I$80*'Plan mensual'!G25+parametros_recargas!$J$80*'Plan mensual'!G26+parametros_recargas!$K$80*'Plan mensual'!G27+parametros_recargas!$L$80*'Plan mensual'!G28+parametros_recargas!$M$80*'Plan mensual'!G30</f>
        <v>0.299724441413879</v>
      </c>
      <c r="F6" s="26" t="n">
        <f aca="false">parametros_recargas!$E$80*'Plan mensual'!H21+parametros_recargas!$F$80*'Plan mensual'!H22+parametros_recargas!$G$80*'Plan mensual'!H23+parametros_recargas!$H$80*'Plan mensual'!H24+parametros_recargas!$I$80*'Plan mensual'!H25+parametros_recargas!$J$80*'Plan mensual'!H26+parametros_recargas!$K$80*'Plan mensual'!H27+parametros_recargas!$L$80*'Plan mensual'!H28+parametros_recargas!$M$80*'Plan mensual'!H30</f>
        <v>0.299724441413879</v>
      </c>
      <c r="G6" s="26" t="n">
        <f aca="false">parametros_recargas!$E$80*'Plan mensual'!I21+parametros_recargas!$F$80*'Plan mensual'!I22+parametros_recargas!$G$80*'Plan mensual'!I23+parametros_recargas!$H$80*'Plan mensual'!I24+parametros_recargas!$I$80*'Plan mensual'!I25+parametros_recargas!$J$80*'Plan mensual'!I26+parametros_recargas!$K$80*'Plan mensual'!I27+parametros_recargas!$L$80*'Plan mensual'!I28+parametros_recargas!$M$80*'Plan mensual'!I30</f>
        <v>0.299724441413879</v>
      </c>
      <c r="H6" s="26" t="n">
        <f aca="false">parametros_recargas!$E$80*'Plan mensual'!J21+parametros_recargas!$F$80*'Plan mensual'!J22+parametros_recargas!$G$80*'Plan mensual'!J23+parametros_recargas!$H$80*'Plan mensual'!J24+parametros_recargas!$I$80*'Plan mensual'!J25+parametros_recargas!$J$80*'Plan mensual'!J26+parametros_recargas!$K$80*'Plan mensual'!J27+parametros_recargas!$L$80*'Plan mensual'!J28+parametros_recargas!$M$80*'Plan mensual'!J30</f>
        <v>0.299724441413879</v>
      </c>
      <c r="I6" s="26" t="n">
        <f aca="false">parametros_recargas!$E$80*'Plan mensual'!K21+parametros_recargas!$F$80*'Plan mensual'!K22+parametros_recargas!$G$80*'Plan mensual'!K23+parametros_recargas!$H$80*'Plan mensual'!K24+parametros_recargas!$I$80*'Plan mensual'!K25+parametros_recargas!$J$80*'Plan mensual'!K26+parametros_recargas!$K$80*'Plan mensual'!K27+parametros_recargas!$L$80*'Plan mensual'!K28+parametros_recargas!$M$80*'Plan mensual'!K30</f>
        <v>0.299724441413879</v>
      </c>
      <c r="J6" s="26" t="n">
        <f aca="false">parametros_recargas!$E$80*'Plan mensual'!L21+parametros_recargas!$F$80*'Plan mensual'!L22+parametros_recargas!$G$80*'Plan mensual'!L23+parametros_recargas!$H$80*'Plan mensual'!L24+parametros_recargas!$I$80*'Plan mensual'!L25+parametros_recargas!$J$80*'Plan mensual'!L26+parametros_recargas!$K$80*'Plan mensual'!L27+parametros_recargas!$L$80*'Plan mensual'!L28+parametros_recargas!$M$80*'Plan mensual'!L30</f>
        <v>0.299724441413879</v>
      </c>
      <c r="K6" s="26" t="n">
        <f aca="false">parametros_recargas!$E$80*'Plan mensual'!M21+parametros_recargas!$F$80*'Plan mensual'!M22+parametros_recargas!$G$80*'Plan mensual'!M23+parametros_recargas!$H$80*'Plan mensual'!M24+parametros_recargas!$I$80*'Plan mensual'!M25+parametros_recargas!$J$80*'Plan mensual'!M26+parametros_recargas!$K$80*'Plan mensual'!M27+parametros_recargas!$L$80*'Plan mensual'!M28+parametros_recargas!$M$80*'Plan mensual'!M30</f>
        <v>0.299724441413879</v>
      </c>
      <c r="L6" s="26" t="n">
        <f aca="false">parametros_recargas!$E$80*'Plan mensual'!N21+parametros_recargas!$F$80*'Plan mensual'!N22+parametros_recargas!$G$80*'Plan mensual'!N23+parametros_recargas!$H$80*'Plan mensual'!N24+parametros_recargas!$I$80*'Plan mensual'!N25+parametros_recargas!$J$80*'Plan mensual'!N26+parametros_recargas!$K$80*'Plan mensual'!N27+parametros_recargas!$L$80*'Plan mensual'!N28+parametros_recargas!$M$80*'Plan mensual'!N30</f>
        <v>0.299724441413879</v>
      </c>
      <c r="M6" s="26" t="n">
        <f aca="false">parametros_recargas!$E$80*'Plan mensual'!O21+parametros_recargas!$F$80*'Plan mensual'!O22+parametros_recargas!$G$80*'Plan mensual'!O23+parametros_recargas!$H$80*'Plan mensual'!O24+parametros_recargas!$I$80*'Plan mensual'!O25+parametros_recargas!$J$80*'Plan mensual'!O26+parametros_recargas!$K$80*'Plan mensual'!O27+parametros_recargas!$L$80*'Plan mensual'!O28+parametros_recargas!$M$80*'Plan mensual'!O30</f>
        <v>0.299724441413879</v>
      </c>
      <c r="N6" s="8" t="n">
        <f aca="false">SUM(B6:M6)</f>
        <v>3.59669329696655</v>
      </c>
      <c r="O6" s="27" t="n">
        <f aca="false">MAX(B6:M6)</f>
        <v>0.299724441413879</v>
      </c>
      <c r="P6" s="13" t="n">
        <f aca="false">O6/parametros_recargas!$B$6</f>
        <v>0.00199816294275919</v>
      </c>
    </row>
    <row r="7" customFormat="false" ht="15" hidden="false" customHeight="false" outlineLevel="0" collapsed="false">
      <c r="A7" s="10" t="str">
        <f aca="false">parametros_recargas!$B$81</f>
        <v>Descarga de agua / AFFF / sales K</v>
      </c>
      <c r="B7" s="26" t="n">
        <f aca="false">parametros_recargas!$E$81*'Plan mensual'!D21+parametros_recargas!$F$81*'Plan mensual'!D22+parametros_recargas!$G$81*'Plan mensual'!D23+parametros_recargas!$H$81*'Plan mensual'!D24+parametros_recargas!$I$81*'Plan mensual'!D25+parametros_recargas!$J$81*'Plan mensual'!D26+parametros_recargas!$K$81*'Plan mensual'!D27+parametros_recargas!$L$81*'Plan mensual'!D28+parametros_recargas!$M$81*'Plan mensual'!D30</f>
        <v>14.2135096879594</v>
      </c>
      <c r="C7" s="26" t="n">
        <f aca="false">parametros_recargas!$E$81*'Plan mensual'!E21+parametros_recargas!$F$81*'Plan mensual'!E22+parametros_recargas!$G$81*'Plan mensual'!E23+parametros_recargas!$H$81*'Plan mensual'!E24+parametros_recargas!$I$81*'Plan mensual'!E25+parametros_recargas!$J$81*'Plan mensual'!E26+parametros_recargas!$K$81*'Plan mensual'!E27+parametros_recargas!$L$81*'Plan mensual'!E28+parametros_recargas!$M$81*'Plan mensual'!E30</f>
        <v>20.853607008417</v>
      </c>
      <c r="D7" s="26" t="n">
        <f aca="false">parametros_recargas!$E$81*'Plan mensual'!F21+parametros_recargas!$F$81*'Plan mensual'!F22+parametros_recargas!$G$81*'Plan mensual'!F23+parametros_recargas!$H$81*'Plan mensual'!F24+parametros_recargas!$I$81*'Plan mensual'!F25+parametros_recargas!$J$81*'Plan mensual'!F26+parametros_recargas!$K$81*'Plan mensual'!F27+parametros_recargas!$L$81*'Plan mensual'!F28+parametros_recargas!$M$81*'Plan mensual'!F30</f>
        <v>14.2135096879594</v>
      </c>
      <c r="E7" s="26" t="n">
        <f aca="false">parametros_recargas!$E$81*'Plan mensual'!G21+parametros_recargas!$F$81*'Plan mensual'!G22+parametros_recargas!$G$81*'Plan mensual'!G23+parametros_recargas!$H$81*'Plan mensual'!G24+parametros_recargas!$I$81*'Plan mensual'!G25+parametros_recargas!$J$81*'Plan mensual'!G26+parametros_recargas!$K$81*'Plan mensual'!G27+parametros_recargas!$L$81*'Plan mensual'!G28+parametros_recargas!$M$81*'Plan mensual'!G30</f>
        <v>14.2135096879594</v>
      </c>
      <c r="F7" s="26" t="n">
        <f aca="false">parametros_recargas!$E$81*'Plan mensual'!H21+parametros_recargas!$F$81*'Plan mensual'!H22+parametros_recargas!$G$81*'Plan mensual'!H23+parametros_recargas!$H$81*'Plan mensual'!H24+parametros_recargas!$I$81*'Plan mensual'!H25+parametros_recargas!$J$81*'Plan mensual'!H26+parametros_recargas!$K$81*'Plan mensual'!H27+parametros_recargas!$L$81*'Plan mensual'!H28+parametros_recargas!$M$81*'Plan mensual'!H30</f>
        <v>14.2135096879594</v>
      </c>
      <c r="G7" s="26" t="n">
        <f aca="false">parametros_recargas!$E$81*'Plan mensual'!I21+parametros_recargas!$F$81*'Plan mensual'!I22+parametros_recargas!$G$81*'Plan mensual'!I23+parametros_recargas!$H$81*'Plan mensual'!I24+parametros_recargas!$I$81*'Plan mensual'!I25+parametros_recargas!$J$81*'Plan mensual'!I26+parametros_recargas!$K$81*'Plan mensual'!I27+parametros_recargas!$L$81*'Plan mensual'!I28+parametros_recargas!$M$81*'Plan mensual'!I30</f>
        <v>14.2135096879594</v>
      </c>
      <c r="H7" s="26" t="n">
        <f aca="false">parametros_recargas!$E$81*'Plan mensual'!J21+parametros_recargas!$F$81*'Plan mensual'!J22+parametros_recargas!$G$81*'Plan mensual'!J23+parametros_recargas!$H$81*'Plan mensual'!J24+parametros_recargas!$I$81*'Plan mensual'!J25+parametros_recargas!$J$81*'Plan mensual'!J26+parametros_recargas!$K$81*'Plan mensual'!J27+parametros_recargas!$L$81*'Plan mensual'!J28+parametros_recargas!$M$81*'Plan mensual'!J30</f>
        <v>14.2135096879594</v>
      </c>
      <c r="I7" s="26" t="n">
        <f aca="false">parametros_recargas!$E$81*'Plan mensual'!K21+parametros_recargas!$F$81*'Plan mensual'!K22+parametros_recargas!$G$81*'Plan mensual'!K23+parametros_recargas!$H$81*'Plan mensual'!K24+parametros_recargas!$I$81*'Plan mensual'!K25+parametros_recargas!$J$81*'Plan mensual'!K26+parametros_recargas!$K$81*'Plan mensual'!K27+parametros_recargas!$L$81*'Plan mensual'!K28+parametros_recargas!$M$81*'Plan mensual'!K30</f>
        <v>14.2135096879594</v>
      </c>
      <c r="J7" s="26" t="n">
        <f aca="false">parametros_recargas!$E$81*'Plan mensual'!L21+parametros_recargas!$F$81*'Plan mensual'!L22+parametros_recargas!$G$81*'Plan mensual'!L23+parametros_recargas!$H$81*'Plan mensual'!L24+parametros_recargas!$I$81*'Plan mensual'!L25+parametros_recargas!$J$81*'Plan mensual'!L26+parametros_recargas!$K$81*'Plan mensual'!L27+parametros_recargas!$L$81*'Plan mensual'!L28+parametros_recargas!$M$81*'Plan mensual'!L30</f>
        <v>14.2135096879594</v>
      </c>
      <c r="K7" s="26" t="n">
        <f aca="false">parametros_recargas!$E$81*'Plan mensual'!M21+parametros_recargas!$F$81*'Plan mensual'!M22+parametros_recargas!$G$81*'Plan mensual'!M23+parametros_recargas!$H$81*'Plan mensual'!M24+parametros_recargas!$I$81*'Plan mensual'!M25+parametros_recargas!$J$81*'Plan mensual'!M26+parametros_recargas!$K$81*'Plan mensual'!M27+parametros_recargas!$L$81*'Plan mensual'!M28+parametros_recargas!$M$81*'Plan mensual'!M30</f>
        <v>14.2135096879594</v>
      </c>
      <c r="L7" s="26" t="n">
        <f aca="false">parametros_recargas!$E$81*'Plan mensual'!N21+parametros_recargas!$F$81*'Plan mensual'!N22+parametros_recargas!$G$81*'Plan mensual'!N23+parametros_recargas!$H$81*'Plan mensual'!N24+parametros_recargas!$I$81*'Plan mensual'!N25+parametros_recargas!$J$81*'Plan mensual'!N26+parametros_recargas!$K$81*'Plan mensual'!N27+parametros_recargas!$L$81*'Plan mensual'!N28+parametros_recargas!$M$81*'Plan mensual'!N30</f>
        <v>14.2135096879594</v>
      </c>
      <c r="M7" s="26" t="n">
        <f aca="false">parametros_recargas!$E$81*'Plan mensual'!O21+parametros_recargas!$F$81*'Plan mensual'!O22+parametros_recargas!$G$81*'Plan mensual'!O23+parametros_recargas!$H$81*'Plan mensual'!O24+parametros_recargas!$I$81*'Plan mensual'!O25+parametros_recargas!$J$81*'Plan mensual'!O26+parametros_recargas!$K$81*'Plan mensual'!O27+parametros_recargas!$L$81*'Plan mensual'!O28+parametros_recargas!$M$81*'Plan mensual'!O30</f>
        <v>14.2135096879594</v>
      </c>
      <c r="N7" s="8" t="n">
        <f aca="false">SUM(B7:M7)</f>
        <v>177.202213575971</v>
      </c>
      <c r="O7" s="27" t="n">
        <f aca="false">MAX(B7:M7)</f>
        <v>20.853607008417</v>
      </c>
      <c r="P7" s="13" t="n">
        <f aca="false">O7/parametros_recargas!$B$6</f>
        <v>0.13902404672278</v>
      </c>
    </row>
    <row r="8" customFormat="false" ht="15" hidden="false" customHeight="false" outlineLevel="0" collapsed="false">
      <c r="A8" s="10" t="str">
        <f aca="false">parametros_recargas!$B$82</f>
        <v>Recuperación de CO₂</v>
      </c>
      <c r="B8" s="26" t="n">
        <f aca="false">parametros_recargas!$E$82*'Plan mensual'!D21+parametros_recargas!$F$82*'Plan mensual'!D22+parametros_recargas!$G$82*'Plan mensual'!D23+parametros_recargas!$H$82*'Plan mensual'!D24+parametros_recargas!$I$82*'Plan mensual'!D25+parametros_recargas!$J$82*'Plan mensual'!D26+parametros_recargas!$K$82*'Plan mensual'!D27+parametros_recargas!$L$82*'Plan mensual'!D28+parametros_recargas!$M$82*'Plan mensual'!D30</f>
        <v>7.60373402280055</v>
      </c>
      <c r="C8" s="26" t="n">
        <f aca="false">parametros_recargas!$E$82*'Plan mensual'!E21+parametros_recargas!$F$82*'Plan mensual'!E22+parametros_recargas!$G$82*'Plan mensual'!E23+parametros_recargas!$H$82*'Plan mensual'!E24+parametros_recargas!$I$82*'Plan mensual'!E25+parametros_recargas!$J$82*'Plan mensual'!E26+parametros_recargas!$K$82*'Plan mensual'!E27+parametros_recargas!$L$82*'Plan mensual'!E28+parametros_recargas!$M$82*'Plan mensual'!E30</f>
        <v>12.1445508966595</v>
      </c>
      <c r="D8" s="26" t="n">
        <f aca="false">parametros_recargas!$E$82*'Plan mensual'!F21+parametros_recargas!$F$82*'Plan mensual'!F22+parametros_recargas!$G$82*'Plan mensual'!F23+parametros_recargas!$H$82*'Plan mensual'!F24+parametros_recargas!$I$82*'Plan mensual'!F25+parametros_recargas!$J$82*'Plan mensual'!F26+parametros_recargas!$K$82*'Plan mensual'!F27+parametros_recargas!$L$82*'Plan mensual'!F28+parametros_recargas!$M$82*'Plan mensual'!F30</f>
        <v>7.60373402280055</v>
      </c>
      <c r="E8" s="26" t="n">
        <f aca="false">parametros_recargas!$E$82*'Plan mensual'!G21+parametros_recargas!$F$82*'Plan mensual'!G22+parametros_recargas!$G$82*'Plan mensual'!G23+parametros_recargas!$H$82*'Plan mensual'!G24+parametros_recargas!$I$82*'Plan mensual'!G25+parametros_recargas!$J$82*'Plan mensual'!G26+parametros_recargas!$K$82*'Plan mensual'!G27+parametros_recargas!$L$82*'Plan mensual'!G28+parametros_recargas!$M$82*'Plan mensual'!G30</f>
        <v>7.60373402280055</v>
      </c>
      <c r="F8" s="26" t="n">
        <f aca="false">parametros_recargas!$E$82*'Plan mensual'!H21+parametros_recargas!$F$82*'Plan mensual'!H22+parametros_recargas!$G$82*'Plan mensual'!H23+parametros_recargas!$H$82*'Plan mensual'!H24+parametros_recargas!$I$82*'Plan mensual'!H25+parametros_recargas!$J$82*'Plan mensual'!H26+parametros_recargas!$K$82*'Plan mensual'!H27+parametros_recargas!$L$82*'Plan mensual'!H28+parametros_recargas!$M$82*'Plan mensual'!H30</f>
        <v>7.60373402280055</v>
      </c>
      <c r="G8" s="26" t="n">
        <f aca="false">parametros_recargas!$E$82*'Plan mensual'!I21+parametros_recargas!$F$82*'Plan mensual'!I22+parametros_recargas!$G$82*'Plan mensual'!I23+parametros_recargas!$H$82*'Plan mensual'!I24+parametros_recargas!$I$82*'Plan mensual'!I25+parametros_recargas!$J$82*'Plan mensual'!I26+parametros_recargas!$K$82*'Plan mensual'!I27+parametros_recargas!$L$82*'Plan mensual'!I28+parametros_recargas!$M$82*'Plan mensual'!I30</f>
        <v>7.60373402280055</v>
      </c>
      <c r="H8" s="26" t="n">
        <f aca="false">parametros_recargas!$E$82*'Plan mensual'!J21+parametros_recargas!$F$82*'Plan mensual'!J22+parametros_recargas!$G$82*'Plan mensual'!J23+parametros_recargas!$H$82*'Plan mensual'!J24+parametros_recargas!$I$82*'Plan mensual'!J25+parametros_recargas!$J$82*'Plan mensual'!J26+parametros_recargas!$K$82*'Plan mensual'!J27+parametros_recargas!$L$82*'Plan mensual'!J28+parametros_recargas!$M$82*'Plan mensual'!J30</f>
        <v>7.60373402280055</v>
      </c>
      <c r="I8" s="26" t="n">
        <f aca="false">parametros_recargas!$E$82*'Plan mensual'!K21+parametros_recargas!$F$82*'Plan mensual'!K22+parametros_recargas!$G$82*'Plan mensual'!K23+parametros_recargas!$H$82*'Plan mensual'!K24+parametros_recargas!$I$82*'Plan mensual'!K25+parametros_recargas!$J$82*'Plan mensual'!K26+parametros_recargas!$K$82*'Plan mensual'!K27+parametros_recargas!$L$82*'Plan mensual'!K28+parametros_recargas!$M$82*'Plan mensual'!K30</f>
        <v>7.60373402280055</v>
      </c>
      <c r="J8" s="26" t="n">
        <f aca="false">parametros_recargas!$E$82*'Plan mensual'!L21+parametros_recargas!$F$82*'Plan mensual'!L22+parametros_recargas!$G$82*'Plan mensual'!L23+parametros_recargas!$H$82*'Plan mensual'!L24+parametros_recargas!$I$82*'Plan mensual'!L25+parametros_recargas!$J$82*'Plan mensual'!L26+parametros_recargas!$K$82*'Plan mensual'!L27+parametros_recargas!$L$82*'Plan mensual'!L28+parametros_recargas!$M$82*'Plan mensual'!L30</f>
        <v>7.60373402280055</v>
      </c>
      <c r="K8" s="26" t="n">
        <f aca="false">parametros_recargas!$E$82*'Plan mensual'!M21+parametros_recargas!$F$82*'Plan mensual'!M22+parametros_recargas!$G$82*'Plan mensual'!M23+parametros_recargas!$H$82*'Plan mensual'!M24+parametros_recargas!$I$82*'Plan mensual'!M25+parametros_recargas!$J$82*'Plan mensual'!M26+parametros_recargas!$K$82*'Plan mensual'!M27+parametros_recargas!$L$82*'Plan mensual'!M28+parametros_recargas!$M$82*'Plan mensual'!M30</f>
        <v>7.60373402280055</v>
      </c>
      <c r="L8" s="26" t="n">
        <f aca="false">parametros_recargas!$E$82*'Plan mensual'!N21+parametros_recargas!$F$82*'Plan mensual'!N22+parametros_recargas!$G$82*'Plan mensual'!N23+parametros_recargas!$H$82*'Plan mensual'!N24+parametros_recargas!$I$82*'Plan mensual'!N25+parametros_recargas!$J$82*'Plan mensual'!N26+parametros_recargas!$K$82*'Plan mensual'!N27+parametros_recargas!$L$82*'Plan mensual'!N28+parametros_recargas!$M$82*'Plan mensual'!N30</f>
        <v>7.60373402280055</v>
      </c>
      <c r="M8" s="26" t="n">
        <f aca="false">parametros_recargas!$E$82*'Plan mensual'!O21+parametros_recargas!$F$82*'Plan mensual'!O22+parametros_recargas!$G$82*'Plan mensual'!O23+parametros_recargas!$H$82*'Plan mensual'!O24+parametros_recargas!$I$82*'Plan mensual'!O25+parametros_recargas!$J$82*'Plan mensual'!O26+parametros_recargas!$K$82*'Plan mensual'!O27+parametros_recargas!$L$82*'Plan mensual'!O28+parametros_recargas!$M$82*'Plan mensual'!O30</f>
        <v>7.60373402280055</v>
      </c>
      <c r="N8" s="8" t="n">
        <f aca="false">SUM(B8:M8)</f>
        <v>95.7856251474656</v>
      </c>
      <c r="O8" s="27" t="n">
        <f aca="false">MAX(B8:M8)</f>
        <v>12.1445508966595</v>
      </c>
      <c r="P8" s="13" t="n">
        <f aca="false">O8/parametros_recargas!$B$6</f>
        <v>0.080963672644397</v>
      </c>
    </row>
    <row r="9" customFormat="false" ht="15" hidden="false" customHeight="false" outlineLevel="0" collapsed="false">
      <c r="A9" s="10" t="str">
        <f aca="false">parametros_recargas!$B$83</f>
        <v>Recuperación de halogenado</v>
      </c>
      <c r="B9" s="26" t="n">
        <f aca="false">parametros_recargas!$E$83*'Plan mensual'!D21+parametros_recargas!$F$83*'Plan mensual'!D22+parametros_recargas!$G$83*'Plan mensual'!D23+parametros_recargas!$H$83*'Plan mensual'!D24+parametros_recargas!$I$83*'Plan mensual'!D25+parametros_recargas!$J$83*'Plan mensual'!D26+parametros_recargas!$K$83*'Plan mensual'!D27+parametros_recargas!$L$83*'Plan mensual'!D28+parametros_recargas!$M$83*'Plan mensual'!D30</f>
        <v>0.294466134053794</v>
      </c>
      <c r="C9" s="26" t="n">
        <f aca="false">parametros_recargas!$E$83*'Plan mensual'!E21+parametros_recargas!$F$83*'Plan mensual'!E22+parametros_recargas!$G$83*'Plan mensual'!E23+parametros_recargas!$H$83*'Plan mensual'!E24+parametros_recargas!$I$83*'Plan mensual'!E25+parametros_recargas!$J$83*'Plan mensual'!E26+parametros_recargas!$K$83*'Plan mensual'!E27+parametros_recargas!$L$83*'Plan mensual'!E28+parametros_recargas!$M$83*'Plan mensual'!E30</f>
        <v>0.294466134053794</v>
      </c>
      <c r="D9" s="26" t="n">
        <f aca="false">parametros_recargas!$E$83*'Plan mensual'!F21+parametros_recargas!$F$83*'Plan mensual'!F22+parametros_recargas!$G$83*'Plan mensual'!F23+parametros_recargas!$H$83*'Plan mensual'!F24+parametros_recargas!$I$83*'Plan mensual'!F25+parametros_recargas!$J$83*'Plan mensual'!F26+parametros_recargas!$K$83*'Plan mensual'!F27+parametros_recargas!$L$83*'Plan mensual'!F28+parametros_recargas!$M$83*'Plan mensual'!F30</f>
        <v>0.294466134053794</v>
      </c>
      <c r="E9" s="26" t="n">
        <f aca="false">parametros_recargas!$E$83*'Plan mensual'!G21+parametros_recargas!$F$83*'Plan mensual'!G22+parametros_recargas!$G$83*'Plan mensual'!G23+parametros_recargas!$H$83*'Plan mensual'!G24+parametros_recargas!$I$83*'Plan mensual'!G25+parametros_recargas!$J$83*'Plan mensual'!G26+parametros_recargas!$K$83*'Plan mensual'!G27+parametros_recargas!$L$83*'Plan mensual'!G28+parametros_recargas!$M$83*'Plan mensual'!G30</f>
        <v>0.294466134053794</v>
      </c>
      <c r="F9" s="26" t="n">
        <f aca="false">parametros_recargas!$E$83*'Plan mensual'!H21+parametros_recargas!$F$83*'Plan mensual'!H22+parametros_recargas!$G$83*'Plan mensual'!H23+parametros_recargas!$H$83*'Plan mensual'!H24+parametros_recargas!$I$83*'Plan mensual'!H25+parametros_recargas!$J$83*'Plan mensual'!H26+parametros_recargas!$K$83*'Plan mensual'!H27+parametros_recargas!$L$83*'Plan mensual'!H28+parametros_recargas!$M$83*'Plan mensual'!H30</f>
        <v>0.294466134053794</v>
      </c>
      <c r="G9" s="26" t="n">
        <f aca="false">parametros_recargas!$E$83*'Plan mensual'!I21+parametros_recargas!$F$83*'Plan mensual'!I22+parametros_recargas!$G$83*'Plan mensual'!I23+parametros_recargas!$H$83*'Plan mensual'!I24+parametros_recargas!$I$83*'Plan mensual'!I25+parametros_recargas!$J$83*'Plan mensual'!I26+parametros_recargas!$K$83*'Plan mensual'!I27+parametros_recargas!$L$83*'Plan mensual'!I28+parametros_recargas!$M$83*'Plan mensual'!I30</f>
        <v>0.294466134053794</v>
      </c>
      <c r="H9" s="26" t="n">
        <f aca="false">parametros_recargas!$E$83*'Plan mensual'!J21+parametros_recargas!$F$83*'Plan mensual'!J22+parametros_recargas!$G$83*'Plan mensual'!J23+parametros_recargas!$H$83*'Plan mensual'!J24+parametros_recargas!$I$83*'Plan mensual'!J25+parametros_recargas!$J$83*'Plan mensual'!J26+parametros_recargas!$K$83*'Plan mensual'!J27+parametros_recargas!$L$83*'Plan mensual'!J28+parametros_recargas!$M$83*'Plan mensual'!J30</f>
        <v>0.294466134053794</v>
      </c>
      <c r="I9" s="26" t="n">
        <f aca="false">parametros_recargas!$E$83*'Plan mensual'!K21+parametros_recargas!$F$83*'Plan mensual'!K22+parametros_recargas!$G$83*'Plan mensual'!K23+parametros_recargas!$H$83*'Plan mensual'!K24+parametros_recargas!$I$83*'Plan mensual'!K25+parametros_recargas!$J$83*'Plan mensual'!K26+parametros_recargas!$K$83*'Plan mensual'!K27+parametros_recargas!$L$83*'Plan mensual'!K28+parametros_recargas!$M$83*'Plan mensual'!K30</f>
        <v>0.294466134053794</v>
      </c>
      <c r="J9" s="26" t="n">
        <f aca="false">parametros_recargas!$E$83*'Plan mensual'!L21+parametros_recargas!$F$83*'Plan mensual'!L22+parametros_recargas!$G$83*'Plan mensual'!L23+parametros_recargas!$H$83*'Plan mensual'!L24+parametros_recargas!$I$83*'Plan mensual'!L25+parametros_recargas!$J$83*'Plan mensual'!L26+parametros_recargas!$K$83*'Plan mensual'!L27+parametros_recargas!$L$83*'Plan mensual'!L28+parametros_recargas!$M$83*'Plan mensual'!L30</f>
        <v>0.294466134053794</v>
      </c>
      <c r="K9" s="26" t="n">
        <f aca="false">parametros_recargas!$E$83*'Plan mensual'!M21+parametros_recargas!$F$83*'Plan mensual'!M22+parametros_recargas!$G$83*'Plan mensual'!M23+parametros_recargas!$H$83*'Plan mensual'!M24+parametros_recargas!$I$83*'Plan mensual'!M25+parametros_recargas!$J$83*'Plan mensual'!M26+parametros_recargas!$K$83*'Plan mensual'!M27+parametros_recargas!$L$83*'Plan mensual'!M28+parametros_recargas!$M$83*'Plan mensual'!M30</f>
        <v>0.294466134053794</v>
      </c>
      <c r="L9" s="26" t="n">
        <f aca="false">parametros_recargas!$E$83*'Plan mensual'!N21+parametros_recargas!$F$83*'Plan mensual'!N22+parametros_recargas!$G$83*'Plan mensual'!N23+parametros_recargas!$H$83*'Plan mensual'!N24+parametros_recargas!$I$83*'Plan mensual'!N25+parametros_recargas!$J$83*'Plan mensual'!N26+parametros_recargas!$K$83*'Plan mensual'!N27+parametros_recargas!$L$83*'Plan mensual'!N28+parametros_recargas!$M$83*'Plan mensual'!N30</f>
        <v>0.294466134053794</v>
      </c>
      <c r="M9" s="26" t="n">
        <f aca="false">parametros_recargas!$E$83*'Plan mensual'!O21+parametros_recargas!$F$83*'Plan mensual'!O22+parametros_recargas!$G$83*'Plan mensual'!O23+parametros_recargas!$H$83*'Plan mensual'!O24+parametros_recargas!$I$83*'Plan mensual'!O25+parametros_recargas!$J$83*'Plan mensual'!O26+parametros_recargas!$K$83*'Plan mensual'!O27+parametros_recargas!$L$83*'Plan mensual'!O28+parametros_recargas!$M$83*'Plan mensual'!O30</f>
        <v>0.294466134053794</v>
      </c>
      <c r="N9" s="8" t="n">
        <f aca="false">SUM(B9:M9)</f>
        <v>3.53359360864553</v>
      </c>
      <c r="O9" s="27" t="n">
        <f aca="false">MAX(B9:M9)</f>
        <v>0.294466134053794</v>
      </c>
      <c r="P9" s="13" t="n">
        <f aca="false">O9/parametros_recargas!$B$6</f>
        <v>0.00196310756035863</v>
      </c>
    </row>
    <row r="10" customFormat="false" ht="15" hidden="false" customHeight="false" outlineLevel="0" collapsed="false">
      <c r="A10" s="10" t="str">
        <f aca="false">parametros_recargas!$B$84</f>
        <v>Desarme y limpieza — recinto</v>
      </c>
      <c r="B10" s="26" t="n">
        <f aca="false">parametros_recargas!$E$84*'Plan mensual'!D21+parametros_recargas!$F$84*'Plan mensual'!D22+parametros_recargas!$G$84*'Plan mensual'!D23+parametros_recargas!$H$84*'Plan mensual'!D24+parametros_recargas!$I$84*'Plan mensual'!D25+parametros_recargas!$J$84*'Plan mensual'!D26+parametros_recargas!$K$84*'Plan mensual'!D27+parametros_recargas!$L$84*'Plan mensual'!D28+parametros_recargas!$M$84*'Plan mensual'!D30</f>
        <v>136.466745616131</v>
      </c>
      <c r="C10" s="26" t="n">
        <f aca="false">parametros_recargas!$E$84*'Plan mensual'!E21+parametros_recargas!$F$84*'Plan mensual'!E22+parametros_recargas!$G$84*'Plan mensual'!E23+parametros_recargas!$H$84*'Plan mensual'!E24+parametros_recargas!$I$84*'Plan mensual'!E25+parametros_recargas!$J$84*'Plan mensual'!E26+parametros_recargas!$K$84*'Plan mensual'!E27+parametros_recargas!$L$84*'Plan mensual'!E28+parametros_recargas!$M$84*'Plan mensual'!E30</f>
        <v>373.400276581412</v>
      </c>
      <c r="D10" s="26" t="n">
        <f aca="false">parametros_recargas!$E$84*'Plan mensual'!F21+parametros_recargas!$F$84*'Plan mensual'!F22+parametros_recargas!$G$84*'Plan mensual'!F23+parametros_recargas!$H$84*'Plan mensual'!F24+parametros_recargas!$I$84*'Plan mensual'!F25+parametros_recargas!$J$84*'Plan mensual'!F26+parametros_recargas!$K$84*'Plan mensual'!F27+parametros_recargas!$L$84*'Plan mensual'!F28+parametros_recargas!$M$84*'Plan mensual'!F30</f>
        <v>318.954009126265</v>
      </c>
      <c r="E10" s="26" t="n">
        <f aca="false">parametros_recargas!$E$84*'Plan mensual'!G21+parametros_recargas!$F$84*'Plan mensual'!G22+parametros_recargas!$G$84*'Plan mensual'!G23+parametros_recargas!$H$84*'Plan mensual'!G24+parametros_recargas!$I$84*'Plan mensual'!G25+parametros_recargas!$J$84*'Plan mensual'!G26+parametros_recargas!$K$84*'Plan mensual'!G27+parametros_recargas!$L$84*'Plan mensual'!G28+parametros_recargas!$M$84*'Plan mensual'!G30</f>
        <v>320.365327257464</v>
      </c>
      <c r="F10" s="26" t="n">
        <f aca="false">parametros_recargas!$E$84*'Plan mensual'!H21+parametros_recargas!$F$84*'Plan mensual'!H22+parametros_recargas!$G$84*'Plan mensual'!H23+parametros_recargas!$H$84*'Plan mensual'!H24+parametros_recargas!$I$84*'Plan mensual'!H25+parametros_recargas!$J$84*'Plan mensual'!H26+parametros_recargas!$K$84*'Plan mensual'!H27+parametros_recargas!$L$84*'Plan mensual'!H28+parametros_recargas!$M$84*'Plan mensual'!H30</f>
        <v>320.439001981874</v>
      </c>
      <c r="G10" s="26" t="n">
        <f aca="false">parametros_recargas!$E$84*'Plan mensual'!I21+parametros_recargas!$F$84*'Plan mensual'!I22+parametros_recargas!$G$84*'Plan mensual'!I23+parametros_recargas!$H$84*'Plan mensual'!I24+parametros_recargas!$I$84*'Plan mensual'!I25+parametros_recargas!$J$84*'Plan mensual'!I26+parametros_recargas!$K$84*'Plan mensual'!I27+parametros_recargas!$L$84*'Plan mensual'!I28+parametros_recargas!$M$84*'Plan mensual'!I30</f>
        <v>319.768050951185</v>
      </c>
      <c r="H10" s="26" t="n">
        <f aca="false">parametros_recargas!$E$84*'Plan mensual'!J21+parametros_recargas!$F$84*'Plan mensual'!J22+parametros_recargas!$G$84*'Plan mensual'!J23+parametros_recargas!$H$84*'Plan mensual'!J24+parametros_recargas!$I$84*'Plan mensual'!J25+parametros_recargas!$J$84*'Plan mensual'!J26+parametros_recargas!$K$84*'Plan mensual'!J27+parametros_recargas!$L$84*'Plan mensual'!J28+parametros_recargas!$M$84*'Plan mensual'!J30</f>
        <v>321.878427233369</v>
      </c>
      <c r="I10" s="26" t="n">
        <f aca="false">parametros_recargas!$E$84*'Plan mensual'!K21+parametros_recargas!$F$84*'Plan mensual'!K22+parametros_recargas!$G$84*'Plan mensual'!K23+parametros_recargas!$H$84*'Plan mensual'!K24+parametros_recargas!$I$84*'Plan mensual'!K25+parametros_recargas!$J$84*'Plan mensual'!K26+parametros_recargas!$K$84*'Plan mensual'!K27+parametros_recargas!$L$84*'Plan mensual'!K28+parametros_recargas!$M$84*'Plan mensual'!K30</f>
        <v>320.290162003946</v>
      </c>
      <c r="J10" s="26" t="n">
        <f aca="false">parametros_recargas!$E$84*'Plan mensual'!L21+parametros_recargas!$F$84*'Plan mensual'!L22+parametros_recargas!$G$84*'Plan mensual'!L23+parametros_recargas!$H$84*'Plan mensual'!L24+parametros_recargas!$I$84*'Plan mensual'!L25+parametros_recargas!$J$84*'Plan mensual'!L26+parametros_recargas!$K$84*'Plan mensual'!L27+parametros_recargas!$L$84*'Plan mensual'!L28+parametros_recargas!$M$84*'Plan mensual'!L30</f>
        <v>320.537802768367</v>
      </c>
      <c r="K10" s="26" t="n">
        <f aca="false">parametros_recargas!$E$84*'Plan mensual'!M21+parametros_recargas!$F$84*'Plan mensual'!M22+parametros_recargas!$G$84*'Plan mensual'!M23+parametros_recargas!$H$84*'Plan mensual'!M24+parametros_recargas!$I$84*'Plan mensual'!M25+parametros_recargas!$J$84*'Plan mensual'!M26+parametros_recargas!$K$84*'Plan mensual'!M27+parametros_recargas!$L$84*'Plan mensual'!M28+parametros_recargas!$M$84*'Plan mensual'!M30</f>
        <v>319.719076423398</v>
      </c>
      <c r="L10" s="26" t="n">
        <f aca="false">parametros_recargas!$E$84*'Plan mensual'!N21+parametros_recargas!$F$84*'Plan mensual'!N22+parametros_recargas!$G$84*'Plan mensual'!N23+parametros_recargas!$H$84*'Plan mensual'!N24+parametros_recargas!$I$84*'Plan mensual'!N25+parametros_recargas!$J$84*'Plan mensual'!N26+parametros_recargas!$K$84*'Plan mensual'!N27+parametros_recargas!$L$84*'Plan mensual'!N28+parametros_recargas!$M$84*'Plan mensual'!N30</f>
        <v>316.193336288155</v>
      </c>
      <c r="M10" s="26" t="n">
        <f aca="false">parametros_recargas!$E$84*'Plan mensual'!O21+parametros_recargas!$F$84*'Plan mensual'!O22+parametros_recargas!$G$84*'Plan mensual'!O23+parametros_recargas!$H$84*'Plan mensual'!O24+parametros_recargas!$I$84*'Plan mensual'!O25+parametros_recargas!$J$84*'Plan mensual'!O26+parametros_recargas!$K$84*'Plan mensual'!O27+parametros_recargas!$L$84*'Plan mensual'!O28+parametros_recargas!$M$84*'Plan mensual'!O30</f>
        <v>126.886689182703</v>
      </c>
      <c r="N10" s="8" t="n">
        <f aca="false">SUM(B10:M10)</f>
        <v>3514.89890541427</v>
      </c>
      <c r="O10" s="27" t="n">
        <f aca="false">MAX(B10:M10)</f>
        <v>373.400276581412</v>
      </c>
      <c r="P10" s="13" t="n">
        <f aca="false">O10/parametros_recargas!$B$6</f>
        <v>2.48933517720942</v>
      </c>
    </row>
    <row r="11" customFormat="false" ht="15" hidden="false" customHeight="false" outlineLevel="0" collapsed="false">
      <c r="A11" s="10" t="str">
        <f aca="false">parametros_recargas!$B$85</f>
        <v>Desarme e inspección interior — zona general</v>
      </c>
      <c r="B11" s="26" t="n">
        <f aca="false">parametros_recargas!$E$85*'Plan mensual'!D21+parametros_recargas!$F$85*'Plan mensual'!D22+parametros_recargas!$G$85*'Plan mensual'!D23+parametros_recargas!$H$85*'Plan mensual'!D24+parametros_recargas!$I$85*'Plan mensual'!D25+parametros_recargas!$J$85*'Plan mensual'!D26+parametros_recargas!$K$85*'Plan mensual'!D27+parametros_recargas!$L$85*'Plan mensual'!D28+parametros_recargas!$M$85*'Plan mensual'!D30</f>
        <v>22.8597893020748</v>
      </c>
      <c r="C11" s="26" t="n">
        <f aca="false">parametros_recargas!$E$85*'Plan mensual'!E21+parametros_recargas!$F$85*'Plan mensual'!E22+parametros_recargas!$G$85*'Plan mensual'!E23+parametros_recargas!$H$85*'Plan mensual'!E24+parametros_recargas!$I$85*'Plan mensual'!E25+parametros_recargas!$J$85*'Plan mensual'!E26+parametros_recargas!$K$85*'Plan mensual'!E27+parametros_recargas!$L$85*'Plan mensual'!E28+parametros_recargas!$M$85*'Plan mensual'!E30</f>
        <v>34.3901823027312</v>
      </c>
      <c r="D11" s="26" t="n">
        <f aca="false">parametros_recargas!$E$85*'Plan mensual'!F21+parametros_recargas!$F$85*'Plan mensual'!F22+parametros_recargas!$G$85*'Plan mensual'!F23+parametros_recargas!$H$85*'Plan mensual'!F24+parametros_recargas!$I$85*'Plan mensual'!F25+parametros_recargas!$J$85*'Plan mensual'!F26+parametros_recargas!$K$85*'Plan mensual'!F27+parametros_recargas!$L$85*'Plan mensual'!F28+parametros_recargas!$M$85*'Plan mensual'!F30</f>
        <v>22.8597893020748</v>
      </c>
      <c r="E11" s="26" t="n">
        <f aca="false">parametros_recargas!$E$85*'Plan mensual'!G21+parametros_recargas!$F$85*'Plan mensual'!G22+parametros_recargas!$G$85*'Plan mensual'!G23+parametros_recargas!$H$85*'Plan mensual'!G24+parametros_recargas!$I$85*'Plan mensual'!G25+parametros_recargas!$J$85*'Plan mensual'!G26+parametros_recargas!$K$85*'Plan mensual'!G27+parametros_recargas!$L$85*'Plan mensual'!G28+parametros_recargas!$M$85*'Plan mensual'!G30</f>
        <v>22.8597893020748</v>
      </c>
      <c r="F11" s="26" t="n">
        <f aca="false">parametros_recargas!$E$85*'Plan mensual'!H21+parametros_recargas!$F$85*'Plan mensual'!H22+parametros_recargas!$G$85*'Plan mensual'!H23+parametros_recargas!$H$85*'Plan mensual'!H24+parametros_recargas!$I$85*'Plan mensual'!H25+parametros_recargas!$J$85*'Plan mensual'!H26+parametros_recargas!$K$85*'Plan mensual'!H27+parametros_recargas!$L$85*'Plan mensual'!H28+parametros_recargas!$M$85*'Plan mensual'!H30</f>
        <v>22.8597893020748</v>
      </c>
      <c r="G11" s="26" t="n">
        <f aca="false">parametros_recargas!$E$85*'Plan mensual'!I21+parametros_recargas!$F$85*'Plan mensual'!I22+parametros_recargas!$G$85*'Plan mensual'!I23+parametros_recargas!$H$85*'Plan mensual'!I24+parametros_recargas!$I$85*'Plan mensual'!I25+parametros_recargas!$J$85*'Plan mensual'!I26+parametros_recargas!$K$85*'Plan mensual'!I27+parametros_recargas!$L$85*'Plan mensual'!I28+parametros_recargas!$M$85*'Plan mensual'!I30</f>
        <v>22.8597893020748</v>
      </c>
      <c r="H11" s="26" t="n">
        <f aca="false">parametros_recargas!$E$85*'Plan mensual'!J21+parametros_recargas!$F$85*'Plan mensual'!J22+parametros_recargas!$G$85*'Plan mensual'!J23+parametros_recargas!$H$85*'Plan mensual'!J24+parametros_recargas!$I$85*'Plan mensual'!J25+parametros_recargas!$J$85*'Plan mensual'!J26+parametros_recargas!$K$85*'Plan mensual'!J27+parametros_recargas!$L$85*'Plan mensual'!J28+parametros_recargas!$M$85*'Plan mensual'!J30</f>
        <v>22.8597893020748</v>
      </c>
      <c r="I11" s="26" t="n">
        <f aca="false">parametros_recargas!$E$85*'Plan mensual'!K21+parametros_recargas!$F$85*'Plan mensual'!K22+parametros_recargas!$G$85*'Plan mensual'!K23+parametros_recargas!$H$85*'Plan mensual'!K24+parametros_recargas!$I$85*'Plan mensual'!K25+parametros_recargas!$J$85*'Plan mensual'!K26+parametros_recargas!$K$85*'Plan mensual'!K27+parametros_recargas!$L$85*'Plan mensual'!K28+parametros_recargas!$M$85*'Plan mensual'!K30</f>
        <v>22.8597893020748</v>
      </c>
      <c r="J11" s="26" t="n">
        <f aca="false">parametros_recargas!$E$85*'Plan mensual'!L21+parametros_recargas!$F$85*'Plan mensual'!L22+parametros_recargas!$G$85*'Plan mensual'!L23+parametros_recargas!$H$85*'Plan mensual'!L24+parametros_recargas!$I$85*'Plan mensual'!L25+parametros_recargas!$J$85*'Plan mensual'!L26+parametros_recargas!$K$85*'Plan mensual'!L27+parametros_recargas!$L$85*'Plan mensual'!L28+parametros_recargas!$M$85*'Plan mensual'!L30</f>
        <v>22.8597893020748</v>
      </c>
      <c r="K11" s="26" t="n">
        <f aca="false">parametros_recargas!$E$85*'Plan mensual'!M21+parametros_recargas!$F$85*'Plan mensual'!M22+parametros_recargas!$G$85*'Plan mensual'!M23+parametros_recargas!$H$85*'Plan mensual'!M24+parametros_recargas!$I$85*'Plan mensual'!M25+parametros_recargas!$J$85*'Plan mensual'!M26+parametros_recargas!$K$85*'Plan mensual'!M27+parametros_recargas!$L$85*'Plan mensual'!M28+parametros_recargas!$M$85*'Plan mensual'!M30</f>
        <v>22.8597893020748</v>
      </c>
      <c r="L11" s="26" t="n">
        <f aca="false">parametros_recargas!$E$85*'Plan mensual'!N21+parametros_recargas!$F$85*'Plan mensual'!N22+parametros_recargas!$G$85*'Plan mensual'!N23+parametros_recargas!$H$85*'Plan mensual'!N24+parametros_recargas!$I$85*'Plan mensual'!N25+parametros_recargas!$J$85*'Plan mensual'!N26+parametros_recargas!$K$85*'Plan mensual'!N27+parametros_recargas!$L$85*'Plan mensual'!N28+parametros_recargas!$M$85*'Plan mensual'!N30</f>
        <v>22.8597893020748</v>
      </c>
      <c r="M11" s="26" t="n">
        <f aca="false">parametros_recargas!$E$85*'Plan mensual'!O21+parametros_recargas!$F$85*'Plan mensual'!O22+parametros_recargas!$G$85*'Plan mensual'!O23+parametros_recargas!$H$85*'Plan mensual'!O24+parametros_recargas!$I$85*'Plan mensual'!O25+parametros_recargas!$J$85*'Plan mensual'!O26+parametros_recargas!$K$85*'Plan mensual'!O27+parametros_recargas!$L$85*'Plan mensual'!O28+parametros_recargas!$M$85*'Plan mensual'!O30</f>
        <v>22.8597893020748</v>
      </c>
      <c r="N11" s="8" t="n">
        <f aca="false">SUM(B11:M11)</f>
        <v>285.847864625554</v>
      </c>
      <c r="O11" s="27" t="n">
        <f aca="false">MAX(B11:M11)</f>
        <v>34.3901823027312</v>
      </c>
      <c r="P11" s="13" t="n">
        <f aca="false">O11/parametros_recargas!$B$6</f>
        <v>0.229267882018208</v>
      </c>
    </row>
    <row r="12" customFormat="false" ht="15" hidden="false" customHeight="false" outlineLevel="0" collapsed="false">
      <c r="A12" s="10" t="str">
        <f aca="false">parametros_recargas!$B$86</f>
        <v>Laboratorio — Puffer y mufla</v>
      </c>
      <c r="B12" s="26" t="n">
        <f aca="false">parametros_recargas!$E$86*'Plan mensual'!D21+parametros_recargas!$F$86*'Plan mensual'!D22+parametros_recargas!$G$86*'Plan mensual'!D23+parametros_recargas!$H$86*'Plan mensual'!D24+parametros_recargas!$I$86*'Plan mensual'!D25+parametros_recargas!$J$86*'Plan mensual'!D26+parametros_recargas!$K$86*'Plan mensual'!D27+parametros_recargas!$L$86*'Plan mensual'!D28+parametros_recargas!$M$86*'Plan mensual'!D30</f>
        <v>0.181367367081103</v>
      </c>
      <c r="C12" s="26" t="n">
        <f aca="false">parametros_recargas!$E$86*'Plan mensual'!E21+parametros_recargas!$F$86*'Plan mensual'!E22+parametros_recargas!$G$86*'Plan mensual'!E23+parametros_recargas!$H$86*'Plan mensual'!E24+parametros_recargas!$I$86*'Plan mensual'!E25+parametros_recargas!$J$86*'Plan mensual'!E26+parametros_recargas!$K$86*'Plan mensual'!E27+parametros_recargas!$L$86*'Plan mensual'!E28+parametros_recargas!$M$86*'Plan mensual'!E30</f>
        <v>0.497720107057355</v>
      </c>
      <c r="D12" s="26" t="n">
        <f aca="false">parametros_recargas!$E$86*'Plan mensual'!F21+parametros_recargas!$F$86*'Plan mensual'!F22+parametros_recargas!$G$86*'Plan mensual'!F23+parametros_recargas!$H$86*'Plan mensual'!F24+parametros_recargas!$I$86*'Plan mensual'!F25+parametros_recargas!$J$86*'Plan mensual'!F26+parametros_recargas!$K$86*'Plan mensual'!F27+parametros_recargas!$L$86*'Plan mensual'!F28+parametros_recargas!$M$86*'Plan mensual'!F30</f>
        <v>0.425023659995838</v>
      </c>
      <c r="E12" s="26" t="n">
        <f aca="false">parametros_recargas!$E$86*'Plan mensual'!G21+parametros_recargas!$F$86*'Plan mensual'!G22+parametros_recargas!$G$86*'Plan mensual'!G23+parametros_recargas!$H$86*'Plan mensual'!G24+parametros_recargas!$I$86*'Plan mensual'!G25+parametros_recargas!$J$86*'Plan mensual'!G26+parametros_recargas!$K$86*'Plan mensual'!G27+parametros_recargas!$L$86*'Plan mensual'!G28+parametros_recargas!$M$86*'Plan mensual'!G30</f>
        <v>0.426908046540722</v>
      </c>
      <c r="F12" s="26" t="n">
        <f aca="false">parametros_recargas!$E$86*'Plan mensual'!H21+parametros_recargas!$F$86*'Plan mensual'!H22+parametros_recargas!$G$86*'Plan mensual'!H23+parametros_recargas!$H$86*'Plan mensual'!H24+parametros_recargas!$I$86*'Plan mensual'!H25+parametros_recargas!$J$86*'Plan mensual'!H26+parametros_recargas!$K$86*'Plan mensual'!H27+parametros_recargas!$L$86*'Plan mensual'!H28+parametros_recargas!$M$86*'Plan mensual'!H30</f>
        <v>0.427006416749613</v>
      </c>
      <c r="G12" s="26" t="n">
        <f aca="false">parametros_recargas!$E$86*'Plan mensual'!I21+parametros_recargas!$F$86*'Plan mensual'!I22+parametros_recargas!$G$86*'Plan mensual'!I23+parametros_recargas!$H$86*'Plan mensual'!I24+parametros_recargas!$I$86*'Plan mensual'!I25+parametros_recargas!$J$86*'Plan mensual'!I26+parametros_recargas!$K$86*'Plan mensual'!I27+parametros_recargas!$L$86*'Plan mensual'!I28+parametros_recargas!$M$86*'Plan mensual'!I30</f>
        <v>0.426110565511996</v>
      </c>
      <c r="H12" s="26" t="n">
        <f aca="false">parametros_recargas!$E$86*'Plan mensual'!J21+parametros_recargas!$F$86*'Plan mensual'!J22+parametros_recargas!$G$86*'Plan mensual'!J23+parametros_recargas!$H$86*'Plan mensual'!J24+parametros_recargas!$I$86*'Plan mensual'!J25+parametros_recargas!$J$86*'Plan mensual'!J26+parametros_recargas!$K$86*'Plan mensual'!J27+parametros_recargas!$L$86*'Plan mensual'!J28+parametros_recargas!$M$86*'Plan mensual'!J30</f>
        <v>0.428928331813496</v>
      </c>
      <c r="I12" s="26" t="n">
        <f aca="false">parametros_recargas!$E$86*'Plan mensual'!K21+parametros_recargas!$F$86*'Plan mensual'!K22+parametros_recargas!$G$86*'Plan mensual'!K23+parametros_recargas!$H$86*'Plan mensual'!K24+parametros_recargas!$I$86*'Plan mensual'!K25+parametros_recargas!$J$86*'Plan mensual'!K26+parametros_recargas!$K$86*'Plan mensual'!K27+parametros_recargas!$L$86*'Plan mensual'!K28+parametros_recargas!$M$86*'Plan mensual'!K30</f>
        <v>0.426807686183096</v>
      </c>
      <c r="J12" s="26" t="n">
        <f aca="false">parametros_recargas!$E$86*'Plan mensual'!L21+parametros_recargas!$F$86*'Plan mensual'!L22+parametros_recargas!$G$86*'Plan mensual'!L23+parametros_recargas!$H$86*'Plan mensual'!L24+parametros_recargas!$I$86*'Plan mensual'!L25+parametros_recargas!$J$86*'Plan mensual'!L26+parametros_recargas!$K$86*'Plan mensual'!L27+parametros_recargas!$L$86*'Plan mensual'!L28+parametros_recargas!$M$86*'Plan mensual'!L30</f>
        <v>0.427138335180034</v>
      </c>
      <c r="K12" s="26" t="n">
        <f aca="false">parametros_recargas!$E$86*'Plan mensual'!M21+parametros_recargas!$F$86*'Plan mensual'!M22+parametros_recargas!$G$86*'Plan mensual'!M23+parametros_recargas!$H$86*'Plan mensual'!M24+parametros_recargas!$I$86*'Plan mensual'!M25+parametros_recargas!$J$86*'Plan mensual'!M26+parametros_recargas!$K$86*'Plan mensual'!M27+parametros_recargas!$L$86*'Plan mensual'!M28+parametros_recargas!$M$86*'Plan mensual'!M30</f>
        <v>0.42604517491071</v>
      </c>
      <c r="L12" s="26" t="n">
        <f aca="false">parametros_recargas!$E$86*'Plan mensual'!N21+parametros_recargas!$F$86*'Plan mensual'!N22+parametros_recargas!$G$86*'Plan mensual'!N23+parametros_recargas!$H$86*'Plan mensual'!N24+parametros_recargas!$I$86*'Plan mensual'!N25+parametros_recargas!$J$86*'Plan mensual'!N26+parametros_recargas!$K$86*'Plan mensual'!N27+parametros_recargas!$L$86*'Plan mensual'!N28+parametros_recargas!$M$86*'Plan mensual'!N30</f>
        <v>0.421337620232045</v>
      </c>
      <c r="M12" s="26" t="n">
        <f aca="false">parametros_recargas!$E$86*'Plan mensual'!O21+parametros_recargas!$F$86*'Plan mensual'!O22+parametros_recargas!$G$86*'Plan mensual'!O23+parametros_recargas!$H$86*'Plan mensual'!O24+parametros_recargas!$I$86*'Plan mensual'!O25+parametros_recargas!$J$86*'Plan mensual'!O26+parametros_recargas!$K$86*'Plan mensual'!O27+parametros_recargas!$L$86*'Plan mensual'!O28+parametros_recargas!$M$86*'Plan mensual'!O30</f>
        <v>0.168576112548682</v>
      </c>
      <c r="N12" s="8" t="n">
        <f aca="false">SUM(B12:M12)</f>
        <v>4.68296942380469</v>
      </c>
      <c r="O12" s="27" t="n">
        <f aca="false">MAX(B12:M12)</f>
        <v>0.497720107057355</v>
      </c>
      <c r="P12" s="13" t="n">
        <f aca="false">O12/parametros_recargas!$B$6</f>
        <v>0.00331813404704903</v>
      </c>
    </row>
    <row r="13" customFormat="false" ht="15" hidden="false" customHeight="false" outlineLevel="0" collapsed="false">
      <c r="A13" s="10" t="str">
        <f aca="false">parametros_recargas!$B$87</f>
        <v>Prueba hidráulica</v>
      </c>
      <c r="B13" s="26" t="n">
        <f aca="false">parametros_recargas!$E$87*'Plan mensual'!D21+parametros_recargas!$F$87*'Plan mensual'!D22+parametros_recargas!$G$87*'Plan mensual'!D23+parametros_recargas!$H$87*'Plan mensual'!D24+parametros_recargas!$I$87*'Plan mensual'!D25+parametros_recargas!$J$87*'Plan mensual'!D26+parametros_recargas!$K$87*'Plan mensual'!D27+parametros_recargas!$L$87*'Plan mensual'!D28+parametros_recargas!$M$87*'Plan mensual'!D30</f>
        <v>48.8923384058001</v>
      </c>
      <c r="C13" s="26" t="n">
        <f aca="false">parametros_recargas!$E$87*'Plan mensual'!E21+parametros_recargas!$F$87*'Plan mensual'!E22+parametros_recargas!$G$87*'Plan mensual'!E23+parametros_recargas!$H$87*'Plan mensual'!E24+parametros_recargas!$I$87*'Plan mensual'!E25+parametros_recargas!$J$87*'Plan mensual'!E26+parametros_recargas!$K$87*'Plan mensual'!E27+parametros_recargas!$L$87*'Plan mensual'!E28+parametros_recargas!$M$87*'Plan mensual'!E30</f>
        <v>115.754002078408</v>
      </c>
      <c r="D13" s="26" t="n">
        <f aca="false">parametros_recargas!$E$87*'Plan mensual'!F21+parametros_recargas!$F$87*'Plan mensual'!F22+parametros_recargas!$G$87*'Plan mensual'!F23+parametros_recargas!$H$87*'Plan mensual'!F24+parametros_recargas!$I$87*'Plan mensual'!F25+parametros_recargas!$J$87*'Plan mensual'!F26+parametros_recargas!$K$87*'Plan mensual'!F27+parametros_recargas!$L$87*'Plan mensual'!F28+parametros_recargas!$M$87*'Plan mensual'!F30</f>
        <v>94.5141542833335</v>
      </c>
      <c r="E13" s="26" t="n">
        <f aca="false">parametros_recargas!$E$87*'Plan mensual'!G21+parametros_recargas!$F$87*'Plan mensual'!G22+parametros_recargas!$G$87*'Plan mensual'!G23+parametros_recargas!$H$87*'Plan mensual'!G24+parametros_recargas!$I$87*'Plan mensual'!G25+parametros_recargas!$J$87*'Plan mensual'!G26+parametros_recargas!$K$87*'Plan mensual'!G27+parametros_recargas!$L$87*'Plan mensual'!G28+parametros_recargas!$M$87*'Plan mensual'!G30</f>
        <v>94.8669838161332</v>
      </c>
      <c r="F13" s="26" t="n">
        <f aca="false">parametros_recargas!$E$87*'Plan mensual'!H21+parametros_recargas!$F$87*'Plan mensual'!H22+parametros_recargas!$G$87*'Plan mensual'!H23+parametros_recargas!$H$87*'Plan mensual'!H24+parametros_recargas!$I$87*'Plan mensual'!H25+parametros_recargas!$J$87*'Plan mensual'!H26+parametros_recargas!$K$87*'Plan mensual'!H27+parametros_recargas!$L$87*'Plan mensual'!H28+parametros_recargas!$M$87*'Plan mensual'!H30</f>
        <v>94.8854024972359</v>
      </c>
      <c r="G13" s="26" t="n">
        <f aca="false">parametros_recargas!$E$87*'Plan mensual'!I21+parametros_recargas!$F$87*'Plan mensual'!I22+parametros_recargas!$G$87*'Plan mensual'!I23+parametros_recargas!$H$87*'Plan mensual'!I24+parametros_recargas!$I$87*'Plan mensual'!I25+parametros_recargas!$J$87*'Plan mensual'!I26+parametros_recargas!$K$87*'Plan mensual'!I27+parametros_recargas!$L$87*'Plan mensual'!I28+parametros_recargas!$M$87*'Plan mensual'!I30</f>
        <v>94.7176647395636</v>
      </c>
      <c r="H13" s="26" t="n">
        <f aca="false">parametros_recargas!$E$87*'Plan mensual'!J21+parametros_recargas!$F$87*'Plan mensual'!J22+parametros_recargas!$G$87*'Plan mensual'!J23+parametros_recargas!$H$87*'Plan mensual'!J24+parametros_recargas!$I$87*'Plan mensual'!J25+parametros_recargas!$J$87*'Plan mensual'!J26+parametros_recargas!$K$87*'Plan mensual'!J27+parametros_recargas!$L$87*'Plan mensual'!J28+parametros_recargas!$M$87*'Plan mensual'!J30</f>
        <v>95.2452588101094</v>
      </c>
      <c r="I13" s="26" t="n">
        <f aca="false">parametros_recargas!$E$87*'Plan mensual'!K21+parametros_recargas!$F$87*'Plan mensual'!K22+parametros_recargas!$G$87*'Plan mensual'!K23+parametros_recargas!$H$87*'Plan mensual'!K24+parametros_recargas!$I$87*'Plan mensual'!K25+parametros_recargas!$J$87*'Plan mensual'!K26+parametros_recargas!$K$87*'Plan mensual'!K27+parametros_recargas!$L$87*'Plan mensual'!K28+parametros_recargas!$M$87*'Plan mensual'!K30</f>
        <v>94.8481925027539</v>
      </c>
      <c r="J13" s="26" t="n">
        <f aca="false">parametros_recargas!$E$87*'Plan mensual'!L21+parametros_recargas!$F$87*'Plan mensual'!L22+parametros_recargas!$G$87*'Plan mensual'!L23+parametros_recargas!$H$87*'Plan mensual'!L24+parametros_recargas!$I$87*'Plan mensual'!L25+parametros_recargas!$J$87*'Plan mensual'!L26+parametros_recargas!$K$87*'Plan mensual'!L27+parametros_recargas!$L$87*'Plan mensual'!L28+parametros_recargas!$M$87*'Plan mensual'!L30</f>
        <v>94.9101026938592</v>
      </c>
      <c r="K13" s="26" t="n">
        <f aca="false">parametros_recargas!$E$87*'Plan mensual'!M21+parametros_recargas!$F$87*'Plan mensual'!M22+parametros_recargas!$G$87*'Plan mensual'!M23+parametros_recargas!$H$87*'Plan mensual'!M24+parametros_recargas!$I$87*'Plan mensual'!M25+parametros_recargas!$J$87*'Plan mensual'!M26+parametros_recargas!$K$87*'Plan mensual'!M27+parametros_recargas!$L$87*'Plan mensual'!M28+parametros_recargas!$M$87*'Plan mensual'!M30</f>
        <v>94.7054211076167</v>
      </c>
      <c r="L13" s="26" t="n">
        <f aca="false">parametros_recargas!$E$87*'Plan mensual'!N21+parametros_recargas!$F$87*'Plan mensual'!N22+parametros_recargas!$G$87*'Plan mensual'!N23+parametros_recargas!$H$87*'Plan mensual'!N24+parametros_recargas!$I$87*'Plan mensual'!N25+parametros_recargas!$J$87*'Plan mensual'!N26+parametros_recargas!$K$87*'Plan mensual'!N27+parametros_recargas!$L$87*'Plan mensual'!N28+parametros_recargas!$M$87*'Plan mensual'!N30</f>
        <v>93.8239860738061</v>
      </c>
      <c r="M13" s="26" t="n">
        <f aca="false">parametros_recargas!$E$87*'Plan mensual'!O21+parametros_recargas!$F$87*'Plan mensual'!O22+parametros_recargas!$G$87*'Plan mensual'!O23+parametros_recargas!$H$87*'Plan mensual'!O24+parametros_recargas!$I$87*'Plan mensual'!O25+parametros_recargas!$J$87*'Plan mensual'!O26+parametros_recargas!$K$87*'Plan mensual'!O27+parametros_recargas!$L$87*'Plan mensual'!O28+parametros_recargas!$M$87*'Plan mensual'!O30</f>
        <v>46.4973242974431</v>
      </c>
      <c r="N13" s="8" t="n">
        <f aca="false">SUM(B13:M13)</f>
        <v>1063.66083130606</v>
      </c>
      <c r="O13" s="27" t="n">
        <f aca="false">MAX(B13:M13)</f>
        <v>115.754002078408</v>
      </c>
      <c r="P13" s="13" t="n">
        <f aca="false">O13/parametros_recargas!$B$6</f>
        <v>0.771693347189388</v>
      </c>
    </row>
    <row r="14" customFormat="false" ht="15" hidden="false" customHeight="false" outlineLevel="0" collapsed="false">
      <c r="A14" s="10" t="str">
        <f aca="false">parametros_recargas!$B$88</f>
        <v>Secado</v>
      </c>
      <c r="B14" s="26" t="n">
        <f aca="false">parametros_recargas!$E$88*'Plan mensual'!D21+parametros_recargas!$F$88*'Plan mensual'!D22+parametros_recargas!$G$88*'Plan mensual'!D23+parametros_recargas!$H$88*'Plan mensual'!D24+parametros_recargas!$I$88*'Plan mensual'!D25+parametros_recargas!$J$88*'Plan mensual'!D26+parametros_recargas!$K$88*'Plan mensual'!D27+parametros_recargas!$L$88*'Plan mensual'!D28+parametros_recargas!$M$88*'Plan mensual'!D30</f>
        <v>42.0281318320902</v>
      </c>
      <c r="C14" s="26" t="n">
        <f aca="false">parametros_recargas!$E$88*'Plan mensual'!E21+parametros_recargas!$F$88*'Plan mensual'!E22+parametros_recargas!$G$88*'Plan mensual'!E23+parametros_recargas!$H$88*'Plan mensual'!E24+parametros_recargas!$I$88*'Plan mensual'!E25+parametros_recargas!$J$88*'Plan mensual'!E26+parametros_recargas!$K$88*'Plan mensual'!E27+parametros_recargas!$L$88*'Plan mensual'!E28+parametros_recargas!$M$88*'Plan mensual'!E30</f>
        <v>107.414863944612</v>
      </c>
      <c r="D14" s="26" t="n">
        <f aca="false">parametros_recargas!$E$88*'Plan mensual'!F21+parametros_recargas!$F$88*'Plan mensual'!F22+parametros_recargas!$G$88*'Plan mensual'!F23+parametros_recargas!$H$88*'Plan mensual'!F24+parametros_recargas!$I$88*'Plan mensual'!F25+parametros_recargas!$J$88*'Plan mensual'!F26+parametros_recargas!$K$88*'Plan mensual'!F27+parametros_recargas!$L$88*'Plan mensual'!F28+parametros_recargas!$M$88*'Plan mensual'!F30</f>
        <v>89.4748203447249</v>
      </c>
      <c r="E14" s="26" t="n">
        <f aca="false">parametros_recargas!$E$88*'Plan mensual'!G21+parametros_recargas!$F$88*'Plan mensual'!G22+parametros_recargas!$G$88*'Plan mensual'!G23+parametros_recargas!$H$88*'Plan mensual'!G24+parametros_recargas!$I$88*'Plan mensual'!G25+parametros_recargas!$J$88*'Plan mensual'!G26+parametros_recargas!$K$88*'Plan mensual'!G27+parametros_recargas!$L$88*'Plan mensual'!G28+parametros_recargas!$M$88*'Plan mensual'!G30</f>
        <v>89.8417630588366</v>
      </c>
      <c r="F14" s="26" t="n">
        <f aca="false">parametros_recargas!$E$88*'Plan mensual'!H21+parametros_recargas!$F$88*'Plan mensual'!H22+parametros_recargas!$G$88*'Plan mensual'!H23+parametros_recargas!$H$88*'Plan mensual'!H24+parametros_recargas!$I$88*'Plan mensual'!H25+parametros_recargas!$J$88*'Plan mensual'!H26+parametros_recargas!$K$88*'Plan mensual'!H27+parametros_recargas!$L$88*'Plan mensual'!H28+parametros_recargas!$M$88*'Plan mensual'!H30</f>
        <v>89.8609184871834</v>
      </c>
      <c r="G14" s="26" t="n">
        <f aca="false">parametros_recargas!$E$88*'Plan mensual'!I21+parametros_recargas!$F$88*'Plan mensual'!I22+parametros_recargas!$G$88*'Plan mensual'!I23+parametros_recargas!$H$88*'Plan mensual'!I24+parametros_recargas!$I$88*'Plan mensual'!I25+parametros_recargas!$J$88*'Plan mensual'!I26+parametros_recargas!$K$88*'Plan mensual'!I27+parametros_recargas!$L$88*'Plan mensual'!I28+parametros_recargas!$M$88*'Plan mensual'!I30</f>
        <v>89.6864712192042</v>
      </c>
      <c r="H14" s="26" t="n">
        <f aca="false">parametros_recargas!$E$88*'Plan mensual'!J21+parametros_recargas!$F$88*'Plan mensual'!J22+parametros_recargas!$G$88*'Plan mensual'!J23+parametros_recargas!$H$88*'Plan mensual'!J24+parametros_recargas!$I$88*'Plan mensual'!J25+parametros_recargas!$J$88*'Plan mensual'!J26+parametros_recargas!$K$88*'Plan mensual'!J27+parametros_recargas!$L$88*'Plan mensual'!J28+parametros_recargas!$M$88*'Plan mensual'!J30</f>
        <v>90.2351690525718</v>
      </c>
      <c r="I14" s="26" t="n">
        <f aca="false">parametros_recargas!$E$88*'Plan mensual'!K21+parametros_recargas!$F$88*'Plan mensual'!K22+parametros_recargas!$G$88*'Plan mensual'!K23+parametros_recargas!$H$88*'Plan mensual'!K24+parametros_recargas!$I$88*'Plan mensual'!K25+parametros_recargas!$J$88*'Plan mensual'!K26+parametros_recargas!$K$88*'Plan mensual'!K27+parametros_recargas!$L$88*'Plan mensual'!K28+parametros_recargas!$M$88*'Plan mensual'!K30</f>
        <v>89.822220092922</v>
      </c>
      <c r="J14" s="26" t="n">
        <f aca="false">parametros_recargas!$E$88*'Plan mensual'!L21+parametros_recargas!$F$88*'Plan mensual'!L22+parametros_recargas!$G$88*'Plan mensual'!L23+parametros_recargas!$H$88*'Plan mensual'!L24+parametros_recargas!$I$88*'Plan mensual'!L25+parametros_recargas!$J$88*'Plan mensual'!L26+parametros_recargas!$K$88*'Plan mensual'!L27+parametros_recargas!$L$88*'Plan mensual'!L28+parametros_recargas!$M$88*'Plan mensual'!L30</f>
        <v>89.8866066916716</v>
      </c>
      <c r="K14" s="26" t="n">
        <f aca="false">parametros_recargas!$E$88*'Plan mensual'!M21+parametros_recargas!$F$88*'Plan mensual'!M22+parametros_recargas!$G$88*'Plan mensual'!M23+parametros_recargas!$H$88*'Plan mensual'!M24+parametros_recargas!$I$88*'Plan mensual'!M25+parametros_recargas!$J$88*'Plan mensual'!M26+parametros_recargas!$K$88*'Plan mensual'!M27+parametros_recargas!$L$88*'Plan mensual'!M28+parametros_recargas!$M$88*'Plan mensual'!M30</f>
        <v>89.6737378419795</v>
      </c>
      <c r="L14" s="26" t="n">
        <f aca="false">parametros_recargas!$E$88*'Plan mensual'!N21+parametros_recargas!$F$88*'Plan mensual'!N22+parametros_recargas!$G$88*'Plan mensual'!N23+parametros_recargas!$H$88*'Plan mensual'!N24+parametros_recargas!$I$88*'Plan mensual'!N25+parametros_recargas!$J$88*'Plan mensual'!N26+parametros_recargas!$K$88*'Plan mensual'!N27+parametros_recargas!$L$88*'Plan mensual'!N28+parametros_recargas!$M$88*'Plan mensual'!N30</f>
        <v>88.7570454068164</v>
      </c>
      <c r="M14" s="26" t="n">
        <f aca="false">parametros_recargas!$E$88*'Plan mensual'!O21+parametros_recargas!$F$88*'Plan mensual'!O22+parametros_recargas!$G$88*'Plan mensual'!O23+parametros_recargas!$H$88*'Plan mensual'!O24+parametros_recargas!$I$88*'Plan mensual'!O25+parametros_recargas!$J$88*'Plan mensual'!O26+parametros_recargas!$K$88*'Plan mensual'!O27+parametros_recargas!$L$88*'Plan mensual'!O28+parametros_recargas!$M$88*'Plan mensual'!O30</f>
        <v>39.5373171593989</v>
      </c>
      <c r="N14" s="8" t="n">
        <f aca="false">SUM(B14:M14)</f>
        <v>996.219065132012</v>
      </c>
      <c r="O14" s="27" t="n">
        <f aca="false">MAX(B14:M14)</f>
        <v>107.414863944612</v>
      </c>
      <c r="P14" s="13" t="n">
        <f aca="false">O14/parametros_recargas!$B$6</f>
        <v>0.716099092964083</v>
      </c>
    </row>
    <row r="15" customFormat="false" ht="15" hidden="false" customHeight="false" outlineLevel="0" collapsed="false">
      <c r="A15" s="10" t="str">
        <f aca="false">parametros_recargas!$B$89</f>
        <v>Inspección interior con videoscopio</v>
      </c>
      <c r="B15" s="26" t="n">
        <f aca="false">parametros_recargas!$E$89*'Plan mensual'!D21+parametros_recargas!$F$89*'Plan mensual'!D22+parametros_recargas!$G$89*'Plan mensual'!D23+parametros_recargas!$H$89*'Plan mensual'!D24+parametros_recargas!$I$89*'Plan mensual'!D25+parametros_recargas!$J$89*'Plan mensual'!D26+parametros_recargas!$K$89*'Plan mensual'!D27+parametros_recargas!$L$89*'Plan mensual'!D28+parametros_recargas!$M$89*'Plan mensual'!D30</f>
        <v>42.0281318320902</v>
      </c>
      <c r="C15" s="26" t="n">
        <f aca="false">parametros_recargas!$E$89*'Plan mensual'!E21+parametros_recargas!$F$89*'Plan mensual'!E22+parametros_recargas!$G$89*'Plan mensual'!E23+parametros_recargas!$H$89*'Plan mensual'!E24+parametros_recargas!$I$89*'Plan mensual'!E25+parametros_recargas!$J$89*'Plan mensual'!E26+parametros_recargas!$K$89*'Plan mensual'!E27+parametros_recargas!$L$89*'Plan mensual'!E28+parametros_recargas!$M$89*'Plan mensual'!E30</f>
        <v>107.414863944612</v>
      </c>
      <c r="D15" s="26" t="n">
        <f aca="false">parametros_recargas!$E$89*'Plan mensual'!F21+parametros_recargas!$F$89*'Plan mensual'!F22+parametros_recargas!$G$89*'Plan mensual'!F23+parametros_recargas!$H$89*'Plan mensual'!F24+parametros_recargas!$I$89*'Plan mensual'!F25+parametros_recargas!$J$89*'Plan mensual'!F26+parametros_recargas!$K$89*'Plan mensual'!F27+parametros_recargas!$L$89*'Plan mensual'!F28+parametros_recargas!$M$89*'Plan mensual'!F30</f>
        <v>89.4748203447249</v>
      </c>
      <c r="E15" s="26" t="n">
        <f aca="false">parametros_recargas!$E$89*'Plan mensual'!G21+parametros_recargas!$F$89*'Plan mensual'!G22+parametros_recargas!$G$89*'Plan mensual'!G23+parametros_recargas!$H$89*'Plan mensual'!G24+parametros_recargas!$I$89*'Plan mensual'!G25+parametros_recargas!$J$89*'Plan mensual'!G26+parametros_recargas!$K$89*'Plan mensual'!G27+parametros_recargas!$L$89*'Plan mensual'!G28+parametros_recargas!$M$89*'Plan mensual'!G30</f>
        <v>89.8417630588366</v>
      </c>
      <c r="F15" s="26" t="n">
        <f aca="false">parametros_recargas!$E$89*'Plan mensual'!H21+parametros_recargas!$F$89*'Plan mensual'!H22+parametros_recargas!$G$89*'Plan mensual'!H23+parametros_recargas!$H$89*'Plan mensual'!H24+parametros_recargas!$I$89*'Plan mensual'!H25+parametros_recargas!$J$89*'Plan mensual'!H26+parametros_recargas!$K$89*'Plan mensual'!H27+parametros_recargas!$L$89*'Plan mensual'!H28+parametros_recargas!$M$89*'Plan mensual'!H30</f>
        <v>89.8609184871834</v>
      </c>
      <c r="G15" s="26" t="n">
        <f aca="false">parametros_recargas!$E$89*'Plan mensual'!I21+parametros_recargas!$F$89*'Plan mensual'!I22+parametros_recargas!$G$89*'Plan mensual'!I23+parametros_recargas!$H$89*'Plan mensual'!I24+parametros_recargas!$I$89*'Plan mensual'!I25+parametros_recargas!$J$89*'Plan mensual'!I26+parametros_recargas!$K$89*'Plan mensual'!I27+parametros_recargas!$L$89*'Plan mensual'!I28+parametros_recargas!$M$89*'Plan mensual'!I30</f>
        <v>89.6864712192042</v>
      </c>
      <c r="H15" s="26" t="n">
        <f aca="false">parametros_recargas!$E$89*'Plan mensual'!J21+parametros_recargas!$F$89*'Plan mensual'!J22+parametros_recargas!$G$89*'Plan mensual'!J23+parametros_recargas!$H$89*'Plan mensual'!J24+parametros_recargas!$I$89*'Plan mensual'!J25+parametros_recargas!$J$89*'Plan mensual'!J26+parametros_recargas!$K$89*'Plan mensual'!J27+parametros_recargas!$L$89*'Plan mensual'!J28+parametros_recargas!$M$89*'Plan mensual'!J30</f>
        <v>90.2351690525718</v>
      </c>
      <c r="I15" s="26" t="n">
        <f aca="false">parametros_recargas!$E$89*'Plan mensual'!K21+parametros_recargas!$F$89*'Plan mensual'!K22+parametros_recargas!$G$89*'Plan mensual'!K23+parametros_recargas!$H$89*'Plan mensual'!K24+parametros_recargas!$I$89*'Plan mensual'!K25+parametros_recargas!$J$89*'Plan mensual'!K26+parametros_recargas!$K$89*'Plan mensual'!K27+parametros_recargas!$L$89*'Plan mensual'!K28+parametros_recargas!$M$89*'Plan mensual'!K30</f>
        <v>89.822220092922</v>
      </c>
      <c r="J15" s="26" t="n">
        <f aca="false">parametros_recargas!$E$89*'Plan mensual'!L21+parametros_recargas!$F$89*'Plan mensual'!L22+parametros_recargas!$G$89*'Plan mensual'!L23+parametros_recargas!$H$89*'Plan mensual'!L24+parametros_recargas!$I$89*'Plan mensual'!L25+parametros_recargas!$J$89*'Plan mensual'!L26+parametros_recargas!$K$89*'Plan mensual'!L27+parametros_recargas!$L$89*'Plan mensual'!L28+parametros_recargas!$M$89*'Plan mensual'!L30</f>
        <v>89.8866066916716</v>
      </c>
      <c r="K15" s="26" t="n">
        <f aca="false">parametros_recargas!$E$89*'Plan mensual'!M21+parametros_recargas!$F$89*'Plan mensual'!M22+parametros_recargas!$G$89*'Plan mensual'!M23+parametros_recargas!$H$89*'Plan mensual'!M24+parametros_recargas!$I$89*'Plan mensual'!M25+parametros_recargas!$J$89*'Plan mensual'!M26+parametros_recargas!$K$89*'Plan mensual'!M27+parametros_recargas!$L$89*'Plan mensual'!M28+parametros_recargas!$M$89*'Plan mensual'!M30</f>
        <v>89.6737378419795</v>
      </c>
      <c r="L15" s="26" t="n">
        <f aca="false">parametros_recargas!$E$89*'Plan mensual'!N21+parametros_recargas!$F$89*'Plan mensual'!N22+parametros_recargas!$G$89*'Plan mensual'!N23+parametros_recargas!$H$89*'Plan mensual'!N24+parametros_recargas!$I$89*'Plan mensual'!N25+parametros_recargas!$J$89*'Plan mensual'!N26+parametros_recargas!$K$89*'Plan mensual'!N27+parametros_recargas!$L$89*'Plan mensual'!N28+parametros_recargas!$M$89*'Plan mensual'!N30</f>
        <v>88.7570454068164</v>
      </c>
      <c r="M15" s="26" t="n">
        <f aca="false">parametros_recargas!$E$89*'Plan mensual'!O21+parametros_recargas!$F$89*'Plan mensual'!O22+parametros_recargas!$G$89*'Plan mensual'!O23+parametros_recargas!$H$89*'Plan mensual'!O24+parametros_recargas!$I$89*'Plan mensual'!O25+parametros_recargas!$J$89*'Plan mensual'!O26+parametros_recargas!$K$89*'Plan mensual'!O27+parametros_recargas!$L$89*'Plan mensual'!O28+parametros_recargas!$M$89*'Plan mensual'!O30</f>
        <v>39.5373171593989</v>
      </c>
      <c r="N15" s="8" t="n">
        <f aca="false">SUM(B15:M15)</f>
        <v>996.219065132012</v>
      </c>
      <c r="O15" s="27" t="n">
        <f aca="false">MAX(B15:M15)</f>
        <v>107.414863944612</v>
      </c>
      <c r="P15" s="13" t="n">
        <f aca="false">O15/parametros_recargas!$B$6</f>
        <v>0.716099092964083</v>
      </c>
    </row>
    <row r="16" customFormat="false" ht="15" hidden="false" customHeight="false" outlineLevel="0" collapsed="false">
      <c r="A16" s="10" t="str">
        <f aca="false">parametros_recargas!$B$90</f>
        <v>Pintura</v>
      </c>
      <c r="B16" s="26" t="n">
        <f aca="false">parametros_recargas!$E$90*'Plan mensual'!D21+parametros_recargas!$F$90*'Plan mensual'!D22+parametros_recargas!$G$90*'Plan mensual'!D23+parametros_recargas!$H$90*'Plan mensual'!D24+parametros_recargas!$I$90*'Plan mensual'!D25+parametros_recargas!$J$90*'Plan mensual'!D26+parametros_recargas!$K$90*'Plan mensual'!D27+parametros_recargas!$L$90*'Plan mensual'!D28+parametros_recargas!$M$90*'Plan mensual'!D30</f>
        <v>26.6423169973404</v>
      </c>
      <c r="C16" s="26" t="n">
        <f aca="false">parametros_recargas!$E$90*'Plan mensual'!E21+parametros_recargas!$F$90*'Plan mensual'!E22+parametros_recargas!$G$90*'Plan mensual'!E23+parametros_recargas!$H$90*'Plan mensual'!E24+parametros_recargas!$I$90*'Plan mensual'!E25+parametros_recargas!$J$90*'Plan mensual'!E26+parametros_recargas!$K$90*'Plan mensual'!E27+parametros_recargas!$L$90*'Plan mensual'!E28+parametros_recargas!$M$90*'Plan mensual'!E30</f>
        <v>65.5011914980817</v>
      </c>
      <c r="D16" s="26" t="n">
        <f aca="false">parametros_recargas!$E$90*'Plan mensual'!F21+parametros_recargas!$F$90*'Plan mensual'!F22+parametros_recargas!$G$90*'Plan mensual'!F23+parametros_recargas!$H$90*'Plan mensual'!F24+parametros_recargas!$I$90*'Plan mensual'!F25+parametros_recargas!$J$90*'Plan mensual'!F26+parametros_recargas!$K$90*'Plan mensual'!F27+parametros_recargas!$L$90*'Plan mensual'!F28+parametros_recargas!$M$90*'Plan mensual'!F30</f>
        <v>54.0154065238604</v>
      </c>
      <c r="E16" s="26" t="n">
        <f aca="false">parametros_recargas!$E$90*'Plan mensual'!G21+parametros_recargas!$F$90*'Plan mensual'!G22+parametros_recargas!$G$90*'Plan mensual'!G23+parametros_recargas!$H$90*'Plan mensual'!G24+parametros_recargas!$I$90*'Plan mensual'!G25+parametros_recargas!$J$90*'Plan mensual'!G26+parametros_recargas!$K$90*'Plan mensual'!G27+parametros_recargas!$L$90*'Plan mensual'!G28+parametros_recargas!$M$90*'Plan mensual'!G30</f>
        <v>54.2271042435402</v>
      </c>
      <c r="F16" s="26" t="n">
        <f aca="false">parametros_recargas!$E$90*'Plan mensual'!H21+parametros_recargas!$F$90*'Plan mensual'!H22+parametros_recargas!$G$90*'Plan mensual'!H23+parametros_recargas!$H$90*'Plan mensual'!H24+parametros_recargas!$I$90*'Plan mensual'!H25+parametros_recargas!$J$90*'Plan mensual'!H26+parametros_recargas!$K$90*'Plan mensual'!H27+parametros_recargas!$L$90*'Plan mensual'!H28+parametros_recargas!$M$90*'Plan mensual'!H30</f>
        <v>54.2381554522018</v>
      </c>
      <c r="G16" s="26" t="n">
        <f aca="false">parametros_recargas!$E$90*'Plan mensual'!I21+parametros_recargas!$F$90*'Plan mensual'!I22+parametros_recargas!$G$90*'Plan mensual'!I23+parametros_recargas!$H$90*'Plan mensual'!I24+parametros_recargas!$I$90*'Plan mensual'!I25+parametros_recargas!$J$90*'Plan mensual'!I26+parametros_recargas!$K$90*'Plan mensual'!I27+parametros_recargas!$L$90*'Plan mensual'!I28+parametros_recargas!$M$90*'Plan mensual'!I30</f>
        <v>54.1375127975985</v>
      </c>
      <c r="H16" s="26" t="n">
        <f aca="false">parametros_recargas!$E$90*'Plan mensual'!J21+parametros_recargas!$F$90*'Plan mensual'!J22+parametros_recargas!$G$90*'Plan mensual'!J23+parametros_recargas!$H$90*'Plan mensual'!J24+parametros_recargas!$I$90*'Plan mensual'!J25+parametros_recargas!$J$90*'Plan mensual'!J26+parametros_recargas!$K$90*'Plan mensual'!J27+parametros_recargas!$L$90*'Plan mensual'!J28+parametros_recargas!$M$90*'Plan mensual'!J30</f>
        <v>54.454069239926</v>
      </c>
      <c r="I16" s="26" t="n">
        <f aca="false">parametros_recargas!$E$90*'Plan mensual'!K21+parametros_recargas!$F$90*'Plan mensual'!K22+parametros_recargas!$G$90*'Plan mensual'!K23+parametros_recargas!$H$90*'Plan mensual'!K24+parametros_recargas!$I$90*'Plan mensual'!K25+parametros_recargas!$J$90*'Plan mensual'!K26+parametros_recargas!$K$90*'Plan mensual'!K27+parametros_recargas!$L$90*'Plan mensual'!K28+parametros_recargas!$M$90*'Plan mensual'!K30</f>
        <v>54.2158294555126</v>
      </c>
      <c r="J16" s="26" t="n">
        <f aca="false">parametros_recargas!$E$90*'Plan mensual'!L21+parametros_recargas!$F$90*'Plan mensual'!L22+parametros_recargas!$G$90*'Plan mensual'!L23+parametros_recargas!$H$90*'Plan mensual'!L24+parametros_recargas!$I$90*'Plan mensual'!L25+parametros_recargas!$J$90*'Plan mensual'!L26+parametros_recargas!$K$90*'Plan mensual'!L27+parametros_recargas!$L$90*'Plan mensual'!L28+parametros_recargas!$M$90*'Plan mensual'!L30</f>
        <v>54.2529755701758</v>
      </c>
      <c r="K16" s="26" t="n">
        <f aca="false">parametros_recargas!$E$90*'Plan mensual'!M21+parametros_recargas!$F$90*'Plan mensual'!M22+parametros_recargas!$G$90*'Plan mensual'!M23+parametros_recargas!$H$90*'Plan mensual'!M24+parametros_recargas!$I$90*'Plan mensual'!M25+parametros_recargas!$J$90*'Plan mensual'!M26+parametros_recargas!$K$90*'Plan mensual'!M27+parametros_recargas!$L$90*'Plan mensual'!M28+parametros_recargas!$M$90*'Plan mensual'!M30</f>
        <v>54.1301666184304</v>
      </c>
      <c r="L16" s="26" t="n">
        <f aca="false">parametros_recargas!$E$90*'Plan mensual'!N21+parametros_recargas!$F$90*'Plan mensual'!N22+parametros_recargas!$G$90*'Plan mensual'!N23+parametros_recargas!$H$90*'Plan mensual'!N24+parametros_recargas!$I$90*'Plan mensual'!N25+parametros_recargas!$J$90*'Plan mensual'!N26+parametros_recargas!$K$90*'Plan mensual'!N27+parametros_recargas!$L$90*'Plan mensual'!N28+parametros_recargas!$M$90*'Plan mensual'!N30</f>
        <v>53.6013055981439</v>
      </c>
      <c r="M16" s="26" t="n">
        <f aca="false">parametros_recargas!$E$90*'Plan mensual'!O21+parametros_recargas!$F$90*'Plan mensual'!O22+parametros_recargas!$G$90*'Plan mensual'!O23+parametros_recargas!$H$90*'Plan mensual'!O24+parametros_recargas!$I$90*'Plan mensual'!O25+parametros_recargas!$J$90*'Plan mensual'!O26+parametros_recargas!$K$90*'Plan mensual'!O27+parametros_recargas!$L$90*'Plan mensual'!O28+parametros_recargas!$M$90*'Plan mensual'!O30</f>
        <v>25.2053085323262</v>
      </c>
      <c r="N16" s="8" t="n">
        <f aca="false">SUM(B16:M16)</f>
        <v>604.621342527138</v>
      </c>
      <c r="O16" s="27" t="n">
        <f aca="false">MAX(B16:M16)</f>
        <v>65.5011914980817</v>
      </c>
      <c r="P16" s="13" t="n">
        <f aca="false">O16/parametros_recargas!$B$6</f>
        <v>0.436674609987211</v>
      </c>
    </row>
    <row r="17" customFormat="false" ht="15" hidden="false" customHeight="false" outlineLevel="0" collapsed="false">
      <c r="A17" s="10" t="str">
        <f aca="false">parametros_recargas!$B$91</f>
        <v>Carga de polvo ABC</v>
      </c>
      <c r="B17" s="26" t="n">
        <f aca="false">parametros_recargas!$E$91*'Plan mensual'!D21+parametros_recargas!$F$91*'Plan mensual'!D22+parametros_recargas!$G$91*'Plan mensual'!D23+parametros_recargas!$H$91*'Plan mensual'!D24+parametros_recargas!$I$91*'Plan mensual'!D25+parametros_recargas!$J$91*'Plan mensual'!D26+parametros_recargas!$K$91*'Plan mensual'!D27+parametros_recargas!$L$91*'Plan mensual'!D28+parametros_recargas!$M$91*'Plan mensual'!D30</f>
        <v>140.798437109602</v>
      </c>
      <c r="C17" s="26" t="n">
        <f aca="false">parametros_recargas!$E$91*'Plan mensual'!E21+parametros_recargas!$F$91*'Plan mensual'!E22+parametros_recargas!$G$91*'Plan mensual'!E23+parametros_recargas!$H$91*'Plan mensual'!E24+parametros_recargas!$I$91*'Plan mensual'!E25+parametros_recargas!$J$91*'Plan mensual'!E26+parametros_recargas!$K$91*'Plan mensual'!E27+parametros_recargas!$L$91*'Plan mensual'!E28+parametros_recargas!$M$91*'Plan mensual'!E30</f>
        <v>376.917533919883</v>
      </c>
      <c r="D17" s="26" t="n">
        <f aca="false">parametros_recargas!$E$91*'Plan mensual'!F21+parametros_recargas!$F$91*'Plan mensual'!F22+parametros_recargas!$G$91*'Plan mensual'!F23+parametros_recargas!$H$91*'Plan mensual'!F24+parametros_recargas!$I$91*'Plan mensual'!F25+parametros_recargas!$J$91*'Plan mensual'!F26+parametros_recargas!$K$91*'Plan mensual'!F27+parametros_recargas!$L$91*'Plan mensual'!F28+parametros_recargas!$M$91*'Plan mensual'!F30</f>
        <v>322.992917697236</v>
      </c>
      <c r="E17" s="26" t="n">
        <f aca="false">parametros_recargas!$E$91*'Plan mensual'!G21+parametros_recargas!$F$91*'Plan mensual'!G22+parametros_recargas!$G$91*'Plan mensual'!G23+parametros_recargas!$H$91*'Plan mensual'!G24+parametros_recargas!$I$91*'Plan mensual'!G25+parametros_recargas!$J$91*'Plan mensual'!G26+parametros_recargas!$K$91*'Plan mensual'!G27+parametros_recargas!$L$91*'Plan mensual'!G28+parametros_recargas!$M$91*'Plan mensual'!G30</f>
        <v>324.404235828434</v>
      </c>
      <c r="F17" s="26" t="n">
        <f aca="false">parametros_recargas!$E$91*'Plan mensual'!H21+parametros_recargas!$F$91*'Plan mensual'!H22+parametros_recargas!$G$91*'Plan mensual'!H23+parametros_recargas!$H$91*'Plan mensual'!H24+parametros_recargas!$I$91*'Plan mensual'!H25+parametros_recargas!$J$91*'Plan mensual'!H26+parametros_recargas!$K$91*'Plan mensual'!H27+parametros_recargas!$L$91*'Plan mensual'!H28+parametros_recargas!$M$91*'Plan mensual'!H30</f>
        <v>324.337910552845</v>
      </c>
      <c r="G17" s="26" t="n">
        <f aca="false">parametros_recargas!$E$91*'Plan mensual'!I21+parametros_recargas!$F$91*'Plan mensual'!I22+parametros_recargas!$G$91*'Plan mensual'!I23+parametros_recargas!$H$91*'Plan mensual'!I24+parametros_recargas!$I$91*'Plan mensual'!I25+parametros_recargas!$J$91*'Plan mensual'!I26+parametros_recargas!$K$91*'Plan mensual'!I27+parametros_recargas!$L$91*'Plan mensual'!I28+parametros_recargas!$M$91*'Plan mensual'!I30</f>
        <v>323.272525367156</v>
      </c>
      <c r="H17" s="26" t="n">
        <f aca="false">parametros_recargas!$E$91*'Plan mensual'!J21+parametros_recargas!$F$91*'Plan mensual'!J22+parametros_recargas!$G$91*'Plan mensual'!J23+parametros_recargas!$H$91*'Plan mensual'!J24+parametros_recargas!$I$91*'Plan mensual'!J25+parametros_recargas!$J$91*'Plan mensual'!J26+parametros_recargas!$K$91*'Plan mensual'!J27+parametros_recargas!$L$91*'Plan mensual'!J28+parametros_recargas!$M$91*'Plan mensual'!J30</f>
        <v>325.777335804339</v>
      </c>
      <c r="I17" s="26" t="n">
        <f aca="false">parametros_recargas!$E$91*'Plan mensual'!K21+parametros_recargas!$F$91*'Plan mensual'!K22+parametros_recargas!$G$91*'Plan mensual'!K23+parametros_recargas!$H$91*'Plan mensual'!K24+parametros_recargas!$I$91*'Plan mensual'!K25+parametros_recargas!$J$91*'Plan mensual'!K26+parametros_recargas!$K$91*'Plan mensual'!K27+parametros_recargas!$L$91*'Plan mensual'!K28+parametros_recargas!$M$91*'Plan mensual'!K30</f>
        <v>324.189070574917</v>
      </c>
      <c r="J17" s="26" t="n">
        <f aca="false">parametros_recargas!$E$91*'Plan mensual'!L21+parametros_recargas!$F$91*'Plan mensual'!L22+parametros_recargas!$G$91*'Plan mensual'!L23+parametros_recargas!$H$91*'Plan mensual'!L24+parametros_recargas!$I$91*'Plan mensual'!L25+parametros_recargas!$J$91*'Plan mensual'!L26+parametros_recargas!$K$91*'Plan mensual'!L27+parametros_recargas!$L$91*'Plan mensual'!L28+parametros_recargas!$M$91*'Plan mensual'!L30</f>
        <v>324.309494261838</v>
      </c>
      <c r="K17" s="26" t="n">
        <f aca="false">parametros_recargas!$E$91*'Plan mensual'!M21+parametros_recargas!$F$91*'Plan mensual'!M22+parametros_recargas!$G$91*'Plan mensual'!M23+parametros_recargas!$H$91*'Plan mensual'!M24+parametros_recargas!$I$91*'Plan mensual'!M25+parametros_recargas!$J$91*'Plan mensual'!M26+parametros_recargas!$K$91*'Plan mensual'!M27+parametros_recargas!$L$91*'Plan mensual'!M28+parametros_recargas!$M$91*'Plan mensual'!M30</f>
        <v>323.096333761869</v>
      </c>
      <c r="L17" s="26" t="n">
        <f aca="false">parametros_recargas!$E$91*'Plan mensual'!N21+parametros_recargas!$F$91*'Plan mensual'!N22+parametros_recargas!$G$91*'Plan mensual'!N23+parametros_recargas!$H$91*'Plan mensual'!N24+parametros_recargas!$I$91*'Plan mensual'!N25+parametros_recargas!$J$91*'Plan mensual'!N26+parametros_recargas!$K$91*'Plan mensual'!N27+parametros_recargas!$L$91*'Plan mensual'!N28+parametros_recargas!$M$91*'Plan mensual'!N30</f>
        <v>319.303376549126</v>
      </c>
      <c r="M17" s="26" t="n">
        <f aca="false">parametros_recargas!$E$91*'Plan mensual'!O21+parametros_recargas!$F$91*'Plan mensual'!O22+parametros_recargas!$G$91*'Plan mensual'!O23+parametros_recargas!$H$91*'Plan mensual'!O24+parametros_recargas!$I$91*'Plan mensual'!O25+parametros_recargas!$J$91*'Plan mensual'!O26+parametros_recargas!$K$91*'Plan mensual'!O27+parametros_recargas!$L$91*'Plan mensual'!O28+parametros_recargas!$M$91*'Plan mensual'!O30</f>
        <v>131.371163598674</v>
      </c>
      <c r="N17" s="8" t="n">
        <f aca="false">SUM(B17:M17)</f>
        <v>3560.77033502592</v>
      </c>
      <c r="O17" s="27" t="n">
        <f aca="false">MAX(B17:M17)</f>
        <v>376.917533919883</v>
      </c>
      <c r="P17" s="13" t="n">
        <f aca="false">O17/parametros_recargas!$B$6</f>
        <v>2.51278355946589</v>
      </c>
    </row>
    <row r="18" customFormat="false" ht="15" hidden="false" customHeight="false" outlineLevel="0" collapsed="false">
      <c r="A18" s="10" t="str">
        <f aca="false">parametros_recargas!$B$92</f>
        <v>Carga de polvo BC</v>
      </c>
      <c r="B18" s="26" t="n">
        <f aca="false">parametros_recargas!$E$92*'Plan mensual'!D21+parametros_recargas!$F$92*'Plan mensual'!D22+parametros_recargas!$G$92*'Plan mensual'!D23+parametros_recargas!$H$92*'Plan mensual'!D24+parametros_recargas!$I$92*'Plan mensual'!D25+parametros_recargas!$J$92*'Plan mensual'!D26+parametros_recargas!$K$92*'Plan mensual'!D27+parametros_recargas!$L$92*'Plan mensual'!D28+parametros_recargas!$M$92*'Plan mensual'!D30</f>
        <v>0.315499412014609</v>
      </c>
      <c r="C18" s="26" t="n">
        <f aca="false">parametros_recargas!$E$92*'Plan mensual'!E21+parametros_recargas!$F$92*'Plan mensual'!E22+parametros_recargas!$G$92*'Plan mensual'!E23+parametros_recargas!$H$92*'Plan mensual'!E24+parametros_recargas!$I$92*'Plan mensual'!E25+parametros_recargas!$J$92*'Plan mensual'!E26+parametros_recargas!$K$92*'Plan mensual'!E27+parametros_recargas!$L$92*'Plan mensual'!E28+parametros_recargas!$M$92*'Plan mensual'!E30</f>
        <v>0.315499412014609</v>
      </c>
      <c r="D18" s="26" t="n">
        <f aca="false">parametros_recargas!$E$92*'Plan mensual'!F21+parametros_recargas!$F$92*'Plan mensual'!F22+parametros_recargas!$G$92*'Plan mensual'!F23+parametros_recargas!$H$92*'Plan mensual'!F24+parametros_recargas!$I$92*'Plan mensual'!F25+parametros_recargas!$J$92*'Plan mensual'!F26+parametros_recargas!$K$92*'Plan mensual'!F27+parametros_recargas!$L$92*'Plan mensual'!F28+parametros_recargas!$M$92*'Plan mensual'!F30</f>
        <v>0.315499412014609</v>
      </c>
      <c r="E18" s="26" t="n">
        <f aca="false">parametros_recargas!$E$92*'Plan mensual'!G21+parametros_recargas!$F$92*'Plan mensual'!G22+parametros_recargas!$G$92*'Plan mensual'!G23+parametros_recargas!$H$92*'Plan mensual'!G24+parametros_recargas!$I$92*'Plan mensual'!G25+parametros_recargas!$J$92*'Plan mensual'!G26+parametros_recargas!$K$92*'Plan mensual'!G27+parametros_recargas!$L$92*'Plan mensual'!G28+parametros_recargas!$M$92*'Plan mensual'!G30</f>
        <v>0.315499412014609</v>
      </c>
      <c r="F18" s="26" t="n">
        <f aca="false">parametros_recargas!$E$92*'Plan mensual'!H21+parametros_recargas!$F$92*'Plan mensual'!H22+parametros_recargas!$G$92*'Plan mensual'!H23+parametros_recargas!$H$92*'Plan mensual'!H24+parametros_recargas!$I$92*'Plan mensual'!H25+parametros_recargas!$J$92*'Plan mensual'!H26+parametros_recargas!$K$92*'Plan mensual'!H27+parametros_recargas!$L$92*'Plan mensual'!H28+parametros_recargas!$M$92*'Plan mensual'!H30</f>
        <v>0.315499412014609</v>
      </c>
      <c r="G18" s="26" t="n">
        <f aca="false">parametros_recargas!$E$92*'Plan mensual'!I21+parametros_recargas!$F$92*'Plan mensual'!I22+parametros_recargas!$G$92*'Plan mensual'!I23+parametros_recargas!$H$92*'Plan mensual'!I24+parametros_recargas!$I$92*'Plan mensual'!I25+parametros_recargas!$J$92*'Plan mensual'!I26+parametros_recargas!$K$92*'Plan mensual'!I27+parametros_recargas!$L$92*'Plan mensual'!I28+parametros_recargas!$M$92*'Plan mensual'!I30</f>
        <v>0.315499412014609</v>
      </c>
      <c r="H18" s="26" t="n">
        <f aca="false">parametros_recargas!$E$92*'Plan mensual'!J21+parametros_recargas!$F$92*'Plan mensual'!J22+parametros_recargas!$G$92*'Plan mensual'!J23+parametros_recargas!$H$92*'Plan mensual'!J24+parametros_recargas!$I$92*'Plan mensual'!J25+parametros_recargas!$J$92*'Plan mensual'!J26+parametros_recargas!$K$92*'Plan mensual'!J27+parametros_recargas!$L$92*'Plan mensual'!J28+parametros_recargas!$M$92*'Plan mensual'!J30</f>
        <v>0.315499412014609</v>
      </c>
      <c r="I18" s="26" t="n">
        <f aca="false">parametros_recargas!$E$92*'Plan mensual'!K21+parametros_recargas!$F$92*'Plan mensual'!K22+parametros_recargas!$G$92*'Plan mensual'!K23+parametros_recargas!$H$92*'Plan mensual'!K24+parametros_recargas!$I$92*'Plan mensual'!K25+parametros_recargas!$J$92*'Plan mensual'!K26+parametros_recargas!$K$92*'Plan mensual'!K27+parametros_recargas!$L$92*'Plan mensual'!K28+parametros_recargas!$M$92*'Plan mensual'!K30</f>
        <v>0.315499412014609</v>
      </c>
      <c r="J18" s="26" t="n">
        <f aca="false">parametros_recargas!$E$92*'Plan mensual'!L21+parametros_recargas!$F$92*'Plan mensual'!L22+parametros_recargas!$G$92*'Plan mensual'!L23+parametros_recargas!$H$92*'Plan mensual'!L24+parametros_recargas!$I$92*'Plan mensual'!L25+parametros_recargas!$J$92*'Plan mensual'!L26+parametros_recargas!$K$92*'Plan mensual'!L27+parametros_recargas!$L$92*'Plan mensual'!L28+parametros_recargas!$M$92*'Plan mensual'!L30</f>
        <v>0.315499412014609</v>
      </c>
      <c r="K18" s="26" t="n">
        <f aca="false">parametros_recargas!$E$92*'Plan mensual'!M21+parametros_recargas!$F$92*'Plan mensual'!M22+parametros_recargas!$G$92*'Plan mensual'!M23+parametros_recargas!$H$92*'Plan mensual'!M24+parametros_recargas!$I$92*'Plan mensual'!M25+parametros_recargas!$J$92*'Plan mensual'!M26+parametros_recargas!$K$92*'Plan mensual'!M27+parametros_recargas!$L$92*'Plan mensual'!M28+parametros_recargas!$M$92*'Plan mensual'!M30</f>
        <v>0.315499412014609</v>
      </c>
      <c r="L18" s="26" t="n">
        <f aca="false">parametros_recargas!$E$92*'Plan mensual'!N21+parametros_recargas!$F$92*'Plan mensual'!N22+parametros_recargas!$G$92*'Plan mensual'!N23+parametros_recargas!$H$92*'Plan mensual'!N24+parametros_recargas!$I$92*'Plan mensual'!N25+parametros_recargas!$J$92*'Plan mensual'!N26+parametros_recargas!$K$92*'Plan mensual'!N27+parametros_recargas!$L$92*'Plan mensual'!N28+parametros_recargas!$M$92*'Plan mensual'!N30</f>
        <v>0.315499412014609</v>
      </c>
      <c r="M18" s="26" t="n">
        <f aca="false">parametros_recargas!$E$92*'Plan mensual'!O21+parametros_recargas!$F$92*'Plan mensual'!O22+parametros_recargas!$G$92*'Plan mensual'!O23+parametros_recargas!$H$92*'Plan mensual'!O24+parametros_recargas!$I$92*'Plan mensual'!O25+parametros_recargas!$J$92*'Plan mensual'!O26+parametros_recargas!$K$92*'Plan mensual'!O27+parametros_recargas!$L$92*'Plan mensual'!O28+parametros_recargas!$M$92*'Plan mensual'!O30</f>
        <v>0.315499412014609</v>
      </c>
      <c r="N18" s="8" t="n">
        <f aca="false">SUM(B18:M18)</f>
        <v>3.78599294417531</v>
      </c>
      <c r="O18" s="27" t="n">
        <f aca="false">MAX(B18:M18)</f>
        <v>0.315499412014609</v>
      </c>
      <c r="P18" s="13" t="n">
        <f aca="false">O18/parametros_recargas!$B$6</f>
        <v>0.00210332941343073</v>
      </c>
    </row>
    <row r="19" customFormat="false" ht="15" hidden="false" customHeight="false" outlineLevel="0" collapsed="false">
      <c r="A19" s="10" t="str">
        <f aca="false">parametros_recargas!$B$93</f>
        <v>Descarga y carga Clase D</v>
      </c>
      <c r="B19" s="26" t="n">
        <f aca="false">parametros_recargas!$E$93*'Plan mensual'!D21+parametros_recargas!$F$93*'Plan mensual'!D22+parametros_recargas!$G$93*'Plan mensual'!D23+parametros_recargas!$H$93*'Plan mensual'!D24+parametros_recargas!$I$93*'Plan mensual'!D25+parametros_recargas!$J$93*'Plan mensual'!D26+parametros_recargas!$K$93*'Plan mensual'!D27+parametros_recargas!$L$93*'Plan mensual'!D28+parametros_recargas!$M$93*'Plan mensual'!D30</f>
        <v>0.315499412014609</v>
      </c>
      <c r="C19" s="26" t="n">
        <f aca="false">parametros_recargas!$E$93*'Plan mensual'!E21+parametros_recargas!$F$93*'Plan mensual'!E22+parametros_recargas!$G$93*'Plan mensual'!E23+parametros_recargas!$H$93*'Plan mensual'!E24+parametros_recargas!$I$93*'Plan mensual'!E25+parametros_recargas!$J$93*'Plan mensual'!E26+parametros_recargas!$K$93*'Plan mensual'!E27+parametros_recargas!$L$93*'Plan mensual'!E28+parametros_recargas!$M$93*'Plan mensual'!E30</f>
        <v>0.315499412014609</v>
      </c>
      <c r="D19" s="26" t="n">
        <f aca="false">parametros_recargas!$E$93*'Plan mensual'!F21+parametros_recargas!$F$93*'Plan mensual'!F22+parametros_recargas!$G$93*'Plan mensual'!F23+parametros_recargas!$H$93*'Plan mensual'!F24+parametros_recargas!$I$93*'Plan mensual'!F25+parametros_recargas!$J$93*'Plan mensual'!F26+parametros_recargas!$K$93*'Plan mensual'!F27+parametros_recargas!$L$93*'Plan mensual'!F28+parametros_recargas!$M$93*'Plan mensual'!F30</f>
        <v>0.315499412014609</v>
      </c>
      <c r="E19" s="26" t="n">
        <f aca="false">parametros_recargas!$E$93*'Plan mensual'!G21+parametros_recargas!$F$93*'Plan mensual'!G22+parametros_recargas!$G$93*'Plan mensual'!G23+parametros_recargas!$H$93*'Plan mensual'!G24+parametros_recargas!$I$93*'Plan mensual'!G25+parametros_recargas!$J$93*'Plan mensual'!G26+parametros_recargas!$K$93*'Plan mensual'!G27+parametros_recargas!$L$93*'Plan mensual'!G28+parametros_recargas!$M$93*'Plan mensual'!G30</f>
        <v>0.315499412014609</v>
      </c>
      <c r="F19" s="26" t="n">
        <f aca="false">parametros_recargas!$E$93*'Plan mensual'!H21+parametros_recargas!$F$93*'Plan mensual'!H22+parametros_recargas!$G$93*'Plan mensual'!H23+parametros_recargas!$H$93*'Plan mensual'!H24+parametros_recargas!$I$93*'Plan mensual'!H25+parametros_recargas!$J$93*'Plan mensual'!H26+parametros_recargas!$K$93*'Plan mensual'!H27+parametros_recargas!$L$93*'Plan mensual'!H28+parametros_recargas!$M$93*'Plan mensual'!H30</f>
        <v>0.315499412014609</v>
      </c>
      <c r="G19" s="26" t="n">
        <f aca="false">parametros_recargas!$E$93*'Plan mensual'!I21+parametros_recargas!$F$93*'Plan mensual'!I22+parametros_recargas!$G$93*'Plan mensual'!I23+parametros_recargas!$H$93*'Plan mensual'!I24+parametros_recargas!$I$93*'Plan mensual'!I25+parametros_recargas!$J$93*'Plan mensual'!I26+parametros_recargas!$K$93*'Plan mensual'!I27+parametros_recargas!$L$93*'Plan mensual'!I28+parametros_recargas!$M$93*'Plan mensual'!I30</f>
        <v>0.315499412014609</v>
      </c>
      <c r="H19" s="26" t="n">
        <f aca="false">parametros_recargas!$E$93*'Plan mensual'!J21+parametros_recargas!$F$93*'Plan mensual'!J22+parametros_recargas!$G$93*'Plan mensual'!J23+parametros_recargas!$H$93*'Plan mensual'!J24+parametros_recargas!$I$93*'Plan mensual'!J25+parametros_recargas!$J$93*'Plan mensual'!J26+parametros_recargas!$K$93*'Plan mensual'!J27+parametros_recargas!$L$93*'Plan mensual'!J28+parametros_recargas!$M$93*'Plan mensual'!J30</f>
        <v>0.315499412014609</v>
      </c>
      <c r="I19" s="26" t="n">
        <f aca="false">parametros_recargas!$E$93*'Plan mensual'!K21+parametros_recargas!$F$93*'Plan mensual'!K22+parametros_recargas!$G$93*'Plan mensual'!K23+parametros_recargas!$H$93*'Plan mensual'!K24+parametros_recargas!$I$93*'Plan mensual'!K25+parametros_recargas!$J$93*'Plan mensual'!K26+parametros_recargas!$K$93*'Plan mensual'!K27+parametros_recargas!$L$93*'Plan mensual'!K28+parametros_recargas!$M$93*'Plan mensual'!K30</f>
        <v>0.315499412014609</v>
      </c>
      <c r="J19" s="26" t="n">
        <f aca="false">parametros_recargas!$E$93*'Plan mensual'!L21+parametros_recargas!$F$93*'Plan mensual'!L22+parametros_recargas!$G$93*'Plan mensual'!L23+parametros_recargas!$H$93*'Plan mensual'!L24+parametros_recargas!$I$93*'Plan mensual'!L25+parametros_recargas!$J$93*'Plan mensual'!L26+parametros_recargas!$K$93*'Plan mensual'!L27+parametros_recargas!$L$93*'Plan mensual'!L28+parametros_recargas!$M$93*'Plan mensual'!L30</f>
        <v>0.315499412014609</v>
      </c>
      <c r="K19" s="26" t="n">
        <f aca="false">parametros_recargas!$E$93*'Plan mensual'!M21+parametros_recargas!$F$93*'Plan mensual'!M22+parametros_recargas!$G$93*'Plan mensual'!M23+parametros_recargas!$H$93*'Plan mensual'!M24+parametros_recargas!$I$93*'Plan mensual'!M25+parametros_recargas!$J$93*'Plan mensual'!M26+parametros_recargas!$K$93*'Plan mensual'!M27+parametros_recargas!$L$93*'Plan mensual'!M28+parametros_recargas!$M$93*'Plan mensual'!M30</f>
        <v>0.315499412014609</v>
      </c>
      <c r="L19" s="26" t="n">
        <f aca="false">parametros_recargas!$E$93*'Plan mensual'!N21+parametros_recargas!$F$93*'Plan mensual'!N22+parametros_recargas!$G$93*'Plan mensual'!N23+parametros_recargas!$H$93*'Plan mensual'!N24+parametros_recargas!$I$93*'Plan mensual'!N25+parametros_recargas!$J$93*'Plan mensual'!N26+parametros_recargas!$K$93*'Plan mensual'!N27+parametros_recargas!$L$93*'Plan mensual'!N28+parametros_recargas!$M$93*'Plan mensual'!N30</f>
        <v>0.315499412014609</v>
      </c>
      <c r="M19" s="26" t="n">
        <f aca="false">parametros_recargas!$E$93*'Plan mensual'!O21+parametros_recargas!$F$93*'Plan mensual'!O22+parametros_recargas!$G$93*'Plan mensual'!O23+parametros_recargas!$H$93*'Plan mensual'!O24+parametros_recargas!$I$93*'Plan mensual'!O25+parametros_recargas!$J$93*'Plan mensual'!O26+parametros_recargas!$K$93*'Plan mensual'!O27+parametros_recargas!$L$93*'Plan mensual'!O28+parametros_recargas!$M$93*'Plan mensual'!O30</f>
        <v>0.315499412014609</v>
      </c>
      <c r="N19" s="8" t="n">
        <f aca="false">SUM(B19:M19)</f>
        <v>3.78599294417531</v>
      </c>
      <c r="O19" s="27" t="n">
        <f aca="false">MAX(B19:M19)</f>
        <v>0.315499412014609</v>
      </c>
      <c r="P19" s="13" t="n">
        <f aca="false">O19/parametros_recargas!$B$6</f>
        <v>0.00210332941343073</v>
      </c>
    </row>
    <row r="20" customFormat="false" ht="15" hidden="false" customHeight="false" outlineLevel="0" collapsed="false">
      <c r="A20" s="10" t="str">
        <f aca="false">parametros_recargas!$B$94</f>
        <v>Carga de agua / AFFF / sales K</v>
      </c>
      <c r="B20" s="26" t="n">
        <f aca="false">parametros_recargas!$E$94*'Plan mensual'!D21+parametros_recargas!$F$94*'Plan mensual'!D22+parametros_recargas!$G$94*'Plan mensual'!D23+parametros_recargas!$H$94*'Plan mensual'!D24+parametros_recargas!$I$94*'Plan mensual'!D25+parametros_recargas!$J$94*'Plan mensual'!D26+parametros_recargas!$K$94*'Plan mensual'!D27+parametros_recargas!$L$94*'Plan mensual'!D28+parametros_recargas!$M$94*'Plan mensual'!D30</f>
        <v>14.2135096879594</v>
      </c>
      <c r="C20" s="26" t="n">
        <f aca="false">parametros_recargas!$E$94*'Plan mensual'!E21+parametros_recargas!$F$94*'Plan mensual'!E22+parametros_recargas!$G$94*'Plan mensual'!E23+parametros_recargas!$H$94*'Plan mensual'!E24+parametros_recargas!$I$94*'Plan mensual'!E25+parametros_recargas!$J$94*'Plan mensual'!E26+parametros_recargas!$K$94*'Plan mensual'!E27+parametros_recargas!$L$94*'Plan mensual'!E28+parametros_recargas!$M$94*'Plan mensual'!E30</f>
        <v>20.853607008417</v>
      </c>
      <c r="D20" s="26" t="n">
        <f aca="false">parametros_recargas!$E$94*'Plan mensual'!F21+parametros_recargas!$F$94*'Plan mensual'!F22+parametros_recargas!$G$94*'Plan mensual'!F23+parametros_recargas!$H$94*'Plan mensual'!F24+parametros_recargas!$I$94*'Plan mensual'!F25+parametros_recargas!$J$94*'Plan mensual'!F26+parametros_recargas!$K$94*'Plan mensual'!F27+parametros_recargas!$L$94*'Plan mensual'!F28+parametros_recargas!$M$94*'Plan mensual'!F30</f>
        <v>14.2135096879594</v>
      </c>
      <c r="E20" s="26" t="n">
        <f aca="false">parametros_recargas!$E$94*'Plan mensual'!G21+parametros_recargas!$F$94*'Plan mensual'!G22+parametros_recargas!$G$94*'Plan mensual'!G23+parametros_recargas!$H$94*'Plan mensual'!G24+parametros_recargas!$I$94*'Plan mensual'!G25+parametros_recargas!$J$94*'Plan mensual'!G26+parametros_recargas!$K$94*'Plan mensual'!G27+parametros_recargas!$L$94*'Plan mensual'!G28+parametros_recargas!$M$94*'Plan mensual'!G30</f>
        <v>14.2135096879594</v>
      </c>
      <c r="F20" s="26" t="n">
        <f aca="false">parametros_recargas!$E$94*'Plan mensual'!H21+parametros_recargas!$F$94*'Plan mensual'!H22+parametros_recargas!$G$94*'Plan mensual'!H23+parametros_recargas!$H$94*'Plan mensual'!H24+parametros_recargas!$I$94*'Plan mensual'!H25+parametros_recargas!$J$94*'Plan mensual'!H26+parametros_recargas!$K$94*'Plan mensual'!H27+parametros_recargas!$L$94*'Plan mensual'!H28+parametros_recargas!$M$94*'Plan mensual'!H30</f>
        <v>14.2135096879594</v>
      </c>
      <c r="G20" s="26" t="n">
        <f aca="false">parametros_recargas!$E$94*'Plan mensual'!I21+parametros_recargas!$F$94*'Plan mensual'!I22+parametros_recargas!$G$94*'Plan mensual'!I23+parametros_recargas!$H$94*'Plan mensual'!I24+parametros_recargas!$I$94*'Plan mensual'!I25+parametros_recargas!$J$94*'Plan mensual'!I26+parametros_recargas!$K$94*'Plan mensual'!I27+parametros_recargas!$L$94*'Plan mensual'!I28+parametros_recargas!$M$94*'Plan mensual'!I30</f>
        <v>14.2135096879594</v>
      </c>
      <c r="H20" s="26" t="n">
        <f aca="false">parametros_recargas!$E$94*'Plan mensual'!J21+parametros_recargas!$F$94*'Plan mensual'!J22+parametros_recargas!$G$94*'Plan mensual'!J23+parametros_recargas!$H$94*'Plan mensual'!J24+parametros_recargas!$I$94*'Plan mensual'!J25+parametros_recargas!$J$94*'Plan mensual'!J26+parametros_recargas!$K$94*'Plan mensual'!J27+parametros_recargas!$L$94*'Plan mensual'!J28+parametros_recargas!$M$94*'Plan mensual'!J30</f>
        <v>14.2135096879594</v>
      </c>
      <c r="I20" s="26" t="n">
        <f aca="false">parametros_recargas!$E$94*'Plan mensual'!K21+parametros_recargas!$F$94*'Plan mensual'!K22+parametros_recargas!$G$94*'Plan mensual'!K23+parametros_recargas!$H$94*'Plan mensual'!K24+parametros_recargas!$I$94*'Plan mensual'!K25+parametros_recargas!$J$94*'Plan mensual'!K26+parametros_recargas!$K$94*'Plan mensual'!K27+parametros_recargas!$L$94*'Plan mensual'!K28+parametros_recargas!$M$94*'Plan mensual'!K30</f>
        <v>14.2135096879594</v>
      </c>
      <c r="J20" s="26" t="n">
        <f aca="false">parametros_recargas!$E$94*'Plan mensual'!L21+parametros_recargas!$F$94*'Plan mensual'!L22+parametros_recargas!$G$94*'Plan mensual'!L23+parametros_recargas!$H$94*'Plan mensual'!L24+parametros_recargas!$I$94*'Plan mensual'!L25+parametros_recargas!$J$94*'Plan mensual'!L26+parametros_recargas!$K$94*'Plan mensual'!L27+parametros_recargas!$L$94*'Plan mensual'!L28+parametros_recargas!$M$94*'Plan mensual'!L30</f>
        <v>14.2135096879594</v>
      </c>
      <c r="K20" s="26" t="n">
        <f aca="false">parametros_recargas!$E$94*'Plan mensual'!M21+parametros_recargas!$F$94*'Plan mensual'!M22+parametros_recargas!$G$94*'Plan mensual'!M23+parametros_recargas!$H$94*'Plan mensual'!M24+parametros_recargas!$I$94*'Plan mensual'!M25+parametros_recargas!$J$94*'Plan mensual'!M26+parametros_recargas!$K$94*'Plan mensual'!M27+parametros_recargas!$L$94*'Plan mensual'!M28+parametros_recargas!$M$94*'Plan mensual'!M30</f>
        <v>14.2135096879594</v>
      </c>
      <c r="L20" s="26" t="n">
        <f aca="false">parametros_recargas!$E$94*'Plan mensual'!N21+parametros_recargas!$F$94*'Plan mensual'!N22+parametros_recargas!$G$94*'Plan mensual'!N23+parametros_recargas!$H$94*'Plan mensual'!N24+parametros_recargas!$I$94*'Plan mensual'!N25+parametros_recargas!$J$94*'Plan mensual'!N26+parametros_recargas!$K$94*'Plan mensual'!N27+parametros_recargas!$L$94*'Plan mensual'!N28+parametros_recargas!$M$94*'Plan mensual'!N30</f>
        <v>14.2135096879594</v>
      </c>
      <c r="M20" s="26" t="n">
        <f aca="false">parametros_recargas!$E$94*'Plan mensual'!O21+parametros_recargas!$F$94*'Plan mensual'!O22+parametros_recargas!$G$94*'Plan mensual'!O23+parametros_recargas!$H$94*'Plan mensual'!O24+parametros_recargas!$I$94*'Plan mensual'!O25+parametros_recargas!$J$94*'Plan mensual'!O26+parametros_recargas!$K$94*'Plan mensual'!O27+parametros_recargas!$L$94*'Plan mensual'!O28+parametros_recargas!$M$94*'Plan mensual'!O30</f>
        <v>14.2135096879594</v>
      </c>
      <c r="N20" s="8" t="n">
        <f aca="false">SUM(B20:M20)</f>
        <v>177.202213575971</v>
      </c>
      <c r="O20" s="27" t="n">
        <f aca="false">MAX(B20:M20)</f>
        <v>20.853607008417</v>
      </c>
      <c r="P20" s="13" t="n">
        <f aca="false">O20/parametros_recargas!$B$6</f>
        <v>0.13902404672278</v>
      </c>
    </row>
    <row r="21" customFormat="false" ht="15" hidden="false" customHeight="false" outlineLevel="0" collapsed="false">
      <c r="A21" s="10" t="str">
        <f aca="false">parametros_recargas!$B$95</f>
        <v>Carga de CO₂</v>
      </c>
      <c r="B21" s="26" t="n">
        <f aca="false">parametros_recargas!$E$95*'Plan mensual'!D21+parametros_recargas!$F$95*'Plan mensual'!D22+parametros_recargas!$G$95*'Plan mensual'!D23+parametros_recargas!$H$95*'Plan mensual'!D24+parametros_recargas!$I$95*'Plan mensual'!D25+parametros_recargas!$J$95*'Plan mensual'!D26+parametros_recargas!$K$95*'Plan mensual'!D27+parametros_recargas!$L$95*'Plan mensual'!D28+parametros_recargas!$M$95*'Plan mensual'!D30</f>
        <v>8.87102302660064</v>
      </c>
      <c r="C21" s="26" t="n">
        <f aca="false">parametros_recargas!$E$95*'Plan mensual'!E21+parametros_recargas!$F$95*'Plan mensual'!E22+parametros_recargas!$G$95*'Plan mensual'!E23+parametros_recargas!$H$95*'Plan mensual'!E24+parametros_recargas!$I$95*'Plan mensual'!E25+parametros_recargas!$J$95*'Plan mensual'!E26+parametros_recargas!$K$95*'Plan mensual'!E27+parametros_recargas!$L$95*'Plan mensual'!E28+parametros_recargas!$M$95*'Plan mensual'!E30</f>
        <v>14.1686427127695</v>
      </c>
      <c r="D21" s="26" t="n">
        <f aca="false">parametros_recargas!$E$95*'Plan mensual'!F21+parametros_recargas!$F$95*'Plan mensual'!F22+parametros_recargas!$G$95*'Plan mensual'!F23+parametros_recargas!$H$95*'Plan mensual'!F24+parametros_recargas!$I$95*'Plan mensual'!F25+parametros_recargas!$J$95*'Plan mensual'!F26+parametros_recargas!$K$95*'Plan mensual'!F27+parametros_recargas!$L$95*'Plan mensual'!F28+parametros_recargas!$M$95*'Plan mensual'!F30</f>
        <v>8.87102302660064</v>
      </c>
      <c r="E21" s="26" t="n">
        <f aca="false">parametros_recargas!$E$95*'Plan mensual'!G21+parametros_recargas!$F$95*'Plan mensual'!G22+parametros_recargas!$G$95*'Plan mensual'!G23+parametros_recargas!$H$95*'Plan mensual'!G24+parametros_recargas!$I$95*'Plan mensual'!G25+parametros_recargas!$J$95*'Plan mensual'!G26+parametros_recargas!$K$95*'Plan mensual'!G27+parametros_recargas!$L$95*'Plan mensual'!G28+parametros_recargas!$M$95*'Plan mensual'!G30</f>
        <v>8.87102302660064</v>
      </c>
      <c r="F21" s="26" t="n">
        <f aca="false">parametros_recargas!$E$95*'Plan mensual'!H21+parametros_recargas!$F$95*'Plan mensual'!H22+parametros_recargas!$G$95*'Plan mensual'!H23+parametros_recargas!$H$95*'Plan mensual'!H24+parametros_recargas!$I$95*'Plan mensual'!H25+parametros_recargas!$J$95*'Plan mensual'!H26+parametros_recargas!$K$95*'Plan mensual'!H27+parametros_recargas!$L$95*'Plan mensual'!H28+parametros_recargas!$M$95*'Plan mensual'!H30</f>
        <v>8.87102302660064</v>
      </c>
      <c r="G21" s="26" t="n">
        <f aca="false">parametros_recargas!$E$95*'Plan mensual'!I21+parametros_recargas!$F$95*'Plan mensual'!I22+parametros_recargas!$G$95*'Plan mensual'!I23+parametros_recargas!$H$95*'Plan mensual'!I24+parametros_recargas!$I$95*'Plan mensual'!I25+parametros_recargas!$J$95*'Plan mensual'!I26+parametros_recargas!$K$95*'Plan mensual'!I27+parametros_recargas!$L$95*'Plan mensual'!I28+parametros_recargas!$M$95*'Plan mensual'!I30</f>
        <v>8.87102302660064</v>
      </c>
      <c r="H21" s="26" t="n">
        <f aca="false">parametros_recargas!$E$95*'Plan mensual'!J21+parametros_recargas!$F$95*'Plan mensual'!J22+parametros_recargas!$G$95*'Plan mensual'!J23+parametros_recargas!$H$95*'Plan mensual'!J24+parametros_recargas!$I$95*'Plan mensual'!J25+parametros_recargas!$J$95*'Plan mensual'!J26+parametros_recargas!$K$95*'Plan mensual'!J27+parametros_recargas!$L$95*'Plan mensual'!J28+parametros_recargas!$M$95*'Plan mensual'!J30</f>
        <v>8.87102302660064</v>
      </c>
      <c r="I21" s="26" t="n">
        <f aca="false">parametros_recargas!$E$95*'Plan mensual'!K21+parametros_recargas!$F$95*'Plan mensual'!K22+parametros_recargas!$G$95*'Plan mensual'!K23+parametros_recargas!$H$95*'Plan mensual'!K24+parametros_recargas!$I$95*'Plan mensual'!K25+parametros_recargas!$J$95*'Plan mensual'!K26+parametros_recargas!$K$95*'Plan mensual'!K27+parametros_recargas!$L$95*'Plan mensual'!K28+parametros_recargas!$M$95*'Plan mensual'!K30</f>
        <v>8.87102302660064</v>
      </c>
      <c r="J21" s="26" t="n">
        <f aca="false">parametros_recargas!$E$95*'Plan mensual'!L21+parametros_recargas!$F$95*'Plan mensual'!L22+parametros_recargas!$G$95*'Plan mensual'!L23+parametros_recargas!$H$95*'Plan mensual'!L24+parametros_recargas!$I$95*'Plan mensual'!L25+parametros_recargas!$J$95*'Plan mensual'!L26+parametros_recargas!$K$95*'Plan mensual'!L27+parametros_recargas!$L$95*'Plan mensual'!L28+parametros_recargas!$M$95*'Plan mensual'!L30</f>
        <v>8.87102302660064</v>
      </c>
      <c r="K21" s="26" t="n">
        <f aca="false">parametros_recargas!$E$95*'Plan mensual'!M21+parametros_recargas!$F$95*'Plan mensual'!M22+parametros_recargas!$G$95*'Plan mensual'!M23+parametros_recargas!$H$95*'Plan mensual'!M24+parametros_recargas!$I$95*'Plan mensual'!M25+parametros_recargas!$J$95*'Plan mensual'!M26+parametros_recargas!$K$95*'Plan mensual'!M27+parametros_recargas!$L$95*'Plan mensual'!M28+parametros_recargas!$M$95*'Plan mensual'!M30</f>
        <v>8.87102302660064</v>
      </c>
      <c r="L21" s="26" t="n">
        <f aca="false">parametros_recargas!$E$95*'Plan mensual'!N21+parametros_recargas!$F$95*'Plan mensual'!N22+parametros_recargas!$G$95*'Plan mensual'!N23+parametros_recargas!$H$95*'Plan mensual'!N24+parametros_recargas!$I$95*'Plan mensual'!N25+parametros_recargas!$J$95*'Plan mensual'!N26+parametros_recargas!$K$95*'Plan mensual'!N27+parametros_recargas!$L$95*'Plan mensual'!N28+parametros_recargas!$M$95*'Plan mensual'!N30</f>
        <v>8.87102302660064</v>
      </c>
      <c r="M21" s="26" t="n">
        <f aca="false">parametros_recargas!$E$95*'Plan mensual'!O21+parametros_recargas!$F$95*'Plan mensual'!O22+parametros_recargas!$G$95*'Plan mensual'!O23+parametros_recargas!$H$95*'Plan mensual'!O24+parametros_recargas!$I$95*'Plan mensual'!O25+parametros_recargas!$J$95*'Plan mensual'!O26+parametros_recargas!$K$95*'Plan mensual'!O27+parametros_recargas!$L$95*'Plan mensual'!O28+parametros_recargas!$M$95*'Plan mensual'!O30</f>
        <v>8.87102302660064</v>
      </c>
      <c r="N21" s="8" t="n">
        <f aca="false">SUM(B21:M21)</f>
        <v>111.749896005377</v>
      </c>
      <c r="O21" s="27" t="n">
        <f aca="false">MAX(B21:M21)</f>
        <v>14.1686427127695</v>
      </c>
      <c r="P21" s="13" t="n">
        <f aca="false">O21/parametros_recargas!$B$6</f>
        <v>0.0944576180851298</v>
      </c>
    </row>
    <row r="22" customFormat="false" ht="15" hidden="false" customHeight="false" outlineLevel="0" collapsed="false">
      <c r="A22" s="10" t="str">
        <f aca="false">parametros_recargas!$B$96</f>
        <v>Ensamblaje y marbete — recinto</v>
      </c>
      <c r="B22" s="26" t="n">
        <f aca="false">parametros_recargas!$E$96*'Plan mensual'!D21+parametros_recargas!$F$96*'Plan mensual'!D22+parametros_recargas!$G$96*'Plan mensual'!D23+parametros_recargas!$H$96*'Plan mensual'!D24+parametros_recargas!$I$96*'Plan mensual'!D25+parametros_recargas!$J$96*'Plan mensual'!D26+parametros_recargas!$K$96*'Plan mensual'!D27+parametros_recargas!$L$96*'Plan mensual'!D28+parametros_recargas!$M$96*'Plan mensual'!D30</f>
        <v>141.429435933631</v>
      </c>
      <c r="C22" s="26" t="n">
        <f aca="false">parametros_recargas!$E$96*'Plan mensual'!E21+parametros_recargas!$F$96*'Plan mensual'!E22+parametros_recargas!$G$96*'Plan mensual'!E23+parametros_recargas!$H$96*'Plan mensual'!E24+parametros_recargas!$I$96*'Plan mensual'!E25+parametros_recargas!$J$96*'Plan mensual'!E26+parametros_recargas!$K$96*'Plan mensual'!E27+parametros_recargas!$L$96*'Plan mensual'!E28+parametros_recargas!$M$96*'Plan mensual'!E30</f>
        <v>377.548532743912</v>
      </c>
      <c r="D22" s="26" t="n">
        <f aca="false">parametros_recargas!$E$96*'Plan mensual'!F21+parametros_recargas!$F$96*'Plan mensual'!F22+parametros_recargas!$G$96*'Plan mensual'!F23+parametros_recargas!$H$96*'Plan mensual'!F24+parametros_recargas!$I$96*'Plan mensual'!F25+parametros_recargas!$J$96*'Plan mensual'!F26+parametros_recargas!$K$96*'Plan mensual'!F27+parametros_recargas!$L$96*'Plan mensual'!F28+parametros_recargas!$M$96*'Plan mensual'!F30</f>
        <v>323.623916521265</v>
      </c>
      <c r="E22" s="26" t="n">
        <f aca="false">parametros_recargas!$E$96*'Plan mensual'!G21+parametros_recargas!$F$96*'Plan mensual'!G22+parametros_recargas!$G$96*'Plan mensual'!G23+parametros_recargas!$H$96*'Plan mensual'!G24+parametros_recargas!$I$96*'Plan mensual'!G25+parametros_recargas!$J$96*'Plan mensual'!G26+parametros_recargas!$K$96*'Plan mensual'!G27+parametros_recargas!$L$96*'Plan mensual'!G28+parametros_recargas!$M$96*'Plan mensual'!G30</f>
        <v>325.035234652464</v>
      </c>
      <c r="F22" s="26" t="n">
        <f aca="false">parametros_recargas!$E$96*'Plan mensual'!H21+parametros_recargas!$F$96*'Plan mensual'!H22+parametros_recargas!$G$96*'Plan mensual'!H23+parametros_recargas!$H$96*'Plan mensual'!H24+parametros_recargas!$I$96*'Plan mensual'!H25+parametros_recargas!$J$96*'Plan mensual'!H26+parametros_recargas!$K$96*'Plan mensual'!H27+parametros_recargas!$L$96*'Plan mensual'!H28+parametros_recargas!$M$96*'Plan mensual'!H30</f>
        <v>324.968909376874</v>
      </c>
      <c r="G22" s="26" t="n">
        <f aca="false">parametros_recargas!$E$96*'Plan mensual'!I21+parametros_recargas!$F$96*'Plan mensual'!I22+parametros_recargas!$G$96*'Plan mensual'!I23+parametros_recargas!$H$96*'Plan mensual'!I24+parametros_recargas!$I$96*'Plan mensual'!I25+parametros_recargas!$J$96*'Plan mensual'!I26+parametros_recargas!$K$96*'Plan mensual'!I27+parametros_recargas!$L$96*'Plan mensual'!I28+parametros_recargas!$M$96*'Plan mensual'!I30</f>
        <v>323.903524191185</v>
      </c>
      <c r="H22" s="26" t="n">
        <f aca="false">parametros_recargas!$E$96*'Plan mensual'!J21+parametros_recargas!$F$96*'Plan mensual'!J22+parametros_recargas!$G$96*'Plan mensual'!J23+parametros_recargas!$H$96*'Plan mensual'!J24+parametros_recargas!$I$96*'Plan mensual'!J25+parametros_recargas!$J$96*'Plan mensual'!J26+parametros_recargas!$K$96*'Plan mensual'!J27+parametros_recargas!$L$96*'Plan mensual'!J28+parametros_recargas!$M$96*'Plan mensual'!J30</f>
        <v>326.408334628369</v>
      </c>
      <c r="I22" s="26" t="n">
        <f aca="false">parametros_recargas!$E$96*'Plan mensual'!K21+parametros_recargas!$F$96*'Plan mensual'!K22+parametros_recargas!$G$96*'Plan mensual'!K23+parametros_recargas!$H$96*'Plan mensual'!K24+parametros_recargas!$I$96*'Plan mensual'!K25+parametros_recargas!$J$96*'Plan mensual'!K26+parametros_recargas!$K$96*'Plan mensual'!K27+parametros_recargas!$L$96*'Plan mensual'!K28+parametros_recargas!$M$96*'Plan mensual'!K30</f>
        <v>324.820069398946</v>
      </c>
      <c r="J22" s="26" t="n">
        <f aca="false">parametros_recargas!$E$96*'Plan mensual'!L21+parametros_recargas!$F$96*'Plan mensual'!L22+parametros_recargas!$G$96*'Plan mensual'!L23+parametros_recargas!$H$96*'Plan mensual'!L24+parametros_recargas!$I$96*'Plan mensual'!L25+parametros_recargas!$J$96*'Plan mensual'!L26+parametros_recargas!$K$96*'Plan mensual'!L27+parametros_recargas!$L$96*'Plan mensual'!L28+parametros_recargas!$M$96*'Plan mensual'!L30</f>
        <v>324.940493085867</v>
      </c>
      <c r="K22" s="26" t="n">
        <f aca="false">parametros_recargas!$E$96*'Plan mensual'!M21+parametros_recargas!$F$96*'Plan mensual'!M22+parametros_recargas!$G$96*'Plan mensual'!M23+parametros_recargas!$H$96*'Plan mensual'!M24+parametros_recargas!$I$96*'Plan mensual'!M25+parametros_recargas!$J$96*'Plan mensual'!M26+parametros_recargas!$K$96*'Plan mensual'!M27+parametros_recargas!$L$96*'Plan mensual'!M28+parametros_recargas!$M$96*'Plan mensual'!M30</f>
        <v>323.727332585898</v>
      </c>
      <c r="L22" s="26" t="n">
        <f aca="false">parametros_recargas!$E$96*'Plan mensual'!N21+parametros_recargas!$F$96*'Plan mensual'!N22+parametros_recargas!$G$96*'Plan mensual'!N23+parametros_recargas!$H$96*'Plan mensual'!N24+parametros_recargas!$I$96*'Plan mensual'!N25+parametros_recargas!$J$96*'Plan mensual'!N26+parametros_recargas!$K$96*'Plan mensual'!N27+parametros_recargas!$L$96*'Plan mensual'!N28+parametros_recargas!$M$96*'Plan mensual'!N30</f>
        <v>319.934375373155</v>
      </c>
      <c r="M22" s="26" t="n">
        <f aca="false">parametros_recargas!$E$96*'Plan mensual'!O21+parametros_recargas!$F$96*'Plan mensual'!O22+parametros_recargas!$G$96*'Plan mensual'!O23+parametros_recargas!$H$96*'Plan mensual'!O24+parametros_recargas!$I$96*'Plan mensual'!O25+parametros_recargas!$J$96*'Plan mensual'!O26+parametros_recargas!$K$96*'Plan mensual'!O27+parametros_recargas!$L$96*'Plan mensual'!O28+parametros_recargas!$M$96*'Plan mensual'!O30</f>
        <v>132.002162422703</v>
      </c>
      <c r="N22" s="8" t="n">
        <f aca="false">SUM(B22:M22)</f>
        <v>3568.34232091427</v>
      </c>
      <c r="O22" s="27" t="n">
        <f aca="false">MAX(B22:M22)</f>
        <v>377.548532743912</v>
      </c>
      <c r="P22" s="13" t="n">
        <f aca="false">O22/parametros_recargas!$B$6</f>
        <v>2.51699021829275</v>
      </c>
    </row>
    <row r="23" customFormat="false" ht="15" hidden="false" customHeight="false" outlineLevel="0" collapsed="false">
      <c r="A23" s="10" t="str">
        <f aca="false">parametros_recargas!$B$97</f>
        <v>Presurización — recinto</v>
      </c>
      <c r="B23" s="26" t="n">
        <f aca="false">parametros_recargas!$E$97*'Plan mensual'!D21+parametros_recargas!$F$97*'Plan mensual'!D22+parametros_recargas!$G$97*'Plan mensual'!D23+parametros_recargas!$H$97*'Plan mensual'!D24+parametros_recargas!$I$97*'Plan mensual'!D25+parametros_recargas!$J$97*'Plan mensual'!D26+parametros_recargas!$K$97*'Plan mensual'!D27+parametros_recargas!$L$97*'Plan mensual'!D28+parametros_recargas!$M$97*'Plan mensual'!D30</f>
        <v>141.429435933631</v>
      </c>
      <c r="C23" s="26" t="n">
        <f aca="false">parametros_recargas!$E$97*'Plan mensual'!E21+parametros_recargas!$F$97*'Plan mensual'!E22+parametros_recargas!$G$97*'Plan mensual'!E23+parametros_recargas!$H$97*'Plan mensual'!E24+parametros_recargas!$I$97*'Plan mensual'!E25+parametros_recargas!$J$97*'Plan mensual'!E26+parametros_recargas!$K$97*'Plan mensual'!E27+parametros_recargas!$L$97*'Plan mensual'!E28+parametros_recargas!$M$97*'Plan mensual'!E30</f>
        <v>377.548532743912</v>
      </c>
      <c r="D23" s="26" t="n">
        <f aca="false">parametros_recargas!$E$97*'Plan mensual'!F21+parametros_recargas!$F$97*'Plan mensual'!F22+parametros_recargas!$G$97*'Plan mensual'!F23+parametros_recargas!$H$97*'Plan mensual'!F24+parametros_recargas!$I$97*'Plan mensual'!F25+parametros_recargas!$J$97*'Plan mensual'!F26+parametros_recargas!$K$97*'Plan mensual'!F27+parametros_recargas!$L$97*'Plan mensual'!F28+parametros_recargas!$M$97*'Plan mensual'!F30</f>
        <v>323.623916521265</v>
      </c>
      <c r="E23" s="26" t="n">
        <f aca="false">parametros_recargas!$E$97*'Plan mensual'!G21+parametros_recargas!$F$97*'Plan mensual'!G22+parametros_recargas!$G$97*'Plan mensual'!G23+parametros_recargas!$H$97*'Plan mensual'!G24+parametros_recargas!$I$97*'Plan mensual'!G25+parametros_recargas!$J$97*'Plan mensual'!G26+parametros_recargas!$K$97*'Plan mensual'!G27+parametros_recargas!$L$97*'Plan mensual'!G28+parametros_recargas!$M$97*'Plan mensual'!G30</f>
        <v>325.035234652464</v>
      </c>
      <c r="F23" s="26" t="n">
        <f aca="false">parametros_recargas!$E$97*'Plan mensual'!H21+parametros_recargas!$F$97*'Plan mensual'!H22+parametros_recargas!$G$97*'Plan mensual'!H23+parametros_recargas!$H$97*'Plan mensual'!H24+parametros_recargas!$I$97*'Plan mensual'!H25+parametros_recargas!$J$97*'Plan mensual'!H26+parametros_recargas!$K$97*'Plan mensual'!H27+parametros_recargas!$L$97*'Plan mensual'!H28+parametros_recargas!$M$97*'Plan mensual'!H30</f>
        <v>324.968909376874</v>
      </c>
      <c r="G23" s="26" t="n">
        <f aca="false">parametros_recargas!$E$97*'Plan mensual'!I21+parametros_recargas!$F$97*'Plan mensual'!I22+parametros_recargas!$G$97*'Plan mensual'!I23+parametros_recargas!$H$97*'Plan mensual'!I24+parametros_recargas!$I$97*'Plan mensual'!I25+parametros_recargas!$J$97*'Plan mensual'!I26+parametros_recargas!$K$97*'Plan mensual'!I27+parametros_recargas!$L$97*'Plan mensual'!I28+parametros_recargas!$M$97*'Plan mensual'!I30</f>
        <v>323.903524191185</v>
      </c>
      <c r="H23" s="26" t="n">
        <f aca="false">parametros_recargas!$E$97*'Plan mensual'!J21+parametros_recargas!$F$97*'Plan mensual'!J22+parametros_recargas!$G$97*'Plan mensual'!J23+parametros_recargas!$H$97*'Plan mensual'!J24+parametros_recargas!$I$97*'Plan mensual'!J25+parametros_recargas!$J$97*'Plan mensual'!J26+parametros_recargas!$K$97*'Plan mensual'!J27+parametros_recargas!$L$97*'Plan mensual'!J28+parametros_recargas!$M$97*'Plan mensual'!J30</f>
        <v>326.408334628369</v>
      </c>
      <c r="I23" s="26" t="n">
        <f aca="false">parametros_recargas!$E$97*'Plan mensual'!K21+parametros_recargas!$F$97*'Plan mensual'!K22+parametros_recargas!$G$97*'Plan mensual'!K23+parametros_recargas!$H$97*'Plan mensual'!K24+parametros_recargas!$I$97*'Plan mensual'!K25+parametros_recargas!$J$97*'Plan mensual'!K26+parametros_recargas!$K$97*'Plan mensual'!K27+parametros_recargas!$L$97*'Plan mensual'!K28+parametros_recargas!$M$97*'Plan mensual'!K30</f>
        <v>324.820069398946</v>
      </c>
      <c r="J23" s="26" t="n">
        <f aca="false">parametros_recargas!$E$97*'Plan mensual'!L21+parametros_recargas!$F$97*'Plan mensual'!L22+parametros_recargas!$G$97*'Plan mensual'!L23+parametros_recargas!$H$97*'Plan mensual'!L24+parametros_recargas!$I$97*'Plan mensual'!L25+parametros_recargas!$J$97*'Plan mensual'!L26+parametros_recargas!$K$97*'Plan mensual'!L27+parametros_recargas!$L$97*'Plan mensual'!L28+parametros_recargas!$M$97*'Plan mensual'!L30</f>
        <v>324.940493085867</v>
      </c>
      <c r="K23" s="26" t="n">
        <f aca="false">parametros_recargas!$E$97*'Plan mensual'!M21+parametros_recargas!$F$97*'Plan mensual'!M22+parametros_recargas!$G$97*'Plan mensual'!M23+parametros_recargas!$H$97*'Plan mensual'!M24+parametros_recargas!$I$97*'Plan mensual'!M25+parametros_recargas!$J$97*'Plan mensual'!M26+parametros_recargas!$K$97*'Plan mensual'!M27+parametros_recargas!$L$97*'Plan mensual'!M28+parametros_recargas!$M$97*'Plan mensual'!M30</f>
        <v>323.727332585898</v>
      </c>
      <c r="L23" s="26" t="n">
        <f aca="false">parametros_recargas!$E$97*'Plan mensual'!N21+parametros_recargas!$F$97*'Plan mensual'!N22+parametros_recargas!$G$97*'Plan mensual'!N23+parametros_recargas!$H$97*'Plan mensual'!N24+parametros_recargas!$I$97*'Plan mensual'!N25+parametros_recargas!$J$97*'Plan mensual'!N26+parametros_recargas!$K$97*'Plan mensual'!N27+parametros_recargas!$L$97*'Plan mensual'!N28+parametros_recargas!$M$97*'Plan mensual'!N30</f>
        <v>319.934375373155</v>
      </c>
      <c r="M23" s="26" t="n">
        <f aca="false">parametros_recargas!$E$97*'Plan mensual'!O21+parametros_recargas!$F$97*'Plan mensual'!O22+parametros_recargas!$G$97*'Plan mensual'!O23+parametros_recargas!$H$97*'Plan mensual'!O24+parametros_recargas!$I$97*'Plan mensual'!O25+parametros_recargas!$J$97*'Plan mensual'!O26+parametros_recargas!$K$97*'Plan mensual'!O27+parametros_recargas!$L$97*'Plan mensual'!O28+parametros_recargas!$M$97*'Plan mensual'!O30</f>
        <v>132.002162422703</v>
      </c>
      <c r="N23" s="8" t="n">
        <f aca="false">SUM(B23:M23)</f>
        <v>3568.34232091427</v>
      </c>
      <c r="O23" s="27" t="n">
        <f aca="false">MAX(B23:M23)</f>
        <v>377.548532743912</v>
      </c>
      <c r="P23" s="13" t="n">
        <f aca="false">O23/parametros_recargas!$B$6</f>
        <v>2.51699021829275</v>
      </c>
    </row>
    <row r="24" customFormat="false" ht="15" hidden="false" customHeight="false" outlineLevel="0" collapsed="false">
      <c r="A24" s="10" t="str">
        <f aca="false">parametros_recargas!$B$98</f>
        <v>Ensamblaje y presurización — zona general</v>
      </c>
      <c r="B24" s="26" t="n">
        <f aca="false">parametros_recargas!$E$98*'Plan mensual'!D21+parametros_recargas!$F$98*'Plan mensual'!D22+parametros_recargas!$G$98*'Plan mensual'!D23+parametros_recargas!$H$98*'Plan mensual'!D24+parametros_recargas!$I$98*'Plan mensual'!D25+parametros_recargas!$J$98*'Plan mensual'!D26+parametros_recargas!$K$98*'Plan mensual'!D27+parametros_recargas!$L$98*'Plan mensual'!D28+parametros_recargas!$M$98*'Plan mensual'!D30</f>
        <v>22.8597893020748</v>
      </c>
      <c r="C24" s="26" t="n">
        <f aca="false">parametros_recargas!$E$98*'Plan mensual'!E21+parametros_recargas!$F$98*'Plan mensual'!E22+parametros_recargas!$G$98*'Plan mensual'!E23+parametros_recargas!$H$98*'Plan mensual'!E24+parametros_recargas!$I$98*'Plan mensual'!E25+parametros_recargas!$J$98*'Plan mensual'!E26+parametros_recargas!$K$98*'Plan mensual'!E27+parametros_recargas!$L$98*'Plan mensual'!E28+parametros_recargas!$M$98*'Plan mensual'!E30</f>
        <v>34.3901823027312</v>
      </c>
      <c r="D24" s="26" t="n">
        <f aca="false">parametros_recargas!$E$98*'Plan mensual'!F21+parametros_recargas!$F$98*'Plan mensual'!F22+parametros_recargas!$G$98*'Plan mensual'!F23+parametros_recargas!$H$98*'Plan mensual'!F24+parametros_recargas!$I$98*'Plan mensual'!F25+parametros_recargas!$J$98*'Plan mensual'!F26+parametros_recargas!$K$98*'Plan mensual'!F27+parametros_recargas!$L$98*'Plan mensual'!F28+parametros_recargas!$M$98*'Plan mensual'!F30</f>
        <v>22.8597893020748</v>
      </c>
      <c r="E24" s="26" t="n">
        <f aca="false">parametros_recargas!$E$98*'Plan mensual'!G21+parametros_recargas!$F$98*'Plan mensual'!G22+parametros_recargas!$G$98*'Plan mensual'!G23+parametros_recargas!$H$98*'Plan mensual'!G24+parametros_recargas!$I$98*'Plan mensual'!G25+parametros_recargas!$J$98*'Plan mensual'!G26+parametros_recargas!$K$98*'Plan mensual'!G27+parametros_recargas!$L$98*'Plan mensual'!G28+parametros_recargas!$M$98*'Plan mensual'!G30</f>
        <v>22.8597893020748</v>
      </c>
      <c r="F24" s="26" t="n">
        <f aca="false">parametros_recargas!$E$98*'Plan mensual'!H21+parametros_recargas!$F$98*'Plan mensual'!H22+parametros_recargas!$G$98*'Plan mensual'!H23+parametros_recargas!$H$98*'Plan mensual'!H24+parametros_recargas!$I$98*'Plan mensual'!H25+parametros_recargas!$J$98*'Plan mensual'!H26+parametros_recargas!$K$98*'Plan mensual'!H27+parametros_recargas!$L$98*'Plan mensual'!H28+parametros_recargas!$M$98*'Plan mensual'!H30</f>
        <v>22.8597893020748</v>
      </c>
      <c r="G24" s="26" t="n">
        <f aca="false">parametros_recargas!$E$98*'Plan mensual'!I21+parametros_recargas!$F$98*'Plan mensual'!I22+parametros_recargas!$G$98*'Plan mensual'!I23+parametros_recargas!$H$98*'Plan mensual'!I24+parametros_recargas!$I$98*'Plan mensual'!I25+parametros_recargas!$J$98*'Plan mensual'!I26+parametros_recargas!$K$98*'Plan mensual'!I27+parametros_recargas!$L$98*'Plan mensual'!I28+parametros_recargas!$M$98*'Plan mensual'!I30</f>
        <v>22.8597893020748</v>
      </c>
      <c r="H24" s="26" t="n">
        <f aca="false">parametros_recargas!$E$98*'Plan mensual'!J21+parametros_recargas!$F$98*'Plan mensual'!J22+parametros_recargas!$G$98*'Plan mensual'!J23+parametros_recargas!$H$98*'Plan mensual'!J24+parametros_recargas!$I$98*'Plan mensual'!J25+parametros_recargas!$J$98*'Plan mensual'!J26+parametros_recargas!$K$98*'Plan mensual'!J27+parametros_recargas!$L$98*'Plan mensual'!J28+parametros_recargas!$M$98*'Plan mensual'!J30</f>
        <v>22.8597893020748</v>
      </c>
      <c r="I24" s="26" t="n">
        <f aca="false">parametros_recargas!$E$98*'Plan mensual'!K21+parametros_recargas!$F$98*'Plan mensual'!K22+parametros_recargas!$G$98*'Plan mensual'!K23+parametros_recargas!$H$98*'Plan mensual'!K24+parametros_recargas!$I$98*'Plan mensual'!K25+parametros_recargas!$J$98*'Plan mensual'!K26+parametros_recargas!$K$98*'Plan mensual'!K27+parametros_recargas!$L$98*'Plan mensual'!K28+parametros_recargas!$M$98*'Plan mensual'!K30</f>
        <v>22.8597893020748</v>
      </c>
      <c r="J24" s="26" t="n">
        <f aca="false">parametros_recargas!$E$98*'Plan mensual'!L21+parametros_recargas!$F$98*'Plan mensual'!L22+parametros_recargas!$G$98*'Plan mensual'!L23+parametros_recargas!$H$98*'Plan mensual'!L24+parametros_recargas!$I$98*'Plan mensual'!L25+parametros_recargas!$J$98*'Plan mensual'!L26+parametros_recargas!$K$98*'Plan mensual'!L27+parametros_recargas!$L$98*'Plan mensual'!L28+parametros_recargas!$M$98*'Plan mensual'!L30</f>
        <v>22.8597893020748</v>
      </c>
      <c r="K24" s="26" t="n">
        <f aca="false">parametros_recargas!$E$98*'Plan mensual'!M21+parametros_recargas!$F$98*'Plan mensual'!M22+parametros_recargas!$G$98*'Plan mensual'!M23+parametros_recargas!$H$98*'Plan mensual'!M24+parametros_recargas!$I$98*'Plan mensual'!M25+parametros_recargas!$J$98*'Plan mensual'!M26+parametros_recargas!$K$98*'Plan mensual'!M27+parametros_recargas!$L$98*'Plan mensual'!M28+parametros_recargas!$M$98*'Plan mensual'!M30</f>
        <v>22.8597893020748</v>
      </c>
      <c r="L24" s="26" t="n">
        <f aca="false">parametros_recargas!$E$98*'Plan mensual'!N21+parametros_recargas!$F$98*'Plan mensual'!N22+parametros_recargas!$G$98*'Plan mensual'!N23+parametros_recargas!$H$98*'Plan mensual'!N24+parametros_recargas!$I$98*'Plan mensual'!N25+parametros_recargas!$J$98*'Plan mensual'!N26+parametros_recargas!$K$98*'Plan mensual'!N27+parametros_recargas!$L$98*'Plan mensual'!N28+parametros_recargas!$M$98*'Plan mensual'!N30</f>
        <v>22.8597893020748</v>
      </c>
      <c r="M24" s="26" t="n">
        <f aca="false">parametros_recargas!$E$98*'Plan mensual'!O21+parametros_recargas!$F$98*'Plan mensual'!O22+parametros_recargas!$G$98*'Plan mensual'!O23+parametros_recargas!$H$98*'Plan mensual'!O24+parametros_recargas!$I$98*'Plan mensual'!O25+parametros_recargas!$J$98*'Plan mensual'!O26+parametros_recargas!$K$98*'Plan mensual'!O27+parametros_recargas!$L$98*'Plan mensual'!O28+parametros_recargas!$M$98*'Plan mensual'!O30</f>
        <v>22.8597893020748</v>
      </c>
      <c r="N24" s="8" t="n">
        <f aca="false">SUM(B24:M24)</f>
        <v>285.847864625554</v>
      </c>
      <c r="O24" s="27" t="n">
        <f aca="false">MAX(B24:M24)</f>
        <v>34.3901823027312</v>
      </c>
      <c r="P24" s="13" t="n">
        <f aca="false">O24/parametros_recargas!$B$6</f>
        <v>0.229267882018208</v>
      </c>
    </row>
    <row r="25" customFormat="false" ht="15" hidden="false" customHeight="false" outlineLevel="0" collapsed="false">
      <c r="A25" s="10" t="str">
        <f aca="false">parametros_recargas!$B$99</f>
        <v>Carga y presurización de halogenado</v>
      </c>
      <c r="B25" s="26" t="n">
        <f aca="false">parametros_recargas!$E$99*'Plan mensual'!D21+parametros_recargas!$F$99*'Plan mensual'!D22+parametros_recargas!$G$99*'Plan mensual'!D23+parametros_recargas!$H$99*'Plan mensual'!D24+parametros_recargas!$I$99*'Plan mensual'!D25+parametros_recargas!$J$99*'Plan mensual'!D26+parametros_recargas!$K$99*'Plan mensual'!D27+parametros_recargas!$L$99*'Plan mensual'!D28+parametros_recargas!$M$99*'Plan mensual'!D30</f>
        <v>0.294466134053794</v>
      </c>
      <c r="C25" s="26" t="n">
        <f aca="false">parametros_recargas!$E$99*'Plan mensual'!E21+parametros_recargas!$F$99*'Plan mensual'!E22+parametros_recargas!$G$99*'Plan mensual'!E23+parametros_recargas!$H$99*'Plan mensual'!E24+parametros_recargas!$I$99*'Plan mensual'!E25+parametros_recargas!$J$99*'Plan mensual'!E26+parametros_recargas!$K$99*'Plan mensual'!E27+parametros_recargas!$L$99*'Plan mensual'!E28+parametros_recargas!$M$99*'Plan mensual'!E30</f>
        <v>0.294466134053794</v>
      </c>
      <c r="D25" s="26" t="n">
        <f aca="false">parametros_recargas!$E$99*'Plan mensual'!F21+parametros_recargas!$F$99*'Plan mensual'!F22+parametros_recargas!$G$99*'Plan mensual'!F23+parametros_recargas!$H$99*'Plan mensual'!F24+parametros_recargas!$I$99*'Plan mensual'!F25+parametros_recargas!$J$99*'Plan mensual'!F26+parametros_recargas!$K$99*'Plan mensual'!F27+parametros_recargas!$L$99*'Plan mensual'!F28+parametros_recargas!$M$99*'Plan mensual'!F30</f>
        <v>0.294466134053794</v>
      </c>
      <c r="E25" s="26" t="n">
        <f aca="false">parametros_recargas!$E$99*'Plan mensual'!G21+parametros_recargas!$F$99*'Plan mensual'!G22+parametros_recargas!$G$99*'Plan mensual'!G23+parametros_recargas!$H$99*'Plan mensual'!G24+parametros_recargas!$I$99*'Plan mensual'!G25+parametros_recargas!$J$99*'Plan mensual'!G26+parametros_recargas!$K$99*'Plan mensual'!G27+parametros_recargas!$L$99*'Plan mensual'!G28+parametros_recargas!$M$99*'Plan mensual'!G30</f>
        <v>0.294466134053794</v>
      </c>
      <c r="F25" s="26" t="n">
        <f aca="false">parametros_recargas!$E$99*'Plan mensual'!H21+parametros_recargas!$F$99*'Plan mensual'!H22+parametros_recargas!$G$99*'Plan mensual'!H23+parametros_recargas!$H$99*'Plan mensual'!H24+parametros_recargas!$I$99*'Plan mensual'!H25+parametros_recargas!$J$99*'Plan mensual'!H26+parametros_recargas!$K$99*'Plan mensual'!H27+parametros_recargas!$L$99*'Plan mensual'!H28+parametros_recargas!$M$99*'Plan mensual'!H30</f>
        <v>0.294466134053794</v>
      </c>
      <c r="G25" s="26" t="n">
        <f aca="false">parametros_recargas!$E$99*'Plan mensual'!I21+parametros_recargas!$F$99*'Plan mensual'!I22+parametros_recargas!$G$99*'Plan mensual'!I23+parametros_recargas!$H$99*'Plan mensual'!I24+parametros_recargas!$I$99*'Plan mensual'!I25+parametros_recargas!$J$99*'Plan mensual'!I26+parametros_recargas!$K$99*'Plan mensual'!I27+parametros_recargas!$L$99*'Plan mensual'!I28+parametros_recargas!$M$99*'Plan mensual'!I30</f>
        <v>0.294466134053794</v>
      </c>
      <c r="H25" s="26" t="n">
        <f aca="false">parametros_recargas!$E$99*'Plan mensual'!J21+parametros_recargas!$F$99*'Plan mensual'!J22+parametros_recargas!$G$99*'Plan mensual'!J23+parametros_recargas!$H$99*'Plan mensual'!J24+parametros_recargas!$I$99*'Plan mensual'!J25+parametros_recargas!$J$99*'Plan mensual'!J26+parametros_recargas!$K$99*'Plan mensual'!J27+parametros_recargas!$L$99*'Plan mensual'!J28+parametros_recargas!$M$99*'Plan mensual'!J30</f>
        <v>0.294466134053794</v>
      </c>
      <c r="I25" s="26" t="n">
        <f aca="false">parametros_recargas!$E$99*'Plan mensual'!K21+parametros_recargas!$F$99*'Plan mensual'!K22+parametros_recargas!$G$99*'Plan mensual'!K23+parametros_recargas!$H$99*'Plan mensual'!K24+parametros_recargas!$I$99*'Plan mensual'!K25+parametros_recargas!$J$99*'Plan mensual'!K26+parametros_recargas!$K$99*'Plan mensual'!K27+parametros_recargas!$L$99*'Plan mensual'!K28+parametros_recargas!$M$99*'Plan mensual'!K30</f>
        <v>0.294466134053794</v>
      </c>
      <c r="J25" s="26" t="n">
        <f aca="false">parametros_recargas!$E$99*'Plan mensual'!L21+parametros_recargas!$F$99*'Plan mensual'!L22+parametros_recargas!$G$99*'Plan mensual'!L23+parametros_recargas!$H$99*'Plan mensual'!L24+parametros_recargas!$I$99*'Plan mensual'!L25+parametros_recargas!$J$99*'Plan mensual'!L26+parametros_recargas!$K$99*'Plan mensual'!L27+parametros_recargas!$L$99*'Plan mensual'!L28+parametros_recargas!$M$99*'Plan mensual'!L30</f>
        <v>0.294466134053794</v>
      </c>
      <c r="K25" s="26" t="n">
        <f aca="false">parametros_recargas!$E$99*'Plan mensual'!M21+parametros_recargas!$F$99*'Plan mensual'!M22+parametros_recargas!$G$99*'Plan mensual'!M23+parametros_recargas!$H$99*'Plan mensual'!M24+parametros_recargas!$I$99*'Plan mensual'!M25+parametros_recargas!$J$99*'Plan mensual'!M26+parametros_recargas!$K$99*'Plan mensual'!M27+parametros_recargas!$L$99*'Plan mensual'!M28+parametros_recargas!$M$99*'Plan mensual'!M30</f>
        <v>0.294466134053794</v>
      </c>
      <c r="L25" s="26" t="n">
        <f aca="false">parametros_recargas!$E$99*'Plan mensual'!N21+parametros_recargas!$F$99*'Plan mensual'!N22+parametros_recargas!$G$99*'Plan mensual'!N23+parametros_recargas!$H$99*'Plan mensual'!N24+parametros_recargas!$I$99*'Plan mensual'!N25+parametros_recargas!$J$99*'Plan mensual'!N26+parametros_recargas!$K$99*'Plan mensual'!N27+parametros_recargas!$L$99*'Plan mensual'!N28+parametros_recargas!$M$99*'Plan mensual'!N30</f>
        <v>0.294466134053794</v>
      </c>
      <c r="M25" s="26" t="n">
        <f aca="false">parametros_recargas!$E$99*'Plan mensual'!O21+parametros_recargas!$F$99*'Plan mensual'!O22+parametros_recargas!$G$99*'Plan mensual'!O23+parametros_recargas!$H$99*'Plan mensual'!O24+parametros_recargas!$I$99*'Plan mensual'!O25+parametros_recargas!$J$99*'Plan mensual'!O26+parametros_recargas!$K$99*'Plan mensual'!O27+parametros_recargas!$L$99*'Plan mensual'!O28+parametros_recargas!$M$99*'Plan mensual'!O30</f>
        <v>0.294466134053794</v>
      </c>
      <c r="N25" s="8" t="n">
        <f aca="false">SUM(B25:M25)</f>
        <v>3.53359360864553</v>
      </c>
      <c r="O25" s="27" t="n">
        <f aca="false">MAX(B25:M25)</f>
        <v>0.294466134053794</v>
      </c>
      <c r="P25" s="13" t="n">
        <f aca="false">O25/parametros_recargas!$B$6</f>
        <v>0.00196310756035863</v>
      </c>
    </row>
    <row r="26" customFormat="false" ht="15" hidden="false" customHeight="false" outlineLevel="0" collapsed="false">
      <c r="A26" s="10" t="str">
        <f aca="false">parametros_recargas!$B$100</f>
        <v>Control de peso (CO₂ y halogenados sin recarga)</v>
      </c>
      <c r="B26" s="26" t="n">
        <f aca="false">parametros_recargas!$E$100*'Plan mensual'!D21+parametros_recargas!$F$100*'Plan mensual'!D22+parametros_recargas!$G$100*'Plan mensual'!D23+parametros_recargas!$H$100*'Plan mensual'!D24+parametros_recargas!$I$100*'Plan mensual'!D25+parametros_recargas!$J$100*'Plan mensual'!D26+parametros_recargas!$K$100*'Plan mensual'!D27+parametros_recargas!$L$100*'Plan mensual'!D28+parametros_recargas!$M$100*'Plan mensual'!D30</f>
        <v>17.0216227269297</v>
      </c>
      <c r="C26" s="26" t="n">
        <f aca="false">parametros_recargas!$E$100*'Plan mensual'!E21+parametros_recargas!$F$100*'Plan mensual'!E22+parametros_recargas!$G$100*'Plan mensual'!E23+parametros_recargas!$H$100*'Plan mensual'!E24+parametros_recargas!$I$100*'Plan mensual'!E25+parametros_recargas!$J$100*'Plan mensual'!E26+parametros_recargas!$K$100*'Plan mensual'!E27+parametros_recargas!$L$100*'Plan mensual'!E28+parametros_recargas!$M$100*'Plan mensual'!E30</f>
        <v>26.8600592869575</v>
      </c>
      <c r="D26" s="26" t="n">
        <f aca="false">parametros_recargas!$E$100*'Plan mensual'!F21+parametros_recargas!$F$100*'Plan mensual'!F22+parametros_recargas!$G$100*'Plan mensual'!F23+parametros_recargas!$H$100*'Plan mensual'!F24+parametros_recargas!$I$100*'Plan mensual'!F25+parametros_recargas!$J$100*'Plan mensual'!F26+parametros_recargas!$K$100*'Plan mensual'!F27+parametros_recargas!$L$100*'Plan mensual'!F28+parametros_recargas!$M$100*'Plan mensual'!F30</f>
        <v>17.0216227269297</v>
      </c>
      <c r="E26" s="26" t="n">
        <f aca="false">parametros_recargas!$E$100*'Plan mensual'!G21+parametros_recargas!$F$100*'Plan mensual'!G22+parametros_recargas!$G$100*'Plan mensual'!G23+parametros_recargas!$H$100*'Plan mensual'!G24+parametros_recargas!$I$100*'Plan mensual'!G25+parametros_recargas!$J$100*'Plan mensual'!G26+parametros_recargas!$K$100*'Plan mensual'!G27+parametros_recargas!$L$100*'Plan mensual'!G28+parametros_recargas!$M$100*'Plan mensual'!G30</f>
        <v>17.0216227269297</v>
      </c>
      <c r="F26" s="26" t="n">
        <f aca="false">parametros_recargas!$E$100*'Plan mensual'!H21+parametros_recargas!$F$100*'Plan mensual'!H22+parametros_recargas!$G$100*'Plan mensual'!H23+parametros_recargas!$H$100*'Plan mensual'!H24+parametros_recargas!$I$100*'Plan mensual'!H25+parametros_recargas!$J$100*'Plan mensual'!H26+parametros_recargas!$K$100*'Plan mensual'!H27+parametros_recargas!$L$100*'Plan mensual'!H28+parametros_recargas!$M$100*'Plan mensual'!H30</f>
        <v>17.0216227269297</v>
      </c>
      <c r="G26" s="26" t="n">
        <f aca="false">parametros_recargas!$E$100*'Plan mensual'!I21+parametros_recargas!$F$100*'Plan mensual'!I22+parametros_recargas!$G$100*'Plan mensual'!I23+parametros_recargas!$H$100*'Plan mensual'!I24+parametros_recargas!$I$100*'Plan mensual'!I25+parametros_recargas!$J$100*'Plan mensual'!I26+parametros_recargas!$K$100*'Plan mensual'!I27+parametros_recargas!$L$100*'Plan mensual'!I28+parametros_recargas!$M$100*'Plan mensual'!I30</f>
        <v>17.0216227269297</v>
      </c>
      <c r="H26" s="26" t="n">
        <f aca="false">parametros_recargas!$E$100*'Plan mensual'!J21+parametros_recargas!$F$100*'Plan mensual'!J22+parametros_recargas!$G$100*'Plan mensual'!J23+parametros_recargas!$H$100*'Plan mensual'!J24+parametros_recargas!$I$100*'Plan mensual'!J25+parametros_recargas!$J$100*'Plan mensual'!J26+parametros_recargas!$K$100*'Plan mensual'!J27+parametros_recargas!$L$100*'Plan mensual'!J28+parametros_recargas!$M$100*'Plan mensual'!J30</f>
        <v>17.0216227269297</v>
      </c>
      <c r="I26" s="26" t="n">
        <f aca="false">parametros_recargas!$E$100*'Plan mensual'!K21+parametros_recargas!$F$100*'Plan mensual'!K22+parametros_recargas!$G$100*'Plan mensual'!K23+parametros_recargas!$H$100*'Plan mensual'!K24+parametros_recargas!$I$100*'Plan mensual'!K25+parametros_recargas!$J$100*'Plan mensual'!K26+parametros_recargas!$K$100*'Plan mensual'!K27+parametros_recargas!$L$100*'Plan mensual'!K28+parametros_recargas!$M$100*'Plan mensual'!K30</f>
        <v>17.0216227269297</v>
      </c>
      <c r="J26" s="26" t="n">
        <f aca="false">parametros_recargas!$E$100*'Plan mensual'!L21+parametros_recargas!$F$100*'Plan mensual'!L22+parametros_recargas!$G$100*'Plan mensual'!L23+parametros_recargas!$H$100*'Plan mensual'!L24+parametros_recargas!$I$100*'Plan mensual'!L25+parametros_recargas!$J$100*'Plan mensual'!L26+parametros_recargas!$K$100*'Plan mensual'!L27+parametros_recargas!$L$100*'Plan mensual'!L28+parametros_recargas!$M$100*'Plan mensual'!L30</f>
        <v>17.0216227269297</v>
      </c>
      <c r="K26" s="26" t="n">
        <f aca="false">parametros_recargas!$E$100*'Plan mensual'!M21+parametros_recargas!$F$100*'Plan mensual'!M22+parametros_recargas!$G$100*'Plan mensual'!M23+parametros_recargas!$H$100*'Plan mensual'!M24+parametros_recargas!$I$100*'Plan mensual'!M25+parametros_recargas!$J$100*'Plan mensual'!M26+parametros_recargas!$K$100*'Plan mensual'!M27+parametros_recargas!$L$100*'Plan mensual'!M28+parametros_recargas!$M$100*'Plan mensual'!M30</f>
        <v>17.0216227269297</v>
      </c>
      <c r="L26" s="26" t="n">
        <f aca="false">parametros_recargas!$E$100*'Plan mensual'!N21+parametros_recargas!$F$100*'Plan mensual'!N22+parametros_recargas!$G$100*'Plan mensual'!N23+parametros_recargas!$H$100*'Plan mensual'!N24+parametros_recargas!$I$100*'Plan mensual'!N25+parametros_recargas!$J$100*'Plan mensual'!N26+parametros_recargas!$K$100*'Plan mensual'!N27+parametros_recargas!$L$100*'Plan mensual'!N28+parametros_recargas!$M$100*'Plan mensual'!N30</f>
        <v>17.0216227269297</v>
      </c>
      <c r="M26" s="26" t="n">
        <f aca="false">parametros_recargas!$E$100*'Plan mensual'!O21+parametros_recargas!$F$100*'Plan mensual'!O22+parametros_recargas!$G$100*'Plan mensual'!O23+parametros_recargas!$H$100*'Plan mensual'!O24+parametros_recargas!$I$100*'Plan mensual'!O25+parametros_recargas!$J$100*'Plan mensual'!O26+parametros_recargas!$K$100*'Plan mensual'!O27+parametros_recargas!$L$100*'Plan mensual'!O28+parametros_recargas!$M$100*'Plan mensual'!O30</f>
        <v>17.0216227269297</v>
      </c>
      <c r="N26" s="8" t="n">
        <f aca="false">SUM(B26:M26)</f>
        <v>214.097909283184</v>
      </c>
      <c r="O26" s="27" t="n">
        <f aca="false">MAX(B26:M26)</f>
        <v>26.8600592869575</v>
      </c>
      <c r="P26" s="13" t="n">
        <f aca="false">O26/parametros_recargas!$B$6</f>
        <v>0.17906706191305</v>
      </c>
    </row>
    <row r="27" customFormat="false" ht="15" hidden="false" customHeight="false" outlineLevel="0" collapsed="false">
      <c r="A27" s="10" t="str">
        <f aca="false">parametros_recargas!$B$101</f>
        <v>Ensayo de pérdidas</v>
      </c>
      <c r="B27" s="26" t="n">
        <f aca="false">parametros_recargas!$E$101*'Plan mensual'!D21+parametros_recargas!$F$101*'Plan mensual'!D22+parametros_recargas!$G$101*'Plan mensual'!D23+parametros_recargas!$H$101*'Plan mensual'!D24+parametros_recargas!$I$101*'Plan mensual'!D25+parametros_recargas!$J$101*'Plan mensual'!D26+parametros_recargas!$K$101*'Plan mensual'!D27+parametros_recargas!$L$101*'Plan mensual'!D28+parametros_recargas!$M$101*'Plan mensual'!D30</f>
        <v>182.578136966436</v>
      </c>
      <c r="C27" s="26" t="n">
        <f aca="false">parametros_recargas!$E$101*'Plan mensual'!E21+parametros_recargas!$F$101*'Plan mensual'!E22+parametros_recargas!$G$101*'Plan mensual'!E23+parametros_recargas!$H$101*'Plan mensual'!E24+parametros_recargas!$I$101*'Plan mensual'!E25+parametros_recargas!$J$101*'Plan mensual'!E26+parametros_recargas!$K$101*'Plan mensual'!E27+parametros_recargas!$L$101*'Plan mensual'!E28+parametros_recargas!$M$101*'Plan mensual'!E30</f>
        <v>440.822866149711</v>
      </c>
      <c r="D27" s="26" t="n">
        <f aca="false">parametros_recargas!$E$101*'Plan mensual'!F21+parametros_recargas!$F$101*'Plan mensual'!F22+parametros_recargas!$G$101*'Plan mensual'!F23+parametros_recargas!$H$101*'Plan mensual'!F24+parametros_recargas!$I$101*'Plan mensual'!F25+parametros_recargas!$J$101*'Plan mensual'!F26+parametros_recargas!$K$101*'Plan mensual'!F27+parametros_recargas!$L$101*'Plan mensual'!F28+parametros_recargas!$M$101*'Plan mensual'!F30</f>
        <v>364.772617554069</v>
      </c>
      <c r="E27" s="26" t="n">
        <f aca="false">parametros_recargas!$E$101*'Plan mensual'!G21+parametros_recargas!$F$101*'Plan mensual'!G22+parametros_recargas!$G$101*'Plan mensual'!G23+parametros_recargas!$H$101*'Plan mensual'!G24+parametros_recargas!$I$101*'Plan mensual'!G25+parametros_recargas!$J$101*'Plan mensual'!G26+parametros_recargas!$K$101*'Plan mensual'!G27+parametros_recargas!$L$101*'Plan mensual'!G28+parametros_recargas!$M$101*'Plan mensual'!G30</f>
        <v>366.183935685268</v>
      </c>
      <c r="F27" s="26" t="n">
        <f aca="false">parametros_recargas!$E$101*'Plan mensual'!H21+parametros_recargas!$F$101*'Plan mensual'!H22+parametros_recargas!$G$101*'Plan mensual'!H23+parametros_recargas!$H$101*'Plan mensual'!H24+parametros_recargas!$I$101*'Plan mensual'!H25+parametros_recargas!$J$101*'Plan mensual'!H26+parametros_recargas!$K$101*'Plan mensual'!H27+parametros_recargas!$L$101*'Plan mensual'!H28+parametros_recargas!$M$101*'Plan mensual'!H30</f>
        <v>366.117610409679</v>
      </c>
      <c r="G27" s="26" t="n">
        <f aca="false">parametros_recargas!$E$101*'Plan mensual'!I21+parametros_recargas!$F$101*'Plan mensual'!I22+parametros_recargas!$G$101*'Plan mensual'!I23+parametros_recargas!$H$101*'Plan mensual'!I24+parametros_recargas!$I$101*'Plan mensual'!I25+parametros_recargas!$J$101*'Plan mensual'!I26+parametros_recargas!$K$101*'Plan mensual'!I27+parametros_recargas!$L$101*'Plan mensual'!I28+parametros_recargas!$M$101*'Plan mensual'!I30</f>
        <v>365.05222522399</v>
      </c>
      <c r="H27" s="26" t="n">
        <f aca="false">parametros_recargas!$E$101*'Plan mensual'!J21+parametros_recargas!$F$101*'Plan mensual'!J22+parametros_recargas!$G$101*'Plan mensual'!J23+parametros_recargas!$H$101*'Plan mensual'!J24+parametros_recargas!$I$101*'Plan mensual'!J25+parametros_recargas!$J$101*'Plan mensual'!J26+parametros_recargas!$K$101*'Plan mensual'!J27+parametros_recargas!$L$101*'Plan mensual'!J28+parametros_recargas!$M$101*'Plan mensual'!J30</f>
        <v>367.557035661173</v>
      </c>
      <c r="I27" s="26" t="n">
        <f aca="false">parametros_recargas!$E$101*'Plan mensual'!K21+parametros_recargas!$F$101*'Plan mensual'!K22+parametros_recargas!$G$101*'Plan mensual'!K23+parametros_recargas!$H$101*'Plan mensual'!K24+parametros_recargas!$I$101*'Plan mensual'!K25+parametros_recargas!$J$101*'Plan mensual'!K26+parametros_recargas!$K$101*'Plan mensual'!K27+parametros_recargas!$L$101*'Plan mensual'!K28+parametros_recargas!$M$101*'Plan mensual'!K30</f>
        <v>365.968770431751</v>
      </c>
      <c r="J27" s="26" t="n">
        <f aca="false">parametros_recargas!$E$101*'Plan mensual'!L21+parametros_recargas!$F$101*'Plan mensual'!L22+parametros_recargas!$G$101*'Plan mensual'!L23+parametros_recargas!$H$101*'Plan mensual'!L24+parametros_recargas!$I$101*'Plan mensual'!L25+parametros_recargas!$J$101*'Plan mensual'!L26+parametros_recargas!$K$101*'Plan mensual'!L27+parametros_recargas!$L$101*'Plan mensual'!L28+parametros_recargas!$M$101*'Plan mensual'!L30</f>
        <v>366.089194118672</v>
      </c>
      <c r="K27" s="26" t="n">
        <f aca="false">parametros_recargas!$E$101*'Plan mensual'!M21+parametros_recargas!$F$101*'Plan mensual'!M22+parametros_recargas!$G$101*'Plan mensual'!M23+parametros_recargas!$H$101*'Plan mensual'!M24+parametros_recargas!$I$101*'Plan mensual'!M25+parametros_recargas!$J$101*'Plan mensual'!M26+parametros_recargas!$K$101*'Plan mensual'!M27+parametros_recargas!$L$101*'Plan mensual'!M28+parametros_recargas!$M$101*'Plan mensual'!M30</f>
        <v>364.876033618702</v>
      </c>
      <c r="L27" s="26" t="n">
        <f aca="false">parametros_recargas!$E$101*'Plan mensual'!N21+parametros_recargas!$F$101*'Plan mensual'!N22+parametros_recargas!$G$101*'Plan mensual'!N23+parametros_recargas!$H$101*'Plan mensual'!N24+parametros_recargas!$I$101*'Plan mensual'!N25+parametros_recargas!$J$101*'Plan mensual'!N26+parametros_recargas!$K$101*'Plan mensual'!N27+parametros_recargas!$L$101*'Plan mensual'!N28+parametros_recargas!$M$101*'Plan mensual'!N30</f>
        <v>361.08307640596</v>
      </c>
      <c r="M27" s="26" t="n">
        <f aca="false">parametros_recargas!$E$101*'Plan mensual'!O21+parametros_recargas!$F$101*'Plan mensual'!O22+parametros_recargas!$G$101*'Plan mensual'!O23+parametros_recargas!$H$101*'Plan mensual'!O24+parametros_recargas!$I$101*'Plan mensual'!O25+parametros_recargas!$J$101*'Plan mensual'!O26+parametros_recargas!$K$101*'Plan mensual'!O27+parametros_recargas!$L$101*'Plan mensual'!O28+parametros_recargas!$M$101*'Plan mensual'!O30</f>
        <v>173.150863455508</v>
      </c>
      <c r="N27" s="8" t="n">
        <f aca="false">SUM(B27:M27)</f>
        <v>4084.25236568092</v>
      </c>
      <c r="O27" s="27" t="n">
        <f aca="false">MAX(B27:M27)</f>
        <v>440.822866149711</v>
      </c>
      <c r="P27" s="13" t="n">
        <f aca="false">O27/parametros_recargas!$B$6</f>
        <v>2.93881910766474</v>
      </c>
    </row>
    <row r="28" customFormat="false" ht="15" hidden="false" customHeight="false" outlineLevel="0" collapsed="false">
      <c r="A28" s="10" t="str">
        <f aca="false">parametros_recargas!$B$102</f>
        <v>Precinto, etiqueta y despacho</v>
      </c>
      <c r="B28" s="26" t="n">
        <f aca="false">parametros_recargas!$E$102*'Plan mensual'!D21+parametros_recargas!$F$102*'Plan mensual'!D22+parametros_recargas!$G$102*'Plan mensual'!D23+parametros_recargas!$H$102*'Plan mensual'!D24+parametros_recargas!$I$102*'Plan mensual'!D25+parametros_recargas!$J$102*'Plan mensual'!D26+parametros_recargas!$K$102*'Plan mensual'!D27+parametros_recargas!$L$102*'Plan mensual'!D28+parametros_recargas!$M$102*'Plan mensual'!D30</f>
        <v>182.578136966436</v>
      </c>
      <c r="C28" s="26" t="n">
        <f aca="false">parametros_recargas!$E$102*'Plan mensual'!E21+parametros_recargas!$F$102*'Plan mensual'!E22+parametros_recargas!$G$102*'Plan mensual'!E23+parametros_recargas!$H$102*'Plan mensual'!E24+parametros_recargas!$I$102*'Plan mensual'!E25+parametros_recargas!$J$102*'Plan mensual'!E26+parametros_recargas!$K$102*'Plan mensual'!E27+parametros_recargas!$L$102*'Plan mensual'!E28+parametros_recargas!$M$102*'Plan mensual'!E30</f>
        <v>440.822866149711</v>
      </c>
      <c r="D28" s="26" t="n">
        <f aca="false">parametros_recargas!$E$102*'Plan mensual'!F21+parametros_recargas!$F$102*'Plan mensual'!F22+parametros_recargas!$G$102*'Plan mensual'!F23+parametros_recargas!$H$102*'Plan mensual'!F24+parametros_recargas!$I$102*'Plan mensual'!F25+parametros_recargas!$J$102*'Plan mensual'!F26+parametros_recargas!$K$102*'Plan mensual'!F27+parametros_recargas!$L$102*'Plan mensual'!F28+parametros_recargas!$M$102*'Plan mensual'!F30</f>
        <v>364.772617554069</v>
      </c>
      <c r="E28" s="26" t="n">
        <f aca="false">parametros_recargas!$E$102*'Plan mensual'!G21+parametros_recargas!$F$102*'Plan mensual'!G22+parametros_recargas!$G$102*'Plan mensual'!G23+parametros_recargas!$H$102*'Plan mensual'!G24+parametros_recargas!$I$102*'Plan mensual'!G25+parametros_recargas!$J$102*'Plan mensual'!G26+parametros_recargas!$K$102*'Plan mensual'!G27+parametros_recargas!$L$102*'Plan mensual'!G28+parametros_recargas!$M$102*'Plan mensual'!G30</f>
        <v>366.183935685268</v>
      </c>
      <c r="F28" s="26" t="n">
        <f aca="false">parametros_recargas!$E$102*'Plan mensual'!H21+parametros_recargas!$F$102*'Plan mensual'!H22+parametros_recargas!$G$102*'Plan mensual'!H23+parametros_recargas!$H$102*'Plan mensual'!H24+parametros_recargas!$I$102*'Plan mensual'!H25+parametros_recargas!$J$102*'Plan mensual'!H26+parametros_recargas!$K$102*'Plan mensual'!H27+parametros_recargas!$L$102*'Plan mensual'!H28+parametros_recargas!$M$102*'Plan mensual'!H30</f>
        <v>366.117610409679</v>
      </c>
      <c r="G28" s="26" t="n">
        <f aca="false">parametros_recargas!$E$102*'Plan mensual'!I21+parametros_recargas!$F$102*'Plan mensual'!I22+parametros_recargas!$G$102*'Plan mensual'!I23+parametros_recargas!$H$102*'Plan mensual'!I24+parametros_recargas!$I$102*'Plan mensual'!I25+parametros_recargas!$J$102*'Plan mensual'!I26+parametros_recargas!$K$102*'Plan mensual'!I27+parametros_recargas!$L$102*'Plan mensual'!I28+parametros_recargas!$M$102*'Plan mensual'!I30</f>
        <v>365.05222522399</v>
      </c>
      <c r="H28" s="26" t="n">
        <f aca="false">parametros_recargas!$E$102*'Plan mensual'!J21+parametros_recargas!$F$102*'Plan mensual'!J22+parametros_recargas!$G$102*'Plan mensual'!J23+parametros_recargas!$H$102*'Plan mensual'!J24+parametros_recargas!$I$102*'Plan mensual'!J25+parametros_recargas!$J$102*'Plan mensual'!J26+parametros_recargas!$K$102*'Plan mensual'!J27+parametros_recargas!$L$102*'Plan mensual'!J28+parametros_recargas!$M$102*'Plan mensual'!J30</f>
        <v>367.557035661173</v>
      </c>
      <c r="I28" s="26" t="n">
        <f aca="false">parametros_recargas!$E$102*'Plan mensual'!K21+parametros_recargas!$F$102*'Plan mensual'!K22+parametros_recargas!$G$102*'Plan mensual'!K23+parametros_recargas!$H$102*'Plan mensual'!K24+parametros_recargas!$I$102*'Plan mensual'!K25+parametros_recargas!$J$102*'Plan mensual'!K26+parametros_recargas!$K$102*'Plan mensual'!K27+parametros_recargas!$L$102*'Plan mensual'!K28+parametros_recargas!$M$102*'Plan mensual'!K30</f>
        <v>365.968770431751</v>
      </c>
      <c r="J28" s="26" t="n">
        <f aca="false">parametros_recargas!$E$102*'Plan mensual'!L21+parametros_recargas!$F$102*'Plan mensual'!L22+parametros_recargas!$G$102*'Plan mensual'!L23+parametros_recargas!$H$102*'Plan mensual'!L24+parametros_recargas!$I$102*'Plan mensual'!L25+parametros_recargas!$J$102*'Plan mensual'!L26+parametros_recargas!$K$102*'Plan mensual'!L27+parametros_recargas!$L$102*'Plan mensual'!L28+parametros_recargas!$M$102*'Plan mensual'!L30</f>
        <v>366.089194118672</v>
      </c>
      <c r="K28" s="26" t="n">
        <f aca="false">parametros_recargas!$E$102*'Plan mensual'!M21+parametros_recargas!$F$102*'Plan mensual'!M22+parametros_recargas!$G$102*'Plan mensual'!M23+parametros_recargas!$H$102*'Plan mensual'!M24+parametros_recargas!$I$102*'Plan mensual'!M25+parametros_recargas!$J$102*'Plan mensual'!M26+parametros_recargas!$K$102*'Plan mensual'!M27+parametros_recargas!$L$102*'Plan mensual'!M28+parametros_recargas!$M$102*'Plan mensual'!M30</f>
        <v>364.876033618702</v>
      </c>
      <c r="L28" s="26" t="n">
        <f aca="false">parametros_recargas!$E$102*'Plan mensual'!N21+parametros_recargas!$F$102*'Plan mensual'!N22+parametros_recargas!$G$102*'Plan mensual'!N23+parametros_recargas!$H$102*'Plan mensual'!N24+parametros_recargas!$I$102*'Plan mensual'!N25+parametros_recargas!$J$102*'Plan mensual'!N26+parametros_recargas!$K$102*'Plan mensual'!N27+parametros_recargas!$L$102*'Plan mensual'!N28+parametros_recargas!$M$102*'Plan mensual'!N30</f>
        <v>361.08307640596</v>
      </c>
      <c r="M28" s="26" t="n">
        <f aca="false">parametros_recargas!$E$102*'Plan mensual'!O21+parametros_recargas!$F$102*'Plan mensual'!O22+parametros_recargas!$G$102*'Plan mensual'!O23+parametros_recargas!$H$102*'Plan mensual'!O24+parametros_recargas!$I$102*'Plan mensual'!O25+parametros_recargas!$J$102*'Plan mensual'!O26+parametros_recargas!$K$102*'Plan mensual'!O27+parametros_recargas!$L$102*'Plan mensual'!O28+parametros_recargas!$M$102*'Plan mensual'!O30</f>
        <v>173.150863455508</v>
      </c>
      <c r="N28" s="8" t="n">
        <f aca="false">SUM(B28:M28)</f>
        <v>4084.25236568092</v>
      </c>
      <c r="O28" s="27" t="n">
        <f aca="false">MAX(B28:M28)</f>
        <v>440.822866149711</v>
      </c>
      <c r="P28" s="13" t="n">
        <f aca="false">O28/parametros_recargas!$B$6</f>
        <v>2.93881910766474</v>
      </c>
    </row>
    <row r="29" customFormat="false" ht="15" hidden="false" customHeight="false" outlineLevel="0" collapsed="false">
      <c r="A29" s="10" t="str">
        <f aca="false">parametros_recargas!$B$103</f>
        <v>Inutilización y disposición final</v>
      </c>
      <c r="B29" s="26" t="n">
        <f aca="false">parametros_recargas!$E$103*'Plan mensual'!D21+parametros_recargas!$F$103*'Plan mensual'!D22+parametros_recargas!$G$103*'Plan mensual'!D23+parametros_recargas!$H$103*'Plan mensual'!D24+parametros_recargas!$I$103*'Plan mensual'!D25+parametros_recargas!$J$103*'Plan mensual'!D26+parametros_recargas!$K$103*'Plan mensual'!D27+parametros_recargas!$L$103*'Plan mensual'!D28+parametros_recargas!$M$103*'Plan mensual'!D30</f>
        <v>13.7868060639815</v>
      </c>
      <c r="C29" s="26" t="n">
        <f aca="false">parametros_recargas!$E$103*'Plan mensual'!E21+parametros_recargas!$F$103*'Plan mensual'!E22+parametros_recargas!$G$103*'Plan mensual'!E23+parametros_recargas!$H$103*'Plan mensual'!E24+parametros_recargas!$I$103*'Plan mensual'!E25+parametros_recargas!$J$103*'Plan mensual'!E26+parametros_recargas!$K$103*'Plan mensual'!E27+parametros_recargas!$L$103*'Plan mensual'!E28+parametros_recargas!$M$103*'Plan mensual'!E30</f>
        <v>34.2592715269402</v>
      </c>
      <c r="D29" s="26" t="n">
        <f aca="false">parametros_recargas!$E$103*'Plan mensual'!F21+parametros_recargas!$F$103*'Plan mensual'!F22+parametros_recargas!$G$103*'Plan mensual'!F23+parametros_recargas!$H$103*'Plan mensual'!F24+parametros_recargas!$I$103*'Plan mensual'!F25+parametros_recargas!$J$103*'Plan mensual'!F26+parametros_recargas!$K$103*'Plan mensual'!F27+parametros_recargas!$L$103*'Plan mensual'!F28+parametros_recargas!$M$103*'Plan mensual'!F30</f>
        <v>28.3857871447922</v>
      </c>
      <c r="E29" s="26" t="n">
        <f aca="false">parametros_recargas!$E$103*'Plan mensual'!G21+parametros_recargas!$F$103*'Plan mensual'!G22+parametros_recargas!$G$103*'Plan mensual'!G23+parametros_recargas!$H$103*'Plan mensual'!G24+parametros_recargas!$I$103*'Plan mensual'!G25+parametros_recargas!$J$103*'Plan mensual'!G26+parametros_recargas!$K$103*'Plan mensual'!G27+parametros_recargas!$L$103*'Plan mensual'!G28+parametros_recargas!$M$103*'Plan mensual'!G30</f>
        <v>28.4986925952881</v>
      </c>
      <c r="F29" s="26" t="n">
        <f aca="false">parametros_recargas!$E$103*'Plan mensual'!H21+parametros_recargas!$F$103*'Plan mensual'!H22+parametros_recargas!$G$103*'Plan mensual'!H23+parametros_recargas!$H$103*'Plan mensual'!H24+parametros_recargas!$I$103*'Plan mensual'!H25+parametros_recargas!$J$103*'Plan mensual'!H26+parametros_recargas!$K$103*'Plan mensual'!H27+parametros_recargas!$L$103*'Plan mensual'!H28+parametros_recargas!$M$103*'Plan mensual'!H30</f>
        <v>28.504586573241</v>
      </c>
      <c r="G29" s="26" t="n">
        <f aca="false">parametros_recargas!$E$103*'Plan mensual'!I21+parametros_recargas!$F$103*'Plan mensual'!I22+parametros_recargas!$G$103*'Plan mensual'!I23+parametros_recargas!$H$103*'Plan mensual'!I24+parametros_recargas!$I$103*'Plan mensual'!I25+parametros_recargas!$J$103*'Plan mensual'!I26+parametros_recargas!$K$103*'Plan mensual'!I27+parametros_recargas!$L$103*'Plan mensual'!I28+parametros_recargas!$M$103*'Plan mensual'!I30</f>
        <v>28.4509104907858</v>
      </c>
      <c r="H29" s="26" t="n">
        <f aca="false">parametros_recargas!$E$103*'Plan mensual'!J21+parametros_recargas!$F$103*'Plan mensual'!J22+parametros_recargas!$G$103*'Plan mensual'!J23+parametros_recargas!$H$103*'Plan mensual'!J24+parametros_recargas!$I$103*'Plan mensual'!J25+parametros_recargas!$J$103*'Plan mensual'!J26+parametros_recargas!$K$103*'Plan mensual'!J27+parametros_recargas!$L$103*'Plan mensual'!J28+parametros_recargas!$M$103*'Plan mensual'!J30</f>
        <v>28.6197405933605</v>
      </c>
      <c r="I29" s="26" t="n">
        <f aca="false">parametros_recargas!$E$103*'Plan mensual'!K21+parametros_recargas!$F$103*'Plan mensual'!K22+parametros_recargas!$G$103*'Plan mensual'!K23+parametros_recargas!$H$103*'Plan mensual'!K24+parametros_recargas!$I$103*'Plan mensual'!K25+parametros_recargas!$J$103*'Plan mensual'!K26+parametros_recargas!$K$103*'Plan mensual'!K27+parametros_recargas!$L$103*'Plan mensual'!K28+parametros_recargas!$M$103*'Plan mensual'!K30</f>
        <v>28.4926793750067</v>
      </c>
      <c r="J29" s="26" t="n">
        <f aca="false">parametros_recargas!$E$103*'Plan mensual'!L21+parametros_recargas!$F$103*'Plan mensual'!L22+parametros_recargas!$G$103*'Plan mensual'!L23+parametros_recargas!$H$103*'Plan mensual'!L24+parametros_recargas!$I$103*'Plan mensual'!L25+parametros_recargas!$J$103*'Plan mensual'!L26+parametros_recargas!$K$103*'Plan mensual'!L27+parametros_recargas!$L$103*'Plan mensual'!L28+parametros_recargas!$M$103*'Plan mensual'!L30</f>
        <v>28.5124906361604</v>
      </c>
      <c r="K29" s="26" t="n">
        <f aca="false">parametros_recargas!$E$103*'Plan mensual'!M21+parametros_recargas!$F$103*'Plan mensual'!M22+parametros_recargas!$G$103*'Plan mensual'!M23+parametros_recargas!$H$103*'Plan mensual'!M24+parametros_recargas!$I$103*'Plan mensual'!M25+parametros_recargas!$J$103*'Plan mensual'!M26+parametros_recargas!$K$103*'Plan mensual'!M27+parametros_recargas!$L$103*'Plan mensual'!M28+parametros_recargas!$M$103*'Plan mensual'!M30</f>
        <v>28.4469925285628</v>
      </c>
      <c r="L29" s="26" t="n">
        <f aca="false">parametros_recargas!$E$103*'Plan mensual'!N21+parametros_recargas!$F$103*'Plan mensual'!N22+parametros_recargas!$G$103*'Plan mensual'!N23+parametros_recargas!$H$103*'Plan mensual'!N24+parametros_recargas!$I$103*'Plan mensual'!N25+parametros_recargas!$J$103*'Plan mensual'!N26+parametros_recargas!$K$103*'Plan mensual'!N27+parametros_recargas!$L$103*'Plan mensual'!N28+parametros_recargas!$M$103*'Plan mensual'!N30</f>
        <v>28.1649333177434</v>
      </c>
      <c r="M29" s="26" t="n">
        <f aca="false">parametros_recargas!$E$103*'Plan mensual'!O21+parametros_recargas!$F$103*'Plan mensual'!O22+parametros_recargas!$G$103*'Plan mensual'!O23+parametros_recargas!$H$103*'Plan mensual'!O24+parametros_recargas!$I$103*'Plan mensual'!O25+parametros_recargas!$J$103*'Plan mensual'!O26+parametros_recargas!$K$103*'Plan mensual'!O27+parametros_recargas!$L$103*'Plan mensual'!O28+parametros_recargas!$M$103*'Plan mensual'!O30</f>
        <v>13.0204015493073</v>
      </c>
      <c r="N29" s="8" t="n">
        <f aca="false">SUM(B29:M29)</f>
        <v>317.14329239517</v>
      </c>
      <c r="O29" s="27" t="n">
        <f aca="false">MAX(B29:M29)</f>
        <v>34.2592715269402</v>
      </c>
      <c r="P29" s="13" t="n">
        <f aca="false">O29/parametros_recargas!$B$6</f>
        <v>0.228395143512935</v>
      </c>
    </row>
    <row r="30" customFormat="false" ht="15" hidden="false" customHeight="false" outlineLevel="0" collapsed="false">
      <c r="A30" s="10" t="str">
        <f aca="false">parametros_recargas!$B$104</f>
        <v>PH de mangueras (CO₂ y rodantes)</v>
      </c>
      <c r="B30" s="26" t="n">
        <f aca="false">'Plan mensual'!D29</f>
        <v>9.48036052899304</v>
      </c>
      <c r="C30" s="26" t="n">
        <f aca="false">'Plan mensual'!E29</f>
        <v>10.5578240360324</v>
      </c>
      <c r="D30" s="26" t="n">
        <f aca="false">'Plan mensual'!F29</f>
        <v>9.48036052899304</v>
      </c>
      <c r="E30" s="26" t="n">
        <f aca="false">'Plan mensual'!G29</f>
        <v>9.48036052899304</v>
      </c>
      <c r="F30" s="26" t="n">
        <f aca="false">'Plan mensual'!H29</f>
        <v>9.48036052899304</v>
      </c>
      <c r="G30" s="26" t="n">
        <f aca="false">'Plan mensual'!I29</f>
        <v>9.48036052899304</v>
      </c>
      <c r="H30" s="26" t="n">
        <f aca="false">'Plan mensual'!J29</f>
        <v>9.48036052899304</v>
      </c>
      <c r="I30" s="26" t="n">
        <f aca="false">'Plan mensual'!K29</f>
        <v>9.48036052899304</v>
      </c>
      <c r="J30" s="26" t="n">
        <f aca="false">'Plan mensual'!L29</f>
        <v>9.48036052899304</v>
      </c>
      <c r="K30" s="26" t="n">
        <f aca="false">'Plan mensual'!M29</f>
        <v>9.48036052899304</v>
      </c>
      <c r="L30" s="26" t="n">
        <f aca="false">'Plan mensual'!N29</f>
        <v>9.48036052899304</v>
      </c>
      <c r="M30" s="26" t="n">
        <f aca="false">'Plan mensual'!O29</f>
        <v>9.48036052899304</v>
      </c>
      <c r="N30" s="8" t="n">
        <f aca="false">SUM(B30:M30)</f>
        <v>114.841789854956</v>
      </c>
      <c r="O30" s="27" t="n">
        <f aca="false">MAX(B30:M30)</f>
        <v>10.5578240360324</v>
      </c>
      <c r="P30" s="13" t="n">
        <f aca="false">O30/parametros_recargas!$B$6</f>
        <v>0.0703854935735496</v>
      </c>
    </row>
    <row r="33" customFormat="false" ht="23.85" hidden="false" customHeight="false" outlineLevel="0" collapsed="false">
      <c r="A33" s="6" t="s">
        <v>438</v>
      </c>
      <c r="B33" s="6" t="s">
        <v>175</v>
      </c>
      <c r="C33" s="6" t="s">
        <v>176</v>
      </c>
      <c r="D33" s="6" t="s">
        <v>177</v>
      </c>
      <c r="E33" s="6" t="s">
        <v>178</v>
      </c>
      <c r="F33" s="6" t="s">
        <v>179</v>
      </c>
      <c r="G33" s="6" t="s">
        <v>180</v>
      </c>
      <c r="H33" s="6" t="s">
        <v>181</v>
      </c>
      <c r="I33" s="6" t="s">
        <v>182</v>
      </c>
      <c r="J33" s="6" t="s">
        <v>183</v>
      </c>
      <c r="K33" s="6" t="s">
        <v>184</v>
      </c>
      <c r="L33" s="6" t="s">
        <v>185</v>
      </c>
      <c r="M33" s="6" t="s">
        <v>186</v>
      </c>
      <c r="N33" s="6" t="s">
        <v>435</v>
      </c>
      <c r="O33" s="6" t="s">
        <v>436</v>
      </c>
      <c r="P33" s="6" t="s">
        <v>437</v>
      </c>
    </row>
    <row r="34" customFormat="false" ht="15" hidden="false" customHeight="false" outlineLevel="0" collapsed="false">
      <c r="A34" s="10" t="str">
        <f aca="false">parametros_recargas!$B$76</f>
        <v>Recepción y registro</v>
      </c>
      <c r="B34" s="26" t="n">
        <f aca="false">parametros_recargas!$E$76*'Plan mensual'!D53+parametros_recargas!$F$76*'Plan mensual'!D54+parametros_recargas!$G$76*'Plan mensual'!D55+parametros_recargas!$H$76*'Plan mensual'!D56+parametros_recargas!$I$76*'Plan mensual'!D57+parametros_recargas!$J$76*'Plan mensual'!D58+parametros_recargas!$K$76*'Plan mensual'!D59+parametros_recargas!$L$76*'Plan mensual'!D60+parametros_recargas!$M$76*'Plan mensual'!D62</f>
        <v>776.693080662428</v>
      </c>
      <c r="C34" s="26" t="n">
        <f aca="false">parametros_recargas!$E$76*'Plan mensual'!E53+parametros_recargas!$F$76*'Plan mensual'!E54+parametros_recargas!$G$76*'Plan mensual'!E55+parametros_recargas!$H$76*'Plan mensual'!E56+parametros_recargas!$I$76*'Plan mensual'!E57+parametros_recargas!$J$76*'Plan mensual'!E58+parametros_recargas!$K$76*'Plan mensual'!E59+parametros_recargas!$L$76*'Plan mensual'!E60+parametros_recargas!$M$76*'Plan mensual'!E62</f>
        <v>1964.31430002488</v>
      </c>
      <c r="D34" s="26" t="n">
        <f aca="false">parametros_recargas!$E$76*'Plan mensual'!F53+parametros_recargas!$F$76*'Plan mensual'!F54+parametros_recargas!$G$76*'Plan mensual'!F55+parametros_recargas!$H$76*'Plan mensual'!F56+parametros_recargas!$I$76*'Plan mensual'!F57+parametros_recargas!$J$76*'Plan mensual'!F58+parametros_recargas!$K$76*'Plan mensual'!F59+parametros_recargas!$L$76*'Plan mensual'!F60+parametros_recargas!$M$76*'Plan mensual'!F62</f>
        <v>1660.37575189809</v>
      </c>
      <c r="E34" s="26" t="n">
        <f aca="false">parametros_recargas!$E$76*'Plan mensual'!G53+parametros_recargas!$F$76*'Plan mensual'!G54+parametros_recargas!$G$76*'Plan mensual'!G55+parametros_recargas!$H$76*'Plan mensual'!G56+parametros_recargas!$I$76*'Plan mensual'!G57+parametros_recargas!$J$76*'Plan mensual'!G58+parametros_recargas!$K$76*'Plan mensual'!G59+parametros_recargas!$L$76*'Plan mensual'!G60+parametros_recargas!$M$76*'Plan mensual'!G62</f>
        <v>1667.21905366366</v>
      </c>
      <c r="F34" s="26" t="n">
        <f aca="false">parametros_recargas!$E$76*'Plan mensual'!H53+parametros_recargas!$F$76*'Plan mensual'!H54+parametros_recargas!$G$76*'Plan mensual'!H55+parametros_recargas!$H$76*'Plan mensual'!H56+parametros_recargas!$I$76*'Plan mensual'!H57+parametros_recargas!$J$76*'Plan mensual'!H58+parametros_recargas!$K$76*'Plan mensual'!H59+parametros_recargas!$L$76*'Plan mensual'!H60+parametros_recargas!$M$76*'Plan mensual'!H62</f>
        <v>1667.16009301353</v>
      </c>
      <c r="G34" s="26" t="n">
        <f aca="false">parametros_recargas!$E$76*'Plan mensual'!I53+parametros_recargas!$F$76*'Plan mensual'!I54+parametros_recargas!$G$76*'Plan mensual'!I55+parametros_recargas!$H$76*'Plan mensual'!I56+parametros_recargas!$I$76*'Plan mensual'!I57+parametros_recargas!$J$76*'Plan mensual'!I58+parametros_recargas!$K$76*'Plan mensual'!I59+parametros_recargas!$L$76*'Plan mensual'!I60+parametros_recargas!$M$76*'Plan mensual'!I62</f>
        <v>1663.34296515907</v>
      </c>
      <c r="H34" s="26" t="n">
        <f aca="false">parametros_recargas!$E$76*'Plan mensual'!J53+parametros_recargas!$F$76*'Plan mensual'!J54+parametros_recargas!$G$76*'Plan mensual'!J55+parametros_recargas!$H$76*'Plan mensual'!J56+parametros_recargas!$I$76*'Plan mensual'!J57+parametros_recargas!$J$76*'Plan mensual'!J58+parametros_recargas!$K$76*'Plan mensual'!J59+parametros_recargas!$L$76*'Plan mensual'!J60+parametros_recargas!$M$76*'Plan mensual'!J62</f>
        <v>1674.13968262356</v>
      </c>
      <c r="I34" s="26" t="n">
        <f aca="false">parametros_recargas!$E$76*'Plan mensual'!K53+parametros_recargas!$F$76*'Plan mensual'!K54+parametros_recargas!$G$76*'Plan mensual'!K55+parametros_recargas!$H$76*'Plan mensual'!K56+parametros_recargas!$I$76*'Plan mensual'!K57+parametros_recargas!$J$76*'Plan mensual'!K58+parametros_recargas!$K$76*'Plan mensual'!K59+parametros_recargas!$L$76*'Plan mensual'!K60+parametros_recargas!$M$76*'Plan mensual'!K62</f>
        <v>1666.43838692811</v>
      </c>
      <c r="J34" s="26" t="n">
        <f aca="false">parametros_recargas!$E$76*'Plan mensual'!L53+parametros_recargas!$F$76*'Plan mensual'!L54+parametros_recargas!$G$76*'Plan mensual'!L55+parametros_recargas!$H$76*'Plan mensual'!L56+parametros_recargas!$I$76*'Plan mensual'!L57+parametros_recargas!$J$76*'Plan mensual'!L58+parametros_recargas!$K$76*'Plan mensual'!L59+parametros_recargas!$L$76*'Plan mensual'!L60+parametros_recargas!$M$76*'Plan mensual'!L62</f>
        <v>1667.56537953151</v>
      </c>
      <c r="K34" s="26" t="n">
        <f aca="false">parametros_recargas!$E$76*'Plan mensual'!M53+parametros_recargas!$F$76*'Plan mensual'!M54+parametros_recargas!$G$76*'Plan mensual'!M55+parametros_recargas!$H$76*'Plan mensual'!M56+parametros_recargas!$I$76*'Plan mensual'!M57+parametros_recargas!$J$76*'Plan mensual'!M58+parametros_recargas!$K$76*'Plan mensual'!M59+parametros_recargas!$L$76*'Plan mensual'!M60+parametros_recargas!$M$76*'Plan mensual'!M62</f>
        <v>1663.03170800999</v>
      </c>
      <c r="L34" s="26" t="n">
        <f aca="false">parametros_recargas!$E$76*'Plan mensual'!N53+parametros_recargas!$F$76*'Plan mensual'!N54+parametros_recargas!$G$76*'Plan mensual'!N55+parametros_recargas!$H$76*'Plan mensual'!N56+parametros_recargas!$I$76*'Plan mensual'!N57+parametros_recargas!$J$76*'Plan mensual'!N58+parametros_recargas!$K$76*'Plan mensual'!N59+parametros_recargas!$L$76*'Plan mensual'!N60+parametros_recargas!$M$76*'Plan mensual'!N62</f>
        <v>1645.44585749514</v>
      </c>
      <c r="M34" s="26" t="n">
        <f aca="false">parametros_recargas!$E$76*'Plan mensual'!O53+parametros_recargas!$F$76*'Plan mensual'!O54+parametros_recargas!$G$76*'Plan mensual'!O55+parametros_recargas!$H$76*'Plan mensual'!O56+parametros_recargas!$I$76*'Plan mensual'!O57+parametros_recargas!$J$76*'Plan mensual'!O58+parametros_recargas!$K$76*'Plan mensual'!O59+parametros_recargas!$L$76*'Plan mensual'!O60+parametros_recargas!$M$76*'Plan mensual'!O62</f>
        <v>730.999221954965</v>
      </c>
      <c r="N34" s="8" t="n">
        <f aca="false">SUM(B34:M34)</f>
        <v>18446.7254809649</v>
      </c>
      <c r="O34" s="27" t="n">
        <f aca="false">MAX(B34:M34)</f>
        <v>1964.31430002488</v>
      </c>
      <c r="P34" s="13" t="n">
        <f aca="false">O34/parametros_recargas!$B$6</f>
        <v>13.0954286668325</v>
      </c>
    </row>
    <row r="35" customFormat="false" ht="15" hidden="false" customHeight="false" outlineLevel="0" collapsed="false">
      <c r="A35" s="10" t="str">
        <f aca="false">parametros_recargas!$B$77</f>
        <v>Inspección visual</v>
      </c>
      <c r="B35" s="26" t="n">
        <f aca="false">parametros_recargas!$E$77*'Plan mensual'!D53+parametros_recargas!$F$77*'Plan mensual'!D54+parametros_recargas!$G$77*'Plan mensual'!D55+parametros_recargas!$H$77*'Plan mensual'!D56+parametros_recargas!$I$77*'Plan mensual'!D57+parametros_recargas!$J$77*'Plan mensual'!D58+parametros_recargas!$K$77*'Plan mensual'!D59+parametros_recargas!$L$77*'Plan mensual'!D60+parametros_recargas!$M$77*'Plan mensual'!D62</f>
        <v>767.114720278278</v>
      </c>
      <c r="C35" s="26" t="n">
        <f aca="false">parametros_recargas!$E$77*'Plan mensual'!E53+parametros_recargas!$F$77*'Plan mensual'!E54+parametros_recargas!$G$77*'Plan mensual'!E55+parametros_recargas!$H$77*'Plan mensual'!E56+parametros_recargas!$I$77*'Plan mensual'!E57+parametros_recargas!$J$77*'Plan mensual'!E58+parametros_recargas!$K$77*'Plan mensual'!E59+parametros_recargas!$L$77*'Plan mensual'!E60+parametros_recargas!$M$77*'Plan mensual'!E62</f>
        <v>1956.54831145063</v>
      </c>
      <c r="D35" s="26" t="n">
        <f aca="false">parametros_recargas!$E$77*'Plan mensual'!F53+parametros_recargas!$F$77*'Plan mensual'!F54+parametros_recargas!$G$77*'Plan mensual'!F55+parametros_recargas!$H$77*'Plan mensual'!F56+parametros_recargas!$I$77*'Plan mensual'!F57+parametros_recargas!$J$77*'Plan mensual'!F58+parametros_recargas!$K$77*'Plan mensual'!F59+parametros_recargas!$L$77*'Plan mensual'!F60+parametros_recargas!$M$77*'Plan mensual'!F62</f>
        <v>1651.97220560899</v>
      </c>
      <c r="E35" s="26" t="n">
        <f aca="false">parametros_recargas!$E$77*'Plan mensual'!G53+parametros_recargas!$F$77*'Plan mensual'!G54+parametros_recargas!$G$77*'Plan mensual'!G55+parametros_recargas!$H$77*'Plan mensual'!G56+parametros_recargas!$I$77*'Plan mensual'!G57+parametros_recargas!$J$77*'Plan mensual'!G58+parametros_recargas!$K$77*'Plan mensual'!G59+parametros_recargas!$L$77*'Plan mensual'!G60+parametros_recargas!$M$77*'Plan mensual'!G62</f>
        <v>1658.81550737456</v>
      </c>
      <c r="F35" s="26" t="n">
        <f aca="false">parametros_recargas!$E$77*'Plan mensual'!H53+parametros_recargas!$F$77*'Plan mensual'!H54+parametros_recargas!$G$77*'Plan mensual'!H55+parametros_recargas!$H$77*'Plan mensual'!H56+parametros_recargas!$I$77*'Plan mensual'!H57+parametros_recargas!$J$77*'Plan mensual'!H58+parametros_recargas!$K$77*'Plan mensual'!H59+parametros_recargas!$L$77*'Plan mensual'!H60+parametros_recargas!$M$77*'Plan mensual'!H62</f>
        <v>1659.17274672443</v>
      </c>
      <c r="G35" s="26" t="n">
        <f aca="false">parametros_recargas!$E$77*'Plan mensual'!I53+parametros_recargas!$F$77*'Plan mensual'!I54+parametros_recargas!$G$77*'Plan mensual'!I55+parametros_recargas!$H$77*'Plan mensual'!I56+parametros_recargas!$I$77*'Plan mensual'!I57+parametros_recargas!$J$77*'Plan mensual'!I58+parametros_recargas!$K$77*'Plan mensual'!I59+parametros_recargas!$L$77*'Plan mensual'!I60+parametros_recargas!$M$77*'Plan mensual'!I62</f>
        <v>1655.91939067987</v>
      </c>
      <c r="H35" s="26" t="n">
        <f aca="false">parametros_recargas!$E$77*'Plan mensual'!J53+parametros_recargas!$F$77*'Plan mensual'!J54+parametros_recargas!$G$77*'Plan mensual'!J55+parametros_recargas!$H$77*'Plan mensual'!J56+parametros_recargas!$I$77*'Plan mensual'!J57+parametros_recargas!$J$77*'Plan mensual'!J58+parametros_recargas!$K$77*'Plan mensual'!J59+parametros_recargas!$L$77*'Plan mensual'!J60+parametros_recargas!$M$77*'Plan mensual'!J62</f>
        <v>1666.15233633446</v>
      </c>
      <c r="I35" s="26" t="n">
        <f aca="false">parametros_recargas!$E$77*'Plan mensual'!K53+parametros_recargas!$F$77*'Plan mensual'!K54+parametros_recargas!$G$77*'Plan mensual'!K55+parametros_recargas!$H$77*'Plan mensual'!K56+parametros_recargas!$I$77*'Plan mensual'!K57+parametros_recargas!$J$77*'Plan mensual'!K58+parametros_recargas!$K$77*'Plan mensual'!K59+parametros_recargas!$L$77*'Plan mensual'!K60+parametros_recargas!$M$77*'Plan mensual'!K62</f>
        <v>1658.45104063901</v>
      </c>
      <c r="J35" s="26" t="n">
        <f aca="false">parametros_recargas!$E$77*'Plan mensual'!L53+parametros_recargas!$F$77*'Plan mensual'!L54+parametros_recargas!$G$77*'Plan mensual'!L55+parametros_recargas!$H$77*'Plan mensual'!L56+parametros_recargas!$I$77*'Plan mensual'!L57+parametros_recargas!$J$77*'Plan mensual'!L58+parametros_recargas!$K$77*'Plan mensual'!L59+parametros_recargas!$L$77*'Plan mensual'!L60+parametros_recargas!$M$77*'Plan mensual'!L62</f>
        <v>1659.65181914736</v>
      </c>
      <c r="K35" s="26" t="n">
        <f aca="false">parametros_recargas!$E$77*'Plan mensual'!M53+parametros_recargas!$F$77*'Plan mensual'!M54+parametros_recargas!$G$77*'Plan mensual'!M55+parametros_recargas!$H$77*'Plan mensual'!M56+parametros_recargas!$I$77*'Plan mensual'!M57+parametros_recargas!$J$77*'Plan mensual'!M58+parametros_recargas!$K$77*'Plan mensual'!M59+parametros_recargas!$L$77*'Plan mensual'!M60+parametros_recargas!$M$77*'Plan mensual'!M62</f>
        <v>1655.68191943574</v>
      </c>
      <c r="L35" s="26" t="n">
        <f aca="false">parametros_recargas!$E$77*'Plan mensual'!N53+parametros_recargas!$F$77*'Plan mensual'!N54+parametros_recargas!$G$77*'Plan mensual'!N55+parametros_recargas!$H$77*'Plan mensual'!N56+parametros_recargas!$I$77*'Plan mensual'!N57+parametros_recargas!$J$77*'Plan mensual'!N58+parametros_recargas!$K$77*'Plan mensual'!N59+parametros_recargas!$L$77*'Plan mensual'!N60+parametros_recargas!$M$77*'Plan mensual'!N62</f>
        <v>1638.58605482584</v>
      </c>
      <c r="M35" s="26" t="n">
        <f aca="false">parametros_recargas!$E$77*'Plan mensual'!O53+parametros_recargas!$F$77*'Plan mensual'!O54+parametros_recargas!$G$77*'Plan mensual'!O55+parametros_recargas!$H$77*'Plan mensual'!O56+parametros_recargas!$I$77*'Plan mensual'!O57+parametros_recargas!$J$77*'Plan mensual'!O58+parametros_recargas!$K$77*'Plan mensual'!O59+parametros_recargas!$L$77*'Plan mensual'!O60+parametros_recargas!$M$77*'Plan mensual'!O62</f>
        <v>720.662247475765</v>
      </c>
      <c r="N35" s="8" t="n">
        <f aca="false">SUM(B35:M35)</f>
        <v>18348.7282999749</v>
      </c>
      <c r="O35" s="27" t="n">
        <f aca="false">MAX(B35:M35)</f>
        <v>1956.54831145063</v>
      </c>
      <c r="P35" s="13" t="n">
        <f aca="false">O35/parametros_recargas!$B$6</f>
        <v>13.0436554096709</v>
      </c>
    </row>
    <row r="36" customFormat="false" ht="15" hidden="false" customHeight="false" outlineLevel="0" collapsed="false">
      <c r="A36" s="10" t="str">
        <f aca="false">parametros_recargas!$B$78</f>
        <v>Descarga ABC — ruta recuperable</v>
      </c>
      <c r="B36" s="26" t="n">
        <f aca="false">parametros_recargas!$E$78*'Plan mensual'!D53+parametros_recargas!$F$78*'Plan mensual'!D54+parametros_recargas!$G$78*'Plan mensual'!D55+parametros_recargas!$H$78*'Plan mensual'!D56+parametros_recargas!$I$78*'Plan mensual'!D57+parametros_recargas!$J$78*'Plan mensual'!D58+parametros_recargas!$K$78*'Plan mensual'!D59+parametros_recargas!$L$78*'Plan mensual'!D60+parametros_recargas!$M$78*'Plan mensual'!D62</f>
        <v>493.837868982629</v>
      </c>
      <c r="C36" s="26" t="n">
        <f aca="false">parametros_recargas!$E$78*'Plan mensual'!E53+parametros_recargas!$F$78*'Plan mensual'!E54+parametros_recargas!$G$78*'Plan mensual'!E55+parametros_recargas!$H$78*'Plan mensual'!E56+parametros_recargas!$I$78*'Plan mensual'!E57+parametros_recargas!$J$78*'Plan mensual'!E58+parametros_recargas!$K$78*'Plan mensual'!E59+parametros_recargas!$L$78*'Plan mensual'!E60+parametros_recargas!$M$78*'Plan mensual'!E62</f>
        <v>1437.1035287761</v>
      </c>
      <c r="D36" s="26" t="n">
        <f aca="false">parametros_recargas!$E$78*'Plan mensual'!F53+parametros_recargas!$F$78*'Plan mensual'!F54+parametros_recargas!$G$78*'Plan mensual'!F55+parametros_recargas!$H$78*'Plan mensual'!F56+parametros_recargas!$I$78*'Plan mensual'!F57+parametros_recargas!$J$78*'Plan mensual'!F58+parametros_recargas!$K$78*'Plan mensual'!F59+parametros_recargas!$L$78*'Plan mensual'!F60+parametros_recargas!$M$78*'Plan mensual'!F62</f>
        <v>1250.39101894039</v>
      </c>
      <c r="E36" s="26" t="n">
        <f aca="false">parametros_recargas!$E$78*'Plan mensual'!G53+parametros_recargas!$F$78*'Plan mensual'!G54+parametros_recargas!$G$78*'Plan mensual'!G55+parametros_recargas!$H$78*'Plan mensual'!G56+parametros_recargas!$I$78*'Plan mensual'!G57+parametros_recargas!$J$78*'Plan mensual'!G58+parametros_recargas!$K$78*'Plan mensual'!G59+parametros_recargas!$L$78*'Plan mensual'!G60+parametros_recargas!$M$78*'Plan mensual'!G62</f>
        <v>1256.24204194995</v>
      </c>
      <c r="F36" s="26" t="n">
        <f aca="false">parametros_recargas!$E$78*'Plan mensual'!H53+parametros_recargas!$F$78*'Plan mensual'!H54+parametros_recargas!$G$78*'Plan mensual'!H55+parametros_recargas!$H$78*'Plan mensual'!H56+parametros_recargas!$I$78*'Plan mensual'!H57+parametros_recargas!$J$78*'Plan mensual'!H58+parametros_recargas!$K$78*'Plan mensual'!H59+parametros_recargas!$L$78*'Plan mensual'!H60+parametros_recargas!$M$78*'Plan mensual'!H62</f>
        <v>1256.54748159409</v>
      </c>
      <c r="G36" s="26" t="n">
        <f aca="false">parametros_recargas!$E$78*'Plan mensual'!I53+parametros_recargas!$F$78*'Plan mensual'!I54+parametros_recargas!$G$78*'Plan mensual'!I55+parametros_recargas!$H$78*'Plan mensual'!I56+parametros_recargas!$I$78*'Plan mensual'!I57+parametros_recargas!$J$78*'Plan mensual'!I58+parametros_recargas!$K$78*'Plan mensual'!I59+parametros_recargas!$L$78*'Plan mensual'!I60+parametros_recargas!$M$78*'Plan mensual'!I62</f>
        <v>1253.76586217599</v>
      </c>
      <c r="H36" s="26" t="n">
        <f aca="false">parametros_recargas!$E$78*'Plan mensual'!J53+parametros_recargas!$F$78*'Plan mensual'!J54+parametros_recargas!$G$78*'Plan mensual'!J55+parametros_recargas!$H$78*'Plan mensual'!J56+parametros_recargas!$I$78*'Plan mensual'!J57+parametros_recargas!$J$78*'Plan mensual'!J58+parametros_recargas!$K$78*'Plan mensual'!J59+parametros_recargas!$L$78*'Plan mensual'!J60+parametros_recargas!$M$78*'Plan mensual'!J62</f>
        <v>1262.51503071066</v>
      </c>
      <c r="I36" s="26" t="n">
        <f aca="false">parametros_recargas!$E$78*'Plan mensual'!K53+parametros_recargas!$F$78*'Plan mensual'!K54+parametros_recargas!$G$78*'Plan mensual'!K55+parametros_recargas!$H$78*'Plan mensual'!K56+parametros_recargas!$I$78*'Plan mensual'!K57+parametros_recargas!$J$78*'Plan mensual'!K58+parametros_recargas!$K$78*'Plan mensual'!K59+parametros_recargas!$L$78*'Plan mensual'!K60+parametros_recargas!$M$78*'Plan mensual'!K62</f>
        <v>1255.93042289106</v>
      </c>
      <c r="J36" s="26" t="n">
        <f aca="false">parametros_recargas!$E$78*'Plan mensual'!L53+parametros_recargas!$F$78*'Plan mensual'!L54+parametros_recargas!$G$78*'Plan mensual'!L55+parametros_recargas!$H$78*'Plan mensual'!L56+parametros_recargas!$I$78*'Plan mensual'!L57+parametros_recargas!$J$78*'Plan mensual'!L58+parametros_recargas!$K$78*'Plan mensual'!L59+parametros_recargas!$L$78*'Plan mensual'!L60+parametros_recargas!$M$78*'Plan mensual'!L62</f>
        <v>1256.9570885157</v>
      </c>
      <c r="K36" s="26" t="n">
        <f aca="false">parametros_recargas!$E$78*'Plan mensual'!M53+parametros_recargas!$F$78*'Plan mensual'!M54+parametros_recargas!$G$78*'Plan mensual'!M55+parametros_recargas!$H$78*'Plan mensual'!M56+parametros_recargas!$I$78*'Plan mensual'!M57+parametros_recargas!$J$78*'Plan mensual'!M58+parametros_recargas!$K$78*'Plan mensual'!M59+parametros_recargas!$L$78*'Plan mensual'!M60+parametros_recargas!$M$78*'Plan mensual'!M62</f>
        <v>1253.56282426226</v>
      </c>
      <c r="L36" s="26" t="n">
        <f aca="false">parametros_recargas!$E$78*'Plan mensual'!N53+parametros_recargas!$F$78*'Plan mensual'!N54+parametros_recargas!$G$78*'Plan mensual'!N55+parametros_recargas!$H$78*'Plan mensual'!N56+parametros_recargas!$I$78*'Plan mensual'!N57+parametros_recargas!$J$78*'Plan mensual'!N58+parametros_recargas!$K$78*'Plan mensual'!N59+parametros_recargas!$L$78*'Plan mensual'!N60+parametros_recargas!$M$78*'Plan mensual'!N62</f>
        <v>1238.94586002079</v>
      </c>
      <c r="M36" s="26" t="n">
        <f aca="false">parametros_recargas!$E$78*'Plan mensual'!O53+parametros_recargas!$F$78*'Plan mensual'!O54+parametros_recargas!$G$78*'Plan mensual'!O55+parametros_recargas!$H$78*'Plan mensual'!O56+parametros_recargas!$I$78*'Plan mensual'!O57+parametros_recargas!$J$78*'Plan mensual'!O58+parametros_recargas!$K$78*'Plan mensual'!O59+parametros_recargas!$L$78*'Plan mensual'!O60+parametros_recargas!$M$78*'Plan mensual'!O62</f>
        <v>454.12100473648</v>
      </c>
      <c r="N36" s="8" t="n">
        <f aca="false">SUM(B36:M36)</f>
        <v>13669.9200335561</v>
      </c>
      <c r="O36" s="27" t="n">
        <f aca="false">MAX(B36:M36)</f>
        <v>1437.1035287761</v>
      </c>
      <c r="P36" s="13" t="n">
        <f aca="false">O36/parametros_recargas!$B$6</f>
        <v>9.58069019184067</v>
      </c>
    </row>
    <row r="37" customFormat="false" ht="15" hidden="false" customHeight="false" outlineLevel="0" collapsed="false">
      <c r="A37" s="10" t="str">
        <f aca="false">parametros_recargas!$B$79</f>
        <v>Descarga ABC — ruta descarte</v>
      </c>
      <c r="B37" s="26" t="n">
        <f aca="false">parametros_recargas!$E$79*'Plan mensual'!D53+parametros_recargas!$F$79*'Plan mensual'!D54+parametros_recargas!$G$79*'Plan mensual'!D55+parametros_recargas!$H$79*'Plan mensual'!D56+parametros_recargas!$I$79*'Plan mensual'!D57+parametros_recargas!$J$79*'Plan mensual'!D58+parametros_recargas!$K$79*'Plan mensual'!D59+parametros_recargas!$L$79*'Plan mensual'!D60+parametros_recargas!$M$79*'Plan mensual'!D62</f>
        <v>54.8708743314032</v>
      </c>
      <c r="C37" s="26" t="n">
        <f aca="false">parametros_recargas!$E$79*'Plan mensual'!E53+parametros_recargas!$F$79*'Plan mensual'!E54+parametros_recargas!$G$79*'Plan mensual'!E55+parametros_recargas!$H$79*'Plan mensual'!E56+parametros_recargas!$I$79*'Plan mensual'!E57+parametros_recargas!$J$79*'Plan mensual'!E58+parametros_recargas!$K$79*'Plan mensual'!E59+parametros_recargas!$L$79*'Plan mensual'!E60+parametros_recargas!$M$79*'Plan mensual'!E62</f>
        <v>159.678169864011</v>
      </c>
      <c r="D37" s="26" t="n">
        <f aca="false">parametros_recargas!$E$79*'Plan mensual'!F53+parametros_recargas!$F$79*'Plan mensual'!F54+parametros_recargas!$G$79*'Plan mensual'!F55+parametros_recargas!$H$79*'Plan mensual'!F56+parametros_recargas!$I$79*'Plan mensual'!F57+parametros_recargas!$J$79*'Plan mensual'!F58+parametros_recargas!$K$79*'Plan mensual'!F59+parametros_recargas!$L$79*'Plan mensual'!F60+parametros_recargas!$M$79*'Plan mensual'!F62</f>
        <v>138.932335437821</v>
      </c>
      <c r="E37" s="26" t="n">
        <f aca="false">parametros_recargas!$E$79*'Plan mensual'!G53+parametros_recargas!$F$79*'Plan mensual'!G54+parametros_recargas!$G$79*'Plan mensual'!G55+parametros_recargas!$H$79*'Plan mensual'!G56+parametros_recargas!$I$79*'Plan mensual'!G57+parametros_recargas!$J$79*'Plan mensual'!G58+parametros_recargas!$K$79*'Plan mensual'!G59+parametros_recargas!$L$79*'Plan mensual'!G60+parametros_recargas!$M$79*'Plan mensual'!G62</f>
        <v>139.58244910555</v>
      </c>
      <c r="F37" s="26" t="n">
        <f aca="false">parametros_recargas!$E$79*'Plan mensual'!H53+parametros_recargas!$F$79*'Plan mensual'!H54+parametros_recargas!$G$79*'Plan mensual'!H55+parametros_recargas!$H$79*'Plan mensual'!H56+parametros_recargas!$I$79*'Plan mensual'!H57+parametros_recargas!$J$79*'Plan mensual'!H58+parametros_recargas!$K$79*'Plan mensual'!H59+parametros_recargas!$L$79*'Plan mensual'!H60+parametros_recargas!$M$79*'Plan mensual'!H62</f>
        <v>139.616386843787</v>
      </c>
      <c r="G37" s="26" t="n">
        <f aca="false">parametros_recargas!$E$79*'Plan mensual'!I53+parametros_recargas!$F$79*'Plan mensual'!I54+parametros_recargas!$G$79*'Plan mensual'!I55+parametros_recargas!$H$79*'Plan mensual'!I56+parametros_recargas!$I$79*'Plan mensual'!I57+parametros_recargas!$J$79*'Plan mensual'!I58+parametros_recargas!$K$79*'Plan mensual'!I59+parametros_recargas!$L$79*'Plan mensual'!I60+parametros_recargas!$M$79*'Plan mensual'!I62</f>
        <v>139.307318019554</v>
      </c>
      <c r="H37" s="26" t="n">
        <f aca="false">parametros_recargas!$E$79*'Plan mensual'!J53+parametros_recargas!$F$79*'Plan mensual'!J54+parametros_recargas!$G$79*'Plan mensual'!J55+parametros_recargas!$H$79*'Plan mensual'!J56+parametros_recargas!$I$79*'Plan mensual'!J57+parametros_recargas!$J$79*'Plan mensual'!J58+parametros_recargas!$K$79*'Plan mensual'!J59+parametros_recargas!$L$79*'Plan mensual'!J60+parametros_recargas!$M$79*'Plan mensual'!J62</f>
        <v>140.27944785674</v>
      </c>
      <c r="I37" s="26" t="n">
        <f aca="false">parametros_recargas!$E$79*'Plan mensual'!K53+parametros_recargas!$F$79*'Plan mensual'!K54+parametros_recargas!$G$79*'Plan mensual'!K55+parametros_recargas!$H$79*'Plan mensual'!K56+parametros_recargas!$I$79*'Plan mensual'!K57+parametros_recargas!$J$79*'Plan mensual'!K58+parametros_recargas!$K$79*'Plan mensual'!K59+parametros_recargas!$L$79*'Plan mensual'!K60+parametros_recargas!$M$79*'Plan mensual'!K62</f>
        <v>139.547824765673</v>
      </c>
      <c r="J37" s="26" t="n">
        <f aca="false">parametros_recargas!$E$79*'Plan mensual'!L53+parametros_recargas!$F$79*'Plan mensual'!L54+parametros_recargas!$G$79*'Plan mensual'!L55+parametros_recargas!$H$79*'Plan mensual'!L56+parametros_recargas!$I$79*'Plan mensual'!L57+parametros_recargas!$J$79*'Plan mensual'!L58+parametros_recargas!$K$79*'Plan mensual'!L59+parametros_recargas!$L$79*'Plan mensual'!L60+parametros_recargas!$M$79*'Plan mensual'!L62</f>
        <v>139.661898723966</v>
      </c>
      <c r="K37" s="26" t="n">
        <f aca="false">parametros_recargas!$E$79*'Plan mensual'!M53+parametros_recargas!$F$79*'Plan mensual'!M54+parametros_recargas!$G$79*'Plan mensual'!M55+parametros_recargas!$H$79*'Plan mensual'!M56+parametros_recargas!$I$79*'Plan mensual'!M57+parametros_recargas!$J$79*'Plan mensual'!M58+parametros_recargas!$K$79*'Plan mensual'!M59+parametros_recargas!$L$79*'Plan mensual'!M60+parametros_recargas!$M$79*'Plan mensual'!M62</f>
        <v>139.284758251362</v>
      </c>
      <c r="L37" s="26" t="n">
        <f aca="false">parametros_recargas!$E$79*'Plan mensual'!N53+parametros_recargas!$F$79*'Plan mensual'!N54+parametros_recargas!$G$79*'Plan mensual'!N55+parametros_recargas!$H$79*'Plan mensual'!N56+parametros_recargas!$I$79*'Plan mensual'!N57+parametros_recargas!$J$79*'Plan mensual'!N58+parametros_recargas!$K$79*'Plan mensual'!N59+parametros_recargas!$L$79*'Plan mensual'!N60+parametros_recargas!$M$79*'Plan mensual'!N62</f>
        <v>137.660651113422</v>
      </c>
      <c r="M37" s="26" t="n">
        <f aca="false">parametros_recargas!$E$79*'Plan mensual'!O53+parametros_recargas!$F$79*'Plan mensual'!O54+parametros_recargas!$G$79*'Plan mensual'!O55+parametros_recargas!$H$79*'Plan mensual'!O56+parametros_recargas!$I$79*'Plan mensual'!O57+parametros_recargas!$J$79*'Plan mensual'!O58+parametros_recargas!$K$79*'Plan mensual'!O59+parametros_recargas!$L$79*'Plan mensual'!O60+parametros_recargas!$M$79*'Plan mensual'!O62</f>
        <v>50.4578894151644</v>
      </c>
      <c r="N37" s="8" t="n">
        <f aca="false">SUM(B37:M37)</f>
        <v>1518.88000372845</v>
      </c>
      <c r="O37" s="27" t="n">
        <f aca="false">MAX(B37:M37)</f>
        <v>159.678169864011</v>
      </c>
      <c r="P37" s="13" t="n">
        <f aca="false">O37/parametros_recargas!$B$6</f>
        <v>1.06452113242674</v>
      </c>
    </row>
    <row r="38" customFormat="false" ht="15" hidden="false" customHeight="false" outlineLevel="0" collapsed="false">
      <c r="A38" s="10" t="str">
        <f aca="false">parametros_recargas!$B$80</f>
        <v>Descarga BC</v>
      </c>
      <c r="B38" s="26" t="n">
        <f aca="false">parametros_recargas!$E$80*'Plan mensual'!D53+parametros_recargas!$F$80*'Plan mensual'!D54+parametros_recargas!$G$80*'Plan mensual'!D55+parametros_recargas!$H$80*'Plan mensual'!D56+parametros_recargas!$I$80*'Plan mensual'!D57+parametros_recargas!$J$80*'Plan mensual'!D58+parametros_recargas!$K$80*'Plan mensual'!D59+parametros_recargas!$L$80*'Plan mensual'!D60+parametros_recargas!$M$80*'Plan mensual'!D62</f>
        <v>2.14565177388983</v>
      </c>
      <c r="C38" s="26" t="n">
        <f aca="false">parametros_recargas!$E$80*'Plan mensual'!E53+parametros_recargas!$F$80*'Plan mensual'!E54+parametros_recargas!$G$80*'Plan mensual'!E55+parametros_recargas!$H$80*'Plan mensual'!E56+parametros_recargas!$I$80*'Plan mensual'!E57+parametros_recargas!$J$80*'Plan mensual'!E58+parametros_recargas!$K$80*'Plan mensual'!E59+parametros_recargas!$L$80*'Plan mensual'!E60+parametros_recargas!$M$80*'Plan mensual'!E62</f>
        <v>2.14565177388983</v>
      </c>
      <c r="D38" s="26" t="n">
        <f aca="false">parametros_recargas!$E$80*'Plan mensual'!F53+parametros_recargas!$F$80*'Plan mensual'!F54+parametros_recargas!$G$80*'Plan mensual'!F55+parametros_recargas!$H$80*'Plan mensual'!F56+parametros_recargas!$I$80*'Plan mensual'!F57+parametros_recargas!$J$80*'Plan mensual'!F58+parametros_recargas!$K$80*'Plan mensual'!F59+parametros_recargas!$L$80*'Plan mensual'!F60+parametros_recargas!$M$80*'Plan mensual'!F62</f>
        <v>2.14565177388983</v>
      </c>
      <c r="E38" s="26" t="n">
        <f aca="false">parametros_recargas!$E$80*'Plan mensual'!G53+parametros_recargas!$F$80*'Plan mensual'!G54+parametros_recargas!$G$80*'Plan mensual'!G55+parametros_recargas!$H$80*'Plan mensual'!G56+parametros_recargas!$I$80*'Plan mensual'!G57+parametros_recargas!$J$80*'Plan mensual'!G58+parametros_recargas!$K$80*'Plan mensual'!G59+parametros_recargas!$L$80*'Plan mensual'!G60+parametros_recargas!$M$80*'Plan mensual'!G62</f>
        <v>2.14565177388983</v>
      </c>
      <c r="F38" s="26" t="n">
        <f aca="false">parametros_recargas!$E$80*'Plan mensual'!H53+parametros_recargas!$F$80*'Plan mensual'!H54+parametros_recargas!$G$80*'Plan mensual'!H55+parametros_recargas!$H$80*'Plan mensual'!H56+parametros_recargas!$I$80*'Plan mensual'!H57+parametros_recargas!$J$80*'Plan mensual'!H58+parametros_recargas!$K$80*'Plan mensual'!H59+parametros_recargas!$L$80*'Plan mensual'!H60+parametros_recargas!$M$80*'Plan mensual'!H62</f>
        <v>2.14565177388983</v>
      </c>
      <c r="G38" s="26" t="n">
        <f aca="false">parametros_recargas!$E$80*'Plan mensual'!I53+parametros_recargas!$F$80*'Plan mensual'!I54+parametros_recargas!$G$80*'Plan mensual'!I55+parametros_recargas!$H$80*'Plan mensual'!I56+parametros_recargas!$I$80*'Plan mensual'!I57+parametros_recargas!$J$80*'Plan mensual'!I58+parametros_recargas!$K$80*'Plan mensual'!I59+parametros_recargas!$L$80*'Plan mensual'!I60+parametros_recargas!$M$80*'Plan mensual'!I62</f>
        <v>2.14565177388983</v>
      </c>
      <c r="H38" s="26" t="n">
        <f aca="false">parametros_recargas!$E$80*'Plan mensual'!J53+parametros_recargas!$F$80*'Plan mensual'!J54+parametros_recargas!$G$80*'Plan mensual'!J55+parametros_recargas!$H$80*'Plan mensual'!J56+parametros_recargas!$I$80*'Plan mensual'!J57+parametros_recargas!$J$80*'Plan mensual'!J58+parametros_recargas!$K$80*'Plan mensual'!J59+parametros_recargas!$L$80*'Plan mensual'!J60+parametros_recargas!$M$80*'Plan mensual'!J62</f>
        <v>2.14565177388983</v>
      </c>
      <c r="I38" s="26" t="n">
        <f aca="false">parametros_recargas!$E$80*'Plan mensual'!K53+parametros_recargas!$F$80*'Plan mensual'!K54+parametros_recargas!$G$80*'Plan mensual'!K55+parametros_recargas!$H$80*'Plan mensual'!K56+parametros_recargas!$I$80*'Plan mensual'!K57+parametros_recargas!$J$80*'Plan mensual'!K58+parametros_recargas!$K$80*'Plan mensual'!K59+parametros_recargas!$L$80*'Plan mensual'!K60+parametros_recargas!$M$80*'Plan mensual'!K62</f>
        <v>2.14565177388983</v>
      </c>
      <c r="J38" s="26" t="n">
        <f aca="false">parametros_recargas!$E$80*'Plan mensual'!L53+parametros_recargas!$F$80*'Plan mensual'!L54+parametros_recargas!$G$80*'Plan mensual'!L55+parametros_recargas!$H$80*'Plan mensual'!L56+parametros_recargas!$I$80*'Plan mensual'!L57+parametros_recargas!$J$80*'Plan mensual'!L58+parametros_recargas!$K$80*'Plan mensual'!L59+parametros_recargas!$L$80*'Plan mensual'!L60+parametros_recargas!$M$80*'Plan mensual'!L62</f>
        <v>2.14565177388983</v>
      </c>
      <c r="K38" s="26" t="n">
        <f aca="false">parametros_recargas!$E$80*'Plan mensual'!M53+parametros_recargas!$F$80*'Plan mensual'!M54+parametros_recargas!$G$80*'Plan mensual'!M55+parametros_recargas!$H$80*'Plan mensual'!M56+parametros_recargas!$I$80*'Plan mensual'!M57+parametros_recargas!$J$80*'Plan mensual'!M58+parametros_recargas!$K$80*'Plan mensual'!M59+parametros_recargas!$L$80*'Plan mensual'!M60+parametros_recargas!$M$80*'Plan mensual'!M62</f>
        <v>2.14565177388983</v>
      </c>
      <c r="L38" s="26" t="n">
        <f aca="false">parametros_recargas!$E$80*'Plan mensual'!N53+parametros_recargas!$F$80*'Plan mensual'!N54+parametros_recargas!$G$80*'Plan mensual'!N55+parametros_recargas!$H$80*'Plan mensual'!N56+parametros_recargas!$I$80*'Plan mensual'!N57+parametros_recargas!$J$80*'Plan mensual'!N58+parametros_recargas!$K$80*'Plan mensual'!N59+parametros_recargas!$L$80*'Plan mensual'!N60+parametros_recargas!$M$80*'Plan mensual'!N62</f>
        <v>2.14565177388983</v>
      </c>
      <c r="M38" s="26" t="n">
        <f aca="false">parametros_recargas!$E$80*'Plan mensual'!O53+parametros_recargas!$F$80*'Plan mensual'!O54+parametros_recargas!$G$80*'Plan mensual'!O55+parametros_recargas!$H$80*'Plan mensual'!O56+parametros_recargas!$I$80*'Plan mensual'!O57+parametros_recargas!$J$80*'Plan mensual'!O58+parametros_recargas!$K$80*'Plan mensual'!O59+parametros_recargas!$L$80*'Plan mensual'!O60+parametros_recargas!$M$80*'Plan mensual'!O62</f>
        <v>2.14565177388983</v>
      </c>
      <c r="N38" s="8" t="n">
        <f aca="false">SUM(B38:M38)</f>
        <v>25.7478212866779</v>
      </c>
      <c r="O38" s="27" t="n">
        <f aca="false">MAX(B38:M38)</f>
        <v>2.14565177388983</v>
      </c>
      <c r="P38" s="13" t="n">
        <f aca="false">O38/parametros_recargas!$B$6</f>
        <v>0.0143043451592655</v>
      </c>
    </row>
    <row r="39" customFormat="false" ht="15" hidden="false" customHeight="false" outlineLevel="0" collapsed="false">
      <c r="A39" s="10" t="str">
        <f aca="false">parametros_recargas!$B$81</f>
        <v>Descarga de agua / AFFF / sales K</v>
      </c>
      <c r="B39" s="26" t="n">
        <f aca="false">parametros_recargas!$E$81*'Plan mensual'!D53+parametros_recargas!$F$81*'Plan mensual'!D54+parametros_recargas!$G$81*'Plan mensual'!D55+parametros_recargas!$H$81*'Plan mensual'!D56+parametros_recargas!$I$81*'Plan mensual'!D57+parametros_recargas!$J$81*'Plan mensual'!D58+parametros_recargas!$K$81*'Plan mensual'!D59+parametros_recargas!$L$81*'Plan mensual'!D60+parametros_recargas!$M$81*'Plan mensual'!D62</f>
        <v>71.9398300730937</v>
      </c>
      <c r="C39" s="26" t="n">
        <f aca="false">parametros_recargas!$E$81*'Plan mensual'!E53+parametros_recargas!$F$81*'Plan mensual'!E54+parametros_recargas!$G$81*'Plan mensual'!E55+parametros_recargas!$H$81*'Plan mensual'!E56+parametros_recargas!$I$81*'Plan mensual'!E57+parametros_recargas!$J$81*'Plan mensual'!E58+parametros_recargas!$K$81*'Plan mensual'!E59+parametros_recargas!$L$81*'Plan mensual'!E60+parametros_recargas!$M$81*'Plan mensual'!E62</f>
        <v>98.9425374181059</v>
      </c>
      <c r="D39" s="26" t="n">
        <f aca="false">parametros_recargas!$E$81*'Plan mensual'!F53+parametros_recargas!$F$81*'Plan mensual'!F54+parametros_recargas!$G$81*'Plan mensual'!F55+parametros_recargas!$H$81*'Plan mensual'!F56+parametros_recargas!$I$81*'Plan mensual'!F57+parametros_recargas!$J$81*'Plan mensual'!F58+parametros_recargas!$K$81*'Plan mensual'!F59+parametros_recargas!$L$81*'Plan mensual'!F60+parametros_recargas!$M$81*'Plan mensual'!F62</f>
        <v>71.9398300730937</v>
      </c>
      <c r="E39" s="26" t="n">
        <f aca="false">parametros_recargas!$E$81*'Plan mensual'!G53+parametros_recargas!$F$81*'Plan mensual'!G54+parametros_recargas!$G$81*'Plan mensual'!G55+parametros_recargas!$H$81*'Plan mensual'!G56+parametros_recargas!$I$81*'Plan mensual'!G57+parametros_recargas!$J$81*'Plan mensual'!G58+parametros_recargas!$K$81*'Plan mensual'!G59+parametros_recargas!$L$81*'Plan mensual'!G60+parametros_recargas!$M$81*'Plan mensual'!G62</f>
        <v>71.9398300730937</v>
      </c>
      <c r="F39" s="26" t="n">
        <f aca="false">parametros_recargas!$E$81*'Plan mensual'!H53+parametros_recargas!$F$81*'Plan mensual'!H54+parametros_recargas!$G$81*'Plan mensual'!H55+parametros_recargas!$H$81*'Plan mensual'!H56+parametros_recargas!$I$81*'Plan mensual'!H57+parametros_recargas!$J$81*'Plan mensual'!H58+parametros_recargas!$K$81*'Plan mensual'!H59+parametros_recargas!$L$81*'Plan mensual'!H60+parametros_recargas!$M$81*'Plan mensual'!H62</f>
        <v>71.9398300730937</v>
      </c>
      <c r="G39" s="26" t="n">
        <f aca="false">parametros_recargas!$E$81*'Plan mensual'!I53+parametros_recargas!$F$81*'Plan mensual'!I54+parametros_recargas!$G$81*'Plan mensual'!I55+parametros_recargas!$H$81*'Plan mensual'!I56+parametros_recargas!$I$81*'Plan mensual'!I57+parametros_recargas!$J$81*'Plan mensual'!I58+parametros_recargas!$K$81*'Plan mensual'!I59+parametros_recargas!$L$81*'Plan mensual'!I60+parametros_recargas!$M$81*'Plan mensual'!I62</f>
        <v>71.9398300730937</v>
      </c>
      <c r="H39" s="26" t="n">
        <f aca="false">parametros_recargas!$E$81*'Plan mensual'!J53+parametros_recargas!$F$81*'Plan mensual'!J54+parametros_recargas!$G$81*'Plan mensual'!J55+parametros_recargas!$H$81*'Plan mensual'!J56+parametros_recargas!$I$81*'Plan mensual'!J57+parametros_recargas!$J$81*'Plan mensual'!J58+parametros_recargas!$K$81*'Plan mensual'!J59+parametros_recargas!$L$81*'Plan mensual'!J60+parametros_recargas!$M$81*'Plan mensual'!J62</f>
        <v>71.9398300730937</v>
      </c>
      <c r="I39" s="26" t="n">
        <f aca="false">parametros_recargas!$E$81*'Plan mensual'!K53+parametros_recargas!$F$81*'Plan mensual'!K54+parametros_recargas!$G$81*'Plan mensual'!K55+parametros_recargas!$H$81*'Plan mensual'!K56+parametros_recargas!$I$81*'Plan mensual'!K57+parametros_recargas!$J$81*'Plan mensual'!K58+parametros_recargas!$K$81*'Plan mensual'!K59+parametros_recargas!$L$81*'Plan mensual'!K60+parametros_recargas!$M$81*'Plan mensual'!K62</f>
        <v>71.9398300730937</v>
      </c>
      <c r="J39" s="26" t="n">
        <f aca="false">parametros_recargas!$E$81*'Plan mensual'!L53+parametros_recargas!$F$81*'Plan mensual'!L54+parametros_recargas!$G$81*'Plan mensual'!L55+parametros_recargas!$H$81*'Plan mensual'!L56+parametros_recargas!$I$81*'Plan mensual'!L57+parametros_recargas!$J$81*'Plan mensual'!L58+parametros_recargas!$K$81*'Plan mensual'!L59+parametros_recargas!$L$81*'Plan mensual'!L60+parametros_recargas!$M$81*'Plan mensual'!L62</f>
        <v>71.9398300730937</v>
      </c>
      <c r="K39" s="26" t="n">
        <f aca="false">parametros_recargas!$E$81*'Plan mensual'!M53+parametros_recargas!$F$81*'Plan mensual'!M54+parametros_recargas!$G$81*'Plan mensual'!M55+parametros_recargas!$H$81*'Plan mensual'!M56+parametros_recargas!$I$81*'Plan mensual'!M57+parametros_recargas!$J$81*'Plan mensual'!M58+parametros_recargas!$K$81*'Plan mensual'!M59+parametros_recargas!$L$81*'Plan mensual'!M60+parametros_recargas!$M$81*'Plan mensual'!M62</f>
        <v>71.9398300730937</v>
      </c>
      <c r="L39" s="26" t="n">
        <f aca="false">parametros_recargas!$E$81*'Plan mensual'!N53+parametros_recargas!$F$81*'Plan mensual'!N54+parametros_recargas!$G$81*'Plan mensual'!N55+parametros_recargas!$H$81*'Plan mensual'!N56+parametros_recargas!$I$81*'Plan mensual'!N57+parametros_recargas!$J$81*'Plan mensual'!N58+parametros_recargas!$K$81*'Plan mensual'!N59+parametros_recargas!$L$81*'Plan mensual'!N60+parametros_recargas!$M$81*'Plan mensual'!N62</f>
        <v>71.9398300730937</v>
      </c>
      <c r="M39" s="26" t="n">
        <f aca="false">parametros_recargas!$E$81*'Plan mensual'!O53+parametros_recargas!$F$81*'Plan mensual'!O54+parametros_recargas!$G$81*'Plan mensual'!O55+parametros_recargas!$H$81*'Plan mensual'!O56+parametros_recargas!$I$81*'Plan mensual'!O57+parametros_recargas!$J$81*'Plan mensual'!O58+parametros_recargas!$K$81*'Plan mensual'!O59+parametros_recargas!$L$81*'Plan mensual'!O60+parametros_recargas!$M$81*'Plan mensual'!O62</f>
        <v>71.9398300730937</v>
      </c>
      <c r="N39" s="8" t="n">
        <f aca="false">SUM(B39:M39)</f>
        <v>890.280668222136</v>
      </c>
      <c r="O39" s="27" t="n">
        <f aca="false">MAX(B39:M39)</f>
        <v>98.9425374181059</v>
      </c>
      <c r="P39" s="13" t="n">
        <f aca="false">O39/parametros_recargas!$B$6</f>
        <v>0.659616916120706</v>
      </c>
    </row>
    <row r="40" customFormat="false" ht="15" hidden="false" customHeight="false" outlineLevel="0" collapsed="false">
      <c r="A40" s="10" t="str">
        <f aca="false">parametros_recargas!$B$82</f>
        <v>Recuperación de CO₂</v>
      </c>
      <c r="B40" s="26" t="n">
        <f aca="false">parametros_recargas!$E$82*'Plan mensual'!D53+parametros_recargas!$F$82*'Plan mensual'!D54+parametros_recargas!$G$82*'Plan mensual'!D55+parametros_recargas!$H$82*'Plan mensual'!D56+parametros_recargas!$I$82*'Plan mensual'!D57+parametros_recargas!$J$82*'Plan mensual'!D58+parametros_recargas!$K$82*'Plan mensual'!D59+parametros_recargas!$L$82*'Plan mensual'!D60+parametros_recargas!$M$82*'Plan mensual'!D62</f>
        <v>31.2062845772188</v>
      </c>
      <c r="C40" s="26" t="n">
        <f aca="false">parametros_recargas!$E$82*'Plan mensual'!E53+parametros_recargas!$F$82*'Plan mensual'!E54+parametros_recargas!$G$82*'Plan mensual'!E55+parametros_recargas!$H$82*'Plan mensual'!E56+parametros_recargas!$I$82*'Plan mensual'!E57+parametros_recargas!$J$82*'Plan mensual'!E58+parametros_recargas!$K$82*'Plan mensual'!E59+parametros_recargas!$L$82*'Plan mensual'!E60+parametros_recargas!$M$82*'Plan mensual'!E62</f>
        <v>48.538784243316</v>
      </c>
      <c r="D40" s="26" t="n">
        <f aca="false">parametros_recargas!$E$82*'Plan mensual'!F53+parametros_recargas!$F$82*'Plan mensual'!F54+parametros_recargas!$G$82*'Plan mensual'!F55+parametros_recargas!$H$82*'Plan mensual'!F56+parametros_recargas!$I$82*'Plan mensual'!F57+parametros_recargas!$J$82*'Plan mensual'!F58+parametros_recargas!$K$82*'Plan mensual'!F59+parametros_recargas!$L$82*'Plan mensual'!F60+parametros_recargas!$M$82*'Plan mensual'!F62</f>
        <v>31.2062845772188</v>
      </c>
      <c r="E40" s="26" t="n">
        <f aca="false">parametros_recargas!$E$82*'Plan mensual'!G53+parametros_recargas!$F$82*'Plan mensual'!G54+parametros_recargas!$G$82*'Plan mensual'!G55+parametros_recargas!$H$82*'Plan mensual'!G56+parametros_recargas!$I$82*'Plan mensual'!G57+parametros_recargas!$J$82*'Plan mensual'!G58+parametros_recargas!$K$82*'Plan mensual'!G59+parametros_recargas!$L$82*'Plan mensual'!G60+parametros_recargas!$M$82*'Plan mensual'!G62</f>
        <v>31.2062845772188</v>
      </c>
      <c r="F40" s="26" t="n">
        <f aca="false">parametros_recargas!$E$82*'Plan mensual'!H53+parametros_recargas!$F$82*'Plan mensual'!H54+parametros_recargas!$G$82*'Plan mensual'!H55+parametros_recargas!$H$82*'Plan mensual'!H56+parametros_recargas!$I$82*'Plan mensual'!H57+parametros_recargas!$J$82*'Plan mensual'!H58+parametros_recargas!$K$82*'Plan mensual'!H59+parametros_recargas!$L$82*'Plan mensual'!H60+parametros_recargas!$M$82*'Plan mensual'!H62</f>
        <v>31.2062845772188</v>
      </c>
      <c r="G40" s="26" t="n">
        <f aca="false">parametros_recargas!$E$82*'Plan mensual'!I53+parametros_recargas!$F$82*'Plan mensual'!I54+parametros_recargas!$G$82*'Plan mensual'!I55+parametros_recargas!$H$82*'Plan mensual'!I56+parametros_recargas!$I$82*'Plan mensual'!I57+parametros_recargas!$J$82*'Plan mensual'!I58+parametros_recargas!$K$82*'Plan mensual'!I59+parametros_recargas!$L$82*'Plan mensual'!I60+parametros_recargas!$M$82*'Plan mensual'!I62</f>
        <v>31.2062845772188</v>
      </c>
      <c r="H40" s="26" t="n">
        <f aca="false">parametros_recargas!$E$82*'Plan mensual'!J53+parametros_recargas!$F$82*'Plan mensual'!J54+parametros_recargas!$G$82*'Plan mensual'!J55+parametros_recargas!$H$82*'Plan mensual'!J56+parametros_recargas!$I$82*'Plan mensual'!J57+parametros_recargas!$J$82*'Plan mensual'!J58+parametros_recargas!$K$82*'Plan mensual'!J59+parametros_recargas!$L$82*'Plan mensual'!J60+parametros_recargas!$M$82*'Plan mensual'!J62</f>
        <v>31.2062845772188</v>
      </c>
      <c r="I40" s="26" t="n">
        <f aca="false">parametros_recargas!$E$82*'Plan mensual'!K53+parametros_recargas!$F$82*'Plan mensual'!K54+parametros_recargas!$G$82*'Plan mensual'!K55+parametros_recargas!$H$82*'Plan mensual'!K56+parametros_recargas!$I$82*'Plan mensual'!K57+parametros_recargas!$J$82*'Plan mensual'!K58+parametros_recargas!$K$82*'Plan mensual'!K59+parametros_recargas!$L$82*'Plan mensual'!K60+parametros_recargas!$M$82*'Plan mensual'!K62</f>
        <v>31.2062845772188</v>
      </c>
      <c r="J40" s="26" t="n">
        <f aca="false">parametros_recargas!$E$82*'Plan mensual'!L53+parametros_recargas!$F$82*'Plan mensual'!L54+parametros_recargas!$G$82*'Plan mensual'!L55+parametros_recargas!$H$82*'Plan mensual'!L56+parametros_recargas!$I$82*'Plan mensual'!L57+parametros_recargas!$J$82*'Plan mensual'!L58+parametros_recargas!$K$82*'Plan mensual'!L59+parametros_recargas!$L$82*'Plan mensual'!L60+parametros_recargas!$M$82*'Plan mensual'!L62</f>
        <v>31.2062845772188</v>
      </c>
      <c r="K40" s="26" t="n">
        <f aca="false">parametros_recargas!$E$82*'Plan mensual'!M53+parametros_recargas!$F$82*'Plan mensual'!M54+parametros_recargas!$G$82*'Plan mensual'!M55+parametros_recargas!$H$82*'Plan mensual'!M56+parametros_recargas!$I$82*'Plan mensual'!M57+parametros_recargas!$J$82*'Plan mensual'!M58+parametros_recargas!$K$82*'Plan mensual'!M59+parametros_recargas!$L$82*'Plan mensual'!M60+parametros_recargas!$M$82*'Plan mensual'!M62</f>
        <v>31.2062845772188</v>
      </c>
      <c r="L40" s="26" t="n">
        <f aca="false">parametros_recargas!$E$82*'Plan mensual'!N53+parametros_recargas!$F$82*'Plan mensual'!N54+parametros_recargas!$G$82*'Plan mensual'!N55+parametros_recargas!$H$82*'Plan mensual'!N56+parametros_recargas!$I$82*'Plan mensual'!N57+parametros_recargas!$J$82*'Plan mensual'!N58+parametros_recargas!$K$82*'Plan mensual'!N59+parametros_recargas!$L$82*'Plan mensual'!N60+parametros_recargas!$M$82*'Plan mensual'!N62</f>
        <v>31.2062845772188</v>
      </c>
      <c r="M40" s="26" t="n">
        <f aca="false">parametros_recargas!$E$82*'Plan mensual'!O53+parametros_recargas!$F$82*'Plan mensual'!O54+parametros_recargas!$G$82*'Plan mensual'!O55+parametros_recargas!$H$82*'Plan mensual'!O56+parametros_recargas!$I$82*'Plan mensual'!O57+parametros_recargas!$J$82*'Plan mensual'!O58+parametros_recargas!$K$82*'Plan mensual'!O59+parametros_recargas!$L$82*'Plan mensual'!O60+parametros_recargas!$M$82*'Plan mensual'!O62</f>
        <v>31.2062845772188</v>
      </c>
      <c r="N40" s="8" t="n">
        <f aca="false">SUM(B40:M40)</f>
        <v>391.807914592723</v>
      </c>
      <c r="O40" s="27" t="n">
        <f aca="false">MAX(B40:M40)</f>
        <v>48.538784243316</v>
      </c>
      <c r="P40" s="13" t="n">
        <f aca="false">O40/parametros_recargas!$B$6</f>
        <v>0.32359189495544</v>
      </c>
    </row>
    <row r="41" customFormat="false" ht="15" hidden="false" customHeight="false" outlineLevel="0" collapsed="false">
      <c r="A41" s="10" t="str">
        <f aca="false">parametros_recargas!$B$83</f>
        <v>Recuperación de halogenado</v>
      </c>
      <c r="B41" s="26" t="n">
        <f aca="false">parametros_recargas!$E$83*'Plan mensual'!D53+parametros_recargas!$F$83*'Plan mensual'!D54+parametros_recargas!$G$83*'Plan mensual'!D55+parametros_recargas!$H$83*'Plan mensual'!D56+parametros_recargas!$I$83*'Plan mensual'!D57+parametros_recargas!$J$83*'Plan mensual'!D58+parametros_recargas!$K$83*'Plan mensual'!D59+parametros_recargas!$L$83*'Plan mensual'!D60+parametros_recargas!$M$83*'Plan mensual'!D62</f>
        <v>1.84181279883491</v>
      </c>
      <c r="C41" s="26" t="n">
        <f aca="false">parametros_recargas!$E$83*'Plan mensual'!E53+parametros_recargas!$F$83*'Plan mensual'!E54+parametros_recargas!$G$83*'Plan mensual'!E55+parametros_recargas!$H$83*'Plan mensual'!E56+parametros_recargas!$I$83*'Plan mensual'!E57+parametros_recargas!$J$83*'Plan mensual'!E58+parametros_recargas!$K$83*'Plan mensual'!E59+parametros_recargas!$L$83*'Plan mensual'!E60+parametros_recargas!$M$83*'Plan mensual'!E62</f>
        <v>1.84181279883491</v>
      </c>
      <c r="D41" s="26" t="n">
        <f aca="false">parametros_recargas!$E$83*'Plan mensual'!F53+parametros_recargas!$F$83*'Plan mensual'!F54+parametros_recargas!$G$83*'Plan mensual'!F55+parametros_recargas!$H$83*'Plan mensual'!F56+parametros_recargas!$I$83*'Plan mensual'!F57+parametros_recargas!$J$83*'Plan mensual'!F58+parametros_recargas!$K$83*'Plan mensual'!F59+parametros_recargas!$L$83*'Plan mensual'!F60+parametros_recargas!$M$83*'Plan mensual'!F62</f>
        <v>1.84181279883491</v>
      </c>
      <c r="E41" s="26" t="n">
        <f aca="false">parametros_recargas!$E$83*'Plan mensual'!G53+parametros_recargas!$F$83*'Plan mensual'!G54+parametros_recargas!$G$83*'Plan mensual'!G55+parametros_recargas!$H$83*'Plan mensual'!G56+parametros_recargas!$I$83*'Plan mensual'!G57+parametros_recargas!$J$83*'Plan mensual'!G58+parametros_recargas!$K$83*'Plan mensual'!G59+parametros_recargas!$L$83*'Plan mensual'!G60+parametros_recargas!$M$83*'Plan mensual'!G62</f>
        <v>1.84181279883491</v>
      </c>
      <c r="F41" s="26" t="n">
        <f aca="false">parametros_recargas!$E$83*'Plan mensual'!H53+parametros_recargas!$F$83*'Plan mensual'!H54+parametros_recargas!$G$83*'Plan mensual'!H55+parametros_recargas!$H$83*'Plan mensual'!H56+parametros_recargas!$I$83*'Plan mensual'!H57+parametros_recargas!$J$83*'Plan mensual'!H58+parametros_recargas!$K$83*'Plan mensual'!H59+parametros_recargas!$L$83*'Plan mensual'!H60+parametros_recargas!$M$83*'Plan mensual'!H62</f>
        <v>1.84181279883491</v>
      </c>
      <c r="G41" s="26" t="n">
        <f aca="false">parametros_recargas!$E$83*'Plan mensual'!I53+parametros_recargas!$F$83*'Plan mensual'!I54+parametros_recargas!$G$83*'Plan mensual'!I55+parametros_recargas!$H$83*'Plan mensual'!I56+parametros_recargas!$I$83*'Plan mensual'!I57+parametros_recargas!$J$83*'Plan mensual'!I58+parametros_recargas!$K$83*'Plan mensual'!I59+parametros_recargas!$L$83*'Plan mensual'!I60+parametros_recargas!$M$83*'Plan mensual'!I62</f>
        <v>1.84181279883491</v>
      </c>
      <c r="H41" s="26" t="n">
        <f aca="false">parametros_recargas!$E$83*'Plan mensual'!J53+parametros_recargas!$F$83*'Plan mensual'!J54+parametros_recargas!$G$83*'Plan mensual'!J55+parametros_recargas!$H$83*'Plan mensual'!J56+parametros_recargas!$I$83*'Plan mensual'!J57+parametros_recargas!$J$83*'Plan mensual'!J58+parametros_recargas!$K$83*'Plan mensual'!J59+parametros_recargas!$L$83*'Plan mensual'!J60+parametros_recargas!$M$83*'Plan mensual'!J62</f>
        <v>1.84181279883491</v>
      </c>
      <c r="I41" s="26" t="n">
        <f aca="false">parametros_recargas!$E$83*'Plan mensual'!K53+parametros_recargas!$F$83*'Plan mensual'!K54+parametros_recargas!$G$83*'Plan mensual'!K55+parametros_recargas!$H$83*'Plan mensual'!K56+parametros_recargas!$I$83*'Plan mensual'!K57+parametros_recargas!$J$83*'Plan mensual'!K58+parametros_recargas!$K$83*'Plan mensual'!K59+parametros_recargas!$L$83*'Plan mensual'!K60+parametros_recargas!$M$83*'Plan mensual'!K62</f>
        <v>1.84181279883491</v>
      </c>
      <c r="J41" s="26" t="n">
        <f aca="false">parametros_recargas!$E$83*'Plan mensual'!L53+parametros_recargas!$F$83*'Plan mensual'!L54+parametros_recargas!$G$83*'Plan mensual'!L55+parametros_recargas!$H$83*'Plan mensual'!L56+parametros_recargas!$I$83*'Plan mensual'!L57+parametros_recargas!$J$83*'Plan mensual'!L58+parametros_recargas!$K$83*'Plan mensual'!L59+parametros_recargas!$L$83*'Plan mensual'!L60+parametros_recargas!$M$83*'Plan mensual'!L62</f>
        <v>1.84181279883491</v>
      </c>
      <c r="K41" s="26" t="n">
        <f aca="false">parametros_recargas!$E$83*'Plan mensual'!M53+parametros_recargas!$F$83*'Plan mensual'!M54+parametros_recargas!$G$83*'Plan mensual'!M55+parametros_recargas!$H$83*'Plan mensual'!M56+parametros_recargas!$I$83*'Plan mensual'!M57+parametros_recargas!$J$83*'Plan mensual'!M58+parametros_recargas!$K$83*'Plan mensual'!M59+parametros_recargas!$L$83*'Plan mensual'!M60+parametros_recargas!$M$83*'Plan mensual'!M62</f>
        <v>1.84181279883491</v>
      </c>
      <c r="L41" s="26" t="n">
        <f aca="false">parametros_recargas!$E$83*'Plan mensual'!N53+parametros_recargas!$F$83*'Plan mensual'!N54+parametros_recargas!$G$83*'Plan mensual'!N55+parametros_recargas!$H$83*'Plan mensual'!N56+parametros_recargas!$I$83*'Plan mensual'!N57+parametros_recargas!$J$83*'Plan mensual'!N58+parametros_recargas!$K$83*'Plan mensual'!N59+parametros_recargas!$L$83*'Plan mensual'!N60+parametros_recargas!$M$83*'Plan mensual'!N62</f>
        <v>1.84181279883491</v>
      </c>
      <c r="M41" s="26" t="n">
        <f aca="false">parametros_recargas!$E$83*'Plan mensual'!O53+parametros_recargas!$F$83*'Plan mensual'!O54+parametros_recargas!$G$83*'Plan mensual'!O55+parametros_recargas!$H$83*'Plan mensual'!O56+parametros_recargas!$I$83*'Plan mensual'!O57+parametros_recargas!$J$83*'Plan mensual'!O58+parametros_recargas!$K$83*'Plan mensual'!O59+parametros_recargas!$L$83*'Plan mensual'!O60+parametros_recargas!$M$83*'Plan mensual'!O62</f>
        <v>1.84181279883491</v>
      </c>
      <c r="N41" s="8" t="n">
        <f aca="false">SUM(B41:M41)</f>
        <v>22.101753586019</v>
      </c>
      <c r="O41" s="27" t="n">
        <f aca="false">MAX(B41:M41)</f>
        <v>1.84181279883491</v>
      </c>
      <c r="P41" s="13" t="n">
        <f aca="false">O41/parametros_recargas!$B$6</f>
        <v>0.0122787519922328</v>
      </c>
    </row>
    <row r="42" customFormat="false" ht="15" hidden="false" customHeight="false" outlineLevel="0" collapsed="false">
      <c r="A42" s="10" t="str">
        <f aca="false">parametros_recargas!$B$84</f>
        <v>Desarme y limpieza — recinto</v>
      </c>
      <c r="B42" s="26" t="n">
        <f aca="false">parametros_recargas!$E$84*'Plan mensual'!D53+parametros_recargas!$F$84*'Plan mensual'!D54+parametros_recargas!$G$84*'Plan mensual'!D55+parametros_recargas!$H$84*'Plan mensual'!D56+parametros_recargas!$I$84*'Plan mensual'!D57+parametros_recargas!$J$84*'Plan mensual'!D58+parametros_recargas!$K$84*'Plan mensual'!D59+parametros_recargas!$L$84*'Plan mensual'!D60+parametros_recargas!$M$84*'Plan mensual'!D62</f>
        <v>582.105312486117</v>
      </c>
      <c r="C42" s="26" t="n">
        <f aca="false">parametros_recargas!$E$84*'Plan mensual'!E53+parametros_recargas!$F$84*'Plan mensual'!E54+parametros_recargas!$G$84*'Plan mensual'!E55+parametros_recargas!$H$84*'Plan mensual'!E56+parametros_recargas!$I$84*'Plan mensual'!E57+parametros_recargas!$J$84*'Plan mensual'!E58+parametros_recargas!$K$84*'Plan mensual'!E59+parametros_recargas!$L$84*'Plan mensual'!E60+parametros_recargas!$M$84*'Plan mensual'!E62</f>
        <v>1685.34000230304</v>
      </c>
      <c r="D42" s="26" t="n">
        <f aca="false">parametros_recargas!$E$84*'Plan mensual'!F53+parametros_recargas!$F$84*'Plan mensual'!F54+parametros_recargas!$G$84*'Plan mensual'!F55+parametros_recargas!$H$84*'Plan mensual'!F56+parametros_recargas!$I$84*'Plan mensual'!F57+parametros_recargas!$J$84*'Plan mensual'!F58+parametros_recargas!$K$84*'Plan mensual'!F59+parametros_recargas!$L$84*'Plan mensual'!F60+parametros_recargas!$M$84*'Plan mensual'!F62</f>
        <v>1466.96279781683</v>
      </c>
      <c r="E42" s="26" t="n">
        <f aca="false">parametros_recargas!$E$84*'Plan mensual'!G53+parametros_recargas!$F$84*'Plan mensual'!G54+parametros_recargas!$G$84*'Plan mensual'!G55+parametros_recargas!$H$84*'Plan mensual'!G56+parametros_recargas!$I$84*'Plan mensual'!G57+parametros_recargas!$J$84*'Plan mensual'!G58+parametros_recargas!$K$84*'Plan mensual'!G59+parametros_recargas!$L$84*'Plan mensual'!G60+parametros_recargas!$M$84*'Plan mensual'!G62</f>
        <v>1473.8060995824</v>
      </c>
      <c r="F42" s="26" t="n">
        <f aca="false">parametros_recargas!$E$84*'Plan mensual'!H53+parametros_recargas!$F$84*'Plan mensual'!H54+parametros_recargas!$G$84*'Plan mensual'!H55+parametros_recargas!$H$84*'Plan mensual'!H56+parametros_recargas!$I$84*'Plan mensual'!H57+parametros_recargas!$J$84*'Plan mensual'!H58+parametros_recargas!$K$84*'Plan mensual'!H59+parametros_recargas!$L$84*'Plan mensual'!H60+parametros_recargas!$M$84*'Plan mensual'!H62</f>
        <v>1474.16333893227</v>
      </c>
      <c r="G42" s="26" t="n">
        <f aca="false">parametros_recargas!$E$84*'Plan mensual'!I53+parametros_recargas!$F$84*'Plan mensual'!I54+parametros_recargas!$G$84*'Plan mensual'!I55+parametros_recargas!$H$84*'Plan mensual'!I56+parametros_recargas!$I$84*'Plan mensual'!I57+parametros_recargas!$J$84*'Plan mensual'!I58+parametros_recargas!$K$84*'Plan mensual'!I59+parametros_recargas!$L$84*'Plan mensual'!I60+parametros_recargas!$M$84*'Plan mensual'!I62</f>
        <v>1470.90998288771</v>
      </c>
      <c r="H42" s="26" t="n">
        <f aca="false">parametros_recargas!$E$84*'Plan mensual'!J53+parametros_recargas!$F$84*'Plan mensual'!J54+parametros_recargas!$G$84*'Plan mensual'!J55+parametros_recargas!$H$84*'Plan mensual'!J56+parametros_recargas!$I$84*'Plan mensual'!J57+parametros_recargas!$J$84*'Plan mensual'!J58+parametros_recargas!$K$84*'Plan mensual'!J59+parametros_recargas!$L$84*'Plan mensual'!J60+parametros_recargas!$M$84*'Plan mensual'!J62</f>
        <v>1481.1429285423</v>
      </c>
      <c r="I42" s="26" t="n">
        <f aca="false">parametros_recargas!$E$84*'Plan mensual'!K53+parametros_recargas!$F$84*'Plan mensual'!K54+parametros_recargas!$G$84*'Plan mensual'!K55+parametros_recargas!$H$84*'Plan mensual'!K56+parametros_recargas!$I$84*'Plan mensual'!K57+parametros_recargas!$J$84*'Plan mensual'!K58+parametros_recargas!$K$84*'Plan mensual'!K59+parametros_recargas!$L$84*'Plan mensual'!K60+parametros_recargas!$M$84*'Plan mensual'!K62</f>
        <v>1473.44163284685</v>
      </c>
      <c r="J42" s="26" t="n">
        <f aca="false">parametros_recargas!$E$84*'Plan mensual'!L53+parametros_recargas!$F$84*'Plan mensual'!L54+parametros_recargas!$G$84*'Plan mensual'!L55+parametros_recargas!$H$84*'Plan mensual'!L56+parametros_recargas!$I$84*'Plan mensual'!L57+parametros_recargas!$J$84*'Plan mensual'!L58+parametros_recargas!$K$84*'Plan mensual'!L59+parametros_recargas!$L$84*'Plan mensual'!L60+parametros_recargas!$M$84*'Plan mensual'!L62</f>
        <v>1474.6424113552</v>
      </c>
      <c r="K42" s="26" t="n">
        <f aca="false">parametros_recargas!$E$84*'Plan mensual'!M53+parametros_recargas!$F$84*'Plan mensual'!M54+parametros_recargas!$G$84*'Plan mensual'!M55+parametros_recargas!$H$84*'Plan mensual'!M56+parametros_recargas!$I$84*'Plan mensual'!M57+parametros_recargas!$J$84*'Plan mensual'!M58+parametros_recargas!$K$84*'Plan mensual'!M59+parametros_recargas!$L$84*'Plan mensual'!M60+parametros_recargas!$M$84*'Plan mensual'!M62</f>
        <v>1470.67251164358</v>
      </c>
      <c r="L42" s="26" t="n">
        <f aca="false">parametros_recargas!$E$84*'Plan mensual'!N53+parametros_recargas!$F$84*'Plan mensual'!N54+parametros_recargas!$G$84*'Plan mensual'!N55+parametros_recargas!$H$84*'Plan mensual'!N56+parametros_recargas!$I$84*'Plan mensual'!N57+parametros_recargas!$J$84*'Plan mensual'!N58+parametros_recargas!$K$84*'Plan mensual'!N59+parametros_recargas!$L$84*'Plan mensual'!N60+parametros_recargas!$M$84*'Plan mensual'!N62</f>
        <v>1453.57664703368</v>
      </c>
      <c r="M42" s="26" t="n">
        <f aca="false">parametros_recargas!$E$84*'Plan mensual'!O53+parametros_recargas!$F$84*'Plan mensual'!O54+parametros_recargas!$G$84*'Plan mensual'!O55+parametros_recargas!$H$84*'Plan mensual'!O56+parametros_recargas!$I$84*'Plan mensual'!O57+parametros_recargas!$J$84*'Plan mensual'!O58+parametros_recargas!$K$84*'Plan mensual'!O59+parametros_recargas!$L$84*'Plan mensual'!O60+parametros_recargas!$M$84*'Plan mensual'!O62</f>
        <v>535.652839683604</v>
      </c>
      <c r="N42" s="8" t="n">
        <f aca="false">SUM(B42:M42)</f>
        <v>16042.4165051136</v>
      </c>
      <c r="O42" s="27" t="n">
        <f aca="false">MAX(B42:M42)</f>
        <v>1685.34000230304</v>
      </c>
      <c r="P42" s="13" t="n">
        <f aca="false">O42/parametros_recargas!$B$6</f>
        <v>11.2356000153536</v>
      </c>
    </row>
    <row r="43" customFormat="false" ht="15" hidden="false" customHeight="false" outlineLevel="0" collapsed="false">
      <c r="A43" s="10" t="str">
        <f aca="false">parametros_recargas!$B$85</f>
        <v>Desarme e inspección interior — zona general</v>
      </c>
      <c r="B43" s="26" t="n">
        <f aca="false">parametros_recargas!$E$85*'Plan mensual'!D53+parametros_recargas!$F$85*'Plan mensual'!D54+parametros_recargas!$G$85*'Plan mensual'!D55+parametros_recargas!$H$85*'Plan mensual'!D56+parametros_recargas!$I$85*'Plan mensual'!D57+parametros_recargas!$J$85*'Plan mensual'!D58+parametros_recargas!$K$85*'Plan mensual'!D59+parametros_recargas!$L$85*'Plan mensual'!D60+parametros_recargas!$M$85*'Plan mensual'!D62</f>
        <v>108.7742342951</v>
      </c>
      <c r="C43" s="26" t="n">
        <f aca="false">parametros_recargas!$E$85*'Plan mensual'!E53+parametros_recargas!$F$85*'Plan mensual'!E54+parametros_recargas!$G$85*'Plan mensual'!E55+parametros_recargas!$H$85*'Plan mensual'!E56+parametros_recargas!$I$85*'Plan mensual'!E57+parametros_recargas!$J$85*'Plan mensual'!E58+parametros_recargas!$K$85*'Plan mensual'!E59+parametros_recargas!$L$85*'Plan mensual'!E60+parametros_recargas!$M$85*'Plan mensual'!E62</f>
        <v>154.530636429631</v>
      </c>
      <c r="D43" s="26" t="n">
        <f aca="false">parametros_recargas!$E$85*'Plan mensual'!F53+parametros_recargas!$F$85*'Plan mensual'!F54+parametros_recargas!$G$85*'Plan mensual'!F55+parametros_recargas!$H$85*'Plan mensual'!F56+parametros_recargas!$I$85*'Plan mensual'!F57+parametros_recargas!$J$85*'Plan mensual'!F58+parametros_recargas!$K$85*'Plan mensual'!F59+parametros_recargas!$L$85*'Plan mensual'!F60+parametros_recargas!$M$85*'Plan mensual'!F62</f>
        <v>108.7742342951</v>
      </c>
      <c r="E43" s="26" t="n">
        <f aca="false">parametros_recargas!$E$85*'Plan mensual'!G53+parametros_recargas!$F$85*'Plan mensual'!G54+parametros_recargas!$G$85*'Plan mensual'!G55+parametros_recargas!$H$85*'Plan mensual'!G56+parametros_recargas!$I$85*'Plan mensual'!G57+parametros_recargas!$J$85*'Plan mensual'!G58+parametros_recargas!$K$85*'Plan mensual'!G59+parametros_recargas!$L$85*'Plan mensual'!G60+parametros_recargas!$M$85*'Plan mensual'!G62</f>
        <v>108.7742342951</v>
      </c>
      <c r="F43" s="26" t="n">
        <f aca="false">parametros_recargas!$E$85*'Plan mensual'!H53+parametros_recargas!$F$85*'Plan mensual'!H54+parametros_recargas!$G$85*'Plan mensual'!H55+parametros_recargas!$H$85*'Plan mensual'!H56+parametros_recargas!$I$85*'Plan mensual'!H57+parametros_recargas!$J$85*'Plan mensual'!H58+parametros_recargas!$K$85*'Plan mensual'!H59+parametros_recargas!$L$85*'Plan mensual'!H60+parametros_recargas!$M$85*'Plan mensual'!H62</f>
        <v>108.7742342951</v>
      </c>
      <c r="G43" s="26" t="n">
        <f aca="false">parametros_recargas!$E$85*'Plan mensual'!I53+parametros_recargas!$F$85*'Plan mensual'!I54+parametros_recargas!$G$85*'Plan mensual'!I55+parametros_recargas!$H$85*'Plan mensual'!I56+parametros_recargas!$I$85*'Plan mensual'!I57+parametros_recargas!$J$85*'Plan mensual'!I58+parametros_recargas!$K$85*'Plan mensual'!I59+parametros_recargas!$L$85*'Plan mensual'!I60+parametros_recargas!$M$85*'Plan mensual'!I62</f>
        <v>108.7742342951</v>
      </c>
      <c r="H43" s="26" t="n">
        <f aca="false">parametros_recargas!$E$85*'Plan mensual'!J53+parametros_recargas!$F$85*'Plan mensual'!J54+parametros_recargas!$G$85*'Plan mensual'!J55+parametros_recargas!$H$85*'Plan mensual'!J56+parametros_recargas!$I$85*'Plan mensual'!J57+parametros_recargas!$J$85*'Plan mensual'!J58+parametros_recargas!$K$85*'Plan mensual'!J59+parametros_recargas!$L$85*'Plan mensual'!J60+parametros_recargas!$M$85*'Plan mensual'!J62</f>
        <v>108.7742342951</v>
      </c>
      <c r="I43" s="26" t="n">
        <f aca="false">parametros_recargas!$E$85*'Plan mensual'!K53+parametros_recargas!$F$85*'Plan mensual'!K54+parametros_recargas!$G$85*'Plan mensual'!K55+parametros_recargas!$H$85*'Plan mensual'!K56+parametros_recargas!$I$85*'Plan mensual'!K57+parametros_recargas!$J$85*'Plan mensual'!K58+parametros_recargas!$K$85*'Plan mensual'!K59+parametros_recargas!$L$85*'Plan mensual'!K60+parametros_recargas!$M$85*'Plan mensual'!K62</f>
        <v>108.7742342951</v>
      </c>
      <c r="J43" s="26" t="n">
        <f aca="false">parametros_recargas!$E$85*'Plan mensual'!L53+parametros_recargas!$F$85*'Plan mensual'!L54+parametros_recargas!$G$85*'Plan mensual'!L55+parametros_recargas!$H$85*'Plan mensual'!L56+parametros_recargas!$I$85*'Plan mensual'!L57+parametros_recargas!$J$85*'Plan mensual'!L58+parametros_recargas!$K$85*'Plan mensual'!L59+parametros_recargas!$L$85*'Plan mensual'!L60+parametros_recargas!$M$85*'Plan mensual'!L62</f>
        <v>108.7742342951</v>
      </c>
      <c r="K43" s="26" t="n">
        <f aca="false">parametros_recargas!$E$85*'Plan mensual'!M53+parametros_recargas!$F$85*'Plan mensual'!M54+parametros_recargas!$G$85*'Plan mensual'!M55+parametros_recargas!$H$85*'Plan mensual'!M56+parametros_recargas!$I$85*'Plan mensual'!M57+parametros_recargas!$J$85*'Plan mensual'!M58+parametros_recargas!$K$85*'Plan mensual'!M59+parametros_recargas!$L$85*'Plan mensual'!M60+parametros_recargas!$M$85*'Plan mensual'!M62</f>
        <v>108.7742342951</v>
      </c>
      <c r="L43" s="26" t="n">
        <f aca="false">parametros_recargas!$E$85*'Plan mensual'!N53+parametros_recargas!$F$85*'Plan mensual'!N54+parametros_recargas!$G$85*'Plan mensual'!N55+parametros_recargas!$H$85*'Plan mensual'!N56+parametros_recargas!$I$85*'Plan mensual'!N57+parametros_recargas!$J$85*'Plan mensual'!N58+parametros_recargas!$K$85*'Plan mensual'!N59+parametros_recargas!$L$85*'Plan mensual'!N60+parametros_recargas!$M$85*'Plan mensual'!N62</f>
        <v>108.7742342951</v>
      </c>
      <c r="M43" s="26" t="n">
        <f aca="false">parametros_recargas!$E$85*'Plan mensual'!O53+parametros_recargas!$F$85*'Plan mensual'!O54+parametros_recargas!$G$85*'Plan mensual'!O55+parametros_recargas!$H$85*'Plan mensual'!O56+parametros_recargas!$I$85*'Plan mensual'!O57+parametros_recargas!$J$85*'Plan mensual'!O58+parametros_recargas!$K$85*'Plan mensual'!O59+parametros_recargas!$L$85*'Plan mensual'!O60+parametros_recargas!$M$85*'Plan mensual'!O62</f>
        <v>108.7742342951</v>
      </c>
      <c r="N43" s="8" t="n">
        <f aca="false">SUM(B43:M43)</f>
        <v>1351.04721367573</v>
      </c>
      <c r="O43" s="27" t="n">
        <f aca="false">MAX(B43:M43)</f>
        <v>154.530636429631</v>
      </c>
      <c r="P43" s="13" t="n">
        <f aca="false">O43/parametros_recargas!$B$6</f>
        <v>1.03020424286421</v>
      </c>
    </row>
    <row r="44" customFormat="false" ht="15" hidden="false" customHeight="false" outlineLevel="0" collapsed="false">
      <c r="A44" s="10" t="str">
        <f aca="false">parametros_recargas!$B$86</f>
        <v>Laboratorio — Puffer y mufla</v>
      </c>
      <c r="B44" s="26" t="n">
        <f aca="false">parametros_recargas!$E$86*'Plan mensual'!D53+parametros_recargas!$F$86*'Plan mensual'!D54+parametros_recargas!$G$86*'Plan mensual'!D55+parametros_recargas!$H$86*'Plan mensual'!D56+parametros_recargas!$I$86*'Plan mensual'!D57+parametros_recargas!$J$86*'Plan mensual'!D58+parametros_recargas!$K$86*'Plan mensual'!D59+parametros_recargas!$L$86*'Plan mensual'!D60+parametros_recargas!$M$86*'Plan mensual'!D62</f>
        <v>0.771193479272313</v>
      </c>
      <c r="C44" s="26" t="n">
        <f aca="false">parametros_recargas!$E$86*'Plan mensual'!E53+parametros_recargas!$F$86*'Plan mensual'!E54+parametros_recargas!$G$86*'Plan mensual'!E55+parametros_recargas!$H$86*'Plan mensual'!E56+parametros_recargas!$I$86*'Plan mensual'!E57+parametros_recargas!$J$86*'Plan mensual'!E58+parametros_recargas!$K$86*'Plan mensual'!E59+parametros_recargas!$L$86*'Plan mensual'!E60+parametros_recargas!$M$86*'Plan mensual'!E62</f>
        <v>2.24422819723116</v>
      </c>
      <c r="D44" s="26" t="n">
        <f aca="false">parametros_recargas!$E$86*'Plan mensual'!F53+parametros_recargas!$F$86*'Plan mensual'!F54+parametros_recargas!$G$86*'Plan mensual'!F55+parametros_recargas!$H$86*'Plan mensual'!F56+parametros_recargas!$I$86*'Plan mensual'!F57+parametros_recargas!$J$86*'Plan mensual'!F58+parametros_recargas!$K$86*'Plan mensual'!F59+parametros_recargas!$L$86*'Plan mensual'!F60+parametros_recargas!$M$86*'Plan mensual'!F62</f>
        <v>1.9526517930552</v>
      </c>
      <c r="E44" s="26" t="n">
        <f aca="false">parametros_recargas!$E$86*'Plan mensual'!G53+parametros_recargas!$F$86*'Plan mensual'!G54+parametros_recargas!$G$86*'Plan mensual'!G55+parametros_recargas!$H$86*'Plan mensual'!G56+parametros_recargas!$I$86*'Plan mensual'!G57+parametros_recargas!$J$86*'Plan mensual'!G58+parametros_recargas!$K$86*'Plan mensual'!G59+parametros_recargas!$L$86*'Plan mensual'!G60+parametros_recargas!$M$86*'Plan mensual'!G62</f>
        <v>1.96178894327284</v>
      </c>
      <c r="F44" s="26" t="n">
        <f aca="false">parametros_recargas!$E$86*'Plan mensual'!H53+parametros_recargas!$F$86*'Plan mensual'!H54+parametros_recargas!$G$86*'Plan mensual'!H55+parametros_recargas!$H$86*'Plan mensual'!H56+parametros_recargas!$I$86*'Plan mensual'!H57+parametros_recargas!$J$86*'Plan mensual'!H58+parametros_recargas!$K$86*'Plan mensual'!H59+parametros_recargas!$L$86*'Plan mensual'!H60+parametros_recargas!$M$86*'Plan mensual'!H62</f>
        <v>1.96226592787985</v>
      </c>
      <c r="G44" s="26" t="n">
        <f aca="false">parametros_recargas!$E$86*'Plan mensual'!I53+parametros_recargas!$F$86*'Plan mensual'!I54+parametros_recargas!$G$86*'Plan mensual'!I55+parametros_recargas!$H$86*'Plan mensual'!I56+parametros_recargas!$I$86*'Plan mensual'!I57+parametros_recargas!$J$86*'Plan mensual'!I58+parametros_recargas!$K$86*'Plan mensual'!I59+parametros_recargas!$L$86*'Plan mensual'!I60+parametros_recargas!$M$86*'Plan mensual'!I62</f>
        <v>1.95792205939226</v>
      </c>
      <c r="H44" s="26" t="n">
        <f aca="false">parametros_recargas!$E$86*'Plan mensual'!J53+parametros_recargas!$F$86*'Plan mensual'!J54+parametros_recargas!$G$86*'Plan mensual'!J55+parametros_recargas!$H$86*'Plan mensual'!J56+parametros_recargas!$I$86*'Plan mensual'!J57+parametros_recargas!$J$86*'Plan mensual'!J58+parametros_recargas!$K$86*'Plan mensual'!J59+parametros_recargas!$L$86*'Plan mensual'!J60+parametros_recargas!$M$86*'Plan mensual'!J62</f>
        <v>1.97158504910363</v>
      </c>
      <c r="I44" s="26" t="n">
        <f aca="false">parametros_recargas!$E$86*'Plan mensual'!K53+parametros_recargas!$F$86*'Plan mensual'!K54+parametros_recargas!$G$86*'Plan mensual'!K55+parametros_recargas!$H$86*'Plan mensual'!K56+parametros_recargas!$I$86*'Plan mensual'!K57+parametros_recargas!$J$86*'Plan mensual'!K58+parametros_recargas!$K$86*'Plan mensual'!K59+parametros_recargas!$L$86*'Plan mensual'!K60+parametros_recargas!$M$86*'Plan mensual'!K62</f>
        <v>1.96130230868822</v>
      </c>
      <c r="J44" s="26" t="n">
        <f aca="false">parametros_recargas!$E$86*'Plan mensual'!L53+parametros_recargas!$F$86*'Plan mensual'!L54+parametros_recargas!$G$86*'Plan mensual'!L55+parametros_recargas!$H$86*'Plan mensual'!L56+parametros_recargas!$I$86*'Plan mensual'!L57+parametros_recargas!$J$86*'Plan mensual'!L58+parametros_recargas!$K$86*'Plan mensual'!L59+parametros_recargas!$L$86*'Plan mensual'!L60+parametros_recargas!$M$86*'Plan mensual'!L62</f>
        <v>1.96290558353781</v>
      </c>
      <c r="K44" s="26" t="n">
        <f aca="false">parametros_recargas!$E$86*'Plan mensual'!M53+parametros_recargas!$F$86*'Plan mensual'!M54+parametros_recargas!$G$86*'Plan mensual'!M55+parametros_recargas!$H$86*'Plan mensual'!M56+parametros_recargas!$I$86*'Plan mensual'!M57+parametros_recargas!$J$86*'Plan mensual'!M58+parametros_recargas!$K$86*'Plan mensual'!M59+parametros_recargas!$L$86*'Plan mensual'!M60+parametros_recargas!$M$86*'Plan mensual'!M62</f>
        <v>1.95760498869973</v>
      </c>
      <c r="L44" s="26" t="n">
        <f aca="false">parametros_recargas!$E$86*'Plan mensual'!N53+parametros_recargas!$F$86*'Plan mensual'!N54+parametros_recargas!$G$86*'Plan mensual'!N55+parametros_recargas!$H$86*'Plan mensual'!N56+parametros_recargas!$I$86*'Plan mensual'!N57+parametros_recargas!$J$86*'Plan mensual'!N58+parametros_recargas!$K$86*'Plan mensual'!N59+parametros_recargas!$L$86*'Plan mensual'!N60+parametros_recargas!$M$86*'Plan mensual'!N62</f>
        <v>1.93477865597439</v>
      </c>
      <c r="M44" s="26" t="n">
        <f aca="false">parametros_recargas!$E$86*'Plan mensual'!O53+parametros_recargas!$F$86*'Plan mensual'!O54+parametros_recargas!$G$86*'Plan mensual'!O55+parametros_recargas!$H$86*'Plan mensual'!O56+parametros_recargas!$I$86*'Plan mensual'!O57+parametros_recargas!$J$86*'Plan mensual'!O58+parametros_recargas!$K$86*'Plan mensual'!O59+parametros_recargas!$L$86*'Plan mensual'!O60+parametros_recargas!$M$86*'Plan mensual'!O62</f>
        <v>0.709170316109727</v>
      </c>
      <c r="N44" s="8" t="n">
        <f aca="false">SUM(B44:M44)</f>
        <v>21.3473973022171</v>
      </c>
      <c r="O44" s="27" t="n">
        <f aca="false">MAX(B44:M44)</f>
        <v>2.24422819723116</v>
      </c>
      <c r="P44" s="13" t="n">
        <f aca="false">O44/parametros_recargas!$B$6</f>
        <v>0.0149615213148744</v>
      </c>
    </row>
    <row r="45" customFormat="false" ht="15" hidden="false" customHeight="false" outlineLevel="0" collapsed="false">
      <c r="A45" s="10" t="str">
        <f aca="false">parametros_recargas!$B$87</f>
        <v>Prueba hidráulica</v>
      </c>
      <c r="B45" s="26" t="n">
        <f aca="false">parametros_recargas!$E$87*'Plan mensual'!D53+parametros_recargas!$F$87*'Plan mensual'!D54+parametros_recargas!$G$87*'Plan mensual'!D55+parametros_recargas!$H$87*'Plan mensual'!D56+parametros_recargas!$I$87*'Plan mensual'!D57+parametros_recargas!$J$87*'Plan mensual'!D58+parametros_recargas!$K$87*'Plan mensual'!D59+parametros_recargas!$L$87*'Plan mensual'!D60+parametros_recargas!$M$87*'Plan mensual'!D62</f>
        <v>214.496521145283</v>
      </c>
      <c r="C45" s="26" t="n">
        <f aca="false">parametros_recargas!$E$87*'Plan mensual'!E53+parametros_recargas!$F$87*'Plan mensual'!E54+parametros_recargas!$G$87*'Plan mensual'!E55+parametros_recargas!$H$87*'Plan mensual'!E56+parametros_recargas!$I$87*'Plan mensual'!E57+parametros_recargas!$J$87*'Plan mensual'!E58+parametros_recargas!$K$87*'Plan mensual'!E59+parametros_recargas!$L$87*'Plan mensual'!E60+parametros_recargas!$M$87*'Plan mensual'!E62</f>
        <v>520.382089678901</v>
      </c>
      <c r="D45" s="26" t="n">
        <f aca="false">parametros_recargas!$E$87*'Plan mensual'!F53+parametros_recargas!$F$87*'Plan mensual'!F54+parametros_recargas!$G$87*'Plan mensual'!F55+parametros_recargas!$H$87*'Plan mensual'!F56+parametros_recargas!$I$87*'Plan mensual'!F57+parametros_recargas!$J$87*'Plan mensual'!F58+parametros_recargas!$K$87*'Plan mensual'!F59+parametros_recargas!$L$87*'Plan mensual'!F60+parametros_recargas!$M$87*'Plan mensual'!F62</f>
        <v>435.710892477961</v>
      </c>
      <c r="E45" s="26" t="n">
        <f aca="false">parametros_recargas!$E$87*'Plan mensual'!G53+parametros_recargas!$F$87*'Plan mensual'!G54+parametros_recargas!$G$87*'Plan mensual'!G55+parametros_recargas!$H$87*'Plan mensual'!G56+parametros_recargas!$I$87*'Plan mensual'!G57+parametros_recargas!$J$87*'Plan mensual'!G58+parametros_recargas!$K$87*'Plan mensual'!G59+parametros_recargas!$L$87*'Plan mensual'!G60+parametros_recargas!$M$87*'Plan mensual'!G62</f>
        <v>437.421717919355</v>
      </c>
      <c r="F45" s="26" t="n">
        <f aca="false">parametros_recargas!$E$87*'Plan mensual'!H53+parametros_recargas!$F$87*'Plan mensual'!H54+parametros_recargas!$G$87*'Plan mensual'!H55+parametros_recargas!$H$87*'Plan mensual'!H56+parametros_recargas!$I$87*'Plan mensual'!H57+parametros_recargas!$J$87*'Plan mensual'!H58+parametros_recargas!$K$87*'Plan mensual'!H59+parametros_recargas!$L$87*'Plan mensual'!H60+parametros_recargas!$M$87*'Plan mensual'!H62</f>
        <v>437.511027756821</v>
      </c>
      <c r="G45" s="26" t="n">
        <f aca="false">parametros_recargas!$E$87*'Plan mensual'!I53+parametros_recargas!$F$87*'Plan mensual'!I54+parametros_recargas!$G$87*'Plan mensual'!I55+parametros_recargas!$H$87*'Plan mensual'!I56+parametros_recargas!$I$87*'Plan mensual'!I57+parametros_recargas!$J$87*'Plan mensual'!I58+parametros_recargas!$K$87*'Plan mensual'!I59+parametros_recargas!$L$87*'Plan mensual'!I60+parametros_recargas!$M$87*'Plan mensual'!I62</f>
        <v>436.697688745681</v>
      </c>
      <c r="H45" s="26" t="n">
        <f aca="false">parametros_recargas!$E$87*'Plan mensual'!J53+parametros_recargas!$F$87*'Plan mensual'!J54+parametros_recargas!$G$87*'Plan mensual'!J55+parametros_recargas!$H$87*'Plan mensual'!J56+parametros_recargas!$I$87*'Plan mensual'!J57+parametros_recargas!$J$87*'Plan mensual'!J58+parametros_recargas!$K$87*'Plan mensual'!J59+parametros_recargas!$L$87*'Plan mensual'!J60+parametros_recargas!$M$87*'Plan mensual'!J62</f>
        <v>439.255925159329</v>
      </c>
      <c r="I45" s="26" t="n">
        <f aca="false">parametros_recargas!$E$87*'Plan mensual'!K53+parametros_recargas!$F$87*'Plan mensual'!K54+parametros_recargas!$G$87*'Plan mensual'!K55+parametros_recargas!$H$87*'Plan mensual'!K56+parametros_recargas!$I$87*'Plan mensual'!K57+parametros_recargas!$J$87*'Plan mensual'!K58+parametros_recargas!$K$87*'Plan mensual'!K59+parametros_recargas!$L$87*'Plan mensual'!K60+parametros_recargas!$M$87*'Plan mensual'!K62</f>
        <v>437.330601235467</v>
      </c>
      <c r="J45" s="26" t="n">
        <f aca="false">parametros_recargas!$E$87*'Plan mensual'!L53+parametros_recargas!$F$87*'Plan mensual'!L54+parametros_recargas!$G$87*'Plan mensual'!L55+parametros_recargas!$H$87*'Plan mensual'!L56+parametros_recargas!$I$87*'Plan mensual'!L57+parametros_recargas!$J$87*'Plan mensual'!L58+parametros_recargas!$K$87*'Plan mensual'!L59+parametros_recargas!$L$87*'Plan mensual'!L60+parametros_recargas!$M$87*'Plan mensual'!L62</f>
        <v>437.630795862555</v>
      </c>
      <c r="K45" s="26" t="n">
        <f aca="false">parametros_recargas!$E$87*'Plan mensual'!M53+parametros_recargas!$F$87*'Plan mensual'!M54+parametros_recargas!$G$87*'Plan mensual'!M55+parametros_recargas!$H$87*'Plan mensual'!M56+parametros_recargas!$I$87*'Plan mensual'!M57+parametros_recargas!$J$87*'Plan mensual'!M58+parametros_recargas!$K$87*'Plan mensual'!M59+parametros_recargas!$L$87*'Plan mensual'!M60+parametros_recargas!$M$87*'Plan mensual'!M62</f>
        <v>436.638320934649</v>
      </c>
      <c r="L45" s="26" t="n">
        <f aca="false">parametros_recargas!$E$87*'Plan mensual'!N53+parametros_recargas!$F$87*'Plan mensual'!N54+parametros_recargas!$G$87*'Plan mensual'!N55+parametros_recargas!$H$87*'Plan mensual'!N56+parametros_recargas!$I$87*'Plan mensual'!N57+parametros_recargas!$J$87*'Plan mensual'!N58+parametros_recargas!$K$87*'Plan mensual'!N59+parametros_recargas!$L$87*'Plan mensual'!N60+parametros_recargas!$M$87*'Plan mensual'!N62</f>
        <v>432.364354782174</v>
      </c>
      <c r="M45" s="26" t="n">
        <f aca="false">parametros_recargas!$E$87*'Plan mensual'!O53+parametros_recargas!$F$87*'Plan mensual'!O54+parametros_recargas!$G$87*'Plan mensual'!O55+parametros_recargas!$H$87*'Plan mensual'!O56+parametros_recargas!$I$87*'Plan mensual'!O57+parametros_recargas!$J$87*'Plan mensual'!O58+parametros_recargas!$K$87*'Plan mensual'!O59+parametros_recargas!$L$87*'Plan mensual'!O60+parametros_recargas!$M$87*'Plan mensual'!O62</f>
        <v>202.883402944655</v>
      </c>
      <c r="N45" s="8" t="n">
        <f aca="false">SUM(B45:M45)</f>
        <v>4868.32333864283</v>
      </c>
      <c r="O45" s="27" t="n">
        <f aca="false">MAX(B45:M45)</f>
        <v>520.382089678901</v>
      </c>
      <c r="P45" s="13" t="n">
        <f aca="false">O45/parametros_recargas!$B$6</f>
        <v>3.46921393119268</v>
      </c>
    </row>
    <row r="46" customFormat="false" ht="15" hidden="false" customHeight="false" outlineLevel="0" collapsed="false">
      <c r="A46" s="10" t="str">
        <f aca="false">parametros_recargas!$B$88</f>
        <v>Secado</v>
      </c>
      <c r="B46" s="26" t="n">
        <f aca="false">parametros_recargas!$E$88*'Plan mensual'!D53+parametros_recargas!$F$88*'Plan mensual'!D54+parametros_recargas!$G$88*'Plan mensual'!D55+parametros_recargas!$H$88*'Plan mensual'!D56+parametros_recargas!$I$88*'Plan mensual'!D57+parametros_recargas!$J$88*'Plan mensual'!D58+parametros_recargas!$K$88*'Plan mensual'!D59+parametros_recargas!$L$88*'Plan mensual'!D60+parametros_recargas!$M$88*'Plan mensual'!D62</f>
        <v>178.668198964669</v>
      </c>
      <c r="C46" s="26" t="n">
        <f aca="false">parametros_recargas!$E$88*'Plan mensual'!E53+parametros_recargas!$F$88*'Plan mensual'!E54+parametros_recargas!$G$88*'Plan mensual'!E55+parametros_recargas!$H$88*'Plan mensual'!E56+parametros_recargas!$I$88*'Plan mensual'!E57+parametros_recargas!$J$88*'Plan mensual'!E58+parametros_recargas!$K$88*'Plan mensual'!E59+parametros_recargas!$L$88*'Plan mensual'!E60+parametros_recargas!$M$88*'Plan mensual'!E62</f>
        <v>479.952968038818</v>
      </c>
      <c r="D46" s="26" t="n">
        <f aca="false">parametros_recargas!$E$88*'Plan mensual'!F53+parametros_recargas!$F$88*'Plan mensual'!F54+parametros_recargas!$G$88*'Plan mensual'!F55+parametros_recargas!$H$88*'Plan mensual'!F56+parametros_recargas!$I$88*'Plan mensual'!F57+parametros_recargas!$J$88*'Plan mensual'!F58+parametros_recargas!$K$88*'Plan mensual'!F59+parametros_recargas!$L$88*'Plan mensual'!F60+parametros_recargas!$M$88*'Plan mensual'!F62</f>
        <v>408.731145150654</v>
      </c>
      <c r="E46" s="26" t="n">
        <f aca="false">parametros_recargas!$E$88*'Plan mensual'!G53+parametros_recargas!$F$88*'Plan mensual'!G54+parametros_recargas!$G$88*'Plan mensual'!G55+parametros_recargas!$H$88*'Plan mensual'!G56+parametros_recargas!$I$88*'Plan mensual'!G57+parametros_recargas!$J$88*'Plan mensual'!G58+parametros_recargas!$K$88*'Plan mensual'!G59+parametros_recargas!$L$88*'Plan mensual'!G60+parametros_recargas!$M$88*'Plan mensual'!G62</f>
        <v>410.510403609704</v>
      </c>
      <c r="F46" s="26" t="n">
        <f aca="false">parametros_recargas!$E$88*'Plan mensual'!H53+parametros_recargas!$F$88*'Plan mensual'!H54+parametros_recargas!$G$88*'Plan mensual'!H55+parametros_recargas!$H$88*'Plan mensual'!H56+parametros_recargas!$I$88*'Plan mensual'!H57+parametros_recargas!$J$88*'Plan mensual'!H58+parametros_recargas!$K$88*'Plan mensual'!H59+parametros_recargas!$L$88*'Plan mensual'!H60+parametros_recargas!$M$88*'Plan mensual'!H62</f>
        <v>410.603285840668</v>
      </c>
      <c r="G46" s="26" t="n">
        <f aca="false">parametros_recargas!$E$88*'Plan mensual'!I53+parametros_recargas!$F$88*'Plan mensual'!I54+parametros_recargas!$G$88*'Plan mensual'!I55+parametros_recargas!$H$88*'Plan mensual'!I56+parametros_recargas!$I$88*'Plan mensual'!I57+parametros_recargas!$J$88*'Plan mensual'!I58+parametros_recargas!$K$88*'Plan mensual'!I59+parametros_recargas!$L$88*'Plan mensual'!I60+parametros_recargas!$M$88*'Plan mensual'!I62</f>
        <v>409.757413269083</v>
      </c>
      <c r="H46" s="26" t="n">
        <f aca="false">parametros_recargas!$E$88*'Plan mensual'!J53+parametros_recargas!$F$88*'Plan mensual'!J54+parametros_recargas!$G$88*'Plan mensual'!J55+parametros_recargas!$H$88*'Plan mensual'!J56+parametros_recargas!$I$88*'Plan mensual'!J57+parametros_recargas!$J$88*'Plan mensual'!J58+parametros_recargas!$K$88*'Plan mensual'!J59+parametros_recargas!$L$88*'Plan mensual'!J60+parametros_recargas!$M$88*'Plan mensual'!J62</f>
        <v>412.417979139276</v>
      </c>
      <c r="I46" s="26" t="n">
        <f aca="false">parametros_recargas!$E$88*'Plan mensual'!K53+parametros_recargas!$F$88*'Plan mensual'!K54+parametros_recargas!$G$88*'Plan mensual'!K55+parametros_recargas!$H$88*'Plan mensual'!K56+parametros_recargas!$I$88*'Plan mensual'!K57+parametros_recargas!$J$88*'Plan mensual'!K58+parametros_recargas!$K$88*'Plan mensual'!K59+parametros_recargas!$L$88*'Plan mensual'!K60+parametros_recargas!$M$88*'Plan mensual'!K62</f>
        <v>410.41564225846</v>
      </c>
      <c r="J46" s="26" t="n">
        <f aca="false">parametros_recargas!$E$88*'Plan mensual'!L53+parametros_recargas!$F$88*'Plan mensual'!L54+parametros_recargas!$G$88*'Plan mensual'!L55+parametros_recargas!$H$88*'Plan mensual'!L56+parametros_recargas!$I$88*'Plan mensual'!L57+parametros_recargas!$J$88*'Plan mensual'!L58+parametros_recargas!$K$88*'Plan mensual'!L59+parametros_recargas!$L$88*'Plan mensual'!L60+parametros_recargas!$M$88*'Plan mensual'!L62</f>
        <v>410.727844670632</v>
      </c>
      <c r="K46" s="26" t="n">
        <f aca="false">parametros_recargas!$E$88*'Plan mensual'!M53+parametros_recargas!$F$88*'Plan mensual'!M54+parametros_recargas!$G$88*'Plan mensual'!M55+parametros_recargas!$H$88*'Plan mensual'!M56+parametros_recargas!$I$88*'Plan mensual'!M57+parametros_recargas!$J$88*'Plan mensual'!M58+parametros_recargas!$K$88*'Plan mensual'!M59+parametros_recargas!$L$88*'Plan mensual'!M60+parametros_recargas!$M$88*'Plan mensual'!M62</f>
        <v>409.695670745609</v>
      </c>
      <c r="L46" s="26" t="n">
        <f aca="false">parametros_recargas!$E$88*'Plan mensual'!N53+parametros_recargas!$F$88*'Plan mensual'!N54+parametros_recargas!$G$88*'Plan mensual'!N55+parametros_recargas!$H$88*'Plan mensual'!N56+parametros_recargas!$I$88*'Plan mensual'!N57+parametros_recargas!$J$88*'Plan mensual'!N58+parametros_recargas!$K$88*'Plan mensual'!N59+parametros_recargas!$L$88*'Plan mensual'!N60+parametros_recargas!$M$88*'Plan mensual'!N62</f>
        <v>405.250745947035</v>
      </c>
      <c r="M46" s="26" t="n">
        <f aca="false">parametros_recargas!$E$88*'Plan mensual'!O53+parametros_recargas!$F$88*'Plan mensual'!O54+parametros_recargas!$G$88*'Plan mensual'!O55+parametros_recargas!$H$88*'Plan mensual'!O56+parametros_recargas!$I$88*'Plan mensual'!O57+parametros_recargas!$J$88*'Plan mensual'!O58+parametros_recargas!$K$88*'Plan mensual'!O59+parametros_recargas!$L$88*'Plan mensual'!O60+parametros_recargas!$M$88*'Plan mensual'!O62</f>
        <v>166.590556036016</v>
      </c>
      <c r="N46" s="8" t="n">
        <f aca="false">SUM(B46:M46)</f>
        <v>4513.32185367062</v>
      </c>
      <c r="O46" s="27" t="n">
        <f aca="false">MAX(B46:M46)</f>
        <v>479.952968038818</v>
      </c>
      <c r="P46" s="13" t="n">
        <f aca="false">O46/parametros_recargas!$B$6</f>
        <v>3.19968645359212</v>
      </c>
    </row>
    <row r="47" customFormat="false" ht="15" hidden="false" customHeight="false" outlineLevel="0" collapsed="false">
      <c r="A47" s="10" t="str">
        <f aca="false">parametros_recargas!$B$89</f>
        <v>Inspección interior con videoscopio</v>
      </c>
      <c r="B47" s="26" t="n">
        <f aca="false">parametros_recargas!$E$89*'Plan mensual'!D53+parametros_recargas!$F$89*'Plan mensual'!D54+parametros_recargas!$G$89*'Plan mensual'!D55+parametros_recargas!$H$89*'Plan mensual'!D56+parametros_recargas!$I$89*'Plan mensual'!D57+parametros_recargas!$J$89*'Plan mensual'!D58+parametros_recargas!$K$89*'Plan mensual'!D59+parametros_recargas!$L$89*'Plan mensual'!D60+parametros_recargas!$M$89*'Plan mensual'!D62</f>
        <v>178.668198964669</v>
      </c>
      <c r="C47" s="26" t="n">
        <f aca="false">parametros_recargas!$E$89*'Plan mensual'!E53+parametros_recargas!$F$89*'Plan mensual'!E54+parametros_recargas!$G$89*'Plan mensual'!E55+parametros_recargas!$H$89*'Plan mensual'!E56+parametros_recargas!$I$89*'Plan mensual'!E57+parametros_recargas!$J$89*'Plan mensual'!E58+parametros_recargas!$K$89*'Plan mensual'!E59+parametros_recargas!$L$89*'Plan mensual'!E60+parametros_recargas!$M$89*'Plan mensual'!E62</f>
        <v>479.952968038818</v>
      </c>
      <c r="D47" s="26" t="n">
        <f aca="false">parametros_recargas!$E$89*'Plan mensual'!F53+parametros_recargas!$F$89*'Plan mensual'!F54+parametros_recargas!$G$89*'Plan mensual'!F55+parametros_recargas!$H$89*'Plan mensual'!F56+parametros_recargas!$I$89*'Plan mensual'!F57+parametros_recargas!$J$89*'Plan mensual'!F58+parametros_recargas!$K$89*'Plan mensual'!F59+parametros_recargas!$L$89*'Plan mensual'!F60+parametros_recargas!$M$89*'Plan mensual'!F62</f>
        <v>408.731145150654</v>
      </c>
      <c r="E47" s="26" t="n">
        <f aca="false">parametros_recargas!$E$89*'Plan mensual'!G53+parametros_recargas!$F$89*'Plan mensual'!G54+parametros_recargas!$G$89*'Plan mensual'!G55+parametros_recargas!$H$89*'Plan mensual'!G56+parametros_recargas!$I$89*'Plan mensual'!G57+parametros_recargas!$J$89*'Plan mensual'!G58+parametros_recargas!$K$89*'Plan mensual'!G59+parametros_recargas!$L$89*'Plan mensual'!G60+parametros_recargas!$M$89*'Plan mensual'!G62</f>
        <v>410.510403609704</v>
      </c>
      <c r="F47" s="26" t="n">
        <f aca="false">parametros_recargas!$E$89*'Plan mensual'!H53+parametros_recargas!$F$89*'Plan mensual'!H54+parametros_recargas!$G$89*'Plan mensual'!H55+parametros_recargas!$H$89*'Plan mensual'!H56+parametros_recargas!$I$89*'Plan mensual'!H57+parametros_recargas!$J$89*'Plan mensual'!H58+parametros_recargas!$K$89*'Plan mensual'!H59+parametros_recargas!$L$89*'Plan mensual'!H60+parametros_recargas!$M$89*'Plan mensual'!H62</f>
        <v>410.603285840668</v>
      </c>
      <c r="G47" s="26" t="n">
        <f aca="false">parametros_recargas!$E$89*'Plan mensual'!I53+parametros_recargas!$F$89*'Plan mensual'!I54+parametros_recargas!$G$89*'Plan mensual'!I55+parametros_recargas!$H$89*'Plan mensual'!I56+parametros_recargas!$I$89*'Plan mensual'!I57+parametros_recargas!$J$89*'Plan mensual'!I58+parametros_recargas!$K$89*'Plan mensual'!I59+parametros_recargas!$L$89*'Plan mensual'!I60+parametros_recargas!$M$89*'Plan mensual'!I62</f>
        <v>409.757413269083</v>
      </c>
      <c r="H47" s="26" t="n">
        <f aca="false">parametros_recargas!$E$89*'Plan mensual'!J53+parametros_recargas!$F$89*'Plan mensual'!J54+parametros_recargas!$G$89*'Plan mensual'!J55+parametros_recargas!$H$89*'Plan mensual'!J56+parametros_recargas!$I$89*'Plan mensual'!J57+parametros_recargas!$J$89*'Plan mensual'!J58+parametros_recargas!$K$89*'Plan mensual'!J59+parametros_recargas!$L$89*'Plan mensual'!J60+parametros_recargas!$M$89*'Plan mensual'!J62</f>
        <v>412.417979139276</v>
      </c>
      <c r="I47" s="26" t="n">
        <f aca="false">parametros_recargas!$E$89*'Plan mensual'!K53+parametros_recargas!$F$89*'Plan mensual'!K54+parametros_recargas!$G$89*'Plan mensual'!K55+parametros_recargas!$H$89*'Plan mensual'!K56+parametros_recargas!$I$89*'Plan mensual'!K57+parametros_recargas!$J$89*'Plan mensual'!K58+parametros_recargas!$K$89*'Plan mensual'!K59+parametros_recargas!$L$89*'Plan mensual'!K60+parametros_recargas!$M$89*'Plan mensual'!K62</f>
        <v>410.41564225846</v>
      </c>
      <c r="J47" s="26" t="n">
        <f aca="false">parametros_recargas!$E$89*'Plan mensual'!L53+parametros_recargas!$F$89*'Plan mensual'!L54+parametros_recargas!$G$89*'Plan mensual'!L55+parametros_recargas!$H$89*'Plan mensual'!L56+parametros_recargas!$I$89*'Plan mensual'!L57+parametros_recargas!$J$89*'Plan mensual'!L58+parametros_recargas!$K$89*'Plan mensual'!L59+parametros_recargas!$L$89*'Plan mensual'!L60+parametros_recargas!$M$89*'Plan mensual'!L62</f>
        <v>410.727844670632</v>
      </c>
      <c r="K47" s="26" t="n">
        <f aca="false">parametros_recargas!$E$89*'Plan mensual'!M53+parametros_recargas!$F$89*'Plan mensual'!M54+parametros_recargas!$G$89*'Plan mensual'!M55+parametros_recargas!$H$89*'Plan mensual'!M56+parametros_recargas!$I$89*'Plan mensual'!M57+parametros_recargas!$J$89*'Plan mensual'!M58+parametros_recargas!$K$89*'Plan mensual'!M59+parametros_recargas!$L$89*'Plan mensual'!M60+parametros_recargas!$M$89*'Plan mensual'!M62</f>
        <v>409.695670745609</v>
      </c>
      <c r="L47" s="26" t="n">
        <f aca="false">parametros_recargas!$E$89*'Plan mensual'!N53+parametros_recargas!$F$89*'Plan mensual'!N54+parametros_recargas!$G$89*'Plan mensual'!N55+parametros_recargas!$H$89*'Plan mensual'!N56+parametros_recargas!$I$89*'Plan mensual'!N57+parametros_recargas!$J$89*'Plan mensual'!N58+parametros_recargas!$K$89*'Plan mensual'!N59+parametros_recargas!$L$89*'Plan mensual'!N60+parametros_recargas!$M$89*'Plan mensual'!N62</f>
        <v>405.250745947035</v>
      </c>
      <c r="M47" s="26" t="n">
        <f aca="false">parametros_recargas!$E$89*'Plan mensual'!O53+parametros_recargas!$F$89*'Plan mensual'!O54+parametros_recargas!$G$89*'Plan mensual'!O55+parametros_recargas!$H$89*'Plan mensual'!O56+parametros_recargas!$I$89*'Plan mensual'!O57+parametros_recargas!$J$89*'Plan mensual'!O58+parametros_recargas!$K$89*'Plan mensual'!O59+parametros_recargas!$L$89*'Plan mensual'!O60+parametros_recargas!$M$89*'Plan mensual'!O62</f>
        <v>166.590556036016</v>
      </c>
      <c r="N47" s="8" t="n">
        <f aca="false">SUM(B47:M47)</f>
        <v>4513.32185367062</v>
      </c>
      <c r="O47" s="27" t="n">
        <f aca="false">MAX(B47:M47)</f>
        <v>479.952968038818</v>
      </c>
      <c r="P47" s="13" t="n">
        <f aca="false">O47/parametros_recargas!$B$6</f>
        <v>3.19968645359212</v>
      </c>
    </row>
    <row r="48" customFormat="false" ht="15" hidden="false" customHeight="false" outlineLevel="0" collapsed="false">
      <c r="A48" s="10" t="str">
        <f aca="false">parametros_recargas!$B$90</f>
        <v>Pintura</v>
      </c>
      <c r="B48" s="26" t="n">
        <f aca="false">parametros_recargas!$E$90*'Plan mensual'!D53+parametros_recargas!$F$90*'Plan mensual'!D54+parametros_recargas!$G$90*'Plan mensual'!D55+parametros_recargas!$H$90*'Plan mensual'!D56+parametros_recargas!$I$90*'Plan mensual'!D57+parametros_recargas!$J$90*'Plan mensual'!D58+parametros_recargas!$K$90*'Plan mensual'!D59+parametros_recargas!$L$90*'Plan mensual'!D60+parametros_recargas!$M$90*'Plan mensual'!D62</f>
        <v>115.067208041742</v>
      </c>
      <c r="C48" s="26" t="n">
        <f aca="false">parametros_recargas!$E$90*'Plan mensual'!E53+parametros_recargas!$F$90*'Plan mensual'!E54+parametros_recargas!$G$90*'Plan mensual'!E55+parametros_recargas!$H$90*'Plan mensual'!E56+parametros_recargas!$I$90*'Plan mensual'!E57+parametros_recargas!$J$90*'Plan mensual'!E58+parametros_recargas!$K$90*'Plan mensual'!E59+parametros_recargas!$L$90*'Plan mensual'!E60+parametros_recargas!$M$90*'Plan mensual'!E62</f>
        <v>293.482246717594</v>
      </c>
      <c r="D48" s="26" t="n">
        <f aca="false">parametros_recargas!$E$90*'Plan mensual'!F53+parametros_recargas!$F$90*'Plan mensual'!F54+parametros_recargas!$G$90*'Plan mensual'!F55+parametros_recargas!$H$90*'Plan mensual'!F56+parametros_recargas!$I$90*'Plan mensual'!F57+parametros_recargas!$J$90*'Plan mensual'!F58+parametros_recargas!$K$90*'Plan mensual'!F59+parametros_recargas!$L$90*'Plan mensual'!F60+parametros_recargas!$M$90*'Plan mensual'!F62</f>
        <v>247.795830841348</v>
      </c>
      <c r="E48" s="26" t="n">
        <f aca="false">parametros_recargas!$E$90*'Plan mensual'!G53+parametros_recargas!$F$90*'Plan mensual'!G54+parametros_recargas!$G$90*'Plan mensual'!G55+parametros_recargas!$H$90*'Plan mensual'!G56+parametros_recargas!$I$90*'Plan mensual'!G57+parametros_recargas!$J$90*'Plan mensual'!G58+parametros_recargas!$K$90*'Plan mensual'!G59+parametros_recargas!$L$90*'Plan mensual'!G60+parametros_recargas!$M$90*'Plan mensual'!G62</f>
        <v>248.822326106185</v>
      </c>
      <c r="F48" s="26" t="n">
        <f aca="false">parametros_recargas!$E$90*'Plan mensual'!H53+parametros_recargas!$F$90*'Plan mensual'!H54+parametros_recargas!$G$90*'Plan mensual'!H55+parametros_recargas!$H$90*'Plan mensual'!H56+parametros_recargas!$I$90*'Plan mensual'!H57+parametros_recargas!$J$90*'Plan mensual'!H58+parametros_recargas!$K$90*'Plan mensual'!H59+parametros_recargas!$L$90*'Plan mensual'!H60+parametros_recargas!$M$90*'Plan mensual'!H62</f>
        <v>248.875912008664</v>
      </c>
      <c r="G48" s="26" t="n">
        <f aca="false">parametros_recargas!$E$90*'Plan mensual'!I53+parametros_recargas!$F$90*'Plan mensual'!I54+parametros_recargas!$G$90*'Plan mensual'!I55+parametros_recargas!$H$90*'Plan mensual'!I56+parametros_recargas!$I$90*'Plan mensual'!I57+parametros_recargas!$J$90*'Plan mensual'!I58+parametros_recargas!$K$90*'Plan mensual'!I59+parametros_recargas!$L$90*'Plan mensual'!I60+parametros_recargas!$M$90*'Plan mensual'!I62</f>
        <v>248.38790860198</v>
      </c>
      <c r="H48" s="26" t="n">
        <f aca="false">parametros_recargas!$E$90*'Plan mensual'!J53+parametros_recargas!$F$90*'Plan mensual'!J54+parametros_recargas!$G$90*'Plan mensual'!J55+parametros_recargas!$H$90*'Plan mensual'!J56+parametros_recargas!$I$90*'Plan mensual'!J57+parametros_recargas!$J$90*'Plan mensual'!J58+parametros_recargas!$K$90*'Plan mensual'!J59+parametros_recargas!$L$90*'Plan mensual'!J60+parametros_recargas!$M$90*'Plan mensual'!J62</f>
        <v>249.922850450169</v>
      </c>
      <c r="I48" s="26" t="n">
        <f aca="false">parametros_recargas!$E$90*'Plan mensual'!K53+parametros_recargas!$F$90*'Plan mensual'!K54+parametros_recargas!$G$90*'Plan mensual'!K55+parametros_recargas!$H$90*'Plan mensual'!K56+parametros_recargas!$I$90*'Plan mensual'!K57+parametros_recargas!$J$90*'Plan mensual'!K58+parametros_recargas!$K$90*'Plan mensual'!K59+parametros_recargas!$L$90*'Plan mensual'!K60+parametros_recargas!$M$90*'Plan mensual'!K62</f>
        <v>248.767656095852</v>
      </c>
      <c r="J48" s="26" t="n">
        <f aca="false">parametros_recargas!$E$90*'Plan mensual'!L53+parametros_recargas!$F$90*'Plan mensual'!L54+parametros_recargas!$G$90*'Plan mensual'!L55+parametros_recargas!$H$90*'Plan mensual'!L56+parametros_recargas!$I$90*'Plan mensual'!L57+parametros_recargas!$J$90*'Plan mensual'!L58+parametros_recargas!$K$90*'Plan mensual'!L59+parametros_recargas!$L$90*'Plan mensual'!L60+parametros_recargas!$M$90*'Plan mensual'!L62</f>
        <v>248.947772872105</v>
      </c>
      <c r="K48" s="26" t="n">
        <f aca="false">parametros_recargas!$E$90*'Plan mensual'!M53+parametros_recargas!$F$90*'Plan mensual'!M54+parametros_recargas!$G$90*'Plan mensual'!M55+parametros_recargas!$H$90*'Plan mensual'!M56+parametros_recargas!$I$90*'Plan mensual'!M57+parametros_recargas!$J$90*'Plan mensual'!M58+parametros_recargas!$K$90*'Plan mensual'!M59+parametros_recargas!$L$90*'Plan mensual'!M60+parametros_recargas!$M$90*'Plan mensual'!M62</f>
        <v>248.352287915361</v>
      </c>
      <c r="L48" s="26" t="n">
        <f aca="false">parametros_recargas!$E$90*'Plan mensual'!N53+parametros_recargas!$F$90*'Plan mensual'!N54+parametros_recargas!$G$90*'Plan mensual'!N55+parametros_recargas!$H$90*'Plan mensual'!N56+parametros_recargas!$I$90*'Plan mensual'!N57+parametros_recargas!$J$90*'Plan mensual'!N58+parametros_recargas!$K$90*'Plan mensual'!N59+parametros_recargas!$L$90*'Plan mensual'!N60+parametros_recargas!$M$90*'Plan mensual'!N62</f>
        <v>245.787908223876</v>
      </c>
      <c r="M48" s="26" t="n">
        <f aca="false">parametros_recargas!$E$90*'Plan mensual'!O53+parametros_recargas!$F$90*'Plan mensual'!O54+parametros_recargas!$G$90*'Plan mensual'!O55+parametros_recargas!$H$90*'Plan mensual'!O56+parametros_recargas!$I$90*'Plan mensual'!O57+parametros_recargas!$J$90*'Plan mensual'!O58+parametros_recargas!$K$90*'Plan mensual'!O59+parametros_recargas!$L$90*'Plan mensual'!O60+parametros_recargas!$M$90*'Plan mensual'!O62</f>
        <v>108.099337121365</v>
      </c>
      <c r="N48" s="8" t="n">
        <f aca="false">SUM(B48:M48)</f>
        <v>2752.30924499624</v>
      </c>
      <c r="O48" s="27" t="n">
        <f aca="false">MAX(B48:M48)</f>
        <v>293.482246717594</v>
      </c>
      <c r="P48" s="13" t="n">
        <f aca="false">O48/parametros_recargas!$B$6</f>
        <v>1.95654831145063</v>
      </c>
    </row>
    <row r="49" customFormat="false" ht="15" hidden="false" customHeight="false" outlineLevel="0" collapsed="false">
      <c r="A49" s="10" t="str">
        <f aca="false">parametros_recargas!$B$91</f>
        <v>Carga de polvo ABC</v>
      </c>
      <c r="B49" s="26" t="n">
        <f aca="false">parametros_recargas!$E$91*'Plan mensual'!D53+parametros_recargas!$F$91*'Plan mensual'!D54+parametros_recargas!$G$91*'Plan mensual'!D55+parametros_recargas!$H$91*'Plan mensual'!D56+parametros_recargas!$I$91*'Plan mensual'!D57+parametros_recargas!$J$91*'Plan mensual'!D58+parametros_recargas!$K$91*'Plan mensual'!D59+parametros_recargas!$L$91*'Plan mensual'!D60+parametros_recargas!$M$91*'Plan mensual'!D62</f>
        <v>587.166511241026</v>
      </c>
      <c r="C49" s="26" t="n">
        <f aca="false">parametros_recargas!$E$91*'Plan mensual'!E53+parametros_recargas!$F$91*'Plan mensual'!E54+parametros_recargas!$G$91*'Plan mensual'!E55+parametros_recargas!$H$91*'Plan mensual'!E56+parametros_recargas!$I$91*'Plan mensual'!E57+parametros_recargas!$J$91*'Plan mensual'!E58+parametros_recargas!$K$91*'Plan mensual'!E59+parametros_recargas!$L$91*'Plan mensual'!E60+parametros_recargas!$M$91*'Plan mensual'!E62</f>
        <v>1688.58882924805</v>
      </c>
      <c r="D49" s="26" t="n">
        <f aca="false">parametros_recargas!$E$91*'Plan mensual'!F53+parametros_recargas!$F$91*'Plan mensual'!F54+parametros_recargas!$G$91*'Plan mensual'!F55+parametros_recargas!$H$91*'Plan mensual'!F56+parametros_recargas!$I$91*'Plan mensual'!F57+parametros_recargas!$J$91*'Plan mensual'!F58+parametros_recargas!$K$91*'Plan mensual'!F59+parametros_recargas!$L$91*'Plan mensual'!F60+parametros_recargas!$M$91*'Plan mensual'!F62</f>
        <v>1470.84918247669</v>
      </c>
      <c r="E49" s="26" t="n">
        <f aca="false">parametros_recargas!$E$91*'Plan mensual'!G53+parametros_recargas!$F$91*'Plan mensual'!G54+parametros_recargas!$G$91*'Plan mensual'!G55+parametros_recargas!$H$91*'Plan mensual'!G56+parametros_recargas!$I$91*'Plan mensual'!G57+parametros_recargas!$J$91*'Plan mensual'!G58+parametros_recargas!$K$91*'Plan mensual'!G59+parametros_recargas!$L$91*'Plan mensual'!G60+parametros_recargas!$M$91*'Plan mensual'!G62</f>
        <v>1477.69248424226</v>
      </c>
      <c r="F49" s="26" t="n">
        <f aca="false">parametros_recargas!$E$91*'Plan mensual'!H53+parametros_recargas!$F$91*'Plan mensual'!H54+parametros_recargas!$G$91*'Plan mensual'!H55+parametros_recargas!$H$91*'Plan mensual'!H56+parametros_recargas!$I$91*'Plan mensual'!H57+parametros_recargas!$J$91*'Plan mensual'!H58+parametros_recargas!$K$91*'Plan mensual'!H59+parametros_recargas!$L$91*'Plan mensual'!H60+parametros_recargas!$M$91*'Plan mensual'!H62</f>
        <v>1477.63352359212</v>
      </c>
      <c r="G49" s="26" t="n">
        <f aca="false">parametros_recargas!$E$91*'Plan mensual'!I53+parametros_recargas!$F$91*'Plan mensual'!I54+parametros_recargas!$G$91*'Plan mensual'!I55+parametros_recargas!$H$91*'Plan mensual'!I56+parametros_recargas!$I$91*'Plan mensual'!I57+parametros_recargas!$J$91*'Plan mensual'!I58+parametros_recargas!$K$91*'Plan mensual'!I59+parametros_recargas!$L$91*'Plan mensual'!I60+parametros_recargas!$M$91*'Plan mensual'!I62</f>
        <v>1473.81639573767</v>
      </c>
      <c r="H49" s="26" t="n">
        <f aca="false">parametros_recargas!$E$91*'Plan mensual'!J53+parametros_recargas!$F$91*'Plan mensual'!J54+parametros_recargas!$G$91*'Plan mensual'!J55+parametros_recargas!$H$91*'Plan mensual'!J56+parametros_recargas!$I$91*'Plan mensual'!J57+parametros_recargas!$J$91*'Plan mensual'!J58+parametros_recargas!$K$91*'Plan mensual'!J59+parametros_recargas!$L$91*'Plan mensual'!J60+parametros_recargas!$M$91*'Plan mensual'!J62</f>
        <v>1484.61311320216</v>
      </c>
      <c r="I49" s="26" t="n">
        <f aca="false">parametros_recargas!$E$91*'Plan mensual'!K53+parametros_recargas!$F$91*'Plan mensual'!K54+parametros_recargas!$G$91*'Plan mensual'!K55+parametros_recargas!$H$91*'Plan mensual'!K56+parametros_recargas!$I$91*'Plan mensual'!K57+parametros_recargas!$J$91*'Plan mensual'!K58+parametros_recargas!$K$91*'Plan mensual'!K59+parametros_recargas!$L$91*'Plan mensual'!K60+parametros_recargas!$M$91*'Plan mensual'!K62</f>
        <v>1476.91181750671</v>
      </c>
      <c r="J49" s="26" t="n">
        <f aca="false">parametros_recargas!$E$91*'Plan mensual'!L53+parametros_recargas!$F$91*'Plan mensual'!L54+parametros_recargas!$G$91*'Plan mensual'!L55+parametros_recargas!$H$91*'Plan mensual'!L56+parametros_recargas!$I$91*'Plan mensual'!L57+parametros_recargas!$J$91*'Plan mensual'!L58+parametros_recargas!$K$91*'Plan mensual'!L59+parametros_recargas!$L$91*'Plan mensual'!L60+parametros_recargas!$M$91*'Plan mensual'!L62</f>
        <v>1478.03881011011</v>
      </c>
      <c r="K49" s="26" t="n">
        <f aca="false">parametros_recargas!$E$91*'Plan mensual'!M53+parametros_recargas!$F$91*'Plan mensual'!M54+parametros_recargas!$G$91*'Plan mensual'!M55+parametros_recargas!$H$91*'Plan mensual'!M56+parametros_recargas!$I$91*'Plan mensual'!M57+parametros_recargas!$J$91*'Plan mensual'!M58+parametros_recargas!$K$91*'Plan mensual'!M59+parametros_recargas!$L$91*'Plan mensual'!M60+parametros_recargas!$M$91*'Plan mensual'!M62</f>
        <v>1473.50513858859</v>
      </c>
      <c r="L49" s="26" t="n">
        <f aca="false">parametros_recargas!$E$91*'Plan mensual'!N53+parametros_recargas!$F$91*'Plan mensual'!N54+parametros_recargas!$G$91*'Plan mensual'!N55+parametros_recargas!$H$91*'Plan mensual'!N56+parametros_recargas!$I$91*'Plan mensual'!N57+parametros_recargas!$J$91*'Plan mensual'!N58+parametros_recargas!$K$91*'Plan mensual'!N59+parametros_recargas!$L$91*'Plan mensual'!N60+parametros_recargas!$M$91*'Plan mensual'!N62</f>
        <v>1455.91928807374</v>
      </c>
      <c r="M49" s="26" t="n">
        <f aca="false">parametros_recargas!$E$91*'Plan mensual'!O53+parametros_recargas!$F$91*'Plan mensual'!O54+parametros_recargas!$G$91*'Plan mensual'!O55+parametros_recargas!$H$91*'Plan mensual'!O56+parametros_recargas!$I$91*'Plan mensual'!O57+parametros_recargas!$J$91*'Plan mensual'!O58+parametros_recargas!$K$91*'Plan mensual'!O59+parametros_recargas!$L$91*'Plan mensual'!O60+parametros_recargas!$M$91*'Plan mensual'!O62</f>
        <v>541.472652533562</v>
      </c>
      <c r="N49" s="8" t="n">
        <f aca="false">SUM(B49:M49)</f>
        <v>16086.2077465527</v>
      </c>
      <c r="O49" s="27" t="n">
        <f aca="false">MAX(B49:M49)</f>
        <v>1688.58882924805</v>
      </c>
      <c r="P49" s="13" t="n">
        <f aca="false">O49/parametros_recargas!$B$6</f>
        <v>11.2572588616537</v>
      </c>
    </row>
    <row r="50" customFormat="false" ht="15" hidden="false" customHeight="false" outlineLevel="0" collapsed="false">
      <c r="A50" s="10" t="str">
        <f aca="false">parametros_recargas!$B$92</f>
        <v>Carga de polvo BC</v>
      </c>
      <c r="B50" s="26" t="n">
        <f aca="false">parametros_recargas!$E$92*'Plan mensual'!D53+parametros_recargas!$F$92*'Plan mensual'!D54+parametros_recargas!$G$92*'Plan mensual'!D55+parametros_recargas!$H$92*'Plan mensual'!D56+parametros_recargas!$I$92*'Plan mensual'!D57+parametros_recargas!$J$92*'Plan mensual'!D58+parametros_recargas!$K$92*'Plan mensual'!D59+parametros_recargas!$L$92*'Plan mensual'!D60+parametros_recargas!$M$92*'Plan mensual'!D62</f>
        <v>2.25858081462087</v>
      </c>
      <c r="C50" s="26" t="n">
        <f aca="false">parametros_recargas!$E$92*'Plan mensual'!E53+parametros_recargas!$F$92*'Plan mensual'!E54+parametros_recargas!$G$92*'Plan mensual'!E55+parametros_recargas!$H$92*'Plan mensual'!E56+parametros_recargas!$I$92*'Plan mensual'!E57+parametros_recargas!$J$92*'Plan mensual'!E58+parametros_recargas!$K$92*'Plan mensual'!E59+parametros_recargas!$L$92*'Plan mensual'!E60+parametros_recargas!$M$92*'Plan mensual'!E62</f>
        <v>2.25858081462087</v>
      </c>
      <c r="D50" s="26" t="n">
        <f aca="false">parametros_recargas!$E$92*'Plan mensual'!F53+parametros_recargas!$F$92*'Plan mensual'!F54+parametros_recargas!$G$92*'Plan mensual'!F55+parametros_recargas!$H$92*'Plan mensual'!F56+parametros_recargas!$I$92*'Plan mensual'!F57+parametros_recargas!$J$92*'Plan mensual'!F58+parametros_recargas!$K$92*'Plan mensual'!F59+parametros_recargas!$L$92*'Plan mensual'!F60+parametros_recargas!$M$92*'Plan mensual'!F62</f>
        <v>2.25858081462087</v>
      </c>
      <c r="E50" s="26" t="n">
        <f aca="false">parametros_recargas!$E$92*'Plan mensual'!G53+parametros_recargas!$F$92*'Plan mensual'!G54+parametros_recargas!$G$92*'Plan mensual'!G55+parametros_recargas!$H$92*'Plan mensual'!G56+parametros_recargas!$I$92*'Plan mensual'!G57+parametros_recargas!$J$92*'Plan mensual'!G58+parametros_recargas!$K$92*'Plan mensual'!G59+parametros_recargas!$L$92*'Plan mensual'!G60+parametros_recargas!$M$92*'Plan mensual'!G62</f>
        <v>2.25858081462087</v>
      </c>
      <c r="F50" s="26" t="n">
        <f aca="false">parametros_recargas!$E$92*'Plan mensual'!H53+parametros_recargas!$F$92*'Plan mensual'!H54+parametros_recargas!$G$92*'Plan mensual'!H55+parametros_recargas!$H$92*'Plan mensual'!H56+parametros_recargas!$I$92*'Plan mensual'!H57+parametros_recargas!$J$92*'Plan mensual'!H58+parametros_recargas!$K$92*'Plan mensual'!H59+parametros_recargas!$L$92*'Plan mensual'!H60+parametros_recargas!$M$92*'Plan mensual'!H62</f>
        <v>2.25858081462087</v>
      </c>
      <c r="G50" s="26" t="n">
        <f aca="false">parametros_recargas!$E$92*'Plan mensual'!I53+parametros_recargas!$F$92*'Plan mensual'!I54+parametros_recargas!$G$92*'Plan mensual'!I55+parametros_recargas!$H$92*'Plan mensual'!I56+parametros_recargas!$I$92*'Plan mensual'!I57+parametros_recargas!$J$92*'Plan mensual'!I58+parametros_recargas!$K$92*'Plan mensual'!I59+parametros_recargas!$L$92*'Plan mensual'!I60+parametros_recargas!$M$92*'Plan mensual'!I62</f>
        <v>2.25858081462087</v>
      </c>
      <c r="H50" s="26" t="n">
        <f aca="false">parametros_recargas!$E$92*'Plan mensual'!J53+parametros_recargas!$F$92*'Plan mensual'!J54+parametros_recargas!$G$92*'Plan mensual'!J55+parametros_recargas!$H$92*'Plan mensual'!J56+parametros_recargas!$I$92*'Plan mensual'!J57+parametros_recargas!$J$92*'Plan mensual'!J58+parametros_recargas!$K$92*'Plan mensual'!J59+parametros_recargas!$L$92*'Plan mensual'!J60+parametros_recargas!$M$92*'Plan mensual'!J62</f>
        <v>2.25858081462087</v>
      </c>
      <c r="I50" s="26" t="n">
        <f aca="false">parametros_recargas!$E$92*'Plan mensual'!K53+parametros_recargas!$F$92*'Plan mensual'!K54+parametros_recargas!$G$92*'Plan mensual'!K55+parametros_recargas!$H$92*'Plan mensual'!K56+parametros_recargas!$I$92*'Plan mensual'!K57+parametros_recargas!$J$92*'Plan mensual'!K58+parametros_recargas!$K$92*'Plan mensual'!K59+parametros_recargas!$L$92*'Plan mensual'!K60+parametros_recargas!$M$92*'Plan mensual'!K62</f>
        <v>2.25858081462087</v>
      </c>
      <c r="J50" s="26" t="n">
        <f aca="false">parametros_recargas!$E$92*'Plan mensual'!L53+parametros_recargas!$F$92*'Plan mensual'!L54+parametros_recargas!$G$92*'Plan mensual'!L55+parametros_recargas!$H$92*'Plan mensual'!L56+parametros_recargas!$I$92*'Plan mensual'!L57+parametros_recargas!$J$92*'Plan mensual'!L58+parametros_recargas!$K$92*'Plan mensual'!L59+parametros_recargas!$L$92*'Plan mensual'!L60+parametros_recargas!$M$92*'Plan mensual'!L62</f>
        <v>2.25858081462087</v>
      </c>
      <c r="K50" s="26" t="n">
        <f aca="false">parametros_recargas!$E$92*'Plan mensual'!M53+parametros_recargas!$F$92*'Plan mensual'!M54+parametros_recargas!$G$92*'Plan mensual'!M55+parametros_recargas!$H$92*'Plan mensual'!M56+parametros_recargas!$I$92*'Plan mensual'!M57+parametros_recargas!$J$92*'Plan mensual'!M58+parametros_recargas!$K$92*'Plan mensual'!M59+parametros_recargas!$L$92*'Plan mensual'!M60+parametros_recargas!$M$92*'Plan mensual'!M62</f>
        <v>2.25858081462087</v>
      </c>
      <c r="L50" s="26" t="n">
        <f aca="false">parametros_recargas!$E$92*'Plan mensual'!N53+parametros_recargas!$F$92*'Plan mensual'!N54+parametros_recargas!$G$92*'Plan mensual'!N55+parametros_recargas!$H$92*'Plan mensual'!N56+parametros_recargas!$I$92*'Plan mensual'!N57+parametros_recargas!$J$92*'Plan mensual'!N58+parametros_recargas!$K$92*'Plan mensual'!N59+parametros_recargas!$L$92*'Plan mensual'!N60+parametros_recargas!$M$92*'Plan mensual'!N62</f>
        <v>2.25858081462087</v>
      </c>
      <c r="M50" s="26" t="n">
        <f aca="false">parametros_recargas!$E$92*'Plan mensual'!O53+parametros_recargas!$F$92*'Plan mensual'!O54+parametros_recargas!$G$92*'Plan mensual'!O55+parametros_recargas!$H$92*'Plan mensual'!O56+parametros_recargas!$I$92*'Plan mensual'!O57+parametros_recargas!$J$92*'Plan mensual'!O58+parametros_recargas!$K$92*'Plan mensual'!O59+parametros_recargas!$L$92*'Plan mensual'!O60+parametros_recargas!$M$92*'Plan mensual'!O62</f>
        <v>2.25858081462087</v>
      </c>
      <c r="N50" s="8" t="n">
        <f aca="false">SUM(B50:M50)</f>
        <v>27.1029697754505</v>
      </c>
      <c r="O50" s="27" t="n">
        <f aca="false">MAX(B50:M50)</f>
        <v>2.25858081462087</v>
      </c>
      <c r="P50" s="13" t="n">
        <f aca="false">O50/parametros_recargas!$B$6</f>
        <v>0.0150572054308058</v>
      </c>
    </row>
    <row r="51" customFormat="false" ht="15" hidden="false" customHeight="false" outlineLevel="0" collapsed="false">
      <c r="A51" s="10" t="str">
        <f aca="false">parametros_recargas!$B$93</f>
        <v>Descarga y carga Clase D</v>
      </c>
      <c r="B51" s="26" t="n">
        <f aca="false">parametros_recargas!$E$93*'Plan mensual'!D53+parametros_recargas!$F$93*'Plan mensual'!D54+parametros_recargas!$G$93*'Plan mensual'!D55+parametros_recargas!$H$93*'Plan mensual'!D56+parametros_recargas!$I$93*'Plan mensual'!D57+parametros_recargas!$J$93*'Plan mensual'!D58+parametros_recargas!$K$93*'Plan mensual'!D59+parametros_recargas!$L$93*'Plan mensual'!D60+parametros_recargas!$M$93*'Plan mensual'!D62</f>
        <v>2.25858081462087</v>
      </c>
      <c r="C51" s="26" t="n">
        <f aca="false">parametros_recargas!$E$93*'Plan mensual'!E53+parametros_recargas!$F$93*'Plan mensual'!E54+parametros_recargas!$G$93*'Plan mensual'!E55+parametros_recargas!$H$93*'Plan mensual'!E56+parametros_recargas!$I$93*'Plan mensual'!E57+parametros_recargas!$J$93*'Plan mensual'!E58+parametros_recargas!$K$93*'Plan mensual'!E59+parametros_recargas!$L$93*'Plan mensual'!E60+parametros_recargas!$M$93*'Plan mensual'!E62</f>
        <v>2.25858081462087</v>
      </c>
      <c r="D51" s="26" t="n">
        <f aca="false">parametros_recargas!$E$93*'Plan mensual'!F53+parametros_recargas!$F$93*'Plan mensual'!F54+parametros_recargas!$G$93*'Plan mensual'!F55+parametros_recargas!$H$93*'Plan mensual'!F56+parametros_recargas!$I$93*'Plan mensual'!F57+parametros_recargas!$J$93*'Plan mensual'!F58+parametros_recargas!$K$93*'Plan mensual'!F59+parametros_recargas!$L$93*'Plan mensual'!F60+parametros_recargas!$M$93*'Plan mensual'!F62</f>
        <v>2.25858081462087</v>
      </c>
      <c r="E51" s="26" t="n">
        <f aca="false">parametros_recargas!$E$93*'Plan mensual'!G53+parametros_recargas!$F$93*'Plan mensual'!G54+parametros_recargas!$G$93*'Plan mensual'!G55+parametros_recargas!$H$93*'Plan mensual'!G56+parametros_recargas!$I$93*'Plan mensual'!G57+parametros_recargas!$J$93*'Plan mensual'!G58+parametros_recargas!$K$93*'Plan mensual'!G59+parametros_recargas!$L$93*'Plan mensual'!G60+parametros_recargas!$M$93*'Plan mensual'!G62</f>
        <v>2.25858081462087</v>
      </c>
      <c r="F51" s="26" t="n">
        <f aca="false">parametros_recargas!$E$93*'Plan mensual'!H53+parametros_recargas!$F$93*'Plan mensual'!H54+parametros_recargas!$G$93*'Plan mensual'!H55+parametros_recargas!$H$93*'Plan mensual'!H56+parametros_recargas!$I$93*'Plan mensual'!H57+parametros_recargas!$J$93*'Plan mensual'!H58+parametros_recargas!$K$93*'Plan mensual'!H59+parametros_recargas!$L$93*'Plan mensual'!H60+parametros_recargas!$M$93*'Plan mensual'!H62</f>
        <v>2.25858081462087</v>
      </c>
      <c r="G51" s="26" t="n">
        <f aca="false">parametros_recargas!$E$93*'Plan mensual'!I53+parametros_recargas!$F$93*'Plan mensual'!I54+parametros_recargas!$G$93*'Plan mensual'!I55+parametros_recargas!$H$93*'Plan mensual'!I56+parametros_recargas!$I$93*'Plan mensual'!I57+parametros_recargas!$J$93*'Plan mensual'!I58+parametros_recargas!$K$93*'Plan mensual'!I59+parametros_recargas!$L$93*'Plan mensual'!I60+parametros_recargas!$M$93*'Plan mensual'!I62</f>
        <v>2.25858081462087</v>
      </c>
      <c r="H51" s="26" t="n">
        <f aca="false">parametros_recargas!$E$93*'Plan mensual'!J53+parametros_recargas!$F$93*'Plan mensual'!J54+parametros_recargas!$G$93*'Plan mensual'!J55+parametros_recargas!$H$93*'Plan mensual'!J56+parametros_recargas!$I$93*'Plan mensual'!J57+parametros_recargas!$J$93*'Plan mensual'!J58+parametros_recargas!$K$93*'Plan mensual'!J59+parametros_recargas!$L$93*'Plan mensual'!J60+parametros_recargas!$M$93*'Plan mensual'!J62</f>
        <v>2.25858081462087</v>
      </c>
      <c r="I51" s="26" t="n">
        <f aca="false">parametros_recargas!$E$93*'Plan mensual'!K53+parametros_recargas!$F$93*'Plan mensual'!K54+parametros_recargas!$G$93*'Plan mensual'!K55+parametros_recargas!$H$93*'Plan mensual'!K56+parametros_recargas!$I$93*'Plan mensual'!K57+parametros_recargas!$J$93*'Plan mensual'!K58+parametros_recargas!$K$93*'Plan mensual'!K59+parametros_recargas!$L$93*'Plan mensual'!K60+parametros_recargas!$M$93*'Plan mensual'!K62</f>
        <v>2.25858081462087</v>
      </c>
      <c r="J51" s="26" t="n">
        <f aca="false">parametros_recargas!$E$93*'Plan mensual'!L53+parametros_recargas!$F$93*'Plan mensual'!L54+parametros_recargas!$G$93*'Plan mensual'!L55+parametros_recargas!$H$93*'Plan mensual'!L56+parametros_recargas!$I$93*'Plan mensual'!L57+parametros_recargas!$J$93*'Plan mensual'!L58+parametros_recargas!$K$93*'Plan mensual'!L59+parametros_recargas!$L$93*'Plan mensual'!L60+parametros_recargas!$M$93*'Plan mensual'!L62</f>
        <v>2.25858081462087</v>
      </c>
      <c r="K51" s="26" t="n">
        <f aca="false">parametros_recargas!$E$93*'Plan mensual'!M53+parametros_recargas!$F$93*'Plan mensual'!M54+parametros_recargas!$G$93*'Plan mensual'!M55+parametros_recargas!$H$93*'Plan mensual'!M56+parametros_recargas!$I$93*'Plan mensual'!M57+parametros_recargas!$J$93*'Plan mensual'!M58+parametros_recargas!$K$93*'Plan mensual'!M59+parametros_recargas!$L$93*'Plan mensual'!M60+parametros_recargas!$M$93*'Plan mensual'!M62</f>
        <v>2.25858081462087</v>
      </c>
      <c r="L51" s="26" t="n">
        <f aca="false">parametros_recargas!$E$93*'Plan mensual'!N53+parametros_recargas!$F$93*'Plan mensual'!N54+parametros_recargas!$G$93*'Plan mensual'!N55+parametros_recargas!$H$93*'Plan mensual'!N56+parametros_recargas!$I$93*'Plan mensual'!N57+parametros_recargas!$J$93*'Plan mensual'!N58+parametros_recargas!$K$93*'Plan mensual'!N59+parametros_recargas!$L$93*'Plan mensual'!N60+parametros_recargas!$M$93*'Plan mensual'!N62</f>
        <v>2.25858081462087</v>
      </c>
      <c r="M51" s="26" t="n">
        <f aca="false">parametros_recargas!$E$93*'Plan mensual'!O53+parametros_recargas!$F$93*'Plan mensual'!O54+parametros_recargas!$G$93*'Plan mensual'!O55+parametros_recargas!$H$93*'Plan mensual'!O56+parametros_recargas!$I$93*'Plan mensual'!O57+parametros_recargas!$J$93*'Plan mensual'!O58+parametros_recargas!$K$93*'Plan mensual'!O59+parametros_recargas!$L$93*'Plan mensual'!O60+parametros_recargas!$M$93*'Plan mensual'!O62</f>
        <v>2.25858081462087</v>
      </c>
      <c r="N51" s="8" t="n">
        <f aca="false">SUM(B51:M51)</f>
        <v>27.1029697754505</v>
      </c>
      <c r="O51" s="27" t="n">
        <f aca="false">MAX(B51:M51)</f>
        <v>2.25858081462087</v>
      </c>
      <c r="P51" s="13" t="n">
        <f aca="false">O51/parametros_recargas!$B$6</f>
        <v>0.0150572054308058</v>
      </c>
    </row>
    <row r="52" customFormat="false" ht="15" hidden="false" customHeight="false" outlineLevel="0" collapsed="false">
      <c r="A52" s="10" t="str">
        <f aca="false">parametros_recargas!$B$94</f>
        <v>Carga de agua / AFFF / sales K</v>
      </c>
      <c r="B52" s="26" t="n">
        <f aca="false">parametros_recargas!$E$94*'Plan mensual'!D53+parametros_recargas!$F$94*'Plan mensual'!D54+parametros_recargas!$G$94*'Plan mensual'!D55+parametros_recargas!$H$94*'Plan mensual'!D56+parametros_recargas!$I$94*'Plan mensual'!D57+parametros_recargas!$J$94*'Plan mensual'!D58+parametros_recargas!$K$94*'Plan mensual'!D59+parametros_recargas!$L$94*'Plan mensual'!D60+parametros_recargas!$M$94*'Plan mensual'!D62</f>
        <v>71.9398300730937</v>
      </c>
      <c r="C52" s="26" t="n">
        <f aca="false">parametros_recargas!$E$94*'Plan mensual'!E53+parametros_recargas!$F$94*'Plan mensual'!E54+parametros_recargas!$G$94*'Plan mensual'!E55+parametros_recargas!$H$94*'Plan mensual'!E56+parametros_recargas!$I$94*'Plan mensual'!E57+parametros_recargas!$J$94*'Plan mensual'!E58+parametros_recargas!$K$94*'Plan mensual'!E59+parametros_recargas!$L$94*'Plan mensual'!E60+parametros_recargas!$M$94*'Plan mensual'!E62</f>
        <v>98.9425374181059</v>
      </c>
      <c r="D52" s="26" t="n">
        <f aca="false">parametros_recargas!$E$94*'Plan mensual'!F53+parametros_recargas!$F$94*'Plan mensual'!F54+parametros_recargas!$G$94*'Plan mensual'!F55+parametros_recargas!$H$94*'Plan mensual'!F56+parametros_recargas!$I$94*'Plan mensual'!F57+parametros_recargas!$J$94*'Plan mensual'!F58+parametros_recargas!$K$94*'Plan mensual'!F59+parametros_recargas!$L$94*'Plan mensual'!F60+parametros_recargas!$M$94*'Plan mensual'!F62</f>
        <v>71.9398300730937</v>
      </c>
      <c r="E52" s="26" t="n">
        <f aca="false">parametros_recargas!$E$94*'Plan mensual'!G53+parametros_recargas!$F$94*'Plan mensual'!G54+parametros_recargas!$G$94*'Plan mensual'!G55+parametros_recargas!$H$94*'Plan mensual'!G56+parametros_recargas!$I$94*'Plan mensual'!G57+parametros_recargas!$J$94*'Plan mensual'!G58+parametros_recargas!$K$94*'Plan mensual'!G59+parametros_recargas!$L$94*'Plan mensual'!G60+parametros_recargas!$M$94*'Plan mensual'!G62</f>
        <v>71.9398300730937</v>
      </c>
      <c r="F52" s="26" t="n">
        <f aca="false">parametros_recargas!$E$94*'Plan mensual'!H53+parametros_recargas!$F$94*'Plan mensual'!H54+parametros_recargas!$G$94*'Plan mensual'!H55+parametros_recargas!$H$94*'Plan mensual'!H56+parametros_recargas!$I$94*'Plan mensual'!H57+parametros_recargas!$J$94*'Plan mensual'!H58+parametros_recargas!$K$94*'Plan mensual'!H59+parametros_recargas!$L$94*'Plan mensual'!H60+parametros_recargas!$M$94*'Plan mensual'!H62</f>
        <v>71.9398300730937</v>
      </c>
      <c r="G52" s="26" t="n">
        <f aca="false">parametros_recargas!$E$94*'Plan mensual'!I53+parametros_recargas!$F$94*'Plan mensual'!I54+parametros_recargas!$G$94*'Plan mensual'!I55+parametros_recargas!$H$94*'Plan mensual'!I56+parametros_recargas!$I$94*'Plan mensual'!I57+parametros_recargas!$J$94*'Plan mensual'!I58+parametros_recargas!$K$94*'Plan mensual'!I59+parametros_recargas!$L$94*'Plan mensual'!I60+parametros_recargas!$M$94*'Plan mensual'!I62</f>
        <v>71.9398300730937</v>
      </c>
      <c r="H52" s="26" t="n">
        <f aca="false">parametros_recargas!$E$94*'Plan mensual'!J53+parametros_recargas!$F$94*'Plan mensual'!J54+parametros_recargas!$G$94*'Plan mensual'!J55+parametros_recargas!$H$94*'Plan mensual'!J56+parametros_recargas!$I$94*'Plan mensual'!J57+parametros_recargas!$J$94*'Plan mensual'!J58+parametros_recargas!$K$94*'Plan mensual'!J59+parametros_recargas!$L$94*'Plan mensual'!J60+parametros_recargas!$M$94*'Plan mensual'!J62</f>
        <v>71.9398300730937</v>
      </c>
      <c r="I52" s="26" t="n">
        <f aca="false">parametros_recargas!$E$94*'Plan mensual'!K53+parametros_recargas!$F$94*'Plan mensual'!K54+parametros_recargas!$G$94*'Plan mensual'!K55+parametros_recargas!$H$94*'Plan mensual'!K56+parametros_recargas!$I$94*'Plan mensual'!K57+parametros_recargas!$J$94*'Plan mensual'!K58+parametros_recargas!$K$94*'Plan mensual'!K59+parametros_recargas!$L$94*'Plan mensual'!K60+parametros_recargas!$M$94*'Plan mensual'!K62</f>
        <v>71.9398300730937</v>
      </c>
      <c r="J52" s="26" t="n">
        <f aca="false">parametros_recargas!$E$94*'Plan mensual'!L53+parametros_recargas!$F$94*'Plan mensual'!L54+parametros_recargas!$G$94*'Plan mensual'!L55+parametros_recargas!$H$94*'Plan mensual'!L56+parametros_recargas!$I$94*'Plan mensual'!L57+parametros_recargas!$J$94*'Plan mensual'!L58+parametros_recargas!$K$94*'Plan mensual'!L59+parametros_recargas!$L$94*'Plan mensual'!L60+parametros_recargas!$M$94*'Plan mensual'!L62</f>
        <v>71.9398300730937</v>
      </c>
      <c r="K52" s="26" t="n">
        <f aca="false">parametros_recargas!$E$94*'Plan mensual'!M53+parametros_recargas!$F$94*'Plan mensual'!M54+parametros_recargas!$G$94*'Plan mensual'!M55+parametros_recargas!$H$94*'Plan mensual'!M56+parametros_recargas!$I$94*'Plan mensual'!M57+parametros_recargas!$J$94*'Plan mensual'!M58+parametros_recargas!$K$94*'Plan mensual'!M59+parametros_recargas!$L$94*'Plan mensual'!M60+parametros_recargas!$M$94*'Plan mensual'!M62</f>
        <v>71.9398300730937</v>
      </c>
      <c r="L52" s="26" t="n">
        <f aca="false">parametros_recargas!$E$94*'Plan mensual'!N53+parametros_recargas!$F$94*'Plan mensual'!N54+parametros_recargas!$G$94*'Plan mensual'!N55+parametros_recargas!$H$94*'Plan mensual'!N56+parametros_recargas!$I$94*'Plan mensual'!N57+parametros_recargas!$J$94*'Plan mensual'!N58+parametros_recargas!$K$94*'Plan mensual'!N59+parametros_recargas!$L$94*'Plan mensual'!N60+parametros_recargas!$M$94*'Plan mensual'!N62</f>
        <v>71.9398300730937</v>
      </c>
      <c r="M52" s="26" t="n">
        <f aca="false">parametros_recargas!$E$94*'Plan mensual'!O53+parametros_recargas!$F$94*'Plan mensual'!O54+parametros_recargas!$G$94*'Plan mensual'!O55+parametros_recargas!$H$94*'Plan mensual'!O56+parametros_recargas!$I$94*'Plan mensual'!O57+parametros_recargas!$J$94*'Plan mensual'!O58+parametros_recargas!$K$94*'Plan mensual'!O59+parametros_recargas!$L$94*'Plan mensual'!O60+parametros_recargas!$M$94*'Plan mensual'!O62</f>
        <v>71.9398300730937</v>
      </c>
      <c r="N52" s="8" t="n">
        <f aca="false">SUM(B52:M52)</f>
        <v>890.280668222136</v>
      </c>
      <c r="O52" s="27" t="n">
        <f aca="false">MAX(B52:M52)</f>
        <v>98.9425374181059</v>
      </c>
      <c r="P52" s="13" t="n">
        <f aca="false">O52/parametros_recargas!$B$6</f>
        <v>0.659616916120706</v>
      </c>
    </row>
    <row r="53" customFormat="false" ht="15" hidden="false" customHeight="false" outlineLevel="0" collapsed="false">
      <c r="A53" s="10" t="str">
        <f aca="false">parametros_recargas!$B$95</f>
        <v>Carga de CO₂</v>
      </c>
      <c r="B53" s="26" t="n">
        <f aca="false">parametros_recargas!$E$95*'Plan mensual'!D53+parametros_recargas!$F$95*'Plan mensual'!D54+parametros_recargas!$G$95*'Plan mensual'!D55+parametros_recargas!$H$95*'Plan mensual'!D56+parametros_recargas!$I$95*'Plan mensual'!D57+parametros_recargas!$J$95*'Plan mensual'!D58+parametros_recargas!$K$95*'Plan mensual'!D59+parametros_recargas!$L$95*'Plan mensual'!D60+parametros_recargas!$M$95*'Plan mensual'!D62</f>
        <v>36.4073320067553</v>
      </c>
      <c r="C53" s="26" t="n">
        <f aca="false">parametros_recargas!$E$95*'Plan mensual'!E53+parametros_recargas!$F$95*'Plan mensual'!E54+parametros_recargas!$G$95*'Plan mensual'!E55+parametros_recargas!$H$95*'Plan mensual'!E56+parametros_recargas!$I$95*'Plan mensual'!E57+parametros_recargas!$J$95*'Plan mensual'!E58+parametros_recargas!$K$95*'Plan mensual'!E59+parametros_recargas!$L$95*'Plan mensual'!E60+parametros_recargas!$M$95*'Plan mensual'!E62</f>
        <v>56.6285816172019</v>
      </c>
      <c r="D53" s="26" t="n">
        <f aca="false">parametros_recargas!$E$95*'Plan mensual'!F53+parametros_recargas!$F$95*'Plan mensual'!F54+parametros_recargas!$G$95*'Plan mensual'!F55+parametros_recargas!$H$95*'Plan mensual'!F56+parametros_recargas!$I$95*'Plan mensual'!F57+parametros_recargas!$J$95*'Plan mensual'!F58+parametros_recargas!$K$95*'Plan mensual'!F59+parametros_recargas!$L$95*'Plan mensual'!F60+parametros_recargas!$M$95*'Plan mensual'!F62</f>
        <v>36.4073320067553</v>
      </c>
      <c r="E53" s="26" t="n">
        <f aca="false">parametros_recargas!$E$95*'Plan mensual'!G53+parametros_recargas!$F$95*'Plan mensual'!G54+parametros_recargas!$G$95*'Plan mensual'!G55+parametros_recargas!$H$95*'Plan mensual'!G56+parametros_recargas!$I$95*'Plan mensual'!G57+parametros_recargas!$J$95*'Plan mensual'!G58+parametros_recargas!$K$95*'Plan mensual'!G59+parametros_recargas!$L$95*'Plan mensual'!G60+parametros_recargas!$M$95*'Plan mensual'!G62</f>
        <v>36.4073320067553</v>
      </c>
      <c r="F53" s="26" t="n">
        <f aca="false">parametros_recargas!$E$95*'Plan mensual'!H53+parametros_recargas!$F$95*'Plan mensual'!H54+parametros_recargas!$G$95*'Plan mensual'!H55+parametros_recargas!$H$95*'Plan mensual'!H56+parametros_recargas!$I$95*'Plan mensual'!H57+parametros_recargas!$J$95*'Plan mensual'!H58+parametros_recargas!$K$95*'Plan mensual'!H59+parametros_recargas!$L$95*'Plan mensual'!H60+parametros_recargas!$M$95*'Plan mensual'!H62</f>
        <v>36.4073320067553</v>
      </c>
      <c r="G53" s="26" t="n">
        <f aca="false">parametros_recargas!$E$95*'Plan mensual'!I53+parametros_recargas!$F$95*'Plan mensual'!I54+parametros_recargas!$G$95*'Plan mensual'!I55+parametros_recargas!$H$95*'Plan mensual'!I56+parametros_recargas!$I$95*'Plan mensual'!I57+parametros_recargas!$J$95*'Plan mensual'!I58+parametros_recargas!$K$95*'Plan mensual'!I59+parametros_recargas!$L$95*'Plan mensual'!I60+parametros_recargas!$M$95*'Plan mensual'!I62</f>
        <v>36.4073320067553</v>
      </c>
      <c r="H53" s="26" t="n">
        <f aca="false">parametros_recargas!$E$95*'Plan mensual'!J53+parametros_recargas!$F$95*'Plan mensual'!J54+parametros_recargas!$G$95*'Plan mensual'!J55+parametros_recargas!$H$95*'Plan mensual'!J56+parametros_recargas!$I$95*'Plan mensual'!J57+parametros_recargas!$J$95*'Plan mensual'!J58+parametros_recargas!$K$95*'Plan mensual'!J59+parametros_recargas!$L$95*'Plan mensual'!J60+parametros_recargas!$M$95*'Plan mensual'!J62</f>
        <v>36.4073320067553</v>
      </c>
      <c r="I53" s="26" t="n">
        <f aca="false">parametros_recargas!$E$95*'Plan mensual'!K53+parametros_recargas!$F$95*'Plan mensual'!K54+parametros_recargas!$G$95*'Plan mensual'!K55+parametros_recargas!$H$95*'Plan mensual'!K56+parametros_recargas!$I$95*'Plan mensual'!K57+parametros_recargas!$J$95*'Plan mensual'!K58+parametros_recargas!$K$95*'Plan mensual'!K59+parametros_recargas!$L$95*'Plan mensual'!K60+parametros_recargas!$M$95*'Plan mensual'!K62</f>
        <v>36.4073320067553</v>
      </c>
      <c r="J53" s="26" t="n">
        <f aca="false">parametros_recargas!$E$95*'Plan mensual'!L53+parametros_recargas!$F$95*'Plan mensual'!L54+parametros_recargas!$G$95*'Plan mensual'!L55+parametros_recargas!$H$95*'Plan mensual'!L56+parametros_recargas!$I$95*'Plan mensual'!L57+parametros_recargas!$J$95*'Plan mensual'!L58+parametros_recargas!$K$95*'Plan mensual'!L59+parametros_recargas!$L$95*'Plan mensual'!L60+parametros_recargas!$M$95*'Plan mensual'!L62</f>
        <v>36.4073320067553</v>
      </c>
      <c r="K53" s="26" t="n">
        <f aca="false">parametros_recargas!$E$95*'Plan mensual'!M53+parametros_recargas!$F$95*'Plan mensual'!M54+parametros_recargas!$G$95*'Plan mensual'!M55+parametros_recargas!$H$95*'Plan mensual'!M56+parametros_recargas!$I$95*'Plan mensual'!M57+parametros_recargas!$J$95*'Plan mensual'!M58+parametros_recargas!$K$95*'Plan mensual'!M59+parametros_recargas!$L$95*'Plan mensual'!M60+parametros_recargas!$M$95*'Plan mensual'!M62</f>
        <v>36.4073320067553</v>
      </c>
      <c r="L53" s="26" t="n">
        <f aca="false">parametros_recargas!$E$95*'Plan mensual'!N53+parametros_recargas!$F$95*'Plan mensual'!N54+parametros_recargas!$G$95*'Plan mensual'!N55+parametros_recargas!$H$95*'Plan mensual'!N56+parametros_recargas!$I$95*'Plan mensual'!N57+parametros_recargas!$J$95*'Plan mensual'!N58+parametros_recargas!$K$95*'Plan mensual'!N59+parametros_recargas!$L$95*'Plan mensual'!N60+parametros_recargas!$M$95*'Plan mensual'!N62</f>
        <v>36.4073320067553</v>
      </c>
      <c r="M53" s="26" t="n">
        <f aca="false">parametros_recargas!$E$95*'Plan mensual'!O53+parametros_recargas!$F$95*'Plan mensual'!O54+parametros_recargas!$G$95*'Plan mensual'!O55+parametros_recargas!$H$95*'Plan mensual'!O56+parametros_recargas!$I$95*'Plan mensual'!O57+parametros_recargas!$J$95*'Plan mensual'!O58+parametros_recargas!$K$95*'Plan mensual'!O59+parametros_recargas!$L$95*'Plan mensual'!O60+parametros_recargas!$M$95*'Plan mensual'!O62</f>
        <v>36.4073320067553</v>
      </c>
      <c r="N53" s="8" t="n">
        <f aca="false">SUM(B53:M53)</f>
        <v>457.10923369151</v>
      </c>
      <c r="O53" s="27" t="n">
        <f aca="false">MAX(B53:M53)</f>
        <v>56.6285816172019</v>
      </c>
      <c r="P53" s="13" t="n">
        <f aca="false">O53/parametros_recargas!$B$6</f>
        <v>0.377523877448013</v>
      </c>
    </row>
    <row r="54" customFormat="false" ht="15" hidden="false" customHeight="false" outlineLevel="0" collapsed="false">
      <c r="A54" s="10" t="str">
        <f aca="false">parametros_recargas!$B$96</f>
        <v>Ensamblaje y marbete — recinto</v>
      </c>
      <c r="B54" s="26" t="n">
        <f aca="false">parametros_recargas!$E$96*'Plan mensual'!D53+parametros_recargas!$F$96*'Plan mensual'!D54+parametros_recargas!$G$96*'Plan mensual'!D55+parametros_recargas!$H$96*'Plan mensual'!D56+parametros_recargas!$I$96*'Plan mensual'!D57+parametros_recargas!$J$96*'Plan mensual'!D58+parametros_recargas!$K$96*'Plan mensual'!D59+parametros_recargas!$L$96*'Plan mensual'!D60+parametros_recargas!$M$96*'Plan mensual'!D62</f>
        <v>591.683672870267</v>
      </c>
      <c r="C54" s="26" t="n">
        <f aca="false">parametros_recargas!$E$96*'Plan mensual'!E53+parametros_recargas!$F$96*'Plan mensual'!E54+parametros_recargas!$G$96*'Plan mensual'!E55+parametros_recargas!$H$96*'Plan mensual'!E56+parametros_recargas!$I$96*'Plan mensual'!E57+parametros_recargas!$J$96*'Plan mensual'!E58+parametros_recargas!$K$96*'Plan mensual'!E59+parametros_recargas!$L$96*'Plan mensual'!E60+parametros_recargas!$M$96*'Plan mensual'!E62</f>
        <v>1693.10599087729</v>
      </c>
      <c r="D54" s="26" t="n">
        <f aca="false">parametros_recargas!$E$96*'Plan mensual'!F53+parametros_recargas!$F$96*'Plan mensual'!F54+parametros_recargas!$G$96*'Plan mensual'!F55+parametros_recargas!$H$96*'Plan mensual'!F56+parametros_recargas!$I$96*'Plan mensual'!F57+parametros_recargas!$J$96*'Plan mensual'!F58+parametros_recargas!$K$96*'Plan mensual'!F59+parametros_recargas!$L$96*'Plan mensual'!F60+parametros_recargas!$M$96*'Plan mensual'!F62</f>
        <v>1475.36634410593</v>
      </c>
      <c r="E54" s="26" t="n">
        <f aca="false">parametros_recargas!$E$96*'Plan mensual'!G53+parametros_recargas!$F$96*'Plan mensual'!G54+parametros_recargas!$G$96*'Plan mensual'!G55+parametros_recargas!$H$96*'Plan mensual'!G56+parametros_recargas!$I$96*'Plan mensual'!G57+parametros_recargas!$J$96*'Plan mensual'!G58+parametros_recargas!$K$96*'Plan mensual'!G59+parametros_recargas!$L$96*'Plan mensual'!G60+parametros_recargas!$M$96*'Plan mensual'!G62</f>
        <v>1482.2096458715</v>
      </c>
      <c r="F54" s="26" t="n">
        <f aca="false">parametros_recargas!$E$96*'Plan mensual'!H53+parametros_recargas!$F$96*'Plan mensual'!H54+parametros_recargas!$G$96*'Plan mensual'!H55+parametros_recargas!$H$96*'Plan mensual'!H56+parametros_recargas!$I$96*'Plan mensual'!H57+parametros_recargas!$J$96*'Plan mensual'!H58+parametros_recargas!$K$96*'Plan mensual'!H59+parametros_recargas!$L$96*'Plan mensual'!H60+parametros_recargas!$M$96*'Plan mensual'!H62</f>
        <v>1482.15068522137</v>
      </c>
      <c r="G54" s="26" t="n">
        <f aca="false">parametros_recargas!$E$96*'Plan mensual'!I53+parametros_recargas!$F$96*'Plan mensual'!I54+parametros_recargas!$G$96*'Plan mensual'!I55+parametros_recargas!$H$96*'Plan mensual'!I56+parametros_recargas!$I$96*'Plan mensual'!I57+parametros_recargas!$J$96*'Plan mensual'!I58+parametros_recargas!$K$96*'Plan mensual'!I59+parametros_recargas!$L$96*'Plan mensual'!I60+parametros_recargas!$M$96*'Plan mensual'!I62</f>
        <v>1478.33355736691</v>
      </c>
      <c r="H54" s="26" t="n">
        <f aca="false">parametros_recargas!$E$96*'Plan mensual'!J53+parametros_recargas!$F$96*'Plan mensual'!J54+parametros_recargas!$G$96*'Plan mensual'!J55+parametros_recargas!$H$96*'Plan mensual'!J56+parametros_recargas!$I$96*'Plan mensual'!J57+parametros_recargas!$J$96*'Plan mensual'!J58+parametros_recargas!$K$96*'Plan mensual'!J59+parametros_recargas!$L$96*'Plan mensual'!J60+parametros_recargas!$M$96*'Plan mensual'!J62</f>
        <v>1489.1302748314</v>
      </c>
      <c r="I54" s="26" t="n">
        <f aca="false">parametros_recargas!$E$96*'Plan mensual'!K53+parametros_recargas!$F$96*'Plan mensual'!K54+parametros_recargas!$G$96*'Plan mensual'!K55+parametros_recargas!$H$96*'Plan mensual'!K56+parametros_recargas!$I$96*'Plan mensual'!K57+parametros_recargas!$J$96*'Plan mensual'!K58+parametros_recargas!$K$96*'Plan mensual'!K59+parametros_recargas!$L$96*'Plan mensual'!K60+parametros_recargas!$M$96*'Plan mensual'!K62</f>
        <v>1481.42897913595</v>
      </c>
      <c r="J54" s="26" t="n">
        <f aca="false">parametros_recargas!$E$96*'Plan mensual'!L53+parametros_recargas!$F$96*'Plan mensual'!L54+parametros_recargas!$G$96*'Plan mensual'!L55+parametros_recargas!$H$96*'Plan mensual'!L56+parametros_recargas!$I$96*'Plan mensual'!L57+parametros_recargas!$J$96*'Plan mensual'!L58+parametros_recargas!$K$96*'Plan mensual'!L59+parametros_recargas!$L$96*'Plan mensual'!L60+parametros_recargas!$M$96*'Plan mensual'!L62</f>
        <v>1482.55597173935</v>
      </c>
      <c r="K54" s="26" t="n">
        <f aca="false">parametros_recargas!$E$96*'Plan mensual'!M53+parametros_recargas!$F$96*'Plan mensual'!M54+parametros_recargas!$G$96*'Plan mensual'!M55+parametros_recargas!$H$96*'Plan mensual'!M56+parametros_recargas!$I$96*'Plan mensual'!M57+parametros_recargas!$J$96*'Plan mensual'!M58+parametros_recargas!$K$96*'Plan mensual'!M59+parametros_recargas!$L$96*'Plan mensual'!M60+parametros_recargas!$M$96*'Plan mensual'!M62</f>
        <v>1478.02230021783</v>
      </c>
      <c r="L54" s="26" t="n">
        <f aca="false">parametros_recargas!$E$96*'Plan mensual'!N53+parametros_recargas!$F$96*'Plan mensual'!N54+parametros_recargas!$G$96*'Plan mensual'!N55+parametros_recargas!$H$96*'Plan mensual'!N56+parametros_recargas!$I$96*'Plan mensual'!N57+parametros_recargas!$J$96*'Plan mensual'!N58+parametros_recargas!$K$96*'Plan mensual'!N59+parametros_recargas!$L$96*'Plan mensual'!N60+parametros_recargas!$M$96*'Plan mensual'!N62</f>
        <v>1460.43644970298</v>
      </c>
      <c r="M54" s="26" t="n">
        <f aca="false">parametros_recargas!$E$96*'Plan mensual'!O53+parametros_recargas!$F$96*'Plan mensual'!O54+parametros_recargas!$G$96*'Plan mensual'!O55+parametros_recargas!$H$96*'Plan mensual'!O56+parametros_recargas!$I$96*'Plan mensual'!O57+parametros_recargas!$J$96*'Plan mensual'!O58+parametros_recargas!$K$96*'Plan mensual'!O59+parametros_recargas!$L$96*'Plan mensual'!O60+parametros_recargas!$M$96*'Plan mensual'!O62</f>
        <v>545.989814162804</v>
      </c>
      <c r="N54" s="8" t="n">
        <f aca="false">SUM(B54:M54)</f>
        <v>16140.4136861036</v>
      </c>
      <c r="O54" s="27" t="n">
        <f aca="false">MAX(B54:M54)</f>
        <v>1693.10599087729</v>
      </c>
      <c r="P54" s="13" t="n">
        <f aca="false">O54/parametros_recargas!$B$6</f>
        <v>11.2873732725153</v>
      </c>
    </row>
    <row r="55" customFormat="false" ht="15" hidden="false" customHeight="false" outlineLevel="0" collapsed="false">
      <c r="A55" s="10" t="str">
        <f aca="false">parametros_recargas!$B$97</f>
        <v>Presurización — recinto</v>
      </c>
      <c r="B55" s="26" t="n">
        <f aca="false">parametros_recargas!$E$97*'Plan mensual'!D53+parametros_recargas!$F$97*'Plan mensual'!D54+parametros_recargas!$G$97*'Plan mensual'!D55+parametros_recargas!$H$97*'Plan mensual'!D56+parametros_recargas!$I$97*'Plan mensual'!D57+parametros_recargas!$J$97*'Plan mensual'!D58+parametros_recargas!$K$97*'Plan mensual'!D59+parametros_recargas!$L$97*'Plan mensual'!D60+parametros_recargas!$M$97*'Plan mensual'!D62</f>
        <v>591.683672870267</v>
      </c>
      <c r="C55" s="26" t="n">
        <f aca="false">parametros_recargas!$E$97*'Plan mensual'!E53+parametros_recargas!$F$97*'Plan mensual'!E54+parametros_recargas!$G$97*'Plan mensual'!E55+parametros_recargas!$H$97*'Plan mensual'!E56+parametros_recargas!$I$97*'Plan mensual'!E57+parametros_recargas!$J$97*'Plan mensual'!E58+parametros_recargas!$K$97*'Plan mensual'!E59+parametros_recargas!$L$97*'Plan mensual'!E60+parametros_recargas!$M$97*'Plan mensual'!E62</f>
        <v>1693.10599087729</v>
      </c>
      <c r="D55" s="26" t="n">
        <f aca="false">parametros_recargas!$E$97*'Plan mensual'!F53+parametros_recargas!$F$97*'Plan mensual'!F54+parametros_recargas!$G$97*'Plan mensual'!F55+parametros_recargas!$H$97*'Plan mensual'!F56+parametros_recargas!$I$97*'Plan mensual'!F57+parametros_recargas!$J$97*'Plan mensual'!F58+parametros_recargas!$K$97*'Plan mensual'!F59+parametros_recargas!$L$97*'Plan mensual'!F60+parametros_recargas!$M$97*'Plan mensual'!F62</f>
        <v>1475.36634410593</v>
      </c>
      <c r="E55" s="26" t="n">
        <f aca="false">parametros_recargas!$E$97*'Plan mensual'!G53+parametros_recargas!$F$97*'Plan mensual'!G54+parametros_recargas!$G$97*'Plan mensual'!G55+parametros_recargas!$H$97*'Plan mensual'!G56+parametros_recargas!$I$97*'Plan mensual'!G57+parametros_recargas!$J$97*'Plan mensual'!G58+parametros_recargas!$K$97*'Plan mensual'!G59+parametros_recargas!$L$97*'Plan mensual'!G60+parametros_recargas!$M$97*'Plan mensual'!G62</f>
        <v>1482.2096458715</v>
      </c>
      <c r="F55" s="26" t="n">
        <f aca="false">parametros_recargas!$E$97*'Plan mensual'!H53+parametros_recargas!$F$97*'Plan mensual'!H54+parametros_recargas!$G$97*'Plan mensual'!H55+parametros_recargas!$H$97*'Plan mensual'!H56+parametros_recargas!$I$97*'Plan mensual'!H57+parametros_recargas!$J$97*'Plan mensual'!H58+parametros_recargas!$K$97*'Plan mensual'!H59+parametros_recargas!$L$97*'Plan mensual'!H60+parametros_recargas!$M$97*'Plan mensual'!H62</f>
        <v>1482.15068522137</v>
      </c>
      <c r="G55" s="26" t="n">
        <f aca="false">parametros_recargas!$E$97*'Plan mensual'!I53+parametros_recargas!$F$97*'Plan mensual'!I54+parametros_recargas!$G$97*'Plan mensual'!I55+parametros_recargas!$H$97*'Plan mensual'!I56+parametros_recargas!$I$97*'Plan mensual'!I57+parametros_recargas!$J$97*'Plan mensual'!I58+parametros_recargas!$K$97*'Plan mensual'!I59+parametros_recargas!$L$97*'Plan mensual'!I60+parametros_recargas!$M$97*'Plan mensual'!I62</f>
        <v>1478.33355736691</v>
      </c>
      <c r="H55" s="26" t="n">
        <f aca="false">parametros_recargas!$E$97*'Plan mensual'!J53+parametros_recargas!$F$97*'Plan mensual'!J54+parametros_recargas!$G$97*'Plan mensual'!J55+parametros_recargas!$H$97*'Plan mensual'!J56+parametros_recargas!$I$97*'Plan mensual'!J57+parametros_recargas!$J$97*'Plan mensual'!J58+parametros_recargas!$K$97*'Plan mensual'!J59+parametros_recargas!$L$97*'Plan mensual'!J60+parametros_recargas!$M$97*'Plan mensual'!J62</f>
        <v>1489.1302748314</v>
      </c>
      <c r="I55" s="26" t="n">
        <f aca="false">parametros_recargas!$E$97*'Plan mensual'!K53+parametros_recargas!$F$97*'Plan mensual'!K54+parametros_recargas!$G$97*'Plan mensual'!K55+parametros_recargas!$H$97*'Plan mensual'!K56+parametros_recargas!$I$97*'Plan mensual'!K57+parametros_recargas!$J$97*'Plan mensual'!K58+parametros_recargas!$K$97*'Plan mensual'!K59+parametros_recargas!$L$97*'Plan mensual'!K60+parametros_recargas!$M$97*'Plan mensual'!K62</f>
        <v>1481.42897913595</v>
      </c>
      <c r="J55" s="26" t="n">
        <f aca="false">parametros_recargas!$E$97*'Plan mensual'!L53+parametros_recargas!$F$97*'Plan mensual'!L54+parametros_recargas!$G$97*'Plan mensual'!L55+parametros_recargas!$H$97*'Plan mensual'!L56+parametros_recargas!$I$97*'Plan mensual'!L57+parametros_recargas!$J$97*'Plan mensual'!L58+parametros_recargas!$K$97*'Plan mensual'!L59+parametros_recargas!$L$97*'Plan mensual'!L60+parametros_recargas!$M$97*'Plan mensual'!L62</f>
        <v>1482.55597173935</v>
      </c>
      <c r="K55" s="26" t="n">
        <f aca="false">parametros_recargas!$E$97*'Plan mensual'!M53+parametros_recargas!$F$97*'Plan mensual'!M54+parametros_recargas!$G$97*'Plan mensual'!M55+parametros_recargas!$H$97*'Plan mensual'!M56+parametros_recargas!$I$97*'Plan mensual'!M57+parametros_recargas!$J$97*'Plan mensual'!M58+parametros_recargas!$K$97*'Plan mensual'!M59+parametros_recargas!$L$97*'Plan mensual'!M60+parametros_recargas!$M$97*'Plan mensual'!M62</f>
        <v>1478.02230021783</v>
      </c>
      <c r="L55" s="26" t="n">
        <f aca="false">parametros_recargas!$E$97*'Plan mensual'!N53+parametros_recargas!$F$97*'Plan mensual'!N54+parametros_recargas!$G$97*'Plan mensual'!N55+parametros_recargas!$H$97*'Plan mensual'!N56+parametros_recargas!$I$97*'Plan mensual'!N57+parametros_recargas!$J$97*'Plan mensual'!N58+parametros_recargas!$K$97*'Plan mensual'!N59+parametros_recargas!$L$97*'Plan mensual'!N60+parametros_recargas!$M$97*'Plan mensual'!N62</f>
        <v>1460.43644970298</v>
      </c>
      <c r="M55" s="26" t="n">
        <f aca="false">parametros_recargas!$E$97*'Plan mensual'!O53+parametros_recargas!$F$97*'Plan mensual'!O54+parametros_recargas!$G$97*'Plan mensual'!O55+parametros_recargas!$H$97*'Plan mensual'!O56+parametros_recargas!$I$97*'Plan mensual'!O57+parametros_recargas!$J$97*'Plan mensual'!O58+parametros_recargas!$K$97*'Plan mensual'!O59+parametros_recargas!$L$97*'Plan mensual'!O60+parametros_recargas!$M$97*'Plan mensual'!O62</f>
        <v>545.989814162804</v>
      </c>
      <c r="N55" s="8" t="n">
        <f aca="false">SUM(B55:M55)</f>
        <v>16140.4136861036</v>
      </c>
      <c r="O55" s="27" t="n">
        <f aca="false">MAX(B55:M55)</f>
        <v>1693.10599087729</v>
      </c>
      <c r="P55" s="13" t="n">
        <f aca="false">O55/parametros_recargas!$B$6</f>
        <v>11.2873732725153</v>
      </c>
    </row>
    <row r="56" customFormat="false" ht="15" hidden="false" customHeight="false" outlineLevel="0" collapsed="false">
      <c r="A56" s="10" t="str">
        <f aca="false">parametros_recargas!$B$98</f>
        <v>Ensamblaje y presurización — zona general</v>
      </c>
      <c r="B56" s="26" t="n">
        <f aca="false">parametros_recargas!$E$98*'Plan mensual'!D53+parametros_recargas!$F$98*'Plan mensual'!D54+parametros_recargas!$G$98*'Plan mensual'!D55+parametros_recargas!$H$98*'Plan mensual'!D56+parametros_recargas!$I$98*'Plan mensual'!D57+parametros_recargas!$J$98*'Plan mensual'!D58+parametros_recargas!$K$98*'Plan mensual'!D59+parametros_recargas!$L$98*'Plan mensual'!D60+parametros_recargas!$M$98*'Plan mensual'!D62</f>
        <v>108.7742342951</v>
      </c>
      <c r="C56" s="26" t="n">
        <f aca="false">parametros_recargas!$E$98*'Plan mensual'!E53+parametros_recargas!$F$98*'Plan mensual'!E54+parametros_recargas!$G$98*'Plan mensual'!E55+parametros_recargas!$H$98*'Plan mensual'!E56+parametros_recargas!$I$98*'Plan mensual'!E57+parametros_recargas!$J$98*'Plan mensual'!E58+parametros_recargas!$K$98*'Plan mensual'!E59+parametros_recargas!$L$98*'Plan mensual'!E60+parametros_recargas!$M$98*'Plan mensual'!E62</f>
        <v>154.530636429631</v>
      </c>
      <c r="D56" s="26" t="n">
        <f aca="false">parametros_recargas!$E$98*'Plan mensual'!F53+parametros_recargas!$F$98*'Plan mensual'!F54+parametros_recargas!$G$98*'Plan mensual'!F55+parametros_recargas!$H$98*'Plan mensual'!F56+parametros_recargas!$I$98*'Plan mensual'!F57+parametros_recargas!$J$98*'Plan mensual'!F58+parametros_recargas!$K$98*'Plan mensual'!F59+parametros_recargas!$L$98*'Plan mensual'!F60+parametros_recargas!$M$98*'Plan mensual'!F62</f>
        <v>108.7742342951</v>
      </c>
      <c r="E56" s="26" t="n">
        <f aca="false">parametros_recargas!$E$98*'Plan mensual'!G53+parametros_recargas!$F$98*'Plan mensual'!G54+parametros_recargas!$G$98*'Plan mensual'!G55+parametros_recargas!$H$98*'Plan mensual'!G56+parametros_recargas!$I$98*'Plan mensual'!G57+parametros_recargas!$J$98*'Plan mensual'!G58+parametros_recargas!$K$98*'Plan mensual'!G59+parametros_recargas!$L$98*'Plan mensual'!G60+parametros_recargas!$M$98*'Plan mensual'!G62</f>
        <v>108.7742342951</v>
      </c>
      <c r="F56" s="26" t="n">
        <f aca="false">parametros_recargas!$E$98*'Plan mensual'!H53+parametros_recargas!$F$98*'Plan mensual'!H54+parametros_recargas!$G$98*'Plan mensual'!H55+parametros_recargas!$H$98*'Plan mensual'!H56+parametros_recargas!$I$98*'Plan mensual'!H57+parametros_recargas!$J$98*'Plan mensual'!H58+parametros_recargas!$K$98*'Plan mensual'!H59+parametros_recargas!$L$98*'Plan mensual'!H60+parametros_recargas!$M$98*'Plan mensual'!H62</f>
        <v>108.7742342951</v>
      </c>
      <c r="G56" s="26" t="n">
        <f aca="false">parametros_recargas!$E$98*'Plan mensual'!I53+parametros_recargas!$F$98*'Plan mensual'!I54+parametros_recargas!$G$98*'Plan mensual'!I55+parametros_recargas!$H$98*'Plan mensual'!I56+parametros_recargas!$I$98*'Plan mensual'!I57+parametros_recargas!$J$98*'Plan mensual'!I58+parametros_recargas!$K$98*'Plan mensual'!I59+parametros_recargas!$L$98*'Plan mensual'!I60+parametros_recargas!$M$98*'Plan mensual'!I62</f>
        <v>108.7742342951</v>
      </c>
      <c r="H56" s="26" t="n">
        <f aca="false">parametros_recargas!$E$98*'Plan mensual'!J53+parametros_recargas!$F$98*'Plan mensual'!J54+parametros_recargas!$G$98*'Plan mensual'!J55+parametros_recargas!$H$98*'Plan mensual'!J56+parametros_recargas!$I$98*'Plan mensual'!J57+parametros_recargas!$J$98*'Plan mensual'!J58+parametros_recargas!$K$98*'Plan mensual'!J59+parametros_recargas!$L$98*'Plan mensual'!J60+parametros_recargas!$M$98*'Plan mensual'!J62</f>
        <v>108.7742342951</v>
      </c>
      <c r="I56" s="26" t="n">
        <f aca="false">parametros_recargas!$E$98*'Plan mensual'!K53+parametros_recargas!$F$98*'Plan mensual'!K54+parametros_recargas!$G$98*'Plan mensual'!K55+parametros_recargas!$H$98*'Plan mensual'!K56+parametros_recargas!$I$98*'Plan mensual'!K57+parametros_recargas!$J$98*'Plan mensual'!K58+parametros_recargas!$K$98*'Plan mensual'!K59+parametros_recargas!$L$98*'Plan mensual'!K60+parametros_recargas!$M$98*'Plan mensual'!K62</f>
        <v>108.7742342951</v>
      </c>
      <c r="J56" s="26" t="n">
        <f aca="false">parametros_recargas!$E$98*'Plan mensual'!L53+parametros_recargas!$F$98*'Plan mensual'!L54+parametros_recargas!$G$98*'Plan mensual'!L55+parametros_recargas!$H$98*'Plan mensual'!L56+parametros_recargas!$I$98*'Plan mensual'!L57+parametros_recargas!$J$98*'Plan mensual'!L58+parametros_recargas!$K$98*'Plan mensual'!L59+parametros_recargas!$L$98*'Plan mensual'!L60+parametros_recargas!$M$98*'Plan mensual'!L62</f>
        <v>108.7742342951</v>
      </c>
      <c r="K56" s="26" t="n">
        <f aca="false">parametros_recargas!$E$98*'Plan mensual'!M53+parametros_recargas!$F$98*'Plan mensual'!M54+parametros_recargas!$G$98*'Plan mensual'!M55+parametros_recargas!$H$98*'Plan mensual'!M56+parametros_recargas!$I$98*'Plan mensual'!M57+parametros_recargas!$J$98*'Plan mensual'!M58+parametros_recargas!$K$98*'Plan mensual'!M59+parametros_recargas!$L$98*'Plan mensual'!M60+parametros_recargas!$M$98*'Plan mensual'!M62</f>
        <v>108.7742342951</v>
      </c>
      <c r="L56" s="26" t="n">
        <f aca="false">parametros_recargas!$E$98*'Plan mensual'!N53+parametros_recargas!$F$98*'Plan mensual'!N54+parametros_recargas!$G$98*'Plan mensual'!N55+parametros_recargas!$H$98*'Plan mensual'!N56+parametros_recargas!$I$98*'Plan mensual'!N57+parametros_recargas!$J$98*'Plan mensual'!N58+parametros_recargas!$K$98*'Plan mensual'!N59+parametros_recargas!$L$98*'Plan mensual'!N60+parametros_recargas!$M$98*'Plan mensual'!N62</f>
        <v>108.7742342951</v>
      </c>
      <c r="M56" s="26" t="n">
        <f aca="false">parametros_recargas!$E$98*'Plan mensual'!O53+parametros_recargas!$F$98*'Plan mensual'!O54+parametros_recargas!$G$98*'Plan mensual'!O55+parametros_recargas!$H$98*'Plan mensual'!O56+parametros_recargas!$I$98*'Plan mensual'!O57+parametros_recargas!$J$98*'Plan mensual'!O58+parametros_recargas!$K$98*'Plan mensual'!O59+parametros_recargas!$L$98*'Plan mensual'!O60+parametros_recargas!$M$98*'Plan mensual'!O62</f>
        <v>108.7742342951</v>
      </c>
      <c r="N56" s="8" t="n">
        <f aca="false">SUM(B56:M56)</f>
        <v>1351.04721367573</v>
      </c>
      <c r="O56" s="27" t="n">
        <f aca="false">MAX(B56:M56)</f>
        <v>154.530636429631</v>
      </c>
      <c r="P56" s="13" t="n">
        <f aca="false">O56/parametros_recargas!$B$6</f>
        <v>1.03020424286421</v>
      </c>
    </row>
    <row r="57" customFormat="false" ht="15" hidden="false" customHeight="false" outlineLevel="0" collapsed="false">
      <c r="A57" s="10" t="str">
        <f aca="false">parametros_recargas!$B$99</f>
        <v>Carga y presurización de halogenado</v>
      </c>
      <c r="B57" s="26" t="n">
        <f aca="false">parametros_recargas!$E$99*'Plan mensual'!D53+parametros_recargas!$F$99*'Plan mensual'!D54+parametros_recargas!$G$99*'Plan mensual'!D55+parametros_recargas!$H$99*'Plan mensual'!D56+parametros_recargas!$I$99*'Plan mensual'!D57+parametros_recargas!$J$99*'Plan mensual'!D58+parametros_recargas!$K$99*'Plan mensual'!D59+parametros_recargas!$L$99*'Plan mensual'!D60+parametros_recargas!$M$99*'Plan mensual'!D62</f>
        <v>1.84181279883491</v>
      </c>
      <c r="C57" s="26" t="n">
        <f aca="false">parametros_recargas!$E$99*'Plan mensual'!E53+parametros_recargas!$F$99*'Plan mensual'!E54+parametros_recargas!$G$99*'Plan mensual'!E55+parametros_recargas!$H$99*'Plan mensual'!E56+parametros_recargas!$I$99*'Plan mensual'!E57+parametros_recargas!$J$99*'Plan mensual'!E58+parametros_recargas!$K$99*'Plan mensual'!E59+parametros_recargas!$L$99*'Plan mensual'!E60+parametros_recargas!$M$99*'Plan mensual'!E62</f>
        <v>1.84181279883491</v>
      </c>
      <c r="D57" s="26" t="n">
        <f aca="false">parametros_recargas!$E$99*'Plan mensual'!F53+parametros_recargas!$F$99*'Plan mensual'!F54+parametros_recargas!$G$99*'Plan mensual'!F55+parametros_recargas!$H$99*'Plan mensual'!F56+parametros_recargas!$I$99*'Plan mensual'!F57+parametros_recargas!$J$99*'Plan mensual'!F58+parametros_recargas!$K$99*'Plan mensual'!F59+parametros_recargas!$L$99*'Plan mensual'!F60+parametros_recargas!$M$99*'Plan mensual'!F62</f>
        <v>1.84181279883491</v>
      </c>
      <c r="E57" s="26" t="n">
        <f aca="false">parametros_recargas!$E$99*'Plan mensual'!G53+parametros_recargas!$F$99*'Plan mensual'!G54+parametros_recargas!$G$99*'Plan mensual'!G55+parametros_recargas!$H$99*'Plan mensual'!G56+parametros_recargas!$I$99*'Plan mensual'!G57+parametros_recargas!$J$99*'Plan mensual'!G58+parametros_recargas!$K$99*'Plan mensual'!G59+parametros_recargas!$L$99*'Plan mensual'!G60+parametros_recargas!$M$99*'Plan mensual'!G62</f>
        <v>1.84181279883491</v>
      </c>
      <c r="F57" s="26" t="n">
        <f aca="false">parametros_recargas!$E$99*'Plan mensual'!H53+parametros_recargas!$F$99*'Plan mensual'!H54+parametros_recargas!$G$99*'Plan mensual'!H55+parametros_recargas!$H$99*'Plan mensual'!H56+parametros_recargas!$I$99*'Plan mensual'!H57+parametros_recargas!$J$99*'Plan mensual'!H58+parametros_recargas!$K$99*'Plan mensual'!H59+parametros_recargas!$L$99*'Plan mensual'!H60+parametros_recargas!$M$99*'Plan mensual'!H62</f>
        <v>1.84181279883491</v>
      </c>
      <c r="G57" s="26" t="n">
        <f aca="false">parametros_recargas!$E$99*'Plan mensual'!I53+parametros_recargas!$F$99*'Plan mensual'!I54+parametros_recargas!$G$99*'Plan mensual'!I55+parametros_recargas!$H$99*'Plan mensual'!I56+parametros_recargas!$I$99*'Plan mensual'!I57+parametros_recargas!$J$99*'Plan mensual'!I58+parametros_recargas!$K$99*'Plan mensual'!I59+parametros_recargas!$L$99*'Plan mensual'!I60+parametros_recargas!$M$99*'Plan mensual'!I62</f>
        <v>1.84181279883491</v>
      </c>
      <c r="H57" s="26" t="n">
        <f aca="false">parametros_recargas!$E$99*'Plan mensual'!J53+parametros_recargas!$F$99*'Plan mensual'!J54+parametros_recargas!$G$99*'Plan mensual'!J55+parametros_recargas!$H$99*'Plan mensual'!J56+parametros_recargas!$I$99*'Plan mensual'!J57+parametros_recargas!$J$99*'Plan mensual'!J58+parametros_recargas!$K$99*'Plan mensual'!J59+parametros_recargas!$L$99*'Plan mensual'!J60+parametros_recargas!$M$99*'Plan mensual'!J62</f>
        <v>1.84181279883491</v>
      </c>
      <c r="I57" s="26" t="n">
        <f aca="false">parametros_recargas!$E$99*'Plan mensual'!K53+parametros_recargas!$F$99*'Plan mensual'!K54+parametros_recargas!$G$99*'Plan mensual'!K55+parametros_recargas!$H$99*'Plan mensual'!K56+parametros_recargas!$I$99*'Plan mensual'!K57+parametros_recargas!$J$99*'Plan mensual'!K58+parametros_recargas!$K$99*'Plan mensual'!K59+parametros_recargas!$L$99*'Plan mensual'!K60+parametros_recargas!$M$99*'Plan mensual'!K62</f>
        <v>1.84181279883491</v>
      </c>
      <c r="J57" s="26" t="n">
        <f aca="false">parametros_recargas!$E$99*'Plan mensual'!L53+parametros_recargas!$F$99*'Plan mensual'!L54+parametros_recargas!$G$99*'Plan mensual'!L55+parametros_recargas!$H$99*'Plan mensual'!L56+parametros_recargas!$I$99*'Plan mensual'!L57+parametros_recargas!$J$99*'Plan mensual'!L58+parametros_recargas!$K$99*'Plan mensual'!L59+parametros_recargas!$L$99*'Plan mensual'!L60+parametros_recargas!$M$99*'Plan mensual'!L62</f>
        <v>1.84181279883491</v>
      </c>
      <c r="K57" s="26" t="n">
        <f aca="false">parametros_recargas!$E$99*'Plan mensual'!M53+parametros_recargas!$F$99*'Plan mensual'!M54+parametros_recargas!$G$99*'Plan mensual'!M55+parametros_recargas!$H$99*'Plan mensual'!M56+parametros_recargas!$I$99*'Plan mensual'!M57+parametros_recargas!$J$99*'Plan mensual'!M58+parametros_recargas!$K$99*'Plan mensual'!M59+parametros_recargas!$L$99*'Plan mensual'!M60+parametros_recargas!$M$99*'Plan mensual'!M62</f>
        <v>1.84181279883491</v>
      </c>
      <c r="L57" s="26" t="n">
        <f aca="false">parametros_recargas!$E$99*'Plan mensual'!N53+parametros_recargas!$F$99*'Plan mensual'!N54+parametros_recargas!$G$99*'Plan mensual'!N55+parametros_recargas!$H$99*'Plan mensual'!N56+parametros_recargas!$I$99*'Plan mensual'!N57+parametros_recargas!$J$99*'Plan mensual'!N58+parametros_recargas!$K$99*'Plan mensual'!N59+parametros_recargas!$L$99*'Plan mensual'!N60+parametros_recargas!$M$99*'Plan mensual'!N62</f>
        <v>1.84181279883491</v>
      </c>
      <c r="M57" s="26" t="n">
        <f aca="false">parametros_recargas!$E$99*'Plan mensual'!O53+parametros_recargas!$F$99*'Plan mensual'!O54+parametros_recargas!$G$99*'Plan mensual'!O55+parametros_recargas!$H$99*'Plan mensual'!O56+parametros_recargas!$I$99*'Plan mensual'!O57+parametros_recargas!$J$99*'Plan mensual'!O58+parametros_recargas!$K$99*'Plan mensual'!O59+parametros_recargas!$L$99*'Plan mensual'!O60+parametros_recargas!$M$99*'Plan mensual'!O62</f>
        <v>1.84181279883491</v>
      </c>
      <c r="N57" s="8" t="n">
        <f aca="false">SUM(B57:M57)</f>
        <v>22.101753586019</v>
      </c>
      <c r="O57" s="27" t="n">
        <f aca="false">MAX(B57:M57)</f>
        <v>1.84181279883491</v>
      </c>
      <c r="P57" s="13" t="n">
        <f aca="false">O57/parametros_recargas!$B$6</f>
        <v>0.0122787519922328</v>
      </c>
    </row>
    <row r="58" customFormat="false" ht="15" hidden="false" customHeight="false" outlineLevel="0" collapsed="false">
      <c r="A58" s="10" t="str">
        <f aca="false">parametros_recargas!$B$100</f>
        <v>Control de peso (CO₂ y halogenados sin recarga)</v>
      </c>
      <c r="B58" s="26" t="n">
        <f aca="false">parametros_recargas!$E$100*'Plan mensual'!D53+parametros_recargas!$F$100*'Plan mensual'!D54+parametros_recargas!$G$100*'Plan mensual'!D55+parametros_recargas!$H$100*'Plan mensual'!D56+parametros_recargas!$I$100*'Plan mensual'!D57+parametros_recargas!$J$100*'Plan mensual'!D58+parametros_recargas!$K$100*'Plan mensual'!D59+parametros_recargas!$L$100*'Plan mensual'!D60+parametros_recargas!$M$100*'Plan mensual'!D62</f>
        <v>71.0341260675247</v>
      </c>
      <c r="C58" s="26" t="n">
        <f aca="false">parametros_recargas!$E$100*'Plan mensual'!E53+parametros_recargas!$F$100*'Plan mensual'!E54+parametros_recargas!$G$100*'Plan mensual'!E55+parametros_recargas!$H$100*'Plan mensual'!E56+parametros_recargas!$I$100*'Plan mensual'!E57+parametros_recargas!$J$100*'Plan mensual'!E58+parametros_recargas!$K$100*'Plan mensual'!E59+parametros_recargas!$L$100*'Plan mensual'!E60+parametros_recargas!$M$100*'Plan mensual'!E62</f>
        <v>108.587875344068</v>
      </c>
      <c r="D58" s="26" t="n">
        <f aca="false">parametros_recargas!$E$100*'Plan mensual'!F53+parametros_recargas!$F$100*'Plan mensual'!F54+parametros_recargas!$G$100*'Plan mensual'!F55+parametros_recargas!$H$100*'Plan mensual'!F56+parametros_recargas!$I$100*'Plan mensual'!F57+parametros_recargas!$J$100*'Plan mensual'!F58+parametros_recargas!$K$100*'Plan mensual'!F59+parametros_recargas!$L$100*'Plan mensual'!F60+parametros_recargas!$M$100*'Plan mensual'!F62</f>
        <v>71.0341260675247</v>
      </c>
      <c r="E58" s="26" t="n">
        <f aca="false">parametros_recargas!$E$100*'Plan mensual'!G53+parametros_recargas!$F$100*'Plan mensual'!G54+parametros_recargas!$G$100*'Plan mensual'!G55+parametros_recargas!$H$100*'Plan mensual'!G56+parametros_recargas!$I$100*'Plan mensual'!G57+parametros_recargas!$J$100*'Plan mensual'!G58+parametros_recargas!$K$100*'Plan mensual'!G59+parametros_recargas!$L$100*'Plan mensual'!G60+parametros_recargas!$M$100*'Plan mensual'!G62</f>
        <v>71.0341260675247</v>
      </c>
      <c r="F58" s="26" t="n">
        <f aca="false">parametros_recargas!$E$100*'Plan mensual'!H53+parametros_recargas!$F$100*'Plan mensual'!H54+parametros_recargas!$G$100*'Plan mensual'!H55+parametros_recargas!$H$100*'Plan mensual'!H56+parametros_recargas!$I$100*'Plan mensual'!H57+parametros_recargas!$J$100*'Plan mensual'!H58+parametros_recargas!$K$100*'Plan mensual'!H59+parametros_recargas!$L$100*'Plan mensual'!H60+parametros_recargas!$M$100*'Plan mensual'!H62</f>
        <v>71.0341260675247</v>
      </c>
      <c r="G58" s="26" t="n">
        <f aca="false">parametros_recargas!$E$100*'Plan mensual'!I53+parametros_recargas!$F$100*'Plan mensual'!I54+parametros_recargas!$G$100*'Plan mensual'!I55+parametros_recargas!$H$100*'Plan mensual'!I56+parametros_recargas!$I$100*'Plan mensual'!I57+parametros_recargas!$J$100*'Plan mensual'!I58+parametros_recargas!$K$100*'Plan mensual'!I59+parametros_recargas!$L$100*'Plan mensual'!I60+parametros_recargas!$M$100*'Plan mensual'!I62</f>
        <v>71.0341260675247</v>
      </c>
      <c r="H58" s="26" t="n">
        <f aca="false">parametros_recargas!$E$100*'Plan mensual'!J53+parametros_recargas!$F$100*'Plan mensual'!J54+parametros_recargas!$G$100*'Plan mensual'!J55+parametros_recargas!$H$100*'Plan mensual'!J56+parametros_recargas!$I$100*'Plan mensual'!J57+parametros_recargas!$J$100*'Plan mensual'!J58+parametros_recargas!$K$100*'Plan mensual'!J59+parametros_recargas!$L$100*'Plan mensual'!J60+parametros_recargas!$M$100*'Plan mensual'!J62</f>
        <v>71.0341260675247</v>
      </c>
      <c r="I58" s="26" t="n">
        <f aca="false">parametros_recargas!$E$100*'Plan mensual'!K53+parametros_recargas!$F$100*'Plan mensual'!K54+parametros_recargas!$G$100*'Plan mensual'!K55+parametros_recargas!$H$100*'Plan mensual'!K56+parametros_recargas!$I$100*'Plan mensual'!K57+parametros_recargas!$J$100*'Plan mensual'!K58+parametros_recargas!$K$100*'Plan mensual'!K59+parametros_recargas!$L$100*'Plan mensual'!K60+parametros_recargas!$M$100*'Plan mensual'!K62</f>
        <v>71.0341260675247</v>
      </c>
      <c r="J58" s="26" t="n">
        <f aca="false">parametros_recargas!$E$100*'Plan mensual'!L53+parametros_recargas!$F$100*'Plan mensual'!L54+parametros_recargas!$G$100*'Plan mensual'!L55+parametros_recargas!$H$100*'Plan mensual'!L56+parametros_recargas!$I$100*'Plan mensual'!L57+parametros_recargas!$J$100*'Plan mensual'!L58+parametros_recargas!$K$100*'Plan mensual'!L59+parametros_recargas!$L$100*'Plan mensual'!L60+parametros_recargas!$M$100*'Plan mensual'!L62</f>
        <v>71.0341260675247</v>
      </c>
      <c r="K58" s="26" t="n">
        <f aca="false">parametros_recargas!$E$100*'Plan mensual'!M53+parametros_recargas!$F$100*'Plan mensual'!M54+parametros_recargas!$G$100*'Plan mensual'!M55+parametros_recargas!$H$100*'Plan mensual'!M56+parametros_recargas!$I$100*'Plan mensual'!M57+parametros_recargas!$J$100*'Plan mensual'!M58+parametros_recargas!$K$100*'Plan mensual'!M59+parametros_recargas!$L$100*'Plan mensual'!M60+parametros_recargas!$M$100*'Plan mensual'!M62</f>
        <v>71.0341260675247</v>
      </c>
      <c r="L58" s="26" t="n">
        <f aca="false">parametros_recargas!$E$100*'Plan mensual'!N53+parametros_recargas!$F$100*'Plan mensual'!N54+parametros_recargas!$G$100*'Plan mensual'!N55+parametros_recargas!$H$100*'Plan mensual'!N56+parametros_recargas!$I$100*'Plan mensual'!N57+parametros_recargas!$J$100*'Plan mensual'!N58+parametros_recargas!$K$100*'Plan mensual'!N59+parametros_recargas!$L$100*'Plan mensual'!N60+parametros_recargas!$M$100*'Plan mensual'!N62</f>
        <v>71.0341260675247</v>
      </c>
      <c r="M58" s="26" t="n">
        <f aca="false">parametros_recargas!$E$100*'Plan mensual'!O53+parametros_recargas!$F$100*'Plan mensual'!O54+parametros_recargas!$G$100*'Plan mensual'!O55+parametros_recargas!$H$100*'Plan mensual'!O56+parametros_recargas!$I$100*'Plan mensual'!O57+parametros_recargas!$J$100*'Plan mensual'!O58+parametros_recargas!$K$100*'Plan mensual'!O59+parametros_recargas!$L$100*'Plan mensual'!O60+parametros_recargas!$M$100*'Plan mensual'!O62</f>
        <v>71.0341260675247</v>
      </c>
      <c r="N58" s="8" t="n">
        <f aca="false">SUM(B58:M58)</f>
        <v>889.96326208684</v>
      </c>
      <c r="O58" s="27" t="n">
        <f aca="false">MAX(B58:M58)</f>
        <v>108.587875344068</v>
      </c>
      <c r="P58" s="13" t="n">
        <f aca="false">O58/parametros_recargas!$B$6</f>
        <v>0.723919168960456</v>
      </c>
    </row>
    <row r="59" customFormat="false" ht="15" hidden="false" customHeight="false" outlineLevel="0" collapsed="false">
      <c r="A59" s="10" t="str">
        <f aca="false">parametros_recargas!$B$101</f>
        <v>Ensayo de pérdidas</v>
      </c>
      <c r="B59" s="26" t="n">
        <f aca="false">parametros_recargas!$E$101*'Plan mensual'!D53+parametros_recargas!$F$101*'Plan mensual'!D54+parametros_recargas!$G$101*'Plan mensual'!D55+parametros_recargas!$H$101*'Plan mensual'!D56+parametros_recargas!$I$101*'Plan mensual'!D57+parametros_recargas!$J$101*'Plan mensual'!D58+parametros_recargas!$K$101*'Plan mensual'!D59+parametros_recargas!$L$101*'Plan mensual'!D60+parametros_recargas!$M$101*'Plan mensual'!D62</f>
        <v>776.693080662428</v>
      </c>
      <c r="C59" s="26" t="n">
        <f aca="false">parametros_recargas!$E$101*'Plan mensual'!E53+parametros_recargas!$F$101*'Plan mensual'!E54+parametros_recargas!$G$101*'Plan mensual'!E55+parametros_recargas!$H$101*'Plan mensual'!E56+parametros_recargas!$I$101*'Plan mensual'!E57+parametros_recargas!$J$101*'Plan mensual'!E58+parametros_recargas!$K$101*'Plan mensual'!E59+parametros_recargas!$L$101*'Plan mensual'!E60+parametros_recargas!$M$101*'Plan mensual'!E62</f>
        <v>1964.31430002488</v>
      </c>
      <c r="D59" s="26" t="n">
        <f aca="false">parametros_recargas!$E$101*'Plan mensual'!F53+parametros_recargas!$F$101*'Plan mensual'!F54+parametros_recargas!$G$101*'Plan mensual'!F55+parametros_recargas!$H$101*'Plan mensual'!F56+parametros_recargas!$I$101*'Plan mensual'!F57+parametros_recargas!$J$101*'Plan mensual'!F58+parametros_recargas!$K$101*'Plan mensual'!F59+parametros_recargas!$L$101*'Plan mensual'!F60+parametros_recargas!$M$101*'Plan mensual'!F62</f>
        <v>1660.37575189809</v>
      </c>
      <c r="E59" s="26" t="n">
        <f aca="false">parametros_recargas!$E$101*'Plan mensual'!G53+parametros_recargas!$F$101*'Plan mensual'!G54+parametros_recargas!$G$101*'Plan mensual'!G55+parametros_recargas!$H$101*'Plan mensual'!G56+parametros_recargas!$I$101*'Plan mensual'!G57+parametros_recargas!$J$101*'Plan mensual'!G58+parametros_recargas!$K$101*'Plan mensual'!G59+parametros_recargas!$L$101*'Plan mensual'!G60+parametros_recargas!$M$101*'Plan mensual'!G62</f>
        <v>1667.21905366366</v>
      </c>
      <c r="F59" s="26" t="n">
        <f aca="false">parametros_recargas!$E$101*'Plan mensual'!H53+parametros_recargas!$F$101*'Plan mensual'!H54+parametros_recargas!$G$101*'Plan mensual'!H55+parametros_recargas!$H$101*'Plan mensual'!H56+parametros_recargas!$I$101*'Plan mensual'!H57+parametros_recargas!$J$101*'Plan mensual'!H58+parametros_recargas!$K$101*'Plan mensual'!H59+parametros_recargas!$L$101*'Plan mensual'!H60+parametros_recargas!$M$101*'Plan mensual'!H62</f>
        <v>1667.16009301353</v>
      </c>
      <c r="G59" s="26" t="n">
        <f aca="false">parametros_recargas!$E$101*'Plan mensual'!I53+parametros_recargas!$F$101*'Plan mensual'!I54+parametros_recargas!$G$101*'Plan mensual'!I55+parametros_recargas!$H$101*'Plan mensual'!I56+parametros_recargas!$I$101*'Plan mensual'!I57+parametros_recargas!$J$101*'Plan mensual'!I58+parametros_recargas!$K$101*'Plan mensual'!I59+parametros_recargas!$L$101*'Plan mensual'!I60+parametros_recargas!$M$101*'Plan mensual'!I62</f>
        <v>1663.34296515907</v>
      </c>
      <c r="H59" s="26" t="n">
        <f aca="false">parametros_recargas!$E$101*'Plan mensual'!J53+parametros_recargas!$F$101*'Plan mensual'!J54+parametros_recargas!$G$101*'Plan mensual'!J55+parametros_recargas!$H$101*'Plan mensual'!J56+parametros_recargas!$I$101*'Plan mensual'!J57+parametros_recargas!$J$101*'Plan mensual'!J58+parametros_recargas!$K$101*'Plan mensual'!J59+parametros_recargas!$L$101*'Plan mensual'!J60+parametros_recargas!$M$101*'Plan mensual'!J62</f>
        <v>1674.13968262356</v>
      </c>
      <c r="I59" s="26" t="n">
        <f aca="false">parametros_recargas!$E$101*'Plan mensual'!K53+parametros_recargas!$F$101*'Plan mensual'!K54+parametros_recargas!$G$101*'Plan mensual'!K55+parametros_recargas!$H$101*'Plan mensual'!K56+parametros_recargas!$I$101*'Plan mensual'!K57+parametros_recargas!$J$101*'Plan mensual'!K58+parametros_recargas!$K$101*'Plan mensual'!K59+parametros_recargas!$L$101*'Plan mensual'!K60+parametros_recargas!$M$101*'Plan mensual'!K62</f>
        <v>1666.43838692811</v>
      </c>
      <c r="J59" s="26" t="n">
        <f aca="false">parametros_recargas!$E$101*'Plan mensual'!L53+parametros_recargas!$F$101*'Plan mensual'!L54+parametros_recargas!$G$101*'Plan mensual'!L55+parametros_recargas!$H$101*'Plan mensual'!L56+parametros_recargas!$I$101*'Plan mensual'!L57+parametros_recargas!$J$101*'Plan mensual'!L58+parametros_recargas!$K$101*'Plan mensual'!L59+parametros_recargas!$L$101*'Plan mensual'!L60+parametros_recargas!$M$101*'Plan mensual'!L62</f>
        <v>1667.56537953151</v>
      </c>
      <c r="K59" s="26" t="n">
        <f aca="false">parametros_recargas!$E$101*'Plan mensual'!M53+parametros_recargas!$F$101*'Plan mensual'!M54+parametros_recargas!$G$101*'Plan mensual'!M55+parametros_recargas!$H$101*'Plan mensual'!M56+parametros_recargas!$I$101*'Plan mensual'!M57+parametros_recargas!$J$101*'Plan mensual'!M58+parametros_recargas!$K$101*'Plan mensual'!M59+parametros_recargas!$L$101*'Plan mensual'!M60+parametros_recargas!$M$101*'Plan mensual'!M62</f>
        <v>1663.03170800999</v>
      </c>
      <c r="L59" s="26" t="n">
        <f aca="false">parametros_recargas!$E$101*'Plan mensual'!N53+parametros_recargas!$F$101*'Plan mensual'!N54+parametros_recargas!$G$101*'Plan mensual'!N55+parametros_recargas!$H$101*'Plan mensual'!N56+parametros_recargas!$I$101*'Plan mensual'!N57+parametros_recargas!$J$101*'Plan mensual'!N58+parametros_recargas!$K$101*'Plan mensual'!N59+parametros_recargas!$L$101*'Plan mensual'!N60+parametros_recargas!$M$101*'Plan mensual'!N62</f>
        <v>1645.44585749514</v>
      </c>
      <c r="M59" s="26" t="n">
        <f aca="false">parametros_recargas!$E$101*'Plan mensual'!O53+parametros_recargas!$F$101*'Plan mensual'!O54+parametros_recargas!$G$101*'Plan mensual'!O55+parametros_recargas!$H$101*'Plan mensual'!O56+parametros_recargas!$I$101*'Plan mensual'!O57+parametros_recargas!$J$101*'Plan mensual'!O58+parametros_recargas!$K$101*'Plan mensual'!O59+parametros_recargas!$L$101*'Plan mensual'!O60+parametros_recargas!$M$101*'Plan mensual'!O62</f>
        <v>730.999221954965</v>
      </c>
      <c r="N59" s="8" t="n">
        <f aca="false">SUM(B59:M59)</f>
        <v>18446.7254809649</v>
      </c>
      <c r="O59" s="27" t="n">
        <f aca="false">MAX(B59:M59)</f>
        <v>1964.31430002488</v>
      </c>
      <c r="P59" s="13" t="n">
        <f aca="false">O59/parametros_recargas!$B$6</f>
        <v>13.0954286668325</v>
      </c>
    </row>
    <row r="60" customFormat="false" ht="15" hidden="false" customHeight="false" outlineLevel="0" collapsed="false">
      <c r="A60" s="10" t="str">
        <f aca="false">parametros_recargas!$B$102</f>
        <v>Precinto, etiqueta y despacho</v>
      </c>
      <c r="B60" s="26" t="n">
        <f aca="false">parametros_recargas!$E$102*'Plan mensual'!D53+parametros_recargas!$F$102*'Plan mensual'!D54+parametros_recargas!$G$102*'Plan mensual'!D55+parametros_recargas!$H$102*'Plan mensual'!D56+parametros_recargas!$I$102*'Plan mensual'!D57+parametros_recargas!$J$102*'Plan mensual'!D58+parametros_recargas!$K$102*'Plan mensual'!D59+parametros_recargas!$L$102*'Plan mensual'!D60+parametros_recargas!$M$102*'Plan mensual'!D62</f>
        <v>776.693080662428</v>
      </c>
      <c r="C60" s="26" t="n">
        <f aca="false">parametros_recargas!$E$102*'Plan mensual'!E53+parametros_recargas!$F$102*'Plan mensual'!E54+parametros_recargas!$G$102*'Plan mensual'!E55+parametros_recargas!$H$102*'Plan mensual'!E56+parametros_recargas!$I$102*'Plan mensual'!E57+parametros_recargas!$J$102*'Plan mensual'!E58+parametros_recargas!$K$102*'Plan mensual'!E59+parametros_recargas!$L$102*'Plan mensual'!E60+parametros_recargas!$M$102*'Plan mensual'!E62</f>
        <v>1964.31430002488</v>
      </c>
      <c r="D60" s="26" t="n">
        <f aca="false">parametros_recargas!$E$102*'Plan mensual'!F53+parametros_recargas!$F$102*'Plan mensual'!F54+parametros_recargas!$G$102*'Plan mensual'!F55+parametros_recargas!$H$102*'Plan mensual'!F56+parametros_recargas!$I$102*'Plan mensual'!F57+parametros_recargas!$J$102*'Plan mensual'!F58+parametros_recargas!$K$102*'Plan mensual'!F59+parametros_recargas!$L$102*'Plan mensual'!F60+parametros_recargas!$M$102*'Plan mensual'!F62</f>
        <v>1660.37575189809</v>
      </c>
      <c r="E60" s="26" t="n">
        <f aca="false">parametros_recargas!$E$102*'Plan mensual'!G53+parametros_recargas!$F$102*'Plan mensual'!G54+parametros_recargas!$G$102*'Plan mensual'!G55+parametros_recargas!$H$102*'Plan mensual'!G56+parametros_recargas!$I$102*'Plan mensual'!G57+parametros_recargas!$J$102*'Plan mensual'!G58+parametros_recargas!$K$102*'Plan mensual'!G59+parametros_recargas!$L$102*'Plan mensual'!G60+parametros_recargas!$M$102*'Plan mensual'!G62</f>
        <v>1667.21905366366</v>
      </c>
      <c r="F60" s="26" t="n">
        <f aca="false">parametros_recargas!$E$102*'Plan mensual'!H53+parametros_recargas!$F$102*'Plan mensual'!H54+parametros_recargas!$G$102*'Plan mensual'!H55+parametros_recargas!$H$102*'Plan mensual'!H56+parametros_recargas!$I$102*'Plan mensual'!H57+parametros_recargas!$J$102*'Plan mensual'!H58+parametros_recargas!$K$102*'Plan mensual'!H59+parametros_recargas!$L$102*'Plan mensual'!H60+parametros_recargas!$M$102*'Plan mensual'!H62</f>
        <v>1667.16009301353</v>
      </c>
      <c r="G60" s="26" t="n">
        <f aca="false">parametros_recargas!$E$102*'Plan mensual'!I53+parametros_recargas!$F$102*'Plan mensual'!I54+parametros_recargas!$G$102*'Plan mensual'!I55+parametros_recargas!$H$102*'Plan mensual'!I56+parametros_recargas!$I$102*'Plan mensual'!I57+parametros_recargas!$J$102*'Plan mensual'!I58+parametros_recargas!$K$102*'Plan mensual'!I59+parametros_recargas!$L$102*'Plan mensual'!I60+parametros_recargas!$M$102*'Plan mensual'!I62</f>
        <v>1663.34296515907</v>
      </c>
      <c r="H60" s="26" t="n">
        <f aca="false">parametros_recargas!$E$102*'Plan mensual'!J53+parametros_recargas!$F$102*'Plan mensual'!J54+parametros_recargas!$G$102*'Plan mensual'!J55+parametros_recargas!$H$102*'Plan mensual'!J56+parametros_recargas!$I$102*'Plan mensual'!J57+parametros_recargas!$J$102*'Plan mensual'!J58+parametros_recargas!$K$102*'Plan mensual'!J59+parametros_recargas!$L$102*'Plan mensual'!J60+parametros_recargas!$M$102*'Plan mensual'!J62</f>
        <v>1674.13968262356</v>
      </c>
      <c r="I60" s="26" t="n">
        <f aca="false">parametros_recargas!$E$102*'Plan mensual'!K53+parametros_recargas!$F$102*'Plan mensual'!K54+parametros_recargas!$G$102*'Plan mensual'!K55+parametros_recargas!$H$102*'Plan mensual'!K56+parametros_recargas!$I$102*'Plan mensual'!K57+parametros_recargas!$J$102*'Plan mensual'!K58+parametros_recargas!$K$102*'Plan mensual'!K59+parametros_recargas!$L$102*'Plan mensual'!K60+parametros_recargas!$M$102*'Plan mensual'!K62</f>
        <v>1666.43838692811</v>
      </c>
      <c r="J60" s="26" t="n">
        <f aca="false">parametros_recargas!$E$102*'Plan mensual'!L53+parametros_recargas!$F$102*'Plan mensual'!L54+parametros_recargas!$G$102*'Plan mensual'!L55+parametros_recargas!$H$102*'Plan mensual'!L56+parametros_recargas!$I$102*'Plan mensual'!L57+parametros_recargas!$J$102*'Plan mensual'!L58+parametros_recargas!$K$102*'Plan mensual'!L59+parametros_recargas!$L$102*'Plan mensual'!L60+parametros_recargas!$M$102*'Plan mensual'!L62</f>
        <v>1667.56537953151</v>
      </c>
      <c r="K60" s="26" t="n">
        <f aca="false">parametros_recargas!$E$102*'Plan mensual'!M53+parametros_recargas!$F$102*'Plan mensual'!M54+parametros_recargas!$G$102*'Plan mensual'!M55+parametros_recargas!$H$102*'Plan mensual'!M56+parametros_recargas!$I$102*'Plan mensual'!M57+parametros_recargas!$J$102*'Plan mensual'!M58+parametros_recargas!$K$102*'Plan mensual'!M59+parametros_recargas!$L$102*'Plan mensual'!M60+parametros_recargas!$M$102*'Plan mensual'!M62</f>
        <v>1663.03170800999</v>
      </c>
      <c r="L60" s="26" t="n">
        <f aca="false">parametros_recargas!$E$102*'Plan mensual'!N53+parametros_recargas!$F$102*'Plan mensual'!N54+parametros_recargas!$G$102*'Plan mensual'!N55+parametros_recargas!$H$102*'Plan mensual'!N56+parametros_recargas!$I$102*'Plan mensual'!N57+parametros_recargas!$J$102*'Plan mensual'!N58+parametros_recargas!$K$102*'Plan mensual'!N59+parametros_recargas!$L$102*'Plan mensual'!N60+parametros_recargas!$M$102*'Plan mensual'!N62</f>
        <v>1645.44585749514</v>
      </c>
      <c r="M60" s="26" t="n">
        <f aca="false">parametros_recargas!$E$102*'Plan mensual'!O53+parametros_recargas!$F$102*'Plan mensual'!O54+parametros_recargas!$G$102*'Plan mensual'!O55+parametros_recargas!$H$102*'Plan mensual'!O56+parametros_recargas!$I$102*'Plan mensual'!O57+parametros_recargas!$J$102*'Plan mensual'!O58+parametros_recargas!$K$102*'Plan mensual'!O59+parametros_recargas!$L$102*'Plan mensual'!O60+parametros_recargas!$M$102*'Plan mensual'!O62</f>
        <v>730.999221954965</v>
      </c>
      <c r="N60" s="8" t="n">
        <f aca="false">SUM(B60:M60)</f>
        <v>18446.7254809649</v>
      </c>
      <c r="O60" s="27" t="n">
        <f aca="false">MAX(B60:M60)</f>
        <v>1964.31430002488</v>
      </c>
      <c r="P60" s="13" t="n">
        <f aca="false">O60/parametros_recargas!$B$6</f>
        <v>13.0954286668325</v>
      </c>
    </row>
    <row r="61" customFormat="false" ht="15" hidden="false" customHeight="false" outlineLevel="0" collapsed="false">
      <c r="A61" s="10" t="str">
        <f aca="false">parametros_recargas!$B$103</f>
        <v>Inutilización y disposición final</v>
      </c>
      <c r="B61" s="26" t="n">
        <f aca="false">parametros_recargas!$E$103*'Plan mensual'!D53+parametros_recargas!$F$103*'Plan mensual'!D54+parametros_recargas!$G$103*'Plan mensual'!D55+parametros_recargas!$H$103*'Plan mensual'!D56+parametros_recargas!$I$103*'Plan mensual'!D57+parametros_recargas!$J$103*'Plan mensual'!D58+parametros_recargas!$K$103*'Plan mensual'!D59+parametros_recargas!$L$103*'Plan mensual'!D60+parametros_recargas!$M$103*'Plan mensual'!D62</f>
        <v>59.6354951457501</v>
      </c>
      <c r="C61" s="26" t="n">
        <f aca="false">parametros_recargas!$E$103*'Plan mensual'!E53+parametros_recargas!$F$103*'Plan mensual'!E54+parametros_recargas!$G$103*'Plan mensual'!E55+parametros_recargas!$H$103*'Plan mensual'!E56+parametros_recargas!$I$103*'Plan mensual'!E57+parametros_recargas!$J$103*'Plan mensual'!E58+parametros_recargas!$K$103*'Plan mensual'!E59+parametros_recargas!$L$103*'Plan mensual'!E60+parametros_recargas!$M$103*'Plan mensual'!E62</f>
        <v>153.827265791422</v>
      </c>
      <c r="D61" s="26" t="n">
        <f aca="false">parametros_recargas!$E$103*'Plan mensual'!F53+parametros_recargas!$F$103*'Plan mensual'!F54+parametros_recargas!$G$103*'Plan mensual'!F55+parametros_recargas!$H$103*'Plan mensual'!F56+parametros_recargas!$I$103*'Plan mensual'!F57+parametros_recargas!$J$103*'Plan mensual'!F58+parametros_recargas!$K$103*'Plan mensual'!F59+parametros_recargas!$L$103*'Plan mensual'!F60+parametros_recargas!$M$103*'Plan mensual'!F62</f>
        <v>130.424093972207</v>
      </c>
      <c r="E61" s="26" t="n">
        <f aca="false">parametros_recargas!$E$103*'Plan mensual'!G53+parametros_recargas!$F$103*'Plan mensual'!G54+parametros_recargas!$G$103*'Plan mensual'!G55+parametros_recargas!$H$103*'Plan mensual'!G56+parametros_recargas!$I$103*'Plan mensual'!G57+parametros_recargas!$J$103*'Plan mensual'!G58+parametros_recargas!$K$103*'Plan mensual'!G59+parametros_recargas!$L$103*'Plan mensual'!G60+parametros_recargas!$M$103*'Plan mensual'!G62</f>
        <v>130.971558113453</v>
      </c>
      <c r="F61" s="26" t="n">
        <f aca="false">parametros_recargas!$E$103*'Plan mensual'!H53+parametros_recargas!$F$103*'Plan mensual'!H54+parametros_recargas!$G$103*'Plan mensual'!H55+parametros_recargas!$H$103*'Plan mensual'!H56+parametros_recargas!$I$103*'Plan mensual'!H57+parametros_recargas!$J$103*'Plan mensual'!H58+parametros_recargas!$K$103*'Plan mensual'!H59+parametros_recargas!$L$103*'Plan mensual'!H60+parametros_recargas!$M$103*'Plan mensual'!H62</f>
        <v>131.000137261442</v>
      </c>
      <c r="G61" s="26" t="n">
        <f aca="false">parametros_recargas!$E$103*'Plan mensual'!I53+parametros_recargas!$F$103*'Plan mensual'!I54+parametros_recargas!$G$103*'Plan mensual'!I55+parametros_recargas!$H$103*'Plan mensual'!I56+parametros_recargas!$I$103*'Plan mensual'!I57+parametros_recargas!$J$103*'Plan mensual'!I58+parametros_recargas!$K$103*'Plan mensual'!I59+parametros_recargas!$L$103*'Plan mensual'!I60+parametros_recargas!$M$103*'Plan mensual'!I62</f>
        <v>130.739868777877</v>
      </c>
      <c r="H61" s="26" t="n">
        <f aca="false">parametros_recargas!$E$103*'Plan mensual'!J53+parametros_recargas!$F$103*'Plan mensual'!J54+parametros_recargas!$G$103*'Plan mensual'!J55+parametros_recargas!$H$103*'Plan mensual'!J56+parametros_recargas!$I$103*'Plan mensual'!J57+parametros_recargas!$J$103*'Plan mensual'!J58+parametros_recargas!$K$103*'Plan mensual'!J59+parametros_recargas!$L$103*'Plan mensual'!J60+parametros_recargas!$M$103*'Plan mensual'!J62</f>
        <v>131.558504430245</v>
      </c>
      <c r="I61" s="26" t="n">
        <f aca="false">parametros_recargas!$E$103*'Plan mensual'!K53+parametros_recargas!$F$103*'Plan mensual'!K54+parametros_recargas!$G$103*'Plan mensual'!K55+parametros_recargas!$H$103*'Plan mensual'!K56+parametros_recargas!$I$103*'Plan mensual'!K57+parametros_recargas!$J$103*'Plan mensual'!K58+parametros_recargas!$K$103*'Plan mensual'!K59+parametros_recargas!$L$103*'Plan mensual'!K60+parametros_recargas!$M$103*'Plan mensual'!K62</f>
        <v>130.942400774609</v>
      </c>
      <c r="J61" s="26" t="n">
        <f aca="false">parametros_recargas!$E$103*'Plan mensual'!L53+parametros_recargas!$F$103*'Plan mensual'!L54+parametros_recargas!$G$103*'Plan mensual'!L55+parametros_recargas!$H$103*'Plan mensual'!L56+parametros_recargas!$I$103*'Plan mensual'!L57+parametros_recargas!$J$103*'Plan mensual'!L58+parametros_recargas!$K$103*'Plan mensual'!L59+parametros_recargas!$L$103*'Plan mensual'!L60+parametros_recargas!$M$103*'Plan mensual'!L62</f>
        <v>131.038463055277</v>
      </c>
      <c r="K61" s="26" t="n">
        <f aca="false">parametros_recargas!$E$103*'Plan mensual'!M53+parametros_recargas!$F$103*'Plan mensual'!M54+parametros_recargas!$G$103*'Plan mensual'!M55+parametros_recargas!$H$103*'Plan mensual'!M56+parametros_recargas!$I$103*'Plan mensual'!M57+parametros_recargas!$J$103*'Plan mensual'!M58+parametros_recargas!$K$103*'Plan mensual'!M59+parametros_recargas!$L$103*'Plan mensual'!M60+parametros_recargas!$M$103*'Plan mensual'!M62</f>
        <v>130.720871078347</v>
      </c>
      <c r="L61" s="26" t="n">
        <f aca="false">parametros_recargas!$E$103*'Plan mensual'!N53+parametros_recargas!$F$103*'Plan mensual'!N54+parametros_recargas!$G$103*'Plan mensual'!N55+parametros_recargas!$H$103*'Plan mensual'!N56+parametros_recargas!$I$103*'Plan mensual'!N57+parametros_recargas!$J$103*'Plan mensual'!N58+parametros_recargas!$K$103*'Plan mensual'!N59+parametros_recargas!$L$103*'Plan mensual'!N60+parametros_recargas!$M$103*'Plan mensual'!N62</f>
        <v>129.353201909555</v>
      </c>
      <c r="M61" s="26" t="n">
        <f aca="false">parametros_recargas!$E$103*'Plan mensual'!O53+parametros_recargas!$F$103*'Plan mensual'!O54+parametros_recargas!$G$103*'Plan mensual'!O55+parametros_recargas!$H$103*'Plan mensual'!O56+parametros_recargas!$I$103*'Plan mensual'!O57+parametros_recargas!$J$103*'Plan mensual'!O58+parametros_recargas!$K$103*'Plan mensual'!O59+parametros_recargas!$L$103*'Plan mensual'!O60+parametros_recargas!$M$103*'Plan mensual'!O62</f>
        <v>55.919297321549</v>
      </c>
      <c r="N61" s="8" t="n">
        <f aca="false">SUM(B61:M61)</f>
        <v>1446.13115763173</v>
      </c>
      <c r="O61" s="27" t="n">
        <f aca="false">MAX(B61:M61)</f>
        <v>153.827265791422</v>
      </c>
      <c r="P61" s="13" t="n">
        <f aca="false">O61/parametros_recargas!$B$6</f>
        <v>1.02551510527614</v>
      </c>
    </row>
    <row r="62" customFormat="false" ht="15" hidden="false" customHeight="false" outlineLevel="0" collapsed="false">
      <c r="A62" s="10" t="str">
        <f aca="false">parametros_recargas!$B$104</f>
        <v>PH de mangueras (CO₂ y rodantes)</v>
      </c>
      <c r="B62" s="26" t="n">
        <f aca="false">'Plan mensual'!D61</f>
        <v>49.6150790501546</v>
      </c>
      <c r="C62" s="26" t="n">
        <f aca="false">'Plan mensual'!E61</f>
        <v>55.0167326204297</v>
      </c>
      <c r="D62" s="26" t="n">
        <f aca="false">'Plan mensual'!F61</f>
        <v>49.6150790501546</v>
      </c>
      <c r="E62" s="26" t="n">
        <f aca="false">'Plan mensual'!G61</f>
        <v>49.6150790501546</v>
      </c>
      <c r="F62" s="26" t="n">
        <f aca="false">'Plan mensual'!H61</f>
        <v>49.6150790501546</v>
      </c>
      <c r="G62" s="26" t="n">
        <f aca="false">'Plan mensual'!I61</f>
        <v>49.6150790501546</v>
      </c>
      <c r="H62" s="26" t="n">
        <f aca="false">'Plan mensual'!J61</f>
        <v>49.6150790501546</v>
      </c>
      <c r="I62" s="26" t="n">
        <f aca="false">'Plan mensual'!K61</f>
        <v>49.6150790501546</v>
      </c>
      <c r="J62" s="26" t="n">
        <f aca="false">'Plan mensual'!L61</f>
        <v>49.6150790501546</v>
      </c>
      <c r="K62" s="26" t="n">
        <f aca="false">'Plan mensual'!M61</f>
        <v>49.6150790501546</v>
      </c>
      <c r="L62" s="26" t="n">
        <f aca="false">'Plan mensual'!N61</f>
        <v>49.6150790501546</v>
      </c>
      <c r="M62" s="26" t="n">
        <f aca="false">'Plan mensual'!O61</f>
        <v>49.6150790501546</v>
      </c>
      <c r="N62" s="8" t="n">
        <f aca="false">SUM(B62:M62)</f>
        <v>600.782602172131</v>
      </c>
      <c r="O62" s="27" t="n">
        <f aca="false">MAX(B62:M62)</f>
        <v>55.0167326204297</v>
      </c>
      <c r="P62" s="13" t="n">
        <f aca="false">O62/parametros_recargas!$B$6</f>
        <v>0.366778217469531</v>
      </c>
    </row>
    <row r="65" customFormat="false" ht="23.85" hidden="false" customHeight="false" outlineLevel="0" collapsed="false">
      <c r="A65" s="6" t="s">
        <v>439</v>
      </c>
      <c r="B65" s="6" t="s">
        <v>175</v>
      </c>
      <c r="C65" s="6" t="s">
        <v>176</v>
      </c>
      <c r="D65" s="6" t="s">
        <v>177</v>
      </c>
      <c r="E65" s="6" t="s">
        <v>178</v>
      </c>
      <c r="F65" s="6" t="s">
        <v>179</v>
      </c>
      <c r="G65" s="6" t="s">
        <v>180</v>
      </c>
      <c r="H65" s="6" t="s">
        <v>181</v>
      </c>
      <c r="I65" s="6" t="s">
        <v>182</v>
      </c>
      <c r="J65" s="6" t="s">
        <v>183</v>
      </c>
      <c r="K65" s="6" t="s">
        <v>184</v>
      </c>
      <c r="L65" s="6" t="s">
        <v>185</v>
      </c>
      <c r="M65" s="6" t="s">
        <v>186</v>
      </c>
      <c r="N65" s="6" t="s">
        <v>435</v>
      </c>
      <c r="O65" s="6" t="s">
        <v>436</v>
      </c>
      <c r="P65" s="6" t="s">
        <v>437</v>
      </c>
    </row>
    <row r="66" customFormat="false" ht="15" hidden="false" customHeight="false" outlineLevel="0" collapsed="false">
      <c r="A66" s="10" t="str">
        <f aca="false">parametros_recargas!$B$76</f>
        <v>Recepción y registro</v>
      </c>
      <c r="B66" s="26" t="n">
        <f aca="false">parametros_recargas!$E$76*'Plan mensual'!D85+parametros_recargas!$F$76*'Plan mensual'!D86+parametros_recargas!$G$76*'Plan mensual'!D87+parametros_recargas!$H$76*'Plan mensual'!D88+parametros_recargas!$I$76*'Plan mensual'!D89+parametros_recargas!$J$76*'Plan mensual'!D90+parametros_recargas!$K$76*'Plan mensual'!D91+parametros_recargas!$L$76*'Plan mensual'!D92+parametros_recargas!$M$76*'Plan mensual'!D94</f>
        <v>1707.81375843978</v>
      </c>
      <c r="C66" s="26" t="n">
        <f aca="false">parametros_recargas!$E$76*'Plan mensual'!E85+parametros_recargas!$F$76*'Plan mensual'!E86+parametros_recargas!$G$76*'Plan mensual'!E87+parametros_recargas!$H$76*'Plan mensual'!E88+parametros_recargas!$I$76*'Plan mensual'!E89+parametros_recargas!$J$76*'Plan mensual'!E90+parametros_recargas!$K$76*'Plan mensual'!E91+parametros_recargas!$L$76*'Plan mensual'!E92+parametros_recargas!$M$76*'Plan mensual'!E94</f>
        <v>4005.68399862129</v>
      </c>
      <c r="D66" s="26" t="n">
        <f aca="false">parametros_recargas!$E$76*'Plan mensual'!F85+parametros_recargas!$F$76*'Plan mensual'!F86+parametros_recargas!$G$76*'Plan mensual'!F87+parametros_recargas!$H$76*'Plan mensual'!F88+parametros_recargas!$I$76*'Plan mensual'!F89+parametros_recargas!$J$76*'Plan mensual'!F90+parametros_recargas!$K$76*'Plan mensual'!F91+parametros_recargas!$L$76*'Plan mensual'!F92+parametros_recargas!$M$76*'Plan mensual'!F94</f>
        <v>3310.98417721279</v>
      </c>
      <c r="E66" s="26" t="n">
        <f aca="false">parametros_recargas!$E$76*'Plan mensual'!G85+parametros_recargas!$F$76*'Plan mensual'!G86+parametros_recargas!$G$76*'Plan mensual'!G87+parametros_recargas!$H$76*'Plan mensual'!G88+parametros_recargas!$I$76*'Plan mensual'!G89+parametros_recargas!$J$76*'Plan mensual'!G90+parametros_recargas!$K$76*'Plan mensual'!G91+parametros_recargas!$L$76*'Plan mensual'!G92+parametros_recargas!$M$76*'Plan mensual'!G94</f>
        <v>3323.39820080149</v>
      </c>
      <c r="F66" s="26" t="n">
        <f aca="false">parametros_recargas!$E$76*'Plan mensual'!H85+parametros_recargas!$F$76*'Plan mensual'!H86+parametros_recargas!$G$76*'Plan mensual'!H87+parametros_recargas!$H$76*'Plan mensual'!H88+parametros_recargas!$I$76*'Plan mensual'!H89+parametros_recargas!$J$76*'Plan mensual'!H90+parametros_recargas!$K$76*'Plan mensual'!H91+parametros_recargas!$L$76*'Plan mensual'!H92+parametros_recargas!$M$76*'Plan mensual'!H94</f>
        <v>3323.32264729541</v>
      </c>
      <c r="G66" s="26" t="n">
        <f aca="false">parametros_recargas!$E$76*'Plan mensual'!I85+parametros_recargas!$F$76*'Plan mensual'!I86+parametros_recargas!$G$76*'Plan mensual'!I87+parametros_recargas!$H$76*'Plan mensual'!I88+parametros_recargas!$I$76*'Plan mensual'!I89+parametros_recargas!$J$76*'Plan mensual'!I90+parametros_recargas!$K$76*'Plan mensual'!I91+parametros_recargas!$L$76*'Plan mensual'!I92+parametros_recargas!$M$76*'Plan mensual'!I94</f>
        <v>3316.34875428822</v>
      </c>
      <c r="H66" s="26" t="n">
        <f aca="false">parametros_recargas!$E$76*'Plan mensual'!J85+parametros_recargas!$F$76*'Plan mensual'!J86+parametros_recargas!$G$76*'Plan mensual'!J87+parametros_recargas!$H$76*'Plan mensual'!J88+parametros_recargas!$I$76*'Plan mensual'!J89+parametros_recargas!$J$76*'Plan mensual'!J90+parametros_recargas!$K$76*'Plan mensual'!J91+parametros_recargas!$L$76*'Plan mensual'!J92+parametros_recargas!$M$76*'Plan mensual'!J94</f>
        <v>3335.98390249451</v>
      </c>
      <c r="I66" s="26" t="n">
        <f aca="false">parametros_recargas!$E$76*'Plan mensual'!K85+parametros_recargas!$F$76*'Plan mensual'!K86+parametros_recargas!$G$76*'Plan mensual'!K87+parametros_recargas!$H$76*'Plan mensual'!K88+parametros_recargas!$I$76*'Plan mensual'!K89+parametros_recargas!$J$76*'Plan mensual'!K90+parametros_recargas!$K$76*'Plan mensual'!K91+parametros_recargas!$L$76*'Plan mensual'!K92+parametros_recargas!$M$76*'Plan mensual'!K94</f>
        <v>3322.01344354036</v>
      </c>
      <c r="J66" s="26" t="n">
        <f aca="false">parametros_recargas!$E$76*'Plan mensual'!L85+parametros_recargas!$F$76*'Plan mensual'!L86+parametros_recargas!$G$76*'Plan mensual'!L87+parametros_recargas!$H$76*'Plan mensual'!L88+parametros_recargas!$I$76*'Plan mensual'!L89+parametros_recargas!$J$76*'Plan mensual'!L90+parametros_recargas!$K$76*'Plan mensual'!L91+parametros_recargas!$L$76*'Plan mensual'!L92+parametros_recargas!$M$76*'Plan mensual'!L94</f>
        <v>3324.01741646912</v>
      </c>
      <c r="K66" s="26" t="n">
        <f aca="false">parametros_recargas!$E$76*'Plan mensual'!M85+parametros_recargas!$F$76*'Plan mensual'!M86+parametros_recargas!$G$76*'Plan mensual'!M87+parametros_recargas!$H$76*'Plan mensual'!M88+parametros_recargas!$I$76*'Plan mensual'!M89+parametros_recargas!$J$76*'Plan mensual'!M90+parametros_recargas!$K$76*'Plan mensual'!M91+parametros_recargas!$L$76*'Plan mensual'!M92+parametros_recargas!$M$76*'Plan mensual'!M94</f>
        <v>3315.74368454059</v>
      </c>
      <c r="L66" s="26" t="n">
        <f aca="false">parametros_recargas!$E$76*'Plan mensual'!N85+parametros_recargas!$F$76*'Plan mensual'!N86+parametros_recargas!$G$76*'Plan mensual'!N87+parametros_recargas!$H$76*'Plan mensual'!N88+parametros_recargas!$I$76*'Plan mensual'!N89+parametros_recargas!$J$76*'Plan mensual'!N90+parametros_recargas!$K$76*'Plan mensual'!N91+parametros_recargas!$L$76*'Plan mensual'!N92+parametros_recargas!$M$76*'Plan mensual'!N94</f>
        <v>3283.8332137736</v>
      </c>
      <c r="M66" s="26" t="n">
        <f aca="false">parametros_recargas!$E$76*'Plan mensual'!O85+parametros_recargas!$F$76*'Plan mensual'!O86+parametros_recargas!$G$76*'Plan mensual'!O87+parametros_recargas!$H$76*'Plan mensual'!O88+parametros_recargas!$I$76*'Plan mensual'!O89+parametros_recargas!$J$76*'Plan mensual'!O90+parametros_recargas!$K$76*'Plan mensual'!O91+parametros_recargas!$L$76*'Plan mensual'!O92+parametros_recargas!$M$76*'Plan mensual'!O94</f>
        <v>1624.82002420001</v>
      </c>
      <c r="N66" s="8" t="n">
        <f aca="false">SUM(B66:M66)</f>
        <v>37193.9632216772</v>
      </c>
      <c r="O66" s="27" t="n">
        <f aca="false">MAX(B66:M66)</f>
        <v>4005.68399862129</v>
      </c>
      <c r="P66" s="13" t="n">
        <f aca="false">O66/parametros_recargas!$B$6</f>
        <v>26.7045599908086</v>
      </c>
    </row>
    <row r="67" customFormat="false" ht="15" hidden="false" customHeight="false" outlineLevel="0" collapsed="false">
      <c r="A67" s="10" t="str">
        <f aca="false">parametros_recargas!$B$77</f>
        <v>Inspección visual</v>
      </c>
      <c r="B67" s="26" t="n">
        <f aca="false">parametros_recargas!$E$77*'Plan mensual'!D85+parametros_recargas!$F$77*'Plan mensual'!D86+parametros_recargas!$G$77*'Plan mensual'!D87+parametros_recargas!$H$77*'Plan mensual'!D88+parametros_recargas!$I$77*'Plan mensual'!D89+parametros_recargas!$J$77*'Plan mensual'!D90+parametros_recargas!$K$77*'Plan mensual'!D91+parametros_recargas!$L$77*'Plan mensual'!D92+parametros_recargas!$M$77*'Plan mensual'!D94</f>
        <v>1690.37887270481</v>
      </c>
      <c r="C67" s="26" t="n">
        <f aca="false">parametros_recargas!$E$77*'Plan mensual'!E85+parametros_recargas!$F$77*'Plan mensual'!E86+parametros_recargas!$G$77*'Plan mensual'!E87+parametros_recargas!$H$77*'Plan mensual'!E88+parametros_recargas!$I$77*'Plan mensual'!E89+parametros_recargas!$J$77*'Plan mensual'!E90+parametros_recargas!$K$77*'Plan mensual'!E91+parametros_recargas!$L$77*'Plan mensual'!E92+parametros_recargas!$M$77*'Plan mensual'!E94</f>
        <v>3991.49208767867</v>
      </c>
      <c r="D67" s="26" t="n">
        <f aca="false">parametros_recargas!$E$77*'Plan mensual'!F85+parametros_recargas!$F$77*'Plan mensual'!F86+parametros_recargas!$G$77*'Plan mensual'!F87+parametros_recargas!$H$77*'Plan mensual'!F88+parametros_recargas!$I$77*'Plan mensual'!F89+parametros_recargas!$J$77*'Plan mensual'!F90+parametros_recargas!$K$77*'Plan mensual'!F91+parametros_recargas!$L$77*'Plan mensual'!F92+parametros_recargas!$M$77*'Plan mensual'!F94</f>
        <v>3295.54580408164</v>
      </c>
      <c r="E67" s="26" t="n">
        <f aca="false">parametros_recargas!$E$77*'Plan mensual'!G85+parametros_recargas!$F$77*'Plan mensual'!G86+parametros_recargas!$G$77*'Plan mensual'!G87+parametros_recargas!$H$77*'Plan mensual'!G88+parametros_recargas!$I$77*'Plan mensual'!G89+parametros_recargas!$J$77*'Plan mensual'!G90+parametros_recargas!$K$77*'Plan mensual'!G91+parametros_recargas!$L$77*'Plan mensual'!G92+parametros_recargas!$M$77*'Plan mensual'!G94</f>
        <v>3307.95982767034</v>
      </c>
      <c r="F67" s="26" t="n">
        <f aca="false">parametros_recargas!$E$77*'Plan mensual'!H85+parametros_recargas!$F$77*'Plan mensual'!H86+parametros_recargas!$G$77*'Plan mensual'!H87+parametros_recargas!$H$77*'Plan mensual'!H88+parametros_recargas!$I$77*'Plan mensual'!H89+parametros_recargas!$J$77*'Plan mensual'!H90+parametros_recargas!$K$77*'Plan mensual'!H91+parametros_recargas!$L$77*'Plan mensual'!H92+parametros_recargas!$M$77*'Plan mensual'!H94</f>
        <v>3308.60787416426</v>
      </c>
      <c r="G67" s="26" t="n">
        <f aca="false">parametros_recargas!$E$77*'Plan mensual'!I85+parametros_recargas!$F$77*'Plan mensual'!I86+parametros_recargas!$G$77*'Plan mensual'!I87+parametros_recargas!$H$77*'Plan mensual'!I88+parametros_recargas!$I$77*'Plan mensual'!I89+parametros_recargas!$J$77*'Plan mensual'!I90+parametros_recargas!$K$77*'Plan mensual'!I91+parametros_recargas!$L$77*'Plan mensual'!I92+parametros_recargas!$M$77*'Plan mensual'!I94</f>
        <v>3302.70615594942</v>
      </c>
      <c r="H67" s="26" t="n">
        <f aca="false">parametros_recargas!$E$77*'Plan mensual'!J85+parametros_recargas!$F$77*'Plan mensual'!J86+parametros_recargas!$G$77*'Plan mensual'!J87+parametros_recargas!$H$77*'Plan mensual'!J88+parametros_recargas!$I$77*'Plan mensual'!J89+parametros_recargas!$J$77*'Plan mensual'!J90+parametros_recargas!$K$77*'Plan mensual'!J91+parametros_recargas!$L$77*'Plan mensual'!J92+parametros_recargas!$M$77*'Plan mensual'!J94</f>
        <v>3321.26912936336</v>
      </c>
      <c r="I67" s="26" t="n">
        <f aca="false">parametros_recargas!$E$77*'Plan mensual'!K85+parametros_recargas!$F$77*'Plan mensual'!K86+parametros_recargas!$G$77*'Plan mensual'!K87+parametros_recargas!$H$77*'Plan mensual'!K88+parametros_recargas!$I$77*'Plan mensual'!K89+parametros_recargas!$J$77*'Plan mensual'!K90+parametros_recargas!$K$77*'Plan mensual'!K91+parametros_recargas!$L$77*'Plan mensual'!K92+parametros_recargas!$M$77*'Plan mensual'!K94</f>
        <v>3307.29867040921</v>
      </c>
      <c r="J67" s="26" t="n">
        <f aca="false">parametros_recargas!$E$77*'Plan mensual'!L85+parametros_recargas!$F$77*'Plan mensual'!L86+parametros_recargas!$G$77*'Plan mensual'!L87+parametros_recargas!$H$77*'Plan mensual'!L88+parametros_recargas!$I$77*'Plan mensual'!L89+parametros_recargas!$J$77*'Plan mensual'!L90+parametros_recargas!$K$77*'Plan mensual'!L91+parametros_recargas!$L$77*'Plan mensual'!L92+parametros_recargas!$M$77*'Plan mensual'!L94</f>
        <v>3309.47693073414</v>
      </c>
      <c r="K67" s="26" t="n">
        <f aca="false">parametros_recargas!$E$77*'Plan mensual'!M85+parametros_recargas!$F$77*'Plan mensual'!M86+parametros_recargas!$G$77*'Plan mensual'!M87+parametros_recargas!$H$77*'Plan mensual'!M88+parametros_recargas!$I$77*'Plan mensual'!M89+parametros_recargas!$J$77*'Plan mensual'!M90+parametros_recargas!$K$77*'Plan mensual'!M91+parametros_recargas!$L$77*'Plan mensual'!M92+parametros_recargas!$M$77*'Plan mensual'!M94</f>
        <v>3302.27537359797</v>
      </c>
      <c r="L67" s="26" t="n">
        <f aca="false">parametros_recargas!$E$77*'Plan mensual'!N85+parametros_recargas!$F$77*'Plan mensual'!N86+parametros_recargas!$G$77*'Plan mensual'!N87+parametros_recargas!$H$77*'Plan mensual'!N88+parametros_recargas!$I$77*'Plan mensual'!N89+parametros_recargas!$J$77*'Plan mensual'!N90+parametros_recargas!$K$77*'Plan mensual'!N91+parametros_recargas!$L$77*'Plan mensual'!N92+parametros_recargas!$M$77*'Plan mensual'!N94</f>
        <v>3271.26279022715</v>
      </c>
      <c r="M67" s="26" t="n">
        <f aca="false">parametros_recargas!$E$77*'Plan mensual'!O85+parametros_recargas!$F$77*'Plan mensual'!O86+parametros_recargas!$G$77*'Plan mensual'!O87+parametros_recargas!$H$77*'Plan mensual'!O88+parametros_recargas!$I$77*'Plan mensual'!O89+parametros_recargas!$J$77*'Plan mensual'!O90+parametros_recargas!$K$77*'Plan mensual'!O91+parametros_recargas!$L$77*'Plan mensual'!O92+parametros_recargas!$M$77*'Plan mensual'!O94</f>
        <v>1606.11222586121</v>
      </c>
      <c r="N67" s="8" t="n">
        <f aca="false">SUM(B67:M67)</f>
        <v>37014.3857424422</v>
      </c>
      <c r="O67" s="27" t="n">
        <f aca="false">MAX(B67:M67)</f>
        <v>3991.49208767867</v>
      </c>
      <c r="P67" s="13" t="n">
        <f aca="false">O67/parametros_recargas!$B$6</f>
        <v>26.6099472511911</v>
      </c>
    </row>
    <row r="68" customFormat="false" ht="15" hidden="false" customHeight="false" outlineLevel="0" collapsed="false">
      <c r="A68" s="10" t="str">
        <f aca="false">parametros_recargas!$B$78</f>
        <v>Descarga ABC — ruta recuperable</v>
      </c>
      <c r="B68" s="26" t="n">
        <f aca="false">parametros_recargas!$E$78*'Plan mensual'!D85+parametros_recargas!$F$78*'Plan mensual'!D86+parametros_recargas!$G$78*'Plan mensual'!D87+parametros_recargas!$H$78*'Plan mensual'!D88+parametros_recargas!$I$78*'Plan mensual'!D89+parametros_recargas!$J$78*'Plan mensual'!D90+parametros_recargas!$K$78*'Plan mensual'!D91+parametros_recargas!$L$78*'Plan mensual'!D92+parametros_recargas!$M$78*'Plan mensual'!D94</f>
        <v>1086.57836958495</v>
      </c>
      <c r="C68" s="26" t="n">
        <f aca="false">parametros_recargas!$E$78*'Plan mensual'!E85+parametros_recargas!$F$78*'Plan mensual'!E86+parametros_recargas!$G$78*'Plan mensual'!E87+parametros_recargas!$H$78*'Plan mensual'!E88+parametros_recargas!$I$78*'Plan mensual'!E89+parametros_recargas!$J$78*'Plan mensual'!E90+parametros_recargas!$K$78*'Plan mensual'!E91+parametros_recargas!$L$78*'Plan mensual'!E92+parametros_recargas!$M$78*'Plan mensual'!E94</f>
        <v>2884.5077270763</v>
      </c>
      <c r="D68" s="26" t="n">
        <f aca="false">parametros_recargas!$E$78*'Plan mensual'!F85+parametros_recargas!$F$78*'Plan mensual'!F86+parametros_recargas!$G$78*'Plan mensual'!F87+parametros_recargas!$H$78*'Plan mensual'!F88+parametros_recargas!$I$78*'Plan mensual'!F89+parametros_recargas!$J$78*'Plan mensual'!F90+parametros_recargas!$K$78*'Plan mensual'!F91+parametros_recargas!$L$78*'Plan mensual'!F92+parametros_recargas!$M$78*'Plan mensual'!F94</f>
        <v>2458.99609591214</v>
      </c>
      <c r="E68" s="26" t="n">
        <f aca="false">parametros_recargas!$E$78*'Plan mensual'!G85+parametros_recargas!$F$78*'Plan mensual'!G86+parametros_recargas!$G$78*'Plan mensual'!G87+parametros_recargas!$H$78*'Plan mensual'!G88+parametros_recargas!$I$78*'Plan mensual'!G89+parametros_recargas!$J$78*'Plan mensual'!G90+parametros_recargas!$K$78*'Plan mensual'!G91+parametros_recargas!$L$78*'Plan mensual'!G92+parametros_recargas!$M$78*'Plan mensual'!G94</f>
        <v>2469.61008608048</v>
      </c>
      <c r="F68" s="26" t="n">
        <f aca="false">parametros_recargas!$E$78*'Plan mensual'!H85+parametros_recargas!$F$78*'Plan mensual'!H86+parametros_recargas!$G$78*'Plan mensual'!H87+parametros_recargas!$H$78*'Plan mensual'!H88+parametros_recargas!$I$78*'Plan mensual'!H89+parametros_recargas!$J$78*'Plan mensual'!H90+parametros_recargas!$K$78*'Plan mensual'!H91+parametros_recargas!$L$78*'Plan mensual'!H92+parametros_recargas!$M$78*'Plan mensual'!H94</f>
        <v>2470.16416583279</v>
      </c>
      <c r="G68" s="26" t="n">
        <f aca="false">parametros_recargas!$E$78*'Plan mensual'!I85+parametros_recargas!$F$78*'Plan mensual'!I86+parametros_recargas!$G$78*'Plan mensual'!I87+parametros_recargas!$H$78*'Plan mensual'!I88+parametros_recargas!$I$78*'Plan mensual'!I89+parametros_recargas!$J$78*'Plan mensual'!I90+parametros_recargas!$K$78*'Plan mensual'!I91+parametros_recargas!$L$78*'Plan mensual'!I92+parametros_recargas!$M$78*'Plan mensual'!I94</f>
        <v>2465.11819675909</v>
      </c>
      <c r="H68" s="26" t="n">
        <f aca="false">parametros_recargas!$E$78*'Plan mensual'!J85+parametros_recargas!$F$78*'Plan mensual'!J86+parametros_recargas!$G$78*'Plan mensual'!J87+parametros_recargas!$H$78*'Plan mensual'!J88+parametros_recargas!$I$78*'Plan mensual'!J89+parametros_recargas!$J$78*'Plan mensual'!J90+parametros_recargas!$K$78*'Plan mensual'!J91+parametros_recargas!$L$78*'Plan mensual'!J92+parametros_recargas!$M$78*'Plan mensual'!J94</f>
        <v>2480.98953902802</v>
      </c>
      <c r="I68" s="26" t="n">
        <f aca="false">parametros_recargas!$E$78*'Plan mensual'!K85+parametros_recargas!$F$78*'Plan mensual'!K86+parametros_recargas!$G$78*'Plan mensual'!K87+parametros_recargas!$H$78*'Plan mensual'!K88+parametros_recargas!$I$78*'Plan mensual'!K89+parametros_recargas!$J$78*'Plan mensual'!K90+parametros_recargas!$K$78*'Plan mensual'!K91+parametros_recargas!$L$78*'Plan mensual'!K92+parametros_recargas!$M$78*'Plan mensual'!K94</f>
        <v>2469.04479662221</v>
      </c>
      <c r="J68" s="26" t="n">
        <f aca="false">parametros_recargas!$E$78*'Plan mensual'!L85+parametros_recargas!$F$78*'Plan mensual'!L86+parametros_recargas!$G$78*'Plan mensual'!L87+parametros_recargas!$H$78*'Plan mensual'!L88+parametros_recargas!$I$78*'Plan mensual'!L89+parametros_recargas!$J$78*'Plan mensual'!L90+parametros_recargas!$K$78*'Plan mensual'!L91+parametros_recargas!$L$78*'Plan mensual'!L92+parametros_recargas!$M$78*'Plan mensual'!L94</f>
        <v>2470.90720920003</v>
      </c>
      <c r="K68" s="26" t="n">
        <f aca="false">parametros_recargas!$E$78*'Plan mensual'!M85+parametros_recargas!$F$78*'Plan mensual'!M86+parametros_recargas!$G$78*'Plan mensual'!M87+parametros_recargas!$H$78*'Plan mensual'!M88+parametros_recargas!$I$78*'Plan mensual'!M89+parametros_recargas!$J$78*'Plan mensual'!M90+parametros_recargas!$K$78*'Plan mensual'!M91+parametros_recargas!$L$78*'Plan mensual'!M92+parametros_recargas!$M$78*'Plan mensual'!M94</f>
        <v>2464.7498778486</v>
      </c>
      <c r="L68" s="26" t="n">
        <f aca="false">parametros_recargas!$E$78*'Plan mensual'!N85+parametros_recargas!$F$78*'Plan mensual'!N86+parametros_recargas!$G$78*'Plan mensual'!N87+parametros_recargas!$H$78*'Plan mensual'!N88+parametros_recargas!$I$78*'Plan mensual'!N89+parametros_recargas!$J$78*'Plan mensual'!N90+parametros_recargas!$K$78*'Plan mensual'!N91+parametros_recargas!$L$78*'Plan mensual'!N92+parametros_recargas!$M$78*'Plan mensual'!N94</f>
        <v>2438.23411906656</v>
      </c>
      <c r="M68" s="26" t="n">
        <f aca="false">parametros_recargas!$E$78*'Plan mensual'!O85+parametros_recargas!$F$78*'Plan mensual'!O86+parametros_recargas!$G$78*'Plan mensual'!O87+parametros_recargas!$H$78*'Plan mensual'!O88+parametros_recargas!$I$78*'Plan mensual'!O89+parametros_recargas!$J$78*'Plan mensual'!O90+parametros_recargas!$K$78*'Plan mensual'!O91+parametros_recargas!$L$78*'Plan mensual'!O92+parametros_recargas!$M$78*'Plan mensual'!O94</f>
        <v>1014.53038653367</v>
      </c>
      <c r="N68" s="8" t="n">
        <f aca="false">SUM(B68:M68)</f>
        <v>27173.4305695448</v>
      </c>
      <c r="O68" s="27" t="n">
        <f aca="false">MAX(B68:M68)</f>
        <v>2884.5077270763</v>
      </c>
      <c r="P68" s="13" t="n">
        <f aca="false">O68/parametros_recargas!$B$6</f>
        <v>19.230051513842</v>
      </c>
    </row>
    <row r="69" customFormat="false" ht="15" hidden="false" customHeight="false" outlineLevel="0" collapsed="false">
      <c r="A69" s="10" t="str">
        <f aca="false">parametros_recargas!$B$79</f>
        <v>Descarga ABC — ruta descarte</v>
      </c>
      <c r="B69" s="26" t="n">
        <f aca="false">parametros_recargas!$E$79*'Plan mensual'!D85+parametros_recargas!$F$79*'Plan mensual'!D86+parametros_recargas!$G$79*'Plan mensual'!D87+parametros_recargas!$H$79*'Plan mensual'!D88+parametros_recargas!$I$79*'Plan mensual'!D89+parametros_recargas!$J$79*'Plan mensual'!D90+parametros_recargas!$K$79*'Plan mensual'!D91+parametros_recargas!$L$79*'Plan mensual'!D92+parametros_recargas!$M$79*'Plan mensual'!D94</f>
        <v>120.730929953883</v>
      </c>
      <c r="C69" s="26" t="n">
        <f aca="false">parametros_recargas!$E$79*'Plan mensual'!E85+parametros_recargas!$F$79*'Plan mensual'!E86+parametros_recargas!$G$79*'Plan mensual'!E87+parametros_recargas!$H$79*'Plan mensual'!E88+parametros_recargas!$I$79*'Plan mensual'!E89+parametros_recargas!$J$79*'Plan mensual'!E90+parametros_recargas!$K$79*'Plan mensual'!E91+parametros_recargas!$L$79*'Plan mensual'!E92+parametros_recargas!$M$79*'Plan mensual'!E94</f>
        <v>320.500858564033</v>
      </c>
      <c r="D69" s="26" t="n">
        <f aca="false">parametros_recargas!$E$79*'Plan mensual'!F85+parametros_recargas!$F$79*'Plan mensual'!F86+parametros_recargas!$G$79*'Plan mensual'!F87+parametros_recargas!$H$79*'Plan mensual'!F88+parametros_recargas!$I$79*'Plan mensual'!F89+parametros_recargas!$J$79*'Plan mensual'!F90+parametros_recargas!$K$79*'Plan mensual'!F91+parametros_recargas!$L$79*'Plan mensual'!F92+parametros_recargas!$M$79*'Plan mensual'!F94</f>
        <v>273.221788434683</v>
      </c>
      <c r="E69" s="26" t="n">
        <f aca="false">parametros_recargas!$E$79*'Plan mensual'!G85+parametros_recargas!$F$79*'Plan mensual'!G86+parametros_recargas!$G$79*'Plan mensual'!G87+parametros_recargas!$H$79*'Plan mensual'!G88+parametros_recargas!$I$79*'Plan mensual'!G89+parametros_recargas!$J$79*'Plan mensual'!G90+parametros_recargas!$K$79*'Plan mensual'!G91+parametros_recargas!$L$79*'Plan mensual'!G92+parametros_recargas!$M$79*'Plan mensual'!G94</f>
        <v>274.401120675609</v>
      </c>
      <c r="F69" s="26" t="n">
        <f aca="false">parametros_recargas!$E$79*'Plan mensual'!H85+parametros_recargas!$F$79*'Plan mensual'!H86+parametros_recargas!$G$79*'Plan mensual'!H87+parametros_recargas!$H$79*'Plan mensual'!H88+parametros_recargas!$I$79*'Plan mensual'!H89+parametros_recargas!$J$79*'Plan mensual'!H90+parametros_recargas!$K$79*'Plan mensual'!H91+parametros_recargas!$L$79*'Plan mensual'!H92+parametros_recargas!$M$79*'Plan mensual'!H94</f>
        <v>274.462685092532</v>
      </c>
      <c r="G69" s="26" t="n">
        <f aca="false">parametros_recargas!$E$79*'Plan mensual'!I85+parametros_recargas!$F$79*'Plan mensual'!I86+parametros_recargas!$G$79*'Plan mensual'!I87+parametros_recargas!$H$79*'Plan mensual'!I88+parametros_recargas!$I$79*'Plan mensual'!I89+parametros_recargas!$J$79*'Plan mensual'!I90+parametros_recargas!$K$79*'Plan mensual'!I91+parametros_recargas!$L$79*'Plan mensual'!I92+parametros_recargas!$M$79*'Plan mensual'!I94</f>
        <v>273.902021862121</v>
      </c>
      <c r="H69" s="26" t="n">
        <f aca="false">parametros_recargas!$E$79*'Plan mensual'!J85+parametros_recargas!$F$79*'Plan mensual'!J86+parametros_recargas!$G$79*'Plan mensual'!J87+parametros_recargas!$H$79*'Plan mensual'!J88+parametros_recargas!$I$79*'Plan mensual'!J89+parametros_recargas!$J$79*'Plan mensual'!J90+parametros_recargas!$K$79*'Plan mensual'!J91+parametros_recargas!$L$79*'Plan mensual'!J92+parametros_recargas!$M$79*'Plan mensual'!J94</f>
        <v>275.665504336446</v>
      </c>
      <c r="I69" s="26" t="n">
        <f aca="false">parametros_recargas!$E$79*'Plan mensual'!K85+parametros_recargas!$F$79*'Plan mensual'!K86+parametros_recargas!$G$79*'Plan mensual'!K87+parametros_recargas!$H$79*'Plan mensual'!K88+parametros_recargas!$I$79*'Plan mensual'!K89+parametros_recargas!$J$79*'Plan mensual'!K90+parametros_recargas!$K$79*'Plan mensual'!K91+parametros_recargas!$L$79*'Plan mensual'!K92+parametros_recargas!$M$79*'Plan mensual'!K94</f>
        <v>274.338310735801</v>
      </c>
      <c r="J69" s="26" t="n">
        <f aca="false">parametros_recargas!$E$79*'Plan mensual'!L85+parametros_recargas!$F$79*'Plan mensual'!L86+parametros_recargas!$G$79*'Plan mensual'!L87+parametros_recargas!$H$79*'Plan mensual'!L88+parametros_recargas!$I$79*'Plan mensual'!L89+parametros_recargas!$J$79*'Plan mensual'!L90+parametros_recargas!$K$79*'Plan mensual'!L91+parametros_recargas!$L$79*'Plan mensual'!L92+parametros_recargas!$M$79*'Plan mensual'!L94</f>
        <v>274.54524546667</v>
      </c>
      <c r="K69" s="26" t="n">
        <f aca="false">parametros_recargas!$E$79*'Plan mensual'!M85+parametros_recargas!$F$79*'Plan mensual'!M86+parametros_recargas!$G$79*'Plan mensual'!M87+parametros_recargas!$H$79*'Plan mensual'!M88+parametros_recargas!$I$79*'Plan mensual'!M89+parametros_recargas!$J$79*'Plan mensual'!M90+parametros_recargas!$K$79*'Plan mensual'!M91+parametros_recargas!$L$79*'Plan mensual'!M92+parametros_recargas!$M$79*'Plan mensual'!M94</f>
        <v>273.861097538734</v>
      </c>
      <c r="L69" s="26" t="n">
        <f aca="false">parametros_recargas!$E$79*'Plan mensual'!N85+parametros_recargas!$F$79*'Plan mensual'!N86+parametros_recargas!$G$79*'Plan mensual'!N87+parametros_recargas!$H$79*'Plan mensual'!N88+parametros_recargas!$I$79*'Plan mensual'!N89+parametros_recargas!$J$79*'Plan mensual'!N90+parametros_recargas!$K$79*'Plan mensual'!N91+parametros_recargas!$L$79*'Plan mensual'!N92+parametros_recargas!$M$79*'Plan mensual'!N94</f>
        <v>270.914902118506</v>
      </c>
      <c r="M69" s="26" t="n">
        <f aca="false">parametros_recargas!$E$79*'Plan mensual'!O85+parametros_recargas!$F$79*'Plan mensual'!O86+parametros_recargas!$G$79*'Plan mensual'!O87+parametros_recargas!$H$79*'Plan mensual'!O88+parametros_recargas!$I$79*'Plan mensual'!O89+parametros_recargas!$J$79*'Plan mensual'!O90+parametros_recargas!$K$79*'Plan mensual'!O91+parametros_recargas!$L$79*'Plan mensual'!O92+parametros_recargas!$M$79*'Plan mensual'!O94</f>
        <v>112.725598503741</v>
      </c>
      <c r="N69" s="8" t="n">
        <f aca="false">SUM(B69:M69)</f>
        <v>3019.27006328276</v>
      </c>
      <c r="O69" s="27" t="n">
        <f aca="false">MAX(B69:M69)</f>
        <v>320.500858564033</v>
      </c>
      <c r="P69" s="13" t="n">
        <f aca="false">O69/parametros_recargas!$B$6</f>
        <v>2.13667239042689</v>
      </c>
    </row>
    <row r="70" customFormat="false" ht="15" hidden="false" customHeight="false" outlineLevel="0" collapsed="false">
      <c r="A70" s="10" t="str">
        <f aca="false">parametros_recargas!$B$80</f>
        <v>Descarga BC</v>
      </c>
      <c r="B70" s="26" t="n">
        <f aca="false">parametros_recargas!$E$80*'Plan mensual'!D85+parametros_recargas!$F$80*'Plan mensual'!D86+parametros_recargas!$G$80*'Plan mensual'!D87+parametros_recargas!$H$80*'Plan mensual'!D88+parametros_recargas!$I$80*'Plan mensual'!D89+parametros_recargas!$J$80*'Plan mensual'!D90+parametros_recargas!$K$80*'Plan mensual'!D91+parametros_recargas!$L$80*'Plan mensual'!D92+parametros_recargas!$M$80*'Plan mensual'!D94</f>
        <v>3.98137716084203</v>
      </c>
      <c r="C70" s="26" t="n">
        <f aca="false">parametros_recargas!$E$80*'Plan mensual'!E85+parametros_recargas!$F$80*'Plan mensual'!E86+parametros_recargas!$G$80*'Plan mensual'!E87+parametros_recargas!$H$80*'Plan mensual'!E88+parametros_recargas!$I$80*'Plan mensual'!E89+parametros_recargas!$J$80*'Plan mensual'!E90+parametros_recargas!$K$80*'Plan mensual'!E91+parametros_recargas!$L$80*'Plan mensual'!E92+parametros_recargas!$M$80*'Plan mensual'!E94</f>
        <v>3.98137716084203</v>
      </c>
      <c r="D70" s="26" t="n">
        <f aca="false">parametros_recargas!$E$80*'Plan mensual'!F85+parametros_recargas!$F$80*'Plan mensual'!F86+parametros_recargas!$G$80*'Plan mensual'!F87+parametros_recargas!$H$80*'Plan mensual'!F88+parametros_recargas!$I$80*'Plan mensual'!F89+parametros_recargas!$J$80*'Plan mensual'!F90+parametros_recargas!$K$80*'Plan mensual'!F91+parametros_recargas!$L$80*'Plan mensual'!F92+parametros_recargas!$M$80*'Plan mensual'!F94</f>
        <v>3.98137716084203</v>
      </c>
      <c r="E70" s="26" t="n">
        <f aca="false">parametros_recargas!$E$80*'Plan mensual'!G85+parametros_recargas!$F$80*'Plan mensual'!G86+parametros_recargas!$G$80*'Plan mensual'!G87+parametros_recargas!$H$80*'Plan mensual'!G88+parametros_recargas!$I$80*'Plan mensual'!G89+parametros_recargas!$J$80*'Plan mensual'!G90+parametros_recargas!$K$80*'Plan mensual'!G91+parametros_recargas!$L$80*'Plan mensual'!G92+parametros_recargas!$M$80*'Plan mensual'!G94</f>
        <v>3.98137716084203</v>
      </c>
      <c r="F70" s="26" t="n">
        <f aca="false">parametros_recargas!$E$80*'Plan mensual'!H85+parametros_recargas!$F$80*'Plan mensual'!H86+parametros_recargas!$G$80*'Plan mensual'!H87+parametros_recargas!$H$80*'Plan mensual'!H88+parametros_recargas!$I$80*'Plan mensual'!H89+parametros_recargas!$J$80*'Plan mensual'!H90+parametros_recargas!$K$80*'Plan mensual'!H91+parametros_recargas!$L$80*'Plan mensual'!H92+parametros_recargas!$M$80*'Plan mensual'!H94</f>
        <v>3.98137716084203</v>
      </c>
      <c r="G70" s="26" t="n">
        <f aca="false">parametros_recargas!$E$80*'Plan mensual'!I85+parametros_recargas!$F$80*'Plan mensual'!I86+parametros_recargas!$G$80*'Plan mensual'!I87+parametros_recargas!$H$80*'Plan mensual'!I88+parametros_recargas!$I$80*'Plan mensual'!I89+parametros_recargas!$J$80*'Plan mensual'!I90+parametros_recargas!$K$80*'Plan mensual'!I91+parametros_recargas!$L$80*'Plan mensual'!I92+parametros_recargas!$M$80*'Plan mensual'!I94</f>
        <v>3.98137716084203</v>
      </c>
      <c r="H70" s="26" t="n">
        <f aca="false">parametros_recargas!$E$80*'Plan mensual'!J85+parametros_recargas!$F$80*'Plan mensual'!J86+parametros_recargas!$G$80*'Plan mensual'!J87+parametros_recargas!$H$80*'Plan mensual'!J88+parametros_recargas!$I$80*'Plan mensual'!J89+parametros_recargas!$J$80*'Plan mensual'!J90+parametros_recargas!$K$80*'Plan mensual'!J91+parametros_recargas!$L$80*'Plan mensual'!J92+parametros_recargas!$M$80*'Plan mensual'!J94</f>
        <v>3.98137716084203</v>
      </c>
      <c r="I70" s="26" t="n">
        <f aca="false">parametros_recargas!$E$80*'Plan mensual'!K85+parametros_recargas!$F$80*'Plan mensual'!K86+parametros_recargas!$G$80*'Plan mensual'!K87+parametros_recargas!$H$80*'Plan mensual'!K88+parametros_recargas!$I$80*'Plan mensual'!K89+parametros_recargas!$J$80*'Plan mensual'!K90+parametros_recargas!$K$80*'Plan mensual'!K91+parametros_recargas!$L$80*'Plan mensual'!K92+parametros_recargas!$M$80*'Plan mensual'!K94</f>
        <v>3.98137716084203</v>
      </c>
      <c r="J70" s="26" t="n">
        <f aca="false">parametros_recargas!$E$80*'Plan mensual'!L85+parametros_recargas!$F$80*'Plan mensual'!L86+parametros_recargas!$G$80*'Plan mensual'!L87+parametros_recargas!$H$80*'Plan mensual'!L88+parametros_recargas!$I$80*'Plan mensual'!L89+parametros_recargas!$J$80*'Plan mensual'!L90+parametros_recargas!$K$80*'Plan mensual'!L91+parametros_recargas!$L$80*'Plan mensual'!L92+parametros_recargas!$M$80*'Plan mensual'!L94</f>
        <v>3.98137716084203</v>
      </c>
      <c r="K70" s="26" t="n">
        <f aca="false">parametros_recargas!$E$80*'Plan mensual'!M85+parametros_recargas!$F$80*'Plan mensual'!M86+parametros_recargas!$G$80*'Plan mensual'!M87+parametros_recargas!$H$80*'Plan mensual'!M88+parametros_recargas!$I$80*'Plan mensual'!M89+parametros_recargas!$J$80*'Plan mensual'!M90+parametros_recargas!$K$80*'Plan mensual'!M91+parametros_recargas!$L$80*'Plan mensual'!M92+parametros_recargas!$M$80*'Plan mensual'!M94</f>
        <v>3.98137716084203</v>
      </c>
      <c r="L70" s="26" t="n">
        <f aca="false">parametros_recargas!$E$80*'Plan mensual'!N85+parametros_recargas!$F$80*'Plan mensual'!N86+parametros_recargas!$G$80*'Plan mensual'!N87+parametros_recargas!$H$80*'Plan mensual'!N88+parametros_recargas!$I$80*'Plan mensual'!N89+parametros_recargas!$J$80*'Plan mensual'!N90+parametros_recargas!$K$80*'Plan mensual'!N91+parametros_recargas!$L$80*'Plan mensual'!N92+parametros_recargas!$M$80*'Plan mensual'!N94</f>
        <v>3.98137716084203</v>
      </c>
      <c r="M70" s="26" t="n">
        <f aca="false">parametros_recargas!$E$80*'Plan mensual'!O85+parametros_recargas!$F$80*'Plan mensual'!O86+parametros_recargas!$G$80*'Plan mensual'!O87+parametros_recargas!$H$80*'Plan mensual'!O88+parametros_recargas!$I$80*'Plan mensual'!O89+parametros_recargas!$J$80*'Plan mensual'!O90+parametros_recargas!$K$80*'Plan mensual'!O91+parametros_recargas!$L$80*'Plan mensual'!O92+parametros_recargas!$M$80*'Plan mensual'!O94</f>
        <v>3.98137716084203</v>
      </c>
      <c r="N70" s="8" t="n">
        <f aca="false">SUM(B70:M70)</f>
        <v>47.7765259301043</v>
      </c>
      <c r="O70" s="27" t="n">
        <f aca="false">MAX(B70:M70)</f>
        <v>3.98137716084203</v>
      </c>
      <c r="P70" s="13" t="n">
        <f aca="false">O70/parametros_recargas!$B$6</f>
        <v>0.0265425144056135</v>
      </c>
    </row>
    <row r="71" customFormat="false" ht="15" hidden="false" customHeight="false" outlineLevel="0" collapsed="false">
      <c r="A71" s="10" t="str">
        <f aca="false">parametros_recargas!$B$81</f>
        <v>Descarga de agua / AFFF / sales K</v>
      </c>
      <c r="B71" s="26" t="n">
        <f aca="false">parametros_recargas!$E$81*'Plan mensual'!D85+parametros_recargas!$F$81*'Plan mensual'!D86+parametros_recargas!$G$81*'Plan mensual'!D87+parametros_recargas!$H$81*'Plan mensual'!D88+parametros_recargas!$I$81*'Plan mensual'!D89+parametros_recargas!$J$81*'Plan mensual'!D90+parametros_recargas!$K$81*'Plan mensual'!D91+parametros_recargas!$L$81*'Plan mensual'!D92+parametros_recargas!$M$81*'Plan mensual'!D94</f>
        <v>154.594244058758</v>
      </c>
      <c r="C71" s="26" t="n">
        <f aca="false">parametros_recargas!$E$81*'Plan mensual'!E85+parametros_recargas!$F$81*'Plan mensual'!E86+parametros_recargas!$G$81*'Plan mensual'!E87+parametros_recargas!$H$81*'Plan mensual'!E88+parametros_recargas!$I$81*'Plan mensual'!E89+parametros_recargas!$J$81*'Plan mensual'!E90+parametros_recargas!$K$81*'Plan mensual'!E91+parametros_recargas!$L$81*'Plan mensual'!E92+parametros_recargas!$M$81*'Plan mensual'!E94</f>
        <v>215.569066435552</v>
      </c>
      <c r="D71" s="26" t="n">
        <f aca="false">parametros_recargas!$E$81*'Plan mensual'!F85+parametros_recargas!$F$81*'Plan mensual'!F86+parametros_recargas!$G$81*'Plan mensual'!F87+parametros_recargas!$H$81*'Plan mensual'!F88+parametros_recargas!$I$81*'Plan mensual'!F89+parametros_recargas!$J$81*'Plan mensual'!F90+parametros_recargas!$K$81*'Plan mensual'!F91+parametros_recargas!$L$81*'Plan mensual'!F92+parametros_recargas!$M$81*'Plan mensual'!F94</f>
        <v>154.594244058758</v>
      </c>
      <c r="E71" s="26" t="n">
        <f aca="false">parametros_recargas!$E$81*'Plan mensual'!G85+parametros_recargas!$F$81*'Plan mensual'!G86+parametros_recargas!$G$81*'Plan mensual'!G87+parametros_recargas!$H$81*'Plan mensual'!G88+parametros_recargas!$I$81*'Plan mensual'!G89+parametros_recargas!$J$81*'Plan mensual'!G90+parametros_recargas!$K$81*'Plan mensual'!G91+parametros_recargas!$L$81*'Plan mensual'!G92+parametros_recargas!$M$81*'Plan mensual'!G94</f>
        <v>154.594244058758</v>
      </c>
      <c r="F71" s="26" t="n">
        <f aca="false">parametros_recargas!$E$81*'Plan mensual'!H85+parametros_recargas!$F$81*'Plan mensual'!H86+parametros_recargas!$G$81*'Plan mensual'!H87+parametros_recargas!$H$81*'Plan mensual'!H88+parametros_recargas!$I$81*'Plan mensual'!H89+parametros_recargas!$J$81*'Plan mensual'!H90+parametros_recargas!$K$81*'Plan mensual'!H91+parametros_recargas!$L$81*'Plan mensual'!H92+parametros_recargas!$M$81*'Plan mensual'!H94</f>
        <v>154.594244058758</v>
      </c>
      <c r="G71" s="26" t="n">
        <f aca="false">parametros_recargas!$E$81*'Plan mensual'!I85+parametros_recargas!$F$81*'Plan mensual'!I86+parametros_recargas!$G$81*'Plan mensual'!I87+parametros_recargas!$H$81*'Plan mensual'!I88+parametros_recargas!$I$81*'Plan mensual'!I89+parametros_recargas!$J$81*'Plan mensual'!I90+parametros_recargas!$K$81*'Plan mensual'!I91+parametros_recargas!$L$81*'Plan mensual'!I92+parametros_recargas!$M$81*'Plan mensual'!I94</f>
        <v>154.594244058758</v>
      </c>
      <c r="H71" s="26" t="n">
        <f aca="false">parametros_recargas!$E$81*'Plan mensual'!J85+parametros_recargas!$F$81*'Plan mensual'!J86+parametros_recargas!$G$81*'Plan mensual'!J87+parametros_recargas!$H$81*'Plan mensual'!J88+parametros_recargas!$I$81*'Plan mensual'!J89+parametros_recargas!$J$81*'Plan mensual'!J90+parametros_recargas!$K$81*'Plan mensual'!J91+parametros_recargas!$L$81*'Plan mensual'!J92+parametros_recargas!$M$81*'Plan mensual'!J94</f>
        <v>154.594244058758</v>
      </c>
      <c r="I71" s="26" t="n">
        <f aca="false">parametros_recargas!$E$81*'Plan mensual'!K85+parametros_recargas!$F$81*'Plan mensual'!K86+parametros_recargas!$G$81*'Plan mensual'!K87+parametros_recargas!$H$81*'Plan mensual'!K88+parametros_recargas!$I$81*'Plan mensual'!K89+parametros_recargas!$J$81*'Plan mensual'!K90+parametros_recargas!$K$81*'Plan mensual'!K91+parametros_recargas!$L$81*'Plan mensual'!K92+parametros_recargas!$M$81*'Plan mensual'!K94</f>
        <v>154.594244058758</v>
      </c>
      <c r="J71" s="26" t="n">
        <f aca="false">parametros_recargas!$E$81*'Plan mensual'!L85+parametros_recargas!$F$81*'Plan mensual'!L86+parametros_recargas!$G$81*'Plan mensual'!L87+parametros_recargas!$H$81*'Plan mensual'!L88+parametros_recargas!$I$81*'Plan mensual'!L89+parametros_recargas!$J$81*'Plan mensual'!L90+parametros_recargas!$K$81*'Plan mensual'!L91+parametros_recargas!$L$81*'Plan mensual'!L92+parametros_recargas!$M$81*'Plan mensual'!L94</f>
        <v>154.594244058758</v>
      </c>
      <c r="K71" s="26" t="n">
        <f aca="false">parametros_recargas!$E$81*'Plan mensual'!M85+parametros_recargas!$F$81*'Plan mensual'!M86+parametros_recargas!$G$81*'Plan mensual'!M87+parametros_recargas!$H$81*'Plan mensual'!M88+parametros_recargas!$I$81*'Plan mensual'!M89+parametros_recargas!$J$81*'Plan mensual'!M90+parametros_recargas!$K$81*'Plan mensual'!M91+parametros_recargas!$L$81*'Plan mensual'!M92+parametros_recargas!$M$81*'Plan mensual'!M94</f>
        <v>154.594244058758</v>
      </c>
      <c r="L71" s="26" t="n">
        <f aca="false">parametros_recargas!$E$81*'Plan mensual'!N85+parametros_recargas!$F$81*'Plan mensual'!N86+parametros_recargas!$G$81*'Plan mensual'!N87+parametros_recargas!$H$81*'Plan mensual'!N88+parametros_recargas!$I$81*'Plan mensual'!N89+parametros_recargas!$J$81*'Plan mensual'!N90+parametros_recargas!$K$81*'Plan mensual'!N91+parametros_recargas!$L$81*'Plan mensual'!N92+parametros_recargas!$M$81*'Plan mensual'!N94</f>
        <v>154.594244058758</v>
      </c>
      <c r="M71" s="26" t="n">
        <f aca="false">parametros_recargas!$E$81*'Plan mensual'!O85+parametros_recargas!$F$81*'Plan mensual'!O86+parametros_recargas!$G$81*'Plan mensual'!O87+parametros_recargas!$H$81*'Plan mensual'!O88+parametros_recargas!$I$81*'Plan mensual'!O89+parametros_recargas!$J$81*'Plan mensual'!O90+parametros_recargas!$K$81*'Plan mensual'!O91+parametros_recargas!$L$81*'Plan mensual'!O92+parametros_recargas!$M$81*'Plan mensual'!O94</f>
        <v>154.594244058758</v>
      </c>
      <c r="N71" s="8" t="n">
        <f aca="false">SUM(B71:M71)</f>
        <v>1916.10575108189</v>
      </c>
      <c r="O71" s="27" t="n">
        <f aca="false">MAX(B71:M71)</f>
        <v>215.569066435552</v>
      </c>
      <c r="P71" s="13" t="n">
        <f aca="false">O71/parametros_recargas!$B$6</f>
        <v>1.43712710957035</v>
      </c>
    </row>
    <row r="72" customFormat="false" ht="15" hidden="false" customHeight="false" outlineLevel="0" collapsed="false">
      <c r="A72" s="10" t="str">
        <f aca="false">parametros_recargas!$B$82</f>
        <v>Recuperación de CO₂</v>
      </c>
      <c r="B72" s="26" t="n">
        <f aca="false">parametros_recargas!$E$82*'Plan mensual'!D85+parametros_recargas!$F$82*'Plan mensual'!D86+parametros_recargas!$G$82*'Plan mensual'!D87+parametros_recargas!$H$82*'Plan mensual'!D88+parametros_recargas!$I$82*'Plan mensual'!D89+parametros_recargas!$J$82*'Plan mensual'!D90+parametros_recargas!$K$82*'Plan mensual'!D91+parametros_recargas!$L$82*'Plan mensual'!D92+parametros_recargas!$M$82*'Plan mensual'!D94</f>
        <v>71.2739765102927</v>
      </c>
      <c r="C72" s="26" t="n">
        <f aca="false">parametros_recargas!$E$82*'Plan mensual'!E85+parametros_recargas!$F$82*'Plan mensual'!E86+parametros_recargas!$G$82*'Plan mensual'!E87+parametros_recargas!$H$82*'Plan mensual'!E88+parametros_recargas!$I$82*'Plan mensual'!E89+parametros_recargas!$J$82*'Plan mensual'!E90+parametros_recargas!$K$82*'Plan mensual'!E91+parametros_recargas!$L$82*'Plan mensual'!E92+parametros_recargas!$M$82*'Plan mensual'!E94</f>
        <v>111.500327798781</v>
      </c>
      <c r="D72" s="26" t="n">
        <f aca="false">parametros_recargas!$E$82*'Plan mensual'!F85+parametros_recargas!$F$82*'Plan mensual'!F86+parametros_recargas!$G$82*'Plan mensual'!F87+parametros_recargas!$H$82*'Plan mensual'!F88+parametros_recargas!$I$82*'Plan mensual'!F89+parametros_recargas!$J$82*'Plan mensual'!F90+parametros_recargas!$K$82*'Plan mensual'!F91+parametros_recargas!$L$82*'Plan mensual'!F92+parametros_recargas!$M$82*'Plan mensual'!F94</f>
        <v>71.2739765102927</v>
      </c>
      <c r="E72" s="26" t="n">
        <f aca="false">parametros_recargas!$E$82*'Plan mensual'!G85+parametros_recargas!$F$82*'Plan mensual'!G86+parametros_recargas!$G$82*'Plan mensual'!G87+parametros_recargas!$H$82*'Plan mensual'!G88+parametros_recargas!$I$82*'Plan mensual'!G89+parametros_recargas!$J$82*'Plan mensual'!G90+parametros_recargas!$K$82*'Plan mensual'!G91+parametros_recargas!$L$82*'Plan mensual'!G92+parametros_recargas!$M$82*'Plan mensual'!G94</f>
        <v>71.2739765102927</v>
      </c>
      <c r="F72" s="26" t="n">
        <f aca="false">parametros_recargas!$E$82*'Plan mensual'!H85+parametros_recargas!$F$82*'Plan mensual'!H86+parametros_recargas!$G$82*'Plan mensual'!H87+parametros_recargas!$H$82*'Plan mensual'!H88+parametros_recargas!$I$82*'Plan mensual'!H89+parametros_recargas!$J$82*'Plan mensual'!H90+parametros_recargas!$K$82*'Plan mensual'!H91+parametros_recargas!$L$82*'Plan mensual'!H92+parametros_recargas!$M$82*'Plan mensual'!H94</f>
        <v>71.2739765102927</v>
      </c>
      <c r="G72" s="26" t="n">
        <f aca="false">parametros_recargas!$E$82*'Plan mensual'!I85+parametros_recargas!$F$82*'Plan mensual'!I86+parametros_recargas!$G$82*'Plan mensual'!I87+parametros_recargas!$H$82*'Plan mensual'!I88+parametros_recargas!$I$82*'Plan mensual'!I89+parametros_recargas!$J$82*'Plan mensual'!I90+parametros_recargas!$K$82*'Plan mensual'!I91+parametros_recargas!$L$82*'Plan mensual'!I92+parametros_recargas!$M$82*'Plan mensual'!I94</f>
        <v>71.2739765102927</v>
      </c>
      <c r="H72" s="26" t="n">
        <f aca="false">parametros_recargas!$E$82*'Plan mensual'!J85+parametros_recargas!$F$82*'Plan mensual'!J86+parametros_recargas!$G$82*'Plan mensual'!J87+parametros_recargas!$H$82*'Plan mensual'!J88+parametros_recargas!$I$82*'Plan mensual'!J89+parametros_recargas!$J$82*'Plan mensual'!J90+parametros_recargas!$K$82*'Plan mensual'!J91+parametros_recargas!$L$82*'Plan mensual'!J92+parametros_recargas!$M$82*'Plan mensual'!J94</f>
        <v>71.2739765102927</v>
      </c>
      <c r="I72" s="26" t="n">
        <f aca="false">parametros_recargas!$E$82*'Plan mensual'!K85+parametros_recargas!$F$82*'Plan mensual'!K86+parametros_recargas!$G$82*'Plan mensual'!K87+parametros_recargas!$H$82*'Plan mensual'!K88+parametros_recargas!$I$82*'Plan mensual'!K89+parametros_recargas!$J$82*'Plan mensual'!K90+parametros_recargas!$K$82*'Plan mensual'!K91+parametros_recargas!$L$82*'Plan mensual'!K92+parametros_recargas!$M$82*'Plan mensual'!K94</f>
        <v>71.2739765102927</v>
      </c>
      <c r="J72" s="26" t="n">
        <f aca="false">parametros_recargas!$E$82*'Plan mensual'!L85+parametros_recargas!$F$82*'Plan mensual'!L86+parametros_recargas!$G$82*'Plan mensual'!L87+parametros_recargas!$H$82*'Plan mensual'!L88+parametros_recargas!$I$82*'Plan mensual'!L89+parametros_recargas!$J$82*'Plan mensual'!L90+parametros_recargas!$K$82*'Plan mensual'!L91+parametros_recargas!$L$82*'Plan mensual'!L92+parametros_recargas!$M$82*'Plan mensual'!L94</f>
        <v>71.2739765102927</v>
      </c>
      <c r="K72" s="26" t="n">
        <f aca="false">parametros_recargas!$E$82*'Plan mensual'!M85+parametros_recargas!$F$82*'Plan mensual'!M86+parametros_recargas!$G$82*'Plan mensual'!M87+parametros_recargas!$H$82*'Plan mensual'!M88+parametros_recargas!$I$82*'Plan mensual'!M89+parametros_recargas!$J$82*'Plan mensual'!M90+parametros_recargas!$K$82*'Plan mensual'!M91+parametros_recargas!$L$82*'Plan mensual'!M92+parametros_recargas!$M$82*'Plan mensual'!M94</f>
        <v>71.2739765102927</v>
      </c>
      <c r="L72" s="26" t="n">
        <f aca="false">parametros_recargas!$E$82*'Plan mensual'!N85+parametros_recargas!$F$82*'Plan mensual'!N86+parametros_recargas!$G$82*'Plan mensual'!N87+parametros_recargas!$H$82*'Plan mensual'!N88+parametros_recargas!$I$82*'Plan mensual'!N89+parametros_recargas!$J$82*'Plan mensual'!N90+parametros_recargas!$K$82*'Plan mensual'!N91+parametros_recargas!$L$82*'Plan mensual'!N92+parametros_recargas!$M$82*'Plan mensual'!N94</f>
        <v>71.2739765102927</v>
      </c>
      <c r="M72" s="26" t="n">
        <f aca="false">parametros_recargas!$E$82*'Plan mensual'!O85+parametros_recargas!$F$82*'Plan mensual'!O86+parametros_recargas!$G$82*'Plan mensual'!O87+parametros_recargas!$H$82*'Plan mensual'!O88+parametros_recargas!$I$82*'Plan mensual'!O89+parametros_recargas!$J$82*'Plan mensual'!O90+parametros_recargas!$K$82*'Plan mensual'!O91+parametros_recargas!$L$82*'Plan mensual'!O92+parametros_recargas!$M$82*'Plan mensual'!O94</f>
        <v>71.2739765102927</v>
      </c>
      <c r="N72" s="8" t="n">
        <f aca="false">SUM(B72:M72)</f>
        <v>895.514069412001</v>
      </c>
      <c r="O72" s="27" t="n">
        <f aca="false">MAX(B72:M72)</f>
        <v>111.500327798781</v>
      </c>
      <c r="P72" s="13" t="n">
        <f aca="false">O72/parametros_recargas!$B$6</f>
        <v>0.743335518658539</v>
      </c>
    </row>
    <row r="73" customFormat="false" ht="15" hidden="false" customHeight="false" outlineLevel="0" collapsed="false">
      <c r="A73" s="10" t="str">
        <f aca="false">parametros_recargas!$B$83</f>
        <v>Recuperación de halogenado</v>
      </c>
      <c r="B73" s="26" t="n">
        <f aca="false">parametros_recargas!$E$83*'Plan mensual'!D85+parametros_recargas!$F$83*'Plan mensual'!D86+parametros_recargas!$G$83*'Plan mensual'!D87+parametros_recargas!$H$83*'Plan mensual'!D88+parametros_recargas!$I$83*'Plan mensual'!D89+parametros_recargas!$J$83*'Plan mensual'!D90+parametros_recargas!$K$83*'Plan mensual'!D91+parametros_recargas!$L$83*'Plan mensual'!D92+parametros_recargas!$M$83*'Plan mensual'!D94</f>
        <v>3.79204940739712</v>
      </c>
      <c r="C73" s="26" t="n">
        <f aca="false">parametros_recargas!$E$83*'Plan mensual'!E85+parametros_recargas!$F$83*'Plan mensual'!E86+parametros_recargas!$G$83*'Plan mensual'!E87+parametros_recargas!$H$83*'Plan mensual'!E88+parametros_recargas!$I$83*'Plan mensual'!E89+parametros_recargas!$J$83*'Plan mensual'!E90+parametros_recargas!$K$83*'Plan mensual'!E91+parametros_recargas!$L$83*'Plan mensual'!E92+parametros_recargas!$M$83*'Plan mensual'!E94</f>
        <v>3.79204940739712</v>
      </c>
      <c r="D73" s="26" t="n">
        <f aca="false">parametros_recargas!$E$83*'Plan mensual'!F85+parametros_recargas!$F$83*'Plan mensual'!F86+parametros_recargas!$G$83*'Plan mensual'!F87+parametros_recargas!$H$83*'Plan mensual'!F88+parametros_recargas!$I$83*'Plan mensual'!F89+parametros_recargas!$J$83*'Plan mensual'!F90+parametros_recargas!$K$83*'Plan mensual'!F91+parametros_recargas!$L$83*'Plan mensual'!F92+parametros_recargas!$M$83*'Plan mensual'!F94</f>
        <v>3.79204940739712</v>
      </c>
      <c r="E73" s="26" t="n">
        <f aca="false">parametros_recargas!$E$83*'Plan mensual'!G85+parametros_recargas!$F$83*'Plan mensual'!G86+parametros_recargas!$G$83*'Plan mensual'!G87+parametros_recargas!$H$83*'Plan mensual'!G88+parametros_recargas!$I$83*'Plan mensual'!G89+parametros_recargas!$J$83*'Plan mensual'!G90+parametros_recargas!$K$83*'Plan mensual'!G91+parametros_recargas!$L$83*'Plan mensual'!G92+parametros_recargas!$M$83*'Plan mensual'!G94</f>
        <v>3.79204940739712</v>
      </c>
      <c r="F73" s="26" t="n">
        <f aca="false">parametros_recargas!$E$83*'Plan mensual'!H85+parametros_recargas!$F$83*'Plan mensual'!H86+parametros_recargas!$G$83*'Plan mensual'!H87+parametros_recargas!$H$83*'Plan mensual'!H88+parametros_recargas!$I$83*'Plan mensual'!H89+parametros_recargas!$J$83*'Plan mensual'!H90+parametros_recargas!$K$83*'Plan mensual'!H91+parametros_recargas!$L$83*'Plan mensual'!H92+parametros_recargas!$M$83*'Plan mensual'!H94</f>
        <v>3.79204940739712</v>
      </c>
      <c r="G73" s="26" t="n">
        <f aca="false">parametros_recargas!$E$83*'Plan mensual'!I85+parametros_recargas!$F$83*'Plan mensual'!I86+parametros_recargas!$G$83*'Plan mensual'!I87+parametros_recargas!$H$83*'Plan mensual'!I88+parametros_recargas!$I$83*'Plan mensual'!I89+parametros_recargas!$J$83*'Plan mensual'!I90+parametros_recargas!$K$83*'Plan mensual'!I91+parametros_recargas!$L$83*'Plan mensual'!I92+parametros_recargas!$M$83*'Plan mensual'!I94</f>
        <v>3.79204940739712</v>
      </c>
      <c r="H73" s="26" t="n">
        <f aca="false">parametros_recargas!$E$83*'Plan mensual'!J85+parametros_recargas!$F$83*'Plan mensual'!J86+parametros_recargas!$G$83*'Plan mensual'!J87+parametros_recargas!$H$83*'Plan mensual'!J88+parametros_recargas!$I$83*'Plan mensual'!J89+parametros_recargas!$J$83*'Plan mensual'!J90+parametros_recargas!$K$83*'Plan mensual'!J91+parametros_recargas!$L$83*'Plan mensual'!J92+parametros_recargas!$M$83*'Plan mensual'!J94</f>
        <v>3.79204940739712</v>
      </c>
      <c r="I73" s="26" t="n">
        <f aca="false">parametros_recargas!$E$83*'Plan mensual'!K85+parametros_recargas!$F$83*'Plan mensual'!K86+parametros_recargas!$G$83*'Plan mensual'!K87+parametros_recargas!$H$83*'Plan mensual'!K88+parametros_recargas!$I$83*'Plan mensual'!K89+parametros_recargas!$J$83*'Plan mensual'!K90+parametros_recargas!$K$83*'Plan mensual'!K91+parametros_recargas!$L$83*'Plan mensual'!K92+parametros_recargas!$M$83*'Plan mensual'!K94</f>
        <v>3.79204940739712</v>
      </c>
      <c r="J73" s="26" t="n">
        <f aca="false">parametros_recargas!$E$83*'Plan mensual'!L85+parametros_recargas!$F$83*'Plan mensual'!L86+parametros_recargas!$G$83*'Plan mensual'!L87+parametros_recargas!$H$83*'Plan mensual'!L88+parametros_recargas!$I$83*'Plan mensual'!L89+parametros_recargas!$J$83*'Plan mensual'!L90+parametros_recargas!$K$83*'Plan mensual'!L91+parametros_recargas!$L$83*'Plan mensual'!L92+parametros_recargas!$M$83*'Plan mensual'!L94</f>
        <v>3.79204940739712</v>
      </c>
      <c r="K73" s="26" t="n">
        <f aca="false">parametros_recargas!$E$83*'Plan mensual'!M85+parametros_recargas!$F$83*'Plan mensual'!M86+parametros_recargas!$G$83*'Plan mensual'!M87+parametros_recargas!$H$83*'Plan mensual'!M88+parametros_recargas!$I$83*'Plan mensual'!M89+parametros_recargas!$J$83*'Plan mensual'!M90+parametros_recargas!$K$83*'Plan mensual'!M91+parametros_recargas!$L$83*'Plan mensual'!M92+parametros_recargas!$M$83*'Plan mensual'!M94</f>
        <v>3.79204940739712</v>
      </c>
      <c r="L73" s="26" t="n">
        <f aca="false">parametros_recargas!$E$83*'Plan mensual'!N85+parametros_recargas!$F$83*'Plan mensual'!N86+parametros_recargas!$G$83*'Plan mensual'!N87+parametros_recargas!$H$83*'Plan mensual'!N88+parametros_recargas!$I$83*'Plan mensual'!N89+parametros_recargas!$J$83*'Plan mensual'!N90+parametros_recargas!$K$83*'Plan mensual'!N91+parametros_recargas!$L$83*'Plan mensual'!N92+parametros_recargas!$M$83*'Plan mensual'!N94</f>
        <v>3.79204940739712</v>
      </c>
      <c r="M73" s="26" t="n">
        <f aca="false">parametros_recargas!$E$83*'Plan mensual'!O85+parametros_recargas!$F$83*'Plan mensual'!O86+parametros_recargas!$G$83*'Plan mensual'!O87+parametros_recargas!$H$83*'Plan mensual'!O88+parametros_recargas!$I$83*'Plan mensual'!O89+parametros_recargas!$J$83*'Plan mensual'!O90+parametros_recargas!$K$83*'Plan mensual'!O91+parametros_recargas!$L$83*'Plan mensual'!O92+parametros_recargas!$M$83*'Plan mensual'!O94</f>
        <v>3.79204940739712</v>
      </c>
      <c r="N73" s="8" t="n">
        <f aca="false">SUM(B73:M73)</f>
        <v>45.5045928887655</v>
      </c>
      <c r="O73" s="27" t="n">
        <f aca="false">MAX(B73:M73)</f>
        <v>3.79204940739712</v>
      </c>
      <c r="P73" s="13" t="n">
        <f aca="false">O73/parametros_recargas!$B$6</f>
        <v>0.0252803293826475</v>
      </c>
    </row>
    <row r="74" customFormat="false" ht="15" hidden="false" customHeight="false" outlineLevel="0" collapsed="false">
      <c r="A74" s="10" t="str">
        <f aca="false">parametros_recargas!$B$84</f>
        <v>Desarme y limpieza — recinto</v>
      </c>
      <c r="B74" s="26" t="n">
        <f aca="false">parametros_recargas!$E$84*'Plan mensual'!D85+parametros_recargas!$F$84*'Plan mensual'!D86+parametros_recargas!$G$84*'Plan mensual'!D87+parametros_recargas!$H$84*'Plan mensual'!D88+parametros_recargas!$I$84*'Plan mensual'!D89+parametros_recargas!$J$84*'Plan mensual'!D90+parametros_recargas!$K$84*'Plan mensual'!D91+parametros_recargas!$L$84*'Plan mensual'!D92+parametros_recargas!$M$84*'Plan mensual'!D94</f>
        <v>1279.23374090581</v>
      </c>
      <c r="C74" s="26" t="n">
        <f aca="false">parametros_recargas!$E$84*'Plan mensual'!E85+parametros_recargas!$F$84*'Plan mensual'!E86+parametros_recargas!$G$84*'Plan mensual'!E87+parametros_recargas!$H$84*'Plan mensual'!E88+parametros_recargas!$I$84*'Plan mensual'!E89+parametros_recargas!$J$84*'Plan mensual'!E90+parametros_recargas!$K$84*'Plan mensual'!E91+parametros_recargas!$L$84*'Plan mensual'!E92+parametros_recargas!$M$84*'Plan mensual'!E94</f>
        <v>3382.07509469686</v>
      </c>
      <c r="D74" s="26" t="n">
        <f aca="false">parametros_recargas!$E$84*'Plan mensual'!F85+parametros_recargas!$F$84*'Plan mensual'!F86+parametros_recargas!$G$84*'Plan mensual'!F87+parametros_recargas!$H$84*'Plan mensual'!F88+parametros_recargas!$I$84*'Plan mensual'!F89+parametros_recargas!$J$84*'Plan mensual'!F90+parametros_recargas!$K$84*'Plan mensual'!F91+parametros_recargas!$L$84*'Plan mensual'!F92+parametros_recargas!$M$84*'Plan mensual'!F94</f>
        <v>2884.40067228264</v>
      </c>
      <c r="E74" s="26" t="n">
        <f aca="false">parametros_recargas!$E$84*'Plan mensual'!G85+parametros_recargas!$F$84*'Plan mensual'!G86+parametros_recargas!$G$84*'Plan mensual'!G87+parametros_recargas!$H$84*'Plan mensual'!G88+parametros_recargas!$I$84*'Plan mensual'!G89+parametros_recargas!$J$84*'Plan mensual'!G90+parametros_recargas!$K$84*'Plan mensual'!G91+parametros_recargas!$L$84*'Plan mensual'!G92+parametros_recargas!$M$84*'Plan mensual'!G94</f>
        <v>2896.81469587135</v>
      </c>
      <c r="F74" s="26" t="n">
        <f aca="false">parametros_recargas!$E$84*'Plan mensual'!H85+parametros_recargas!$F$84*'Plan mensual'!H86+parametros_recargas!$G$84*'Plan mensual'!H87+parametros_recargas!$H$84*'Plan mensual'!H88+parametros_recargas!$I$84*'Plan mensual'!H89+parametros_recargas!$J$84*'Plan mensual'!H90+parametros_recargas!$K$84*'Plan mensual'!H91+parametros_recargas!$L$84*'Plan mensual'!H92+parametros_recargas!$M$84*'Plan mensual'!H94</f>
        <v>2897.46274236526</v>
      </c>
      <c r="G74" s="26" t="n">
        <f aca="false">parametros_recargas!$E$84*'Plan mensual'!I85+parametros_recargas!$F$84*'Plan mensual'!I86+parametros_recargas!$G$84*'Plan mensual'!I87+parametros_recargas!$H$84*'Plan mensual'!I88+parametros_recargas!$I$84*'Plan mensual'!I89+parametros_recargas!$J$84*'Plan mensual'!I90+parametros_recargas!$K$84*'Plan mensual'!I91+parametros_recargas!$L$84*'Plan mensual'!I92+parametros_recargas!$M$84*'Plan mensual'!I94</f>
        <v>2891.56102415042</v>
      </c>
      <c r="H74" s="26" t="n">
        <f aca="false">parametros_recargas!$E$84*'Plan mensual'!J85+parametros_recargas!$F$84*'Plan mensual'!J86+parametros_recargas!$G$84*'Plan mensual'!J87+parametros_recargas!$H$84*'Plan mensual'!J88+parametros_recargas!$I$84*'Plan mensual'!J89+parametros_recargas!$J$84*'Plan mensual'!J90+parametros_recargas!$K$84*'Plan mensual'!J91+parametros_recargas!$L$84*'Plan mensual'!J92+parametros_recargas!$M$84*'Plan mensual'!J94</f>
        <v>2910.12399756436</v>
      </c>
      <c r="I74" s="26" t="n">
        <f aca="false">parametros_recargas!$E$84*'Plan mensual'!K85+parametros_recargas!$F$84*'Plan mensual'!K86+parametros_recargas!$G$84*'Plan mensual'!K87+parametros_recargas!$H$84*'Plan mensual'!K88+parametros_recargas!$I$84*'Plan mensual'!K89+parametros_recargas!$J$84*'Plan mensual'!K90+parametros_recargas!$K$84*'Plan mensual'!K91+parametros_recargas!$L$84*'Plan mensual'!K92+parametros_recargas!$M$84*'Plan mensual'!K94</f>
        <v>2896.15353861021</v>
      </c>
      <c r="J74" s="26" t="n">
        <f aca="false">parametros_recargas!$E$84*'Plan mensual'!L85+parametros_recargas!$F$84*'Plan mensual'!L86+parametros_recargas!$G$84*'Plan mensual'!L87+parametros_recargas!$H$84*'Plan mensual'!L88+parametros_recargas!$I$84*'Plan mensual'!L89+parametros_recargas!$J$84*'Plan mensual'!L90+parametros_recargas!$K$84*'Plan mensual'!L91+parametros_recargas!$L$84*'Plan mensual'!L92+parametros_recargas!$M$84*'Plan mensual'!L94</f>
        <v>2898.33179893514</v>
      </c>
      <c r="K74" s="26" t="n">
        <f aca="false">parametros_recargas!$E$84*'Plan mensual'!M85+parametros_recargas!$F$84*'Plan mensual'!M86+parametros_recargas!$G$84*'Plan mensual'!M87+parametros_recargas!$H$84*'Plan mensual'!M88+parametros_recargas!$I$84*'Plan mensual'!M89+parametros_recargas!$J$84*'Plan mensual'!M90+parametros_recargas!$K$84*'Plan mensual'!M91+parametros_recargas!$L$84*'Plan mensual'!M92+parametros_recargas!$M$84*'Plan mensual'!M94</f>
        <v>2891.13024179897</v>
      </c>
      <c r="L74" s="26" t="n">
        <f aca="false">parametros_recargas!$E$84*'Plan mensual'!N85+parametros_recargas!$F$84*'Plan mensual'!N86+parametros_recargas!$G$84*'Plan mensual'!N87+parametros_recargas!$H$84*'Plan mensual'!N88+parametros_recargas!$I$84*'Plan mensual'!N89+parametros_recargas!$J$84*'Plan mensual'!N90+parametros_recargas!$K$84*'Plan mensual'!N91+parametros_recargas!$L$84*'Plan mensual'!N92+parametros_recargas!$M$84*'Plan mensual'!N94</f>
        <v>2860.11765842816</v>
      </c>
      <c r="M74" s="26" t="n">
        <f aca="false">parametros_recargas!$E$84*'Plan mensual'!O85+parametros_recargas!$F$84*'Plan mensual'!O86+parametros_recargas!$G$84*'Plan mensual'!O87+parametros_recargas!$H$84*'Plan mensual'!O88+parametros_recargas!$I$84*'Plan mensual'!O89+parametros_recargas!$J$84*'Plan mensual'!O90+parametros_recargas!$K$84*'Plan mensual'!O91+parametros_recargas!$L$84*'Plan mensual'!O92+parametros_recargas!$M$84*'Plan mensual'!O94</f>
        <v>1194.96709406221</v>
      </c>
      <c r="N74" s="8" t="n">
        <f aca="false">SUM(B74:M74)</f>
        <v>31882.3722996714</v>
      </c>
      <c r="O74" s="27" t="n">
        <f aca="false">MAX(B74:M74)</f>
        <v>3382.07509469686</v>
      </c>
      <c r="P74" s="13" t="n">
        <f aca="false">O74/parametros_recargas!$B$6</f>
        <v>22.547167297979</v>
      </c>
    </row>
    <row r="75" customFormat="false" ht="15" hidden="false" customHeight="false" outlineLevel="0" collapsed="false">
      <c r="A75" s="10" t="str">
        <f aca="false">parametros_recargas!$B$85</f>
        <v>Desarme e inspección interior — zona general</v>
      </c>
      <c r="B75" s="26" t="n">
        <f aca="false">parametros_recargas!$E$85*'Plan mensual'!D85+parametros_recargas!$F$85*'Plan mensual'!D86+parametros_recargas!$G$85*'Plan mensual'!D87+parametros_recargas!$H$85*'Plan mensual'!D88+parametros_recargas!$I$85*'Plan mensual'!D89+parametros_recargas!$J$85*'Plan mensual'!D90+parametros_recargas!$K$85*'Plan mensual'!D91+parametros_recargas!$L$85*'Plan mensual'!D92+parametros_recargas!$M$85*'Plan mensual'!D94</f>
        <v>237.796809137435</v>
      </c>
      <c r="C75" s="26" t="n">
        <f aca="false">parametros_recargas!$E$85*'Plan mensual'!E85+parametros_recargas!$F$85*'Plan mensual'!E86+parametros_recargas!$G$85*'Plan mensual'!E87+parametros_recargas!$H$85*'Plan mensual'!E88+parametros_recargas!$I$85*'Plan mensual'!E89+parametros_recargas!$J$85*'Plan mensual'!E90+parametros_recargas!$K$85*'Plan mensual'!E91+parametros_recargas!$L$85*'Plan mensual'!E92+parametros_recargas!$M$85*'Plan mensual'!E94</f>
        <v>342.207183980444</v>
      </c>
      <c r="D75" s="26" t="n">
        <f aca="false">parametros_recargas!$E$85*'Plan mensual'!F85+parametros_recargas!$F$85*'Plan mensual'!F86+parametros_recargas!$G$85*'Plan mensual'!F87+parametros_recargas!$H$85*'Plan mensual'!F88+parametros_recargas!$I$85*'Plan mensual'!F89+parametros_recargas!$J$85*'Plan mensual'!F90+parametros_recargas!$K$85*'Plan mensual'!F91+parametros_recargas!$L$85*'Plan mensual'!F92+parametros_recargas!$M$85*'Plan mensual'!F94</f>
        <v>237.796809137435</v>
      </c>
      <c r="E75" s="26" t="n">
        <f aca="false">parametros_recargas!$E$85*'Plan mensual'!G85+parametros_recargas!$F$85*'Plan mensual'!G86+parametros_recargas!$G$85*'Plan mensual'!G87+parametros_recargas!$H$85*'Plan mensual'!G88+parametros_recargas!$I$85*'Plan mensual'!G89+parametros_recargas!$J$85*'Plan mensual'!G90+parametros_recargas!$K$85*'Plan mensual'!G91+parametros_recargas!$L$85*'Plan mensual'!G92+parametros_recargas!$M$85*'Plan mensual'!G94</f>
        <v>237.796809137435</v>
      </c>
      <c r="F75" s="26" t="n">
        <f aca="false">parametros_recargas!$E$85*'Plan mensual'!H85+parametros_recargas!$F$85*'Plan mensual'!H86+parametros_recargas!$G$85*'Plan mensual'!H87+parametros_recargas!$H$85*'Plan mensual'!H88+parametros_recargas!$I$85*'Plan mensual'!H89+parametros_recargas!$J$85*'Plan mensual'!H90+parametros_recargas!$K$85*'Plan mensual'!H91+parametros_recargas!$L$85*'Plan mensual'!H92+parametros_recargas!$M$85*'Plan mensual'!H94</f>
        <v>237.796809137435</v>
      </c>
      <c r="G75" s="26" t="n">
        <f aca="false">parametros_recargas!$E$85*'Plan mensual'!I85+parametros_recargas!$F$85*'Plan mensual'!I86+parametros_recargas!$G$85*'Plan mensual'!I87+parametros_recargas!$H$85*'Plan mensual'!I88+parametros_recargas!$I$85*'Plan mensual'!I89+parametros_recargas!$J$85*'Plan mensual'!I90+parametros_recargas!$K$85*'Plan mensual'!I91+parametros_recargas!$L$85*'Plan mensual'!I92+parametros_recargas!$M$85*'Plan mensual'!I94</f>
        <v>237.796809137435</v>
      </c>
      <c r="H75" s="26" t="n">
        <f aca="false">parametros_recargas!$E$85*'Plan mensual'!J85+parametros_recargas!$F$85*'Plan mensual'!J86+parametros_recargas!$G$85*'Plan mensual'!J87+parametros_recargas!$H$85*'Plan mensual'!J88+parametros_recargas!$I$85*'Plan mensual'!J89+parametros_recargas!$J$85*'Plan mensual'!J90+parametros_recargas!$K$85*'Plan mensual'!J91+parametros_recargas!$L$85*'Plan mensual'!J92+parametros_recargas!$M$85*'Plan mensual'!J94</f>
        <v>237.796809137435</v>
      </c>
      <c r="I75" s="26" t="n">
        <f aca="false">parametros_recargas!$E$85*'Plan mensual'!K85+parametros_recargas!$F$85*'Plan mensual'!K86+parametros_recargas!$G$85*'Plan mensual'!K87+parametros_recargas!$H$85*'Plan mensual'!K88+parametros_recargas!$I$85*'Plan mensual'!K89+parametros_recargas!$J$85*'Plan mensual'!K90+parametros_recargas!$K$85*'Plan mensual'!K91+parametros_recargas!$L$85*'Plan mensual'!K92+parametros_recargas!$M$85*'Plan mensual'!K94</f>
        <v>237.796809137435</v>
      </c>
      <c r="J75" s="26" t="n">
        <f aca="false">parametros_recargas!$E$85*'Plan mensual'!L85+parametros_recargas!$F$85*'Plan mensual'!L86+parametros_recargas!$G$85*'Plan mensual'!L87+parametros_recargas!$H$85*'Plan mensual'!L88+parametros_recargas!$I$85*'Plan mensual'!L89+parametros_recargas!$J$85*'Plan mensual'!L90+parametros_recargas!$K$85*'Plan mensual'!L91+parametros_recargas!$L$85*'Plan mensual'!L92+parametros_recargas!$M$85*'Plan mensual'!L94</f>
        <v>237.796809137435</v>
      </c>
      <c r="K75" s="26" t="n">
        <f aca="false">parametros_recargas!$E$85*'Plan mensual'!M85+parametros_recargas!$F$85*'Plan mensual'!M86+parametros_recargas!$G$85*'Plan mensual'!M87+parametros_recargas!$H$85*'Plan mensual'!M88+parametros_recargas!$I$85*'Plan mensual'!M89+parametros_recargas!$J$85*'Plan mensual'!M90+parametros_recargas!$K$85*'Plan mensual'!M91+parametros_recargas!$L$85*'Plan mensual'!M92+parametros_recargas!$M$85*'Plan mensual'!M94</f>
        <v>237.796809137435</v>
      </c>
      <c r="L75" s="26" t="n">
        <f aca="false">parametros_recargas!$E$85*'Plan mensual'!N85+parametros_recargas!$F$85*'Plan mensual'!N86+parametros_recargas!$G$85*'Plan mensual'!N87+parametros_recargas!$H$85*'Plan mensual'!N88+parametros_recargas!$I$85*'Plan mensual'!N89+parametros_recargas!$J$85*'Plan mensual'!N90+parametros_recargas!$K$85*'Plan mensual'!N91+parametros_recargas!$L$85*'Plan mensual'!N92+parametros_recargas!$M$85*'Plan mensual'!N94</f>
        <v>237.796809137435</v>
      </c>
      <c r="M75" s="26" t="n">
        <f aca="false">parametros_recargas!$E$85*'Plan mensual'!O85+parametros_recargas!$F$85*'Plan mensual'!O86+parametros_recargas!$G$85*'Plan mensual'!O87+parametros_recargas!$H$85*'Plan mensual'!O88+parametros_recargas!$I$85*'Plan mensual'!O89+parametros_recargas!$J$85*'Plan mensual'!O90+parametros_recargas!$K$85*'Plan mensual'!O91+parametros_recargas!$L$85*'Plan mensual'!O92+parametros_recargas!$M$85*'Plan mensual'!O94</f>
        <v>237.796809137435</v>
      </c>
      <c r="N75" s="8" t="n">
        <f aca="false">SUM(B75:M75)</f>
        <v>2957.97208449223</v>
      </c>
      <c r="O75" s="27" t="n">
        <f aca="false">MAX(B75:M75)</f>
        <v>342.207183980444</v>
      </c>
      <c r="P75" s="13" t="n">
        <f aca="false">O75/parametros_recargas!$B$6</f>
        <v>2.28138122653629</v>
      </c>
    </row>
    <row r="76" customFormat="false" ht="15" hidden="false" customHeight="false" outlineLevel="0" collapsed="false">
      <c r="A76" s="10" t="str">
        <f aca="false">parametros_recargas!$B$86</f>
        <v>Laboratorio — Puffer y mufla</v>
      </c>
      <c r="B76" s="26" t="n">
        <f aca="false">parametros_recargas!$E$86*'Plan mensual'!D85+parametros_recargas!$F$86*'Plan mensual'!D86+parametros_recargas!$G$86*'Plan mensual'!D87+parametros_recargas!$H$86*'Plan mensual'!D88+parametros_recargas!$I$86*'Plan mensual'!D89+parametros_recargas!$J$86*'Plan mensual'!D90+parametros_recargas!$K$86*'Plan mensual'!D91+parametros_recargas!$L$86*'Plan mensual'!D92+parametros_recargas!$M$86*'Plan mensual'!D94</f>
        <v>1.69683656514347</v>
      </c>
      <c r="C76" s="26" t="n">
        <f aca="false">parametros_recargas!$E$86*'Plan mensual'!E85+parametros_recargas!$F$86*'Plan mensual'!E86+parametros_recargas!$G$86*'Plan mensual'!E87+parametros_recargas!$H$86*'Plan mensual'!E88+parametros_recargas!$I$86*'Plan mensual'!E89+parametros_recargas!$J$86*'Plan mensual'!E90+parametros_recargas!$K$86*'Plan mensual'!E91+parametros_recargas!$L$86*'Plan mensual'!E92+parametros_recargas!$M$86*'Plan mensual'!E94</f>
        <v>4.50454225921279</v>
      </c>
      <c r="D76" s="26" t="n">
        <f aca="false">parametros_recargas!$E$86*'Plan mensual'!F85+parametros_recargas!$F$86*'Plan mensual'!F86+parametros_recargas!$G$86*'Plan mensual'!F87+parametros_recargas!$H$86*'Plan mensual'!F88+parametros_recargas!$I$86*'Plan mensual'!F89+parametros_recargas!$J$86*'Plan mensual'!F90+parametros_recargas!$K$86*'Plan mensual'!F91+parametros_recargas!$L$86*'Plan mensual'!F92+parametros_recargas!$M$86*'Plan mensual'!F94</f>
        <v>3.84004928303752</v>
      </c>
      <c r="E76" s="26" t="n">
        <f aca="false">parametros_recargas!$E$86*'Plan mensual'!G85+parametros_recargas!$F$86*'Plan mensual'!G86+parametros_recargas!$G$86*'Plan mensual'!G87+parametros_recargas!$H$86*'Plan mensual'!G88+parametros_recargas!$I$86*'Plan mensual'!G89+parametros_recargas!$J$86*'Plan mensual'!G90+parametros_recargas!$K$86*'Plan mensual'!G91+parametros_recargas!$L$86*'Plan mensual'!G92+parametros_recargas!$M$86*'Plan mensual'!G94</f>
        <v>3.85662443962434</v>
      </c>
      <c r="F76" s="26" t="n">
        <f aca="false">parametros_recargas!$E$86*'Plan mensual'!H85+parametros_recargas!$F$86*'Plan mensual'!H86+parametros_recargas!$G$86*'Plan mensual'!H87+parametros_recargas!$H$86*'Plan mensual'!H88+parametros_recargas!$I$86*'Plan mensual'!H89+parametros_recargas!$J$86*'Plan mensual'!H90+parametros_recargas!$K$86*'Plan mensual'!H91+parametros_recargas!$L$86*'Plan mensual'!H92+parametros_recargas!$M$86*'Plan mensual'!H94</f>
        <v>3.85748970881248</v>
      </c>
      <c r="G76" s="26" t="n">
        <f aca="false">parametros_recargas!$E$86*'Plan mensual'!I85+parametros_recargas!$F$86*'Plan mensual'!I86+parametros_recargas!$G$86*'Plan mensual'!I87+parametros_recargas!$H$86*'Plan mensual'!I88+parametros_recargas!$I$86*'Plan mensual'!I89+parametros_recargas!$J$86*'Plan mensual'!I90+parametros_recargas!$K$86*'Plan mensual'!I91+parametros_recargas!$L$86*'Plan mensual'!I92+parametros_recargas!$M$86*'Plan mensual'!I94</f>
        <v>3.84960975733315</v>
      </c>
      <c r="H76" s="26" t="n">
        <f aca="false">parametros_recargas!$E$86*'Plan mensual'!J85+parametros_recargas!$F$86*'Plan mensual'!J86+parametros_recargas!$G$86*'Plan mensual'!J87+parametros_recargas!$H$86*'Plan mensual'!J88+parametros_recargas!$I$86*'Plan mensual'!J89+parametros_recargas!$J$86*'Plan mensual'!J90+parametros_recargas!$K$86*'Plan mensual'!J91+parametros_recargas!$L$86*'Plan mensual'!J92+parametros_recargas!$M$86*'Plan mensual'!J94</f>
        <v>3.87439496809535</v>
      </c>
      <c r="I76" s="26" t="n">
        <f aca="false">parametros_recargas!$E$86*'Plan mensual'!K85+parametros_recargas!$F$86*'Plan mensual'!K86+parametros_recargas!$G$86*'Plan mensual'!K87+parametros_recargas!$H$86*'Plan mensual'!K88+parametros_recargas!$I$86*'Plan mensual'!K89+parametros_recargas!$J$86*'Plan mensual'!K90+parametros_recargas!$K$86*'Plan mensual'!K91+parametros_recargas!$L$86*'Plan mensual'!K92+parametros_recargas!$M$86*'Plan mensual'!K94</f>
        <v>3.85574166499019</v>
      </c>
      <c r="J76" s="26" t="n">
        <f aca="false">parametros_recargas!$E$86*'Plan mensual'!L85+parametros_recargas!$F$86*'Plan mensual'!L86+parametros_recargas!$G$86*'Plan mensual'!L87+parametros_recargas!$H$86*'Plan mensual'!L88+parametros_recargas!$I$86*'Plan mensual'!L89+parametros_recargas!$J$86*'Plan mensual'!L90+parametros_recargas!$K$86*'Plan mensual'!L91+parametros_recargas!$L$86*'Plan mensual'!L92+parametros_recargas!$M$86*'Plan mensual'!L94</f>
        <v>3.85865006980468</v>
      </c>
      <c r="K76" s="26" t="n">
        <f aca="false">parametros_recargas!$E$86*'Plan mensual'!M85+parametros_recargas!$F$86*'Plan mensual'!M86+parametros_recargas!$G$86*'Plan mensual'!M87+parametros_recargas!$H$86*'Plan mensual'!M88+parametros_recargas!$I$86*'Plan mensual'!M89+parametros_recargas!$J$86*'Plan mensual'!M90+parametros_recargas!$K$86*'Plan mensual'!M91+parametros_recargas!$L$86*'Plan mensual'!M92+parametros_recargas!$M$86*'Plan mensual'!M94</f>
        <v>3.84903457839305</v>
      </c>
      <c r="L76" s="26" t="n">
        <f aca="false">parametros_recargas!$E$86*'Plan mensual'!N85+parametros_recargas!$F$86*'Plan mensual'!N86+parametros_recargas!$G$86*'Plan mensual'!N87+parametros_recargas!$H$86*'Plan mensual'!N88+parametros_recargas!$I$86*'Plan mensual'!N89+parametros_recargas!$J$86*'Plan mensual'!N90+parametros_recargas!$K$86*'Plan mensual'!N91+parametros_recargas!$L$86*'Plan mensual'!N92+parametros_recargas!$M$86*'Plan mensual'!N94</f>
        <v>3.80762669626202</v>
      </c>
      <c r="M76" s="26" t="n">
        <f aca="false">parametros_recargas!$E$86*'Plan mensual'!O85+parametros_recargas!$F$86*'Plan mensual'!O86+parametros_recargas!$G$86*'Plan mensual'!O87+parametros_recargas!$H$86*'Plan mensual'!O88+parametros_recargas!$I$86*'Plan mensual'!O89+parametros_recargas!$J$86*'Plan mensual'!O90+parametros_recargas!$K$86*'Plan mensual'!O91+parametros_recargas!$L$86*'Plan mensual'!O92+parametros_recargas!$M$86*'Plan mensual'!O94</f>
        <v>1.58432406212637</v>
      </c>
      <c r="N76" s="8" t="n">
        <f aca="false">SUM(B76:M76)</f>
        <v>42.4349240528354</v>
      </c>
      <c r="O76" s="27" t="n">
        <f aca="false">MAX(B76:M76)</f>
        <v>4.50454225921279</v>
      </c>
      <c r="P76" s="13" t="n">
        <f aca="false">O76/parametros_recargas!$B$6</f>
        <v>0.0300302817280853</v>
      </c>
    </row>
    <row r="77" customFormat="false" ht="15" hidden="false" customHeight="false" outlineLevel="0" collapsed="false">
      <c r="A77" s="10" t="str">
        <f aca="false">parametros_recargas!$B$87</f>
        <v>Prueba hidráulica</v>
      </c>
      <c r="B77" s="26" t="n">
        <f aca="false">parametros_recargas!$E$87*'Plan mensual'!D85+parametros_recargas!$F$87*'Plan mensual'!D86+parametros_recargas!$G$87*'Plan mensual'!D87+parametros_recargas!$H$87*'Plan mensual'!D88+parametros_recargas!$I$87*'Plan mensual'!D89+parametros_recargas!$J$87*'Plan mensual'!D90+parametros_recargas!$K$87*'Plan mensual'!D91+parametros_recargas!$L$87*'Plan mensual'!D92+parametros_recargas!$M$87*'Plan mensual'!D94</f>
        <v>471.413953142125</v>
      </c>
      <c r="C77" s="26" t="n">
        <f aca="false">parametros_recargas!$E$87*'Plan mensual'!E85+parametros_recargas!$F$87*'Plan mensual'!E86+parametros_recargas!$G$87*'Plan mensual'!E87+parametros_recargas!$H$87*'Plan mensual'!E88+parametros_recargas!$I$87*'Plan mensual'!E89+parametros_recargas!$J$87*'Plan mensual'!E90+parametros_recargas!$K$87*'Plan mensual'!E91+parametros_recargas!$L$87*'Plan mensual'!E92+parametros_recargas!$M$87*'Plan mensual'!E94</f>
        <v>1065.94746395195</v>
      </c>
      <c r="D77" s="26" t="n">
        <f aca="false">parametros_recargas!$E$87*'Plan mensual'!F85+parametros_recargas!$F$87*'Plan mensual'!F86+parametros_recargas!$G$87*'Plan mensual'!F87+parametros_recargas!$H$87*'Plan mensual'!F88+parametros_recargas!$I$87*'Plan mensual'!F89+parametros_recargas!$J$87*'Plan mensual'!F90+parametros_recargas!$K$87*'Plan mensual'!F91+parametros_recargas!$L$87*'Plan mensual'!F92+parametros_recargas!$M$87*'Plan mensual'!F94</f>
        <v>872.705685986334</v>
      </c>
      <c r="E77" s="26" t="n">
        <f aca="false">parametros_recargas!$E$87*'Plan mensual'!G85+parametros_recargas!$F$87*'Plan mensual'!G86+parametros_recargas!$G$87*'Plan mensual'!G87+parametros_recargas!$H$87*'Plan mensual'!G88+parametros_recargas!$I$87*'Plan mensual'!G89+parametros_recargas!$J$87*'Plan mensual'!G90+parametros_recargas!$K$87*'Plan mensual'!G91+parametros_recargas!$L$87*'Plan mensual'!G92+parametros_recargas!$M$87*'Plan mensual'!G94</f>
        <v>875.80919188351</v>
      </c>
      <c r="F77" s="26" t="n">
        <f aca="false">parametros_recargas!$E$87*'Plan mensual'!H85+parametros_recargas!$F$87*'Plan mensual'!H86+parametros_recargas!$G$87*'Plan mensual'!H87+parametros_recargas!$H$87*'Plan mensual'!H88+parametros_recargas!$I$87*'Plan mensual'!H89+parametros_recargas!$J$87*'Plan mensual'!H90+parametros_recargas!$K$87*'Plan mensual'!H91+parametros_recargas!$L$87*'Plan mensual'!H92+parametros_recargas!$M$87*'Plan mensual'!H94</f>
        <v>875.97120350699</v>
      </c>
      <c r="G77" s="26" t="n">
        <f aca="false">parametros_recargas!$E$87*'Plan mensual'!I85+parametros_recargas!$F$87*'Plan mensual'!I86+parametros_recargas!$G$87*'Plan mensual'!I87+parametros_recargas!$H$87*'Plan mensual'!I88+parametros_recargas!$I$87*'Plan mensual'!I89+parametros_recargas!$J$87*'Plan mensual'!I90+parametros_recargas!$K$87*'Plan mensual'!I91+parametros_recargas!$L$87*'Plan mensual'!I92+parametros_recargas!$M$87*'Plan mensual'!I94</f>
        <v>874.495773953278</v>
      </c>
      <c r="H77" s="26" t="n">
        <f aca="false">parametros_recargas!$E$87*'Plan mensual'!J85+parametros_recargas!$F$87*'Plan mensual'!J86+parametros_recargas!$G$87*'Plan mensual'!J87+parametros_recargas!$H$87*'Plan mensual'!J88+parametros_recargas!$I$87*'Plan mensual'!J89+parametros_recargas!$J$87*'Plan mensual'!J90+parametros_recargas!$K$87*'Plan mensual'!J91+parametros_recargas!$L$87*'Plan mensual'!J92+parametros_recargas!$M$87*'Plan mensual'!J94</f>
        <v>879.136517306765</v>
      </c>
      <c r="I77" s="26" t="n">
        <f aca="false">parametros_recargas!$E$87*'Plan mensual'!K85+parametros_recargas!$F$87*'Plan mensual'!K86+parametros_recargas!$G$87*'Plan mensual'!K87+parametros_recargas!$H$87*'Plan mensual'!K88+parametros_recargas!$I$87*'Plan mensual'!K89+parametros_recargas!$J$87*'Plan mensual'!K90+parametros_recargas!$K$87*'Plan mensual'!K91+parametros_recargas!$L$87*'Plan mensual'!K92+parametros_recargas!$M$87*'Plan mensual'!K94</f>
        <v>875.643902568226</v>
      </c>
      <c r="J77" s="26" t="n">
        <f aca="false">parametros_recargas!$E$87*'Plan mensual'!L85+parametros_recargas!$F$87*'Plan mensual'!L86+parametros_recargas!$G$87*'Plan mensual'!L87+parametros_recargas!$H$87*'Plan mensual'!L88+parametros_recargas!$I$87*'Plan mensual'!L89+parametros_recargas!$J$87*'Plan mensual'!L90+parametros_recargas!$K$87*'Plan mensual'!L91+parametros_recargas!$L$87*'Plan mensual'!L92+parametros_recargas!$M$87*'Plan mensual'!L94</f>
        <v>876.188467649459</v>
      </c>
      <c r="K77" s="26" t="n">
        <f aca="false">parametros_recargas!$E$87*'Plan mensual'!M85+parametros_recargas!$F$87*'Plan mensual'!M86+parametros_recargas!$G$87*'Plan mensual'!M87+parametros_recargas!$H$87*'Plan mensual'!M88+parametros_recargas!$I$87*'Plan mensual'!M89+parametros_recargas!$J$87*'Plan mensual'!M90+parametros_recargas!$K$87*'Plan mensual'!M91+parametros_recargas!$L$87*'Plan mensual'!M92+parametros_recargas!$M$87*'Plan mensual'!M94</f>
        <v>874.388078365416</v>
      </c>
      <c r="L77" s="26" t="n">
        <f aca="false">parametros_recargas!$E$87*'Plan mensual'!N85+parametros_recargas!$F$87*'Plan mensual'!N86+parametros_recargas!$G$87*'Plan mensual'!N87+parametros_recargas!$H$87*'Plan mensual'!N88+parametros_recargas!$I$87*'Plan mensual'!N89+parametros_recargas!$J$87*'Plan mensual'!N90+parametros_recargas!$K$87*'Plan mensual'!N91+parametros_recargas!$L$87*'Plan mensual'!N92+parametros_recargas!$M$87*'Plan mensual'!N94</f>
        <v>866.634932522712</v>
      </c>
      <c r="M77" s="26" t="n">
        <f aca="false">parametros_recargas!$E$87*'Plan mensual'!O85+parametros_recargas!$F$87*'Plan mensual'!O86+parametros_recargas!$G$87*'Plan mensual'!O87+parametros_recargas!$H$87*'Plan mensual'!O88+parametros_recargas!$I$87*'Plan mensual'!O89+parametros_recargas!$J$87*'Plan mensual'!O90+parametros_recargas!$K$87*'Plan mensual'!O91+parametros_recargas!$L$87*'Plan mensual'!O92+parametros_recargas!$M$87*'Plan mensual'!O94</f>
        <v>450.347291431226</v>
      </c>
      <c r="N77" s="8" t="n">
        <f aca="false">SUM(B77:M77)</f>
        <v>9858.68246226799</v>
      </c>
      <c r="O77" s="27" t="n">
        <f aca="false">MAX(B77:M77)</f>
        <v>1065.94746395195</v>
      </c>
      <c r="P77" s="13" t="n">
        <f aca="false">O77/parametros_recargas!$B$6</f>
        <v>7.10631642634631</v>
      </c>
    </row>
    <row r="78" customFormat="false" ht="15" hidden="false" customHeight="false" outlineLevel="0" collapsed="false">
      <c r="A78" s="10" t="str">
        <f aca="false">parametros_recargas!$B$88</f>
        <v>Secado</v>
      </c>
      <c r="B78" s="26" t="n">
        <f aca="false">parametros_recargas!$E$88*'Plan mensual'!D85+parametros_recargas!$F$88*'Plan mensual'!D86+parametros_recargas!$G$88*'Plan mensual'!D87+parametros_recargas!$H$88*'Plan mensual'!D88+parametros_recargas!$I$88*'Plan mensual'!D89+parametros_recargas!$J$88*'Plan mensual'!D90+parametros_recargas!$K$88*'Plan mensual'!D91+parametros_recargas!$L$88*'Plan mensual'!D92+parametros_recargas!$M$88*'Plan mensual'!D94</f>
        <v>394.704359780323</v>
      </c>
      <c r="C78" s="26" t="n">
        <f aca="false">parametros_recargas!$E$88*'Plan mensual'!E85+parametros_recargas!$F$88*'Plan mensual'!E86+parametros_recargas!$G$88*'Plan mensual'!E87+parametros_recargas!$H$88*'Plan mensual'!E88+parametros_recargas!$I$88*'Plan mensual'!E89+parametros_recargas!$J$88*'Plan mensual'!E90+parametros_recargas!$K$88*'Plan mensual'!E91+parametros_recargas!$L$88*'Plan mensual'!E92+parametros_recargas!$M$88*'Plan mensual'!E94</f>
        <v>974.965071173069</v>
      </c>
      <c r="D78" s="26" t="n">
        <f aca="false">parametros_recargas!$E$88*'Plan mensual'!F85+parametros_recargas!$F$88*'Plan mensual'!F86+parametros_recargas!$G$88*'Plan mensual'!F87+parametros_recargas!$H$88*'Plan mensual'!F88+parametros_recargas!$I$88*'Plan mensual'!F89+parametros_recargas!$J$88*'Plan mensual'!F90+parametros_recargas!$K$88*'Plan mensual'!F91+parametros_recargas!$L$88*'Plan mensual'!F92+parametros_recargas!$M$88*'Plan mensual'!F94</f>
        <v>812.0477619383</v>
      </c>
      <c r="E78" s="26" t="n">
        <f aca="false">parametros_recargas!$E$88*'Plan mensual'!G85+parametros_recargas!$F$88*'Plan mensual'!G86+parametros_recargas!$G$88*'Plan mensual'!G87+parametros_recargas!$H$88*'Plan mensual'!G88+parametros_recargas!$I$88*'Plan mensual'!G89+parametros_recargas!$J$88*'Plan mensual'!G90+parametros_recargas!$K$88*'Plan mensual'!G91+parametros_recargas!$L$88*'Plan mensual'!G92+parametros_recargas!$M$88*'Plan mensual'!G94</f>
        <v>815.275408071363</v>
      </c>
      <c r="F78" s="26" t="n">
        <f aca="false">parametros_recargas!$E$88*'Plan mensual'!H85+parametros_recargas!$F$88*'Plan mensual'!H86+parametros_recargas!$G$88*'Plan mensual'!H87+parametros_recargas!$H$88*'Plan mensual'!H88+parametros_recargas!$I$88*'Plan mensual'!H89+parametros_recargas!$J$88*'Plan mensual'!H90+parametros_recargas!$K$88*'Plan mensual'!H91+parametros_recargas!$L$88*'Plan mensual'!H92+parametros_recargas!$M$88*'Plan mensual'!H94</f>
        <v>815.443900159782</v>
      </c>
      <c r="G78" s="26" t="n">
        <f aca="false">parametros_recargas!$E$88*'Plan mensual'!I85+parametros_recargas!$F$88*'Plan mensual'!I86+parametros_recargas!$G$88*'Plan mensual'!I87+parametros_recargas!$H$88*'Plan mensual'!I88+parametros_recargas!$I$88*'Plan mensual'!I89+parametros_recargas!$J$88*'Plan mensual'!I90+parametros_recargas!$K$88*'Plan mensual'!I91+parametros_recargas!$L$88*'Plan mensual'!I92+parametros_recargas!$M$88*'Plan mensual'!I94</f>
        <v>813.909453423922</v>
      </c>
      <c r="H78" s="26" t="n">
        <f aca="false">parametros_recargas!$E$88*'Plan mensual'!J85+parametros_recargas!$F$88*'Plan mensual'!J86+parametros_recargas!$G$88*'Plan mensual'!J87+parametros_recargas!$H$88*'Plan mensual'!J88+parametros_recargas!$I$88*'Plan mensual'!J89+parametros_recargas!$J$88*'Plan mensual'!J90+parametros_recargas!$K$88*'Plan mensual'!J91+parametros_recargas!$L$88*'Plan mensual'!J92+parametros_recargas!$M$88*'Plan mensual'!J94</f>
        <v>818.735826511548</v>
      </c>
      <c r="I78" s="26" t="n">
        <f aca="false">parametros_recargas!$E$88*'Plan mensual'!K85+parametros_recargas!$F$88*'Plan mensual'!K86+parametros_recargas!$G$88*'Plan mensual'!K87+parametros_recargas!$H$88*'Plan mensual'!K88+parametros_recargas!$I$88*'Plan mensual'!K89+parametros_recargas!$J$88*'Plan mensual'!K90+parametros_recargas!$K$88*'Plan mensual'!K91+parametros_recargas!$L$88*'Plan mensual'!K92+parametros_recargas!$M$88*'Plan mensual'!K94</f>
        <v>815.103507183468</v>
      </c>
      <c r="J78" s="26" t="n">
        <f aca="false">parametros_recargas!$E$88*'Plan mensual'!L85+parametros_recargas!$F$88*'Plan mensual'!L86+parametros_recargas!$G$88*'Plan mensual'!L87+parametros_recargas!$H$88*'Plan mensual'!L88+parametros_recargas!$I$88*'Plan mensual'!L89+parametros_recargas!$J$88*'Plan mensual'!L90+parametros_recargas!$K$88*'Plan mensual'!L91+parametros_recargas!$L$88*'Plan mensual'!L92+parametros_recargas!$M$88*'Plan mensual'!L94</f>
        <v>815.669854867951</v>
      </c>
      <c r="K78" s="26" t="n">
        <f aca="false">parametros_recargas!$E$88*'Plan mensual'!M85+parametros_recargas!$F$88*'Plan mensual'!M86+parametros_recargas!$G$88*'Plan mensual'!M87+parametros_recargas!$H$88*'Plan mensual'!M88+parametros_recargas!$I$88*'Plan mensual'!M89+parametros_recargas!$J$88*'Plan mensual'!M90+parametros_recargas!$K$88*'Plan mensual'!M91+parametros_recargas!$L$88*'Plan mensual'!M92+parametros_recargas!$M$88*'Plan mensual'!M94</f>
        <v>813.797450012545</v>
      </c>
      <c r="L78" s="26" t="n">
        <f aca="false">parametros_recargas!$E$88*'Plan mensual'!N85+parametros_recargas!$F$88*'Plan mensual'!N86+parametros_recargas!$G$88*'Plan mensual'!N87+parametros_recargas!$H$88*'Plan mensual'!N88+parametros_recargas!$I$88*'Plan mensual'!N89+parametros_recargas!$J$88*'Plan mensual'!N90+parametros_recargas!$K$88*'Plan mensual'!N91+parametros_recargas!$L$88*'Plan mensual'!N92+parametros_recargas!$M$88*'Plan mensual'!N94</f>
        <v>805.734178336134</v>
      </c>
      <c r="M78" s="26" t="n">
        <f aca="false">parametros_recargas!$E$88*'Plan mensual'!O85+parametros_recargas!$F$88*'Plan mensual'!O86+parametros_recargas!$G$88*'Plan mensual'!O87+parametros_recargas!$H$88*'Plan mensual'!O88+parametros_recargas!$I$88*'Plan mensual'!O89+parametros_recargas!$J$88*'Plan mensual'!O90+parametros_recargas!$K$88*'Plan mensual'!O91+parametros_recargas!$L$88*'Plan mensual'!O92+parametros_recargas!$M$88*'Plan mensual'!O94</f>
        <v>372.795031600988</v>
      </c>
      <c r="N78" s="8" t="n">
        <f aca="false">SUM(B78:M78)</f>
        <v>9068.18180305939</v>
      </c>
      <c r="O78" s="27" t="n">
        <f aca="false">MAX(B78:M78)</f>
        <v>974.965071173069</v>
      </c>
      <c r="P78" s="13" t="n">
        <f aca="false">O78/parametros_recargas!$B$6</f>
        <v>6.4997671411538</v>
      </c>
    </row>
    <row r="79" customFormat="false" ht="15" hidden="false" customHeight="false" outlineLevel="0" collapsed="false">
      <c r="A79" s="10" t="str">
        <f aca="false">parametros_recargas!$B$89</f>
        <v>Inspección interior con videoscopio</v>
      </c>
      <c r="B79" s="26" t="n">
        <f aca="false">parametros_recargas!$E$89*'Plan mensual'!D85+parametros_recargas!$F$89*'Plan mensual'!D86+parametros_recargas!$G$89*'Plan mensual'!D87+parametros_recargas!$H$89*'Plan mensual'!D88+parametros_recargas!$I$89*'Plan mensual'!D89+parametros_recargas!$J$89*'Plan mensual'!D90+parametros_recargas!$K$89*'Plan mensual'!D91+parametros_recargas!$L$89*'Plan mensual'!D92+parametros_recargas!$M$89*'Plan mensual'!D94</f>
        <v>394.704359780323</v>
      </c>
      <c r="C79" s="26" t="n">
        <f aca="false">parametros_recargas!$E$89*'Plan mensual'!E85+parametros_recargas!$F$89*'Plan mensual'!E86+parametros_recargas!$G$89*'Plan mensual'!E87+parametros_recargas!$H$89*'Plan mensual'!E88+parametros_recargas!$I$89*'Plan mensual'!E89+parametros_recargas!$J$89*'Plan mensual'!E90+parametros_recargas!$K$89*'Plan mensual'!E91+parametros_recargas!$L$89*'Plan mensual'!E92+parametros_recargas!$M$89*'Plan mensual'!E94</f>
        <v>974.965071173069</v>
      </c>
      <c r="D79" s="26" t="n">
        <f aca="false">parametros_recargas!$E$89*'Plan mensual'!F85+parametros_recargas!$F$89*'Plan mensual'!F86+parametros_recargas!$G$89*'Plan mensual'!F87+parametros_recargas!$H$89*'Plan mensual'!F88+parametros_recargas!$I$89*'Plan mensual'!F89+parametros_recargas!$J$89*'Plan mensual'!F90+parametros_recargas!$K$89*'Plan mensual'!F91+parametros_recargas!$L$89*'Plan mensual'!F92+parametros_recargas!$M$89*'Plan mensual'!F94</f>
        <v>812.0477619383</v>
      </c>
      <c r="E79" s="26" t="n">
        <f aca="false">parametros_recargas!$E$89*'Plan mensual'!G85+parametros_recargas!$F$89*'Plan mensual'!G86+parametros_recargas!$G$89*'Plan mensual'!G87+parametros_recargas!$H$89*'Plan mensual'!G88+parametros_recargas!$I$89*'Plan mensual'!G89+parametros_recargas!$J$89*'Plan mensual'!G90+parametros_recargas!$K$89*'Plan mensual'!G91+parametros_recargas!$L$89*'Plan mensual'!G92+parametros_recargas!$M$89*'Plan mensual'!G94</f>
        <v>815.275408071363</v>
      </c>
      <c r="F79" s="26" t="n">
        <f aca="false">parametros_recargas!$E$89*'Plan mensual'!H85+parametros_recargas!$F$89*'Plan mensual'!H86+parametros_recargas!$G$89*'Plan mensual'!H87+parametros_recargas!$H$89*'Plan mensual'!H88+parametros_recargas!$I$89*'Plan mensual'!H89+parametros_recargas!$J$89*'Plan mensual'!H90+parametros_recargas!$K$89*'Plan mensual'!H91+parametros_recargas!$L$89*'Plan mensual'!H92+parametros_recargas!$M$89*'Plan mensual'!H94</f>
        <v>815.443900159782</v>
      </c>
      <c r="G79" s="26" t="n">
        <f aca="false">parametros_recargas!$E$89*'Plan mensual'!I85+parametros_recargas!$F$89*'Plan mensual'!I86+parametros_recargas!$G$89*'Plan mensual'!I87+parametros_recargas!$H$89*'Plan mensual'!I88+parametros_recargas!$I$89*'Plan mensual'!I89+parametros_recargas!$J$89*'Plan mensual'!I90+parametros_recargas!$K$89*'Plan mensual'!I91+parametros_recargas!$L$89*'Plan mensual'!I92+parametros_recargas!$M$89*'Plan mensual'!I94</f>
        <v>813.909453423922</v>
      </c>
      <c r="H79" s="26" t="n">
        <f aca="false">parametros_recargas!$E$89*'Plan mensual'!J85+parametros_recargas!$F$89*'Plan mensual'!J86+parametros_recargas!$G$89*'Plan mensual'!J87+parametros_recargas!$H$89*'Plan mensual'!J88+parametros_recargas!$I$89*'Plan mensual'!J89+parametros_recargas!$J$89*'Plan mensual'!J90+parametros_recargas!$K$89*'Plan mensual'!J91+parametros_recargas!$L$89*'Plan mensual'!J92+parametros_recargas!$M$89*'Plan mensual'!J94</f>
        <v>818.735826511548</v>
      </c>
      <c r="I79" s="26" t="n">
        <f aca="false">parametros_recargas!$E$89*'Plan mensual'!K85+parametros_recargas!$F$89*'Plan mensual'!K86+parametros_recargas!$G$89*'Plan mensual'!K87+parametros_recargas!$H$89*'Plan mensual'!K88+parametros_recargas!$I$89*'Plan mensual'!K89+parametros_recargas!$J$89*'Plan mensual'!K90+parametros_recargas!$K$89*'Plan mensual'!K91+parametros_recargas!$L$89*'Plan mensual'!K92+parametros_recargas!$M$89*'Plan mensual'!K94</f>
        <v>815.103507183468</v>
      </c>
      <c r="J79" s="26" t="n">
        <f aca="false">parametros_recargas!$E$89*'Plan mensual'!L85+parametros_recargas!$F$89*'Plan mensual'!L86+parametros_recargas!$G$89*'Plan mensual'!L87+parametros_recargas!$H$89*'Plan mensual'!L88+parametros_recargas!$I$89*'Plan mensual'!L89+parametros_recargas!$J$89*'Plan mensual'!L90+parametros_recargas!$K$89*'Plan mensual'!L91+parametros_recargas!$L$89*'Plan mensual'!L92+parametros_recargas!$M$89*'Plan mensual'!L94</f>
        <v>815.669854867951</v>
      </c>
      <c r="K79" s="26" t="n">
        <f aca="false">parametros_recargas!$E$89*'Plan mensual'!M85+parametros_recargas!$F$89*'Plan mensual'!M86+parametros_recargas!$G$89*'Plan mensual'!M87+parametros_recargas!$H$89*'Plan mensual'!M88+parametros_recargas!$I$89*'Plan mensual'!M89+parametros_recargas!$J$89*'Plan mensual'!M90+parametros_recargas!$K$89*'Plan mensual'!M91+parametros_recargas!$L$89*'Plan mensual'!M92+parametros_recargas!$M$89*'Plan mensual'!M94</f>
        <v>813.797450012545</v>
      </c>
      <c r="L79" s="26" t="n">
        <f aca="false">parametros_recargas!$E$89*'Plan mensual'!N85+parametros_recargas!$F$89*'Plan mensual'!N86+parametros_recargas!$G$89*'Plan mensual'!N87+parametros_recargas!$H$89*'Plan mensual'!N88+parametros_recargas!$I$89*'Plan mensual'!N89+parametros_recargas!$J$89*'Plan mensual'!N90+parametros_recargas!$K$89*'Plan mensual'!N91+parametros_recargas!$L$89*'Plan mensual'!N92+parametros_recargas!$M$89*'Plan mensual'!N94</f>
        <v>805.734178336134</v>
      </c>
      <c r="M79" s="26" t="n">
        <f aca="false">parametros_recargas!$E$89*'Plan mensual'!O85+parametros_recargas!$F$89*'Plan mensual'!O86+parametros_recargas!$G$89*'Plan mensual'!O87+parametros_recargas!$H$89*'Plan mensual'!O88+parametros_recargas!$I$89*'Plan mensual'!O89+parametros_recargas!$J$89*'Plan mensual'!O90+parametros_recargas!$K$89*'Plan mensual'!O91+parametros_recargas!$L$89*'Plan mensual'!O92+parametros_recargas!$M$89*'Plan mensual'!O94</f>
        <v>372.795031600988</v>
      </c>
      <c r="N79" s="8" t="n">
        <f aca="false">SUM(B79:M79)</f>
        <v>9068.18180305939</v>
      </c>
      <c r="O79" s="27" t="n">
        <f aca="false">MAX(B79:M79)</f>
        <v>974.965071173069</v>
      </c>
      <c r="P79" s="13" t="n">
        <f aca="false">O79/parametros_recargas!$B$6</f>
        <v>6.4997671411538</v>
      </c>
    </row>
    <row r="80" customFormat="false" ht="15" hidden="false" customHeight="false" outlineLevel="0" collapsed="false">
      <c r="A80" s="10" t="str">
        <f aca="false">parametros_recargas!$B$90</f>
        <v>Pintura</v>
      </c>
      <c r="B80" s="26" t="n">
        <f aca="false">parametros_recargas!$E$90*'Plan mensual'!D85+parametros_recargas!$F$90*'Plan mensual'!D86+parametros_recargas!$G$90*'Plan mensual'!D87+parametros_recargas!$H$90*'Plan mensual'!D88+parametros_recargas!$I$90*'Plan mensual'!D89+parametros_recargas!$J$90*'Plan mensual'!D90+parametros_recargas!$K$90*'Plan mensual'!D91+parametros_recargas!$L$90*'Plan mensual'!D92+parametros_recargas!$M$90*'Plan mensual'!D94</f>
        <v>253.556830905721</v>
      </c>
      <c r="C80" s="26" t="n">
        <f aca="false">parametros_recargas!$E$90*'Plan mensual'!E85+parametros_recargas!$F$90*'Plan mensual'!E86+parametros_recargas!$G$90*'Plan mensual'!E87+parametros_recargas!$H$90*'Plan mensual'!E88+parametros_recargas!$I$90*'Plan mensual'!E89+parametros_recargas!$J$90*'Plan mensual'!E90+parametros_recargas!$K$90*'Plan mensual'!E91+parametros_recargas!$L$90*'Plan mensual'!E92+parametros_recargas!$M$90*'Plan mensual'!E94</f>
        <v>598.7238131518</v>
      </c>
      <c r="D80" s="26" t="n">
        <f aca="false">parametros_recargas!$E$90*'Plan mensual'!F85+parametros_recargas!$F$90*'Plan mensual'!F86+parametros_recargas!$G$90*'Plan mensual'!F87+parametros_recargas!$H$90*'Plan mensual'!F88+parametros_recargas!$I$90*'Plan mensual'!F89+parametros_recargas!$J$90*'Plan mensual'!F90+parametros_recargas!$K$90*'Plan mensual'!F91+parametros_recargas!$L$90*'Plan mensual'!F92+parametros_recargas!$M$90*'Plan mensual'!F94</f>
        <v>494.331870612246</v>
      </c>
      <c r="E80" s="26" t="n">
        <f aca="false">parametros_recargas!$E$90*'Plan mensual'!G85+parametros_recargas!$F$90*'Plan mensual'!G86+parametros_recargas!$G$90*'Plan mensual'!G87+parametros_recargas!$H$90*'Plan mensual'!G88+parametros_recargas!$I$90*'Plan mensual'!G89+parametros_recargas!$J$90*'Plan mensual'!G90+parametros_recargas!$K$90*'Plan mensual'!G91+parametros_recargas!$L$90*'Plan mensual'!G92+parametros_recargas!$M$90*'Plan mensual'!G94</f>
        <v>496.193974150552</v>
      </c>
      <c r="F80" s="26" t="n">
        <f aca="false">parametros_recargas!$E$90*'Plan mensual'!H85+parametros_recargas!$F$90*'Plan mensual'!H86+parametros_recargas!$G$90*'Plan mensual'!H87+parametros_recargas!$H$90*'Plan mensual'!H88+parametros_recargas!$I$90*'Plan mensual'!H89+parametros_recargas!$J$90*'Plan mensual'!H90+parametros_recargas!$K$90*'Plan mensual'!H91+parametros_recargas!$L$90*'Plan mensual'!H92+parametros_recargas!$M$90*'Plan mensual'!H94</f>
        <v>496.291181124639</v>
      </c>
      <c r="G80" s="26" t="n">
        <f aca="false">parametros_recargas!$E$90*'Plan mensual'!I85+parametros_recargas!$F$90*'Plan mensual'!I86+parametros_recargas!$G$90*'Plan mensual'!I87+parametros_recargas!$H$90*'Plan mensual'!I88+parametros_recargas!$I$90*'Plan mensual'!I89+parametros_recargas!$J$90*'Plan mensual'!I90+parametros_recargas!$K$90*'Plan mensual'!I91+parametros_recargas!$L$90*'Plan mensual'!I92+parametros_recargas!$M$90*'Plan mensual'!I94</f>
        <v>495.405923392412</v>
      </c>
      <c r="H80" s="26" t="n">
        <f aca="false">parametros_recargas!$E$90*'Plan mensual'!J85+parametros_recargas!$F$90*'Plan mensual'!J86+parametros_recargas!$G$90*'Plan mensual'!J87+parametros_recargas!$H$90*'Plan mensual'!J88+parametros_recargas!$I$90*'Plan mensual'!J89+parametros_recargas!$J$90*'Plan mensual'!J90+parametros_recargas!$K$90*'Plan mensual'!J91+parametros_recargas!$L$90*'Plan mensual'!J92+parametros_recargas!$M$90*'Plan mensual'!J94</f>
        <v>498.190369404504</v>
      </c>
      <c r="I80" s="26" t="n">
        <f aca="false">parametros_recargas!$E$90*'Plan mensual'!K85+parametros_recargas!$F$90*'Plan mensual'!K86+parametros_recargas!$G$90*'Plan mensual'!K87+parametros_recargas!$H$90*'Plan mensual'!K88+parametros_recargas!$I$90*'Plan mensual'!K89+parametros_recargas!$J$90*'Plan mensual'!K90+parametros_recargas!$K$90*'Plan mensual'!K91+parametros_recargas!$L$90*'Plan mensual'!K92+parametros_recargas!$M$90*'Plan mensual'!K94</f>
        <v>496.094800561381</v>
      </c>
      <c r="J80" s="26" t="n">
        <f aca="false">parametros_recargas!$E$90*'Plan mensual'!L85+parametros_recargas!$F$90*'Plan mensual'!L86+parametros_recargas!$G$90*'Plan mensual'!L87+parametros_recargas!$H$90*'Plan mensual'!L88+parametros_recargas!$I$90*'Plan mensual'!L89+parametros_recargas!$J$90*'Plan mensual'!L90+parametros_recargas!$K$90*'Plan mensual'!L91+parametros_recargas!$L$90*'Plan mensual'!L92+parametros_recargas!$M$90*'Plan mensual'!L94</f>
        <v>496.421539610121</v>
      </c>
      <c r="K80" s="26" t="n">
        <f aca="false">parametros_recargas!$E$90*'Plan mensual'!M85+parametros_recargas!$F$90*'Plan mensual'!M86+parametros_recargas!$G$90*'Plan mensual'!M87+parametros_recargas!$H$90*'Plan mensual'!M88+parametros_recargas!$I$90*'Plan mensual'!M89+parametros_recargas!$J$90*'Plan mensual'!M90+parametros_recargas!$K$90*'Plan mensual'!M91+parametros_recargas!$L$90*'Plan mensual'!M92+parametros_recargas!$M$90*'Plan mensual'!M94</f>
        <v>495.341306039695</v>
      </c>
      <c r="L80" s="26" t="n">
        <f aca="false">parametros_recargas!$E$90*'Plan mensual'!N85+parametros_recargas!$F$90*'Plan mensual'!N86+parametros_recargas!$G$90*'Plan mensual'!N87+parametros_recargas!$H$90*'Plan mensual'!N88+parametros_recargas!$I$90*'Plan mensual'!N89+parametros_recargas!$J$90*'Plan mensual'!N90+parametros_recargas!$K$90*'Plan mensual'!N91+parametros_recargas!$L$90*'Plan mensual'!N92+parametros_recargas!$M$90*'Plan mensual'!N94</f>
        <v>490.689418534073</v>
      </c>
      <c r="M80" s="26" t="n">
        <f aca="false">parametros_recargas!$E$90*'Plan mensual'!O85+parametros_recargas!$F$90*'Plan mensual'!O86+parametros_recargas!$G$90*'Plan mensual'!O87+parametros_recargas!$H$90*'Plan mensual'!O88+parametros_recargas!$I$90*'Plan mensual'!O89+parametros_recargas!$J$90*'Plan mensual'!O90+parametros_recargas!$K$90*'Plan mensual'!O91+parametros_recargas!$L$90*'Plan mensual'!O92+parametros_recargas!$M$90*'Plan mensual'!O94</f>
        <v>240.916833879181</v>
      </c>
      <c r="N80" s="8" t="n">
        <f aca="false">SUM(B80:M80)</f>
        <v>5552.15786136633</v>
      </c>
      <c r="O80" s="27" t="n">
        <f aca="false">MAX(B80:M80)</f>
        <v>598.7238131518</v>
      </c>
      <c r="P80" s="13" t="n">
        <f aca="false">O80/parametros_recargas!$B$6</f>
        <v>3.99149208767867</v>
      </c>
    </row>
    <row r="81" customFormat="false" ht="15" hidden="false" customHeight="false" outlineLevel="0" collapsed="false">
      <c r="A81" s="10" t="str">
        <f aca="false">parametros_recargas!$B$91</f>
        <v>Carga de polvo ABC</v>
      </c>
      <c r="B81" s="26" t="n">
        <f aca="false">parametros_recargas!$E$91*'Plan mensual'!D85+parametros_recargas!$F$91*'Plan mensual'!D86+parametros_recargas!$G$91*'Plan mensual'!D87+parametros_recargas!$H$91*'Plan mensual'!D88+parametros_recargas!$I$91*'Plan mensual'!D89+parametros_recargas!$J$91*'Plan mensual'!D90+parametros_recargas!$K$91*'Plan mensual'!D91+parametros_recargas!$L$91*'Plan mensual'!D92+parametros_recargas!$M$91*'Plan mensual'!D94</f>
        <v>1288.28677998638</v>
      </c>
      <c r="C81" s="26" t="n">
        <f aca="false">parametros_recargas!$E$91*'Plan mensual'!E85+parametros_recargas!$F$91*'Plan mensual'!E86+parametros_recargas!$G$91*'Plan mensual'!E87+parametros_recargas!$H$91*'Plan mensual'!E88+parametros_recargas!$I$91*'Plan mensual'!E89+parametros_recargas!$J$91*'Plan mensual'!E90+parametros_recargas!$K$91*'Plan mensual'!E91+parametros_recargas!$L$91*'Plan mensual'!E92+parametros_recargas!$M$91*'Plan mensual'!E94</f>
        <v>3387.88515898508</v>
      </c>
      <c r="D81" s="26" t="n">
        <f aca="false">parametros_recargas!$E$91*'Plan mensual'!F85+parametros_recargas!$F$91*'Plan mensual'!F86+parametros_recargas!$G$91*'Plan mensual'!F87+parametros_recargas!$H$91*'Plan mensual'!F88+parametros_recargas!$I$91*'Plan mensual'!F89+parametros_recargas!$J$91*'Plan mensual'!F90+parametros_recargas!$K$91*'Plan mensual'!F91+parametros_recargas!$L$91*'Plan mensual'!F92+parametros_recargas!$M$91*'Plan mensual'!F94</f>
        <v>2891.45719875939</v>
      </c>
      <c r="E81" s="26" t="n">
        <f aca="false">parametros_recargas!$E$91*'Plan mensual'!G85+parametros_recargas!$F$91*'Plan mensual'!G86+parametros_recargas!$G$91*'Plan mensual'!G87+parametros_recargas!$H$91*'Plan mensual'!G88+parametros_recargas!$I$91*'Plan mensual'!G89+parametros_recargas!$J$91*'Plan mensual'!G90+parametros_recargas!$K$91*'Plan mensual'!G91+parametros_recargas!$L$91*'Plan mensual'!G92+parametros_recargas!$M$91*'Plan mensual'!G94</f>
        <v>2903.87122234809</v>
      </c>
      <c r="F81" s="26" t="n">
        <f aca="false">parametros_recargas!$E$91*'Plan mensual'!H85+parametros_recargas!$F$91*'Plan mensual'!H86+parametros_recargas!$G$91*'Plan mensual'!H87+parametros_recargas!$H$91*'Plan mensual'!H88+parametros_recargas!$I$91*'Plan mensual'!H89+parametros_recargas!$J$91*'Plan mensual'!H90+parametros_recargas!$K$91*'Plan mensual'!H91+parametros_recargas!$L$91*'Plan mensual'!H92+parametros_recargas!$M$91*'Plan mensual'!H94</f>
        <v>2903.79566884201</v>
      </c>
      <c r="G81" s="26" t="n">
        <f aca="false">parametros_recargas!$E$91*'Plan mensual'!I85+parametros_recargas!$F$91*'Plan mensual'!I86+parametros_recargas!$G$91*'Plan mensual'!I87+parametros_recargas!$H$91*'Plan mensual'!I88+parametros_recargas!$I$91*'Plan mensual'!I89+parametros_recargas!$J$91*'Plan mensual'!I90+parametros_recargas!$K$91*'Plan mensual'!I91+parametros_recargas!$L$91*'Plan mensual'!I92+parametros_recargas!$M$91*'Plan mensual'!I94</f>
        <v>2896.82177583481</v>
      </c>
      <c r="H81" s="26" t="n">
        <f aca="false">parametros_recargas!$E$91*'Plan mensual'!J85+parametros_recargas!$F$91*'Plan mensual'!J86+parametros_recargas!$G$91*'Plan mensual'!J87+parametros_recargas!$H$91*'Plan mensual'!J88+parametros_recargas!$I$91*'Plan mensual'!J89+parametros_recargas!$J$91*'Plan mensual'!J90+parametros_recargas!$K$91*'Plan mensual'!J91+parametros_recargas!$L$91*'Plan mensual'!J92+parametros_recargas!$M$91*'Plan mensual'!J94</f>
        <v>2916.45692404111</v>
      </c>
      <c r="I81" s="26" t="n">
        <f aca="false">parametros_recargas!$E$91*'Plan mensual'!K85+parametros_recargas!$F$91*'Plan mensual'!K86+parametros_recargas!$G$91*'Plan mensual'!K87+parametros_recargas!$H$91*'Plan mensual'!K88+parametros_recargas!$I$91*'Plan mensual'!K89+parametros_recargas!$J$91*'Plan mensual'!K90+parametros_recargas!$K$91*'Plan mensual'!K91+parametros_recargas!$L$91*'Plan mensual'!K92+parametros_recargas!$M$91*'Plan mensual'!K94</f>
        <v>2902.48646508696</v>
      </c>
      <c r="J81" s="26" t="n">
        <f aca="false">parametros_recargas!$E$91*'Plan mensual'!L85+parametros_recargas!$F$91*'Plan mensual'!L86+parametros_recargas!$G$91*'Plan mensual'!L87+parametros_recargas!$H$91*'Plan mensual'!L88+parametros_recargas!$I$91*'Plan mensual'!L89+parametros_recargas!$J$91*'Plan mensual'!L90+parametros_recargas!$K$91*'Plan mensual'!L91+parametros_recargas!$L$91*'Plan mensual'!L92+parametros_recargas!$M$91*'Plan mensual'!L94</f>
        <v>2904.49043801571</v>
      </c>
      <c r="K81" s="26" t="n">
        <f aca="false">parametros_recargas!$E$91*'Plan mensual'!M85+parametros_recargas!$F$91*'Plan mensual'!M86+parametros_recargas!$G$91*'Plan mensual'!M87+parametros_recargas!$H$91*'Plan mensual'!M88+parametros_recargas!$I$91*'Plan mensual'!M89+parametros_recargas!$J$91*'Plan mensual'!M90+parametros_recargas!$K$91*'Plan mensual'!M91+parametros_recargas!$L$91*'Plan mensual'!M92+parametros_recargas!$M$91*'Plan mensual'!M94</f>
        <v>2896.21670608719</v>
      </c>
      <c r="L81" s="26" t="n">
        <f aca="false">parametros_recargas!$E$91*'Plan mensual'!N85+parametros_recargas!$F$91*'Plan mensual'!N86+parametros_recargas!$G$91*'Plan mensual'!N87+parametros_recargas!$H$91*'Plan mensual'!N88+parametros_recargas!$I$91*'Plan mensual'!N89+parametros_recargas!$J$91*'Plan mensual'!N90+parametros_recargas!$K$91*'Plan mensual'!N91+parametros_recargas!$L$91*'Plan mensual'!N92+parametros_recargas!$M$91*'Plan mensual'!N94</f>
        <v>2864.3062353202</v>
      </c>
      <c r="M81" s="26" t="n">
        <f aca="false">parametros_recargas!$E$91*'Plan mensual'!O85+parametros_recargas!$F$91*'Plan mensual'!O86+parametros_recargas!$G$91*'Plan mensual'!O87+parametros_recargas!$H$91*'Plan mensual'!O88+parametros_recargas!$I$91*'Plan mensual'!O89+parametros_recargas!$J$91*'Plan mensual'!O90+parametros_recargas!$K$91*'Plan mensual'!O91+parametros_recargas!$L$91*'Plan mensual'!O92+parametros_recargas!$M$91*'Plan mensual'!O94</f>
        <v>1205.2930457466</v>
      </c>
      <c r="N81" s="8" t="n">
        <f aca="false">SUM(B81:M81)</f>
        <v>31961.3676190535</v>
      </c>
      <c r="O81" s="27" t="n">
        <f aca="false">MAX(B81:M81)</f>
        <v>3387.88515898508</v>
      </c>
      <c r="P81" s="13" t="n">
        <f aca="false">O81/parametros_recargas!$B$6</f>
        <v>22.5859010599005</v>
      </c>
    </row>
    <row r="82" customFormat="false" ht="15" hidden="false" customHeight="false" outlineLevel="0" collapsed="false">
      <c r="A82" s="10" t="str">
        <f aca="false">parametros_recargas!$B$92</f>
        <v>Carga de polvo BC</v>
      </c>
      <c r="B82" s="26" t="n">
        <f aca="false">parametros_recargas!$E$92*'Plan mensual'!D85+parametros_recargas!$F$92*'Plan mensual'!D86+parametros_recargas!$G$92*'Plan mensual'!D87+parametros_recargas!$H$92*'Plan mensual'!D88+parametros_recargas!$I$92*'Plan mensual'!D89+parametros_recargas!$J$92*'Plan mensual'!D90+parametros_recargas!$K$92*'Plan mensual'!D91+parametros_recargas!$L$92*'Plan mensual'!D92+parametros_recargas!$M$92*'Plan mensual'!D94</f>
        <v>4.19092332720213</v>
      </c>
      <c r="C82" s="26" t="n">
        <f aca="false">parametros_recargas!$E$92*'Plan mensual'!E85+parametros_recargas!$F$92*'Plan mensual'!E86+parametros_recargas!$G$92*'Plan mensual'!E87+parametros_recargas!$H$92*'Plan mensual'!E88+parametros_recargas!$I$92*'Plan mensual'!E89+parametros_recargas!$J$92*'Plan mensual'!E90+parametros_recargas!$K$92*'Plan mensual'!E91+parametros_recargas!$L$92*'Plan mensual'!E92+parametros_recargas!$M$92*'Plan mensual'!E94</f>
        <v>4.19092332720213</v>
      </c>
      <c r="D82" s="26" t="n">
        <f aca="false">parametros_recargas!$E$92*'Plan mensual'!F85+parametros_recargas!$F$92*'Plan mensual'!F86+parametros_recargas!$G$92*'Plan mensual'!F87+parametros_recargas!$H$92*'Plan mensual'!F88+parametros_recargas!$I$92*'Plan mensual'!F89+parametros_recargas!$J$92*'Plan mensual'!F90+parametros_recargas!$K$92*'Plan mensual'!F91+parametros_recargas!$L$92*'Plan mensual'!F92+parametros_recargas!$M$92*'Plan mensual'!F94</f>
        <v>4.19092332720213</v>
      </c>
      <c r="E82" s="26" t="n">
        <f aca="false">parametros_recargas!$E$92*'Plan mensual'!G85+parametros_recargas!$F$92*'Plan mensual'!G86+parametros_recargas!$G$92*'Plan mensual'!G87+parametros_recargas!$H$92*'Plan mensual'!G88+parametros_recargas!$I$92*'Plan mensual'!G89+parametros_recargas!$J$92*'Plan mensual'!G90+parametros_recargas!$K$92*'Plan mensual'!G91+parametros_recargas!$L$92*'Plan mensual'!G92+parametros_recargas!$M$92*'Plan mensual'!G94</f>
        <v>4.19092332720213</v>
      </c>
      <c r="F82" s="26" t="n">
        <f aca="false">parametros_recargas!$E$92*'Plan mensual'!H85+parametros_recargas!$F$92*'Plan mensual'!H86+parametros_recargas!$G$92*'Plan mensual'!H87+parametros_recargas!$H$92*'Plan mensual'!H88+parametros_recargas!$I$92*'Plan mensual'!H89+parametros_recargas!$J$92*'Plan mensual'!H90+parametros_recargas!$K$92*'Plan mensual'!H91+parametros_recargas!$L$92*'Plan mensual'!H92+parametros_recargas!$M$92*'Plan mensual'!H94</f>
        <v>4.19092332720213</v>
      </c>
      <c r="G82" s="26" t="n">
        <f aca="false">parametros_recargas!$E$92*'Plan mensual'!I85+parametros_recargas!$F$92*'Plan mensual'!I86+parametros_recargas!$G$92*'Plan mensual'!I87+parametros_recargas!$H$92*'Plan mensual'!I88+parametros_recargas!$I$92*'Plan mensual'!I89+parametros_recargas!$J$92*'Plan mensual'!I90+parametros_recargas!$K$92*'Plan mensual'!I91+parametros_recargas!$L$92*'Plan mensual'!I92+parametros_recargas!$M$92*'Plan mensual'!I94</f>
        <v>4.19092332720213</v>
      </c>
      <c r="H82" s="26" t="n">
        <f aca="false">parametros_recargas!$E$92*'Plan mensual'!J85+parametros_recargas!$F$92*'Plan mensual'!J86+parametros_recargas!$G$92*'Plan mensual'!J87+parametros_recargas!$H$92*'Plan mensual'!J88+parametros_recargas!$I$92*'Plan mensual'!J89+parametros_recargas!$J$92*'Plan mensual'!J90+parametros_recargas!$K$92*'Plan mensual'!J91+parametros_recargas!$L$92*'Plan mensual'!J92+parametros_recargas!$M$92*'Plan mensual'!J94</f>
        <v>4.19092332720213</v>
      </c>
      <c r="I82" s="26" t="n">
        <f aca="false">parametros_recargas!$E$92*'Plan mensual'!K85+parametros_recargas!$F$92*'Plan mensual'!K86+parametros_recargas!$G$92*'Plan mensual'!K87+parametros_recargas!$H$92*'Plan mensual'!K88+parametros_recargas!$I$92*'Plan mensual'!K89+parametros_recargas!$J$92*'Plan mensual'!K90+parametros_recargas!$K$92*'Plan mensual'!K91+parametros_recargas!$L$92*'Plan mensual'!K92+parametros_recargas!$M$92*'Plan mensual'!K94</f>
        <v>4.19092332720213</v>
      </c>
      <c r="J82" s="26" t="n">
        <f aca="false">parametros_recargas!$E$92*'Plan mensual'!L85+parametros_recargas!$F$92*'Plan mensual'!L86+parametros_recargas!$G$92*'Plan mensual'!L87+parametros_recargas!$H$92*'Plan mensual'!L88+parametros_recargas!$I$92*'Plan mensual'!L89+parametros_recargas!$J$92*'Plan mensual'!L90+parametros_recargas!$K$92*'Plan mensual'!L91+parametros_recargas!$L$92*'Plan mensual'!L92+parametros_recargas!$M$92*'Plan mensual'!L94</f>
        <v>4.19092332720213</v>
      </c>
      <c r="K82" s="26" t="n">
        <f aca="false">parametros_recargas!$E$92*'Plan mensual'!M85+parametros_recargas!$F$92*'Plan mensual'!M86+parametros_recargas!$G$92*'Plan mensual'!M87+parametros_recargas!$H$92*'Plan mensual'!M88+parametros_recargas!$I$92*'Plan mensual'!M89+parametros_recargas!$J$92*'Plan mensual'!M90+parametros_recargas!$K$92*'Plan mensual'!M91+parametros_recargas!$L$92*'Plan mensual'!M92+parametros_recargas!$M$92*'Plan mensual'!M94</f>
        <v>4.19092332720213</v>
      </c>
      <c r="L82" s="26" t="n">
        <f aca="false">parametros_recargas!$E$92*'Plan mensual'!N85+parametros_recargas!$F$92*'Plan mensual'!N86+parametros_recargas!$G$92*'Plan mensual'!N87+parametros_recargas!$H$92*'Plan mensual'!N88+parametros_recargas!$I$92*'Plan mensual'!N89+parametros_recargas!$J$92*'Plan mensual'!N90+parametros_recargas!$K$92*'Plan mensual'!N91+parametros_recargas!$L$92*'Plan mensual'!N92+parametros_recargas!$M$92*'Plan mensual'!N94</f>
        <v>4.19092332720213</v>
      </c>
      <c r="M82" s="26" t="n">
        <f aca="false">parametros_recargas!$E$92*'Plan mensual'!O85+parametros_recargas!$F$92*'Plan mensual'!O86+parametros_recargas!$G$92*'Plan mensual'!O87+parametros_recargas!$H$92*'Plan mensual'!O88+parametros_recargas!$I$92*'Plan mensual'!O89+parametros_recargas!$J$92*'Plan mensual'!O90+parametros_recargas!$K$92*'Plan mensual'!O91+parametros_recargas!$L$92*'Plan mensual'!O92+parametros_recargas!$M$92*'Plan mensual'!O94</f>
        <v>4.19092332720213</v>
      </c>
      <c r="N82" s="8" t="n">
        <f aca="false">SUM(B82:M82)</f>
        <v>50.2910799264256</v>
      </c>
      <c r="O82" s="27" t="n">
        <f aca="false">MAX(B82:M82)</f>
        <v>4.19092332720213</v>
      </c>
      <c r="P82" s="13" t="n">
        <f aca="false">O82/parametros_recargas!$B$6</f>
        <v>0.0279394888480142</v>
      </c>
    </row>
    <row r="83" customFormat="false" ht="15" hidden="false" customHeight="false" outlineLevel="0" collapsed="false">
      <c r="A83" s="10" t="str">
        <f aca="false">parametros_recargas!$B$93</f>
        <v>Descarga y carga Clase D</v>
      </c>
      <c r="B83" s="26" t="n">
        <f aca="false">parametros_recargas!$E$93*'Plan mensual'!D85+parametros_recargas!$F$93*'Plan mensual'!D86+parametros_recargas!$G$93*'Plan mensual'!D87+parametros_recargas!$H$93*'Plan mensual'!D88+parametros_recargas!$I$93*'Plan mensual'!D89+parametros_recargas!$J$93*'Plan mensual'!D90+parametros_recargas!$K$93*'Plan mensual'!D91+parametros_recargas!$L$93*'Plan mensual'!D92+parametros_recargas!$M$93*'Plan mensual'!D94</f>
        <v>4.19092332720213</v>
      </c>
      <c r="C83" s="26" t="n">
        <f aca="false">parametros_recargas!$E$93*'Plan mensual'!E85+parametros_recargas!$F$93*'Plan mensual'!E86+parametros_recargas!$G$93*'Plan mensual'!E87+parametros_recargas!$H$93*'Plan mensual'!E88+parametros_recargas!$I$93*'Plan mensual'!E89+parametros_recargas!$J$93*'Plan mensual'!E90+parametros_recargas!$K$93*'Plan mensual'!E91+parametros_recargas!$L$93*'Plan mensual'!E92+parametros_recargas!$M$93*'Plan mensual'!E94</f>
        <v>4.19092332720213</v>
      </c>
      <c r="D83" s="26" t="n">
        <f aca="false">parametros_recargas!$E$93*'Plan mensual'!F85+parametros_recargas!$F$93*'Plan mensual'!F86+parametros_recargas!$G$93*'Plan mensual'!F87+parametros_recargas!$H$93*'Plan mensual'!F88+parametros_recargas!$I$93*'Plan mensual'!F89+parametros_recargas!$J$93*'Plan mensual'!F90+parametros_recargas!$K$93*'Plan mensual'!F91+parametros_recargas!$L$93*'Plan mensual'!F92+parametros_recargas!$M$93*'Plan mensual'!F94</f>
        <v>4.19092332720213</v>
      </c>
      <c r="E83" s="26" t="n">
        <f aca="false">parametros_recargas!$E$93*'Plan mensual'!G85+parametros_recargas!$F$93*'Plan mensual'!G86+parametros_recargas!$G$93*'Plan mensual'!G87+parametros_recargas!$H$93*'Plan mensual'!G88+parametros_recargas!$I$93*'Plan mensual'!G89+parametros_recargas!$J$93*'Plan mensual'!G90+parametros_recargas!$K$93*'Plan mensual'!G91+parametros_recargas!$L$93*'Plan mensual'!G92+parametros_recargas!$M$93*'Plan mensual'!G94</f>
        <v>4.19092332720213</v>
      </c>
      <c r="F83" s="26" t="n">
        <f aca="false">parametros_recargas!$E$93*'Plan mensual'!H85+parametros_recargas!$F$93*'Plan mensual'!H86+parametros_recargas!$G$93*'Plan mensual'!H87+parametros_recargas!$H$93*'Plan mensual'!H88+parametros_recargas!$I$93*'Plan mensual'!H89+parametros_recargas!$J$93*'Plan mensual'!H90+parametros_recargas!$K$93*'Plan mensual'!H91+parametros_recargas!$L$93*'Plan mensual'!H92+parametros_recargas!$M$93*'Plan mensual'!H94</f>
        <v>4.19092332720213</v>
      </c>
      <c r="G83" s="26" t="n">
        <f aca="false">parametros_recargas!$E$93*'Plan mensual'!I85+parametros_recargas!$F$93*'Plan mensual'!I86+parametros_recargas!$G$93*'Plan mensual'!I87+parametros_recargas!$H$93*'Plan mensual'!I88+parametros_recargas!$I$93*'Plan mensual'!I89+parametros_recargas!$J$93*'Plan mensual'!I90+parametros_recargas!$K$93*'Plan mensual'!I91+parametros_recargas!$L$93*'Plan mensual'!I92+parametros_recargas!$M$93*'Plan mensual'!I94</f>
        <v>4.19092332720213</v>
      </c>
      <c r="H83" s="26" t="n">
        <f aca="false">parametros_recargas!$E$93*'Plan mensual'!J85+parametros_recargas!$F$93*'Plan mensual'!J86+parametros_recargas!$G$93*'Plan mensual'!J87+parametros_recargas!$H$93*'Plan mensual'!J88+parametros_recargas!$I$93*'Plan mensual'!J89+parametros_recargas!$J$93*'Plan mensual'!J90+parametros_recargas!$K$93*'Plan mensual'!J91+parametros_recargas!$L$93*'Plan mensual'!J92+parametros_recargas!$M$93*'Plan mensual'!J94</f>
        <v>4.19092332720213</v>
      </c>
      <c r="I83" s="26" t="n">
        <f aca="false">parametros_recargas!$E$93*'Plan mensual'!K85+parametros_recargas!$F$93*'Plan mensual'!K86+parametros_recargas!$G$93*'Plan mensual'!K87+parametros_recargas!$H$93*'Plan mensual'!K88+parametros_recargas!$I$93*'Plan mensual'!K89+parametros_recargas!$J$93*'Plan mensual'!K90+parametros_recargas!$K$93*'Plan mensual'!K91+parametros_recargas!$L$93*'Plan mensual'!K92+parametros_recargas!$M$93*'Plan mensual'!K94</f>
        <v>4.19092332720213</v>
      </c>
      <c r="J83" s="26" t="n">
        <f aca="false">parametros_recargas!$E$93*'Plan mensual'!L85+parametros_recargas!$F$93*'Plan mensual'!L86+parametros_recargas!$G$93*'Plan mensual'!L87+parametros_recargas!$H$93*'Plan mensual'!L88+parametros_recargas!$I$93*'Plan mensual'!L89+parametros_recargas!$J$93*'Plan mensual'!L90+parametros_recargas!$K$93*'Plan mensual'!L91+parametros_recargas!$L$93*'Plan mensual'!L92+parametros_recargas!$M$93*'Plan mensual'!L94</f>
        <v>4.19092332720213</v>
      </c>
      <c r="K83" s="26" t="n">
        <f aca="false">parametros_recargas!$E$93*'Plan mensual'!M85+parametros_recargas!$F$93*'Plan mensual'!M86+parametros_recargas!$G$93*'Plan mensual'!M87+parametros_recargas!$H$93*'Plan mensual'!M88+parametros_recargas!$I$93*'Plan mensual'!M89+parametros_recargas!$J$93*'Plan mensual'!M90+parametros_recargas!$K$93*'Plan mensual'!M91+parametros_recargas!$L$93*'Plan mensual'!M92+parametros_recargas!$M$93*'Plan mensual'!M94</f>
        <v>4.19092332720213</v>
      </c>
      <c r="L83" s="26" t="n">
        <f aca="false">parametros_recargas!$E$93*'Plan mensual'!N85+parametros_recargas!$F$93*'Plan mensual'!N86+parametros_recargas!$G$93*'Plan mensual'!N87+parametros_recargas!$H$93*'Plan mensual'!N88+parametros_recargas!$I$93*'Plan mensual'!N89+parametros_recargas!$J$93*'Plan mensual'!N90+parametros_recargas!$K$93*'Plan mensual'!N91+parametros_recargas!$L$93*'Plan mensual'!N92+parametros_recargas!$M$93*'Plan mensual'!N94</f>
        <v>4.19092332720213</v>
      </c>
      <c r="M83" s="26" t="n">
        <f aca="false">parametros_recargas!$E$93*'Plan mensual'!O85+parametros_recargas!$F$93*'Plan mensual'!O86+parametros_recargas!$G$93*'Plan mensual'!O87+parametros_recargas!$H$93*'Plan mensual'!O88+parametros_recargas!$I$93*'Plan mensual'!O89+parametros_recargas!$J$93*'Plan mensual'!O90+parametros_recargas!$K$93*'Plan mensual'!O91+parametros_recargas!$L$93*'Plan mensual'!O92+parametros_recargas!$M$93*'Plan mensual'!O94</f>
        <v>4.19092332720213</v>
      </c>
      <c r="N83" s="8" t="n">
        <f aca="false">SUM(B83:M83)</f>
        <v>50.2910799264256</v>
      </c>
      <c r="O83" s="27" t="n">
        <f aca="false">MAX(B83:M83)</f>
        <v>4.19092332720213</v>
      </c>
      <c r="P83" s="13" t="n">
        <f aca="false">O83/parametros_recargas!$B$6</f>
        <v>0.0279394888480142</v>
      </c>
    </row>
    <row r="84" customFormat="false" ht="15" hidden="false" customHeight="false" outlineLevel="0" collapsed="false">
      <c r="A84" s="10" t="str">
        <f aca="false">parametros_recargas!$B$94</f>
        <v>Carga de agua / AFFF / sales K</v>
      </c>
      <c r="B84" s="26" t="n">
        <f aca="false">parametros_recargas!$E$94*'Plan mensual'!D85+parametros_recargas!$F$94*'Plan mensual'!D86+parametros_recargas!$G$94*'Plan mensual'!D87+parametros_recargas!$H$94*'Plan mensual'!D88+parametros_recargas!$I$94*'Plan mensual'!D89+parametros_recargas!$J$94*'Plan mensual'!D90+parametros_recargas!$K$94*'Plan mensual'!D91+parametros_recargas!$L$94*'Plan mensual'!D92+parametros_recargas!$M$94*'Plan mensual'!D94</f>
        <v>154.594244058758</v>
      </c>
      <c r="C84" s="26" t="n">
        <f aca="false">parametros_recargas!$E$94*'Plan mensual'!E85+parametros_recargas!$F$94*'Plan mensual'!E86+parametros_recargas!$G$94*'Plan mensual'!E87+parametros_recargas!$H$94*'Plan mensual'!E88+parametros_recargas!$I$94*'Plan mensual'!E89+parametros_recargas!$J$94*'Plan mensual'!E90+parametros_recargas!$K$94*'Plan mensual'!E91+parametros_recargas!$L$94*'Plan mensual'!E92+parametros_recargas!$M$94*'Plan mensual'!E94</f>
        <v>215.569066435552</v>
      </c>
      <c r="D84" s="26" t="n">
        <f aca="false">parametros_recargas!$E$94*'Plan mensual'!F85+parametros_recargas!$F$94*'Plan mensual'!F86+parametros_recargas!$G$94*'Plan mensual'!F87+parametros_recargas!$H$94*'Plan mensual'!F88+parametros_recargas!$I$94*'Plan mensual'!F89+parametros_recargas!$J$94*'Plan mensual'!F90+parametros_recargas!$K$94*'Plan mensual'!F91+parametros_recargas!$L$94*'Plan mensual'!F92+parametros_recargas!$M$94*'Plan mensual'!F94</f>
        <v>154.594244058758</v>
      </c>
      <c r="E84" s="26" t="n">
        <f aca="false">parametros_recargas!$E$94*'Plan mensual'!G85+parametros_recargas!$F$94*'Plan mensual'!G86+parametros_recargas!$G$94*'Plan mensual'!G87+parametros_recargas!$H$94*'Plan mensual'!G88+parametros_recargas!$I$94*'Plan mensual'!G89+parametros_recargas!$J$94*'Plan mensual'!G90+parametros_recargas!$K$94*'Plan mensual'!G91+parametros_recargas!$L$94*'Plan mensual'!G92+parametros_recargas!$M$94*'Plan mensual'!G94</f>
        <v>154.594244058758</v>
      </c>
      <c r="F84" s="26" t="n">
        <f aca="false">parametros_recargas!$E$94*'Plan mensual'!H85+parametros_recargas!$F$94*'Plan mensual'!H86+parametros_recargas!$G$94*'Plan mensual'!H87+parametros_recargas!$H$94*'Plan mensual'!H88+parametros_recargas!$I$94*'Plan mensual'!H89+parametros_recargas!$J$94*'Plan mensual'!H90+parametros_recargas!$K$94*'Plan mensual'!H91+parametros_recargas!$L$94*'Plan mensual'!H92+parametros_recargas!$M$94*'Plan mensual'!H94</f>
        <v>154.594244058758</v>
      </c>
      <c r="G84" s="26" t="n">
        <f aca="false">parametros_recargas!$E$94*'Plan mensual'!I85+parametros_recargas!$F$94*'Plan mensual'!I86+parametros_recargas!$G$94*'Plan mensual'!I87+parametros_recargas!$H$94*'Plan mensual'!I88+parametros_recargas!$I$94*'Plan mensual'!I89+parametros_recargas!$J$94*'Plan mensual'!I90+parametros_recargas!$K$94*'Plan mensual'!I91+parametros_recargas!$L$94*'Plan mensual'!I92+parametros_recargas!$M$94*'Plan mensual'!I94</f>
        <v>154.594244058758</v>
      </c>
      <c r="H84" s="26" t="n">
        <f aca="false">parametros_recargas!$E$94*'Plan mensual'!J85+parametros_recargas!$F$94*'Plan mensual'!J86+parametros_recargas!$G$94*'Plan mensual'!J87+parametros_recargas!$H$94*'Plan mensual'!J88+parametros_recargas!$I$94*'Plan mensual'!J89+parametros_recargas!$J$94*'Plan mensual'!J90+parametros_recargas!$K$94*'Plan mensual'!J91+parametros_recargas!$L$94*'Plan mensual'!J92+parametros_recargas!$M$94*'Plan mensual'!J94</f>
        <v>154.594244058758</v>
      </c>
      <c r="I84" s="26" t="n">
        <f aca="false">parametros_recargas!$E$94*'Plan mensual'!K85+parametros_recargas!$F$94*'Plan mensual'!K86+parametros_recargas!$G$94*'Plan mensual'!K87+parametros_recargas!$H$94*'Plan mensual'!K88+parametros_recargas!$I$94*'Plan mensual'!K89+parametros_recargas!$J$94*'Plan mensual'!K90+parametros_recargas!$K$94*'Plan mensual'!K91+parametros_recargas!$L$94*'Plan mensual'!K92+parametros_recargas!$M$94*'Plan mensual'!K94</f>
        <v>154.594244058758</v>
      </c>
      <c r="J84" s="26" t="n">
        <f aca="false">parametros_recargas!$E$94*'Plan mensual'!L85+parametros_recargas!$F$94*'Plan mensual'!L86+parametros_recargas!$G$94*'Plan mensual'!L87+parametros_recargas!$H$94*'Plan mensual'!L88+parametros_recargas!$I$94*'Plan mensual'!L89+parametros_recargas!$J$94*'Plan mensual'!L90+parametros_recargas!$K$94*'Plan mensual'!L91+parametros_recargas!$L$94*'Plan mensual'!L92+parametros_recargas!$M$94*'Plan mensual'!L94</f>
        <v>154.594244058758</v>
      </c>
      <c r="K84" s="26" t="n">
        <f aca="false">parametros_recargas!$E$94*'Plan mensual'!M85+parametros_recargas!$F$94*'Plan mensual'!M86+parametros_recargas!$G$94*'Plan mensual'!M87+parametros_recargas!$H$94*'Plan mensual'!M88+parametros_recargas!$I$94*'Plan mensual'!M89+parametros_recargas!$J$94*'Plan mensual'!M90+parametros_recargas!$K$94*'Plan mensual'!M91+parametros_recargas!$L$94*'Plan mensual'!M92+parametros_recargas!$M$94*'Plan mensual'!M94</f>
        <v>154.594244058758</v>
      </c>
      <c r="L84" s="26" t="n">
        <f aca="false">parametros_recargas!$E$94*'Plan mensual'!N85+parametros_recargas!$F$94*'Plan mensual'!N86+parametros_recargas!$G$94*'Plan mensual'!N87+parametros_recargas!$H$94*'Plan mensual'!N88+parametros_recargas!$I$94*'Plan mensual'!N89+parametros_recargas!$J$94*'Plan mensual'!N90+parametros_recargas!$K$94*'Plan mensual'!N91+parametros_recargas!$L$94*'Plan mensual'!N92+parametros_recargas!$M$94*'Plan mensual'!N94</f>
        <v>154.594244058758</v>
      </c>
      <c r="M84" s="26" t="n">
        <f aca="false">parametros_recargas!$E$94*'Plan mensual'!O85+parametros_recargas!$F$94*'Plan mensual'!O86+parametros_recargas!$G$94*'Plan mensual'!O87+parametros_recargas!$H$94*'Plan mensual'!O88+parametros_recargas!$I$94*'Plan mensual'!O89+parametros_recargas!$J$94*'Plan mensual'!O90+parametros_recargas!$K$94*'Plan mensual'!O91+parametros_recargas!$L$94*'Plan mensual'!O92+parametros_recargas!$M$94*'Plan mensual'!O94</f>
        <v>154.594244058758</v>
      </c>
      <c r="N84" s="8" t="n">
        <f aca="false">SUM(B84:M84)</f>
        <v>1916.10575108189</v>
      </c>
      <c r="O84" s="27" t="n">
        <f aca="false">MAX(B84:M84)</f>
        <v>215.569066435552</v>
      </c>
      <c r="P84" s="13" t="n">
        <f aca="false">O84/parametros_recargas!$B$6</f>
        <v>1.43712710957035</v>
      </c>
    </row>
    <row r="85" customFormat="false" ht="15" hidden="false" customHeight="false" outlineLevel="0" collapsed="false">
      <c r="A85" s="10" t="str">
        <f aca="false">parametros_recargas!$B$95</f>
        <v>Carga de CO₂</v>
      </c>
      <c r="B85" s="26" t="n">
        <f aca="false">parametros_recargas!$E$95*'Plan mensual'!D85+parametros_recargas!$F$95*'Plan mensual'!D86+parametros_recargas!$G$95*'Plan mensual'!D87+parametros_recargas!$H$95*'Plan mensual'!D88+parametros_recargas!$I$95*'Plan mensual'!D89+parametros_recargas!$J$95*'Plan mensual'!D90+parametros_recargas!$K$95*'Plan mensual'!D91+parametros_recargas!$L$95*'Plan mensual'!D92+parametros_recargas!$M$95*'Plan mensual'!D94</f>
        <v>83.1529725953415</v>
      </c>
      <c r="C85" s="26" t="n">
        <f aca="false">parametros_recargas!$E$95*'Plan mensual'!E85+parametros_recargas!$F$95*'Plan mensual'!E86+parametros_recargas!$G$95*'Plan mensual'!E87+parametros_recargas!$H$95*'Plan mensual'!E88+parametros_recargas!$I$95*'Plan mensual'!E89+parametros_recargas!$J$95*'Plan mensual'!E90+parametros_recargas!$K$95*'Plan mensual'!E91+parametros_recargas!$L$95*'Plan mensual'!E92+parametros_recargas!$M$95*'Plan mensual'!E94</f>
        <v>130.083715765244</v>
      </c>
      <c r="D85" s="26" t="n">
        <f aca="false">parametros_recargas!$E$95*'Plan mensual'!F85+parametros_recargas!$F$95*'Plan mensual'!F86+parametros_recargas!$G$95*'Plan mensual'!F87+parametros_recargas!$H$95*'Plan mensual'!F88+parametros_recargas!$I$95*'Plan mensual'!F89+parametros_recargas!$J$95*'Plan mensual'!F90+parametros_recargas!$K$95*'Plan mensual'!F91+parametros_recargas!$L$95*'Plan mensual'!F92+parametros_recargas!$M$95*'Plan mensual'!F94</f>
        <v>83.1529725953415</v>
      </c>
      <c r="E85" s="26" t="n">
        <f aca="false">parametros_recargas!$E$95*'Plan mensual'!G85+parametros_recargas!$F$95*'Plan mensual'!G86+parametros_recargas!$G$95*'Plan mensual'!G87+parametros_recargas!$H$95*'Plan mensual'!G88+parametros_recargas!$I$95*'Plan mensual'!G89+parametros_recargas!$J$95*'Plan mensual'!G90+parametros_recargas!$K$95*'Plan mensual'!G91+parametros_recargas!$L$95*'Plan mensual'!G92+parametros_recargas!$M$95*'Plan mensual'!G94</f>
        <v>83.1529725953415</v>
      </c>
      <c r="F85" s="26" t="n">
        <f aca="false">parametros_recargas!$E$95*'Plan mensual'!H85+parametros_recargas!$F$95*'Plan mensual'!H86+parametros_recargas!$G$95*'Plan mensual'!H87+parametros_recargas!$H$95*'Plan mensual'!H88+parametros_recargas!$I$95*'Plan mensual'!H89+parametros_recargas!$J$95*'Plan mensual'!H90+parametros_recargas!$K$95*'Plan mensual'!H91+parametros_recargas!$L$95*'Plan mensual'!H92+parametros_recargas!$M$95*'Plan mensual'!H94</f>
        <v>83.1529725953415</v>
      </c>
      <c r="G85" s="26" t="n">
        <f aca="false">parametros_recargas!$E$95*'Plan mensual'!I85+parametros_recargas!$F$95*'Plan mensual'!I86+parametros_recargas!$G$95*'Plan mensual'!I87+parametros_recargas!$H$95*'Plan mensual'!I88+parametros_recargas!$I$95*'Plan mensual'!I89+parametros_recargas!$J$95*'Plan mensual'!I90+parametros_recargas!$K$95*'Plan mensual'!I91+parametros_recargas!$L$95*'Plan mensual'!I92+parametros_recargas!$M$95*'Plan mensual'!I94</f>
        <v>83.1529725953415</v>
      </c>
      <c r="H85" s="26" t="n">
        <f aca="false">parametros_recargas!$E$95*'Plan mensual'!J85+parametros_recargas!$F$95*'Plan mensual'!J86+parametros_recargas!$G$95*'Plan mensual'!J87+parametros_recargas!$H$95*'Plan mensual'!J88+parametros_recargas!$I$95*'Plan mensual'!J89+parametros_recargas!$J$95*'Plan mensual'!J90+parametros_recargas!$K$95*'Plan mensual'!J91+parametros_recargas!$L$95*'Plan mensual'!J92+parametros_recargas!$M$95*'Plan mensual'!J94</f>
        <v>83.1529725953415</v>
      </c>
      <c r="I85" s="26" t="n">
        <f aca="false">parametros_recargas!$E$95*'Plan mensual'!K85+parametros_recargas!$F$95*'Plan mensual'!K86+parametros_recargas!$G$95*'Plan mensual'!K87+parametros_recargas!$H$95*'Plan mensual'!K88+parametros_recargas!$I$95*'Plan mensual'!K89+parametros_recargas!$J$95*'Plan mensual'!K90+parametros_recargas!$K$95*'Plan mensual'!K91+parametros_recargas!$L$95*'Plan mensual'!K92+parametros_recargas!$M$95*'Plan mensual'!K94</f>
        <v>83.1529725953415</v>
      </c>
      <c r="J85" s="26" t="n">
        <f aca="false">parametros_recargas!$E$95*'Plan mensual'!L85+parametros_recargas!$F$95*'Plan mensual'!L86+parametros_recargas!$G$95*'Plan mensual'!L87+parametros_recargas!$H$95*'Plan mensual'!L88+parametros_recargas!$I$95*'Plan mensual'!L89+parametros_recargas!$J$95*'Plan mensual'!L90+parametros_recargas!$K$95*'Plan mensual'!L91+parametros_recargas!$L$95*'Plan mensual'!L92+parametros_recargas!$M$95*'Plan mensual'!L94</f>
        <v>83.1529725953415</v>
      </c>
      <c r="K85" s="26" t="n">
        <f aca="false">parametros_recargas!$E$95*'Plan mensual'!M85+parametros_recargas!$F$95*'Plan mensual'!M86+parametros_recargas!$G$95*'Plan mensual'!M87+parametros_recargas!$H$95*'Plan mensual'!M88+parametros_recargas!$I$95*'Plan mensual'!M89+parametros_recargas!$J$95*'Plan mensual'!M90+parametros_recargas!$K$95*'Plan mensual'!M91+parametros_recargas!$L$95*'Plan mensual'!M92+parametros_recargas!$M$95*'Plan mensual'!M94</f>
        <v>83.1529725953415</v>
      </c>
      <c r="L85" s="26" t="n">
        <f aca="false">parametros_recargas!$E$95*'Plan mensual'!N85+parametros_recargas!$F$95*'Plan mensual'!N86+parametros_recargas!$G$95*'Plan mensual'!N87+parametros_recargas!$H$95*'Plan mensual'!N88+parametros_recargas!$I$95*'Plan mensual'!N89+parametros_recargas!$J$95*'Plan mensual'!N90+parametros_recargas!$K$95*'Plan mensual'!N91+parametros_recargas!$L$95*'Plan mensual'!N92+parametros_recargas!$M$95*'Plan mensual'!N94</f>
        <v>83.1529725953415</v>
      </c>
      <c r="M85" s="26" t="n">
        <f aca="false">parametros_recargas!$E$95*'Plan mensual'!O85+parametros_recargas!$F$95*'Plan mensual'!O86+parametros_recargas!$G$95*'Plan mensual'!O87+parametros_recargas!$H$95*'Plan mensual'!O88+parametros_recargas!$I$95*'Plan mensual'!O89+parametros_recargas!$J$95*'Plan mensual'!O90+parametros_recargas!$K$95*'Plan mensual'!O91+parametros_recargas!$L$95*'Plan mensual'!O92+parametros_recargas!$M$95*'Plan mensual'!O94</f>
        <v>83.1529725953415</v>
      </c>
      <c r="N85" s="8" t="n">
        <f aca="false">SUM(B85:M85)</f>
        <v>1044.766414314</v>
      </c>
      <c r="O85" s="27" t="n">
        <f aca="false">MAX(B85:M85)</f>
        <v>130.083715765244</v>
      </c>
      <c r="P85" s="13" t="n">
        <f aca="false">O85/parametros_recargas!$B$6</f>
        <v>0.867224771768296</v>
      </c>
    </row>
    <row r="86" customFormat="false" ht="15" hidden="false" customHeight="false" outlineLevel="0" collapsed="false">
      <c r="A86" s="10" t="str">
        <f aca="false">parametros_recargas!$B$96</f>
        <v>Ensamblaje y marbete — recinto</v>
      </c>
      <c r="B86" s="26" t="n">
        <f aca="false">parametros_recargas!$E$96*'Plan mensual'!D85+parametros_recargas!$F$96*'Plan mensual'!D86+parametros_recargas!$G$96*'Plan mensual'!D87+parametros_recargas!$H$96*'Plan mensual'!D88+parametros_recargas!$I$96*'Plan mensual'!D89+parametros_recargas!$J$96*'Plan mensual'!D90+parametros_recargas!$K$96*'Plan mensual'!D91+parametros_recargas!$L$96*'Plan mensual'!D92+parametros_recargas!$M$96*'Plan mensual'!D94</f>
        <v>1296.66862664078</v>
      </c>
      <c r="C86" s="26" t="n">
        <f aca="false">parametros_recargas!$E$96*'Plan mensual'!E85+parametros_recargas!$F$96*'Plan mensual'!E86+parametros_recargas!$G$96*'Plan mensual'!E87+parametros_recargas!$H$96*'Plan mensual'!E88+parametros_recargas!$I$96*'Plan mensual'!E89+parametros_recargas!$J$96*'Plan mensual'!E90+parametros_recargas!$K$96*'Plan mensual'!E91+parametros_recargas!$L$96*'Plan mensual'!E92+parametros_recargas!$M$96*'Plan mensual'!E94</f>
        <v>3396.26700563948</v>
      </c>
      <c r="D86" s="26" t="n">
        <f aca="false">parametros_recargas!$E$96*'Plan mensual'!F85+parametros_recargas!$F$96*'Plan mensual'!F86+parametros_recargas!$G$96*'Plan mensual'!F87+parametros_recargas!$H$96*'Plan mensual'!F88+parametros_recargas!$I$96*'Plan mensual'!F89+parametros_recargas!$J$96*'Plan mensual'!F90+parametros_recargas!$K$96*'Plan mensual'!F91+parametros_recargas!$L$96*'Plan mensual'!F92+parametros_recargas!$M$96*'Plan mensual'!F94</f>
        <v>2899.83904541379</v>
      </c>
      <c r="E86" s="26" t="n">
        <f aca="false">parametros_recargas!$E$96*'Plan mensual'!G85+parametros_recargas!$F$96*'Plan mensual'!G86+parametros_recargas!$G$96*'Plan mensual'!G87+parametros_recargas!$H$96*'Plan mensual'!G88+parametros_recargas!$I$96*'Plan mensual'!G89+parametros_recargas!$J$96*'Plan mensual'!G90+parametros_recargas!$K$96*'Plan mensual'!G91+parametros_recargas!$L$96*'Plan mensual'!G92+parametros_recargas!$M$96*'Plan mensual'!G94</f>
        <v>2912.2530690025</v>
      </c>
      <c r="F86" s="26" t="n">
        <f aca="false">parametros_recargas!$E$96*'Plan mensual'!H85+parametros_recargas!$F$96*'Plan mensual'!H86+parametros_recargas!$G$96*'Plan mensual'!H87+parametros_recargas!$H$96*'Plan mensual'!H88+parametros_recargas!$I$96*'Plan mensual'!H89+parametros_recargas!$J$96*'Plan mensual'!H90+parametros_recargas!$K$96*'Plan mensual'!H91+parametros_recargas!$L$96*'Plan mensual'!H92+parametros_recargas!$M$96*'Plan mensual'!H94</f>
        <v>2912.17751549641</v>
      </c>
      <c r="G86" s="26" t="n">
        <f aca="false">parametros_recargas!$E$96*'Plan mensual'!I85+parametros_recargas!$F$96*'Plan mensual'!I86+parametros_recargas!$G$96*'Plan mensual'!I87+parametros_recargas!$H$96*'Plan mensual'!I88+parametros_recargas!$I$96*'Plan mensual'!I89+parametros_recargas!$J$96*'Plan mensual'!I90+parametros_recargas!$K$96*'Plan mensual'!I91+parametros_recargas!$L$96*'Plan mensual'!I92+parametros_recargas!$M$96*'Plan mensual'!I94</f>
        <v>2905.20362248922</v>
      </c>
      <c r="H86" s="26" t="n">
        <f aca="false">parametros_recargas!$E$96*'Plan mensual'!J85+parametros_recargas!$F$96*'Plan mensual'!J86+parametros_recargas!$G$96*'Plan mensual'!J87+parametros_recargas!$H$96*'Plan mensual'!J88+parametros_recargas!$I$96*'Plan mensual'!J89+parametros_recargas!$J$96*'Plan mensual'!J90+parametros_recargas!$K$96*'Plan mensual'!J91+parametros_recargas!$L$96*'Plan mensual'!J92+parametros_recargas!$M$96*'Plan mensual'!J94</f>
        <v>2924.83877069551</v>
      </c>
      <c r="I86" s="26" t="n">
        <f aca="false">parametros_recargas!$E$96*'Plan mensual'!K85+parametros_recargas!$F$96*'Plan mensual'!K86+parametros_recargas!$G$96*'Plan mensual'!K87+parametros_recargas!$H$96*'Plan mensual'!K88+parametros_recargas!$I$96*'Plan mensual'!K89+parametros_recargas!$J$96*'Plan mensual'!K90+parametros_recargas!$K$96*'Plan mensual'!K91+parametros_recargas!$L$96*'Plan mensual'!K92+parametros_recargas!$M$96*'Plan mensual'!K94</f>
        <v>2910.86831174136</v>
      </c>
      <c r="J86" s="26" t="n">
        <f aca="false">parametros_recargas!$E$96*'Plan mensual'!L85+parametros_recargas!$F$96*'Plan mensual'!L86+parametros_recargas!$G$96*'Plan mensual'!L87+parametros_recargas!$H$96*'Plan mensual'!L88+parametros_recargas!$I$96*'Plan mensual'!L89+parametros_recargas!$J$96*'Plan mensual'!L90+parametros_recargas!$K$96*'Plan mensual'!L91+parametros_recargas!$L$96*'Plan mensual'!L92+parametros_recargas!$M$96*'Plan mensual'!L94</f>
        <v>2912.87228467012</v>
      </c>
      <c r="K86" s="26" t="n">
        <f aca="false">parametros_recargas!$E$96*'Plan mensual'!M85+parametros_recargas!$F$96*'Plan mensual'!M86+parametros_recargas!$G$96*'Plan mensual'!M87+parametros_recargas!$H$96*'Plan mensual'!M88+parametros_recargas!$I$96*'Plan mensual'!M89+parametros_recargas!$J$96*'Plan mensual'!M90+parametros_recargas!$K$96*'Plan mensual'!M91+parametros_recargas!$L$96*'Plan mensual'!M92+parametros_recargas!$M$96*'Plan mensual'!M94</f>
        <v>2904.59855274159</v>
      </c>
      <c r="L86" s="26" t="n">
        <f aca="false">parametros_recargas!$E$96*'Plan mensual'!N85+parametros_recargas!$F$96*'Plan mensual'!N86+parametros_recargas!$G$96*'Plan mensual'!N87+parametros_recargas!$H$96*'Plan mensual'!N88+parametros_recargas!$I$96*'Plan mensual'!N89+parametros_recargas!$J$96*'Plan mensual'!N90+parametros_recargas!$K$96*'Plan mensual'!N91+parametros_recargas!$L$96*'Plan mensual'!N92+parametros_recargas!$M$96*'Plan mensual'!N94</f>
        <v>2872.68808197461</v>
      </c>
      <c r="M86" s="26" t="n">
        <f aca="false">parametros_recargas!$E$96*'Plan mensual'!O85+parametros_recargas!$F$96*'Plan mensual'!O86+parametros_recargas!$G$96*'Plan mensual'!O87+parametros_recargas!$H$96*'Plan mensual'!O88+parametros_recargas!$I$96*'Plan mensual'!O89+parametros_recargas!$J$96*'Plan mensual'!O90+parametros_recargas!$K$96*'Plan mensual'!O91+parametros_recargas!$L$96*'Plan mensual'!O92+parametros_recargas!$M$96*'Plan mensual'!O94</f>
        <v>1213.67489240101</v>
      </c>
      <c r="N86" s="8" t="n">
        <f aca="false">SUM(B86:M86)</f>
        <v>32061.9497789064</v>
      </c>
      <c r="O86" s="27" t="n">
        <f aca="false">MAX(B86:M86)</f>
        <v>3396.26700563948</v>
      </c>
      <c r="P86" s="13" t="n">
        <f aca="false">O86/parametros_recargas!$B$6</f>
        <v>22.6417800375965</v>
      </c>
    </row>
    <row r="87" customFormat="false" ht="15" hidden="false" customHeight="false" outlineLevel="0" collapsed="false">
      <c r="A87" s="10" t="str">
        <f aca="false">parametros_recargas!$B$97</f>
        <v>Presurización — recinto</v>
      </c>
      <c r="B87" s="26" t="n">
        <f aca="false">parametros_recargas!$E$97*'Plan mensual'!D85+parametros_recargas!$F$97*'Plan mensual'!D86+parametros_recargas!$G$97*'Plan mensual'!D87+parametros_recargas!$H$97*'Plan mensual'!D88+parametros_recargas!$I$97*'Plan mensual'!D89+parametros_recargas!$J$97*'Plan mensual'!D90+parametros_recargas!$K$97*'Plan mensual'!D91+parametros_recargas!$L$97*'Plan mensual'!D92+parametros_recargas!$M$97*'Plan mensual'!D94</f>
        <v>1296.66862664078</v>
      </c>
      <c r="C87" s="26" t="n">
        <f aca="false">parametros_recargas!$E$97*'Plan mensual'!E85+parametros_recargas!$F$97*'Plan mensual'!E86+parametros_recargas!$G$97*'Plan mensual'!E87+parametros_recargas!$H$97*'Plan mensual'!E88+parametros_recargas!$I$97*'Plan mensual'!E89+parametros_recargas!$J$97*'Plan mensual'!E90+parametros_recargas!$K$97*'Plan mensual'!E91+parametros_recargas!$L$97*'Plan mensual'!E92+parametros_recargas!$M$97*'Plan mensual'!E94</f>
        <v>3396.26700563948</v>
      </c>
      <c r="D87" s="26" t="n">
        <f aca="false">parametros_recargas!$E$97*'Plan mensual'!F85+parametros_recargas!$F$97*'Plan mensual'!F86+parametros_recargas!$G$97*'Plan mensual'!F87+parametros_recargas!$H$97*'Plan mensual'!F88+parametros_recargas!$I$97*'Plan mensual'!F89+parametros_recargas!$J$97*'Plan mensual'!F90+parametros_recargas!$K$97*'Plan mensual'!F91+parametros_recargas!$L$97*'Plan mensual'!F92+parametros_recargas!$M$97*'Plan mensual'!F94</f>
        <v>2899.83904541379</v>
      </c>
      <c r="E87" s="26" t="n">
        <f aca="false">parametros_recargas!$E$97*'Plan mensual'!G85+parametros_recargas!$F$97*'Plan mensual'!G86+parametros_recargas!$G$97*'Plan mensual'!G87+parametros_recargas!$H$97*'Plan mensual'!G88+parametros_recargas!$I$97*'Plan mensual'!G89+parametros_recargas!$J$97*'Plan mensual'!G90+parametros_recargas!$K$97*'Plan mensual'!G91+parametros_recargas!$L$97*'Plan mensual'!G92+parametros_recargas!$M$97*'Plan mensual'!G94</f>
        <v>2912.2530690025</v>
      </c>
      <c r="F87" s="26" t="n">
        <f aca="false">parametros_recargas!$E$97*'Plan mensual'!H85+parametros_recargas!$F$97*'Plan mensual'!H86+parametros_recargas!$G$97*'Plan mensual'!H87+parametros_recargas!$H$97*'Plan mensual'!H88+parametros_recargas!$I$97*'Plan mensual'!H89+parametros_recargas!$J$97*'Plan mensual'!H90+parametros_recargas!$K$97*'Plan mensual'!H91+parametros_recargas!$L$97*'Plan mensual'!H92+parametros_recargas!$M$97*'Plan mensual'!H94</f>
        <v>2912.17751549641</v>
      </c>
      <c r="G87" s="26" t="n">
        <f aca="false">parametros_recargas!$E$97*'Plan mensual'!I85+parametros_recargas!$F$97*'Plan mensual'!I86+parametros_recargas!$G$97*'Plan mensual'!I87+parametros_recargas!$H$97*'Plan mensual'!I88+parametros_recargas!$I$97*'Plan mensual'!I89+parametros_recargas!$J$97*'Plan mensual'!I90+parametros_recargas!$K$97*'Plan mensual'!I91+parametros_recargas!$L$97*'Plan mensual'!I92+parametros_recargas!$M$97*'Plan mensual'!I94</f>
        <v>2905.20362248922</v>
      </c>
      <c r="H87" s="26" t="n">
        <f aca="false">parametros_recargas!$E$97*'Plan mensual'!J85+parametros_recargas!$F$97*'Plan mensual'!J86+parametros_recargas!$G$97*'Plan mensual'!J87+parametros_recargas!$H$97*'Plan mensual'!J88+parametros_recargas!$I$97*'Plan mensual'!J89+parametros_recargas!$J$97*'Plan mensual'!J90+parametros_recargas!$K$97*'Plan mensual'!J91+parametros_recargas!$L$97*'Plan mensual'!J92+parametros_recargas!$M$97*'Plan mensual'!J94</f>
        <v>2924.83877069551</v>
      </c>
      <c r="I87" s="26" t="n">
        <f aca="false">parametros_recargas!$E$97*'Plan mensual'!K85+parametros_recargas!$F$97*'Plan mensual'!K86+parametros_recargas!$G$97*'Plan mensual'!K87+parametros_recargas!$H$97*'Plan mensual'!K88+parametros_recargas!$I$97*'Plan mensual'!K89+parametros_recargas!$J$97*'Plan mensual'!K90+parametros_recargas!$K$97*'Plan mensual'!K91+parametros_recargas!$L$97*'Plan mensual'!K92+parametros_recargas!$M$97*'Plan mensual'!K94</f>
        <v>2910.86831174136</v>
      </c>
      <c r="J87" s="26" t="n">
        <f aca="false">parametros_recargas!$E$97*'Plan mensual'!L85+parametros_recargas!$F$97*'Plan mensual'!L86+parametros_recargas!$G$97*'Plan mensual'!L87+parametros_recargas!$H$97*'Plan mensual'!L88+parametros_recargas!$I$97*'Plan mensual'!L89+parametros_recargas!$J$97*'Plan mensual'!L90+parametros_recargas!$K$97*'Plan mensual'!L91+parametros_recargas!$L$97*'Plan mensual'!L92+parametros_recargas!$M$97*'Plan mensual'!L94</f>
        <v>2912.87228467012</v>
      </c>
      <c r="K87" s="26" t="n">
        <f aca="false">parametros_recargas!$E$97*'Plan mensual'!M85+parametros_recargas!$F$97*'Plan mensual'!M86+parametros_recargas!$G$97*'Plan mensual'!M87+parametros_recargas!$H$97*'Plan mensual'!M88+parametros_recargas!$I$97*'Plan mensual'!M89+parametros_recargas!$J$97*'Plan mensual'!M90+parametros_recargas!$K$97*'Plan mensual'!M91+parametros_recargas!$L$97*'Plan mensual'!M92+parametros_recargas!$M$97*'Plan mensual'!M94</f>
        <v>2904.59855274159</v>
      </c>
      <c r="L87" s="26" t="n">
        <f aca="false">parametros_recargas!$E$97*'Plan mensual'!N85+parametros_recargas!$F$97*'Plan mensual'!N86+parametros_recargas!$G$97*'Plan mensual'!N87+parametros_recargas!$H$97*'Plan mensual'!N88+parametros_recargas!$I$97*'Plan mensual'!N89+parametros_recargas!$J$97*'Plan mensual'!N90+parametros_recargas!$K$97*'Plan mensual'!N91+parametros_recargas!$L$97*'Plan mensual'!N92+parametros_recargas!$M$97*'Plan mensual'!N94</f>
        <v>2872.68808197461</v>
      </c>
      <c r="M87" s="26" t="n">
        <f aca="false">parametros_recargas!$E$97*'Plan mensual'!O85+parametros_recargas!$F$97*'Plan mensual'!O86+parametros_recargas!$G$97*'Plan mensual'!O87+parametros_recargas!$H$97*'Plan mensual'!O88+parametros_recargas!$I$97*'Plan mensual'!O89+parametros_recargas!$J$97*'Plan mensual'!O90+parametros_recargas!$K$97*'Plan mensual'!O91+parametros_recargas!$L$97*'Plan mensual'!O92+parametros_recargas!$M$97*'Plan mensual'!O94</f>
        <v>1213.67489240101</v>
      </c>
      <c r="N87" s="8" t="n">
        <f aca="false">SUM(B87:M87)</f>
        <v>32061.9497789064</v>
      </c>
      <c r="O87" s="27" t="n">
        <f aca="false">MAX(B87:M87)</f>
        <v>3396.26700563948</v>
      </c>
      <c r="P87" s="13" t="n">
        <f aca="false">O87/parametros_recargas!$B$6</f>
        <v>22.6417800375965</v>
      </c>
    </row>
    <row r="88" customFormat="false" ht="15" hidden="false" customHeight="false" outlineLevel="0" collapsed="false">
      <c r="A88" s="10" t="str">
        <f aca="false">parametros_recargas!$B$98</f>
        <v>Ensamblaje y presurización — zona general</v>
      </c>
      <c r="B88" s="26" t="n">
        <f aca="false">parametros_recargas!$E$98*'Plan mensual'!D85+parametros_recargas!$F$98*'Plan mensual'!D86+parametros_recargas!$G$98*'Plan mensual'!D87+parametros_recargas!$H$98*'Plan mensual'!D88+parametros_recargas!$I$98*'Plan mensual'!D89+parametros_recargas!$J$98*'Plan mensual'!D90+parametros_recargas!$K$98*'Plan mensual'!D91+parametros_recargas!$L$98*'Plan mensual'!D92+parametros_recargas!$M$98*'Plan mensual'!D94</f>
        <v>237.796809137435</v>
      </c>
      <c r="C88" s="26" t="n">
        <f aca="false">parametros_recargas!$E$98*'Plan mensual'!E85+parametros_recargas!$F$98*'Plan mensual'!E86+parametros_recargas!$G$98*'Plan mensual'!E87+parametros_recargas!$H$98*'Plan mensual'!E88+parametros_recargas!$I$98*'Plan mensual'!E89+parametros_recargas!$J$98*'Plan mensual'!E90+parametros_recargas!$K$98*'Plan mensual'!E91+parametros_recargas!$L$98*'Plan mensual'!E92+parametros_recargas!$M$98*'Plan mensual'!E94</f>
        <v>342.207183980444</v>
      </c>
      <c r="D88" s="26" t="n">
        <f aca="false">parametros_recargas!$E$98*'Plan mensual'!F85+parametros_recargas!$F$98*'Plan mensual'!F86+parametros_recargas!$G$98*'Plan mensual'!F87+parametros_recargas!$H$98*'Plan mensual'!F88+parametros_recargas!$I$98*'Plan mensual'!F89+parametros_recargas!$J$98*'Plan mensual'!F90+parametros_recargas!$K$98*'Plan mensual'!F91+parametros_recargas!$L$98*'Plan mensual'!F92+parametros_recargas!$M$98*'Plan mensual'!F94</f>
        <v>237.796809137435</v>
      </c>
      <c r="E88" s="26" t="n">
        <f aca="false">parametros_recargas!$E$98*'Plan mensual'!G85+parametros_recargas!$F$98*'Plan mensual'!G86+parametros_recargas!$G$98*'Plan mensual'!G87+parametros_recargas!$H$98*'Plan mensual'!G88+parametros_recargas!$I$98*'Plan mensual'!G89+parametros_recargas!$J$98*'Plan mensual'!G90+parametros_recargas!$K$98*'Plan mensual'!G91+parametros_recargas!$L$98*'Plan mensual'!G92+parametros_recargas!$M$98*'Plan mensual'!G94</f>
        <v>237.796809137435</v>
      </c>
      <c r="F88" s="26" t="n">
        <f aca="false">parametros_recargas!$E$98*'Plan mensual'!H85+parametros_recargas!$F$98*'Plan mensual'!H86+parametros_recargas!$G$98*'Plan mensual'!H87+parametros_recargas!$H$98*'Plan mensual'!H88+parametros_recargas!$I$98*'Plan mensual'!H89+parametros_recargas!$J$98*'Plan mensual'!H90+parametros_recargas!$K$98*'Plan mensual'!H91+parametros_recargas!$L$98*'Plan mensual'!H92+parametros_recargas!$M$98*'Plan mensual'!H94</f>
        <v>237.796809137435</v>
      </c>
      <c r="G88" s="26" t="n">
        <f aca="false">parametros_recargas!$E$98*'Plan mensual'!I85+parametros_recargas!$F$98*'Plan mensual'!I86+parametros_recargas!$G$98*'Plan mensual'!I87+parametros_recargas!$H$98*'Plan mensual'!I88+parametros_recargas!$I$98*'Plan mensual'!I89+parametros_recargas!$J$98*'Plan mensual'!I90+parametros_recargas!$K$98*'Plan mensual'!I91+parametros_recargas!$L$98*'Plan mensual'!I92+parametros_recargas!$M$98*'Plan mensual'!I94</f>
        <v>237.796809137435</v>
      </c>
      <c r="H88" s="26" t="n">
        <f aca="false">parametros_recargas!$E$98*'Plan mensual'!J85+parametros_recargas!$F$98*'Plan mensual'!J86+parametros_recargas!$G$98*'Plan mensual'!J87+parametros_recargas!$H$98*'Plan mensual'!J88+parametros_recargas!$I$98*'Plan mensual'!J89+parametros_recargas!$J$98*'Plan mensual'!J90+parametros_recargas!$K$98*'Plan mensual'!J91+parametros_recargas!$L$98*'Plan mensual'!J92+parametros_recargas!$M$98*'Plan mensual'!J94</f>
        <v>237.796809137435</v>
      </c>
      <c r="I88" s="26" t="n">
        <f aca="false">parametros_recargas!$E$98*'Plan mensual'!K85+parametros_recargas!$F$98*'Plan mensual'!K86+parametros_recargas!$G$98*'Plan mensual'!K87+parametros_recargas!$H$98*'Plan mensual'!K88+parametros_recargas!$I$98*'Plan mensual'!K89+parametros_recargas!$J$98*'Plan mensual'!K90+parametros_recargas!$K$98*'Plan mensual'!K91+parametros_recargas!$L$98*'Plan mensual'!K92+parametros_recargas!$M$98*'Plan mensual'!K94</f>
        <v>237.796809137435</v>
      </c>
      <c r="J88" s="26" t="n">
        <f aca="false">parametros_recargas!$E$98*'Plan mensual'!L85+parametros_recargas!$F$98*'Plan mensual'!L86+parametros_recargas!$G$98*'Plan mensual'!L87+parametros_recargas!$H$98*'Plan mensual'!L88+parametros_recargas!$I$98*'Plan mensual'!L89+parametros_recargas!$J$98*'Plan mensual'!L90+parametros_recargas!$K$98*'Plan mensual'!L91+parametros_recargas!$L$98*'Plan mensual'!L92+parametros_recargas!$M$98*'Plan mensual'!L94</f>
        <v>237.796809137435</v>
      </c>
      <c r="K88" s="26" t="n">
        <f aca="false">parametros_recargas!$E$98*'Plan mensual'!M85+parametros_recargas!$F$98*'Plan mensual'!M86+parametros_recargas!$G$98*'Plan mensual'!M87+parametros_recargas!$H$98*'Plan mensual'!M88+parametros_recargas!$I$98*'Plan mensual'!M89+parametros_recargas!$J$98*'Plan mensual'!M90+parametros_recargas!$K$98*'Plan mensual'!M91+parametros_recargas!$L$98*'Plan mensual'!M92+parametros_recargas!$M$98*'Plan mensual'!M94</f>
        <v>237.796809137435</v>
      </c>
      <c r="L88" s="26" t="n">
        <f aca="false">parametros_recargas!$E$98*'Plan mensual'!N85+parametros_recargas!$F$98*'Plan mensual'!N86+parametros_recargas!$G$98*'Plan mensual'!N87+parametros_recargas!$H$98*'Plan mensual'!N88+parametros_recargas!$I$98*'Plan mensual'!N89+parametros_recargas!$J$98*'Plan mensual'!N90+parametros_recargas!$K$98*'Plan mensual'!N91+parametros_recargas!$L$98*'Plan mensual'!N92+parametros_recargas!$M$98*'Plan mensual'!N94</f>
        <v>237.796809137435</v>
      </c>
      <c r="M88" s="26" t="n">
        <f aca="false">parametros_recargas!$E$98*'Plan mensual'!O85+parametros_recargas!$F$98*'Plan mensual'!O86+parametros_recargas!$G$98*'Plan mensual'!O87+parametros_recargas!$H$98*'Plan mensual'!O88+parametros_recargas!$I$98*'Plan mensual'!O89+parametros_recargas!$J$98*'Plan mensual'!O90+parametros_recargas!$K$98*'Plan mensual'!O91+parametros_recargas!$L$98*'Plan mensual'!O92+parametros_recargas!$M$98*'Plan mensual'!O94</f>
        <v>237.796809137435</v>
      </c>
      <c r="N88" s="8" t="n">
        <f aca="false">SUM(B88:M88)</f>
        <v>2957.97208449223</v>
      </c>
      <c r="O88" s="27" t="n">
        <f aca="false">MAX(B88:M88)</f>
        <v>342.207183980444</v>
      </c>
      <c r="P88" s="13" t="n">
        <f aca="false">O88/parametros_recargas!$B$6</f>
        <v>2.28138122653629</v>
      </c>
    </row>
    <row r="89" customFormat="false" ht="15" hidden="false" customHeight="false" outlineLevel="0" collapsed="false">
      <c r="A89" s="10" t="str">
        <f aca="false">parametros_recargas!$B$99</f>
        <v>Carga y presurización de halogenado</v>
      </c>
      <c r="B89" s="26" t="n">
        <f aca="false">parametros_recargas!$E$99*'Plan mensual'!D85+parametros_recargas!$F$99*'Plan mensual'!D86+parametros_recargas!$G$99*'Plan mensual'!D87+parametros_recargas!$H$99*'Plan mensual'!D88+parametros_recargas!$I$99*'Plan mensual'!D89+parametros_recargas!$J$99*'Plan mensual'!D90+parametros_recargas!$K$99*'Plan mensual'!D91+parametros_recargas!$L$99*'Plan mensual'!D92+parametros_recargas!$M$99*'Plan mensual'!D94</f>
        <v>3.79204940739712</v>
      </c>
      <c r="C89" s="26" t="n">
        <f aca="false">parametros_recargas!$E$99*'Plan mensual'!E85+parametros_recargas!$F$99*'Plan mensual'!E86+parametros_recargas!$G$99*'Plan mensual'!E87+parametros_recargas!$H$99*'Plan mensual'!E88+parametros_recargas!$I$99*'Plan mensual'!E89+parametros_recargas!$J$99*'Plan mensual'!E90+parametros_recargas!$K$99*'Plan mensual'!E91+parametros_recargas!$L$99*'Plan mensual'!E92+parametros_recargas!$M$99*'Plan mensual'!E94</f>
        <v>3.79204940739712</v>
      </c>
      <c r="D89" s="26" t="n">
        <f aca="false">parametros_recargas!$E$99*'Plan mensual'!F85+parametros_recargas!$F$99*'Plan mensual'!F86+parametros_recargas!$G$99*'Plan mensual'!F87+parametros_recargas!$H$99*'Plan mensual'!F88+parametros_recargas!$I$99*'Plan mensual'!F89+parametros_recargas!$J$99*'Plan mensual'!F90+parametros_recargas!$K$99*'Plan mensual'!F91+parametros_recargas!$L$99*'Plan mensual'!F92+parametros_recargas!$M$99*'Plan mensual'!F94</f>
        <v>3.79204940739712</v>
      </c>
      <c r="E89" s="26" t="n">
        <f aca="false">parametros_recargas!$E$99*'Plan mensual'!G85+parametros_recargas!$F$99*'Plan mensual'!G86+parametros_recargas!$G$99*'Plan mensual'!G87+parametros_recargas!$H$99*'Plan mensual'!G88+parametros_recargas!$I$99*'Plan mensual'!G89+parametros_recargas!$J$99*'Plan mensual'!G90+parametros_recargas!$K$99*'Plan mensual'!G91+parametros_recargas!$L$99*'Plan mensual'!G92+parametros_recargas!$M$99*'Plan mensual'!G94</f>
        <v>3.79204940739712</v>
      </c>
      <c r="F89" s="26" t="n">
        <f aca="false">parametros_recargas!$E$99*'Plan mensual'!H85+parametros_recargas!$F$99*'Plan mensual'!H86+parametros_recargas!$G$99*'Plan mensual'!H87+parametros_recargas!$H$99*'Plan mensual'!H88+parametros_recargas!$I$99*'Plan mensual'!H89+parametros_recargas!$J$99*'Plan mensual'!H90+parametros_recargas!$K$99*'Plan mensual'!H91+parametros_recargas!$L$99*'Plan mensual'!H92+parametros_recargas!$M$99*'Plan mensual'!H94</f>
        <v>3.79204940739712</v>
      </c>
      <c r="G89" s="26" t="n">
        <f aca="false">parametros_recargas!$E$99*'Plan mensual'!I85+parametros_recargas!$F$99*'Plan mensual'!I86+parametros_recargas!$G$99*'Plan mensual'!I87+parametros_recargas!$H$99*'Plan mensual'!I88+parametros_recargas!$I$99*'Plan mensual'!I89+parametros_recargas!$J$99*'Plan mensual'!I90+parametros_recargas!$K$99*'Plan mensual'!I91+parametros_recargas!$L$99*'Plan mensual'!I92+parametros_recargas!$M$99*'Plan mensual'!I94</f>
        <v>3.79204940739712</v>
      </c>
      <c r="H89" s="26" t="n">
        <f aca="false">parametros_recargas!$E$99*'Plan mensual'!J85+parametros_recargas!$F$99*'Plan mensual'!J86+parametros_recargas!$G$99*'Plan mensual'!J87+parametros_recargas!$H$99*'Plan mensual'!J88+parametros_recargas!$I$99*'Plan mensual'!J89+parametros_recargas!$J$99*'Plan mensual'!J90+parametros_recargas!$K$99*'Plan mensual'!J91+parametros_recargas!$L$99*'Plan mensual'!J92+parametros_recargas!$M$99*'Plan mensual'!J94</f>
        <v>3.79204940739712</v>
      </c>
      <c r="I89" s="26" t="n">
        <f aca="false">parametros_recargas!$E$99*'Plan mensual'!K85+parametros_recargas!$F$99*'Plan mensual'!K86+parametros_recargas!$G$99*'Plan mensual'!K87+parametros_recargas!$H$99*'Plan mensual'!K88+parametros_recargas!$I$99*'Plan mensual'!K89+parametros_recargas!$J$99*'Plan mensual'!K90+parametros_recargas!$K$99*'Plan mensual'!K91+parametros_recargas!$L$99*'Plan mensual'!K92+parametros_recargas!$M$99*'Plan mensual'!K94</f>
        <v>3.79204940739712</v>
      </c>
      <c r="J89" s="26" t="n">
        <f aca="false">parametros_recargas!$E$99*'Plan mensual'!L85+parametros_recargas!$F$99*'Plan mensual'!L86+parametros_recargas!$G$99*'Plan mensual'!L87+parametros_recargas!$H$99*'Plan mensual'!L88+parametros_recargas!$I$99*'Plan mensual'!L89+parametros_recargas!$J$99*'Plan mensual'!L90+parametros_recargas!$K$99*'Plan mensual'!L91+parametros_recargas!$L$99*'Plan mensual'!L92+parametros_recargas!$M$99*'Plan mensual'!L94</f>
        <v>3.79204940739712</v>
      </c>
      <c r="K89" s="26" t="n">
        <f aca="false">parametros_recargas!$E$99*'Plan mensual'!M85+parametros_recargas!$F$99*'Plan mensual'!M86+parametros_recargas!$G$99*'Plan mensual'!M87+parametros_recargas!$H$99*'Plan mensual'!M88+parametros_recargas!$I$99*'Plan mensual'!M89+parametros_recargas!$J$99*'Plan mensual'!M90+parametros_recargas!$K$99*'Plan mensual'!M91+parametros_recargas!$L$99*'Plan mensual'!M92+parametros_recargas!$M$99*'Plan mensual'!M94</f>
        <v>3.79204940739712</v>
      </c>
      <c r="L89" s="26" t="n">
        <f aca="false">parametros_recargas!$E$99*'Plan mensual'!N85+parametros_recargas!$F$99*'Plan mensual'!N86+parametros_recargas!$G$99*'Plan mensual'!N87+parametros_recargas!$H$99*'Plan mensual'!N88+parametros_recargas!$I$99*'Plan mensual'!N89+parametros_recargas!$J$99*'Plan mensual'!N90+parametros_recargas!$K$99*'Plan mensual'!N91+parametros_recargas!$L$99*'Plan mensual'!N92+parametros_recargas!$M$99*'Plan mensual'!N94</f>
        <v>3.79204940739712</v>
      </c>
      <c r="M89" s="26" t="n">
        <f aca="false">parametros_recargas!$E$99*'Plan mensual'!O85+parametros_recargas!$F$99*'Plan mensual'!O86+parametros_recargas!$G$99*'Plan mensual'!O87+parametros_recargas!$H$99*'Plan mensual'!O88+parametros_recargas!$I$99*'Plan mensual'!O89+parametros_recargas!$J$99*'Plan mensual'!O90+parametros_recargas!$K$99*'Plan mensual'!O91+parametros_recargas!$L$99*'Plan mensual'!O92+parametros_recargas!$M$99*'Plan mensual'!O94</f>
        <v>3.79204940739712</v>
      </c>
      <c r="N89" s="8" t="n">
        <f aca="false">SUM(B89:M89)</f>
        <v>45.5045928887655</v>
      </c>
      <c r="O89" s="27" t="n">
        <f aca="false">MAX(B89:M89)</f>
        <v>3.79204940739712</v>
      </c>
      <c r="P89" s="13" t="n">
        <f aca="false">O89/parametros_recargas!$B$6</f>
        <v>0.0252803293826475</v>
      </c>
    </row>
    <row r="90" customFormat="false" ht="15" hidden="false" customHeight="false" outlineLevel="0" collapsed="false">
      <c r="A90" s="10" t="str">
        <f aca="false">parametros_recargas!$B$100</f>
        <v>Control de peso (CO₂ y halogenados sin recarga)</v>
      </c>
      <c r="B90" s="26" t="n">
        <f aca="false">parametros_recargas!$E$100*'Plan mensual'!D85+parametros_recargas!$F$100*'Plan mensual'!D86+parametros_recargas!$G$100*'Plan mensual'!D87+parametros_recargas!$H$100*'Plan mensual'!D88+parametros_recargas!$I$100*'Plan mensual'!D89+parametros_recargas!$J$100*'Plan mensual'!D90+parametros_recargas!$K$100*'Plan mensual'!D91+parametros_recargas!$L$100*'Plan mensual'!D92+parametros_recargas!$M$100*'Plan mensual'!D94</f>
        <v>161.469326576515</v>
      </c>
      <c r="C90" s="26" t="n">
        <f aca="false">parametros_recargas!$E$100*'Plan mensual'!E85+parametros_recargas!$F$100*'Plan mensual'!E86+parametros_recargas!$G$100*'Plan mensual'!E87+parametros_recargas!$H$100*'Plan mensual'!E88+parametros_recargas!$I$100*'Plan mensual'!E89+parametros_recargas!$J$100*'Plan mensual'!E90+parametros_recargas!$K$100*'Plan mensual'!E91+parametros_recargas!$L$100*'Plan mensual'!E92+parametros_recargas!$M$100*'Plan mensual'!E94</f>
        <v>248.626421034906</v>
      </c>
      <c r="D90" s="26" t="n">
        <f aca="false">parametros_recargas!$E$100*'Plan mensual'!F85+parametros_recargas!$F$100*'Plan mensual'!F86+parametros_recargas!$G$100*'Plan mensual'!F87+parametros_recargas!$H$100*'Plan mensual'!F88+parametros_recargas!$I$100*'Plan mensual'!F89+parametros_recargas!$J$100*'Plan mensual'!F90+parametros_recargas!$K$100*'Plan mensual'!F91+parametros_recargas!$L$100*'Plan mensual'!F92+parametros_recargas!$M$100*'Plan mensual'!F94</f>
        <v>161.469326576515</v>
      </c>
      <c r="E90" s="26" t="n">
        <f aca="false">parametros_recargas!$E$100*'Plan mensual'!G85+parametros_recargas!$F$100*'Plan mensual'!G86+parametros_recargas!$G$100*'Plan mensual'!G87+parametros_recargas!$H$100*'Plan mensual'!G88+parametros_recargas!$I$100*'Plan mensual'!G89+parametros_recargas!$J$100*'Plan mensual'!G90+parametros_recargas!$K$100*'Plan mensual'!G91+parametros_recargas!$L$100*'Plan mensual'!G92+parametros_recargas!$M$100*'Plan mensual'!G94</f>
        <v>161.469326576515</v>
      </c>
      <c r="F90" s="26" t="n">
        <f aca="false">parametros_recargas!$E$100*'Plan mensual'!H85+parametros_recargas!$F$100*'Plan mensual'!H86+parametros_recargas!$G$100*'Plan mensual'!H87+parametros_recargas!$H$100*'Plan mensual'!H88+parametros_recargas!$I$100*'Plan mensual'!H89+parametros_recargas!$J$100*'Plan mensual'!H90+parametros_recargas!$K$100*'Plan mensual'!H91+parametros_recargas!$L$100*'Plan mensual'!H92+parametros_recargas!$M$100*'Plan mensual'!H94</f>
        <v>161.469326576515</v>
      </c>
      <c r="G90" s="26" t="n">
        <f aca="false">parametros_recargas!$E$100*'Plan mensual'!I85+parametros_recargas!$F$100*'Plan mensual'!I86+parametros_recargas!$G$100*'Plan mensual'!I87+parametros_recargas!$H$100*'Plan mensual'!I88+parametros_recargas!$I$100*'Plan mensual'!I89+parametros_recargas!$J$100*'Plan mensual'!I90+parametros_recargas!$K$100*'Plan mensual'!I91+parametros_recargas!$L$100*'Plan mensual'!I92+parametros_recargas!$M$100*'Plan mensual'!I94</f>
        <v>161.469326576515</v>
      </c>
      <c r="H90" s="26" t="n">
        <f aca="false">parametros_recargas!$E$100*'Plan mensual'!J85+parametros_recargas!$F$100*'Plan mensual'!J86+parametros_recargas!$G$100*'Plan mensual'!J87+parametros_recargas!$H$100*'Plan mensual'!J88+parametros_recargas!$I$100*'Plan mensual'!J89+parametros_recargas!$J$100*'Plan mensual'!J90+parametros_recargas!$K$100*'Plan mensual'!J91+parametros_recargas!$L$100*'Plan mensual'!J92+parametros_recargas!$M$100*'Plan mensual'!J94</f>
        <v>161.469326576515</v>
      </c>
      <c r="I90" s="26" t="n">
        <f aca="false">parametros_recargas!$E$100*'Plan mensual'!K85+parametros_recargas!$F$100*'Plan mensual'!K86+parametros_recargas!$G$100*'Plan mensual'!K87+parametros_recargas!$H$100*'Plan mensual'!K88+parametros_recargas!$I$100*'Plan mensual'!K89+parametros_recargas!$J$100*'Plan mensual'!K90+parametros_recargas!$K$100*'Plan mensual'!K91+parametros_recargas!$L$100*'Plan mensual'!K92+parametros_recargas!$M$100*'Plan mensual'!K94</f>
        <v>161.469326576515</v>
      </c>
      <c r="J90" s="26" t="n">
        <f aca="false">parametros_recargas!$E$100*'Plan mensual'!L85+parametros_recargas!$F$100*'Plan mensual'!L86+parametros_recargas!$G$100*'Plan mensual'!L87+parametros_recargas!$H$100*'Plan mensual'!L88+parametros_recargas!$I$100*'Plan mensual'!L89+parametros_recargas!$J$100*'Plan mensual'!L90+parametros_recargas!$K$100*'Plan mensual'!L91+parametros_recargas!$L$100*'Plan mensual'!L92+parametros_recargas!$M$100*'Plan mensual'!L94</f>
        <v>161.469326576515</v>
      </c>
      <c r="K90" s="26" t="n">
        <f aca="false">parametros_recargas!$E$100*'Plan mensual'!M85+parametros_recargas!$F$100*'Plan mensual'!M86+parametros_recargas!$G$100*'Plan mensual'!M87+parametros_recargas!$H$100*'Plan mensual'!M88+parametros_recargas!$I$100*'Plan mensual'!M89+parametros_recargas!$J$100*'Plan mensual'!M90+parametros_recargas!$K$100*'Plan mensual'!M91+parametros_recargas!$L$100*'Plan mensual'!M92+parametros_recargas!$M$100*'Plan mensual'!M94</f>
        <v>161.469326576515</v>
      </c>
      <c r="L90" s="26" t="n">
        <f aca="false">parametros_recargas!$E$100*'Plan mensual'!N85+parametros_recargas!$F$100*'Plan mensual'!N86+parametros_recargas!$G$100*'Plan mensual'!N87+parametros_recargas!$H$100*'Plan mensual'!N88+parametros_recargas!$I$100*'Plan mensual'!N89+parametros_recargas!$J$100*'Plan mensual'!N90+parametros_recargas!$K$100*'Plan mensual'!N91+parametros_recargas!$L$100*'Plan mensual'!N92+parametros_recargas!$M$100*'Plan mensual'!N94</f>
        <v>161.469326576515</v>
      </c>
      <c r="M90" s="26" t="n">
        <f aca="false">parametros_recargas!$E$100*'Plan mensual'!O85+parametros_recargas!$F$100*'Plan mensual'!O86+parametros_recargas!$G$100*'Plan mensual'!O87+parametros_recargas!$H$100*'Plan mensual'!O88+parametros_recargas!$I$100*'Plan mensual'!O89+parametros_recargas!$J$100*'Plan mensual'!O90+parametros_recargas!$K$100*'Plan mensual'!O91+parametros_recargas!$L$100*'Plan mensual'!O92+parametros_recargas!$M$100*'Plan mensual'!O94</f>
        <v>161.469326576515</v>
      </c>
      <c r="N90" s="8" t="n">
        <f aca="false">SUM(B90:M90)</f>
        <v>2024.78901337657</v>
      </c>
      <c r="O90" s="27" t="n">
        <f aca="false">MAX(B90:M90)</f>
        <v>248.626421034906</v>
      </c>
      <c r="P90" s="13" t="n">
        <f aca="false">O90/parametros_recargas!$B$6</f>
        <v>1.65750947356604</v>
      </c>
    </row>
    <row r="91" customFormat="false" ht="15" hidden="false" customHeight="false" outlineLevel="0" collapsed="false">
      <c r="A91" s="10" t="str">
        <f aca="false">parametros_recargas!$B$101</f>
        <v>Ensayo de pérdidas</v>
      </c>
      <c r="B91" s="26" t="n">
        <f aca="false">parametros_recargas!$E$101*'Plan mensual'!D85+parametros_recargas!$F$101*'Plan mensual'!D86+parametros_recargas!$G$101*'Plan mensual'!D87+parametros_recargas!$H$101*'Plan mensual'!D88+parametros_recargas!$I$101*'Plan mensual'!D89+parametros_recargas!$J$101*'Plan mensual'!D90+parametros_recargas!$K$101*'Plan mensual'!D91+parametros_recargas!$L$101*'Plan mensual'!D92+parametros_recargas!$M$101*'Plan mensual'!D94</f>
        <v>1707.81375843978</v>
      </c>
      <c r="C91" s="26" t="n">
        <f aca="false">parametros_recargas!$E$101*'Plan mensual'!E85+parametros_recargas!$F$101*'Plan mensual'!E86+parametros_recargas!$G$101*'Plan mensual'!E87+parametros_recargas!$H$101*'Plan mensual'!E88+parametros_recargas!$I$101*'Plan mensual'!E89+parametros_recargas!$J$101*'Plan mensual'!E90+parametros_recargas!$K$101*'Plan mensual'!E91+parametros_recargas!$L$101*'Plan mensual'!E92+parametros_recargas!$M$101*'Plan mensual'!E94</f>
        <v>4005.68399862129</v>
      </c>
      <c r="D91" s="26" t="n">
        <f aca="false">parametros_recargas!$E$101*'Plan mensual'!F85+parametros_recargas!$F$101*'Plan mensual'!F86+parametros_recargas!$G$101*'Plan mensual'!F87+parametros_recargas!$H$101*'Plan mensual'!F88+parametros_recargas!$I$101*'Plan mensual'!F89+parametros_recargas!$J$101*'Plan mensual'!F90+parametros_recargas!$K$101*'Plan mensual'!F91+parametros_recargas!$L$101*'Plan mensual'!F92+parametros_recargas!$M$101*'Plan mensual'!F94</f>
        <v>3310.98417721279</v>
      </c>
      <c r="E91" s="26" t="n">
        <f aca="false">parametros_recargas!$E$101*'Plan mensual'!G85+parametros_recargas!$F$101*'Plan mensual'!G86+parametros_recargas!$G$101*'Plan mensual'!G87+parametros_recargas!$H$101*'Plan mensual'!G88+parametros_recargas!$I$101*'Plan mensual'!G89+parametros_recargas!$J$101*'Plan mensual'!G90+parametros_recargas!$K$101*'Plan mensual'!G91+parametros_recargas!$L$101*'Plan mensual'!G92+parametros_recargas!$M$101*'Plan mensual'!G94</f>
        <v>3323.39820080149</v>
      </c>
      <c r="F91" s="26" t="n">
        <f aca="false">parametros_recargas!$E$101*'Plan mensual'!H85+parametros_recargas!$F$101*'Plan mensual'!H86+parametros_recargas!$G$101*'Plan mensual'!H87+parametros_recargas!$H$101*'Plan mensual'!H88+parametros_recargas!$I$101*'Plan mensual'!H89+parametros_recargas!$J$101*'Plan mensual'!H90+parametros_recargas!$K$101*'Plan mensual'!H91+parametros_recargas!$L$101*'Plan mensual'!H92+parametros_recargas!$M$101*'Plan mensual'!H94</f>
        <v>3323.32264729541</v>
      </c>
      <c r="G91" s="26" t="n">
        <f aca="false">parametros_recargas!$E$101*'Plan mensual'!I85+parametros_recargas!$F$101*'Plan mensual'!I86+parametros_recargas!$G$101*'Plan mensual'!I87+parametros_recargas!$H$101*'Plan mensual'!I88+parametros_recargas!$I$101*'Plan mensual'!I89+parametros_recargas!$J$101*'Plan mensual'!I90+parametros_recargas!$K$101*'Plan mensual'!I91+parametros_recargas!$L$101*'Plan mensual'!I92+parametros_recargas!$M$101*'Plan mensual'!I94</f>
        <v>3316.34875428822</v>
      </c>
      <c r="H91" s="26" t="n">
        <f aca="false">parametros_recargas!$E$101*'Plan mensual'!J85+parametros_recargas!$F$101*'Plan mensual'!J86+parametros_recargas!$G$101*'Plan mensual'!J87+parametros_recargas!$H$101*'Plan mensual'!J88+parametros_recargas!$I$101*'Plan mensual'!J89+parametros_recargas!$J$101*'Plan mensual'!J90+parametros_recargas!$K$101*'Plan mensual'!J91+parametros_recargas!$L$101*'Plan mensual'!J92+parametros_recargas!$M$101*'Plan mensual'!J94</f>
        <v>3335.98390249451</v>
      </c>
      <c r="I91" s="26" t="n">
        <f aca="false">parametros_recargas!$E$101*'Plan mensual'!K85+parametros_recargas!$F$101*'Plan mensual'!K86+parametros_recargas!$G$101*'Plan mensual'!K87+parametros_recargas!$H$101*'Plan mensual'!K88+parametros_recargas!$I$101*'Plan mensual'!K89+parametros_recargas!$J$101*'Plan mensual'!K90+parametros_recargas!$K$101*'Plan mensual'!K91+parametros_recargas!$L$101*'Plan mensual'!K92+parametros_recargas!$M$101*'Plan mensual'!K94</f>
        <v>3322.01344354036</v>
      </c>
      <c r="J91" s="26" t="n">
        <f aca="false">parametros_recargas!$E$101*'Plan mensual'!L85+parametros_recargas!$F$101*'Plan mensual'!L86+parametros_recargas!$G$101*'Plan mensual'!L87+parametros_recargas!$H$101*'Plan mensual'!L88+parametros_recargas!$I$101*'Plan mensual'!L89+parametros_recargas!$J$101*'Plan mensual'!L90+parametros_recargas!$K$101*'Plan mensual'!L91+parametros_recargas!$L$101*'Plan mensual'!L92+parametros_recargas!$M$101*'Plan mensual'!L94</f>
        <v>3324.01741646912</v>
      </c>
      <c r="K91" s="26" t="n">
        <f aca="false">parametros_recargas!$E$101*'Plan mensual'!M85+parametros_recargas!$F$101*'Plan mensual'!M86+parametros_recargas!$G$101*'Plan mensual'!M87+parametros_recargas!$H$101*'Plan mensual'!M88+parametros_recargas!$I$101*'Plan mensual'!M89+parametros_recargas!$J$101*'Plan mensual'!M90+parametros_recargas!$K$101*'Plan mensual'!M91+parametros_recargas!$L$101*'Plan mensual'!M92+parametros_recargas!$M$101*'Plan mensual'!M94</f>
        <v>3315.74368454059</v>
      </c>
      <c r="L91" s="26" t="n">
        <f aca="false">parametros_recargas!$E$101*'Plan mensual'!N85+parametros_recargas!$F$101*'Plan mensual'!N86+parametros_recargas!$G$101*'Plan mensual'!N87+parametros_recargas!$H$101*'Plan mensual'!N88+parametros_recargas!$I$101*'Plan mensual'!N89+parametros_recargas!$J$101*'Plan mensual'!N90+parametros_recargas!$K$101*'Plan mensual'!N91+parametros_recargas!$L$101*'Plan mensual'!N92+parametros_recargas!$M$101*'Plan mensual'!N94</f>
        <v>3283.8332137736</v>
      </c>
      <c r="M91" s="26" t="n">
        <f aca="false">parametros_recargas!$E$101*'Plan mensual'!O85+parametros_recargas!$F$101*'Plan mensual'!O86+parametros_recargas!$G$101*'Plan mensual'!O87+parametros_recargas!$H$101*'Plan mensual'!O88+parametros_recargas!$I$101*'Plan mensual'!O89+parametros_recargas!$J$101*'Plan mensual'!O90+parametros_recargas!$K$101*'Plan mensual'!O91+parametros_recargas!$L$101*'Plan mensual'!O92+parametros_recargas!$M$101*'Plan mensual'!O94</f>
        <v>1624.82002420001</v>
      </c>
      <c r="N91" s="8" t="n">
        <f aca="false">SUM(B91:M91)</f>
        <v>37193.9632216772</v>
      </c>
      <c r="O91" s="27" t="n">
        <f aca="false">MAX(B91:M91)</f>
        <v>4005.68399862129</v>
      </c>
      <c r="P91" s="13" t="n">
        <f aca="false">O91/parametros_recargas!$B$6</f>
        <v>26.7045599908086</v>
      </c>
    </row>
    <row r="92" customFormat="false" ht="15" hidden="false" customHeight="false" outlineLevel="0" collapsed="false">
      <c r="A92" s="10" t="str">
        <f aca="false">parametros_recargas!$B$102</f>
        <v>Precinto, etiqueta y despacho</v>
      </c>
      <c r="B92" s="26" t="n">
        <f aca="false">parametros_recargas!$E$102*'Plan mensual'!D85+parametros_recargas!$F$102*'Plan mensual'!D86+parametros_recargas!$G$102*'Plan mensual'!D87+parametros_recargas!$H$102*'Plan mensual'!D88+parametros_recargas!$I$102*'Plan mensual'!D89+parametros_recargas!$J$102*'Plan mensual'!D90+parametros_recargas!$K$102*'Plan mensual'!D91+parametros_recargas!$L$102*'Plan mensual'!D92+parametros_recargas!$M$102*'Plan mensual'!D94</f>
        <v>1707.81375843978</v>
      </c>
      <c r="C92" s="26" t="n">
        <f aca="false">parametros_recargas!$E$102*'Plan mensual'!E85+parametros_recargas!$F$102*'Plan mensual'!E86+parametros_recargas!$G$102*'Plan mensual'!E87+parametros_recargas!$H$102*'Plan mensual'!E88+parametros_recargas!$I$102*'Plan mensual'!E89+parametros_recargas!$J$102*'Plan mensual'!E90+parametros_recargas!$K$102*'Plan mensual'!E91+parametros_recargas!$L$102*'Plan mensual'!E92+parametros_recargas!$M$102*'Plan mensual'!E94</f>
        <v>4005.68399862129</v>
      </c>
      <c r="D92" s="26" t="n">
        <f aca="false">parametros_recargas!$E$102*'Plan mensual'!F85+parametros_recargas!$F$102*'Plan mensual'!F86+parametros_recargas!$G$102*'Plan mensual'!F87+parametros_recargas!$H$102*'Plan mensual'!F88+parametros_recargas!$I$102*'Plan mensual'!F89+parametros_recargas!$J$102*'Plan mensual'!F90+parametros_recargas!$K$102*'Plan mensual'!F91+parametros_recargas!$L$102*'Plan mensual'!F92+parametros_recargas!$M$102*'Plan mensual'!F94</f>
        <v>3310.98417721279</v>
      </c>
      <c r="E92" s="26" t="n">
        <f aca="false">parametros_recargas!$E$102*'Plan mensual'!G85+parametros_recargas!$F$102*'Plan mensual'!G86+parametros_recargas!$G$102*'Plan mensual'!G87+parametros_recargas!$H$102*'Plan mensual'!G88+parametros_recargas!$I$102*'Plan mensual'!G89+parametros_recargas!$J$102*'Plan mensual'!G90+parametros_recargas!$K$102*'Plan mensual'!G91+parametros_recargas!$L$102*'Plan mensual'!G92+parametros_recargas!$M$102*'Plan mensual'!G94</f>
        <v>3323.39820080149</v>
      </c>
      <c r="F92" s="26" t="n">
        <f aca="false">parametros_recargas!$E$102*'Plan mensual'!H85+parametros_recargas!$F$102*'Plan mensual'!H86+parametros_recargas!$G$102*'Plan mensual'!H87+parametros_recargas!$H$102*'Plan mensual'!H88+parametros_recargas!$I$102*'Plan mensual'!H89+parametros_recargas!$J$102*'Plan mensual'!H90+parametros_recargas!$K$102*'Plan mensual'!H91+parametros_recargas!$L$102*'Plan mensual'!H92+parametros_recargas!$M$102*'Plan mensual'!H94</f>
        <v>3323.32264729541</v>
      </c>
      <c r="G92" s="26" t="n">
        <f aca="false">parametros_recargas!$E$102*'Plan mensual'!I85+parametros_recargas!$F$102*'Plan mensual'!I86+parametros_recargas!$G$102*'Plan mensual'!I87+parametros_recargas!$H$102*'Plan mensual'!I88+parametros_recargas!$I$102*'Plan mensual'!I89+parametros_recargas!$J$102*'Plan mensual'!I90+parametros_recargas!$K$102*'Plan mensual'!I91+parametros_recargas!$L$102*'Plan mensual'!I92+parametros_recargas!$M$102*'Plan mensual'!I94</f>
        <v>3316.34875428822</v>
      </c>
      <c r="H92" s="26" t="n">
        <f aca="false">parametros_recargas!$E$102*'Plan mensual'!J85+parametros_recargas!$F$102*'Plan mensual'!J86+parametros_recargas!$G$102*'Plan mensual'!J87+parametros_recargas!$H$102*'Plan mensual'!J88+parametros_recargas!$I$102*'Plan mensual'!J89+parametros_recargas!$J$102*'Plan mensual'!J90+parametros_recargas!$K$102*'Plan mensual'!J91+parametros_recargas!$L$102*'Plan mensual'!J92+parametros_recargas!$M$102*'Plan mensual'!J94</f>
        <v>3335.98390249451</v>
      </c>
      <c r="I92" s="26" t="n">
        <f aca="false">parametros_recargas!$E$102*'Plan mensual'!K85+parametros_recargas!$F$102*'Plan mensual'!K86+parametros_recargas!$G$102*'Plan mensual'!K87+parametros_recargas!$H$102*'Plan mensual'!K88+parametros_recargas!$I$102*'Plan mensual'!K89+parametros_recargas!$J$102*'Plan mensual'!K90+parametros_recargas!$K$102*'Plan mensual'!K91+parametros_recargas!$L$102*'Plan mensual'!K92+parametros_recargas!$M$102*'Plan mensual'!K94</f>
        <v>3322.01344354036</v>
      </c>
      <c r="J92" s="26" t="n">
        <f aca="false">parametros_recargas!$E$102*'Plan mensual'!L85+parametros_recargas!$F$102*'Plan mensual'!L86+parametros_recargas!$G$102*'Plan mensual'!L87+parametros_recargas!$H$102*'Plan mensual'!L88+parametros_recargas!$I$102*'Plan mensual'!L89+parametros_recargas!$J$102*'Plan mensual'!L90+parametros_recargas!$K$102*'Plan mensual'!L91+parametros_recargas!$L$102*'Plan mensual'!L92+parametros_recargas!$M$102*'Plan mensual'!L94</f>
        <v>3324.01741646912</v>
      </c>
      <c r="K92" s="26" t="n">
        <f aca="false">parametros_recargas!$E$102*'Plan mensual'!M85+parametros_recargas!$F$102*'Plan mensual'!M86+parametros_recargas!$G$102*'Plan mensual'!M87+parametros_recargas!$H$102*'Plan mensual'!M88+parametros_recargas!$I$102*'Plan mensual'!M89+parametros_recargas!$J$102*'Plan mensual'!M90+parametros_recargas!$K$102*'Plan mensual'!M91+parametros_recargas!$L$102*'Plan mensual'!M92+parametros_recargas!$M$102*'Plan mensual'!M94</f>
        <v>3315.74368454059</v>
      </c>
      <c r="L92" s="26" t="n">
        <f aca="false">parametros_recargas!$E$102*'Plan mensual'!N85+parametros_recargas!$F$102*'Plan mensual'!N86+parametros_recargas!$G$102*'Plan mensual'!N87+parametros_recargas!$H$102*'Plan mensual'!N88+parametros_recargas!$I$102*'Plan mensual'!N89+parametros_recargas!$J$102*'Plan mensual'!N90+parametros_recargas!$K$102*'Plan mensual'!N91+parametros_recargas!$L$102*'Plan mensual'!N92+parametros_recargas!$M$102*'Plan mensual'!N94</f>
        <v>3283.8332137736</v>
      </c>
      <c r="M92" s="26" t="n">
        <f aca="false">parametros_recargas!$E$102*'Plan mensual'!O85+parametros_recargas!$F$102*'Plan mensual'!O86+parametros_recargas!$G$102*'Plan mensual'!O87+parametros_recargas!$H$102*'Plan mensual'!O88+parametros_recargas!$I$102*'Plan mensual'!O89+parametros_recargas!$J$102*'Plan mensual'!O90+parametros_recargas!$K$102*'Plan mensual'!O91+parametros_recargas!$L$102*'Plan mensual'!O92+parametros_recargas!$M$102*'Plan mensual'!O94</f>
        <v>1624.82002420001</v>
      </c>
      <c r="N92" s="8" t="n">
        <f aca="false">SUM(B92:M92)</f>
        <v>37193.9632216772</v>
      </c>
      <c r="O92" s="27" t="n">
        <f aca="false">MAX(B92:M92)</f>
        <v>4005.68399862129</v>
      </c>
      <c r="P92" s="13" t="n">
        <f aca="false">O92/parametros_recargas!$B$6</f>
        <v>26.7045599908086</v>
      </c>
    </row>
    <row r="93" customFormat="false" ht="15" hidden="false" customHeight="false" outlineLevel="0" collapsed="false">
      <c r="A93" s="10" t="str">
        <f aca="false">parametros_recargas!$B$103</f>
        <v>Inutilización y disposición final</v>
      </c>
      <c r="B93" s="26" t="n">
        <f aca="false">parametros_recargas!$E$103*'Plan mensual'!D85+parametros_recargas!$F$103*'Plan mensual'!D86+parametros_recargas!$G$103*'Plan mensual'!D87+parametros_recargas!$H$103*'Plan mensual'!D88+parametros_recargas!$I$103*'Plan mensual'!D89+parametros_recargas!$J$103*'Plan mensual'!D90+parametros_recargas!$K$103*'Plan mensual'!D91+parametros_recargas!$L$103*'Plan mensual'!D92+parametros_recargas!$M$103*'Plan mensual'!D94</f>
        <v>131.270644454701</v>
      </c>
      <c r="C93" s="26" t="n">
        <f aca="false">parametros_recargas!$E$103*'Plan mensual'!E85+parametros_recargas!$F$103*'Plan mensual'!E86+parametros_recargas!$G$103*'Plan mensual'!E87+parametros_recargas!$H$103*'Plan mensual'!E88+parametros_recargas!$I$103*'Plan mensual'!E89+parametros_recargas!$J$103*'Plan mensual'!E90+parametros_recargas!$K$103*'Plan mensual'!E91+parametros_recargas!$L$103*'Plan mensual'!E92+parametros_recargas!$M$103*'Plan mensual'!E94</f>
        <v>313.124904358806</v>
      </c>
      <c r="D93" s="26" t="n">
        <f aca="false">parametros_recargas!$E$103*'Plan mensual'!F85+parametros_recargas!$F$103*'Plan mensual'!F86+parametros_recargas!$G$103*'Plan mensual'!F87+parametros_recargas!$H$103*'Plan mensual'!F88+parametros_recargas!$I$103*'Plan mensual'!F89+parametros_recargas!$J$103*'Plan mensual'!F90+parametros_recargas!$K$103*'Plan mensual'!F91+parametros_recargas!$L$103*'Plan mensual'!F92+parametros_recargas!$M$103*'Plan mensual'!F94</f>
        <v>259.683998964848</v>
      </c>
      <c r="E93" s="26" t="n">
        <f aca="false">parametros_recargas!$E$103*'Plan mensual'!G85+parametros_recargas!$F$103*'Plan mensual'!G86+parametros_recargas!$G$103*'Plan mensual'!G87+parametros_recargas!$H$103*'Plan mensual'!G88+parametros_recargas!$I$103*'Plan mensual'!G89+parametros_recargas!$J$103*'Plan mensual'!G90+parametros_recargas!$K$103*'Plan mensual'!G91+parametros_recargas!$L$103*'Plan mensual'!G92+parametros_recargas!$M$103*'Plan mensual'!G94</f>
        <v>260.677120851945</v>
      </c>
      <c r="F93" s="26" t="n">
        <f aca="false">parametros_recargas!$E$103*'Plan mensual'!H85+parametros_recargas!$F$103*'Plan mensual'!H86+parametros_recargas!$G$103*'Plan mensual'!H87+parametros_recargas!$H$103*'Plan mensual'!H88+parametros_recargas!$I$103*'Plan mensual'!H89+parametros_recargas!$J$103*'Plan mensual'!H90+parametros_recargas!$K$103*'Plan mensual'!H91+parametros_recargas!$L$103*'Plan mensual'!H92+parametros_recargas!$M$103*'Plan mensual'!H94</f>
        <v>260.728964571458</v>
      </c>
      <c r="G93" s="26" t="n">
        <f aca="false">parametros_recargas!$E$103*'Plan mensual'!I85+parametros_recargas!$F$103*'Plan mensual'!I86+parametros_recargas!$G$103*'Plan mensual'!I87+parametros_recargas!$H$103*'Plan mensual'!I88+parametros_recargas!$I$103*'Plan mensual'!I89+parametros_recargas!$J$103*'Plan mensual'!I90+parametros_recargas!$K$103*'Plan mensual'!I91+parametros_recargas!$L$103*'Plan mensual'!I92+parametros_recargas!$M$103*'Plan mensual'!I94</f>
        <v>260.25682711427</v>
      </c>
      <c r="H93" s="26" t="n">
        <f aca="false">parametros_recargas!$E$103*'Plan mensual'!J85+parametros_recargas!$F$103*'Plan mensual'!J86+parametros_recargas!$G$103*'Plan mensual'!J87+parametros_recargas!$H$103*'Plan mensual'!J88+parametros_recargas!$I$103*'Plan mensual'!J89+parametros_recargas!$J$103*'Plan mensual'!J90+parametros_recargas!$K$103*'Plan mensual'!J91+parametros_recargas!$L$103*'Plan mensual'!J92+parametros_recargas!$M$103*'Plan mensual'!J94</f>
        <v>261.741864987386</v>
      </c>
      <c r="I93" s="26" t="n">
        <f aca="false">parametros_recargas!$E$103*'Plan mensual'!K85+parametros_recargas!$F$103*'Plan mensual'!K86+parametros_recargas!$G$103*'Plan mensual'!K87+parametros_recargas!$H$103*'Plan mensual'!K88+parametros_recargas!$I$103*'Plan mensual'!K89+parametros_recargas!$J$103*'Plan mensual'!K90+parametros_recargas!$K$103*'Plan mensual'!K91+parametros_recargas!$L$103*'Plan mensual'!K92+parametros_recargas!$M$103*'Plan mensual'!K94</f>
        <v>260.624228271054</v>
      </c>
      <c r="J93" s="26" t="n">
        <f aca="false">parametros_recargas!$E$103*'Plan mensual'!L85+parametros_recargas!$F$103*'Plan mensual'!L86+parametros_recargas!$G$103*'Plan mensual'!L87+parametros_recargas!$H$103*'Plan mensual'!L88+parametros_recargas!$I$103*'Plan mensual'!L89+parametros_recargas!$J$103*'Plan mensual'!L90+parametros_recargas!$K$103*'Plan mensual'!L91+parametros_recargas!$L$103*'Plan mensual'!L92+parametros_recargas!$M$103*'Plan mensual'!L94</f>
        <v>260.798489097048</v>
      </c>
      <c r="K93" s="26" t="n">
        <f aca="false">parametros_recargas!$E$103*'Plan mensual'!M85+parametros_recargas!$F$103*'Plan mensual'!M86+parametros_recargas!$G$103*'Plan mensual'!M87+parametros_recargas!$H$103*'Plan mensual'!M88+parametros_recargas!$I$103*'Plan mensual'!M89+parametros_recargas!$J$103*'Plan mensual'!M90+parametros_recargas!$K$103*'Plan mensual'!M91+parametros_recargas!$L$103*'Plan mensual'!M92+parametros_recargas!$M$103*'Plan mensual'!M94</f>
        <v>260.222364526154</v>
      </c>
      <c r="L93" s="26" t="n">
        <f aca="false">parametros_recargas!$E$103*'Plan mensual'!N85+parametros_recargas!$F$103*'Plan mensual'!N86+parametros_recargas!$G$103*'Plan mensual'!N87+parametros_recargas!$H$103*'Plan mensual'!N88+parametros_recargas!$I$103*'Plan mensual'!N89+parametros_recargas!$J$103*'Plan mensual'!N90+parametros_recargas!$K$103*'Plan mensual'!N91+parametros_recargas!$L$103*'Plan mensual'!N92+parametros_recargas!$M$103*'Plan mensual'!N94</f>
        <v>257.741357856489</v>
      </c>
      <c r="M93" s="26" t="n">
        <f aca="false">parametros_recargas!$E$103*'Plan mensual'!O85+parametros_recargas!$F$103*'Plan mensual'!O86+parametros_recargas!$G$103*'Plan mensual'!O87+parametros_recargas!$H$103*'Plan mensual'!O88+parametros_recargas!$I$103*'Plan mensual'!O89+parametros_recargas!$J$103*'Plan mensual'!O90+parametros_recargas!$K$103*'Plan mensual'!O91+parametros_recargas!$L$103*'Plan mensual'!O92+parametros_recargas!$M$103*'Plan mensual'!O94</f>
        <v>124.529312707214</v>
      </c>
      <c r="N93" s="8" t="n">
        <f aca="false">SUM(B93:M93)</f>
        <v>2911.40007776137</v>
      </c>
      <c r="O93" s="27" t="n">
        <f aca="false">MAX(B93:M93)</f>
        <v>313.124904358806</v>
      </c>
      <c r="P93" s="13" t="n">
        <f aca="false">O93/parametros_recargas!$B$6</f>
        <v>2.08749936239204</v>
      </c>
    </row>
    <row r="94" customFormat="false" ht="15" hidden="false" customHeight="false" outlineLevel="0" collapsed="false">
      <c r="A94" s="10" t="str">
        <f aca="false">parametros_recargas!$B$104</f>
        <v>PH de mangueras (CO₂ y rodantes)</v>
      </c>
      <c r="B94" s="26" t="n">
        <f aca="false">'Plan mensual'!D93</f>
        <v>106.072178175948</v>
      </c>
      <c r="C94" s="26" t="n">
        <f aca="false">'Plan mensual'!E93</f>
        <v>117.708105955789</v>
      </c>
      <c r="D94" s="26" t="n">
        <f aca="false">'Plan mensual'!F93</f>
        <v>106.072178175948</v>
      </c>
      <c r="E94" s="26" t="n">
        <f aca="false">'Plan mensual'!G93</f>
        <v>106.072178175948</v>
      </c>
      <c r="F94" s="26" t="n">
        <f aca="false">'Plan mensual'!H93</f>
        <v>106.072178175948</v>
      </c>
      <c r="G94" s="26" t="n">
        <f aca="false">'Plan mensual'!I93</f>
        <v>106.072178175948</v>
      </c>
      <c r="H94" s="26" t="n">
        <f aca="false">'Plan mensual'!J93</f>
        <v>106.072178175948</v>
      </c>
      <c r="I94" s="26" t="n">
        <f aca="false">'Plan mensual'!K93</f>
        <v>106.072178175948</v>
      </c>
      <c r="J94" s="26" t="n">
        <f aca="false">'Plan mensual'!L93</f>
        <v>106.072178175948</v>
      </c>
      <c r="K94" s="26" t="n">
        <f aca="false">'Plan mensual'!M93</f>
        <v>106.072178175948</v>
      </c>
      <c r="L94" s="26" t="n">
        <f aca="false">'Plan mensual'!N93</f>
        <v>106.072178175948</v>
      </c>
      <c r="M94" s="26" t="n">
        <f aca="false">'Plan mensual'!O93</f>
        <v>106.072178175948</v>
      </c>
      <c r="N94" s="8" t="n">
        <f aca="false">SUM(B94:M94)</f>
        <v>1284.50206589122</v>
      </c>
      <c r="O94" s="27" t="n">
        <f aca="false">MAX(B94:M94)</f>
        <v>117.708105955789</v>
      </c>
      <c r="P94" s="13" t="n">
        <f aca="false">O94/parametros_recargas!$B$6</f>
        <v>0.784720706371928</v>
      </c>
    </row>
    <row r="97" customFormat="false" ht="23.85" hidden="false" customHeight="false" outlineLevel="0" collapsed="false">
      <c r="A97" s="6" t="s">
        <v>440</v>
      </c>
      <c r="B97" s="6" t="s">
        <v>175</v>
      </c>
      <c r="C97" s="6" t="s">
        <v>176</v>
      </c>
      <c r="D97" s="6" t="s">
        <v>177</v>
      </c>
      <c r="E97" s="6" t="s">
        <v>178</v>
      </c>
      <c r="F97" s="6" t="s">
        <v>179</v>
      </c>
      <c r="G97" s="6" t="s">
        <v>180</v>
      </c>
      <c r="H97" s="6" t="s">
        <v>181</v>
      </c>
      <c r="I97" s="6" t="s">
        <v>182</v>
      </c>
      <c r="J97" s="6" t="s">
        <v>183</v>
      </c>
      <c r="K97" s="6" t="s">
        <v>184</v>
      </c>
      <c r="L97" s="6" t="s">
        <v>185</v>
      </c>
      <c r="M97" s="6" t="s">
        <v>186</v>
      </c>
      <c r="N97" s="6" t="s">
        <v>435</v>
      </c>
      <c r="O97" s="6" t="s">
        <v>436</v>
      </c>
      <c r="P97" s="6" t="s">
        <v>437</v>
      </c>
    </row>
    <row r="98" customFormat="false" ht="15" hidden="false" customHeight="false" outlineLevel="0" collapsed="false">
      <c r="A98" s="10" t="str">
        <f aca="false">parametros_recargas!$B$76</f>
        <v>Recepción y registro</v>
      </c>
      <c r="B98" s="26" t="n">
        <f aca="false">parametros_recargas!$E$76*'Plan mensual'!D117+parametros_recargas!$F$76*'Plan mensual'!D118+parametros_recargas!$G$76*'Plan mensual'!D119+parametros_recargas!$H$76*'Plan mensual'!D120+parametros_recargas!$I$76*'Plan mensual'!D121+parametros_recargas!$J$76*'Plan mensual'!D122+parametros_recargas!$K$76*'Plan mensual'!D123+parametros_recargas!$L$76*'Plan mensual'!D124+parametros_recargas!$M$76*'Plan mensual'!D126</f>
        <v>3173.87835557742</v>
      </c>
      <c r="C98" s="26" t="n">
        <f aca="false">parametros_recargas!$E$76*'Plan mensual'!E117+parametros_recargas!$F$76*'Plan mensual'!E118+parametros_recargas!$G$76*'Plan mensual'!E119+parametros_recargas!$H$76*'Plan mensual'!E120+parametros_recargas!$I$76*'Plan mensual'!E121+parametros_recargas!$J$76*'Plan mensual'!E122+parametros_recargas!$K$76*'Plan mensual'!E123+parametros_recargas!$L$76*'Plan mensual'!E124+parametros_recargas!$M$76*'Plan mensual'!E126</f>
        <v>7426.21762898733</v>
      </c>
      <c r="D98" s="26" t="n">
        <f aca="false">parametros_recargas!$E$76*'Plan mensual'!F117+parametros_recargas!$F$76*'Plan mensual'!F118+parametros_recargas!$G$76*'Plan mensual'!F119+parametros_recargas!$H$76*'Plan mensual'!F120+parametros_recargas!$I$76*'Plan mensual'!F121+parametros_recargas!$J$76*'Plan mensual'!F122+parametros_recargas!$K$76*'Plan mensual'!F123+parametros_recargas!$L$76*'Plan mensual'!F124+parametros_recargas!$M$76*'Plan mensual'!F126</f>
        <v>6119.2346243752</v>
      </c>
      <c r="E98" s="26" t="n">
        <f aca="false">parametros_recargas!$E$76*'Plan mensual'!G117+parametros_recargas!$F$76*'Plan mensual'!G118+parametros_recargas!$G$76*'Plan mensual'!G119+parametros_recargas!$H$76*'Plan mensual'!G120+parametros_recargas!$I$76*'Plan mensual'!G121+parametros_recargas!$J$76*'Plan mensual'!G122+parametros_recargas!$K$76*'Plan mensual'!G123+parametros_recargas!$L$76*'Plan mensual'!G124+parametros_recargas!$M$76*'Plan mensual'!G126</f>
        <v>6142.03902950432</v>
      </c>
      <c r="F98" s="26" t="n">
        <f aca="false">parametros_recargas!$E$76*'Plan mensual'!H117+parametros_recargas!$F$76*'Plan mensual'!H118+parametros_recargas!$G$76*'Plan mensual'!H119+parametros_recargas!$H$76*'Plan mensual'!H120+parametros_recargas!$I$76*'Plan mensual'!H121+parametros_recargas!$J$76*'Plan mensual'!H122+parametros_recargas!$K$76*'Plan mensual'!H123+parametros_recargas!$L$76*'Plan mensual'!H124+parametros_recargas!$M$76*'Plan mensual'!H126</f>
        <v>6142.0514827594</v>
      </c>
      <c r="G98" s="26" t="n">
        <f aca="false">parametros_recargas!$E$76*'Plan mensual'!I117+parametros_recargas!$F$76*'Plan mensual'!I118+parametros_recargas!$G$76*'Plan mensual'!I119+parametros_recargas!$H$76*'Plan mensual'!I120+parametros_recargas!$I$76*'Plan mensual'!I121+parametros_recargas!$J$76*'Plan mensual'!I122+parametros_recargas!$K$76*'Plan mensual'!I123+parametros_recargas!$L$76*'Plan mensual'!I124+parametros_recargas!$M$76*'Plan mensual'!I126</f>
        <v>6129.59447391234</v>
      </c>
      <c r="H98" s="26" t="n">
        <f aca="false">parametros_recargas!$E$76*'Plan mensual'!J117+parametros_recargas!$F$76*'Plan mensual'!J118+parametros_recargas!$G$76*'Plan mensual'!J119+parametros_recargas!$H$76*'Plan mensual'!J120+parametros_recargas!$I$76*'Plan mensual'!J121+parametros_recargas!$J$76*'Plan mensual'!J122+parametros_recargas!$K$76*'Plan mensual'!J123+parametros_recargas!$L$76*'Plan mensual'!J124+parametros_recargas!$M$76*'Plan mensual'!J126</f>
        <v>6165.31004924594</v>
      </c>
      <c r="I98" s="26" t="n">
        <f aca="false">parametros_recargas!$E$76*'Plan mensual'!K117+parametros_recargas!$F$76*'Plan mensual'!K118+parametros_recargas!$G$76*'Plan mensual'!K119+parametros_recargas!$H$76*'Plan mensual'!K120+parametros_recargas!$I$76*'Plan mensual'!K121+parametros_recargas!$J$76*'Plan mensual'!K122+parametros_recargas!$K$76*'Plan mensual'!K123+parametros_recargas!$L$76*'Plan mensual'!K124+parametros_recargas!$M$76*'Plan mensual'!K126</f>
        <v>6139.64649193483</v>
      </c>
      <c r="J98" s="26" t="n">
        <f aca="false">parametros_recargas!$E$76*'Plan mensual'!L117+parametros_recargas!$F$76*'Plan mensual'!L118+parametros_recargas!$G$76*'Plan mensual'!L119+parametros_recargas!$H$76*'Plan mensual'!L120+parametros_recargas!$I$76*'Plan mensual'!L121+parametros_recargas!$J$76*'Plan mensual'!L122+parametros_recargas!$K$76*'Plan mensual'!L123+parametros_recargas!$L$76*'Plan mensual'!L124+parametros_recargas!$M$76*'Plan mensual'!L126</f>
        <v>6143.42911536979</v>
      </c>
      <c r="K98" s="26" t="n">
        <f aca="false">parametros_recargas!$E$76*'Plan mensual'!M117+parametros_recargas!$F$76*'Plan mensual'!M118+parametros_recargas!$G$76*'Plan mensual'!M119+parametros_recargas!$H$76*'Plan mensual'!M120+parametros_recargas!$I$76*'Plan mensual'!M121+parametros_recargas!$J$76*'Plan mensual'!M122+parametros_recargas!$K$76*'Plan mensual'!M123+parametros_recargas!$L$76*'Plan mensual'!M124+parametros_recargas!$M$76*'Plan mensual'!M126</f>
        <v>6128.58431877988</v>
      </c>
      <c r="L98" s="26" t="n">
        <f aca="false">parametros_recargas!$E$76*'Plan mensual'!N117+parametros_recargas!$F$76*'Plan mensual'!N118+parametros_recargas!$G$76*'Plan mensual'!N119+parametros_recargas!$H$76*'Plan mensual'!N120+parametros_recargas!$I$76*'Plan mensual'!N121+parametros_recargas!$J$76*'Plan mensual'!N122+parametros_recargas!$K$76*'Plan mensual'!N123+parametros_recargas!$L$76*'Plan mensual'!N124+parametros_recargas!$M$76*'Plan mensual'!N126</f>
        <v>6070.21777997992</v>
      </c>
      <c r="M98" s="26" t="n">
        <f aca="false">parametros_recargas!$E$76*'Plan mensual'!O117+parametros_recargas!$F$76*'Plan mensual'!O118+parametros_recargas!$G$76*'Plan mensual'!O119+parametros_recargas!$H$76*'Plan mensual'!O120+parametros_recargas!$I$76*'Plan mensual'!O121+parametros_recargas!$J$76*'Plan mensual'!O122+parametros_recargas!$K$76*'Plan mensual'!O123+parametros_recargas!$L$76*'Plan mensual'!O124+parametros_recargas!$M$76*'Plan mensual'!O126</f>
        <v>3021.21877226387</v>
      </c>
      <c r="N98" s="8" t="n">
        <f aca="false">SUM(B98:M98)</f>
        <v>68801.4221226902</v>
      </c>
      <c r="O98" s="27" t="n">
        <f aca="false">MAX(B98:M98)</f>
        <v>7426.21762898733</v>
      </c>
      <c r="P98" s="13" t="n">
        <f aca="false">O98/parametros_recargas!$B$6</f>
        <v>49.5081175265822</v>
      </c>
    </row>
    <row r="99" customFormat="false" ht="15" hidden="false" customHeight="false" outlineLevel="0" collapsed="false">
      <c r="A99" s="10" t="str">
        <f aca="false">parametros_recargas!$B$77</f>
        <v>Inspección visual</v>
      </c>
      <c r="B99" s="26" t="n">
        <f aca="false">parametros_recargas!$E$77*'Plan mensual'!D117+parametros_recargas!$F$77*'Plan mensual'!D118+parametros_recargas!$G$77*'Plan mensual'!D119+parametros_recargas!$H$77*'Plan mensual'!D120+parametros_recargas!$I$77*'Plan mensual'!D121+parametros_recargas!$J$77*'Plan mensual'!D122+parametros_recargas!$K$77*'Plan mensual'!D123+parametros_recargas!$L$77*'Plan mensual'!D124+parametros_recargas!$M$77*'Plan mensual'!D126</f>
        <v>3146.59852823132</v>
      </c>
      <c r="C99" s="26" t="n">
        <f aca="false">parametros_recargas!$E$77*'Plan mensual'!E117+parametros_recargas!$F$77*'Plan mensual'!E118+parametros_recargas!$G$77*'Plan mensual'!E119+parametros_recargas!$H$77*'Plan mensual'!E120+parametros_recargas!$I$77*'Plan mensual'!E121+parametros_recargas!$J$77*'Plan mensual'!E122+parametros_recargas!$K$77*'Plan mensual'!E123+parametros_recargas!$L$77*'Plan mensual'!E124+parametros_recargas!$M$77*'Plan mensual'!E126</f>
        <v>7404.08742838783</v>
      </c>
      <c r="D99" s="26" t="n">
        <f aca="false">parametros_recargas!$E$77*'Plan mensual'!F117+parametros_recargas!$F$77*'Plan mensual'!F118+parametros_recargas!$G$77*'Plan mensual'!F119+parametros_recargas!$H$77*'Plan mensual'!F120+parametros_recargas!$I$77*'Plan mensual'!F121+parametros_recargas!$J$77*'Plan mensual'!F122+parametros_recargas!$K$77*'Plan mensual'!F123+parametros_recargas!$L$77*'Plan mensual'!F124+parametros_recargas!$M$77*'Plan mensual'!F126</f>
        <v>6095.2699836558</v>
      </c>
      <c r="E99" s="26" t="n">
        <f aca="false">parametros_recargas!$E$77*'Plan mensual'!G117+parametros_recargas!$F$77*'Plan mensual'!G118+parametros_recargas!$G$77*'Plan mensual'!G119+parametros_recargas!$H$77*'Plan mensual'!G120+parametros_recargas!$I$77*'Plan mensual'!G121+parametros_recargas!$J$77*'Plan mensual'!G122+parametros_recargas!$K$77*'Plan mensual'!G123+parametros_recargas!$L$77*'Plan mensual'!G124+parametros_recargas!$M$77*'Plan mensual'!G126</f>
        <v>6118.07438878492</v>
      </c>
      <c r="F99" s="26" t="n">
        <f aca="false">parametros_recargas!$E$77*'Plan mensual'!H117+parametros_recargas!$F$77*'Plan mensual'!H118+parametros_recargas!$G$77*'Plan mensual'!H119+parametros_recargas!$H$77*'Plan mensual'!H120+parametros_recargas!$I$77*'Plan mensual'!H121+parametros_recargas!$J$77*'Plan mensual'!H122+parametros_recargas!$K$77*'Plan mensual'!H123+parametros_recargas!$L$77*'Plan mensual'!H124+parametros_recargas!$M$77*'Plan mensual'!H126</f>
        <v>6119.26484204</v>
      </c>
      <c r="G99" s="26" t="n">
        <f aca="false">parametros_recargas!$E$77*'Plan mensual'!I117+parametros_recargas!$F$77*'Plan mensual'!I118+parametros_recargas!$G$77*'Plan mensual'!I119+parametros_recargas!$H$77*'Plan mensual'!I120+parametros_recargas!$I$77*'Plan mensual'!I121+parametros_recargas!$J$77*'Plan mensual'!I122+parametros_recargas!$K$77*'Plan mensual'!I123+parametros_recargas!$L$77*'Plan mensual'!I124+parametros_recargas!$M$77*'Plan mensual'!I126</f>
        <v>6108.42345993954</v>
      </c>
      <c r="H99" s="26" t="n">
        <f aca="false">parametros_recargas!$E$77*'Plan mensual'!J117+parametros_recargas!$F$77*'Plan mensual'!J118+parametros_recargas!$G$77*'Plan mensual'!J119+parametros_recargas!$H$77*'Plan mensual'!J120+parametros_recargas!$I$77*'Plan mensual'!J121+parametros_recargas!$J$77*'Plan mensual'!J122+parametros_recargas!$K$77*'Plan mensual'!J123+parametros_recargas!$L$77*'Plan mensual'!J124+parametros_recargas!$M$77*'Plan mensual'!J126</f>
        <v>6142.52340852654</v>
      </c>
      <c r="I99" s="26" t="n">
        <f aca="false">parametros_recargas!$E$77*'Plan mensual'!K117+parametros_recargas!$F$77*'Plan mensual'!K118+parametros_recargas!$G$77*'Plan mensual'!K119+parametros_recargas!$H$77*'Plan mensual'!K120+parametros_recargas!$I$77*'Plan mensual'!K121+parametros_recargas!$J$77*'Plan mensual'!K122+parametros_recargas!$K$77*'Plan mensual'!K123+parametros_recargas!$L$77*'Plan mensual'!K124+parametros_recargas!$M$77*'Plan mensual'!K126</f>
        <v>6116.85985121543</v>
      </c>
      <c r="J99" s="26" t="n">
        <f aca="false">parametros_recargas!$E$77*'Plan mensual'!L117+parametros_recargas!$F$77*'Plan mensual'!L118+parametros_recargas!$G$77*'Plan mensual'!L119+parametros_recargas!$H$77*'Plan mensual'!L120+parametros_recargas!$I$77*'Plan mensual'!L121+parametros_recargas!$J$77*'Plan mensual'!L122+parametros_recargas!$K$77*'Plan mensual'!L123+parametros_recargas!$L$77*'Plan mensual'!L124+parametros_recargas!$M$77*'Plan mensual'!L126</f>
        <v>6120.86128802369</v>
      </c>
      <c r="K99" s="26" t="n">
        <f aca="false">parametros_recargas!$E$77*'Plan mensual'!M117+parametros_recargas!$F$77*'Plan mensual'!M118+parametros_recargas!$G$77*'Plan mensual'!M119+parametros_recargas!$H$77*'Plan mensual'!M120+parametros_recargas!$I$77*'Plan mensual'!M121+parametros_recargas!$J$77*'Plan mensual'!M122+parametros_recargas!$K$77*'Plan mensual'!M123+parametros_recargas!$L$77*'Plan mensual'!M124+parametros_recargas!$M$77*'Plan mensual'!M126</f>
        <v>6107.63211818038</v>
      </c>
      <c r="L99" s="26" t="n">
        <f aca="false">parametros_recargas!$E$77*'Plan mensual'!N117+parametros_recargas!$F$77*'Plan mensual'!N118+parametros_recargas!$G$77*'Plan mensual'!N119+parametros_recargas!$H$77*'Plan mensual'!N120+parametros_recargas!$I$77*'Plan mensual'!N121+parametros_recargas!$J$77*'Plan mensual'!N122+parametros_recargas!$K$77*'Plan mensual'!N123+parametros_recargas!$L$77*'Plan mensual'!N124+parametros_recargas!$M$77*'Plan mensual'!N126</f>
        <v>6050.66239275372</v>
      </c>
      <c r="M99" s="26" t="n">
        <f aca="false">parametros_recargas!$E$77*'Plan mensual'!O117+parametros_recargas!$F$77*'Plan mensual'!O118+parametros_recargas!$G$77*'Plan mensual'!O119+parametros_recargas!$H$77*'Plan mensual'!O120+parametros_recargas!$I$77*'Plan mensual'!O121+parametros_recargas!$J$77*'Plan mensual'!O122+parametros_recargas!$K$77*'Plan mensual'!O123+parametros_recargas!$L$77*'Plan mensual'!O124+parametros_recargas!$M$77*'Plan mensual'!O126</f>
        <v>2991.80175829107</v>
      </c>
      <c r="N99" s="8" t="n">
        <f aca="false">SUM(B99:M99)</f>
        <v>68522.0594480302</v>
      </c>
      <c r="O99" s="27" t="n">
        <f aca="false">MAX(B99:M99)</f>
        <v>7404.08742838783</v>
      </c>
      <c r="P99" s="13" t="n">
        <f aca="false">O99/parametros_recargas!$B$6</f>
        <v>49.3605828559189</v>
      </c>
    </row>
    <row r="100" customFormat="false" ht="15" hidden="false" customHeight="false" outlineLevel="0" collapsed="false">
      <c r="A100" s="10" t="str">
        <f aca="false">parametros_recargas!$B$78</f>
        <v>Descarga ABC — ruta recuperable</v>
      </c>
      <c r="B100" s="26" t="n">
        <f aca="false">parametros_recargas!$E$78*'Plan mensual'!D117+parametros_recargas!$F$78*'Plan mensual'!D118+parametros_recargas!$G$78*'Plan mensual'!D119+parametros_recargas!$H$78*'Plan mensual'!D120+parametros_recargas!$I$78*'Plan mensual'!D121+parametros_recargas!$J$78*'Plan mensual'!D122+parametros_recargas!$K$78*'Plan mensual'!D123+parametros_recargas!$L$78*'Plan mensual'!D124+parametros_recargas!$M$78*'Plan mensual'!D126</f>
        <v>2029.61986124214</v>
      </c>
      <c r="C100" s="26" t="n">
        <f aca="false">parametros_recargas!$E$78*'Plan mensual'!E117+parametros_recargas!$F$78*'Plan mensual'!E118+parametros_recargas!$G$78*'Plan mensual'!E119+parametros_recargas!$H$78*'Plan mensual'!E120+parametros_recargas!$I$78*'Plan mensual'!E121+parametros_recargas!$J$78*'Plan mensual'!E122+parametros_recargas!$K$78*'Plan mensual'!E123+parametros_recargas!$L$78*'Plan mensual'!E124+parametros_recargas!$M$78*'Plan mensual'!E126</f>
        <v>5349.828425268</v>
      </c>
      <c r="D100" s="26" t="n">
        <f aca="false">parametros_recargas!$E$78*'Plan mensual'!F117+parametros_recargas!$F$78*'Plan mensual'!F118+parametros_recargas!$G$78*'Plan mensual'!F119+parametros_recargas!$H$78*'Plan mensual'!F120+parametros_recargas!$I$78*'Plan mensual'!F121+parametros_recargas!$J$78*'Plan mensual'!F122+parametros_recargas!$K$78*'Plan mensual'!F123+parametros_recargas!$L$78*'Plan mensual'!F124+parametros_recargas!$M$78*'Plan mensual'!F126</f>
        <v>4550.73395563007</v>
      </c>
      <c r="E100" s="26" t="n">
        <f aca="false">parametros_recargas!$E$78*'Plan mensual'!G117+parametros_recargas!$F$78*'Plan mensual'!G118+parametros_recargas!$G$78*'Plan mensual'!G119+parametros_recargas!$H$78*'Plan mensual'!G120+parametros_recargas!$I$78*'Plan mensual'!G121+parametros_recargas!$J$78*'Plan mensual'!G122+parametros_recargas!$K$78*'Plan mensual'!G123+parametros_recargas!$L$78*'Plan mensual'!G124+parametros_recargas!$M$78*'Plan mensual'!G126</f>
        <v>4570.23172201546</v>
      </c>
      <c r="F100" s="26" t="n">
        <f aca="false">parametros_recargas!$E$78*'Plan mensual'!H117+parametros_recargas!$F$78*'Plan mensual'!H118+parametros_recargas!$G$78*'Plan mensual'!H119+parametros_recargas!$H$78*'Plan mensual'!H120+parametros_recargas!$I$78*'Plan mensual'!H121+parametros_recargas!$J$78*'Plan mensual'!H122+parametros_recargas!$K$78*'Plan mensual'!H123+parametros_recargas!$L$78*'Plan mensual'!H124+parametros_recargas!$M$78*'Plan mensual'!H126</f>
        <v>4571.24955954856</v>
      </c>
      <c r="G100" s="26" t="n">
        <f aca="false">parametros_recargas!$E$78*'Plan mensual'!I117+parametros_recargas!$F$78*'Plan mensual'!I118+parametros_recargas!$G$78*'Plan mensual'!I119+parametros_recargas!$H$78*'Plan mensual'!I120+parametros_recargas!$I$78*'Plan mensual'!I121+parametros_recargas!$J$78*'Plan mensual'!I122+parametros_recargas!$K$78*'Plan mensual'!I123+parametros_recargas!$L$78*'Plan mensual'!I124+parametros_recargas!$M$78*'Plan mensual'!I126</f>
        <v>4561.98017785266</v>
      </c>
      <c r="H100" s="26" t="n">
        <f aca="false">parametros_recargas!$E$78*'Plan mensual'!J117+parametros_recargas!$F$78*'Plan mensual'!J118+parametros_recargas!$G$78*'Plan mensual'!J119+parametros_recargas!$H$78*'Plan mensual'!J120+parametros_recargas!$I$78*'Plan mensual'!J121+parametros_recargas!$J$78*'Plan mensual'!J122+parametros_recargas!$K$78*'Plan mensual'!J123+parametros_recargas!$L$78*'Plan mensual'!J124+parametros_recargas!$M$78*'Plan mensual'!J126</f>
        <v>4591.13563389455</v>
      </c>
      <c r="I100" s="26" t="n">
        <f aca="false">parametros_recargas!$E$78*'Plan mensual'!K117+parametros_recargas!$F$78*'Plan mensual'!K118+parametros_recargas!$G$78*'Plan mensual'!K119+parametros_recargas!$H$78*'Plan mensual'!K120+parametros_recargas!$I$78*'Plan mensual'!K121+parametros_recargas!$J$78*'Plan mensual'!K122+parametros_recargas!$K$78*'Plan mensual'!K123+parametros_recargas!$L$78*'Plan mensual'!K124+parametros_recargas!$M$78*'Plan mensual'!K126</f>
        <v>4569.19329239355</v>
      </c>
      <c r="J100" s="26" t="n">
        <f aca="false">parametros_recargas!$E$78*'Plan mensual'!L117+parametros_recargas!$F$78*'Plan mensual'!L118+parametros_recargas!$G$78*'Plan mensual'!L119+parametros_recargas!$H$78*'Plan mensual'!L120+parametros_recargas!$I$78*'Plan mensual'!L121+parametros_recargas!$J$78*'Plan mensual'!L122+parametros_recargas!$K$78*'Plan mensual'!L123+parametros_recargas!$L$78*'Plan mensual'!L124+parametros_recargas!$M$78*'Plan mensual'!L126</f>
        <v>4572.61452086461</v>
      </c>
      <c r="K100" s="26" t="n">
        <f aca="false">parametros_recargas!$E$78*'Plan mensual'!M117+parametros_recargas!$F$78*'Plan mensual'!M118+parametros_recargas!$G$78*'Plan mensual'!M119+parametros_recargas!$H$78*'Plan mensual'!M120+parametros_recargas!$I$78*'Plan mensual'!M121+parametros_recargas!$J$78*'Plan mensual'!M122+parametros_recargas!$K$78*'Plan mensual'!M123+parametros_recargas!$L$78*'Plan mensual'!M124+parametros_recargas!$M$78*'Plan mensual'!M126</f>
        <v>4561.30358064858</v>
      </c>
      <c r="L100" s="26" t="n">
        <f aca="false">parametros_recargas!$E$78*'Plan mensual'!N117+parametros_recargas!$F$78*'Plan mensual'!N118+parametros_recargas!$G$78*'Plan mensual'!N119+parametros_recargas!$H$78*'Plan mensual'!N120+parametros_recargas!$I$78*'Plan mensual'!N121+parametros_recargas!$J$78*'Plan mensual'!N122+parametros_recargas!$K$78*'Plan mensual'!N123+parametros_recargas!$L$78*'Plan mensual'!N124+parametros_recargas!$M$78*'Plan mensual'!N126</f>
        <v>4512.59446540879</v>
      </c>
      <c r="M100" s="26" t="n">
        <f aca="false">parametros_recargas!$E$78*'Plan mensual'!O117+parametros_recargas!$F$78*'Plan mensual'!O118+parametros_recargas!$G$78*'Plan mensual'!O119+parametros_recargas!$H$78*'Plan mensual'!O120+parametros_recargas!$I$78*'Plan mensual'!O121+parametros_recargas!$J$78*'Plan mensual'!O122+parametros_recargas!$K$78*'Plan mensual'!O123+parametros_recargas!$L$78*'Plan mensual'!O124+parametros_recargas!$M$78*'Plan mensual'!O126</f>
        <v>1897.26862294322</v>
      </c>
      <c r="N100" s="8" t="n">
        <f aca="false">SUM(B100:M100)</f>
        <v>50337.7538177102</v>
      </c>
      <c r="O100" s="27" t="n">
        <f aca="false">MAX(B100:M100)</f>
        <v>5349.828425268</v>
      </c>
      <c r="P100" s="13" t="n">
        <f aca="false">O100/parametros_recargas!$B$6</f>
        <v>35.66552283512</v>
      </c>
    </row>
    <row r="101" customFormat="false" ht="15" hidden="false" customHeight="false" outlineLevel="0" collapsed="false">
      <c r="A101" s="10" t="str">
        <f aca="false">parametros_recargas!$B$79</f>
        <v>Descarga ABC — ruta descarte</v>
      </c>
      <c r="B101" s="26" t="n">
        <f aca="false">parametros_recargas!$E$79*'Plan mensual'!D117+parametros_recargas!$F$79*'Plan mensual'!D118+parametros_recargas!$G$79*'Plan mensual'!D119+parametros_recargas!$H$79*'Plan mensual'!D120+parametros_recargas!$I$79*'Plan mensual'!D121+parametros_recargas!$J$79*'Plan mensual'!D122+parametros_recargas!$K$79*'Plan mensual'!D123+parametros_recargas!$L$79*'Plan mensual'!D124+parametros_recargas!$M$79*'Plan mensual'!D126</f>
        <v>225.513317915793</v>
      </c>
      <c r="C101" s="26" t="n">
        <f aca="false">parametros_recargas!$E$79*'Plan mensual'!E117+parametros_recargas!$F$79*'Plan mensual'!E118+parametros_recargas!$G$79*'Plan mensual'!E119+parametros_recargas!$H$79*'Plan mensual'!E120+parametros_recargas!$I$79*'Plan mensual'!E121+parametros_recargas!$J$79*'Plan mensual'!E122+parametros_recargas!$K$79*'Plan mensual'!E123+parametros_recargas!$L$79*'Plan mensual'!E124+parametros_recargas!$M$79*'Plan mensual'!E126</f>
        <v>594.425380585334</v>
      </c>
      <c r="D101" s="26" t="n">
        <f aca="false">parametros_recargas!$E$79*'Plan mensual'!F117+parametros_recargas!$F$79*'Plan mensual'!F118+parametros_recargas!$G$79*'Plan mensual'!F119+parametros_recargas!$H$79*'Plan mensual'!F120+parametros_recargas!$I$79*'Plan mensual'!F121+parametros_recargas!$J$79*'Plan mensual'!F122+parametros_recargas!$K$79*'Plan mensual'!F123+parametros_recargas!$L$79*'Plan mensual'!F124+parametros_recargas!$M$79*'Plan mensual'!F126</f>
        <v>505.637106181119</v>
      </c>
      <c r="E101" s="26" t="n">
        <f aca="false">parametros_recargas!$E$79*'Plan mensual'!G117+parametros_recargas!$F$79*'Plan mensual'!G118+parametros_recargas!$G$79*'Plan mensual'!G119+parametros_recargas!$H$79*'Plan mensual'!G120+parametros_recargas!$I$79*'Plan mensual'!G121+parametros_recargas!$J$79*'Plan mensual'!G122+parametros_recargas!$K$79*'Plan mensual'!G123+parametros_recargas!$L$79*'Plan mensual'!G124+parametros_recargas!$M$79*'Plan mensual'!G126</f>
        <v>507.803524668385</v>
      </c>
      <c r="F101" s="26" t="n">
        <f aca="false">parametros_recargas!$E$79*'Plan mensual'!H117+parametros_recargas!$F$79*'Plan mensual'!H118+parametros_recargas!$G$79*'Plan mensual'!H119+parametros_recargas!$H$79*'Plan mensual'!H120+parametros_recargas!$I$79*'Plan mensual'!H121+parametros_recargas!$J$79*'Plan mensual'!H122+parametros_recargas!$K$79*'Plan mensual'!H123+parametros_recargas!$L$79*'Plan mensual'!H124+parametros_recargas!$M$79*'Plan mensual'!H126</f>
        <v>507.916617727617</v>
      </c>
      <c r="G101" s="26" t="n">
        <f aca="false">parametros_recargas!$E$79*'Plan mensual'!I117+parametros_recargas!$F$79*'Plan mensual'!I118+parametros_recargas!$G$79*'Plan mensual'!I119+parametros_recargas!$H$79*'Plan mensual'!I120+parametros_recargas!$I$79*'Plan mensual'!I121+parametros_recargas!$J$79*'Plan mensual'!I122+parametros_recargas!$K$79*'Plan mensual'!I123+parametros_recargas!$L$79*'Plan mensual'!I124+parametros_recargas!$M$79*'Plan mensual'!I126</f>
        <v>506.886686428074</v>
      </c>
      <c r="H101" s="26" t="n">
        <f aca="false">parametros_recargas!$E$79*'Plan mensual'!J117+parametros_recargas!$F$79*'Plan mensual'!J118+parametros_recargas!$G$79*'Plan mensual'!J119+parametros_recargas!$H$79*'Plan mensual'!J120+parametros_recargas!$I$79*'Plan mensual'!J121+parametros_recargas!$J$79*'Plan mensual'!J122+parametros_recargas!$K$79*'Plan mensual'!J123+parametros_recargas!$L$79*'Plan mensual'!J124+parametros_recargas!$M$79*'Plan mensual'!J126</f>
        <v>510.126181543839</v>
      </c>
      <c r="I101" s="26" t="n">
        <f aca="false">parametros_recargas!$E$79*'Plan mensual'!K117+parametros_recargas!$F$79*'Plan mensual'!K118+parametros_recargas!$G$79*'Plan mensual'!K119+parametros_recargas!$H$79*'Plan mensual'!K120+parametros_recargas!$I$79*'Plan mensual'!K121+parametros_recargas!$J$79*'Plan mensual'!K122+parametros_recargas!$K$79*'Plan mensual'!K123+parametros_recargas!$L$79*'Plan mensual'!K124+parametros_recargas!$M$79*'Plan mensual'!K126</f>
        <v>507.688143599283</v>
      </c>
      <c r="J101" s="26" t="n">
        <f aca="false">parametros_recargas!$E$79*'Plan mensual'!L117+parametros_recargas!$F$79*'Plan mensual'!L118+parametros_recargas!$G$79*'Plan mensual'!L119+parametros_recargas!$H$79*'Plan mensual'!L120+parametros_recargas!$I$79*'Plan mensual'!L121+parametros_recargas!$J$79*'Plan mensual'!L122+parametros_recargas!$K$79*'Plan mensual'!L123+parametros_recargas!$L$79*'Plan mensual'!L124+parametros_recargas!$M$79*'Plan mensual'!L126</f>
        <v>508.068280096068</v>
      </c>
      <c r="K101" s="26" t="n">
        <f aca="false">parametros_recargas!$E$79*'Plan mensual'!M117+parametros_recargas!$F$79*'Plan mensual'!M118+parametros_recargas!$G$79*'Plan mensual'!M119+parametros_recargas!$H$79*'Plan mensual'!M120+parametros_recargas!$I$79*'Plan mensual'!M121+parametros_recargas!$J$79*'Plan mensual'!M122+parametros_recargas!$K$79*'Plan mensual'!M123+parametros_recargas!$L$79*'Plan mensual'!M124+parametros_recargas!$M$79*'Plan mensual'!M126</f>
        <v>506.811508960954</v>
      </c>
      <c r="L101" s="26" t="n">
        <f aca="false">parametros_recargas!$E$79*'Plan mensual'!N117+parametros_recargas!$F$79*'Plan mensual'!N118+parametros_recargas!$G$79*'Plan mensual'!N119+parametros_recargas!$H$79*'Plan mensual'!N120+parametros_recargas!$I$79*'Plan mensual'!N121+parametros_recargas!$J$79*'Plan mensual'!N122+parametros_recargas!$K$79*'Plan mensual'!N123+parametros_recargas!$L$79*'Plan mensual'!N124+parametros_recargas!$M$79*'Plan mensual'!N126</f>
        <v>501.399385045421</v>
      </c>
      <c r="M101" s="26" t="n">
        <f aca="false">parametros_recargas!$E$79*'Plan mensual'!O117+parametros_recargas!$F$79*'Plan mensual'!O118+parametros_recargas!$G$79*'Plan mensual'!O119+parametros_recargas!$H$79*'Plan mensual'!O120+parametros_recargas!$I$79*'Plan mensual'!O121+parametros_recargas!$J$79*'Plan mensual'!O122+parametros_recargas!$K$79*'Plan mensual'!O123+parametros_recargas!$L$79*'Plan mensual'!O124+parametros_recargas!$M$79*'Plan mensual'!O126</f>
        <v>210.807624771469</v>
      </c>
      <c r="N101" s="8" t="n">
        <f aca="false">SUM(B101:M101)</f>
        <v>5593.08375752335</v>
      </c>
      <c r="O101" s="27" t="n">
        <f aca="false">MAX(B101:M101)</f>
        <v>594.425380585334</v>
      </c>
      <c r="P101" s="13" t="n">
        <f aca="false">O101/parametros_recargas!$B$6</f>
        <v>3.96283587056889</v>
      </c>
    </row>
    <row r="102" customFormat="false" ht="15" hidden="false" customHeight="false" outlineLevel="0" collapsed="false">
      <c r="A102" s="10" t="str">
        <f aca="false">parametros_recargas!$B$80</f>
        <v>Descarga BC</v>
      </c>
      <c r="B102" s="26" t="n">
        <f aca="false">parametros_recargas!$E$80*'Plan mensual'!D117+parametros_recargas!$F$80*'Plan mensual'!D118+parametros_recargas!$G$80*'Plan mensual'!D119+parametros_recargas!$H$80*'Plan mensual'!D120+parametros_recargas!$I$80*'Plan mensual'!D121+parametros_recargas!$J$80*'Plan mensual'!D122+parametros_recargas!$K$80*'Plan mensual'!D123+parametros_recargas!$L$80*'Plan mensual'!D124+parametros_recargas!$M$80*'Plan mensual'!D126</f>
        <v>7.16040964000488</v>
      </c>
      <c r="C102" s="26" t="n">
        <f aca="false">parametros_recargas!$E$80*'Plan mensual'!E117+parametros_recargas!$F$80*'Plan mensual'!E118+parametros_recargas!$G$80*'Plan mensual'!E119+parametros_recargas!$H$80*'Plan mensual'!E120+parametros_recargas!$I$80*'Plan mensual'!E121+parametros_recargas!$J$80*'Plan mensual'!E122+parametros_recargas!$K$80*'Plan mensual'!E123+parametros_recargas!$L$80*'Plan mensual'!E124+parametros_recargas!$M$80*'Plan mensual'!E126</f>
        <v>7.16040964000488</v>
      </c>
      <c r="D102" s="26" t="n">
        <f aca="false">parametros_recargas!$E$80*'Plan mensual'!F117+parametros_recargas!$F$80*'Plan mensual'!F118+parametros_recargas!$G$80*'Plan mensual'!F119+parametros_recargas!$H$80*'Plan mensual'!F120+parametros_recargas!$I$80*'Plan mensual'!F121+parametros_recargas!$J$80*'Plan mensual'!F122+parametros_recargas!$K$80*'Plan mensual'!F123+parametros_recargas!$L$80*'Plan mensual'!F124+parametros_recargas!$M$80*'Plan mensual'!F126</f>
        <v>7.16040964000488</v>
      </c>
      <c r="E102" s="26" t="n">
        <f aca="false">parametros_recargas!$E$80*'Plan mensual'!G117+parametros_recargas!$F$80*'Plan mensual'!G118+parametros_recargas!$G$80*'Plan mensual'!G119+parametros_recargas!$H$80*'Plan mensual'!G120+parametros_recargas!$I$80*'Plan mensual'!G121+parametros_recargas!$J$80*'Plan mensual'!G122+parametros_recargas!$K$80*'Plan mensual'!G123+parametros_recargas!$L$80*'Plan mensual'!G124+parametros_recargas!$M$80*'Plan mensual'!G126</f>
        <v>7.16040964000488</v>
      </c>
      <c r="F102" s="26" t="n">
        <f aca="false">parametros_recargas!$E$80*'Plan mensual'!H117+parametros_recargas!$F$80*'Plan mensual'!H118+parametros_recargas!$G$80*'Plan mensual'!H119+parametros_recargas!$H$80*'Plan mensual'!H120+parametros_recargas!$I$80*'Plan mensual'!H121+parametros_recargas!$J$80*'Plan mensual'!H122+parametros_recargas!$K$80*'Plan mensual'!H123+parametros_recargas!$L$80*'Plan mensual'!H124+parametros_recargas!$M$80*'Plan mensual'!H126</f>
        <v>7.16040964000488</v>
      </c>
      <c r="G102" s="26" t="n">
        <f aca="false">parametros_recargas!$E$80*'Plan mensual'!I117+parametros_recargas!$F$80*'Plan mensual'!I118+parametros_recargas!$G$80*'Plan mensual'!I119+parametros_recargas!$H$80*'Plan mensual'!I120+parametros_recargas!$I$80*'Plan mensual'!I121+parametros_recargas!$J$80*'Plan mensual'!I122+parametros_recargas!$K$80*'Plan mensual'!I123+parametros_recargas!$L$80*'Plan mensual'!I124+parametros_recargas!$M$80*'Plan mensual'!I126</f>
        <v>7.16040964000488</v>
      </c>
      <c r="H102" s="26" t="n">
        <f aca="false">parametros_recargas!$E$80*'Plan mensual'!J117+parametros_recargas!$F$80*'Plan mensual'!J118+parametros_recargas!$G$80*'Plan mensual'!J119+parametros_recargas!$H$80*'Plan mensual'!J120+parametros_recargas!$I$80*'Plan mensual'!J121+parametros_recargas!$J$80*'Plan mensual'!J122+parametros_recargas!$K$80*'Plan mensual'!J123+parametros_recargas!$L$80*'Plan mensual'!J124+parametros_recargas!$M$80*'Plan mensual'!J126</f>
        <v>7.16040964000488</v>
      </c>
      <c r="I102" s="26" t="n">
        <f aca="false">parametros_recargas!$E$80*'Plan mensual'!K117+parametros_recargas!$F$80*'Plan mensual'!K118+parametros_recargas!$G$80*'Plan mensual'!K119+parametros_recargas!$H$80*'Plan mensual'!K120+parametros_recargas!$I$80*'Plan mensual'!K121+parametros_recargas!$J$80*'Plan mensual'!K122+parametros_recargas!$K$80*'Plan mensual'!K123+parametros_recargas!$L$80*'Plan mensual'!K124+parametros_recargas!$M$80*'Plan mensual'!K126</f>
        <v>7.16040964000488</v>
      </c>
      <c r="J102" s="26" t="n">
        <f aca="false">parametros_recargas!$E$80*'Plan mensual'!L117+parametros_recargas!$F$80*'Plan mensual'!L118+parametros_recargas!$G$80*'Plan mensual'!L119+parametros_recargas!$H$80*'Plan mensual'!L120+parametros_recargas!$I$80*'Plan mensual'!L121+parametros_recargas!$J$80*'Plan mensual'!L122+parametros_recargas!$K$80*'Plan mensual'!L123+parametros_recargas!$L$80*'Plan mensual'!L124+parametros_recargas!$M$80*'Plan mensual'!L126</f>
        <v>7.16040964000488</v>
      </c>
      <c r="K102" s="26" t="n">
        <f aca="false">parametros_recargas!$E$80*'Plan mensual'!M117+parametros_recargas!$F$80*'Plan mensual'!M118+parametros_recargas!$G$80*'Plan mensual'!M119+parametros_recargas!$H$80*'Plan mensual'!M120+parametros_recargas!$I$80*'Plan mensual'!M121+parametros_recargas!$J$80*'Plan mensual'!M122+parametros_recargas!$K$80*'Plan mensual'!M123+parametros_recargas!$L$80*'Plan mensual'!M124+parametros_recargas!$M$80*'Plan mensual'!M126</f>
        <v>7.16040964000488</v>
      </c>
      <c r="L102" s="26" t="n">
        <f aca="false">parametros_recargas!$E$80*'Plan mensual'!N117+parametros_recargas!$F$80*'Plan mensual'!N118+parametros_recargas!$G$80*'Plan mensual'!N119+parametros_recargas!$H$80*'Plan mensual'!N120+parametros_recargas!$I$80*'Plan mensual'!N121+parametros_recargas!$J$80*'Plan mensual'!N122+parametros_recargas!$K$80*'Plan mensual'!N123+parametros_recargas!$L$80*'Plan mensual'!N124+parametros_recargas!$M$80*'Plan mensual'!N126</f>
        <v>7.16040964000488</v>
      </c>
      <c r="M102" s="26" t="n">
        <f aca="false">parametros_recargas!$E$80*'Plan mensual'!O117+parametros_recargas!$F$80*'Plan mensual'!O118+parametros_recargas!$G$80*'Plan mensual'!O119+parametros_recargas!$H$80*'Plan mensual'!O120+parametros_recargas!$I$80*'Plan mensual'!O121+parametros_recargas!$J$80*'Plan mensual'!O122+parametros_recargas!$K$80*'Plan mensual'!O123+parametros_recargas!$L$80*'Plan mensual'!O124+parametros_recargas!$M$80*'Plan mensual'!O126</f>
        <v>7.16040964000488</v>
      </c>
      <c r="N102" s="8" t="n">
        <f aca="false">SUM(B102:M102)</f>
        <v>85.9249156800586</v>
      </c>
      <c r="O102" s="27" t="n">
        <f aca="false">MAX(B102:M102)</f>
        <v>7.16040964000488</v>
      </c>
      <c r="P102" s="13" t="n">
        <f aca="false">O102/parametros_recargas!$B$6</f>
        <v>0.0477360642666992</v>
      </c>
    </row>
    <row r="103" customFormat="false" ht="15" hidden="false" customHeight="false" outlineLevel="0" collapsed="false">
      <c r="A103" s="10" t="str">
        <f aca="false">parametros_recargas!$B$81</f>
        <v>Descarga de agua / AFFF / sales K</v>
      </c>
      <c r="B103" s="26" t="n">
        <f aca="false">parametros_recargas!$E$81*'Plan mensual'!D117+parametros_recargas!$F$81*'Plan mensual'!D118+parametros_recargas!$G$81*'Plan mensual'!D119+parametros_recargas!$H$81*'Plan mensual'!D120+parametros_recargas!$I$81*'Plan mensual'!D121+parametros_recargas!$J$81*'Plan mensual'!D122+parametros_recargas!$K$81*'Plan mensual'!D123+parametros_recargas!$L$81*'Plan mensual'!D124+parametros_recargas!$M$81*'Plan mensual'!D126</f>
        <v>277.705089380715</v>
      </c>
      <c r="C103" s="26" t="n">
        <f aca="false">parametros_recargas!$E$81*'Plan mensual'!E117+parametros_recargas!$F$81*'Plan mensual'!E118+parametros_recargas!$G$81*'Plan mensual'!E119+parametros_recargas!$H$81*'Plan mensual'!E120+parametros_recargas!$I$81*'Plan mensual'!E121+parametros_recargas!$J$81*'Plan mensual'!E122+parametros_recargas!$K$81*'Plan mensual'!E123+parametros_recargas!$L$81*'Plan mensual'!E124+parametros_recargas!$M$81*'Plan mensual'!E126</f>
        <v>390.394043056483</v>
      </c>
      <c r="D103" s="26" t="n">
        <f aca="false">parametros_recargas!$E$81*'Plan mensual'!F117+parametros_recargas!$F$81*'Plan mensual'!F118+parametros_recargas!$G$81*'Plan mensual'!F119+parametros_recargas!$H$81*'Plan mensual'!F120+parametros_recargas!$I$81*'Plan mensual'!F121+parametros_recargas!$J$81*'Plan mensual'!F122+parametros_recargas!$K$81*'Plan mensual'!F123+parametros_recargas!$L$81*'Plan mensual'!F124+parametros_recargas!$M$81*'Plan mensual'!F126</f>
        <v>277.705089380715</v>
      </c>
      <c r="E103" s="26" t="n">
        <f aca="false">parametros_recargas!$E$81*'Plan mensual'!G117+parametros_recargas!$F$81*'Plan mensual'!G118+parametros_recargas!$G$81*'Plan mensual'!G119+parametros_recargas!$H$81*'Plan mensual'!G120+parametros_recargas!$I$81*'Plan mensual'!G121+parametros_recargas!$J$81*'Plan mensual'!G122+parametros_recargas!$K$81*'Plan mensual'!G123+parametros_recargas!$L$81*'Plan mensual'!G124+parametros_recargas!$M$81*'Plan mensual'!G126</f>
        <v>277.705089380715</v>
      </c>
      <c r="F103" s="26" t="n">
        <f aca="false">parametros_recargas!$E$81*'Plan mensual'!H117+parametros_recargas!$F$81*'Plan mensual'!H118+parametros_recargas!$G$81*'Plan mensual'!H119+parametros_recargas!$H$81*'Plan mensual'!H120+parametros_recargas!$I$81*'Plan mensual'!H121+parametros_recargas!$J$81*'Plan mensual'!H122+parametros_recargas!$K$81*'Plan mensual'!H123+parametros_recargas!$L$81*'Plan mensual'!H124+parametros_recargas!$M$81*'Plan mensual'!H126</f>
        <v>277.705089380715</v>
      </c>
      <c r="G103" s="26" t="n">
        <f aca="false">parametros_recargas!$E$81*'Plan mensual'!I117+parametros_recargas!$F$81*'Plan mensual'!I118+parametros_recargas!$G$81*'Plan mensual'!I119+parametros_recargas!$H$81*'Plan mensual'!I120+parametros_recargas!$I$81*'Plan mensual'!I121+parametros_recargas!$J$81*'Plan mensual'!I122+parametros_recargas!$K$81*'Plan mensual'!I123+parametros_recargas!$L$81*'Plan mensual'!I124+parametros_recargas!$M$81*'Plan mensual'!I126</f>
        <v>277.705089380715</v>
      </c>
      <c r="H103" s="26" t="n">
        <f aca="false">parametros_recargas!$E$81*'Plan mensual'!J117+parametros_recargas!$F$81*'Plan mensual'!J118+parametros_recargas!$G$81*'Plan mensual'!J119+parametros_recargas!$H$81*'Plan mensual'!J120+parametros_recargas!$I$81*'Plan mensual'!J121+parametros_recargas!$J$81*'Plan mensual'!J122+parametros_recargas!$K$81*'Plan mensual'!J123+parametros_recargas!$L$81*'Plan mensual'!J124+parametros_recargas!$M$81*'Plan mensual'!J126</f>
        <v>277.705089380715</v>
      </c>
      <c r="I103" s="26" t="n">
        <f aca="false">parametros_recargas!$E$81*'Plan mensual'!K117+parametros_recargas!$F$81*'Plan mensual'!K118+parametros_recargas!$G$81*'Plan mensual'!K119+parametros_recargas!$H$81*'Plan mensual'!K120+parametros_recargas!$I$81*'Plan mensual'!K121+parametros_recargas!$J$81*'Plan mensual'!K122+parametros_recargas!$K$81*'Plan mensual'!K123+parametros_recargas!$L$81*'Plan mensual'!K124+parametros_recargas!$M$81*'Plan mensual'!K126</f>
        <v>277.705089380715</v>
      </c>
      <c r="J103" s="26" t="n">
        <f aca="false">parametros_recargas!$E$81*'Plan mensual'!L117+parametros_recargas!$F$81*'Plan mensual'!L118+parametros_recargas!$G$81*'Plan mensual'!L119+parametros_recargas!$H$81*'Plan mensual'!L120+parametros_recargas!$I$81*'Plan mensual'!L121+parametros_recargas!$J$81*'Plan mensual'!L122+parametros_recargas!$K$81*'Plan mensual'!L123+parametros_recargas!$L$81*'Plan mensual'!L124+parametros_recargas!$M$81*'Plan mensual'!L126</f>
        <v>277.705089380715</v>
      </c>
      <c r="K103" s="26" t="n">
        <f aca="false">parametros_recargas!$E$81*'Plan mensual'!M117+parametros_recargas!$F$81*'Plan mensual'!M118+parametros_recargas!$G$81*'Plan mensual'!M119+parametros_recargas!$H$81*'Plan mensual'!M120+parametros_recargas!$I$81*'Plan mensual'!M121+parametros_recargas!$J$81*'Plan mensual'!M122+parametros_recargas!$K$81*'Plan mensual'!M123+parametros_recargas!$L$81*'Plan mensual'!M124+parametros_recargas!$M$81*'Plan mensual'!M126</f>
        <v>277.705089380715</v>
      </c>
      <c r="L103" s="26" t="n">
        <f aca="false">parametros_recargas!$E$81*'Plan mensual'!N117+parametros_recargas!$F$81*'Plan mensual'!N118+parametros_recargas!$G$81*'Plan mensual'!N119+parametros_recargas!$H$81*'Plan mensual'!N120+parametros_recargas!$I$81*'Plan mensual'!N121+parametros_recargas!$J$81*'Plan mensual'!N122+parametros_recargas!$K$81*'Plan mensual'!N123+parametros_recargas!$L$81*'Plan mensual'!N124+parametros_recargas!$M$81*'Plan mensual'!N126</f>
        <v>277.705089380715</v>
      </c>
      <c r="M103" s="26" t="n">
        <f aca="false">parametros_recargas!$E$81*'Plan mensual'!O117+parametros_recargas!$F$81*'Plan mensual'!O118+parametros_recargas!$G$81*'Plan mensual'!O119+parametros_recargas!$H$81*'Plan mensual'!O120+parametros_recargas!$I$81*'Plan mensual'!O121+parametros_recargas!$J$81*'Plan mensual'!O122+parametros_recargas!$K$81*'Plan mensual'!O123+parametros_recargas!$L$81*'Plan mensual'!O124+parametros_recargas!$M$81*'Plan mensual'!O126</f>
        <v>277.705089380715</v>
      </c>
      <c r="N103" s="8" t="n">
        <f aca="false">SUM(B103:M103)</f>
        <v>3445.15002624435</v>
      </c>
      <c r="O103" s="27" t="n">
        <f aca="false">MAX(B103:M103)</f>
        <v>390.394043056483</v>
      </c>
      <c r="P103" s="13" t="n">
        <f aca="false">O103/parametros_recargas!$B$6</f>
        <v>2.60262695370988</v>
      </c>
    </row>
    <row r="104" customFormat="false" ht="15" hidden="false" customHeight="false" outlineLevel="0" collapsed="false">
      <c r="A104" s="10" t="str">
        <f aca="false">parametros_recargas!$B$82</f>
        <v>Recuperación de CO₂</v>
      </c>
      <c r="B104" s="26" t="n">
        <f aca="false">parametros_recargas!$E$82*'Plan mensual'!D117+parametros_recargas!$F$82*'Plan mensual'!D118+parametros_recargas!$G$82*'Plan mensual'!D119+parametros_recargas!$H$82*'Plan mensual'!D120+parametros_recargas!$I$82*'Plan mensual'!D121+parametros_recargas!$J$82*'Plan mensual'!D122+parametros_recargas!$K$82*'Plan mensual'!D123+parametros_recargas!$L$82*'Plan mensual'!D124+parametros_recargas!$M$82*'Plan mensual'!D126</f>
        <v>134.139005337023</v>
      </c>
      <c r="C104" s="26" t="n">
        <f aca="false">parametros_recargas!$E$82*'Plan mensual'!E117+parametros_recargas!$F$82*'Plan mensual'!E118+parametros_recargas!$G$82*'Plan mensual'!E119+parametros_recargas!$H$82*'Plan mensual'!E120+parametros_recargas!$I$82*'Plan mensual'!E121+parametros_recargas!$J$82*'Plan mensual'!E122+parametros_recargas!$K$82*'Plan mensual'!E123+parametros_recargas!$L$82*'Plan mensual'!E124+parametros_recargas!$M$82*'Plan mensual'!E126</f>
        <v>210.814228950975</v>
      </c>
      <c r="D104" s="26" t="n">
        <f aca="false">parametros_recargas!$E$82*'Plan mensual'!F117+parametros_recargas!$F$82*'Plan mensual'!F118+parametros_recargas!$G$82*'Plan mensual'!F119+parametros_recargas!$H$82*'Plan mensual'!F120+parametros_recargas!$I$82*'Plan mensual'!F121+parametros_recargas!$J$82*'Plan mensual'!F122+parametros_recargas!$K$82*'Plan mensual'!F123+parametros_recargas!$L$82*'Plan mensual'!F124+parametros_recargas!$M$82*'Plan mensual'!F126</f>
        <v>134.139005337023</v>
      </c>
      <c r="E104" s="26" t="n">
        <f aca="false">parametros_recargas!$E$82*'Plan mensual'!G117+parametros_recargas!$F$82*'Plan mensual'!G118+parametros_recargas!$G$82*'Plan mensual'!G119+parametros_recargas!$H$82*'Plan mensual'!G120+parametros_recargas!$I$82*'Plan mensual'!G121+parametros_recargas!$J$82*'Plan mensual'!G122+parametros_recargas!$K$82*'Plan mensual'!G123+parametros_recargas!$L$82*'Plan mensual'!G124+parametros_recargas!$M$82*'Plan mensual'!G126</f>
        <v>134.139005337023</v>
      </c>
      <c r="F104" s="26" t="n">
        <f aca="false">parametros_recargas!$E$82*'Plan mensual'!H117+parametros_recargas!$F$82*'Plan mensual'!H118+parametros_recargas!$G$82*'Plan mensual'!H119+parametros_recargas!$H$82*'Plan mensual'!H120+parametros_recargas!$I$82*'Plan mensual'!H121+parametros_recargas!$J$82*'Plan mensual'!H122+parametros_recargas!$K$82*'Plan mensual'!H123+parametros_recargas!$L$82*'Plan mensual'!H124+parametros_recargas!$M$82*'Plan mensual'!H126</f>
        <v>134.139005337023</v>
      </c>
      <c r="G104" s="26" t="n">
        <f aca="false">parametros_recargas!$E$82*'Plan mensual'!I117+parametros_recargas!$F$82*'Plan mensual'!I118+parametros_recargas!$G$82*'Plan mensual'!I119+parametros_recargas!$H$82*'Plan mensual'!I120+parametros_recargas!$I$82*'Plan mensual'!I121+parametros_recargas!$J$82*'Plan mensual'!I122+parametros_recargas!$K$82*'Plan mensual'!I123+parametros_recargas!$L$82*'Plan mensual'!I124+parametros_recargas!$M$82*'Plan mensual'!I126</f>
        <v>134.139005337023</v>
      </c>
      <c r="H104" s="26" t="n">
        <f aca="false">parametros_recargas!$E$82*'Plan mensual'!J117+parametros_recargas!$F$82*'Plan mensual'!J118+parametros_recargas!$G$82*'Plan mensual'!J119+parametros_recargas!$H$82*'Plan mensual'!J120+parametros_recargas!$I$82*'Plan mensual'!J121+parametros_recargas!$J$82*'Plan mensual'!J122+parametros_recargas!$K$82*'Plan mensual'!J123+parametros_recargas!$L$82*'Plan mensual'!J124+parametros_recargas!$M$82*'Plan mensual'!J126</f>
        <v>134.139005337023</v>
      </c>
      <c r="I104" s="26" t="n">
        <f aca="false">parametros_recargas!$E$82*'Plan mensual'!K117+parametros_recargas!$F$82*'Plan mensual'!K118+parametros_recargas!$G$82*'Plan mensual'!K119+parametros_recargas!$H$82*'Plan mensual'!K120+parametros_recargas!$I$82*'Plan mensual'!K121+parametros_recargas!$J$82*'Plan mensual'!K122+parametros_recargas!$K$82*'Plan mensual'!K123+parametros_recargas!$L$82*'Plan mensual'!K124+parametros_recargas!$M$82*'Plan mensual'!K126</f>
        <v>134.139005337023</v>
      </c>
      <c r="J104" s="26" t="n">
        <f aca="false">parametros_recargas!$E$82*'Plan mensual'!L117+parametros_recargas!$F$82*'Plan mensual'!L118+parametros_recargas!$G$82*'Plan mensual'!L119+parametros_recargas!$H$82*'Plan mensual'!L120+parametros_recargas!$I$82*'Plan mensual'!L121+parametros_recargas!$J$82*'Plan mensual'!L122+parametros_recargas!$K$82*'Plan mensual'!L123+parametros_recargas!$L$82*'Plan mensual'!L124+parametros_recargas!$M$82*'Plan mensual'!L126</f>
        <v>134.139005337023</v>
      </c>
      <c r="K104" s="26" t="n">
        <f aca="false">parametros_recargas!$E$82*'Plan mensual'!M117+parametros_recargas!$F$82*'Plan mensual'!M118+parametros_recargas!$G$82*'Plan mensual'!M119+parametros_recargas!$H$82*'Plan mensual'!M120+parametros_recargas!$I$82*'Plan mensual'!M121+parametros_recargas!$J$82*'Plan mensual'!M122+parametros_recargas!$K$82*'Plan mensual'!M123+parametros_recargas!$L$82*'Plan mensual'!M124+parametros_recargas!$M$82*'Plan mensual'!M126</f>
        <v>134.139005337023</v>
      </c>
      <c r="L104" s="26" t="n">
        <f aca="false">parametros_recargas!$E$82*'Plan mensual'!N117+parametros_recargas!$F$82*'Plan mensual'!N118+parametros_recargas!$G$82*'Plan mensual'!N119+parametros_recargas!$H$82*'Plan mensual'!N120+parametros_recargas!$I$82*'Plan mensual'!N121+parametros_recargas!$J$82*'Plan mensual'!N122+parametros_recargas!$K$82*'Plan mensual'!N123+parametros_recargas!$L$82*'Plan mensual'!N124+parametros_recargas!$M$82*'Plan mensual'!N126</f>
        <v>134.139005337023</v>
      </c>
      <c r="M104" s="26" t="n">
        <f aca="false">parametros_recargas!$E$82*'Plan mensual'!O117+parametros_recargas!$F$82*'Plan mensual'!O118+parametros_recargas!$G$82*'Plan mensual'!O119+parametros_recargas!$H$82*'Plan mensual'!O120+parametros_recargas!$I$82*'Plan mensual'!O121+parametros_recargas!$J$82*'Plan mensual'!O122+parametros_recargas!$K$82*'Plan mensual'!O123+parametros_recargas!$L$82*'Plan mensual'!O124+parametros_recargas!$M$82*'Plan mensual'!O126</f>
        <v>134.139005337023</v>
      </c>
      <c r="N104" s="8" t="n">
        <f aca="false">SUM(B104:M104)</f>
        <v>1686.34328765823</v>
      </c>
      <c r="O104" s="27" t="n">
        <f aca="false">MAX(B104:M104)</f>
        <v>210.814228950975</v>
      </c>
      <c r="P104" s="13" t="n">
        <f aca="false">O104/parametros_recargas!$B$6</f>
        <v>1.4054281930065</v>
      </c>
    </row>
    <row r="105" customFormat="false" ht="15" hidden="false" customHeight="false" outlineLevel="0" collapsed="false">
      <c r="A105" s="10" t="str">
        <f aca="false">parametros_recargas!$B$83</f>
        <v>Recuperación de halogenado</v>
      </c>
      <c r="B105" s="26" t="n">
        <f aca="false">parametros_recargas!$E$83*'Plan mensual'!D117+parametros_recargas!$F$83*'Plan mensual'!D118+parametros_recargas!$G$83*'Plan mensual'!D119+parametros_recargas!$H$83*'Plan mensual'!D120+parametros_recargas!$I$83*'Plan mensual'!D121+parametros_recargas!$J$83*'Plan mensual'!D122+parametros_recargas!$K$83*'Plan mensual'!D123+parametros_recargas!$L$83*'Plan mensual'!D124+parametros_recargas!$M$83*'Plan mensual'!D126</f>
        <v>6.56846640283477</v>
      </c>
      <c r="C105" s="26" t="n">
        <f aca="false">parametros_recargas!$E$83*'Plan mensual'!E117+parametros_recargas!$F$83*'Plan mensual'!E118+parametros_recargas!$G$83*'Plan mensual'!E119+parametros_recargas!$H$83*'Plan mensual'!E120+parametros_recargas!$I$83*'Plan mensual'!E121+parametros_recargas!$J$83*'Plan mensual'!E122+parametros_recargas!$K$83*'Plan mensual'!E123+parametros_recargas!$L$83*'Plan mensual'!E124+parametros_recargas!$M$83*'Plan mensual'!E126</f>
        <v>6.56846640283477</v>
      </c>
      <c r="D105" s="26" t="n">
        <f aca="false">parametros_recargas!$E$83*'Plan mensual'!F117+parametros_recargas!$F$83*'Plan mensual'!F118+parametros_recargas!$G$83*'Plan mensual'!F119+parametros_recargas!$H$83*'Plan mensual'!F120+parametros_recargas!$I$83*'Plan mensual'!F121+parametros_recargas!$J$83*'Plan mensual'!F122+parametros_recargas!$K$83*'Plan mensual'!F123+parametros_recargas!$L$83*'Plan mensual'!F124+parametros_recargas!$M$83*'Plan mensual'!F126</f>
        <v>6.56846640283477</v>
      </c>
      <c r="E105" s="26" t="n">
        <f aca="false">parametros_recargas!$E$83*'Plan mensual'!G117+parametros_recargas!$F$83*'Plan mensual'!G118+parametros_recargas!$G$83*'Plan mensual'!G119+parametros_recargas!$H$83*'Plan mensual'!G120+parametros_recargas!$I$83*'Plan mensual'!G121+parametros_recargas!$J$83*'Plan mensual'!G122+parametros_recargas!$K$83*'Plan mensual'!G123+parametros_recargas!$L$83*'Plan mensual'!G124+parametros_recargas!$M$83*'Plan mensual'!G126</f>
        <v>6.56846640283477</v>
      </c>
      <c r="F105" s="26" t="n">
        <f aca="false">parametros_recargas!$E$83*'Plan mensual'!H117+parametros_recargas!$F$83*'Plan mensual'!H118+parametros_recargas!$G$83*'Plan mensual'!H119+parametros_recargas!$H$83*'Plan mensual'!H120+parametros_recargas!$I$83*'Plan mensual'!H121+parametros_recargas!$J$83*'Plan mensual'!H122+parametros_recargas!$K$83*'Plan mensual'!H123+parametros_recargas!$L$83*'Plan mensual'!H124+parametros_recargas!$M$83*'Plan mensual'!H126</f>
        <v>6.56846640283477</v>
      </c>
      <c r="G105" s="26" t="n">
        <f aca="false">parametros_recargas!$E$83*'Plan mensual'!I117+parametros_recargas!$F$83*'Plan mensual'!I118+parametros_recargas!$G$83*'Plan mensual'!I119+parametros_recargas!$H$83*'Plan mensual'!I120+parametros_recargas!$I$83*'Plan mensual'!I121+parametros_recargas!$J$83*'Plan mensual'!I122+parametros_recargas!$K$83*'Plan mensual'!I123+parametros_recargas!$L$83*'Plan mensual'!I124+parametros_recargas!$M$83*'Plan mensual'!I126</f>
        <v>6.56846640283477</v>
      </c>
      <c r="H105" s="26" t="n">
        <f aca="false">parametros_recargas!$E$83*'Plan mensual'!J117+parametros_recargas!$F$83*'Plan mensual'!J118+parametros_recargas!$G$83*'Plan mensual'!J119+parametros_recargas!$H$83*'Plan mensual'!J120+parametros_recargas!$I$83*'Plan mensual'!J121+parametros_recargas!$J$83*'Plan mensual'!J122+parametros_recargas!$K$83*'Plan mensual'!J123+parametros_recargas!$L$83*'Plan mensual'!J124+parametros_recargas!$M$83*'Plan mensual'!J126</f>
        <v>6.56846640283477</v>
      </c>
      <c r="I105" s="26" t="n">
        <f aca="false">parametros_recargas!$E$83*'Plan mensual'!K117+parametros_recargas!$F$83*'Plan mensual'!K118+parametros_recargas!$G$83*'Plan mensual'!K119+parametros_recargas!$H$83*'Plan mensual'!K120+parametros_recargas!$I$83*'Plan mensual'!K121+parametros_recargas!$J$83*'Plan mensual'!K122+parametros_recargas!$K$83*'Plan mensual'!K123+parametros_recargas!$L$83*'Plan mensual'!K124+parametros_recargas!$M$83*'Plan mensual'!K126</f>
        <v>6.56846640283477</v>
      </c>
      <c r="J105" s="26" t="n">
        <f aca="false">parametros_recargas!$E$83*'Plan mensual'!L117+parametros_recargas!$F$83*'Plan mensual'!L118+parametros_recargas!$G$83*'Plan mensual'!L119+parametros_recargas!$H$83*'Plan mensual'!L120+parametros_recargas!$I$83*'Plan mensual'!L121+parametros_recargas!$J$83*'Plan mensual'!L122+parametros_recargas!$K$83*'Plan mensual'!L123+parametros_recargas!$L$83*'Plan mensual'!L124+parametros_recargas!$M$83*'Plan mensual'!L126</f>
        <v>6.56846640283477</v>
      </c>
      <c r="K105" s="26" t="n">
        <f aca="false">parametros_recargas!$E$83*'Plan mensual'!M117+parametros_recargas!$F$83*'Plan mensual'!M118+parametros_recargas!$G$83*'Plan mensual'!M119+parametros_recargas!$H$83*'Plan mensual'!M120+parametros_recargas!$I$83*'Plan mensual'!M121+parametros_recargas!$J$83*'Plan mensual'!M122+parametros_recargas!$K$83*'Plan mensual'!M123+parametros_recargas!$L$83*'Plan mensual'!M124+parametros_recargas!$M$83*'Plan mensual'!M126</f>
        <v>6.56846640283477</v>
      </c>
      <c r="L105" s="26" t="n">
        <f aca="false">parametros_recargas!$E$83*'Plan mensual'!N117+parametros_recargas!$F$83*'Plan mensual'!N118+parametros_recargas!$G$83*'Plan mensual'!N119+parametros_recargas!$H$83*'Plan mensual'!N120+parametros_recargas!$I$83*'Plan mensual'!N121+parametros_recargas!$J$83*'Plan mensual'!N122+parametros_recargas!$K$83*'Plan mensual'!N123+parametros_recargas!$L$83*'Plan mensual'!N124+parametros_recargas!$M$83*'Plan mensual'!N126</f>
        <v>6.56846640283477</v>
      </c>
      <c r="M105" s="26" t="n">
        <f aca="false">parametros_recargas!$E$83*'Plan mensual'!O117+parametros_recargas!$F$83*'Plan mensual'!O118+parametros_recargas!$G$83*'Plan mensual'!O119+parametros_recargas!$H$83*'Plan mensual'!O120+parametros_recargas!$I$83*'Plan mensual'!O121+parametros_recargas!$J$83*'Plan mensual'!O122+parametros_recargas!$K$83*'Plan mensual'!O123+parametros_recargas!$L$83*'Plan mensual'!O124+parametros_recargas!$M$83*'Plan mensual'!O126</f>
        <v>6.56846640283477</v>
      </c>
      <c r="N105" s="8" t="n">
        <f aca="false">SUM(B105:M105)</f>
        <v>78.8215968340172</v>
      </c>
      <c r="O105" s="27" t="n">
        <f aca="false">MAX(B105:M105)</f>
        <v>6.56846640283477</v>
      </c>
      <c r="P105" s="13" t="n">
        <f aca="false">O105/parametros_recargas!$B$6</f>
        <v>0.0437897760188984</v>
      </c>
    </row>
    <row r="106" customFormat="false" ht="15" hidden="false" customHeight="false" outlineLevel="0" collapsed="false">
      <c r="A106" s="10" t="str">
        <f aca="false">parametros_recargas!$B$84</f>
        <v>Desarme y limpieza — recinto</v>
      </c>
      <c r="B106" s="26" t="n">
        <f aca="false">parametros_recargas!$E$84*'Plan mensual'!D117+parametros_recargas!$F$84*'Plan mensual'!D118+parametros_recargas!$G$84*'Plan mensual'!D119+parametros_recargas!$H$84*'Plan mensual'!D120+parametros_recargas!$I$84*'Plan mensual'!D121+parametros_recargas!$J$84*'Plan mensual'!D122+parametros_recargas!$K$84*'Plan mensual'!D123+parametros_recargas!$L$84*'Plan mensual'!D124+parametros_recargas!$M$84*'Plan mensual'!D126</f>
        <v>2388.38031685946</v>
      </c>
      <c r="C106" s="26" t="n">
        <f aca="false">parametros_recargas!$E$84*'Plan mensual'!E117+parametros_recargas!$F$84*'Plan mensual'!E118+parametros_recargas!$G$84*'Plan mensual'!E119+parametros_recargas!$H$84*'Plan mensual'!E120+parametros_recargas!$I$84*'Plan mensual'!E121+parametros_recargas!$J$84*'Plan mensual'!E122+parametros_recargas!$K$84*'Plan mensual'!E123+parametros_recargas!$L$84*'Plan mensual'!E124+parametros_recargas!$M$84*'Plan mensual'!E126</f>
        <v>6271.66518706515</v>
      </c>
      <c r="D106" s="26" t="n">
        <f aca="false">parametros_recargas!$E$84*'Plan mensual'!F117+parametros_recargas!$F$84*'Plan mensual'!F118+parametros_recargas!$G$84*'Plan mensual'!F119+parametros_recargas!$H$84*'Plan mensual'!F120+parametros_recargas!$I$84*'Plan mensual'!F121+parametros_recargas!$J$84*'Plan mensual'!F122+parametros_recargas!$K$84*'Plan mensual'!F123+parametros_recargas!$L$84*'Plan mensual'!F124+parametros_recargas!$M$84*'Plan mensual'!F126</f>
        <v>5337.05177228394</v>
      </c>
      <c r="E106" s="26" t="n">
        <f aca="false">parametros_recargas!$E$84*'Plan mensual'!G117+parametros_recargas!$F$84*'Plan mensual'!G118+parametros_recargas!$G$84*'Plan mensual'!G119+parametros_recargas!$H$84*'Plan mensual'!G120+parametros_recargas!$I$84*'Plan mensual'!G121+parametros_recargas!$J$84*'Plan mensual'!G122+parametros_recargas!$K$84*'Plan mensual'!G123+parametros_recargas!$L$84*'Plan mensual'!G124+parametros_recargas!$M$84*'Plan mensual'!G126</f>
        <v>5359.85617741305</v>
      </c>
      <c r="F106" s="26" t="n">
        <f aca="false">parametros_recargas!$E$84*'Plan mensual'!H117+parametros_recargas!$F$84*'Plan mensual'!H118+parametros_recargas!$G$84*'Plan mensual'!H119+parametros_recargas!$H$84*'Plan mensual'!H120+parametros_recargas!$I$84*'Plan mensual'!H121+parametros_recargas!$J$84*'Plan mensual'!H122+parametros_recargas!$K$84*'Plan mensual'!H123+parametros_recargas!$L$84*'Plan mensual'!H124+parametros_recargas!$M$84*'Plan mensual'!H126</f>
        <v>5361.04663066813</v>
      </c>
      <c r="G106" s="26" t="n">
        <f aca="false">parametros_recargas!$E$84*'Plan mensual'!I117+parametros_recargas!$F$84*'Plan mensual'!I118+parametros_recargas!$G$84*'Plan mensual'!I119+parametros_recargas!$H$84*'Plan mensual'!I120+parametros_recargas!$I$84*'Plan mensual'!I121+parametros_recargas!$J$84*'Plan mensual'!I122+parametros_recargas!$K$84*'Plan mensual'!I123+parametros_recargas!$L$84*'Plan mensual'!I124+parametros_recargas!$M$84*'Plan mensual'!I126</f>
        <v>5350.20524856768</v>
      </c>
      <c r="H106" s="26" t="n">
        <f aca="false">parametros_recargas!$E$84*'Plan mensual'!J117+parametros_recargas!$F$84*'Plan mensual'!J118+parametros_recargas!$G$84*'Plan mensual'!J119+parametros_recargas!$H$84*'Plan mensual'!J120+parametros_recargas!$I$84*'Plan mensual'!J121+parametros_recargas!$J$84*'Plan mensual'!J122+parametros_recargas!$K$84*'Plan mensual'!J123+parametros_recargas!$L$84*'Plan mensual'!J124+parametros_recargas!$M$84*'Plan mensual'!J126</f>
        <v>5384.30519715468</v>
      </c>
      <c r="I106" s="26" t="n">
        <f aca="false">parametros_recargas!$E$84*'Plan mensual'!K117+parametros_recargas!$F$84*'Plan mensual'!K118+parametros_recargas!$G$84*'Plan mensual'!K119+parametros_recargas!$H$84*'Plan mensual'!K120+parametros_recargas!$I$84*'Plan mensual'!K121+parametros_recargas!$J$84*'Plan mensual'!K122+parametros_recargas!$K$84*'Plan mensual'!K123+parametros_recargas!$L$84*'Plan mensual'!K124+parametros_recargas!$M$84*'Plan mensual'!K126</f>
        <v>5358.64163984356</v>
      </c>
      <c r="J106" s="26" t="n">
        <f aca="false">parametros_recargas!$E$84*'Plan mensual'!L117+parametros_recargas!$F$84*'Plan mensual'!L118+parametros_recargas!$G$84*'Plan mensual'!L119+parametros_recargas!$H$84*'Plan mensual'!L120+parametros_recargas!$I$84*'Plan mensual'!L121+parametros_recargas!$J$84*'Plan mensual'!L122+parametros_recargas!$K$84*'Plan mensual'!L123+parametros_recargas!$L$84*'Plan mensual'!L124+parametros_recargas!$M$84*'Plan mensual'!L126</f>
        <v>5362.64307665183</v>
      </c>
      <c r="K106" s="26" t="n">
        <f aca="false">parametros_recargas!$E$84*'Plan mensual'!M117+parametros_recargas!$F$84*'Plan mensual'!M118+parametros_recargas!$G$84*'Plan mensual'!M119+parametros_recargas!$H$84*'Plan mensual'!M120+parametros_recargas!$I$84*'Plan mensual'!M121+parametros_recargas!$J$84*'Plan mensual'!M122+parametros_recargas!$K$84*'Plan mensual'!M123+parametros_recargas!$L$84*'Plan mensual'!M124+parametros_recargas!$M$84*'Plan mensual'!M126</f>
        <v>5349.41390680852</v>
      </c>
      <c r="L106" s="26" t="n">
        <f aca="false">parametros_recargas!$E$84*'Plan mensual'!N117+parametros_recargas!$F$84*'Plan mensual'!N118+parametros_recargas!$G$84*'Plan mensual'!N119+parametros_recargas!$H$84*'Plan mensual'!N120+parametros_recargas!$I$84*'Plan mensual'!N121+parametros_recargas!$J$84*'Plan mensual'!N122+parametros_recargas!$K$84*'Plan mensual'!N123+parametros_recargas!$L$84*'Plan mensual'!N124+parametros_recargas!$M$84*'Plan mensual'!N126</f>
        <v>5292.44418138186</v>
      </c>
      <c r="M106" s="26" t="n">
        <f aca="false">parametros_recargas!$E$84*'Plan mensual'!O117+parametros_recargas!$F$84*'Plan mensual'!O118+parametros_recargas!$G$84*'Plan mensual'!O119+parametros_recargas!$H$84*'Plan mensual'!O120+parametros_recargas!$I$84*'Plan mensual'!O121+parametros_recargas!$J$84*'Plan mensual'!O122+parametros_recargas!$K$84*'Plan mensual'!O123+parametros_recargas!$L$84*'Plan mensual'!O124+parametros_recargas!$M$84*'Plan mensual'!O126</f>
        <v>2233.5835469192</v>
      </c>
      <c r="N106" s="8" t="n">
        <f aca="false">SUM(B106:M106)</f>
        <v>59049.2368816171</v>
      </c>
      <c r="O106" s="27" t="n">
        <f aca="false">MAX(B106:M106)</f>
        <v>6271.66518706515</v>
      </c>
      <c r="P106" s="13" t="n">
        <f aca="false">O106/parametros_recargas!$B$6</f>
        <v>41.811101247101</v>
      </c>
    </row>
    <row r="107" customFormat="false" ht="15" hidden="false" customHeight="false" outlineLevel="0" collapsed="false">
      <c r="A107" s="10" t="str">
        <f aca="false">parametros_recargas!$B$85</f>
        <v>Desarme e inspección interior — zona general</v>
      </c>
      <c r="B107" s="26" t="n">
        <f aca="false">parametros_recargas!$E$85*'Plan mensual'!D117+parametros_recargas!$F$85*'Plan mensual'!D118+parametros_recargas!$G$85*'Plan mensual'!D119+parametros_recargas!$H$85*'Plan mensual'!D120+parametros_recargas!$I$85*'Plan mensual'!D121+parametros_recargas!$J$85*'Plan mensual'!D122+parametros_recargas!$K$85*'Plan mensual'!D123+parametros_recargas!$L$85*'Plan mensual'!D124+parametros_recargas!$M$85*'Plan mensual'!D126</f>
        <v>433.0286184564</v>
      </c>
      <c r="C107" s="26" t="n">
        <f aca="false">parametros_recargas!$E$85*'Plan mensual'!E117+parametros_recargas!$F$85*'Plan mensual'!E118+parametros_recargas!$G$85*'Plan mensual'!E119+parametros_recargas!$H$85*'Plan mensual'!E120+parametros_recargas!$I$85*'Plan mensual'!E121+parametros_recargas!$J$85*'Plan mensual'!E122+parametros_recargas!$K$85*'Plan mensual'!E123+parametros_recargas!$L$85*'Plan mensual'!E124+parametros_recargas!$M$85*'Plan mensual'!E126</f>
        <v>628.323793308002</v>
      </c>
      <c r="D107" s="26" t="n">
        <f aca="false">parametros_recargas!$E$85*'Plan mensual'!F117+parametros_recargas!$F$85*'Plan mensual'!F118+parametros_recargas!$G$85*'Plan mensual'!F119+parametros_recargas!$H$85*'Plan mensual'!F120+parametros_recargas!$I$85*'Plan mensual'!F121+parametros_recargas!$J$85*'Plan mensual'!F122+parametros_recargas!$K$85*'Plan mensual'!F123+parametros_recargas!$L$85*'Plan mensual'!F124+parametros_recargas!$M$85*'Plan mensual'!F126</f>
        <v>433.0286184564</v>
      </c>
      <c r="E107" s="26" t="n">
        <f aca="false">parametros_recargas!$E$85*'Plan mensual'!G117+parametros_recargas!$F$85*'Plan mensual'!G118+parametros_recargas!$G$85*'Plan mensual'!G119+parametros_recargas!$H$85*'Plan mensual'!G120+parametros_recargas!$I$85*'Plan mensual'!G121+parametros_recargas!$J$85*'Plan mensual'!G122+parametros_recargas!$K$85*'Plan mensual'!G123+parametros_recargas!$L$85*'Plan mensual'!G124+parametros_recargas!$M$85*'Plan mensual'!G126</f>
        <v>433.0286184564</v>
      </c>
      <c r="F107" s="26" t="n">
        <f aca="false">parametros_recargas!$E$85*'Plan mensual'!H117+parametros_recargas!$F$85*'Plan mensual'!H118+parametros_recargas!$G$85*'Plan mensual'!H119+parametros_recargas!$H$85*'Plan mensual'!H120+parametros_recargas!$I$85*'Plan mensual'!H121+parametros_recargas!$J$85*'Plan mensual'!H122+parametros_recargas!$K$85*'Plan mensual'!H123+parametros_recargas!$L$85*'Plan mensual'!H124+parametros_recargas!$M$85*'Plan mensual'!H126</f>
        <v>433.0286184564</v>
      </c>
      <c r="G107" s="26" t="n">
        <f aca="false">parametros_recargas!$E$85*'Plan mensual'!I117+parametros_recargas!$F$85*'Plan mensual'!I118+parametros_recargas!$G$85*'Plan mensual'!I119+parametros_recargas!$H$85*'Plan mensual'!I120+parametros_recargas!$I$85*'Plan mensual'!I121+parametros_recargas!$J$85*'Plan mensual'!I122+parametros_recargas!$K$85*'Plan mensual'!I123+parametros_recargas!$L$85*'Plan mensual'!I124+parametros_recargas!$M$85*'Plan mensual'!I126</f>
        <v>433.0286184564</v>
      </c>
      <c r="H107" s="26" t="n">
        <f aca="false">parametros_recargas!$E$85*'Plan mensual'!J117+parametros_recargas!$F$85*'Plan mensual'!J118+parametros_recargas!$G$85*'Plan mensual'!J119+parametros_recargas!$H$85*'Plan mensual'!J120+parametros_recargas!$I$85*'Plan mensual'!J121+parametros_recargas!$J$85*'Plan mensual'!J122+parametros_recargas!$K$85*'Plan mensual'!J123+parametros_recargas!$L$85*'Plan mensual'!J124+parametros_recargas!$M$85*'Plan mensual'!J126</f>
        <v>433.0286184564</v>
      </c>
      <c r="I107" s="26" t="n">
        <f aca="false">parametros_recargas!$E$85*'Plan mensual'!K117+parametros_recargas!$F$85*'Plan mensual'!K118+parametros_recargas!$G$85*'Plan mensual'!K119+parametros_recargas!$H$85*'Plan mensual'!K120+parametros_recargas!$I$85*'Plan mensual'!K121+parametros_recargas!$J$85*'Plan mensual'!K122+parametros_recargas!$K$85*'Plan mensual'!K123+parametros_recargas!$L$85*'Plan mensual'!K124+parametros_recargas!$M$85*'Plan mensual'!K126</f>
        <v>433.0286184564</v>
      </c>
      <c r="J107" s="26" t="n">
        <f aca="false">parametros_recargas!$E$85*'Plan mensual'!L117+parametros_recargas!$F$85*'Plan mensual'!L118+parametros_recargas!$G$85*'Plan mensual'!L119+parametros_recargas!$H$85*'Plan mensual'!L120+parametros_recargas!$I$85*'Plan mensual'!L121+parametros_recargas!$J$85*'Plan mensual'!L122+parametros_recargas!$K$85*'Plan mensual'!L123+parametros_recargas!$L$85*'Plan mensual'!L124+parametros_recargas!$M$85*'Plan mensual'!L126</f>
        <v>433.0286184564</v>
      </c>
      <c r="K107" s="26" t="n">
        <f aca="false">parametros_recargas!$E$85*'Plan mensual'!M117+parametros_recargas!$F$85*'Plan mensual'!M118+parametros_recargas!$G$85*'Plan mensual'!M119+parametros_recargas!$H$85*'Plan mensual'!M120+parametros_recargas!$I$85*'Plan mensual'!M121+parametros_recargas!$J$85*'Plan mensual'!M122+parametros_recargas!$K$85*'Plan mensual'!M123+parametros_recargas!$L$85*'Plan mensual'!M124+parametros_recargas!$M$85*'Plan mensual'!M126</f>
        <v>433.0286184564</v>
      </c>
      <c r="L107" s="26" t="n">
        <f aca="false">parametros_recargas!$E$85*'Plan mensual'!N117+parametros_recargas!$F$85*'Plan mensual'!N118+parametros_recargas!$G$85*'Plan mensual'!N119+parametros_recargas!$H$85*'Plan mensual'!N120+parametros_recargas!$I$85*'Plan mensual'!N121+parametros_recargas!$J$85*'Plan mensual'!N122+parametros_recargas!$K$85*'Plan mensual'!N123+parametros_recargas!$L$85*'Plan mensual'!N124+parametros_recargas!$M$85*'Plan mensual'!N126</f>
        <v>433.0286184564</v>
      </c>
      <c r="M107" s="26" t="n">
        <f aca="false">parametros_recargas!$E$85*'Plan mensual'!O117+parametros_recargas!$F$85*'Plan mensual'!O118+parametros_recargas!$G$85*'Plan mensual'!O119+parametros_recargas!$H$85*'Plan mensual'!O120+parametros_recargas!$I$85*'Plan mensual'!O121+parametros_recargas!$J$85*'Plan mensual'!O122+parametros_recargas!$K$85*'Plan mensual'!O123+parametros_recargas!$L$85*'Plan mensual'!O124+parametros_recargas!$M$85*'Plan mensual'!O126</f>
        <v>433.0286184564</v>
      </c>
      <c r="N107" s="8" t="n">
        <f aca="false">SUM(B107:M107)</f>
        <v>5391.63859632841</v>
      </c>
      <c r="O107" s="27" t="n">
        <f aca="false">MAX(B107:M107)</f>
        <v>628.323793308002</v>
      </c>
      <c r="P107" s="13" t="n">
        <f aca="false">O107/parametros_recargas!$B$6</f>
        <v>4.18882528872001</v>
      </c>
    </row>
    <row r="108" customFormat="false" ht="15" hidden="false" customHeight="false" outlineLevel="0" collapsed="false">
      <c r="A108" s="10" t="str">
        <f aca="false">parametros_recargas!$B$86</f>
        <v>Laboratorio — Puffer y mufla</v>
      </c>
      <c r="B108" s="26" t="n">
        <f aca="false">parametros_recargas!$E$86*'Plan mensual'!D117+parametros_recargas!$F$86*'Plan mensual'!D118+parametros_recargas!$G$86*'Plan mensual'!D119+parametros_recargas!$H$86*'Plan mensual'!D120+parametros_recargas!$I$86*'Plan mensual'!D121+parametros_recargas!$J$86*'Plan mensual'!D122+parametros_recargas!$K$86*'Plan mensual'!D123+parametros_recargas!$L$86*'Plan mensual'!D124+parametros_recargas!$M$86*'Plan mensual'!D126</f>
        <v>3.16952121475839</v>
      </c>
      <c r="C108" s="26" t="n">
        <f aca="false">parametros_recargas!$E$86*'Plan mensual'!E117+parametros_recargas!$F$86*'Plan mensual'!E118+parametros_recargas!$G$86*'Plan mensual'!E119+parametros_recargas!$H$86*'Plan mensual'!E120+parametros_recargas!$I$86*'Plan mensual'!E121+parametros_recargas!$J$86*'Plan mensual'!E122+parametros_recargas!$K$86*'Plan mensual'!E123+parametros_recargas!$L$86*'Plan mensual'!E124+parametros_recargas!$M$86*'Plan mensual'!E126</f>
        <v>8.35446824945189</v>
      </c>
      <c r="D108" s="26" t="n">
        <f aca="false">parametros_recargas!$E$86*'Plan mensual'!F117+parametros_recargas!$F$86*'Plan mensual'!F118+parametros_recargas!$G$86*'Plan mensual'!F119+parametros_recargas!$H$86*'Plan mensual'!F120+parametros_recargas!$I$86*'Plan mensual'!F121+parametros_recargas!$J$86*'Plan mensual'!F122+parametros_recargas!$K$86*'Plan mensual'!F123+parametros_recargas!$L$86*'Plan mensual'!F124+parametros_recargas!$M$86*'Plan mensual'!F126</f>
        <v>7.10657600988567</v>
      </c>
      <c r="E108" s="26" t="n">
        <f aca="false">parametros_recargas!$E$86*'Plan mensual'!G117+parametros_recargas!$F$86*'Plan mensual'!G118+parametros_recargas!$G$86*'Plan mensual'!G119+parametros_recargas!$H$86*'Plan mensual'!G120+parametros_recargas!$I$86*'Plan mensual'!G121+parametros_recargas!$J$86*'Plan mensual'!G122+parametros_recargas!$K$86*'Plan mensual'!G123+parametros_recargas!$L$86*'Plan mensual'!G124+parametros_recargas!$M$86*'Plan mensual'!G126</f>
        <v>7.13702436397355</v>
      </c>
      <c r="F108" s="26" t="n">
        <f aca="false">parametros_recargas!$E$86*'Plan mensual'!H117+parametros_recargas!$F$86*'Plan mensual'!H118+parametros_recargas!$G$86*'Plan mensual'!H119+parametros_recargas!$H$86*'Plan mensual'!H120+parametros_recargas!$I$86*'Plan mensual'!H121+parametros_recargas!$J$86*'Plan mensual'!H122+parametros_recargas!$K$86*'Plan mensual'!H123+parametros_recargas!$L$86*'Plan mensual'!H124+parametros_recargas!$M$86*'Plan mensual'!H126</f>
        <v>7.13861385258466</v>
      </c>
      <c r="G108" s="26" t="n">
        <f aca="false">parametros_recargas!$E$86*'Plan mensual'!I117+parametros_recargas!$F$86*'Plan mensual'!I118+parametros_recargas!$G$86*'Plan mensual'!I119+parametros_recargas!$H$86*'Plan mensual'!I120+parametros_recargas!$I$86*'Plan mensual'!I121+parametros_recargas!$J$86*'Plan mensual'!I122+parametros_recargas!$K$86*'Plan mensual'!I123+parametros_recargas!$L$86*'Plan mensual'!I124+parametros_recargas!$M$86*'Plan mensual'!I126</f>
        <v>7.12413848086907</v>
      </c>
      <c r="H108" s="26" t="n">
        <f aca="false">parametros_recargas!$E$86*'Plan mensual'!J117+parametros_recargas!$F$86*'Plan mensual'!J118+parametros_recargas!$G$86*'Plan mensual'!J119+parametros_recargas!$H$86*'Plan mensual'!J120+parametros_recargas!$I$86*'Plan mensual'!J121+parametros_recargas!$J$86*'Plan mensual'!J122+parametros_recargas!$K$86*'Plan mensual'!J123+parametros_recargas!$L$86*'Plan mensual'!J124+parametros_recargas!$M$86*'Plan mensual'!J126</f>
        <v>7.16966860117158</v>
      </c>
      <c r="I108" s="26" t="n">
        <f aca="false">parametros_recargas!$E$86*'Plan mensual'!K117+parametros_recargas!$F$86*'Plan mensual'!K118+parametros_recargas!$G$86*'Plan mensual'!K119+parametros_recargas!$H$86*'Plan mensual'!K120+parametros_recargas!$I$86*'Plan mensual'!K121+parametros_recargas!$J$86*'Plan mensual'!K122+parametros_recargas!$K$86*'Plan mensual'!K123+parametros_recargas!$L$86*'Plan mensual'!K124+parametros_recargas!$M$86*'Plan mensual'!K126</f>
        <v>7.13540271807841</v>
      </c>
      <c r="J108" s="26" t="n">
        <f aca="false">parametros_recargas!$E$86*'Plan mensual'!L117+parametros_recargas!$F$86*'Plan mensual'!L118+parametros_recargas!$G$86*'Plan mensual'!L119+parametros_recargas!$H$86*'Plan mensual'!L120+parametros_recargas!$I$86*'Plan mensual'!L121+parametros_recargas!$J$86*'Plan mensual'!L122+parametros_recargas!$K$86*'Plan mensual'!L123+parametros_recargas!$L$86*'Plan mensual'!L124+parametros_recargas!$M$86*'Plan mensual'!L126</f>
        <v>7.14074542112672</v>
      </c>
      <c r="K108" s="26" t="n">
        <f aca="false">parametros_recargas!$E$86*'Plan mensual'!M117+parametros_recargas!$F$86*'Plan mensual'!M118+parametros_recargas!$G$86*'Plan mensual'!M119+parametros_recargas!$H$86*'Plan mensual'!M120+parametros_recargas!$I$86*'Plan mensual'!M121+parametros_recargas!$J$86*'Plan mensual'!M122+parametros_recargas!$K$86*'Plan mensual'!M123+parametros_recargas!$L$86*'Plan mensual'!M124+parametros_recargas!$M$86*'Plan mensual'!M126</f>
        <v>7.12308188439348</v>
      </c>
      <c r="L108" s="26" t="n">
        <f aca="false">parametros_recargas!$E$86*'Plan mensual'!N117+parametros_recargas!$F$86*'Plan mensual'!N118+parametros_recargas!$G$86*'Plan mensual'!N119+parametros_recargas!$H$86*'Plan mensual'!N120+parametros_recargas!$I$86*'Plan mensual'!N121+parametros_recargas!$J$86*'Plan mensual'!N122+parametros_recargas!$K$86*'Plan mensual'!N123+parametros_recargas!$L$86*'Plan mensual'!N124+parametros_recargas!$M$86*'Plan mensual'!N126</f>
        <v>7.0470161259464</v>
      </c>
      <c r="M108" s="26" t="n">
        <f aca="false">parametros_recargas!$E$86*'Plan mensual'!O117+parametros_recargas!$F$86*'Plan mensual'!O118+parametros_recargas!$G$86*'Plan mensual'!O119+parametros_recargas!$H$86*'Plan mensual'!O120+parametros_recargas!$I$86*'Plan mensual'!O121+parametros_recargas!$J$86*'Plan mensual'!O122+parametros_recargas!$K$86*'Plan mensual'!O123+parametros_recargas!$L$86*'Plan mensual'!O124+parametros_recargas!$M$86*'Plan mensual'!O126</f>
        <v>2.96283716243972</v>
      </c>
      <c r="N108" s="8" t="n">
        <f aca="false">SUM(B108:M108)</f>
        <v>78.6090940846795</v>
      </c>
      <c r="O108" s="27" t="n">
        <f aca="false">MAX(B108:M108)</f>
        <v>8.35446824945189</v>
      </c>
      <c r="P108" s="13" t="n">
        <f aca="false">O108/parametros_recargas!$B$6</f>
        <v>0.0556964549963459</v>
      </c>
    </row>
    <row r="109" customFormat="false" ht="15" hidden="false" customHeight="false" outlineLevel="0" collapsed="false">
      <c r="A109" s="10" t="str">
        <f aca="false">parametros_recargas!$B$87</f>
        <v>Prueba hidráulica</v>
      </c>
      <c r="B109" s="26" t="n">
        <f aca="false">parametros_recargas!$E$87*'Plan mensual'!D117+parametros_recargas!$F$87*'Plan mensual'!D118+parametros_recargas!$G$87*'Plan mensual'!D119+parametros_recargas!$H$87*'Plan mensual'!D120+parametros_recargas!$I$87*'Plan mensual'!D121+parametros_recargas!$J$87*'Plan mensual'!D122+parametros_recargas!$K$87*'Plan mensual'!D123+parametros_recargas!$L$87*'Plan mensual'!D124+parametros_recargas!$M$87*'Plan mensual'!D126</f>
        <v>874.345976072794</v>
      </c>
      <c r="C109" s="26" t="n">
        <f aca="false">parametros_recargas!$E$87*'Plan mensual'!E117+parametros_recargas!$F$87*'Plan mensual'!E118+parametros_recargas!$G$87*'Plan mensual'!E119+parametros_recargas!$H$87*'Plan mensual'!E120+parametros_recargas!$I$87*'Plan mensual'!E121+parametros_recargas!$J$87*'Plan mensual'!E122+parametros_recargas!$K$87*'Plan mensual'!E123+parametros_recargas!$L$87*'Plan mensual'!E124+parametros_recargas!$M$87*'Plan mensual'!E126</f>
        <v>1974.30418648322</v>
      </c>
      <c r="D109" s="26" t="n">
        <f aca="false">parametros_recargas!$E$87*'Plan mensual'!F117+parametros_recargas!$F$87*'Plan mensual'!F118+parametros_recargas!$G$87*'Plan mensual'!F119+parametros_recargas!$H$87*'Plan mensual'!F120+parametros_recargas!$I$87*'Plan mensual'!F121+parametros_recargas!$J$87*'Plan mensual'!F122+parametros_recargas!$K$87*'Plan mensual'!F123+parametros_recargas!$L$87*'Plan mensual'!F124+parametros_recargas!$M$87*'Plan mensual'!F126</f>
        <v>1611.51383992891</v>
      </c>
      <c r="E109" s="26" t="n">
        <f aca="false">parametros_recargas!$E$87*'Plan mensual'!G117+parametros_recargas!$F$87*'Plan mensual'!G118+parametros_recargas!$G$87*'Plan mensual'!G119+parametros_recargas!$H$87*'Plan mensual'!G120+parametros_recargas!$I$87*'Plan mensual'!G121+parametros_recargas!$J$87*'Plan mensual'!G122+parametros_recargas!$K$87*'Plan mensual'!G123+parametros_recargas!$L$87*'Plan mensual'!G124+parametros_recargas!$M$87*'Plan mensual'!G126</f>
        <v>1617.21494121119</v>
      </c>
      <c r="F109" s="26" t="n">
        <f aca="false">parametros_recargas!$E$87*'Plan mensual'!H117+parametros_recargas!$F$87*'Plan mensual'!H118+parametros_recargas!$G$87*'Plan mensual'!H119+parametros_recargas!$H$87*'Plan mensual'!H120+parametros_recargas!$I$87*'Plan mensual'!H121+parametros_recargas!$J$87*'Plan mensual'!H122+parametros_recargas!$K$87*'Plan mensual'!H123+parametros_recargas!$L$87*'Plan mensual'!H124+parametros_recargas!$M$87*'Plan mensual'!H126</f>
        <v>1617.51255452496</v>
      </c>
      <c r="G109" s="26" t="n">
        <f aca="false">parametros_recargas!$E$87*'Plan mensual'!I117+parametros_recargas!$F$87*'Plan mensual'!I118+parametros_recargas!$G$87*'Plan mensual'!I119+parametros_recargas!$H$87*'Plan mensual'!I120+parametros_recargas!$I$87*'Plan mensual'!I121+parametros_recargas!$J$87*'Plan mensual'!I122+parametros_recargas!$K$87*'Plan mensual'!I123+parametros_recargas!$L$87*'Plan mensual'!I124+parametros_recargas!$M$87*'Plan mensual'!I126</f>
        <v>1614.80220899985</v>
      </c>
      <c r="H109" s="26" t="n">
        <f aca="false">parametros_recargas!$E$87*'Plan mensual'!J117+parametros_recargas!$F$87*'Plan mensual'!J118+parametros_recargas!$G$87*'Plan mensual'!J119+parametros_recargas!$H$87*'Plan mensual'!J120+parametros_recargas!$I$87*'Plan mensual'!J121+parametros_recargas!$J$87*'Plan mensual'!J122+parametros_recargas!$K$87*'Plan mensual'!J123+parametros_recargas!$L$87*'Plan mensual'!J124+parametros_recargas!$M$87*'Plan mensual'!J126</f>
        <v>1623.3271961466</v>
      </c>
      <c r="I109" s="26" t="n">
        <f aca="false">parametros_recargas!$E$87*'Plan mensual'!K117+parametros_recargas!$F$87*'Plan mensual'!K118+parametros_recargas!$G$87*'Plan mensual'!K119+parametros_recargas!$H$87*'Plan mensual'!K120+parametros_recargas!$I$87*'Plan mensual'!K121+parametros_recargas!$J$87*'Plan mensual'!K122+parametros_recargas!$K$87*'Plan mensual'!K123+parametros_recargas!$L$87*'Plan mensual'!K124+parametros_recargas!$M$87*'Plan mensual'!K126</f>
        <v>1616.91130681882</v>
      </c>
      <c r="J109" s="26" t="n">
        <f aca="false">parametros_recargas!$E$87*'Plan mensual'!L117+parametros_recargas!$F$87*'Plan mensual'!L118+parametros_recargas!$G$87*'Plan mensual'!L119+parametros_recargas!$H$87*'Plan mensual'!L120+parametros_recargas!$I$87*'Plan mensual'!L121+parametros_recargas!$J$87*'Plan mensual'!L122+parametros_recargas!$K$87*'Plan mensual'!L123+parametros_recargas!$L$87*'Plan mensual'!L124+parametros_recargas!$M$87*'Plan mensual'!L126</f>
        <v>1617.91166602088</v>
      </c>
      <c r="K109" s="26" t="n">
        <f aca="false">parametros_recargas!$E$87*'Plan mensual'!M117+parametros_recargas!$F$87*'Plan mensual'!M118+parametros_recargas!$G$87*'Plan mensual'!M119+parametros_recargas!$H$87*'Plan mensual'!M120+parametros_recargas!$I$87*'Plan mensual'!M121+parametros_recargas!$J$87*'Plan mensual'!M122+parametros_recargas!$K$87*'Plan mensual'!M123+parametros_recargas!$L$87*'Plan mensual'!M124+parametros_recargas!$M$87*'Plan mensual'!M126</f>
        <v>1614.60437356006</v>
      </c>
      <c r="L109" s="26" t="n">
        <f aca="false">parametros_recargas!$E$87*'Plan mensual'!N117+parametros_recargas!$F$87*'Plan mensual'!N118+parametros_recargas!$G$87*'Plan mensual'!N119+parametros_recargas!$H$87*'Plan mensual'!N120+parametros_recargas!$I$87*'Plan mensual'!N121+parametros_recargas!$J$87*'Plan mensual'!N122+parametros_recargas!$K$87*'Plan mensual'!N123+parametros_recargas!$L$87*'Plan mensual'!N124+parametros_recargas!$M$87*'Plan mensual'!N126</f>
        <v>1600.36194220339</v>
      </c>
      <c r="M109" s="26" t="n">
        <f aca="false">parametros_recargas!$E$87*'Plan mensual'!O117+parametros_recargas!$F$87*'Plan mensual'!O118+parametros_recargas!$G$87*'Plan mensual'!O119+parametros_recargas!$H$87*'Plan mensual'!O120+parametros_recargas!$I$87*'Plan mensual'!O121+parametros_recargas!$J$87*'Plan mensual'!O122+parametros_recargas!$K$87*'Plan mensual'!O123+parametros_recargas!$L$87*'Plan mensual'!O124+parametros_recargas!$M$87*'Plan mensual'!O126</f>
        <v>835.646783587729</v>
      </c>
      <c r="N109" s="8" t="n">
        <f aca="false">SUM(B109:M109)</f>
        <v>18218.4569755584</v>
      </c>
      <c r="O109" s="27" t="n">
        <f aca="false">MAX(B109:M109)</f>
        <v>1974.30418648322</v>
      </c>
      <c r="P109" s="13" t="n">
        <f aca="false">O109/parametros_recargas!$B$6</f>
        <v>13.1620279098881</v>
      </c>
    </row>
    <row r="110" customFormat="false" ht="15" hidden="false" customHeight="false" outlineLevel="0" collapsed="false">
      <c r="A110" s="10" t="str">
        <f aca="false">parametros_recargas!$B$88</f>
        <v>Secado</v>
      </c>
      <c r="B110" s="26" t="n">
        <f aca="false">parametros_recargas!$E$88*'Plan mensual'!D117+parametros_recargas!$F$88*'Plan mensual'!D118+parametros_recargas!$G$88*'Plan mensual'!D119+parametros_recargas!$H$88*'Plan mensual'!D120+parametros_recargas!$I$88*'Plan mensual'!D121+parametros_recargas!$J$88*'Plan mensual'!D122+parametros_recargas!$K$88*'Plan mensual'!D123+parametros_recargas!$L$88*'Plan mensual'!D124+parametros_recargas!$M$88*'Plan mensual'!D126</f>
        <v>737.45314854729</v>
      </c>
      <c r="C110" s="26" t="n">
        <f aca="false">parametros_recargas!$E$88*'Plan mensual'!E117+parametros_recargas!$F$88*'Plan mensual'!E118+parametros_recargas!$G$88*'Plan mensual'!E119+parametros_recargas!$H$88*'Plan mensual'!E120+parametros_recargas!$I$88*'Plan mensual'!E121+parametros_recargas!$J$88*'Plan mensual'!E122+parametros_recargas!$K$88*'Plan mensual'!E123+parametros_recargas!$L$88*'Plan mensual'!E124+parametros_recargas!$M$88*'Plan mensual'!E126</f>
        <v>1811.00323447906</v>
      </c>
      <c r="D110" s="26" t="n">
        <f aca="false">parametros_recargas!$E$88*'Plan mensual'!F117+parametros_recargas!$F$88*'Plan mensual'!F118+parametros_recargas!$G$88*'Plan mensual'!F119+parametros_recargas!$H$88*'Plan mensual'!F120+parametros_recargas!$I$88*'Plan mensual'!F121+parametros_recargas!$J$88*'Plan mensual'!F122+parametros_recargas!$K$88*'Plan mensual'!F123+parametros_recargas!$L$88*'Plan mensual'!F124+parametros_recargas!$M$88*'Plan mensual'!F126</f>
        <v>1504.10772695765</v>
      </c>
      <c r="E110" s="26" t="n">
        <f aca="false">parametros_recargas!$E$88*'Plan mensual'!G117+parametros_recargas!$F$88*'Plan mensual'!G118+parametros_recargas!$G$88*'Plan mensual'!G119+parametros_recargas!$H$88*'Plan mensual'!G120+parametros_recargas!$I$88*'Plan mensual'!G121+parametros_recargas!$J$88*'Plan mensual'!G122+parametros_recargas!$K$88*'Plan mensual'!G123+parametros_recargas!$L$88*'Plan mensual'!G124+parametros_recargas!$M$88*'Plan mensual'!G126</f>
        <v>1510.03687229122</v>
      </c>
      <c r="F110" s="26" t="n">
        <f aca="false">parametros_recargas!$E$88*'Plan mensual'!H117+parametros_recargas!$F$88*'Plan mensual'!H118+parametros_recargas!$G$88*'Plan mensual'!H119+parametros_recargas!$H$88*'Plan mensual'!H120+parametros_recargas!$I$88*'Plan mensual'!H121+parametros_recargas!$J$88*'Plan mensual'!H122+parametros_recargas!$K$88*'Plan mensual'!H123+parametros_recargas!$L$88*'Plan mensual'!H124+parametros_recargas!$M$88*'Plan mensual'!H126</f>
        <v>1510.34639013754</v>
      </c>
      <c r="G110" s="26" t="n">
        <f aca="false">parametros_recargas!$E$88*'Plan mensual'!I117+parametros_recargas!$F$88*'Plan mensual'!I118+parametros_recargas!$G$88*'Plan mensual'!I119+parametros_recargas!$H$88*'Plan mensual'!I120+parametros_recargas!$I$88*'Plan mensual'!I121+parametros_recargas!$J$88*'Plan mensual'!I122+parametros_recargas!$K$88*'Plan mensual'!I123+parametros_recargas!$L$88*'Plan mensual'!I124+parametros_recargas!$M$88*'Plan mensual'!I126</f>
        <v>1507.52763079143</v>
      </c>
      <c r="H110" s="26" t="n">
        <f aca="false">parametros_recargas!$E$88*'Plan mensual'!J117+parametros_recargas!$F$88*'Plan mensual'!J118+parametros_recargas!$G$88*'Plan mensual'!J119+parametros_recargas!$H$88*'Plan mensual'!J120+parametros_recargas!$I$88*'Plan mensual'!J121+parametros_recargas!$J$88*'Plan mensual'!J122+parametros_recargas!$K$88*'Plan mensual'!J123+parametros_recargas!$L$88*'Plan mensual'!J124+parametros_recargas!$M$88*'Plan mensual'!J126</f>
        <v>1516.39361742405</v>
      </c>
      <c r="I110" s="26" t="n">
        <f aca="false">parametros_recargas!$E$88*'Plan mensual'!K117+parametros_recargas!$F$88*'Plan mensual'!K118+parametros_recargas!$G$88*'Plan mensual'!K119+parametros_recargas!$H$88*'Plan mensual'!K120+parametros_recargas!$I$88*'Plan mensual'!K121+parametros_recargas!$J$88*'Plan mensual'!K122+parametros_recargas!$K$88*'Plan mensual'!K123+parametros_recargas!$L$88*'Plan mensual'!K124+parametros_recargas!$M$88*'Plan mensual'!K126</f>
        <v>1509.72109252316</v>
      </c>
      <c r="J110" s="26" t="n">
        <f aca="false">parametros_recargas!$E$88*'Plan mensual'!L117+parametros_recargas!$F$88*'Plan mensual'!L118+parametros_recargas!$G$88*'Plan mensual'!L119+parametros_recargas!$H$88*'Plan mensual'!L120+parametros_recargas!$I$88*'Plan mensual'!L121+parametros_recargas!$J$88*'Plan mensual'!L122+parametros_recargas!$K$88*'Plan mensual'!L123+parametros_recargas!$L$88*'Plan mensual'!L124+parametros_recargas!$M$88*'Plan mensual'!L126</f>
        <v>1510.7614660933</v>
      </c>
      <c r="K110" s="26" t="n">
        <f aca="false">parametros_recargas!$E$88*'Plan mensual'!M117+parametros_recargas!$F$88*'Plan mensual'!M118+parametros_recargas!$G$88*'Plan mensual'!M119+parametros_recargas!$H$88*'Plan mensual'!M120+parametros_recargas!$I$88*'Plan mensual'!M121+parametros_recargas!$J$88*'Plan mensual'!M122+parametros_recargas!$K$88*'Plan mensual'!M123+parametros_recargas!$L$88*'Plan mensual'!M124+parametros_recargas!$M$88*'Plan mensual'!M126</f>
        <v>1507.32188193404</v>
      </c>
      <c r="L110" s="26" t="n">
        <f aca="false">parametros_recargas!$E$88*'Plan mensual'!N117+parametros_recargas!$F$88*'Plan mensual'!N118+parametros_recargas!$G$88*'Plan mensual'!N119+parametros_recargas!$H$88*'Plan mensual'!N120+parametros_recargas!$I$88*'Plan mensual'!N121+parametros_recargas!$J$88*'Plan mensual'!N122+parametros_recargas!$K$88*'Plan mensual'!N123+parametros_recargas!$L$88*'Plan mensual'!N124+parametros_recargas!$M$88*'Plan mensual'!N126</f>
        <v>1492.50975332311</v>
      </c>
      <c r="M110" s="26" t="n">
        <f aca="false">parametros_recargas!$E$88*'Plan mensual'!O117+parametros_recargas!$F$88*'Plan mensual'!O118+parametros_recargas!$G$88*'Plan mensual'!O119+parametros_recargas!$H$88*'Plan mensual'!O120+parametros_recargas!$I$88*'Plan mensual'!O121+parametros_recargas!$J$88*'Plan mensual'!O122+parametros_recargas!$K$88*'Plan mensual'!O123+parametros_recargas!$L$88*'Plan mensual'!O124+parametros_recargas!$M$88*'Plan mensual'!O126</f>
        <v>697.205988362823</v>
      </c>
      <c r="N110" s="8" t="n">
        <f aca="false">SUM(B110:M110)</f>
        <v>16814.3888028647</v>
      </c>
      <c r="O110" s="27" t="n">
        <f aca="false">MAX(B110:M110)</f>
        <v>1811.00323447906</v>
      </c>
      <c r="P110" s="13" t="n">
        <f aca="false">O110/parametros_recargas!$B$6</f>
        <v>12.0733548965271</v>
      </c>
    </row>
    <row r="111" customFormat="false" ht="15" hidden="false" customHeight="false" outlineLevel="0" collapsed="false">
      <c r="A111" s="10" t="str">
        <f aca="false">parametros_recargas!$B$89</f>
        <v>Inspección interior con videoscopio</v>
      </c>
      <c r="B111" s="26" t="n">
        <f aca="false">parametros_recargas!$E$89*'Plan mensual'!D117+parametros_recargas!$F$89*'Plan mensual'!D118+parametros_recargas!$G$89*'Plan mensual'!D119+parametros_recargas!$H$89*'Plan mensual'!D120+parametros_recargas!$I$89*'Plan mensual'!D121+parametros_recargas!$J$89*'Plan mensual'!D122+parametros_recargas!$K$89*'Plan mensual'!D123+parametros_recargas!$L$89*'Plan mensual'!D124+parametros_recargas!$M$89*'Plan mensual'!D126</f>
        <v>737.45314854729</v>
      </c>
      <c r="C111" s="26" t="n">
        <f aca="false">parametros_recargas!$E$89*'Plan mensual'!E117+parametros_recargas!$F$89*'Plan mensual'!E118+parametros_recargas!$G$89*'Plan mensual'!E119+parametros_recargas!$H$89*'Plan mensual'!E120+parametros_recargas!$I$89*'Plan mensual'!E121+parametros_recargas!$J$89*'Plan mensual'!E122+parametros_recargas!$K$89*'Plan mensual'!E123+parametros_recargas!$L$89*'Plan mensual'!E124+parametros_recargas!$M$89*'Plan mensual'!E126</f>
        <v>1811.00323447906</v>
      </c>
      <c r="D111" s="26" t="n">
        <f aca="false">parametros_recargas!$E$89*'Plan mensual'!F117+parametros_recargas!$F$89*'Plan mensual'!F118+parametros_recargas!$G$89*'Plan mensual'!F119+parametros_recargas!$H$89*'Plan mensual'!F120+parametros_recargas!$I$89*'Plan mensual'!F121+parametros_recargas!$J$89*'Plan mensual'!F122+parametros_recargas!$K$89*'Plan mensual'!F123+parametros_recargas!$L$89*'Plan mensual'!F124+parametros_recargas!$M$89*'Plan mensual'!F126</f>
        <v>1504.10772695765</v>
      </c>
      <c r="E111" s="26" t="n">
        <f aca="false">parametros_recargas!$E$89*'Plan mensual'!G117+parametros_recargas!$F$89*'Plan mensual'!G118+parametros_recargas!$G$89*'Plan mensual'!G119+parametros_recargas!$H$89*'Plan mensual'!G120+parametros_recargas!$I$89*'Plan mensual'!G121+parametros_recargas!$J$89*'Plan mensual'!G122+parametros_recargas!$K$89*'Plan mensual'!G123+parametros_recargas!$L$89*'Plan mensual'!G124+parametros_recargas!$M$89*'Plan mensual'!G126</f>
        <v>1510.03687229122</v>
      </c>
      <c r="F111" s="26" t="n">
        <f aca="false">parametros_recargas!$E$89*'Plan mensual'!H117+parametros_recargas!$F$89*'Plan mensual'!H118+parametros_recargas!$G$89*'Plan mensual'!H119+parametros_recargas!$H$89*'Plan mensual'!H120+parametros_recargas!$I$89*'Plan mensual'!H121+parametros_recargas!$J$89*'Plan mensual'!H122+parametros_recargas!$K$89*'Plan mensual'!H123+parametros_recargas!$L$89*'Plan mensual'!H124+parametros_recargas!$M$89*'Plan mensual'!H126</f>
        <v>1510.34639013754</v>
      </c>
      <c r="G111" s="26" t="n">
        <f aca="false">parametros_recargas!$E$89*'Plan mensual'!I117+parametros_recargas!$F$89*'Plan mensual'!I118+parametros_recargas!$G$89*'Plan mensual'!I119+parametros_recargas!$H$89*'Plan mensual'!I120+parametros_recargas!$I$89*'Plan mensual'!I121+parametros_recargas!$J$89*'Plan mensual'!I122+parametros_recargas!$K$89*'Plan mensual'!I123+parametros_recargas!$L$89*'Plan mensual'!I124+parametros_recargas!$M$89*'Plan mensual'!I126</f>
        <v>1507.52763079143</v>
      </c>
      <c r="H111" s="26" t="n">
        <f aca="false">parametros_recargas!$E$89*'Plan mensual'!J117+parametros_recargas!$F$89*'Plan mensual'!J118+parametros_recargas!$G$89*'Plan mensual'!J119+parametros_recargas!$H$89*'Plan mensual'!J120+parametros_recargas!$I$89*'Plan mensual'!J121+parametros_recargas!$J$89*'Plan mensual'!J122+parametros_recargas!$K$89*'Plan mensual'!J123+parametros_recargas!$L$89*'Plan mensual'!J124+parametros_recargas!$M$89*'Plan mensual'!J126</f>
        <v>1516.39361742405</v>
      </c>
      <c r="I111" s="26" t="n">
        <f aca="false">parametros_recargas!$E$89*'Plan mensual'!K117+parametros_recargas!$F$89*'Plan mensual'!K118+parametros_recargas!$G$89*'Plan mensual'!K119+parametros_recargas!$H$89*'Plan mensual'!K120+parametros_recargas!$I$89*'Plan mensual'!K121+parametros_recargas!$J$89*'Plan mensual'!K122+parametros_recargas!$K$89*'Plan mensual'!K123+parametros_recargas!$L$89*'Plan mensual'!K124+parametros_recargas!$M$89*'Plan mensual'!K126</f>
        <v>1509.72109252316</v>
      </c>
      <c r="J111" s="26" t="n">
        <f aca="false">parametros_recargas!$E$89*'Plan mensual'!L117+parametros_recargas!$F$89*'Plan mensual'!L118+parametros_recargas!$G$89*'Plan mensual'!L119+parametros_recargas!$H$89*'Plan mensual'!L120+parametros_recargas!$I$89*'Plan mensual'!L121+parametros_recargas!$J$89*'Plan mensual'!L122+parametros_recargas!$K$89*'Plan mensual'!L123+parametros_recargas!$L$89*'Plan mensual'!L124+parametros_recargas!$M$89*'Plan mensual'!L126</f>
        <v>1510.7614660933</v>
      </c>
      <c r="K111" s="26" t="n">
        <f aca="false">parametros_recargas!$E$89*'Plan mensual'!M117+parametros_recargas!$F$89*'Plan mensual'!M118+parametros_recargas!$G$89*'Plan mensual'!M119+parametros_recargas!$H$89*'Plan mensual'!M120+parametros_recargas!$I$89*'Plan mensual'!M121+parametros_recargas!$J$89*'Plan mensual'!M122+parametros_recargas!$K$89*'Plan mensual'!M123+parametros_recargas!$L$89*'Plan mensual'!M124+parametros_recargas!$M$89*'Plan mensual'!M126</f>
        <v>1507.32188193404</v>
      </c>
      <c r="L111" s="26" t="n">
        <f aca="false">parametros_recargas!$E$89*'Plan mensual'!N117+parametros_recargas!$F$89*'Plan mensual'!N118+parametros_recargas!$G$89*'Plan mensual'!N119+parametros_recargas!$H$89*'Plan mensual'!N120+parametros_recargas!$I$89*'Plan mensual'!N121+parametros_recargas!$J$89*'Plan mensual'!N122+parametros_recargas!$K$89*'Plan mensual'!N123+parametros_recargas!$L$89*'Plan mensual'!N124+parametros_recargas!$M$89*'Plan mensual'!N126</f>
        <v>1492.50975332311</v>
      </c>
      <c r="M111" s="26" t="n">
        <f aca="false">parametros_recargas!$E$89*'Plan mensual'!O117+parametros_recargas!$F$89*'Plan mensual'!O118+parametros_recargas!$G$89*'Plan mensual'!O119+parametros_recargas!$H$89*'Plan mensual'!O120+parametros_recargas!$I$89*'Plan mensual'!O121+parametros_recargas!$J$89*'Plan mensual'!O122+parametros_recargas!$K$89*'Plan mensual'!O123+parametros_recargas!$L$89*'Plan mensual'!O124+parametros_recargas!$M$89*'Plan mensual'!O126</f>
        <v>697.205988362823</v>
      </c>
      <c r="N111" s="8" t="n">
        <f aca="false">SUM(B111:M111)</f>
        <v>16814.3888028647</v>
      </c>
      <c r="O111" s="27" t="n">
        <f aca="false">MAX(B111:M111)</f>
        <v>1811.00323447906</v>
      </c>
      <c r="P111" s="13" t="n">
        <f aca="false">O111/parametros_recargas!$B$6</f>
        <v>12.0733548965271</v>
      </c>
    </row>
    <row r="112" customFormat="false" ht="15" hidden="false" customHeight="false" outlineLevel="0" collapsed="false">
      <c r="A112" s="10" t="str">
        <f aca="false">parametros_recargas!$B$90</f>
        <v>Pintura</v>
      </c>
      <c r="B112" s="26" t="n">
        <f aca="false">parametros_recargas!$E$90*'Plan mensual'!D117+parametros_recargas!$F$90*'Plan mensual'!D118+parametros_recargas!$G$90*'Plan mensual'!D119+parametros_recargas!$H$90*'Plan mensual'!D120+parametros_recargas!$I$90*'Plan mensual'!D121+parametros_recargas!$J$90*'Plan mensual'!D122+parametros_recargas!$K$90*'Plan mensual'!D123+parametros_recargas!$L$90*'Plan mensual'!D124+parametros_recargas!$M$90*'Plan mensual'!D126</f>
        <v>471.989779234699</v>
      </c>
      <c r="C112" s="26" t="n">
        <f aca="false">parametros_recargas!$E$90*'Plan mensual'!E117+parametros_recargas!$F$90*'Plan mensual'!E118+parametros_recargas!$G$90*'Plan mensual'!E119+parametros_recargas!$H$90*'Plan mensual'!E120+parametros_recargas!$I$90*'Plan mensual'!E121+parametros_recargas!$J$90*'Plan mensual'!E122+parametros_recargas!$K$90*'Plan mensual'!E123+parametros_recargas!$L$90*'Plan mensual'!E124+parametros_recargas!$M$90*'Plan mensual'!E126</f>
        <v>1110.61311425817</v>
      </c>
      <c r="D112" s="26" t="n">
        <f aca="false">parametros_recargas!$E$90*'Plan mensual'!F117+parametros_recargas!$F$90*'Plan mensual'!F118+parametros_recargas!$G$90*'Plan mensual'!F119+parametros_recargas!$H$90*'Plan mensual'!F120+parametros_recargas!$I$90*'Plan mensual'!F121+parametros_recargas!$J$90*'Plan mensual'!F122+parametros_recargas!$K$90*'Plan mensual'!F123+parametros_recargas!$L$90*'Plan mensual'!F124+parametros_recargas!$M$90*'Plan mensual'!F126</f>
        <v>914.29049754837</v>
      </c>
      <c r="E112" s="26" t="n">
        <f aca="false">parametros_recargas!$E$90*'Plan mensual'!G117+parametros_recargas!$F$90*'Plan mensual'!G118+parametros_recargas!$G$90*'Plan mensual'!G119+parametros_recargas!$H$90*'Plan mensual'!G120+parametros_recargas!$I$90*'Plan mensual'!G121+parametros_recargas!$J$90*'Plan mensual'!G122+parametros_recargas!$K$90*'Plan mensual'!G123+parametros_recargas!$L$90*'Plan mensual'!G124+parametros_recargas!$M$90*'Plan mensual'!G126</f>
        <v>917.711158317737</v>
      </c>
      <c r="F112" s="26" t="n">
        <f aca="false">parametros_recargas!$E$90*'Plan mensual'!H117+parametros_recargas!$F$90*'Plan mensual'!H118+parametros_recargas!$G$90*'Plan mensual'!H119+parametros_recargas!$H$90*'Plan mensual'!H120+parametros_recargas!$I$90*'Plan mensual'!H121+parametros_recargas!$J$90*'Plan mensual'!H122+parametros_recargas!$K$90*'Plan mensual'!H123+parametros_recargas!$L$90*'Plan mensual'!H124+parametros_recargas!$M$90*'Plan mensual'!H126</f>
        <v>917.889726305999</v>
      </c>
      <c r="G112" s="26" t="n">
        <f aca="false">parametros_recargas!$E$90*'Plan mensual'!I117+parametros_recargas!$F$90*'Plan mensual'!I118+parametros_recargas!$G$90*'Plan mensual'!I119+parametros_recargas!$H$90*'Plan mensual'!I120+parametros_recargas!$I$90*'Plan mensual'!I121+parametros_recargas!$J$90*'Plan mensual'!I122+parametros_recargas!$K$90*'Plan mensual'!I123+parametros_recargas!$L$90*'Plan mensual'!I124+parametros_recargas!$M$90*'Plan mensual'!I126</f>
        <v>916.263518990931</v>
      </c>
      <c r="H112" s="26" t="n">
        <f aca="false">parametros_recargas!$E$90*'Plan mensual'!J117+parametros_recargas!$F$90*'Plan mensual'!J118+parametros_recargas!$G$90*'Plan mensual'!J119+parametros_recargas!$H$90*'Plan mensual'!J120+parametros_recargas!$I$90*'Plan mensual'!J121+parametros_recargas!$J$90*'Plan mensual'!J122+parametros_recargas!$K$90*'Plan mensual'!J123+parametros_recargas!$L$90*'Plan mensual'!J124+parametros_recargas!$M$90*'Plan mensual'!J126</f>
        <v>921.378511278981</v>
      </c>
      <c r="I112" s="26" t="n">
        <f aca="false">parametros_recargas!$E$90*'Plan mensual'!K117+parametros_recargas!$F$90*'Plan mensual'!K118+parametros_recargas!$G$90*'Plan mensual'!K119+parametros_recargas!$H$90*'Plan mensual'!K120+parametros_recargas!$I$90*'Plan mensual'!K121+parametros_recargas!$J$90*'Plan mensual'!K122+parametros_recargas!$K$90*'Plan mensual'!K123+parametros_recargas!$L$90*'Plan mensual'!K124+parametros_recargas!$M$90*'Plan mensual'!K126</f>
        <v>917.528977682314</v>
      </c>
      <c r="J112" s="26" t="n">
        <f aca="false">parametros_recargas!$E$90*'Plan mensual'!L117+parametros_recargas!$F$90*'Plan mensual'!L118+parametros_recargas!$G$90*'Plan mensual'!L119+parametros_recargas!$H$90*'Plan mensual'!L120+parametros_recargas!$I$90*'Plan mensual'!L121+parametros_recargas!$J$90*'Plan mensual'!L122+parametros_recargas!$K$90*'Plan mensual'!L123+parametros_recargas!$L$90*'Plan mensual'!L124+parametros_recargas!$M$90*'Plan mensual'!L126</f>
        <v>918.129193203553</v>
      </c>
      <c r="K112" s="26" t="n">
        <f aca="false">parametros_recargas!$E$90*'Plan mensual'!M117+parametros_recargas!$F$90*'Plan mensual'!M118+parametros_recargas!$G$90*'Plan mensual'!M119+parametros_recargas!$H$90*'Plan mensual'!M120+parametros_recargas!$I$90*'Plan mensual'!M121+parametros_recargas!$J$90*'Plan mensual'!M122+parametros_recargas!$K$90*'Plan mensual'!M123+parametros_recargas!$L$90*'Plan mensual'!M124+parametros_recargas!$M$90*'Plan mensual'!M126</f>
        <v>916.144817727057</v>
      </c>
      <c r="L112" s="26" t="n">
        <f aca="false">parametros_recargas!$E$90*'Plan mensual'!N117+parametros_recargas!$F$90*'Plan mensual'!N118+parametros_recargas!$G$90*'Plan mensual'!N119+parametros_recargas!$H$90*'Plan mensual'!N120+parametros_recargas!$I$90*'Plan mensual'!N121+parametros_recargas!$J$90*'Plan mensual'!N122+parametros_recargas!$K$90*'Plan mensual'!N123+parametros_recargas!$L$90*'Plan mensual'!N124+parametros_recargas!$M$90*'Plan mensual'!N126</f>
        <v>907.599358913058</v>
      </c>
      <c r="M112" s="26" t="n">
        <f aca="false">parametros_recargas!$E$90*'Plan mensual'!O117+parametros_recargas!$F$90*'Plan mensual'!O118+parametros_recargas!$G$90*'Plan mensual'!O119+parametros_recargas!$H$90*'Plan mensual'!O120+parametros_recargas!$I$90*'Plan mensual'!O121+parametros_recargas!$J$90*'Plan mensual'!O122+parametros_recargas!$K$90*'Plan mensual'!O123+parametros_recargas!$L$90*'Plan mensual'!O124+parametros_recargas!$M$90*'Plan mensual'!O126</f>
        <v>448.77026374366</v>
      </c>
      <c r="N112" s="8" t="n">
        <f aca="false">SUM(B112:M112)</f>
        <v>10278.3089172045</v>
      </c>
      <c r="O112" s="27" t="n">
        <f aca="false">MAX(B112:M112)</f>
        <v>1110.61311425817</v>
      </c>
      <c r="P112" s="13" t="n">
        <f aca="false">O112/parametros_recargas!$B$6</f>
        <v>7.40408742838783</v>
      </c>
    </row>
    <row r="113" customFormat="false" ht="15" hidden="false" customHeight="false" outlineLevel="0" collapsed="false">
      <c r="A113" s="10" t="str">
        <f aca="false">parametros_recargas!$B$91</f>
        <v>Carga de polvo ABC</v>
      </c>
      <c r="B113" s="26" t="n">
        <f aca="false">parametros_recargas!$E$91*'Plan mensual'!D117+parametros_recargas!$F$91*'Plan mensual'!D118+parametros_recargas!$G$91*'Plan mensual'!D119+parametros_recargas!$H$91*'Plan mensual'!D120+parametros_recargas!$I$91*'Plan mensual'!D121+parametros_recargas!$J$91*'Plan mensual'!D122+parametros_recargas!$K$91*'Plan mensual'!D123+parametros_recargas!$L$91*'Plan mensual'!D124+parametros_recargas!$M$91*'Plan mensual'!D126</f>
        <v>2401.10422645971</v>
      </c>
      <c r="C113" s="26" t="n">
        <f aca="false">parametros_recargas!$E$91*'Plan mensual'!E117+parametros_recargas!$F$91*'Plan mensual'!E118+parametros_recargas!$G$91*'Plan mensual'!E119+parametros_recargas!$H$91*'Plan mensual'!E120+parametros_recargas!$I$91*'Plan mensual'!E121+parametros_recargas!$J$91*'Plan mensual'!E122+parametros_recargas!$K$91*'Plan mensual'!E123+parametros_recargas!$L$91*'Plan mensual'!E124+parametros_recargas!$M$91*'Plan mensual'!E126</f>
        <v>6279.2394699188</v>
      </c>
      <c r="D113" s="26" t="n">
        <f aca="false">parametros_recargas!$E$91*'Plan mensual'!F117+parametros_recargas!$F$91*'Plan mensual'!F118+parametros_recargas!$G$91*'Plan mensual'!F119+parametros_recargas!$H$91*'Plan mensual'!F120+parametros_recargas!$I$91*'Plan mensual'!F121+parametros_recargas!$J$91*'Plan mensual'!F122+parametros_recargas!$K$91*'Plan mensual'!F123+parametros_recargas!$L$91*'Plan mensual'!F124+parametros_recargas!$M$91*'Plan mensual'!F126</f>
        <v>5346.46049525749</v>
      </c>
      <c r="E113" s="26" t="n">
        <f aca="false">parametros_recargas!$E$91*'Plan mensual'!G117+parametros_recargas!$F$91*'Plan mensual'!G118+parametros_recargas!$G$91*'Plan mensual'!G119+parametros_recargas!$H$91*'Plan mensual'!G120+parametros_recargas!$I$91*'Plan mensual'!G121+parametros_recargas!$J$91*'Plan mensual'!G122+parametros_recargas!$K$91*'Plan mensual'!G123+parametros_recargas!$L$91*'Plan mensual'!G124+parametros_recargas!$M$91*'Plan mensual'!G126</f>
        <v>5369.26490038661</v>
      </c>
      <c r="F113" s="26" t="n">
        <f aca="false">parametros_recargas!$E$91*'Plan mensual'!H117+parametros_recargas!$F$91*'Plan mensual'!H118+parametros_recargas!$G$91*'Plan mensual'!H119+parametros_recargas!$H$91*'Plan mensual'!H120+parametros_recargas!$I$91*'Plan mensual'!H121+parametros_recargas!$J$91*'Plan mensual'!H122+parametros_recargas!$K$91*'Plan mensual'!H123+parametros_recargas!$L$91*'Plan mensual'!H124+parametros_recargas!$M$91*'Plan mensual'!H126</f>
        <v>5369.27735364169</v>
      </c>
      <c r="G113" s="26" t="n">
        <f aca="false">parametros_recargas!$E$91*'Plan mensual'!I117+parametros_recargas!$F$91*'Plan mensual'!I118+parametros_recargas!$G$91*'Plan mensual'!I119+parametros_recargas!$H$91*'Plan mensual'!I120+parametros_recargas!$I$91*'Plan mensual'!I121+parametros_recargas!$J$91*'Plan mensual'!I122+parametros_recargas!$K$91*'Plan mensual'!I123+parametros_recargas!$L$91*'Plan mensual'!I124+parametros_recargas!$M$91*'Plan mensual'!I126</f>
        <v>5356.82034479463</v>
      </c>
      <c r="H113" s="26" t="n">
        <f aca="false">parametros_recargas!$E$91*'Plan mensual'!J117+parametros_recargas!$F$91*'Plan mensual'!J118+parametros_recargas!$G$91*'Plan mensual'!J119+parametros_recargas!$H$91*'Plan mensual'!J120+parametros_recargas!$I$91*'Plan mensual'!J121+parametros_recargas!$J$91*'Plan mensual'!J122+parametros_recargas!$K$91*'Plan mensual'!J123+parametros_recargas!$L$91*'Plan mensual'!J124+parametros_recargas!$M$91*'Plan mensual'!J126</f>
        <v>5392.53592012823</v>
      </c>
      <c r="I113" s="26" t="n">
        <f aca="false">parametros_recargas!$E$91*'Plan mensual'!K117+parametros_recargas!$F$91*'Plan mensual'!K118+parametros_recargas!$G$91*'Plan mensual'!K119+parametros_recargas!$H$91*'Plan mensual'!K120+parametros_recargas!$I$91*'Plan mensual'!K121+parametros_recargas!$J$91*'Plan mensual'!K122+parametros_recargas!$K$91*'Plan mensual'!K123+parametros_recargas!$L$91*'Plan mensual'!K124+parametros_recargas!$M$91*'Plan mensual'!K126</f>
        <v>5366.87236281712</v>
      </c>
      <c r="J113" s="26" t="n">
        <f aca="false">parametros_recargas!$E$91*'Plan mensual'!L117+parametros_recargas!$F$91*'Plan mensual'!L118+parametros_recargas!$G$91*'Plan mensual'!L119+parametros_recargas!$H$91*'Plan mensual'!L120+parametros_recargas!$I$91*'Plan mensual'!L121+parametros_recargas!$J$91*'Plan mensual'!L122+parametros_recargas!$K$91*'Plan mensual'!L123+parametros_recargas!$L$91*'Plan mensual'!L124+parametros_recargas!$M$91*'Plan mensual'!L126</f>
        <v>5370.65498625208</v>
      </c>
      <c r="K113" s="26" t="n">
        <f aca="false">parametros_recargas!$E$91*'Plan mensual'!M117+parametros_recargas!$F$91*'Plan mensual'!M118+parametros_recargas!$G$91*'Plan mensual'!M119+parametros_recargas!$H$91*'Plan mensual'!M120+parametros_recargas!$I$91*'Plan mensual'!M121+parametros_recargas!$J$91*'Plan mensual'!M122+parametros_recargas!$K$91*'Plan mensual'!M123+parametros_recargas!$L$91*'Plan mensual'!M124+parametros_recargas!$M$91*'Plan mensual'!M126</f>
        <v>5355.81018966217</v>
      </c>
      <c r="L113" s="26" t="n">
        <f aca="false">parametros_recargas!$E$91*'Plan mensual'!N117+parametros_recargas!$F$91*'Plan mensual'!N118+parametros_recargas!$G$91*'Plan mensual'!N119+parametros_recargas!$H$91*'Plan mensual'!N120+parametros_recargas!$I$91*'Plan mensual'!N121+parametros_recargas!$J$91*'Plan mensual'!N122+parametros_recargas!$K$91*'Plan mensual'!N123+parametros_recargas!$L$91*'Plan mensual'!N124+parametros_recargas!$M$91*'Plan mensual'!N126</f>
        <v>5297.44365086221</v>
      </c>
      <c r="M113" s="26" t="n">
        <f aca="false">parametros_recargas!$E$91*'Plan mensual'!O117+parametros_recargas!$F$91*'Plan mensual'!O118+parametros_recargas!$G$91*'Plan mensual'!O119+parametros_recargas!$H$91*'Plan mensual'!O120+parametros_recargas!$I$91*'Plan mensual'!O121+parametros_recargas!$J$91*'Plan mensual'!O122+parametros_recargas!$K$91*'Plan mensual'!O123+parametros_recargas!$L$91*'Plan mensual'!O124+parametros_recargas!$M$91*'Plan mensual'!O126</f>
        <v>2248.44464314616</v>
      </c>
      <c r="N113" s="8" t="n">
        <f aca="false">SUM(B113:M113)</f>
        <v>59153.9285433269</v>
      </c>
      <c r="O113" s="27" t="n">
        <f aca="false">MAX(B113:M113)</f>
        <v>6279.2394699188</v>
      </c>
      <c r="P113" s="13" t="n">
        <f aca="false">O113/parametros_recargas!$B$6</f>
        <v>41.8615964661254</v>
      </c>
    </row>
    <row r="114" customFormat="false" ht="15" hidden="false" customHeight="false" outlineLevel="0" collapsed="false">
      <c r="A114" s="10" t="str">
        <f aca="false">parametros_recargas!$B$92</f>
        <v>Carga de polvo BC</v>
      </c>
      <c r="B114" s="26" t="n">
        <f aca="false">parametros_recargas!$E$92*'Plan mensual'!D117+parametros_recargas!$F$92*'Plan mensual'!D118+parametros_recargas!$G$92*'Plan mensual'!D119+parametros_recargas!$H$92*'Plan mensual'!D120+parametros_recargas!$I$92*'Plan mensual'!D121+parametros_recargas!$J$92*'Plan mensual'!D122+parametros_recargas!$K$92*'Plan mensual'!D123+parametros_recargas!$L$92*'Plan mensual'!D124+parametros_recargas!$M$92*'Plan mensual'!D126</f>
        <v>7.5372733052683</v>
      </c>
      <c r="C114" s="26" t="n">
        <f aca="false">parametros_recargas!$E$92*'Plan mensual'!E117+parametros_recargas!$F$92*'Plan mensual'!E118+parametros_recargas!$G$92*'Plan mensual'!E119+parametros_recargas!$H$92*'Plan mensual'!E120+parametros_recargas!$I$92*'Plan mensual'!E121+parametros_recargas!$J$92*'Plan mensual'!E122+parametros_recargas!$K$92*'Plan mensual'!E123+parametros_recargas!$L$92*'Plan mensual'!E124+parametros_recargas!$M$92*'Plan mensual'!E126</f>
        <v>7.5372733052683</v>
      </c>
      <c r="D114" s="26" t="n">
        <f aca="false">parametros_recargas!$E$92*'Plan mensual'!F117+parametros_recargas!$F$92*'Plan mensual'!F118+parametros_recargas!$G$92*'Plan mensual'!F119+parametros_recargas!$H$92*'Plan mensual'!F120+parametros_recargas!$I$92*'Plan mensual'!F121+parametros_recargas!$J$92*'Plan mensual'!F122+parametros_recargas!$K$92*'Plan mensual'!F123+parametros_recargas!$L$92*'Plan mensual'!F124+parametros_recargas!$M$92*'Plan mensual'!F126</f>
        <v>7.5372733052683</v>
      </c>
      <c r="E114" s="26" t="n">
        <f aca="false">parametros_recargas!$E$92*'Plan mensual'!G117+parametros_recargas!$F$92*'Plan mensual'!G118+parametros_recargas!$G$92*'Plan mensual'!G119+parametros_recargas!$H$92*'Plan mensual'!G120+parametros_recargas!$I$92*'Plan mensual'!G121+parametros_recargas!$J$92*'Plan mensual'!G122+parametros_recargas!$K$92*'Plan mensual'!G123+parametros_recargas!$L$92*'Plan mensual'!G124+parametros_recargas!$M$92*'Plan mensual'!G126</f>
        <v>7.5372733052683</v>
      </c>
      <c r="F114" s="26" t="n">
        <f aca="false">parametros_recargas!$E$92*'Plan mensual'!H117+parametros_recargas!$F$92*'Plan mensual'!H118+parametros_recargas!$G$92*'Plan mensual'!H119+parametros_recargas!$H$92*'Plan mensual'!H120+parametros_recargas!$I$92*'Plan mensual'!H121+parametros_recargas!$J$92*'Plan mensual'!H122+parametros_recargas!$K$92*'Plan mensual'!H123+parametros_recargas!$L$92*'Plan mensual'!H124+parametros_recargas!$M$92*'Plan mensual'!H126</f>
        <v>7.5372733052683</v>
      </c>
      <c r="G114" s="26" t="n">
        <f aca="false">parametros_recargas!$E$92*'Plan mensual'!I117+parametros_recargas!$F$92*'Plan mensual'!I118+parametros_recargas!$G$92*'Plan mensual'!I119+parametros_recargas!$H$92*'Plan mensual'!I120+parametros_recargas!$I$92*'Plan mensual'!I121+parametros_recargas!$J$92*'Plan mensual'!I122+parametros_recargas!$K$92*'Plan mensual'!I123+parametros_recargas!$L$92*'Plan mensual'!I124+parametros_recargas!$M$92*'Plan mensual'!I126</f>
        <v>7.5372733052683</v>
      </c>
      <c r="H114" s="26" t="n">
        <f aca="false">parametros_recargas!$E$92*'Plan mensual'!J117+parametros_recargas!$F$92*'Plan mensual'!J118+parametros_recargas!$G$92*'Plan mensual'!J119+parametros_recargas!$H$92*'Plan mensual'!J120+parametros_recargas!$I$92*'Plan mensual'!J121+parametros_recargas!$J$92*'Plan mensual'!J122+parametros_recargas!$K$92*'Plan mensual'!J123+parametros_recargas!$L$92*'Plan mensual'!J124+parametros_recargas!$M$92*'Plan mensual'!J126</f>
        <v>7.5372733052683</v>
      </c>
      <c r="I114" s="26" t="n">
        <f aca="false">parametros_recargas!$E$92*'Plan mensual'!K117+parametros_recargas!$F$92*'Plan mensual'!K118+parametros_recargas!$G$92*'Plan mensual'!K119+parametros_recargas!$H$92*'Plan mensual'!K120+parametros_recargas!$I$92*'Plan mensual'!K121+parametros_recargas!$J$92*'Plan mensual'!K122+parametros_recargas!$K$92*'Plan mensual'!K123+parametros_recargas!$L$92*'Plan mensual'!K124+parametros_recargas!$M$92*'Plan mensual'!K126</f>
        <v>7.5372733052683</v>
      </c>
      <c r="J114" s="26" t="n">
        <f aca="false">parametros_recargas!$E$92*'Plan mensual'!L117+parametros_recargas!$F$92*'Plan mensual'!L118+parametros_recargas!$G$92*'Plan mensual'!L119+parametros_recargas!$H$92*'Plan mensual'!L120+parametros_recargas!$I$92*'Plan mensual'!L121+parametros_recargas!$J$92*'Plan mensual'!L122+parametros_recargas!$K$92*'Plan mensual'!L123+parametros_recargas!$L$92*'Plan mensual'!L124+parametros_recargas!$M$92*'Plan mensual'!L126</f>
        <v>7.5372733052683</v>
      </c>
      <c r="K114" s="26" t="n">
        <f aca="false">parametros_recargas!$E$92*'Plan mensual'!M117+parametros_recargas!$F$92*'Plan mensual'!M118+parametros_recargas!$G$92*'Plan mensual'!M119+parametros_recargas!$H$92*'Plan mensual'!M120+parametros_recargas!$I$92*'Plan mensual'!M121+parametros_recargas!$J$92*'Plan mensual'!M122+parametros_recargas!$K$92*'Plan mensual'!M123+parametros_recargas!$L$92*'Plan mensual'!M124+parametros_recargas!$M$92*'Plan mensual'!M126</f>
        <v>7.5372733052683</v>
      </c>
      <c r="L114" s="26" t="n">
        <f aca="false">parametros_recargas!$E$92*'Plan mensual'!N117+parametros_recargas!$F$92*'Plan mensual'!N118+parametros_recargas!$G$92*'Plan mensual'!N119+parametros_recargas!$H$92*'Plan mensual'!N120+parametros_recargas!$I$92*'Plan mensual'!N121+parametros_recargas!$J$92*'Plan mensual'!N122+parametros_recargas!$K$92*'Plan mensual'!N123+parametros_recargas!$L$92*'Plan mensual'!N124+parametros_recargas!$M$92*'Plan mensual'!N126</f>
        <v>7.5372733052683</v>
      </c>
      <c r="M114" s="26" t="n">
        <f aca="false">parametros_recargas!$E$92*'Plan mensual'!O117+parametros_recargas!$F$92*'Plan mensual'!O118+parametros_recargas!$G$92*'Plan mensual'!O119+parametros_recargas!$H$92*'Plan mensual'!O120+parametros_recargas!$I$92*'Plan mensual'!O121+parametros_recargas!$J$92*'Plan mensual'!O122+parametros_recargas!$K$92*'Plan mensual'!O123+parametros_recargas!$L$92*'Plan mensual'!O124+parametros_recargas!$M$92*'Plan mensual'!O126</f>
        <v>7.5372733052683</v>
      </c>
      <c r="N114" s="8" t="n">
        <f aca="false">SUM(B114:M114)</f>
        <v>90.4472796632196</v>
      </c>
      <c r="O114" s="27" t="n">
        <f aca="false">MAX(B114:M114)</f>
        <v>7.5372733052683</v>
      </c>
      <c r="P114" s="13" t="n">
        <f aca="false">O114/parametros_recargas!$B$6</f>
        <v>0.0502484887017887</v>
      </c>
    </row>
    <row r="115" customFormat="false" ht="15" hidden="false" customHeight="false" outlineLevel="0" collapsed="false">
      <c r="A115" s="10" t="str">
        <f aca="false">parametros_recargas!$B$93</f>
        <v>Descarga y carga Clase D</v>
      </c>
      <c r="B115" s="26" t="n">
        <f aca="false">parametros_recargas!$E$93*'Plan mensual'!D117+parametros_recargas!$F$93*'Plan mensual'!D118+parametros_recargas!$G$93*'Plan mensual'!D119+parametros_recargas!$H$93*'Plan mensual'!D120+parametros_recargas!$I$93*'Plan mensual'!D121+parametros_recargas!$J$93*'Plan mensual'!D122+parametros_recargas!$K$93*'Plan mensual'!D123+parametros_recargas!$L$93*'Plan mensual'!D124+parametros_recargas!$M$93*'Plan mensual'!D126</f>
        <v>7.0186444405788</v>
      </c>
      <c r="C115" s="26" t="n">
        <f aca="false">parametros_recargas!$E$93*'Plan mensual'!E117+parametros_recargas!$F$93*'Plan mensual'!E118+parametros_recargas!$G$93*'Plan mensual'!E119+parametros_recargas!$H$93*'Plan mensual'!E120+parametros_recargas!$I$93*'Plan mensual'!E121+parametros_recargas!$J$93*'Plan mensual'!E122+parametros_recargas!$K$93*'Plan mensual'!E123+parametros_recargas!$L$93*'Plan mensual'!E124+parametros_recargas!$M$93*'Plan mensual'!E126</f>
        <v>7.0186444405788</v>
      </c>
      <c r="D115" s="26" t="n">
        <f aca="false">parametros_recargas!$E$93*'Plan mensual'!F117+parametros_recargas!$F$93*'Plan mensual'!F118+parametros_recargas!$G$93*'Plan mensual'!F119+parametros_recargas!$H$93*'Plan mensual'!F120+parametros_recargas!$I$93*'Plan mensual'!F121+parametros_recargas!$J$93*'Plan mensual'!F122+parametros_recargas!$K$93*'Plan mensual'!F123+parametros_recargas!$L$93*'Plan mensual'!F124+parametros_recargas!$M$93*'Plan mensual'!F126</f>
        <v>7.0186444405788</v>
      </c>
      <c r="E115" s="26" t="n">
        <f aca="false">parametros_recargas!$E$93*'Plan mensual'!G117+parametros_recargas!$F$93*'Plan mensual'!G118+parametros_recargas!$G$93*'Plan mensual'!G119+parametros_recargas!$H$93*'Plan mensual'!G120+parametros_recargas!$I$93*'Plan mensual'!G121+parametros_recargas!$J$93*'Plan mensual'!G122+parametros_recargas!$K$93*'Plan mensual'!G123+parametros_recargas!$L$93*'Plan mensual'!G124+parametros_recargas!$M$93*'Plan mensual'!G126</f>
        <v>7.0186444405788</v>
      </c>
      <c r="F115" s="26" t="n">
        <f aca="false">parametros_recargas!$E$93*'Plan mensual'!H117+parametros_recargas!$F$93*'Plan mensual'!H118+parametros_recargas!$G$93*'Plan mensual'!H119+parametros_recargas!$H$93*'Plan mensual'!H120+parametros_recargas!$I$93*'Plan mensual'!H121+parametros_recargas!$J$93*'Plan mensual'!H122+parametros_recargas!$K$93*'Plan mensual'!H123+parametros_recargas!$L$93*'Plan mensual'!H124+parametros_recargas!$M$93*'Plan mensual'!H126</f>
        <v>7.0186444405788</v>
      </c>
      <c r="G115" s="26" t="n">
        <f aca="false">parametros_recargas!$E$93*'Plan mensual'!I117+parametros_recargas!$F$93*'Plan mensual'!I118+parametros_recargas!$G$93*'Plan mensual'!I119+parametros_recargas!$H$93*'Plan mensual'!I120+parametros_recargas!$I$93*'Plan mensual'!I121+parametros_recargas!$J$93*'Plan mensual'!I122+parametros_recargas!$K$93*'Plan mensual'!I123+parametros_recargas!$L$93*'Plan mensual'!I124+parametros_recargas!$M$93*'Plan mensual'!I126</f>
        <v>7.0186444405788</v>
      </c>
      <c r="H115" s="26" t="n">
        <f aca="false">parametros_recargas!$E$93*'Plan mensual'!J117+parametros_recargas!$F$93*'Plan mensual'!J118+parametros_recargas!$G$93*'Plan mensual'!J119+parametros_recargas!$H$93*'Plan mensual'!J120+parametros_recargas!$I$93*'Plan mensual'!J121+parametros_recargas!$J$93*'Plan mensual'!J122+parametros_recargas!$K$93*'Plan mensual'!J123+parametros_recargas!$L$93*'Plan mensual'!J124+parametros_recargas!$M$93*'Plan mensual'!J126</f>
        <v>7.0186444405788</v>
      </c>
      <c r="I115" s="26" t="n">
        <f aca="false">parametros_recargas!$E$93*'Plan mensual'!K117+parametros_recargas!$F$93*'Plan mensual'!K118+parametros_recargas!$G$93*'Plan mensual'!K119+parametros_recargas!$H$93*'Plan mensual'!K120+parametros_recargas!$I$93*'Plan mensual'!K121+parametros_recargas!$J$93*'Plan mensual'!K122+parametros_recargas!$K$93*'Plan mensual'!K123+parametros_recargas!$L$93*'Plan mensual'!K124+parametros_recargas!$M$93*'Plan mensual'!K126</f>
        <v>7.0186444405788</v>
      </c>
      <c r="J115" s="26" t="n">
        <f aca="false">parametros_recargas!$E$93*'Plan mensual'!L117+parametros_recargas!$F$93*'Plan mensual'!L118+parametros_recargas!$G$93*'Plan mensual'!L119+parametros_recargas!$H$93*'Plan mensual'!L120+parametros_recargas!$I$93*'Plan mensual'!L121+parametros_recargas!$J$93*'Plan mensual'!L122+parametros_recargas!$K$93*'Plan mensual'!L123+parametros_recargas!$L$93*'Plan mensual'!L124+parametros_recargas!$M$93*'Plan mensual'!L126</f>
        <v>7.0186444405788</v>
      </c>
      <c r="K115" s="26" t="n">
        <f aca="false">parametros_recargas!$E$93*'Plan mensual'!M117+parametros_recargas!$F$93*'Plan mensual'!M118+parametros_recargas!$G$93*'Plan mensual'!M119+parametros_recargas!$H$93*'Plan mensual'!M120+parametros_recargas!$I$93*'Plan mensual'!M121+parametros_recargas!$J$93*'Plan mensual'!M122+parametros_recargas!$K$93*'Plan mensual'!M123+parametros_recargas!$L$93*'Plan mensual'!M124+parametros_recargas!$M$93*'Plan mensual'!M126</f>
        <v>7.0186444405788</v>
      </c>
      <c r="L115" s="26" t="n">
        <f aca="false">parametros_recargas!$E$93*'Plan mensual'!N117+parametros_recargas!$F$93*'Plan mensual'!N118+parametros_recargas!$G$93*'Plan mensual'!N119+parametros_recargas!$H$93*'Plan mensual'!N120+parametros_recargas!$I$93*'Plan mensual'!N121+parametros_recargas!$J$93*'Plan mensual'!N122+parametros_recargas!$K$93*'Plan mensual'!N123+parametros_recargas!$L$93*'Plan mensual'!N124+parametros_recargas!$M$93*'Plan mensual'!N126</f>
        <v>7.0186444405788</v>
      </c>
      <c r="M115" s="26" t="n">
        <f aca="false">parametros_recargas!$E$93*'Plan mensual'!O117+parametros_recargas!$F$93*'Plan mensual'!O118+parametros_recargas!$G$93*'Plan mensual'!O119+parametros_recargas!$H$93*'Plan mensual'!O120+parametros_recargas!$I$93*'Plan mensual'!O121+parametros_recargas!$J$93*'Plan mensual'!O122+parametros_recargas!$K$93*'Plan mensual'!O123+parametros_recargas!$L$93*'Plan mensual'!O124+parametros_recargas!$M$93*'Plan mensual'!O126</f>
        <v>7.0186444405788</v>
      </c>
      <c r="N115" s="8" t="n">
        <f aca="false">SUM(B115:M115)</f>
        <v>84.2237332869456</v>
      </c>
      <c r="O115" s="27" t="n">
        <f aca="false">MAX(B115:M115)</f>
        <v>7.0186444405788</v>
      </c>
      <c r="P115" s="13" t="n">
        <f aca="false">O115/parametros_recargas!$B$6</f>
        <v>0.046790962937192</v>
      </c>
    </row>
    <row r="116" customFormat="false" ht="15" hidden="false" customHeight="false" outlineLevel="0" collapsed="false">
      <c r="A116" s="10" t="str">
        <f aca="false">parametros_recargas!$B$94</f>
        <v>Carga de agua / AFFF / sales K</v>
      </c>
      <c r="B116" s="26" t="n">
        <f aca="false">parametros_recargas!$E$94*'Plan mensual'!D117+parametros_recargas!$F$94*'Plan mensual'!D118+parametros_recargas!$G$94*'Plan mensual'!D119+parametros_recargas!$H$94*'Plan mensual'!D120+parametros_recargas!$I$94*'Plan mensual'!D121+parametros_recargas!$J$94*'Plan mensual'!D122+parametros_recargas!$K$94*'Plan mensual'!D123+parametros_recargas!$L$94*'Plan mensual'!D124+parametros_recargas!$M$94*'Plan mensual'!D126</f>
        <v>277.705089380715</v>
      </c>
      <c r="C116" s="26" t="n">
        <f aca="false">parametros_recargas!$E$94*'Plan mensual'!E117+parametros_recargas!$F$94*'Plan mensual'!E118+parametros_recargas!$G$94*'Plan mensual'!E119+parametros_recargas!$H$94*'Plan mensual'!E120+parametros_recargas!$I$94*'Plan mensual'!E121+parametros_recargas!$J$94*'Plan mensual'!E122+parametros_recargas!$K$94*'Plan mensual'!E123+parametros_recargas!$L$94*'Plan mensual'!E124+parametros_recargas!$M$94*'Plan mensual'!E126</f>
        <v>390.394043056483</v>
      </c>
      <c r="D116" s="26" t="n">
        <f aca="false">parametros_recargas!$E$94*'Plan mensual'!F117+parametros_recargas!$F$94*'Plan mensual'!F118+parametros_recargas!$G$94*'Plan mensual'!F119+parametros_recargas!$H$94*'Plan mensual'!F120+parametros_recargas!$I$94*'Plan mensual'!F121+parametros_recargas!$J$94*'Plan mensual'!F122+parametros_recargas!$K$94*'Plan mensual'!F123+parametros_recargas!$L$94*'Plan mensual'!F124+parametros_recargas!$M$94*'Plan mensual'!F126</f>
        <v>277.705089380715</v>
      </c>
      <c r="E116" s="26" t="n">
        <f aca="false">parametros_recargas!$E$94*'Plan mensual'!G117+parametros_recargas!$F$94*'Plan mensual'!G118+parametros_recargas!$G$94*'Plan mensual'!G119+parametros_recargas!$H$94*'Plan mensual'!G120+parametros_recargas!$I$94*'Plan mensual'!G121+parametros_recargas!$J$94*'Plan mensual'!G122+parametros_recargas!$K$94*'Plan mensual'!G123+parametros_recargas!$L$94*'Plan mensual'!G124+parametros_recargas!$M$94*'Plan mensual'!G126</f>
        <v>277.705089380715</v>
      </c>
      <c r="F116" s="26" t="n">
        <f aca="false">parametros_recargas!$E$94*'Plan mensual'!H117+parametros_recargas!$F$94*'Plan mensual'!H118+parametros_recargas!$G$94*'Plan mensual'!H119+parametros_recargas!$H$94*'Plan mensual'!H120+parametros_recargas!$I$94*'Plan mensual'!H121+parametros_recargas!$J$94*'Plan mensual'!H122+parametros_recargas!$K$94*'Plan mensual'!H123+parametros_recargas!$L$94*'Plan mensual'!H124+parametros_recargas!$M$94*'Plan mensual'!H126</f>
        <v>277.705089380715</v>
      </c>
      <c r="G116" s="26" t="n">
        <f aca="false">parametros_recargas!$E$94*'Plan mensual'!I117+parametros_recargas!$F$94*'Plan mensual'!I118+parametros_recargas!$G$94*'Plan mensual'!I119+parametros_recargas!$H$94*'Plan mensual'!I120+parametros_recargas!$I$94*'Plan mensual'!I121+parametros_recargas!$J$94*'Plan mensual'!I122+parametros_recargas!$K$94*'Plan mensual'!I123+parametros_recargas!$L$94*'Plan mensual'!I124+parametros_recargas!$M$94*'Plan mensual'!I126</f>
        <v>277.705089380715</v>
      </c>
      <c r="H116" s="26" t="n">
        <f aca="false">parametros_recargas!$E$94*'Plan mensual'!J117+parametros_recargas!$F$94*'Plan mensual'!J118+parametros_recargas!$G$94*'Plan mensual'!J119+parametros_recargas!$H$94*'Plan mensual'!J120+parametros_recargas!$I$94*'Plan mensual'!J121+parametros_recargas!$J$94*'Plan mensual'!J122+parametros_recargas!$K$94*'Plan mensual'!J123+parametros_recargas!$L$94*'Plan mensual'!J124+parametros_recargas!$M$94*'Plan mensual'!J126</f>
        <v>277.705089380715</v>
      </c>
      <c r="I116" s="26" t="n">
        <f aca="false">parametros_recargas!$E$94*'Plan mensual'!K117+parametros_recargas!$F$94*'Plan mensual'!K118+parametros_recargas!$G$94*'Plan mensual'!K119+parametros_recargas!$H$94*'Plan mensual'!K120+parametros_recargas!$I$94*'Plan mensual'!K121+parametros_recargas!$J$94*'Plan mensual'!K122+parametros_recargas!$K$94*'Plan mensual'!K123+parametros_recargas!$L$94*'Plan mensual'!K124+parametros_recargas!$M$94*'Plan mensual'!K126</f>
        <v>277.705089380715</v>
      </c>
      <c r="J116" s="26" t="n">
        <f aca="false">parametros_recargas!$E$94*'Plan mensual'!L117+parametros_recargas!$F$94*'Plan mensual'!L118+parametros_recargas!$G$94*'Plan mensual'!L119+parametros_recargas!$H$94*'Plan mensual'!L120+parametros_recargas!$I$94*'Plan mensual'!L121+parametros_recargas!$J$94*'Plan mensual'!L122+parametros_recargas!$K$94*'Plan mensual'!L123+parametros_recargas!$L$94*'Plan mensual'!L124+parametros_recargas!$M$94*'Plan mensual'!L126</f>
        <v>277.705089380715</v>
      </c>
      <c r="K116" s="26" t="n">
        <f aca="false">parametros_recargas!$E$94*'Plan mensual'!M117+parametros_recargas!$F$94*'Plan mensual'!M118+parametros_recargas!$G$94*'Plan mensual'!M119+parametros_recargas!$H$94*'Plan mensual'!M120+parametros_recargas!$I$94*'Plan mensual'!M121+parametros_recargas!$J$94*'Plan mensual'!M122+parametros_recargas!$K$94*'Plan mensual'!M123+parametros_recargas!$L$94*'Plan mensual'!M124+parametros_recargas!$M$94*'Plan mensual'!M126</f>
        <v>277.705089380715</v>
      </c>
      <c r="L116" s="26" t="n">
        <f aca="false">parametros_recargas!$E$94*'Plan mensual'!N117+parametros_recargas!$F$94*'Plan mensual'!N118+parametros_recargas!$G$94*'Plan mensual'!N119+parametros_recargas!$H$94*'Plan mensual'!N120+parametros_recargas!$I$94*'Plan mensual'!N121+parametros_recargas!$J$94*'Plan mensual'!N122+parametros_recargas!$K$94*'Plan mensual'!N123+parametros_recargas!$L$94*'Plan mensual'!N124+parametros_recargas!$M$94*'Plan mensual'!N126</f>
        <v>277.705089380715</v>
      </c>
      <c r="M116" s="26" t="n">
        <f aca="false">parametros_recargas!$E$94*'Plan mensual'!O117+parametros_recargas!$F$94*'Plan mensual'!O118+parametros_recargas!$G$94*'Plan mensual'!O119+parametros_recargas!$H$94*'Plan mensual'!O120+parametros_recargas!$I$94*'Plan mensual'!O121+parametros_recargas!$J$94*'Plan mensual'!O122+parametros_recargas!$K$94*'Plan mensual'!O123+parametros_recargas!$L$94*'Plan mensual'!O124+parametros_recargas!$M$94*'Plan mensual'!O126</f>
        <v>277.705089380715</v>
      </c>
      <c r="N116" s="8" t="n">
        <f aca="false">SUM(B116:M116)</f>
        <v>3445.15002624435</v>
      </c>
      <c r="O116" s="27" t="n">
        <f aca="false">MAX(B116:M116)</f>
        <v>390.394043056483</v>
      </c>
      <c r="P116" s="13" t="n">
        <f aca="false">O116/parametros_recargas!$B$6</f>
        <v>2.60262695370988</v>
      </c>
    </row>
    <row r="117" customFormat="false" ht="15" hidden="false" customHeight="false" outlineLevel="0" collapsed="false">
      <c r="A117" s="10" t="str">
        <f aca="false">parametros_recargas!$B$95</f>
        <v>Carga de CO₂</v>
      </c>
      <c r="B117" s="26" t="n">
        <f aca="false">parametros_recargas!$E$95*'Plan mensual'!D117+parametros_recargas!$F$95*'Plan mensual'!D118+parametros_recargas!$G$95*'Plan mensual'!D119+parametros_recargas!$H$95*'Plan mensual'!D120+parametros_recargas!$I$95*'Plan mensual'!D121+parametros_recargas!$J$95*'Plan mensual'!D122+parametros_recargas!$K$95*'Plan mensual'!D123+parametros_recargas!$L$95*'Plan mensual'!D124+parametros_recargas!$M$95*'Plan mensual'!D126</f>
        <v>156.495506226527</v>
      </c>
      <c r="C117" s="26" t="n">
        <f aca="false">parametros_recargas!$E$95*'Plan mensual'!E117+parametros_recargas!$F$95*'Plan mensual'!E118+parametros_recargas!$G$95*'Plan mensual'!E119+parametros_recargas!$H$95*'Plan mensual'!E120+parametros_recargas!$I$95*'Plan mensual'!E121+parametros_recargas!$J$95*'Plan mensual'!E122+parametros_recargas!$K$95*'Plan mensual'!E123+parametros_recargas!$L$95*'Plan mensual'!E124+parametros_recargas!$M$95*'Plan mensual'!E126</f>
        <v>245.949933776137</v>
      </c>
      <c r="D117" s="26" t="n">
        <f aca="false">parametros_recargas!$E$95*'Plan mensual'!F117+parametros_recargas!$F$95*'Plan mensual'!F118+parametros_recargas!$G$95*'Plan mensual'!F119+parametros_recargas!$H$95*'Plan mensual'!F120+parametros_recargas!$I$95*'Plan mensual'!F121+parametros_recargas!$J$95*'Plan mensual'!F122+parametros_recargas!$K$95*'Plan mensual'!F123+parametros_recargas!$L$95*'Plan mensual'!F124+parametros_recargas!$M$95*'Plan mensual'!F126</f>
        <v>156.495506226527</v>
      </c>
      <c r="E117" s="26" t="n">
        <f aca="false">parametros_recargas!$E$95*'Plan mensual'!G117+parametros_recargas!$F$95*'Plan mensual'!G118+parametros_recargas!$G$95*'Plan mensual'!G119+parametros_recargas!$H$95*'Plan mensual'!G120+parametros_recargas!$I$95*'Plan mensual'!G121+parametros_recargas!$J$95*'Plan mensual'!G122+parametros_recargas!$K$95*'Plan mensual'!G123+parametros_recargas!$L$95*'Plan mensual'!G124+parametros_recargas!$M$95*'Plan mensual'!G126</f>
        <v>156.495506226527</v>
      </c>
      <c r="F117" s="26" t="n">
        <f aca="false">parametros_recargas!$E$95*'Plan mensual'!H117+parametros_recargas!$F$95*'Plan mensual'!H118+parametros_recargas!$G$95*'Plan mensual'!H119+parametros_recargas!$H$95*'Plan mensual'!H120+parametros_recargas!$I$95*'Plan mensual'!H121+parametros_recargas!$J$95*'Plan mensual'!H122+parametros_recargas!$K$95*'Plan mensual'!H123+parametros_recargas!$L$95*'Plan mensual'!H124+parametros_recargas!$M$95*'Plan mensual'!H126</f>
        <v>156.495506226527</v>
      </c>
      <c r="G117" s="26" t="n">
        <f aca="false">parametros_recargas!$E$95*'Plan mensual'!I117+parametros_recargas!$F$95*'Plan mensual'!I118+parametros_recargas!$G$95*'Plan mensual'!I119+parametros_recargas!$H$95*'Plan mensual'!I120+parametros_recargas!$I$95*'Plan mensual'!I121+parametros_recargas!$J$95*'Plan mensual'!I122+parametros_recargas!$K$95*'Plan mensual'!I123+parametros_recargas!$L$95*'Plan mensual'!I124+parametros_recargas!$M$95*'Plan mensual'!I126</f>
        <v>156.495506226527</v>
      </c>
      <c r="H117" s="26" t="n">
        <f aca="false">parametros_recargas!$E$95*'Plan mensual'!J117+parametros_recargas!$F$95*'Plan mensual'!J118+parametros_recargas!$G$95*'Plan mensual'!J119+parametros_recargas!$H$95*'Plan mensual'!J120+parametros_recargas!$I$95*'Plan mensual'!J121+parametros_recargas!$J$95*'Plan mensual'!J122+parametros_recargas!$K$95*'Plan mensual'!J123+parametros_recargas!$L$95*'Plan mensual'!J124+parametros_recargas!$M$95*'Plan mensual'!J126</f>
        <v>156.495506226527</v>
      </c>
      <c r="I117" s="26" t="n">
        <f aca="false">parametros_recargas!$E$95*'Plan mensual'!K117+parametros_recargas!$F$95*'Plan mensual'!K118+parametros_recargas!$G$95*'Plan mensual'!K119+parametros_recargas!$H$95*'Plan mensual'!K120+parametros_recargas!$I$95*'Plan mensual'!K121+parametros_recargas!$J$95*'Plan mensual'!K122+parametros_recargas!$K$95*'Plan mensual'!K123+parametros_recargas!$L$95*'Plan mensual'!K124+parametros_recargas!$M$95*'Plan mensual'!K126</f>
        <v>156.495506226527</v>
      </c>
      <c r="J117" s="26" t="n">
        <f aca="false">parametros_recargas!$E$95*'Plan mensual'!L117+parametros_recargas!$F$95*'Plan mensual'!L118+parametros_recargas!$G$95*'Plan mensual'!L119+parametros_recargas!$H$95*'Plan mensual'!L120+parametros_recargas!$I$95*'Plan mensual'!L121+parametros_recargas!$J$95*'Plan mensual'!L122+parametros_recargas!$K$95*'Plan mensual'!L123+parametros_recargas!$L$95*'Plan mensual'!L124+parametros_recargas!$M$95*'Plan mensual'!L126</f>
        <v>156.495506226527</v>
      </c>
      <c r="K117" s="26" t="n">
        <f aca="false">parametros_recargas!$E$95*'Plan mensual'!M117+parametros_recargas!$F$95*'Plan mensual'!M118+parametros_recargas!$G$95*'Plan mensual'!M119+parametros_recargas!$H$95*'Plan mensual'!M120+parametros_recargas!$I$95*'Plan mensual'!M121+parametros_recargas!$J$95*'Plan mensual'!M122+parametros_recargas!$K$95*'Plan mensual'!M123+parametros_recargas!$L$95*'Plan mensual'!M124+parametros_recargas!$M$95*'Plan mensual'!M126</f>
        <v>156.495506226527</v>
      </c>
      <c r="L117" s="26" t="n">
        <f aca="false">parametros_recargas!$E$95*'Plan mensual'!N117+parametros_recargas!$F$95*'Plan mensual'!N118+parametros_recargas!$G$95*'Plan mensual'!N119+parametros_recargas!$H$95*'Plan mensual'!N120+parametros_recargas!$I$95*'Plan mensual'!N121+parametros_recargas!$J$95*'Plan mensual'!N122+parametros_recargas!$K$95*'Plan mensual'!N123+parametros_recargas!$L$95*'Plan mensual'!N124+parametros_recargas!$M$95*'Plan mensual'!N126</f>
        <v>156.495506226527</v>
      </c>
      <c r="M117" s="26" t="n">
        <f aca="false">parametros_recargas!$E$95*'Plan mensual'!O117+parametros_recargas!$F$95*'Plan mensual'!O118+parametros_recargas!$G$95*'Plan mensual'!O119+parametros_recargas!$H$95*'Plan mensual'!O120+parametros_recargas!$I$95*'Plan mensual'!O121+parametros_recargas!$J$95*'Plan mensual'!O122+parametros_recargas!$K$95*'Plan mensual'!O123+parametros_recargas!$L$95*'Plan mensual'!O124+parametros_recargas!$M$95*'Plan mensual'!O126</f>
        <v>156.495506226527</v>
      </c>
      <c r="N117" s="8" t="n">
        <f aca="false">SUM(B117:M117)</f>
        <v>1967.40050226794</v>
      </c>
      <c r="O117" s="27" t="n">
        <f aca="false">MAX(B117:M117)</f>
        <v>245.949933776137</v>
      </c>
      <c r="P117" s="13" t="n">
        <f aca="false">O117/parametros_recargas!$B$6</f>
        <v>1.63966622517425</v>
      </c>
    </row>
    <row r="118" customFormat="false" ht="15" hidden="false" customHeight="false" outlineLevel="0" collapsed="false">
      <c r="A118" s="10" t="str">
        <f aca="false">parametros_recargas!$B$96</f>
        <v>Ensamblaje y marbete — recinto</v>
      </c>
      <c r="B118" s="26" t="n">
        <f aca="false">parametros_recargas!$E$96*'Plan mensual'!D117+parametros_recargas!$F$96*'Plan mensual'!D118+parametros_recargas!$G$96*'Plan mensual'!D119+parametros_recargas!$H$96*'Plan mensual'!D120+parametros_recargas!$I$96*'Plan mensual'!D121+parametros_recargas!$J$96*'Plan mensual'!D122+parametros_recargas!$K$96*'Plan mensual'!D123+parametros_recargas!$L$96*'Plan mensual'!D124+parametros_recargas!$M$96*'Plan mensual'!D126</f>
        <v>2415.66014420556</v>
      </c>
      <c r="C118" s="26" t="n">
        <f aca="false">parametros_recargas!$E$96*'Plan mensual'!E117+parametros_recargas!$F$96*'Plan mensual'!E118+parametros_recargas!$G$96*'Plan mensual'!E119+parametros_recargas!$H$96*'Plan mensual'!E120+parametros_recargas!$I$96*'Plan mensual'!E121+parametros_recargas!$J$96*'Plan mensual'!E122+parametros_recargas!$K$96*'Plan mensual'!E123+parametros_recargas!$L$96*'Plan mensual'!E124+parametros_recargas!$M$96*'Plan mensual'!E126</f>
        <v>6293.79538766465</v>
      </c>
      <c r="D118" s="26" t="n">
        <f aca="false">parametros_recargas!$E$96*'Plan mensual'!F117+parametros_recargas!$F$96*'Plan mensual'!F118+parametros_recargas!$G$96*'Plan mensual'!F119+parametros_recargas!$H$96*'Plan mensual'!F120+parametros_recargas!$I$96*'Plan mensual'!F121+parametros_recargas!$J$96*'Plan mensual'!F122+parametros_recargas!$K$96*'Plan mensual'!F123+parametros_recargas!$L$96*'Plan mensual'!F124+parametros_recargas!$M$96*'Plan mensual'!F126</f>
        <v>5361.01641300334</v>
      </c>
      <c r="E118" s="26" t="n">
        <f aca="false">parametros_recargas!$E$96*'Plan mensual'!G117+parametros_recargas!$F$96*'Plan mensual'!G118+parametros_recargas!$G$96*'Plan mensual'!G119+parametros_recargas!$H$96*'Plan mensual'!G120+parametros_recargas!$I$96*'Plan mensual'!G121+parametros_recargas!$J$96*'Plan mensual'!G122+parametros_recargas!$K$96*'Plan mensual'!G123+parametros_recargas!$L$96*'Plan mensual'!G124+parametros_recargas!$M$96*'Plan mensual'!G126</f>
        <v>5383.82081813245</v>
      </c>
      <c r="F118" s="26" t="n">
        <f aca="false">parametros_recargas!$E$96*'Plan mensual'!H117+parametros_recargas!$F$96*'Plan mensual'!H118+parametros_recargas!$G$96*'Plan mensual'!H119+parametros_recargas!$H$96*'Plan mensual'!H120+parametros_recargas!$I$96*'Plan mensual'!H121+parametros_recargas!$J$96*'Plan mensual'!H122+parametros_recargas!$K$96*'Plan mensual'!H123+parametros_recargas!$L$96*'Plan mensual'!H124+parametros_recargas!$M$96*'Plan mensual'!H126</f>
        <v>5383.83327138753</v>
      </c>
      <c r="G118" s="26" t="n">
        <f aca="false">parametros_recargas!$E$96*'Plan mensual'!I117+parametros_recargas!$F$96*'Plan mensual'!I118+parametros_recargas!$G$96*'Plan mensual'!I119+parametros_recargas!$H$96*'Plan mensual'!I120+parametros_recargas!$I$96*'Plan mensual'!I121+parametros_recargas!$J$96*'Plan mensual'!I122+parametros_recargas!$K$96*'Plan mensual'!I123+parametros_recargas!$L$96*'Plan mensual'!I124+parametros_recargas!$M$96*'Plan mensual'!I126</f>
        <v>5371.37626254048</v>
      </c>
      <c r="H118" s="26" t="n">
        <f aca="false">parametros_recargas!$E$96*'Plan mensual'!J117+parametros_recargas!$F$96*'Plan mensual'!J118+parametros_recargas!$G$96*'Plan mensual'!J119+parametros_recargas!$H$96*'Plan mensual'!J120+parametros_recargas!$I$96*'Plan mensual'!J121+parametros_recargas!$J$96*'Plan mensual'!J122+parametros_recargas!$K$96*'Plan mensual'!J123+parametros_recargas!$L$96*'Plan mensual'!J124+parametros_recargas!$M$96*'Plan mensual'!J126</f>
        <v>5407.09183787408</v>
      </c>
      <c r="I118" s="26" t="n">
        <f aca="false">parametros_recargas!$E$96*'Plan mensual'!K117+parametros_recargas!$F$96*'Plan mensual'!K118+parametros_recargas!$G$96*'Plan mensual'!K119+parametros_recargas!$H$96*'Plan mensual'!K120+parametros_recargas!$I$96*'Plan mensual'!K121+parametros_recargas!$J$96*'Plan mensual'!K122+parametros_recargas!$K$96*'Plan mensual'!K123+parametros_recargas!$L$96*'Plan mensual'!K124+parametros_recargas!$M$96*'Plan mensual'!K126</f>
        <v>5381.42828056296</v>
      </c>
      <c r="J118" s="26" t="n">
        <f aca="false">parametros_recargas!$E$96*'Plan mensual'!L117+parametros_recargas!$F$96*'Plan mensual'!L118+parametros_recargas!$G$96*'Plan mensual'!L119+parametros_recargas!$H$96*'Plan mensual'!L120+parametros_recargas!$I$96*'Plan mensual'!L121+parametros_recargas!$J$96*'Plan mensual'!L122+parametros_recargas!$K$96*'Plan mensual'!L123+parametros_recargas!$L$96*'Plan mensual'!L124+parametros_recargas!$M$96*'Plan mensual'!L126</f>
        <v>5385.21090399793</v>
      </c>
      <c r="K118" s="26" t="n">
        <f aca="false">parametros_recargas!$E$96*'Plan mensual'!M117+parametros_recargas!$F$96*'Plan mensual'!M118+parametros_recargas!$G$96*'Plan mensual'!M119+parametros_recargas!$H$96*'Plan mensual'!M120+parametros_recargas!$I$96*'Plan mensual'!M121+parametros_recargas!$J$96*'Plan mensual'!M122+parametros_recargas!$K$96*'Plan mensual'!M123+parametros_recargas!$L$96*'Plan mensual'!M124+parametros_recargas!$M$96*'Plan mensual'!M126</f>
        <v>5370.36610740802</v>
      </c>
      <c r="L118" s="26" t="n">
        <f aca="false">parametros_recargas!$E$96*'Plan mensual'!N117+parametros_recargas!$F$96*'Plan mensual'!N118+parametros_recargas!$G$96*'Plan mensual'!N119+parametros_recargas!$H$96*'Plan mensual'!N120+parametros_recargas!$I$96*'Plan mensual'!N121+parametros_recargas!$J$96*'Plan mensual'!N122+parametros_recargas!$K$96*'Plan mensual'!N123+parametros_recargas!$L$96*'Plan mensual'!N124+parametros_recargas!$M$96*'Plan mensual'!N126</f>
        <v>5311.99956860806</v>
      </c>
      <c r="M118" s="26" t="n">
        <f aca="false">parametros_recargas!$E$96*'Plan mensual'!O117+parametros_recargas!$F$96*'Plan mensual'!O118+parametros_recargas!$G$96*'Plan mensual'!O119+parametros_recargas!$H$96*'Plan mensual'!O120+parametros_recargas!$I$96*'Plan mensual'!O121+parametros_recargas!$J$96*'Plan mensual'!O122+parametros_recargas!$K$96*'Plan mensual'!O123+parametros_recargas!$L$96*'Plan mensual'!O124+parametros_recargas!$M$96*'Plan mensual'!O126</f>
        <v>2263.000560892</v>
      </c>
      <c r="N118" s="8" t="n">
        <f aca="false">SUM(B118:M118)</f>
        <v>59328.5995562771</v>
      </c>
      <c r="O118" s="27" t="n">
        <f aca="false">MAX(B118:M118)</f>
        <v>6293.79538766465</v>
      </c>
      <c r="P118" s="13" t="n">
        <f aca="false">O118/parametros_recargas!$B$6</f>
        <v>41.9586359177643</v>
      </c>
    </row>
    <row r="119" customFormat="false" ht="15" hidden="false" customHeight="false" outlineLevel="0" collapsed="false">
      <c r="A119" s="10" t="str">
        <f aca="false">parametros_recargas!$B$97</f>
        <v>Presurización — recinto</v>
      </c>
      <c r="B119" s="26" t="n">
        <f aca="false">parametros_recargas!$E$97*'Plan mensual'!D117+parametros_recargas!$F$97*'Plan mensual'!D118+parametros_recargas!$G$97*'Plan mensual'!D119+parametros_recargas!$H$97*'Plan mensual'!D120+parametros_recargas!$I$97*'Plan mensual'!D121+parametros_recargas!$J$97*'Plan mensual'!D122+parametros_recargas!$K$97*'Plan mensual'!D123+parametros_recargas!$L$97*'Plan mensual'!D124+parametros_recargas!$M$97*'Plan mensual'!D126</f>
        <v>2415.66014420556</v>
      </c>
      <c r="C119" s="26" t="n">
        <f aca="false">parametros_recargas!$E$97*'Plan mensual'!E117+parametros_recargas!$F$97*'Plan mensual'!E118+parametros_recargas!$G$97*'Plan mensual'!E119+parametros_recargas!$H$97*'Plan mensual'!E120+parametros_recargas!$I$97*'Plan mensual'!E121+parametros_recargas!$J$97*'Plan mensual'!E122+parametros_recargas!$K$97*'Plan mensual'!E123+parametros_recargas!$L$97*'Plan mensual'!E124+parametros_recargas!$M$97*'Plan mensual'!E126</f>
        <v>6293.79538766465</v>
      </c>
      <c r="D119" s="26" t="n">
        <f aca="false">parametros_recargas!$E$97*'Plan mensual'!F117+parametros_recargas!$F$97*'Plan mensual'!F118+parametros_recargas!$G$97*'Plan mensual'!F119+parametros_recargas!$H$97*'Plan mensual'!F120+parametros_recargas!$I$97*'Plan mensual'!F121+parametros_recargas!$J$97*'Plan mensual'!F122+parametros_recargas!$K$97*'Plan mensual'!F123+parametros_recargas!$L$97*'Plan mensual'!F124+parametros_recargas!$M$97*'Plan mensual'!F126</f>
        <v>5361.01641300334</v>
      </c>
      <c r="E119" s="26" t="n">
        <f aca="false">parametros_recargas!$E$97*'Plan mensual'!G117+parametros_recargas!$F$97*'Plan mensual'!G118+parametros_recargas!$G$97*'Plan mensual'!G119+parametros_recargas!$H$97*'Plan mensual'!G120+parametros_recargas!$I$97*'Plan mensual'!G121+parametros_recargas!$J$97*'Plan mensual'!G122+parametros_recargas!$K$97*'Plan mensual'!G123+parametros_recargas!$L$97*'Plan mensual'!G124+parametros_recargas!$M$97*'Plan mensual'!G126</f>
        <v>5383.82081813245</v>
      </c>
      <c r="F119" s="26" t="n">
        <f aca="false">parametros_recargas!$E$97*'Plan mensual'!H117+parametros_recargas!$F$97*'Plan mensual'!H118+parametros_recargas!$G$97*'Plan mensual'!H119+parametros_recargas!$H$97*'Plan mensual'!H120+parametros_recargas!$I$97*'Plan mensual'!H121+parametros_recargas!$J$97*'Plan mensual'!H122+parametros_recargas!$K$97*'Plan mensual'!H123+parametros_recargas!$L$97*'Plan mensual'!H124+parametros_recargas!$M$97*'Plan mensual'!H126</f>
        <v>5383.83327138753</v>
      </c>
      <c r="G119" s="26" t="n">
        <f aca="false">parametros_recargas!$E$97*'Plan mensual'!I117+parametros_recargas!$F$97*'Plan mensual'!I118+parametros_recargas!$G$97*'Plan mensual'!I119+parametros_recargas!$H$97*'Plan mensual'!I120+parametros_recargas!$I$97*'Plan mensual'!I121+parametros_recargas!$J$97*'Plan mensual'!I122+parametros_recargas!$K$97*'Plan mensual'!I123+parametros_recargas!$L$97*'Plan mensual'!I124+parametros_recargas!$M$97*'Plan mensual'!I126</f>
        <v>5371.37626254048</v>
      </c>
      <c r="H119" s="26" t="n">
        <f aca="false">parametros_recargas!$E$97*'Plan mensual'!J117+parametros_recargas!$F$97*'Plan mensual'!J118+parametros_recargas!$G$97*'Plan mensual'!J119+parametros_recargas!$H$97*'Plan mensual'!J120+parametros_recargas!$I$97*'Plan mensual'!J121+parametros_recargas!$J$97*'Plan mensual'!J122+parametros_recargas!$K$97*'Plan mensual'!J123+parametros_recargas!$L$97*'Plan mensual'!J124+parametros_recargas!$M$97*'Plan mensual'!J126</f>
        <v>5407.09183787408</v>
      </c>
      <c r="I119" s="26" t="n">
        <f aca="false">parametros_recargas!$E$97*'Plan mensual'!K117+parametros_recargas!$F$97*'Plan mensual'!K118+parametros_recargas!$G$97*'Plan mensual'!K119+parametros_recargas!$H$97*'Plan mensual'!K120+parametros_recargas!$I$97*'Plan mensual'!K121+parametros_recargas!$J$97*'Plan mensual'!K122+parametros_recargas!$K$97*'Plan mensual'!K123+parametros_recargas!$L$97*'Plan mensual'!K124+parametros_recargas!$M$97*'Plan mensual'!K126</f>
        <v>5381.42828056296</v>
      </c>
      <c r="J119" s="26" t="n">
        <f aca="false">parametros_recargas!$E$97*'Plan mensual'!L117+parametros_recargas!$F$97*'Plan mensual'!L118+parametros_recargas!$G$97*'Plan mensual'!L119+parametros_recargas!$H$97*'Plan mensual'!L120+parametros_recargas!$I$97*'Plan mensual'!L121+parametros_recargas!$J$97*'Plan mensual'!L122+parametros_recargas!$K$97*'Plan mensual'!L123+parametros_recargas!$L$97*'Plan mensual'!L124+parametros_recargas!$M$97*'Plan mensual'!L126</f>
        <v>5385.21090399793</v>
      </c>
      <c r="K119" s="26" t="n">
        <f aca="false">parametros_recargas!$E$97*'Plan mensual'!M117+parametros_recargas!$F$97*'Plan mensual'!M118+parametros_recargas!$G$97*'Plan mensual'!M119+parametros_recargas!$H$97*'Plan mensual'!M120+parametros_recargas!$I$97*'Plan mensual'!M121+parametros_recargas!$J$97*'Plan mensual'!M122+parametros_recargas!$K$97*'Plan mensual'!M123+parametros_recargas!$L$97*'Plan mensual'!M124+parametros_recargas!$M$97*'Plan mensual'!M126</f>
        <v>5370.36610740802</v>
      </c>
      <c r="L119" s="26" t="n">
        <f aca="false">parametros_recargas!$E$97*'Plan mensual'!N117+parametros_recargas!$F$97*'Plan mensual'!N118+parametros_recargas!$G$97*'Plan mensual'!N119+parametros_recargas!$H$97*'Plan mensual'!N120+parametros_recargas!$I$97*'Plan mensual'!N121+parametros_recargas!$J$97*'Plan mensual'!N122+parametros_recargas!$K$97*'Plan mensual'!N123+parametros_recargas!$L$97*'Plan mensual'!N124+parametros_recargas!$M$97*'Plan mensual'!N126</f>
        <v>5311.99956860806</v>
      </c>
      <c r="M119" s="26" t="n">
        <f aca="false">parametros_recargas!$E$97*'Plan mensual'!O117+parametros_recargas!$F$97*'Plan mensual'!O118+parametros_recargas!$G$97*'Plan mensual'!O119+parametros_recargas!$H$97*'Plan mensual'!O120+parametros_recargas!$I$97*'Plan mensual'!O121+parametros_recargas!$J$97*'Plan mensual'!O122+parametros_recargas!$K$97*'Plan mensual'!O123+parametros_recargas!$L$97*'Plan mensual'!O124+parametros_recargas!$M$97*'Plan mensual'!O126</f>
        <v>2263.000560892</v>
      </c>
      <c r="N119" s="8" t="n">
        <f aca="false">SUM(B119:M119)</f>
        <v>59328.5995562771</v>
      </c>
      <c r="O119" s="27" t="n">
        <f aca="false">MAX(B119:M119)</f>
        <v>6293.79538766465</v>
      </c>
      <c r="P119" s="13" t="n">
        <f aca="false">O119/parametros_recargas!$B$6</f>
        <v>41.9586359177643</v>
      </c>
    </row>
    <row r="120" customFormat="false" ht="15" hidden="false" customHeight="false" outlineLevel="0" collapsed="false">
      <c r="A120" s="10" t="str">
        <f aca="false">parametros_recargas!$B$98</f>
        <v>Ensamblaje y presurización — zona general</v>
      </c>
      <c r="B120" s="26" t="n">
        <f aca="false">parametros_recargas!$E$98*'Plan mensual'!D117+parametros_recargas!$F$98*'Plan mensual'!D118+parametros_recargas!$G$98*'Plan mensual'!D119+parametros_recargas!$H$98*'Plan mensual'!D120+parametros_recargas!$I$98*'Plan mensual'!D121+parametros_recargas!$J$98*'Plan mensual'!D122+parametros_recargas!$K$98*'Plan mensual'!D123+parametros_recargas!$L$98*'Plan mensual'!D124+parametros_recargas!$M$98*'Plan mensual'!D126</f>
        <v>433.0286184564</v>
      </c>
      <c r="C120" s="26" t="n">
        <f aca="false">parametros_recargas!$E$98*'Plan mensual'!E117+parametros_recargas!$F$98*'Plan mensual'!E118+parametros_recargas!$G$98*'Plan mensual'!E119+parametros_recargas!$H$98*'Plan mensual'!E120+parametros_recargas!$I$98*'Plan mensual'!E121+parametros_recargas!$J$98*'Plan mensual'!E122+parametros_recargas!$K$98*'Plan mensual'!E123+parametros_recargas!$L$98*'Plan mensual'!E124+parametros_recargas!$M$98*'Plan mensual'!E126</f>
        <v>628.323793308002</v>
      </c>
      <c r="D120" s="26" t="n">
        <f aca="false">parametros_recargas!$E$98*'Plan mensual'!F117+parametros_recargas!$F$98*'Plan mensual'!F118+parametros_recargas!$G$98*'Plan mensual'!F119+parametros_recargas!$H$98*'Plan mensual'!F120+parametros_recargas!$I$98*'Plan mensual'!F121+parametros_recargas!$J$98*'Plan mensual'!F122+parametros_recargas!$K$98*'Plan mensual'!F123+parametros_recargas!$L$98*'Plan mensual'!F124+parametros_recargas!$M$98*'Plan mensual'!F126</f>
        <v>433.0286184564</v>
      </c>
      <c r="E120" s="26" t="n">
        <f aca="false">parametros_recargas!$E$98*'Plan mensual'!G117+parametros_recargas!$F$98*'Plan mensual'!G118+parametros_recargas!$G$98*'Plan mensual'!G119+parametros_recargas!$H$98*'Plan mensual'!G120+parametros_recargas!$I$98*'Plan mensual'!G121+parametros_recargas!$J$98*'Plan mensual'!G122+parametros_recargas!$K$98*'Plan mensual'!G123+parametros_recargas!$L$98*'Plan mensual'!G124+parametros_recargas!$M$98*'Plan mensual'!G126</f>
        <v>433.0286184564</v>
      </c>
      <c r="F120" s="26" t="n">
        <f aca="false">parametros_recargas!$E$98*'Plan mensual'!H117+parametros_recargas!$F$98*'Plan mensual'!H118+parametros_recargas!$G$98*'Plan mensual'!H119+parametros_recargas!$H$98*'Plan mensual'!H120+parametros_recargas!$I$98*'Plan mensual'!H121+parametros_recargas!$J$98*'Plan mensual'!H122+parametros_recargas!$K$98*'Plan mensual'!H123+parametros_recargas!$L$98*'Plan mensual'!H124+parametros_recargas!$M$98*'Plan mensual'!H126</f>
        <v>433.0286184564</v>
      </c>
      <c r="G120" s="26" t="n">
        <f aca="false">parametros_recargas!$E$98*'Plan mensual'!I117+parametros_recargas!$F$98*'Plan mensual'!I118+parametros_recargas!$G$98*'Plan mensual'!I119+parametros_recargas!$H$98*'Plan mensual'!I120+parametros_recargas!$I$98*'Plan mensual'!I121+parametros_recargas!$J$98*'Plan mensual'!I122+parametros_recargas!$K$98*'Plan mensual'!I123+parametros_recargas!$L$98*'Plan mensual'!I124+parametros_recargas!$M$98*'Plan mensual'!I126</f>
        <v>433.0286184564</v>
      </c>
      <c r="H120" s="26" t="n">
        <f aca="false">parametros_recargas!$E$98*'Plan mensual'!J117+parametros_recargas!$F$98*'Plan mensual'!J118+parametros_recargas!$G$98*'Plan mensual'!J119+parametros_recargas!$H$98*'Plan mensual'!J120+parametros_recargas!$I$98*'Plan mensual'!J121+parametros_recargas!$J$98*'Plan mensual'!J122+parametros_recargas!$K$98*'Plan mensual'!J123+parametros_recargas!$L$98*'Plan mensual'!J124+parametros_recargas!$M$98*'Plan mensual'!J126</f>
        <v>433.0286184564</v>
      </c>
      <c r="I120" s="26" t="n">
        <f aca="false">parametros_recargas!$E$98*'Plan mensual'!K117+parametros_recargas!$F$98*'Plan mensual'!K118+parametros_recargas!$G$98*'Plan mensual'!K119+parametros_recargas!$H$98*'Plan mensual'!K120+parametros_recargas!$I$98*'Plan mensual'!K121+parametros_recargas!$J$98*'Plan mensual'!K122+parametros_recargas!$K$98*'Plan mensual'!K123+parametros_recargas!$L$98*'Plan mensual'!K124+parametros_recargas!$M$98*'Plan mensual'!K126</f>
        <v>433.0286184564</v>
      </c>
      <c r="J120" s="26" t="n">
        <f aca="false">parametros_recargas!$E$98*'Plan mensual'!L117+parametros_recargas!$F$98*'Plan mensual'!L118+parametros_recargas!$G$98*'Plan mensual'!L119+parametros_recargas!$H$98*'Plan mensual'!L120+parametros_recargas!$I$98*'Plan mensual'!L121+parametros_recargas!$J$98*'Plan mensual'!L122+parametros_recargas!$K$98*'Plan mensual'!L123+parametros_recargas!$L$98*'Plan mensual'!L124+parametros_recargas!$M$98*'Plan mensual'!L126</f>
        <v>433.0286184564</v>
      </c>
      <c r="K120" s="26" t="n">
        <f aca="false">parametros_recargas!$E$98*'Plan mensual'!M117+parametros_recargas!$F$98*'Plan mensual'!M118+parametros_recargas!$G$98*'Plan mensual'!M119+parametros_recargas!$H$98*'Plan mensual'!M120+parametros_recargas!$I$98*'Plan mensual'!M121+parametros_recargas!$J$98*'Plan mensual'!M122+parametros_recargas!$K$98*'Plan mensual'!M123+parametros_recargas!$L$98*'Plan mensual'!M124+parametros_recargas!$M$98*'Plan mensual'!M126</f>
        <v>433.0286184564</v>
      </c>
      <c r="L120" s="26" t="n">
        <f aca="false">parametros_recargas!$E$98*'Plan mensual'!N117+parametros_recargas!$F$98*'Plan mensual'!N118+parametros_recargas!$G$98*'Plan mensual'!N119+parametros_recargas!$H$98*'Plan mensual'!N120+parametros_recargas!$I$98*'Plan mensual'!N121+parametros_recargas!$J$98*'Plan mensual'!N122+parametros_recargas!$K$98*'Plan mensual'!N123+parametros_recargas!$L$98*'Plan mensual'!N124+parametros_recargas!$M$98*'Plan mensual'!N126</f>
        <v>433.0286184564</v>
      </c>
      <c r="M120" s="26" t="n">
        <f aca="false">parametros_recargas!$E$98*'Plan mensual'!O117+parametros_recargas!$F$98*'Plan mensual'!O118+parametros_recargas!$G$98*'Plan mensual'!O119+parametros_recargas!$H$98*'Plan mensual'!O120+parametros_recargas!$I$98*'Plan mensual'!O121+parametros_recargas!$J$98*'Plan mensual'!O122+parametros_recargas!$K$98*'Plan mensual'!O123+parametros_recargas!$L$98*'Plan mensual'!O124+parametros_recargas!$M$98*'Plan mensual'!O126</f>
        <v>433.0286184564</v>
      </c>
      <c r="N120" s="8" t="n">
        <f aca="false">SUM(B120:M120)</f>
        <v>5391.63859632841</v>
      </c>
      <c r="O120" s="27" t="n">
        <f aca="false">MAX(B120:M120)</f>
        <v>628.323793308002</v>
      </c>
      <c r="P120" s="13" t="n">
        <f aca="false">O120/parametros_recargas!$B$6</f>
        <v>4.18882528872001</v>
      </c>
    </row>
    <row r="121" customFormat="false" ht="15" hidden="false" customHeight="false" outlineLevel="0" collapsed="false">
      <c r="A121" s="10" t="str">
        <f aca="false">parametros_recargas!$B$99</f>
        <v>Carga y presurización de halogenado</v>
      </c>
      <c r="B121" s="26" t="n">
        <f aca="false">parametros_recargas!$E$99*'Plan mensual'!D117+parametros_recargas!$F$99*'Plan mensual'!D118+parametros_recargas!$G$99*'Plan mensual'!D119+parametros_recargas!$H$99*'Plan mensual'!D120+parametros_recargas!$I$99*'Plan mensual'!D121+parametros_recargas!$J$99*'Plan mensual'!D122+parametros_recargas!$K$99*'Plan mensual'!D123+parametros_recargas!$L$99*'Plan mensual'!D124+parametros_recargas!$M$99*'Plan mensual'!D126</f>
        <v>6.56846640283477</v>
      </c>
      <c r="C121" s="26" t="n">
        <f aca="false">parametros_recargas!$E$99*'Plan mensual'!E117+parametros_recargas!$F$99*'Plan mensual'!E118+parametros_recargas!$G$99*'Plan mensual'!E119+parametros_recargas!$H$99*'Plan mensual'!E120+parametros_recargas!$I$99*'Plan mensual'!E121+parametros_recargas!$J$99*'Plan mensual'!E122+parametros_recargas!$K$99*'Plan mensual'!E123+parametros_recargas!$L$99*'Plan mensual'!E124+parametros_recargas!$M$99*'Plan mensual'!E126</f>
        <v>6.56846640283477</v>
      </c>
      <c r="D121" s="26" t="n">
        <f aca="false">parametros_recargas!$E$99*'Plan mensual'!F117+parametros_recargas!$F$99*'Plan mensual'!F118+parametros_recargas!$G$99*'Plan mensual'!F119+parametros_recargas!$H$99*'Plan mensual'!F120+parametros_recargas!$I$99*'Plan mensual'!F121+parametros_recargas!$J$99*'Plan mensual'!F122+parametros_recargas!$K$99*'Plan mensual'!F123+parametros_recargas!$L$99*'Plan mensual'!F124+parametros_recargas!$M$99*'Plan mensual'!F126</f>
        <v>6.56846640283477</v>
      </c>
      <c r="E121" s="26" t="n">
        <f aca="false">parametros_recargas!$E$99*'Plan mensual'!G117+parametros_recargas!$F$99*'Plan mensual'!G118+parametros_recargas!$G$99*'Plan mensual'!G119+parametros_recargas!$H$99*'Plan mensual'!G120+parametros_recargas!$I$99*'Plan mensual'!G121+parametros_recargas!$J$99*'Plan mensual'!G122+parametros_recargas!$K$99*'Plan mensual'!G123+parametros_recargas!$L$99*'Plan mensual'!G124+parametros_recargas!$M$99*'Plan mensual'!G126</f>
        <v>6.56846640283477</v>
      </c>
      <c r="F121" s="26" t="n">
        <f aca="false">parametros_recargas!$E$99*'Plan mensual'!H117+parametros_recargas!$F$99*'Plan mensual'!H118+parametros_recargas!$G$99*'Plan mensual'!H119+parametros_recargas!$H$99*'Plan mensual'!H120+parametros_recargas!$I$99*'Plan mensual'!H121+parametros_recargas!$J$99*'Plan mensual'!H122+parametros_recargas!$K$99*'Plan mensual'!H123+parametros_recargas!$L$99*'Plan mensual'!H124+parametros_recargas!$M$99*'Plan mensual'!H126</f>
        <v>6.56846640283477</v>
      </c>
      <c r="G121" s="26" t="n">
        <f aca="false">parametros_recargas!$E$99*'Plan mensual'!I117+parametros_recargas!$F$99*'Plan mensual'!I118+parametros_recargas!$G$99*'Plan mensual'!I119+parametros_recargas!$H$99*'Plan mensual'!I120+parametros_recargas!$I$99*'Plan mensual'!I121+parametros_recargas!$J$99*'Plan mensual'!I122+parametros_recargas!$K$99*'Plan mensual'!I123+parametros_recargas!$L$99*'Plan mensual'!I124+parametros_recargas!$M$99*'Plan mensual'!I126</f>
        <v>6.56846640283477</v>
      </c>
      <c r="H121" s="26" t="n">
        <f aca="false">parametros_recargas!$E$99*'Plan mensual'!J117+parametros_recargas!$F$99*'Plan mensual'!J118+parametros_recargas!$G$99*'Plan mensual'!J119+parametros_recargas!$H$99*'Plan mensual'!J120+parametros_recargas!$I$99*'Plan mensual'!J121+parametros_recargas!$J$99*'Plan mensual'!J122+parametros_recargas!$K$99*'Plan mensual'!J123+parametros_recargas!$L$99*'Plan mensual'!J124+parametros_recargas!$M$99*'Plan mensual'!J126</f>
        <v>6.56846640283477</v>
      </c>
      <c r="I121" s="26" t="n">
        <f aca="false">parametros_recargas!$E$99*'Plan mensual'!K117+parametros_recargas!$F$99*'Plan mensual'!K118+parametros_recargas!$G$99*'Plan mensual'!K119+parametros_recargas!$H$99*'Plan mensual'!K120+parametros_recargas!$I$99*'Plan mensual'!K121+parametros_recargas!$J$99*'Plan mensual'!K122+parametros_recargas!$K$99*'Plan mensual'!K123+parametros_recargas!$L$99*'Plan mensual'!K124+parametros_recargas!$M$99*'Plan mensual'!K126</f>
        <v>6.56846640283477</v>
      </c>
      <c r="J121" s="26" t="n">
        <f aca="false">parametros_recargas!$E$99*'Plan mensual'!L117+parametros_recargas!$F$99*'Plan mensual'!L118+parametros_recargas!$G$99*'Plan mensual'!L119+parametros_recargas!$H$99*'Plan mensual'!L120+parametros_recargas!$I$99*'Plan mensual'!L121+parametros_recargas!$J$99*'Plan mensual'!L122+parametros_recargas!$K$99*'Plan mensual'!L123+parametros_recargas!$L$99*'Plan mensual'!L124+parametros_recargas!$M$99*'Plan mensual'!L126</f>
        <v>6.56846640283477</v>
      </c>
      <c r="K121" s="26" t="n">
        <f aca="false">parametros_recargas!$E$99*'Plan mensual'!M117+parametros_recargas!$F$99*'Plan mensual'!M118+parametros_recargas!$G$99*'Plan mensual'!M119+parametros_recargas!$H$99*'Plan mensual'!M120+parametros_recargas!$I$99*'Plan mensual'!M121+parametros_recargas!$J$99*'Plan mensual'!M122+parametros_recargas!$K$99*'Plan mensual'!M123+parametros_recargas!$L$99*'Plan mensual'!M124+parametros_recargas!$M$99*'Plan mensual'!M126</f>
        <v>6.56846640283477</v>
      </c>
      <c r="L121" s="26" t="n">
        <f aca="false">parametros_recargas!$E$99*'Plan mensual'!N117+parametros_recargas!$F$99*'Plan mensual'!N118+parametros_recargas!$G$99*'Plan mensual'!N119+parametros_recargas!$H$99*'Plan mensual'!N120+parametros_recargas!$I$99*'Plan mensual'!N121+parametros_recargas!$J$99*'Plan mensual'!N122+parametros_recargas!$K$99*'Plan mensual'!N123+parametros_recargas!$L$99*'Plan mensual'!N124+parametros_recargas!$M$99*'Plan mensual'!N126</f>
        <v>6.56846640283477</v>
      </c>
      <c r="M121" s="26" t="n">
        <f aca="false">parametros_recargas!$E$99*'Plan mensual'!O117+parametros_recargas!$F$99*'Plan mensual'!O118+parametros_recargas!$G$99*'Plan mensual'!O119+parametros_recargas!$H$99*'Plan mensual'!O120+parametros_recargas!$I$99*'Plan mensual'!O121+parametros_recargas!$J$99*'Plan mensual'!O122+parametros_recargas!$K$99*'Plan mensual'!O123+parametros_recargas!$L$99*'Plan mensual'!O124+parametros_recargas!$M$99*'Plan mensual'!O126</f>
        <v>6.56846640283477</v>
      </c>
      <c r="N121" s="8" t="n">
        <f aca="false">SUM(B121:M121)</f>
        <v>78.8215968340172</v>
      </c>
      <c r="O121" s="27" t="n">
        <f aca="false">MAX(B121:M121)</f>
        <v>6.56846640283477</v>
      </c>
      <c r="P121" s="13" t="n">
        <f aca="false">O121/parametros_recargas!$B$6</f>
        <v>0.0437897760188984</v>
      </c>
    </row>
    <row r="122" customFormat="false" ht="15" hidden="false" customHeight="false" outlineLevel="0" collapsed="false">
      <c r="A122" s="10" t="str">
        <f aca="false">parametros_recargas!$B$100</f>
        <v>Control de peso (CO₂ y halogenados sin recarga)</v>
      </c>
      <c r="B122" s="26" t="n">
        <f aca="false">parametros_recargas!$E$100*'Plan mensual'!D117+parametros_recargas!$F$100*'Plan mensual'!D118+parametros_recargas!$G$100*'Plan mensual'!D119+parametros_recargas!$H$100*'Plan mensual'!D120+parametros_recargas!$I$100*'Plan mensual'!D121+parametros_recargas!$J$100*'Plan mensual'!D122+parametros_recargas!$K$100*'Plan mensual'!D123+parametros_recargas!$L$100*'Plan mensual'!D124+parametros_recargas!$M$100*'Plan mensual'!D126</f>
        <v>302.833092025958</v>
      </c>
      <c r="C122" s="26" t="n">
        <f aca="false">parametros_recargas!$E$100*'Plan mensual'!E117+parametros_recargas!$F$100*'Plan mensual'!E118+parametros_recargas!$G$100*'Plan mensual'!E119+parametros_recargas!$H$100*'Plan mensual'!E120+parametros_recargas!$I$100*'Plan mensual'!E121+parametros_recargas!$J$100*'Plan mensual'!E122+parametros_recargas!$K$100*'Plan mensual'!E123+parametros_recargas!$L$100*'Plan mensual'!E124+parametros_recargas!$M$100*'Plan mensual'!E126</f>
        <v>468.962743189519</v>
      </c>
      <c r="D122" s="26" t="n">
        <f aca="false">parametros_recargas!$E$100*'Plan mensual'!F117+parametros_recargas!$F$100*'Plan mensual'!F118+parametros_recargas!$G$100*'Plan mensual'!F119+parametros_recargas!$H$100*'Plan mensual'!F120+parametros_recargas!$I$100*'Plan mensual'!F121+parametros_recargas!$J$100*'Plan mensual'!F122+parametros_recargas!$K$100*'Plan mensual'!F123+parametros_recargas!$L$100*'Plan mensual'!F124+parametros_recargas!$M$100*'Plan mensual'!F126</f>
        <v>302.833092025958</v>
      </c>
      <c r="E122" s="26" t="n">
        <f aca="false">parametros_recargas!$E$100*'Plan mensual'!G117+parametros_recargas!$F$100*'Plan mensual'!G118+parametros_recargas!$G$100*'Plan mensual'!G119+parametros_recargas!$H$100*'Plan mensual'!G120+parametros_recargas!$I$100*'Plan mensual'!G121+parametros_recargas!$J$100*'Plan mensual'!G122+parametros_recargas!$K$100*'Plan mensual'!G123+parametros_recargas!$L$100*'Plan mensual'!G124+parametros_recargas!$M$100*'Plan mensual'!G126</f>
        <v>302.833092025958</v>
      </c>
      <c r="F122" s="26" t="n">
        <f aca="false">parametros_recargas!$E$100*'Plan mensual'!H117+parametros_recargas!$F$100*'Plan mensual'!H118+parametros_recargas!$G$100*'Plan mensual'!H119+parametros_recargas!$H$100*'Plan mensual'!H120+parametros_recargas!$I$100*'Plan mensual'!H121+parametros_recargas!$J$100*'Plan mensual'!H122+parametros_recargas!$K$100*'Plan mensual'!H123+parametros_recargas!$L$100*'Plan mensual'!H124+parametros_recargas!$M$100*'Plan mensual'!H126</f>
        <v>302.833092025958</v>
      </c>
      <c r="G122" s="26" t="n">
        <f aca="false">parametros_recargas!$E$100*'Plan mensual'!I117+parametros_recargas!$F$100*'Plan mensual'!I118+parametros_recargas!$G$100*'Plan mensual'!I119+parametros_recargas!$H$100*'Plan mensual'!I120+parametros_recargas!$I$100*'Plan mensual'!I121+parametros_recargas!$J$100*'Plan mensual'!I122+parametros_recargas!$K$100*'Plan mensual'!I123+parametros_recargas!$L$100*'Plan mensual'!I124+parametros_recargas!$M$100*'Plan mensual'!I126</f>
        <v>302.833092025958</v>
      </c>
      <c r="H122" s="26" t="n">
        <f aca="false">parametros_recargas!$E$100*'Plan mensual'!J117+parametros_recargas!$F$100*'Plan mensual'!J118+parametros_recargas!$G$100*'Plan mensual'!J119+parametros_recargas!$H$100*'Plan mensual'!J120+parametros_recargas!$I$100*'Plan mensual'!J121+parametros_recargas!$J$100*'Plan mensual'!J122+parametros_recargas!$K$100*'Plan mensual'!J123+parametros_recargas!$L$100*'Plan mensual'!J124+parametros_recargas!$M$100*'Plan mensual'!J126</f>
        <v>302.833092025958</v>
      </c>
      <c r="I122" s="26" t="n">
        <f aca="false">parametros_recargas!$E$100*'Plan mensual'!K117+parametros_recargas!$F$100*'Plan mensual'!K118+parametros_recargas!$G$100*'Plan mensual'!K119+parametros_recargas!$H$100*'Plan mensual'!K120+parametros_recargas!$I$100*'Plan mensual'!K121+parametros_recargas!$J$100*'Plan mensual'!K122+parametros_recargas!$K$100*'Plan mensual'!K123+parametros_recargas!$L$100*'Plan mensual'!K124+parametros_recargas!$M$100*'Plan mensual'!K126</f>
        <v>302.833092025958</v>
      </c>
      <c r="J122" s="26" t="n">
        <f aca="false">parametros_recargas!$E$100*'Plan mensual'!L117+parametros_recargas!$F$100*'Plan mensual'!L118+parametros_recargas!$G$100*'Plan mensual'!L119+parametros_recargas!$H$100*'Plan mensual'!L120+parametros_recargas!$I$100*'Plan mensual'!L121+parametros_recargas!$J$100*'Plan mensual'!L122+parametros_recargas!$K$100*'Plan mensual'!L123+parametros_recargas!$L$100*'Plan mensual'!L124+parametros_recargas!$M$100*'Plan mensual'!L126</f>
        <v>302.833092025958</v>
      </c>
      <c r="K122" s="26" t="n">
        <f aca="false">parametros_recargas!$E$100*'Plan mensual'!M117+parametros_recargas!$F$100*'Plan mensual'!M118+parametros_recargas!$G$100*'Plan mensual'!M119+parametros_recargas!$H$100*'Plan mensual'!M120+parametros_recargas!$I$100*'Plan mensual'!M121+parametros_recargas!$J$100*'Plan mensual'!M122+parametros_recargas!$K$100*'Plan mensual'!M123+parametros_recargas!$L$100*'Plan mensual'!M124+parametros_recargas!$M$100*'Plan mensual'!M126</f>
        <v>302.833092025958</v>
      </c>
      <c r="L122" s="26" t="n">
        <f aca="false">parametros_recargas!$E$100*'Plan mensual'!N117+parametros_recargas!$F$100*'Plan mensual'!N118+parametros_recargas!$G$100*'Plan mensual'!N119+parametros_recargas!$H$100*'Plan mensual'!N120+parametros_recargas!$I$100*'Plan mensual'!N121+parametros_recargas!$J$100*'Plan mensual'!N122+parametros_recargas!$K$100*'Plan mensual'!N123+parametros_recargas!$L$100*'Plan mensual'!N124+parametros_recargas!$M$100*'Plan mensual'!N126</f>
        <v>302.833092025958</v>
      </c>
      <c r="M122" s="26" t="n">
        <f aca="false">parametros_recargas!$E$100*'Plan mensual'!O117+parametros_recargas!$F$100*'Plan mensual'!O118+parametros_recargas!$G$100*'Plan mensual'!O119+parametros_recargas!$H$100*'Plan mensual'!O120+parametros_recargas!$I$100*'Plan mensual'!O121+parametros_recargas!$J$100*'Plan mensual'!O122+parametros_recargas!$K$100*'Plan mensual'!O123+parametros_recargas!$L$100*'Plan mensual'!O124+parametros_recargas!$M$100*'Plan mensual'!O126</f>
        <v>302.833092025958</v>
      </c>
      <c r="N122" s="8" t="n">
        <f aca="false">SUM(B122:M122)</f>
        <v>3800.12675547506</v>
      </c>
      <c r="O122" s="27" t="n">
        <f aca="false">MAX(B122:M122)</f>
        <v>468.962743189519</v>
      </c>
      <c r="P122" s="13" t="n">
        <f aca="false">O122/parametros_recargas!$B$6</f>
        <v>3.12641828793013</v>
      </c>
    </row>
    <row r="123" customFormat="false" ht="15" hidden="false" customHeight="false" outlineLevel="0" collapsed="false">
      <c r="A123" s="10" t="str">
        <f aca="false">parametros_recargas!$B$101</f>
        <v>Ensayo de pérdidas</v>
      </c>
      <c r="B123" s="26" t="n">
        <f aca="false">parametros_recargas!$E$101*'Plan mensual'!D117+parametros_recargas!$F$101*'Plan mensual'!D118+parametros_recargas!$G$101*'Plan mensual'!D119+parametros_recargas!$H$101*'Plan mensual'!D120+parametros_recargas!$I$101*'Plan mensual'!D121+parametros_recargas!$J$101*'Plan mensual'!D122+parametros_recargas!$K$101*'Plan mensual'!D123+parametros_recargas!$L$101*'Plan mensual'!D124+parametros_recargas!$M$101*'Plan mensual'!D126</f>
        <v>3173.87835557742</v>
      </c>
      <c r="C123" s="26" t="n">
        <f aca="false">parametros_recargas!$E$101*'Plan mensual'!E117+parametros_recargas!$F$101*'Plan mensual'!E118+parametros_recargas!$G$101*'Plan mensual'!E119+parametros_recargas!$H$101*'Plan mensual'!E120+parametros_recargas!$I$101*'Plan mensual'!E121+parametros_recargas!$J$101*'Plan mensual'!E122+parametros_recargas!$K$101*'Plan mensual'!E123+parametros_recargas!$L$101*'Plan mensual'!E124+parametros_recargas!$M$101*'Plan mensual'!E126</f>
        <v>7426.21762898733</v>
      </c>
      <c r="D123" s="26" t="n">
        <f aca="false">parametros_recargas!$E$101*'Plan mensual'!F117+parametros_recargas!$F$101*'Plan mensual'!F118+parametros_recargas!$G$101*'Plan mensual'!F119+parametros_recargas!$H$101*'Plan mensual'!F120+parametros_recargas!$I$101*'Plan mensual'!F121+parametros_recargas!$J$101*'Plan mensual'!F122+parametros_recargas!$K$101*'Plan mensual'!F123+parametros_recargas!$L$101*'Plan mensual'!F124+parametros_recargas!$M$101*'Plan mensual'!F126</f>
        <v>6119.2346243752</v>
      </c>
      <c r="E123" s="26" t="n">
        <f aca="false">parametros_recargas!$E$101*'Plan mensual'!G117+parametros_recargas!$F$101*'Plan mensual'!G118+parametros_recargas!$G$101*'Plan mensual'!G119+parametros_recargas!$H$101*'Plan mensual'!G120+parametros_recargas!$I$101*'Plan mensual'!G121+parametros_recargas!$J$101*'Plan mensual'!G122+parametros_recargas!$K$101*'Plan mensual'!G123+parametros_recargas!$L$101*'Plan mensual'!G124+parametros_recargas!$M$101*'Plan mensual'!G126</f>
        <v>6142.03902950432</v>
      </c>
      <c r="F123" s="26" t="n">
        <f aca="false">parametros_recargas!$E$101*'Plan mensual'!H117+parametros_recargas!$F$101*'Plan mensual'!H118+parametros_recargas!$G$101*'Plan mensual'!H119+parametros_recargas!$H$101*'Plan mensual'!H120+parametros_recargas!$I$101*'Plan mensual'!H121+parametros_recargas!$J$101*'Plan mensual'!H122+parametros_recargas!$K$101*'Plan mensual'!H123+parametros_recargas!$L$101*'Plan mensual'!H124+parametros_recargas!$M$101*'Plan mensual'!H126</f>
        <v>6142.0514827594</v>
      </c>
      <c r="G123" s="26" t="n">
        <f aca="false">parametros_recargas!$E$101*'Plan mensual'!I117+parametros_recargas!$F$101*'Plan mensual'!I118+parametros_recargas!$G$101*'Plan mensual'!I119+parametros_recargas!$H$101*'Plan mensual'!I120+parametros_recargas!$I$101*'Plan mensual'!I121+parametros_recargas!$J$101*'Plan mensual'!I122+parametros_recargas!$K$101*'Plan mensual'!I123+parametros_recargas!$L$101*'Plan mensual'!I124+parametros_recargas!$M$101*'Plan mensual'!I126</f>
        <v>6129.59447391234</v>
      </c>
      <c r="H123" s="26" t="n">
        <f aca="false">parametros_recargas!$E$101*'Plan mensual'!J117+parametros_recargas!$F$101*'Plan mensual'!J118+parametros_recargas!$G$101*'Plan mensual'!J119+parametros_recargas!$H$101*'Plan mensual'!J120+parametros_recargas!$I$101*'Plan mensual'!J121+parametros_recargas!$J$101*'Plan mensual'!J122+parametros_recargas!$K$101*'Plan mensual'!J123+parametros_recargas!$L$101*'Plan mensual'!J124+parametros_recargas!$M$101*'Plan mensual'!J126</f>
        <v>6165.31004924594</v>
      </c>
      <c r="I123" s="26" t="n">
        <f aca="false">parametros_recargas!$E$101*'Plan mensual'!K117+parametros_recargas!$F$101*'Plan mensual'!K118+parametros_recargas!$G$101*'Plan mensual'!K119+parametros_recargas!$H$101*'Plan mensual'!K120+parametros_recargas!$I$101*'Plan mensual'!K121+parametros_recargas!$J$101*'Plan mensual'!K122+parametros_recargas!$K$101*'Plan mensual'!K123+parametros_recargas!$L$101*'Plan mensual'!K124+parametros_recargas!$M$101*'Plan mensual'!K126</f>
        <v>6139.64649193483</v>
      </c>
      <c r="J123" s="26" t="n">
        <f aca="false">parametros_recargas!$E$101*'Plan mensual'!L117+parametros_recargas!$F$101*'Plan mensual'!L118+parametros_recargas!$G$101*'Plan mensual'!L119+parametros_recargas!$H$101*'Plan mensual'!L120+parametros_recargas!$I$101*'Plan mensual'!L121+parametros_recargas!$J$101*'Plan mensual'!L122+parametros_recargas!$K$101*'Plan mensual'!L123+parametros_recargas!$L$101*'Plan mensual'!L124+parametros_recargas!$M$101*'Plan mensual'!L126</f>
        <v>6143.42911536979</v>
      </c>
      <c r="K123" s="26" t="n">
        <f aca="false">parametros_recargas!$E$101*'Plan mensual'!M117+parametros_recargas!$F$101*'Plan mensual'!M118+parametros_recargas!$G$101*'Plan mensual'!M119+parametros_recargas!$H$101*'Plan mensual'!M120+parametros_recargas!$I$101*'Plan mensual'!M121+parametros_recargas!$J$101*'Plan mensual'!M122+parametros_recargas!$K$101*'Plan mensual'!M123+parametros_recargas!$L$101*'Plan mensual'!M124+parametros_recargas!$M$101*'Plan mensual'!M126</f>
        <v>6128.58431877988</v>
      </c>
      <c r="L123" s="26" t="n">
        <f aca="false">parametros_recargas!$E$101*'Plan mensual'!N117+parametros_recargas!$F$101*'Plan mensual'!N118+parametros_recargas!$G$101*'Plan mensual'!N119+parametros_recargas!$H$101*'Plan mensual'!N120+parametros_recargas!$I$101*'Plan mensual'!N121+parametros_recargas!$J$101*'Plan mensual'!N122+parametros_recargas!$K$101*'Plan mensual'!N123+parametros_recargas!$L$101*'Plan mensual'!N124+parametros_recargas!$M$101*'Plan mensual'!N126</f>
        <v>6070.21777997992</v>
      </c>
      <c r="M123" s="26" t="n">
        <f aca="false">parametros_recargas!$E$101*'Plan mensual'!O117+parametros_recargas!$F$101*'Plan mensual'!O118+parametros_recargas!$G$101*'Plan mensual'!O119+parametros_recargas!$H$101*'Plan mensual'!O120+parametros_recargas!$I$101*'Plan mensual'!O121+parametros_recargas!$J$101*'Plan mensual'!O122+parametros_recargas!$K$101*'Plan mensual'!O123+parametros_recargas!$L$101*'Plan mensual'!O124+parametros_recargas!$M$101*'Plan mensual'!O126</f>
        <v>3021.21877226387</v>
      </c>
      <c r="N123" s="8" t="n">
        <f aca="false">SUM(B123:M123)</f>
        <v>68801.4221226902</v>
      </c>
      <c r="O123" s="27" t="n">
        <f aca="false">MAX(B123:M123)</f>
        <v>7426.21762898733</v>
      </c>
      <c r="P123" s="13" t="n">
        <f aca="false">O123/parametros_recargas!$B$6</f>
        <v>49.5081175265822</v>
      </c>
    </row>
    <row r="124" customFormat="false" ht="15" hidden="false" customHeight="false" outlineLevel="0" collapsed="false">
      <c r="A124" s="10" t="str">
        <f aca="false">parametros_recargas!$B$102</f>
        <v>Precinto, etiqueta y despacho</v>
      </c>
      <c r="B124" s="26" t="n">
        <f aca="false">parametros_recargas!$E$102*'Plan mensual'!D117+parametros_recargas!$F$102*'Plan mensual'!D118+parametros_recargas!$G$102*'Plan mensual'!D119+parametros_recargas!$H$102*'Plan mensual'!D120+parametros_recargas!$I$102*'Plan mensual'!D121+parametros_recargas!$J$102*'Plan mensual'!D122+parametros_recargas!$K$102*'Plan mensual'!D123+parametros_recargas!$L$102*'Plan mensual'!D124+parametros_recargas!$M$102*'Plan mensual'!D126</f>
        <v>3173.87835557742</v>
      </c>
      <c r="C124" s="26" t="n">
        <f aca="false">parametros_recargas!$E$102*'Plan mensual'!E117+parametros_recargas!$F$102*'Plan mensual'!E118+parametros_recargas!$G$102*'Plan mensual'!E119+parametros_recargas!$H$102*'Plan mensual'!E120+parametros_recargas!$I$102*'Plan mensual'!E121+parametros_recargas!$J$102*'Plan mensual'!E122+parametros_recargas!$K$102*'Plan mensual'!E123+parametros_recargas!$L$102*'Plan mensual'!E124+parametros_recargas!$M$102*'Plan mensual'!E126</f>
        <v>7426.21762898733</v>
      </c>
      <c r="D124" s="26" t="n">
        <f aca="false">parametros_recargas!$E$102*'Plan mensual'!F117+parametros_recargas!$F$102*'Plan mensual'!F118+parametros_recargas!$G$102*'Plan mensual'!F119+parametros_recargas!$H$102*'Plan mensual'!F120+parametros_recargas!$I$102*'Plan mensual'!F121+parametros_recargas!$J$102*'Plan mensual'!F122+parametros_recargas!$K$102*'Plan mensual'!F123+parametros_recargas!$L$102*'Plan mensual'!F124+parametros_recargas!$M$102*'Plan mensual'!F126</f>
        <v>6119.2346243752</v>
      </c>
      <c r="E124" s="26" t="n">
        <f aca="false">parametros_recargas!$E$102*'Plan mensual'!G117+parametros_recargas!$F$102*'Plan mensual'!G118+parametros_recargas!$G$102*'Plan mensual'!G119+parametros_recargas!$H$102*'Plan mensual'!G120+parametros_recargas!$I$102*'Plan mensual'!G121+parametros_recargas!$J$102*'Plan mensual'!G122+parametros_recargas!$K$102*'Plan mensual'!G123+parametros_recargas!$L$102*'Plan mensual'!G124+parametros_recargas!$M$102*'Plan mensual'!G126</f>
        <v>6142.03902950432</v>
      </c>
      <c r="F124" s="26" t="n">
        <f aca="false">parametros_recargas!$E$102*'Plan mensual'!H117+parametros_recargas!$F$102*'Plan mensual'!H118+parametros_recargas!$G$102*'Plan mensual'!H119+parametros_recargas!$H$102*'Plan mensual'!H120+parametros_recargas!$I$102*'Plan mensual'!H121+parametros_recargas!$J$102*'Plan mensual'!H122+parametros_recargas!$K$102*'Plan mensual'!H123+parametros_recargas!$L$102*'Plan mensual'!H124+parametros_recargas!$M$102*'Plan mensual'!H126</f>
        <v>6142.0514827594</v>
      </c>
      <c r="G124" s="26" t="n">
        <f aca="false">parametros_recargas!$E$102*'Plan mensual'!I117+parametros_recargas!$F$102*'Plan mensual'!I118+parametros_recargas!$G$102*'Plan mensual'!I119+parametros_recargas!$H$102*'Plan mensual'!I120+parametros_recargas!$I$102*'Plan mensual'!I121+parametros_recargas!$J$102*'Plan mensual'!I122+parametros_recargas!$K$102*'Plan mensual'!I123+parametros_recargas!$L$102*'Plan mensual'!I124+parametros_recargas!$M$102*'Plan mensual'!I126</f>
        <v>6129.59447391234</v>
      </c>
      <c r="H124" s="26" t="n">
        <f aca="false">parametros_recargas!$E$102*'Plan mensual'!J117+parametros_recargas!$F$102*'Plan mensual'!J118+parametros_recargas!$G$102*'Plan mensual'!J119+parametros_recargas!$H$102*'Plan mensual'!J120+parametros_recargas!$I$102*'Plan mensual'!J121+parametros_recargas!$J$102*'Plan mensual'!J122+parametros_recargas!$K$102*'Plan mensual'!J123+parametros_recargas!$L$102*'Plan mensual'!J124+parametros_recargas!$M$102*'Plan mensual'!J126</f>
        <v>6165.31004924594</v>
      </c>
      <c r="I124" s="26" t="n">
        <f aca="false">parametros_recargas!$E$102*'Plan mensual'!K117+parametros_recargas!$F$102*'Plan mensual'!K118+parametros_recargas!$G$102*'Plan mensual'!K119+parametros_recargas!$H$102*'Plan mensual'!K120+parametros_recargas!$I$102*'Plan mensual'!K121+parametros_recargas!$J$102*'Plan mensual'!K122+parametros_recargas!$K$102*'Plan mensual'!K123+parametros_recargas!$L$102*'Plan mensual'!K124+parametros_recargas!$M$102*'Plan mensual'!K126</f>
        <v>6139.64649193483</v>
      </c>
      <c r="J124" s="26" t="n">
        <f aca="false">parametros_recargas!$E$102*'Plan mensual'!L117+parametros_recargas!$F$102*'Plan mensual'!L118+parametros_recargas!$G$102*'Plan mensual'!L119+parametros_recargas!$H$102*'Plan mensual'!L120+parametros_recargas!$I$102*'Plan mensual'!L121+parametros_recargas!$J$102*'Plan mensual'!L122+parametros_recargas!$K$102*'Plan mensual'!L123+parametros_recargas!$L$102*'Plan mensual'!L124+parametros_recargas!$M$102*'Plan mensual'!L126</f>
        <v>6143.42911536979</v>
      </c>
      <c r="K124" s="26" t="n">
        <f aca="false">parametros_recargas!$E$102*'Plan mensual'!M117+parametros_recargas!$F$102*'Plan mensual'!M118+parametros_recargas!$G$102*'Plan mensual'!M119+parametros_recargas!$H$102*'Plan mensual'!M120+parametros_recargas!$I$102*'Plan mensual'!M121+parametros_recargas!$J$102*'Plan mensual'!M122+parametros_recargas!$K$102*'Plan mensual'!M123+parametros_recargas!$L$102*'Plan mensual'!M124+parametros_recargas!$M$102*'Plan mensual'!M126</f>
        <v>6128.58431877988</v>
      </c>
      <c r="L124" s="26" t="n">
        <f aca="false">parametros_recargas!$E$102*'Plan mensual'!N117+parametros_recargas!$F$102*'Plan mensual'!N118+parametros_recargas!$G$102*'Plan mensual'!N119+parametros_recargas!$H$102*'Plan mensual'!N120+parametros_recargas!$I$102*'Plan mensual'!N121+parametros_recargas!$J$102*'Plan mensual'!N122+parametros_recargas!$K$102*'Plan mensual'!N123+parametros_recargas!$L$102*'Plan mensual'!N124+parametros_recargas!$M$102*'Plan mensual'!N126</f>
        <v>6070.21777997992</v>
      </c>
      <c r="M124" s="26" t="n">
        <f aca="false">parametros_recargas!$E$102*'Plan mensual'!O117+parametros_recargas!$F$102*'Plan mensual'!O118+parametros_recargas!$G$102*'Plan mensual'!O119+parametros_recargas!$H$102*'Plan mensual'!O120+parametros_recargas!$I$102*'Plan mensual'!O121+parametros_recargas!$J$102*'Plan mensual'!O122+parametros_recargas!$K$102*'Plan mensual'!O123+parametros_recargas!$L$102*'Plan mensual'!O124+parametros_recargas!$M$102*'Plan mensual'!O126</f>
        <v>3021.21877226387</v>
      </c>
      <c r="N124" s="8" t="n">
        <f aca="false">SUM(B124:M124)</f>
        <v>68801.4221226902</v>
      </c>
      <c r="O124" s="27" t="n">
        <f aca="false">MAX(B124:M124)</f>
        <v>7426.21762898733</v>
      </c>
      <c r="P124" s="13" t="n">
        <f aca="false">O124/parametros_recargas!$B$6</f>
        <v>49.5081175265822</v>
      </c>
    </row>
    <row r="125" customFormat="false" ht="15" hidden="false" customHeight="false" outlineLevel="0" collapsed="false">
      <c r="A125" s="10" t="str">
        <f aca="false">parametros_recargas!$B$103</f>
        <v>Inutilización y disposición final</v>
      </c>
      <c r="B125" s="26" t="n">
        <f aca="false">parametros_recargas!$E$103*'Plan mensual'!D117+parametros_recargas!$F$103*'Plan mensual'!D118+parametros_recargas!$G$103*'Plan mensual'!D119+parametros_recargas!$H$103*'Plan mensual'!D120+parametros_recargas!$I$103*'Plan mensual'!D121+parametros_recargas!$J$103*'Plan mensual'!D122+parametros_recargas!$K$103*'Plan mensual'!D123+parametros_recargas!$L$103*'Plan mensual'!D124+parametros_recargas!$M$103*'Plan mensual'!D126</f>
        <v>244.275715295338</v>
      </c>
      <c r="C125" s="26" t="n">
        <f aca="false">parametros_recargas!$E$103*'Plan mensual'!E117+parametros_recargas!$F$103*'Plan mensual'!E118+parametros_recargas!$G$103*'Plan mensual'!E119+parametros_recargas!$H$103*'Plan mensual'!E120+parametros_recargas!$I$103*'Plan mensual'!E121+parametros_recargas!$J$103*'Plan mensual'!E122+parametros_recargas!$K$103*'Plan mensual'!E123+parametros_recargas!$L$103*'Plan mensual'!E124+parametros_recargas!$M$103*'Plan mensual'!E126</f>
        <v>580.615092662639</v>
      </c>
      <c r="D125" s="26" t="n">
        <f aca="false">parametros_recargas!$E$103*'Plan mensual'!F117+parametros_recargas!$F$103*'Plan mensual'!F118+parametros_recargas!$G$103*'Plan mensual'!F119+parametros_recargas!$H$103*'Plan mensual'!F120+parametros_recargas!$I$103*'Plan mensual'!F121+parametros_recargas!$J$103*'Plan mensual'!F122+parametros_recargas!$K$103*'Plan mensual'!F123+parametros_recargas!$L$103*'Plan mensual'!F124+parametros_recargas!$M$103*'Plan mensual'!F126</f>
        <v>480.169431729296</v>
      </c>
      <c r="E125" s="26" t="n">
        <f aca="false">parametros_recargas!$E$103*'Plan mensual'!G117+parametros_recargas!$F$103*'Plan mensual'!G118+parametros_recargas!$G$103*'Plan mensual'!G119+parametros_recargas!$H$103*'Plan mensual'!G120+parametros_recargas!$I$103*'Plan mensual'!G121+parametros_recargas!$J$103*'Plan mensual'!G122+parametros_recargas!$K$103*'Plan mensual'!G123+parametros_recargas!$L$103*'Plan mensual'!G124+parametros_recargas!$M$103*'Plan mensual'!G126</f>
        <v>481.993784139625</v>
      </c>
      <c r="F125" s="26" t="n">
        <f aca="false">parametros_recargas!$E$103*'Plan mensual'!H117+parametros_recargas!$F$103*'Plan mensual'!H118+parametros_recargas!$G$103*'Plan mensual'!H119+parametros_recargas!$H$103*'Plan mensual'!H120+parametros_recargas!$I$103*'Plan mensual'!H121+parametros_recargas!$J$103*'Plan mensual'!H122+parametros_recargas!$K$103*'Plan mensual'!H123+parametros_recargas!$L$103*'Plan mensual'!H124+parametros_recargas!$M$103*'Plan mensual'!H126</f>
        <v>482.089020400032</v>
      </c>
      <c r="G125" s="26" t="n">
        <f aca="false">parametros_recargas!$E$103*'Plan mensual'!I117+parametros_recargas!$F$103*'Plan mensual'!I118+parametros_recargas!$G$103*'Plan mensual'!I119+parametros_recargas!$H$103*'Plan mensual'!I120+parametros_recargas!$I$103*'Plan mensual'!I121+parametros_recargas!$J$103*'Plan mensual'!I122+parametros_recargas!$K$103*'Plan mensual'!I123+parametros_recargas!$L$103*'Plan mensual'!I124+parametros_recargas!$M$103*'Plan mensual'!I126</f>
        <v>481.221709831995</v>
      </c>
      <c r="H125" s="26" t="n">
        <f aca="false">parametros_recargas!$E$103*'Plan mensual'!J117+parametros_recargas!$F$103*'Plan mensual'!J118+parametros_recargas!$G$103*'Plan mensual'!J119+parametros_recargas!$H$103*'Plan mensual'!J120+parametros_recargas!$I$103*'Plan mensual'!J121+parametros_recargas!$J$103*'Plan mensual'!J122+parametros_recargas!$K$103*'Plan mensual'!J123+parametros_recargas!$L$103*'Plan mensual'!J124+parametros_recargas!$M$103*'Plan mensual'!J126</f>
        <v>483.949705718955</v>
      </c>
      <c r="I125" s="26" t="n">
        <f aca="false">parametros_recargas!$E$103*'Plan mensual'!K117+parametros_recargas!$F$103*'Plan mensual'!K118+parametros_recargas!$G$103*'Plan mensual'!K119+parametros_recargas!$H$103*'Plan mensual'!K120+parametros_recargas!$I$103*'Plan mensual'!K121+parametros_recargas!$J$103*'Plan mensual'!K122+parametros_recargas!$K$103*'Plan mensual'!K123+parametros_recargas!$L$103*'Plan mensual'!K124+parametros_recargas!$M$103*'Plan mensual'!K126</f>
        <v>481.896621134066</v>
      </c>
      <c r="J125" s="26" t="n">
        <f aca="false">parametros_recargas!$E$103*'Plan mensual'!L117+parametros_recargas!$F$103*'Plan mensual'!L118+parametros_recargas!$G$103*'Plan mensual'!L119+parametros_recargas!$H$103*'Plan mensual'!L120+parametros_recargas!$I$103*'Plan mensual'!L121+parametros_recargas!$J$103*'Plan mensual'!L122+parametros_recargas!$K$103*'Plan mensual'!L123+parametros_recargas!$L$103*'Plan mensual'!L124+parametros_recargas!$M$103*'Plan mensual'!L126</f>
        <v>482.216736078727</v>
      </c>
      <c r="K125" s="26" t="n">
        <f aca="false">parametros_recargas!$E$103*'Plan mensual'!M117+parametros_recargas!$F$103*'Plan mensual'!M118+parametros_recargas!$G$103*'Plan mensual'!M119+parametros_recargas!$H$103*'Plan mensual'!M120+parametros_recargas!$I$103*'Plan mensual'!M121+parametros_recargas!$J$103*'Plan mensual'!M122+parametros_recargas!$K$103*'Plan mensual'!M123+parametros_recargas!$L$103*'Plan mensual'!M124+parametros_recargas!$M$103*'Plan mensual'!M126</f>
        <v>481.158402491262</v>
      </c>
      <c r="L125" s="26" t="n">
        <f aca="false">parametros_recargas!$E$103*'Plan mensual'!N117+parametros_recargas!$F$103*'Plan mensual'!N118+parametros_recargas!$G$103*'Plan mensual'!N119+parametros_recargas!$H$103*'Plan mensual'!N120+parametros_recargas!$I$103*'Plan mensual'!N121+parametros_recargas!$J$103*'Plan mensual'!N122+parametros_recargas!$K$103*'Plan mensual'!N123+parametros_recargas!$L$103*'Plan mensual'!N124+parametros_recargas!$M$103*'Plan mensual'!N126</f>
        <v>476.60082445713</v>
      </c>
      <c r="M125" s="26" t="n">
        <f aca="false">parametros_recargas!$E$103*'Plan mensual'!O117+parametros_recargas!$F$103*'Plan mensual'!O118+parametros_recargas!$G$103*'Plan mensual'!O119+parametros_recargas!$H$103*'Plan mensual'!O120+parametros_recargas!$I$103*'Plan mensual'!O121+parametros_recargas!$J$103*'Plan mensual'!O122+parametros_recargas!$K$103*'Plan mensual'!O123+parametros_recargas!$L$103*'Plan mensual'!O124+parametros_recargas!$M$103*'Plan mensual'!O126</f>
        <v>231.891973700117</v>
      </c>
      <c r="N125" s="8" t="n">
        <f aca="false">SUM(B125:M125)</f>
        <v>5388.07901763918</v>
      </c>
      <c r="O125" s="27" t="n">
        <f aca="false">MAX(B125:M125)</f>
        <v>580.615092662639</v>
      </c>
      <c r="P125" s="13" t="n">
        <f aca="false">O125/parametros_recargas!$B$6</f>
        <v>3.87076728441759</v>
      </c>
    </row>
    <row r="126" customFormat="false" ht="15" hidden="false" customHeight="false" outlineLevel="0" collapsed="false">
      <c r="A126" s="10" t="str">
        <f aca="false">parametros_recargas!$B$104</f>
        <v>PH de mangueras (CO₂ y rodantes)</v>
      </c>
      <c r="B126" s="26" t="n">
        <f aca="false">'Plan mensual'!D125</f>
        <v>189.664494955016</v>
      </c>
      <c r="C126" s="26" t="n">
        <f aca="false">'Plan mensual'!E125</f>
        <v>210.545008549379</v>
      </c>
      <c r="D126" s="26" t="n">
        <f aca="false">'Plan mensual'!F125</f>
        <v>189.664494955016</v>
      </c>
      <c r="E126" s="26" t="n">
        <f aca="false">'Plan mensual'!G125</f>
        <v>189.664494955016</v>
      </c>
      <c r="F126" s="26" t="n">
        <f aca="false">'Plan mensual'!H125</f>
        <v>189.664494955016</v>
      </c>
      <c r="G126" s="26" t="n">
        <f aca="false">'Plan mensual'!I125</f>
        <v>189.664494955016</v>
      </c>
      <c r="H126" s="26" t="n">
        <f aca="false">'Plan mensual'!J125</f>
        <v>189.664494955016</v>
      </c>
      <c r="I126" s="26" t="n">
        <f aca="false">'Plan mensual'!K125</f>
        <v>189.664494955016</v>
      </c>
      <c r="J126" s="26" t="n">
        <f aca="false">'Plan mensual'!L125</f>
        <v>189.664494955016</v>
      </c>
      <c r="K126" s="26" t="n">
        <f aca="false">'Plan mensual'!M125</f>
        <v>189.664494955016</v>
      </c>
      <c r="L126" s="26" t="n">
        <f aca="false">'Plan mensual'!N125</f>
        <v>189.664494955016</v>
      </c>
      <c r="M126" s="26" t="n">
        <f aca="false">'Plan mensual'!O125</f>
        <v>189.664494955016</v>
      </c>
      <c r="N126" s="8" t="n">
        <f aca="false">SUM(B126:M126)</f>
        <v>2296.85445305455</v>
      </c>
      <c r="O126" s="27" t="n">
        <f aca="false">MAX(B126:M126)</f>
        <v>210.545008549379</v>
      </c>
      <c r="P126" s="13" t="n">
        <f aca="false">O126/parametros_recargas!$B$6</f>
        <v>1.40363339032919</v>
      </c>
    </row>
    <row r="129" customFormat="false" ht="23.85" hidden="false" customHeight="false" outlineLevel="0" collapsed="false">
      <c r="A129" s="6" t="s">
        <v>441</v>
      </c>
      <c r="B129" s="6" t="s">
        <v>175</v>
      </c>
      <c r="C129" s="6" t="s">
        <v>176</v>
      </c>
      <c r="D129" s="6" t="s">
        <v>177</v>
      </c>
      <c r="E129" s="6" t="s">
        <v>178</v>
      </c>
      <c r="F129" s="6" t="s">
        <v>179</v>
      </c>
      <c r="G129" s="6" t="s">
        <v>180</v>
      </c>
      <c r="H129" s="6" t="s">
        <v>181</v>
      </c>
      <c r="I129" s="6" t="s">
        <v>182</v>
      </c>
      <c r="J129" s="6" t="s">
        <v>183</v>
      </c>
      <c r="K129" s="6" t="s">
        <v>184</v>
      </c>
      <c r="L129" s="6" t="s">
        <v>185</v>
      </c>
      <c r="M129" s="6" t="s">
        <v>186</v>
      </c>
      <c r="N129" s="6" t="s">
        <v>435</v>
      </c>
      <c r="O129" s="6" t="s">
        <v>436</v>
      </c>
      <c r="P129" s="6" t="s">
        <v>437</v>
      </c>
    </row>
    <row r="130" customFormat="false" ht="15" hidden="false" customHeight="false" outlineLevel="0" collapsed="false">
      <c r="A130" s="10" t="str">
        <f aca="false">parametros_recargas!$B$76</f>
        <v>Recepción y registro</v>
      </c>
      <c r="B130" s="26" t="n">
        <f aca="false">parametros_recargas!$E$76*'Plan mensual'!D149+parametros_recargas!$F$76*'Plan mensual'!D150+parametros_recargas!$G$76*'Plan mensual'!D151+parametros_recargas!$H$76*'Plan mensual'!D152+parametros_recargas!$I$76*'Plan mensual'!D153+parametros_recargas!$J$76*'Plan mensual'!D154+parametros_recargas!$K$76*'Plan mensual'!D155+parametros_recargas!$L$76*'Plan mensual'!D156+parametros_recargas!$M$76*'Plan mensual'!D158</f>
        <v>4588.23871745641</v>
      </c>
      <c r="C130" s="26" t="n">
        <f aca="false">parametros_recargas!$E$76*'Plan mensual'!E149+parametros_recargas!$F$76*'Plan mensual'!E150+parametros_recargas!$G$76*'Plan mensual'!E151+parametros_recargas!$H$76*'Plan mensual'!E152+parametros_recargas!$I$76*'Plan mensual'!E153+parametros_recargas!$J$76*'Plan mensual'!E154+parametros_recargas!$K$76*'Plan mensual'!E155+parametros_recargas!$L$76*'Plan mensual'!E156+parametros_recargas!$M$76*'Plan mensual'!E158</f>
        <v>10896.1789569841</v>
      </c>
      <c r="D130" s="26" t="n">
        <f aca="false">parametros_recargas!$E$76*'Plan mensual'!F149+parametros_recargas!$F$76*'Plan mensual'!F150+parametros_recargas!$G$76*'Plan mensual'!F151+parametros_recargas!$H$76*'Plan mensual'!F152+parametros_recargas!$I$76*'Plan mensual'!F153+parametros_recargas!$J$76*'Plan mensual'!F154+parametros_recargas!$K$76*'Plan mensual'!F155+parametros_recargas!$L$76*'Plan mensual'!F156+parametros_recargas!$M$76*'Plan mensual'!F158</f>
        <v>9011.07305882558</v>
      </c>
      <c r="E130" s="26" t="n">
        <f aca="false">parametros_recargas!$E$76*'Plan mensual'!G149+parametros_recargas!$F$76*'Plan mensual'!G150+parametros_recargas!$G$76*'Plan mensual'!G151+parametros_recargas!$H$76*'Plan mensual'!G152+parametros_recargas!$I$76*'Plan mensual'!G153+parametros_recargas!$J$76*'Plan mensual'!G154+parametros_recargas!$K$76*'Plan mensual'!G155+parametros_recargas!$L$76*'Plan mensual'!G156+parametros_recargas!$M$76*'Plan mensual'!G158</f>
        <v>9045.30398522428</v>
      </c>
      <c r="F130" s="26" t="n">
        <f aca="false">parametros_recargas!$E$76*'Plan mensual'!H149+parametros_recargas!$F$76*'Plan mensual'!H150+parametros_recargas!$G$76*'Plan mensual'!H151+parametros_recargas!$H$76*'Plan mensual'!H152+parametros_recargas!$I$76*'Plan mensual'!H153+parametros_recargas!$J$76*'Plan mensual'!H154+parametros_recargas!$K$76*'Plan mensual'!H155+parametros_recargas!$L$76*'Plan mensual'!H156+parametros_recargas!$M$76*'Plan mensual'!H158</f>
        <v>9045.89653461081</v>
      </c>
      <c r="G130" s="26" t="n">
        <f aca="false">parametros_recargas!$E$76*'Plan mensual'!I149+parametros_recargas!$F$76*'Plan mensual'!I150+parametros_recargas!$G$76*'Plan mensual'!I151+parametros_recargas!$H$76*'Plan mensual'!I152+parametros_recargas!$I$76*'Plan mensual'!I153+parametros_recargas!$J$76*'Plan mensual'!I154+parametros_recargas!$K$76*'Plan mensual'!I155+parametros_recargas!$L$76*'Plan mensual'!I156+parametros_recargas!$M$76*'Plan mensual'!I158</f>
        <v>9027.89673278476</v>
      </c>
      <c r="H130" s="26" t="n">
        <f aca="false">parametros_recargas!$E$76*'Plan mensual'!J149+parametros_recargas!$F$76*'Plan mensual'!J150+parametros_recargas!$G$76*'Plan mensual'!J151+parametros_recargas!$H$76*'Plan mensual'!J152+parametros_recargas!$I$76*'Plan mensual'!J153+parametros_recargas!$J$76*'Plan mensual'!J154+parametros_recargas!$K$76*'Plan mensual'!J155+parametros_recargas!$L$76*'Plan mensual'!J156+parametros_recargas!$M$76*'Plan mensual'!J158</f>
        <v>9080.80918736507</v>
      </c>
      <c r="I130" s="26" t="n">
        <f aca="false">parametros_recargas!$E$76*'Plan mensual'!K149+parametros_recargas!$F$76*'Plan mensual'!K150+parametros_recargas!$G$76*'Plan mensual'!K151+parametros_recargas!$H$76*'Plan mensual'!K152+parametros_recargas!$I$76*'Plan mensual'!K153+parametros_recargas!$J$76*'Plan mensual'!K154+parametros_recargas!$K$76*'Plan mensual'!K155+parametros_recargas!$L$76*'Plan mensual'!K156+parametros_recargas!$M$76*'Plan mensual'!K158</f>
        <v>9042.28648368253</v>
      </c>
      <c r="J130" s="26" t="n">
        <f aca="false">parametros_recargas!$E$76*'Plan mensual'!L149+parametros_recargas!$F$76*'Plan mensual'!L150+parametros_recargas!$G$76*'Plan mensual'!L151+parametros_recargas!$H$76*'Plan mensual'!L152+parametros_recargas!$I$76*'Plan mensual'!L153+parametros_recargas!$J$76*'Plan mensual'!L154+parametros_recargas!$K$76*'Plan mensual'!L155+parametros_recargas!$L$76*'Plan mensual'!L156+parametros_recargas!$M$76*'Plan mensual'!L158</f>
        <v>9048.02702235049</v>
      </c>
      <c r="K130" s="26" t="n">
        <f aca="false">parametros_recargas!$E$76*'Plan mensual'!M149+parametros_recargas!$F$76*'Plan mensual'!M150+parametros_recargas!$G$76*'Plan mensual'!M151+parametros_recargas!$H$76*'Plan mensual'!M152+parametros_recargas!$I$76*'Plan mensual'!M153+parametros_recargas!$J$76*'Plan mensual'!M154+parametros_recargas!$K$76*'Plan mensual'!M155+parametros_recargas!$L$76*'Plan mensual'!M156+parametros_recargas!$M$76*'Plan mensual'!M158</f>
        <v>9026.44299256416</v>
      </c>
      <c r="L130" s="26" t="n">
        <f aca="false">parametros_recargas!$E$76*'Plan mensual'!N149+parametros_recargas!$F$76*'Plan mensual'!N150+parametros_recargas!$G$76*'Plan mensual'!N151+parametros_recargas!$H$76*'Plan mensual'!N152+parametros_recargas!$I$76*'Plan mensual'!N153+parametros_recargas!$J$76*'Plan mensual'!N154+parametros_recargas!$K$76*'Plan mensual'!N155+parametros_recargas!$L$76*'Plan mensual'!N156+parametros_recargas!$M$76*'Plan mensual'!N158</f>
        <v>8939.46736799867</v>
      </c>
      <c r="M130" s="26" t="n">
        <f aca="false">parametros_recargas!$E$76*'Plan mensual'!O149+parametros_recargas!$F$76*'Plan mensual'!O150+parametros_recargas!$G$76*'Plan mensual'!O151+parametros_recargas!$H$76*'Plan mensual'!O152+parametros_recargas!$I$76*'Plan mensual'!O153+parametros_recargas!$J$76*'Plan mensual'!O154+parametros_recargas!$K$76*'Plan mensual'!O155+parametros_recargas!$L$76*'Plan mensual'!O156+parametros_recargas!$M$76*'Plan mensual'!O158</f>
        <v>4358.00140298535</v>
      </c>
      <c r="N130" s="8" t="n">
        <f aca="false">SUM(B130:M130)</f>
        <v>101109.622442832</v>
      </c>
      <c r="O130" s="27" t="n">
        <f aca="false">MAX(B130:M130)</f>
        <v>10896.1789569841</v>
      </c>
      <c r="P130" s="13" t="n">
        <f aca="false">O130/parametros_recargas!$B$6</f>
        <v>72.6411930465609</v>
      </c>
    </row>
    <row r="131" customFormat="false" ht="15" hidden="false" customHeight="false" outlineLevel="0" collapsed="false">
      <c r="A131" s="10" t="str">
        <f aca="false">parametros_recargas!$B$77</f>
        <v>Inspección visual</v>
      </c>
      <c r="B131" s="26" t="n">
        <f aca="false">parametros_recargas!$E$77*'Plan mensual'!D149+parametros_recargas!$F$77*'Plan mensual'!D150+parametros_recargas!$G$77*'Plan mensual'!D151+parametros_recargas!$H$77*'Plan mensual'!D152+parametros_recargas!$I$77*'Plan mensual'!D153+parametros_recargas!$J$77*'Plan mensual'!D154+parametros_recargas!$K$77*'Plan mensual'!D155+parametros_recargas!$L$77*'Plan mensual'!D156+parametros_recargas!$M$77*'Plan mensual'!D158</f>
        <v>4559.83069469284</v>
      </c>
      <c r="C131" s="26" t="n">
        <f aca="false">parametros_recargas!$E$77*'Plan mensual'!E149+parametros_recargas!$F$77*'Plan mensual'!E150+parametros_recargas!$G$77*'Plan mensual'!E151+parametros_recargas!$H$77*'Plan mensual'!E152+parametros_recargas!$I$77*'Plan mensual'!E153+parametros_recargas!$J$77*'Plan mensual'!E154+parametros_recargas!$K$77*'Plan mensual'!E155+parametros_recargas!$L$77*'Plan mensual'!E156+parametros_recargas!$M$77*'Plan mensual'!E158</f>
        <v>10873.0803016045</v>
      </c>
      <c r="D131" s="26" t="n">
        <f aca="false">parametros_recargas!$E$77*'Plan mensual'!F149+parametros_recargas!$F$77*'Plan mensual'!F150+parametros_recargas!$G$77*'Plan mensual'!F151+parametros_recargas!$H$77*'Plan mensual'!F152+parametros_recargas!$I$77*'Plan mensual'!F153+parametros_recargas!$J$77*'Plan mensual'!F154+parametros_recargas!$K$77*'Plan mensual'!F155+parametros_recargas!$L$77*'Plan mensual'!F156+parametros_recargas!$M$77*'Plan mensual'!F158</f>
        <v>8985.98235237003</v>
      </c>
      <c r="E131" s="26" t="n">
        <f aca="false">parametros_recargas!$E$77*'Plan mensual'!G149+parametros_recargas!$F$77*'Plan mensual'!G150+parametros_recargas!$G$77*'Plan mensual'!G151+parametros_recargas!$H$77*'Plan mensual'!G152+parametros_recargas!$I$77*'Plan mensual'!G153+parametros_recargas!$J$77*'Plan mensual'!G154+parametros_recargas!$K$77*'Plan mensual'!G155+parametros_recargas!$L$77*'Plan mensual'!G156+parametros_recargas!$M$77*'Plan mensual'!G158</f>
        <v>9020.21327876873</v>
      </c>
      <c r="F131" s="26" t="n">
        <f aca="false">parametros_recargas!$E$77*'Plan mensual'!H149+parametros_recargas!$F$77*'Plan mensual'!H150+parametros_recargas!$G$77*'Plan mensual'!H151+parametros_recargas!$H$77*'Plan mensual'!H152+parametros_recargas!$I$77*'Plan mensual'!H153+parametros_recargas!$J$77*'Plan mensual'!H154+parametros_recargas!$K$77*'Plan mensual'!H155+parametros_recargas!$L$77*'Plan mensual'!H156+parametros_recargas!$M$77*'Plan mensual'!H158</f>
        <v>9022.00022815526</v>
      </c>
      <c r="G131" s="26" t="n">
        <f aca="false">parametros_recargas!$E$77*'Plan mensual'!I149+parametros_recargas!$F$77*'Plan mensual'!I150+parametros_recargas!$G$77*'Plan mensual'!I151+parametros_recargas!$H$77*'Plan mensual'!I152+parametros_recargas!$I$77*'Plan mensual'!I153+parametros_recargas!$J$77*'Plan mensual'!I154+parametros_recargas!$K$77*'Plan mensual'!I155+parametros_recargas!$L$77*'Plan mensual'!I156+parametros_recargas!$M$77*'Plan mensual'!I158</f>
        <v>9005.72659371315</v>
      </c>
      <c r="H131" s="26" t="n">
        <f aca="false">parametros_recargas!$E$77*'Plan mensual'!J149+parametros_recargas!$F$77*'Plan mensual'!J150+parametros_recargas!$G$77*'Plan mensual'!J151+parametros_recargas!$H$77*'Plan mensual'!J152+parametros_recargas!$I$77*'Plan mensual'!J153+parametros_recargas!$J$77*'Plan mensual'!J154+parametros_recargas!$K$77*'Plan mensual'!J155+parametros_recargas!$L$77*'Plan mensual'!J156+parametros_recargas!$M$77*'Plan mensual'!J158</f>
        <v>9056.91288090952</v>
      </c>
      <c r="I131" s="26" t="n">
        <f aca="false">parametros_recargas!$E$77*'Plan mensual'!K149+parametros_recargas!$F$77*'Plan mensual'!K150+parametros_recargas!$G$77*'Plan mensual'!K151+parametros_recargas!$H$77*'Plan mensual'!K152+parametros_recargas!$I$77*'Plan mensual'!K153+parametros_recargas!$J$77*'Plan mensual'!K154+parametros_recargas!$K$77*'Plan mensual'!K155+parametros_recargas!$L$77*'Plan mensual'!K156+parametros_recargas!$M$77*'Plan mensual'!K158</f>
        <v>9018.39017722698</v>
      </c>
      <c r="J131" s="26" t="n">
        <f aca="false">parametros_recargas!$E$77*'Plan mensual'!L149+parametros_recargas!$F$77*'Plan mensual'!L150+parametros_recargas!$G$77*'Plan mensual'!L151+parametros_recargas!$H$77*'Plan mensual'!L152+parametros_recargas!$I$77*'Plan mensual'!L153+parametros_recargas!$J$77*'Plan mensual'!L154+parametros_recargas!$K$77*'Plan mensual'!L155+parametros_recargas!$L$77*'Plan mensual'!L156+parametros_recargas!$M$77*'Plan mensual'!L158</f>
        <v>9024.39659958692</v>
      </c>
      <c r="K131" s="26" t="n">
        <f aca="false">parametros_recargas!$E$77*'Plan mensual'!M149+parametros_recargas!$F$77*'Plan mensual'!M150+parametros_recargas!$G$77*'Plan mensual'!M151+parametros_recargas!$H$77*'Plan mensual'!M152+parametros_recargas!$I$77*'Plan mensual'!M153+parametros_recargas!$J$77*'Plan mensual'!M154+parametros_recargas!$K$77*'Plan mensual'!M155+parametros_recargas!$L$77*'Plan mensual'!M156+parametros_recargas!$M$77*'Plan mensual'!M158</f>
        <v>9004.53873718453</v>
      </c>
      <c r="L131" s="26" t="n">
        <f aca="false">parametros_recargas!$E$77*'Plan mensual'!N149+parametros_recargas!$F$77*'Plan mensual'!N150+parametros_recargas!$G$77*'Plan mensual'!N151+parametros_recargas!$H$77*'Plan mensual'!N152+parametros_recargas!$I$77*'Plan mensual'!N153+parametros_recargas!$J$77*'Plan mensual'!N154+parametros_recargas!$K$77*'Plan mensual'!N155+parametros_recargas!$L$77*'Plan mensual'!N156+parametros_recargas!$M$77*'Plan mensual'!N158</f>
        <v>8919.02339631102</v>
      </c>
      <c r="M131" s="26" t="n">
        <f aca="false">parametros_recargas!$E$77*'Plan mensual'!O149+parametros_recargas!$F$77*'Plan mensual'!O150+parametros_recargas!$G$77*'Plan mensual'!O151+parametros_recargas!$H$77*'Plan mensual'!O152+parametros_recargas!$I$77*'Plan mensual'!O153+parametros_recargas!$J$77*'Plan mensual'!O154+parametros_recargas!$K$77*'Plan mensual'!O155+parametros_recargas!$L$77*'Plan mensual'!O156+parametros_recargas!$M$77*'Plan mensual'!O158</f>
        <v>4327.47046391375</v>
      </c>
      <c r="N131" s="8" t="n">
        <f aca="false">SUM(B131:M131)</f>
        <v>100817.565704437</v>
      </c>
      <c r="O131" s="27" t="n">
        <f aca="false">MAX(B131:M131)</f>
        <v>10873.0803016045</v>
      </c>
      <c r="P131" s="13" t="n">
        <f aca="false">O131/parametros_recargas!$B$6</f>
        <v>72.4872020106968</v>
      </c>
    </row>
    <row r="132" customFormat="false" ht="15" hidden="false" customHeight="false" outlineLevel="0" collapsed="false">
      <c r="A132" s="10" t="str">
        <f aca="false">parametros_recargas!$B$78</f>
        <v>Descarga ABC — ruta recuperable</v>
      </c>
      <c r="B132" s="26" t="n">
        <f aca="false">parametros_recargas!$E$78*'Plan mensual'!D149+parametros_recargas!$F$78*'Plan mensual'!D150+parametros_recargas!$G$78*'Plan mensual'!D151+parametros_recargas!$H$78*'Plan mensual'!D152+parametros_recargas!$I$78*'Plan mensual'!D153+parametros_recargas!$J$78*'Plan mensual'!D154+parametros_recargas!$K$78*'Plan mensual'!D155+parametros_recargas!$L$78*'Plan mensual'!D156+parametros_recargas!$M$78*'Plan mensual'!D158</f>
        <v>2945.75113722015</v>
      </c>
      <c r="C132" s="26" t="n">
        <f aca="false">parametros_recargas!$E$78*'Plan mensual'!E149+parametros_recargas!$F$78*'Plan mensual'!E150+parametros_recargas!$G$78*'Plan mensual'!E151+parametros_recargas!$H$78*'Plan mensual'!E152+parametros_recargas!$I$78*'Plan mensual'!E153+parametros_recargas!$J$78*'Plan mensual'!E154+parametros_recargas!$K$78*'Plan mensual'!E155+parametros_recargas!$L$78*'Plan mensual'!E156+parametros_recargas!$M$78*'Plan mensual'!E158</f>
        <v>7881.66385226466</v>
      </c>
      <c r="D132" s="26" t="n">
        <f aca="false">parametros_recargas!$E$78*'Plan mensual'!F149+parametros_recargas!$F$78*'Plan mensual'!F150+parametros_recargas!$G$78*'Plan mensual'!F151+parametros_recargas!$H$78*'Plan mensual'!F152+parametros_recargas!$I$78*'Plan mensual'!F153+parametros_recargas!$J$78*'Plan mensual'!F154+parametros_recargas!$K$78*'Plan mensual'!F155+parametros_recargas!$L$78*'Plan mensual'!F156+parametros_recargas!$M$78*'Plan mensual'!F158</f>
        <v>6730.11080453415</v>
      </c>
      <c r="E132" s="26" t="n">
        <f aca="false">parametros_recargas!$E$78*'Plan mensual'!G149+parametros_recargas!$F$78*'Plan mensual'!G150+parametros_recargas!$G$78*'Plan mensual'!G151+parametros_recargas!$H$78*'Plan mensual'!G152+parametros_recargas!$I$78*'Plan mensual'!G153+parametros_recargas!$J$78*'Plan mensual'!G154+parametros_recargas!$K$78*'Plan mensual'!G155+parametros_recargas!$L$78*'Plan mensual'!G156+parametros_recargas!$M$78*'Plan mensual'!G158</f>
        <v>6759.37824660504</v>
      </c>
      <c r="F132" s="26" t="n">
        <f aca="false">parametros_recargas!$E$78*'Plan mensual'!H149+parametros_recargas!$F$78*'Plan mensual'!H150+parametros_recargas!$G$78*'Plan mensual'!H151+parametros_recargas!$H$78*'Plan mensual'!H152+parametros_recargas!$I$78*'Plan mensual'!H153+parametros_recargas!$J$78*'Plan mensual'!H154+parametros_recargas!$K$78*'Plan mensual'!H155+parametros_recargas!$L$78*'Plan mensual'!H156+parametros_recargas!$M$78*'Plan mensual'!H158</f>
        <v>6760.90608833052</v>
      </c>
      <c r="G132" s="26" t="n">
        <f aca="false">parametros_recargas!$E$78*'Plan mensual'!I149+parametros_recargas!$F$78*'Plan mensual'!I150+parametros_recargas!$G$78*'Plan mensual'!I151+parametros_recargas!$H$78*'Plan mensual'!I152+parametros_recargas!$I$78*'Plan mensual'!I153+parametros_recargas!$J$78*'Plan mensual'!I154+parametros_recargas!$K$78*'Plan mensual'!I155+parametros_recargas!$L$78*'Plan mensual'!I156+parametros_recargas!$M$78*'Plan mensual'!I158</f>
        <v>6746.99213088252</v>
      </c>
      <c r="H132" s="26" t="n">
        <f aca="false">parametros_recargas!$E$78*'Plan mensual'!J149+parametros_recargas!$F$78*'Plan mensual'!J150+parametros_recargas!$G$78*'Plan mensual'!J151+parametros_recargas!$H$78*'Plan mensual'!J152+parametros_recargas!$I$78*'Plan mensual'!J153+parametros_recargas!$J$78*'Plan mensual'!J154+parametros_recargas!$K$78*'Plan mensual'!J155+parametros_recargas!$L$78*'Plan mensual'!J156+parametros_recargas!$M$78*'Plan mensual'!J158</f>
        <v>6790.75640643541</v>
      </c>
      <c r="I132" s="26" t="n">
        <f aca="false">parametros_recargas!$E$78*'Plan mensual'!K149+parametros_recargas!$F$78*'Plan mensual'!K150+parametros_recargas!$G$78*'Plan mensual'!K151+parametros_recargas!$H$78*'Plan mensual'!K152+parametros_recargas!$I$78*'Plan mensual'!K153+parametros_recargas!$J$78*'Plan mensual'!K154+parametros_recargas!$K$78*'Plan mensual'!K155+parametros_recargas!$L$78*'Plan mensual'!K156+parametros_recargas!$M$78*'Plan mensual'!K158</f>
        <v>6757.81949478684</v>
      </c>
      <c r="J132" s="26" t="n">
        <f aca="false">parametros_recargas!$E$78*'Plan mensual'!L149+parametros_recargas!$F$78*'Plan mensual'!L150+parametros_recargas!$G$78*'Plan mensual'!L151+parametros_recargas!$H$78*'Plan mensual'!L152+parametros_recargas!$I$78*'Plan mensual'!L153+parametros_recargas!$J$78*'Plan mensual'!L154+parametros_recargas!$K$78*'Plan mensual'!L155+parametros_recargas!$L$78*'Plan mensual'!L156+parametros_recargas!$M$78*'Plan mensual'!L158</f>
        <v>6762.95498590459</v>
      </c>
      <c r="K132" s="26" t="n">
        <f aca="false">parametros_recargas!$E$78*'Plan mensual'!M149+parametros_recargas!$F$78*'Plan mensual'!M150+parametros_recargas!$G$78*'Plan mensual'!M151+parametros_recargas!$H$78*'Plan mensual'!M152+parametros_recargas!$I$78*'Plan mensual'!M153+parametros_recargas!$J$78*'Plan mensual'!M154+parametros_recargas!$K$78*'Plan mensual'!M155+parametros_recargas!$L$78*'Plan mensual'!M156+parametros_recargas!$M$78*'Plan mensual'!M158</f>
        <v>6745.97651355055</v>
      </c>
      <c r="L132" s="26" t="n">
        <f aca="false">parametros_recargas!$E$78*'Plan mensual'!N149+parametros_recargas!$F$78*'Plan mensual'!N150+parametros_recargas!$G$78*'Plan mensual'!N151+parametros_recargas!$H$78*'Plan mensual'!N152+parametros_recargas!$I$78*'Plan mensual'!N153+parametros_recargas!$J$78*'Plan mensual'!N154+parametros_recargas!$K$78*'Plan mensual'!N155+parametros_recargas!$L$78*'Plan mensual'!N156+parametros_recargas!$M$78*'Plan mensual'!N158</f>
        <v>6672.8608971037</v>
      </c>
      <c r="M132" s="26" t="n">
        <f aca="false">parametros_recargas!$E$78*'Plan mensual'!O149+parametros_recargas!$F$78*'Plan mensual'!O150+parametros_recargas!$G$78*'Plan mensual'!O151+parametros_recargas!$H$78*'Plan mensual'!O152+parametros_recargas!$I$78*'Plan mensual'!O153+parametros_recargas!$J$78*'Plan mensual'!O154+parametros_recargas!$K$78*'Plan mensual'!O155+parametros_recargas!$L$78*'Plan mensual'!O156+parametros_recargas!$M$78*'Plan mensual'!O158</f>
        <v>2747.08313990403</v>
      </c>
      <c r="N132" s="8" t="n">
        <f aca="false">SUM(B132:M132)</f>
        <v>74302.2536975221</v>
      </c>
      <c r="O132" s="27" t="n">
        <f aca="false">MAX(B132:M132)</f>
        <v>7881.66385226466</v>
      </c>
      <c r="P132" s="13" t="n">
        <f aca="false">O132/parametros_recargas!$B$6</f>
        <v>52.5444256817644</v>
      </c>
    </row>
    <row r="133" customFormat="false" ht="15" hidden="false" customHeight="false" outlineLevel="0" collapsed="false">
      <c r="A133" s="10" t="str">
        <f aca="false">parametros_recargas!$B$79</f>
        <v>Descarga ABC — ruta descarte</v>
      </c>
      <c r="B133" s="26" t="n">
        <f aca="false">parametros_recargas!$E$79*'Plan mensual'!D149+parametros_recargas!$F$79*'Plan mensual'!D150+parametros_recargas!$G$79*'Plan mensual'!D151+parametros_recargas!$H$79*'Plan mensual'!D152+parametros_recargas!$I$79*'Plan mensual'!D153+parametros_recargas!$J$79*'Plan mensual'!D154+parametros_recargas!$K$79*'Plan mensual'!D155+parametros_recargas!$L$79*'Plan mensual'!D156+parametros_recargas!$M$79*'Plan mensual'!D158</f>
        <v>327.30568191335</v>
      </c>
      <c r="C133" s="26" t="n">
        <f aca="false">parametros_recargas!$E$79*'Plan mensual'!E149+parametros_recargas!$F$79*'Plan mensual'!E150+parametros_recargas!$G$79*'Plan mensual'!E151+parametros_recargas!$H$79*'Plan mensual'!E152+parametros_recargas!$I$79*'Plan mensual'!E153+parametros_recargas!$J$79*'Plan mensual'!E154+parametros_recargas!$K$79*'Plan mensual'!E155+parametros_recargas!$L$79*'Plan mensual'!E156+parametros_recargas!$M$79*'Plan mensual'!E158</f>
        <v>875.740428029407</v>
      </c>
      <c r="D133" s="26" t="n">
        <f aca="false">parametros_recargas!$E$79*'Plan mensual'!F149+parametros_recargas!$F$79*'Plan mensual'!F150+parametros_recargas!$G$79*'Plan mensual'!F151+parametros_recargas!$H$79*'Plan mensual'!F152+parametros_recargas!$I$79*'Plan mensual'!F153+parametros_recargas!$J$79*'Plan mensual'!F154+parametros_recargas!$K$79*'Plan mensual'!F155+parametros_recargas!$L$79*'Plan mensual'!F156+parametros_recargas!$M$79*'Plan mensual'!F158</f>
        <v>747.790089392683</v>
      </c>
      <c r="E133" s="26" t="n">
        <f aca="false">parametros_recargas!$E$79*'Plan mensual'!G149+parametros_recargas!$F$79*'Plan mensual'!G150+parametros_recargas!$G$79*'Plan mensual'!G151+parametros_recargas!$H$79*'Plan mensual'!G152+parametros_recargas!$I$79*'Plan mensual'!G153+parametros_recargas!$J$79*'Plan mensual'!G154+parametros_recargas!$K$79*'Plan mensual'!G155+parametros_recargas!$L$79*'Plan mensual'!G156+parametros_recargas!$M$79*'Plan mensual'!G158</f>
        <v>751.04202740056</v>
      </c>
      <c r="F133" s="26" t="n">
        <f aca="false">parametros_recargas!$E$79*'Plan mensual'!H149+parametros_recargas!$F$79*'Plan mensual'!H150+parametros_recargas!$G$79*'Plan mensual'!H151+parametros_recargas!$H$79*'Plan mensual'!H152+parametros_recargas!$I$79*'Plan mensual'!H153+parametros_recargas!$J$79*'Plan mensual'!H154+parametros_recargas!$K$79*'Plan mensual'!H155+parametros_recargas!$L$79*'Plan mensual'!H156+parametros_recargas!$M$79*'Plan mensual'!H158</f>
        <v>751.21178759228</v>
      </c>
      <c r="G133" s="26" t="n">
        <f aca="false">parametros_recargas!$E$79*'Plan mensual'!I149+parametros_recargas!$F$79*'Plan mensual'!I150+parametros_recargas!$G$79*'Plan mensual'!I151+parametros_recargas!$H$79*'Plan mensual'!I152+parametros_recargas!$I$79*'Plan mensual'!I153+parametros_recargas!$J$79*'Plan mensual'!I154+parametros_recargas!$K$79*'Plan mensual'!I155+parametros_recargas!$L$79*'Plan mensual'!I156+parametros_recargas!$M$79*'Plan mensual'!I158</f>
        <v>749.66579232028</v>
      </c>
      <c r="H133" s="26" t="n">
        <f aca="false">parametros_recargas!$E$79*'Plan mensual'!J149+parametros_recargas!$F$79*'Plan mensual'!J150+parametros_recargas!$G$79*'Plan mensual'!J151+parametros_recargas!$H$79*'Plan mensual'!J152+parametros_recargas!$I$79*'Plan mensual'!J153+parametros_recargas!$J$79*'Plan mensual'!J154+parametros_recargas!$K$79*'Plan mensual'!J155+parametros_recargas!$L$79*'Plan mensual'!J156+parametros_recargas!$M$79*'Plan mensual'!J158</f>
        <v>754.528489603935</v>
      </c>
      <c r="I133" s="26" t="n">
        <f aca="false">parametros_recargas!$E$79*'Plan mensual'!K149+parametros_recargas!$F$79*'Plan mensual'!K150+parametros_recargas!$G$79*'Plan mensual'!K151+parametros_recargas!$H$79*'Plan mensual'!K152+parametros_recargas!$I$79*'Plan mensual'!K153+parametros_recargas!$J$79*'Plan mensual'!K154+parametros_recargas!$K$79*'Plan mensual'!K155+parametros_recargas!$L$79*'Plan mensual'!K156+parametros_recargas!$M$79*'Plan mensual'!K158</f>
        <v>750.868832754093</v>
      </c>
      <c r="J133" s="26" t="n">
        <f aca="false">parametros_recargas!$E$79*'Plan mensual'!L149+parametros_recargas!$F$79*'Plan mensual'!L150+parametros_recargas!$G$79*'Plan mensual'!L151+parametros_recargas!$H$79*'Plan mensual'!L152+parametros_recargas!$I$79*'Plan mensual'!L153+parametros_recargas!$J$79*'Plan mensual'!L154+parametros_recargas!$K$79*'Plan mensual'!L155+parametros_recargas!$L$79*'Plan mensual'!L156+parametros_recargas!$M$79*'Plan mensual'!L158</f>
        <v>751.439442878287</v>
      </c>
      <c r="K133" s="26" t="n">
        <f aca="false">parametros_recargas!$E$79*'Plan mensual'!M149+parametros_recargas!$F$79*'Plan mensual'!M150+parametros_recargas!$G$79*'Plan mensual'!M151+parametros_recargas!$H$79*'Plan mensual'!M152+parametros_recargas!$I$79*'Plan mensual'!M153+parametros_recargas!$J$79*'Plan mensual'!M154+parametros_recargas!$K$79*'Plan mensual'!M155+parametros_recargas!$L$79*'Plan mensual'!M156+parametros_recargas!$M$79*'Plan mensual'!M158</f>
        <v>749.552945950061</v>
      </c>
      <c r="L133" s="26" t="n">
        <f aca="false">parametros_recargas!$E$79*'Plan mensual'!N149+parametros_recargas!$F$79*'Plan mensual'!N150+parametros_recargas!$G$79*'Plan mensual'!N151+parametros_recargas!$H$79*'Plan mensual'!N152+parametros_recargas!$I$79*'Plan mensual'!N153+parametros_recargas!$J$79*'Plan mensual'!N154+parametros_recargas!$K$79*'Plan mensual'!N155+parametros_recargas!$L$79*'Plan mensual'!N156+parametros_recargas!$M$79*'Plan mensual'!N158</f>
        <v>741.428988567078</v>
      </c>
      <c r="M133" s="26" t="n">
        <f aca="false">parametros_recargas!$E$79*'Plan mensual'!O149+parametros_recargas!$F$79*'Plan mensual'!O150+parametros_recargas!$G$79*'Plan mensual'!O151+parametros_recargas!$H$79*'Plan mensual'!O152+parametros_recargas!$I$79*'Plan mensual'!O153+parametros_recargas!$J$79*'Plan mensual'!O154+parametros_recargas!$K$79*'Plan mensual'!O155+parametros_recargas!$L$79*'Plan mensual'!O156+parametros_recargas!$M$79*'Plan mensual'!O158</f>
        <v>305.231459989336</v>
      </c>
      <c r="N133" s="8" t="n">
        <f aca="false">SUM(B133:M133)</f>
        <v>8255.80596639135</v>
      </c>
      <c r="O133" s="27" t="n">
        <f aca="false">MAX(B133:M133)</f>
        <v>875.740428029407</v>
      </c>
      <c r="P133" s="13" t="n">
        <f aca="false">O133/parametros_recargas!$B$6</f>
        <v>5.83826952019605</v>
      </c>
    </row>
    <row r="134" customFormat="false" ht="15" hidden="false" customHeight="false" outlineLevel="0" collapsed="false">
      <c r="A134" s="10" t="str">
        <f aca="false">parametros_recargas!$B$80</f>
        <v>Descarga BC</v>
      </c>
      <c r="B134" s="26" t="n">
        <f aca="false">parametros_recargas!$E$80*'Plan mensual'!D149+parametros_recargas!$F$80*'Plan mensual'!D150+parametros_recargas!$G$80*'Plan mensual'!D151+parametros_recargas!$H$80*'Plan mensual'!D152+parametros_recargas!$I$80*'Plan mensual'!D153+parametros_recargas!$J$80*'Plan mensual'!D154+parametros_recargas!$K$80*'Plan mensual'!D155+parametros_recargas!$L$80*'Plan mensual'!D156+parametros_recargas!$M$80*'Plan mensual'!D158</f>
        <v>9.88643882641992</v>
      </c>
      <c r="C134" s="26" t="n">
        <f aca="false">parametros_recargas!$E$80*'Plan mensual'!E149+parametros_recargas!$F$80*'Plan mensual'!E150+parametros_recargas!$G$80*'Plan mensual'!E151+parametros_recargas!$H$80*'Plan mensual'!E152+parametros_recargas!$I$80*'Plan mensual'!E153+parametros_recargas!$J$80*'Plan mensual'!E154+parametros_recargas!$K$80*'Plan mensual'!E155+parametros_recargas!$L$80*'Plan mensual'!E156+parametros_recargas!$M$80*'Plan mensual'!E158</f>
        <v>9.88643882641992</v>
      </c>
      <c r="D134" s="26" t="n">
        <f aca="false">parametros_recargas!$E$80*'Plan mensual'!F149+parametros_recargas!$F$80*'Plan mensual'!F150+parametros_recargas!$G$80*'Plan mensual'!F151+parametros_recargas!$H$80*'Plan mensual'!F152+parametros_recargas!$I$80*'Plan mensual'!F153+parametros_recargas!$J$80*'Plan mensual'!F154+parametros_recargas!$K$80*'Plan mensual'!F155+parametros_recargas!$L$80*'Plan mensual'!F156+parametros_recargas!$M$80*'Plan mensual'!F158</f>
        <v>9.88643882641992</v>
      </c>
      <c r="E134" s="26" t="n">
        <f aca="false">parametros_recargas!$E$80*'Plan mensual'!G149+parametros_recargas!$F$80*'Plan mensual'!G150+parametros_recargas!$G$80*'Plan mensual'!G151+parametros_recargas!$H$80*'Plan mensual'!G152+parametros_recargas!$I$80*'Plan mensual'!G153+parametros_recargas!$J$80*'Plan mensual'!G154+parametros_recargas!$K$80*'Plan mensual'!G155+parametros_recargas!$L$80*'Plan mensual'!G156+parametros_recargas!$M$80*'Plan mensual'!G158</f>
        <v>9.88643882641992</v>
      </c>
      <c r="F134" s="26" t="n">
        <f aca="false">parametros_recargas!$E$80*'Plan mensual'!H149+parametros_recargas!$F$80*'Plan mensual'!H150+parametros_recargas!$G$80*'Plan mensual'!H151+parametros_recargas!$H$80*'Plan mensual'!H152+parametros_recargas!$I$80*'Plan mensual'!H153+parametros_recargas!$J$80*'Plan mensual'!H154+parametros_recargas!$K$80*'Plan mensual'!H155+parametros_recargas!$L$80*'Plan mensual'!H156+parametros_recargas!$M$80*'Plan mensual'!H158</f>
        <v>9.88643882641992</v>
      </c>
      <c r="G134" s="26" t="n">
        <f aca="false">parametros_recargas!$E$80*'Plan mensual'!I149+parametros_recargas!$F$80*'Plan mensual'!I150+parametros_recargas!$G$80*'Plan mensual'!I151+parametros_recargas!$H$80*'Plan mensual'!I152+parametros_recargas!$I$80*'Plan mensual'!I153+parametros_recargas!$J$80*'Plan mensual'!I154+parametros_recargas!$K$80*'Plan mensual'!I155+parametros_recargas!$L$80*'Plan mensual'!I156+parametros_recargas!$M$80*'Plan mensual'!I158</f>
        <v>9.88643882641992</v>
      </c>
      <c r="H134" s="26" t="n">
        <f aca="false">parametros_recargas!$E$80*'Plan mensual'!J149+parametros_recargas!$F$80*'Plan mensual'!J150+parametros_recargas!$G$80*'Plan mensual'!J151+parametros_recargas!$H$80*'Plan mensual'!J152+parametros_recargas!$I$80*'Plan mensual'!J153+parametros_recargas!$J$80*'Plan mensual'!J154+parametros_recargas!$K$80*'Plan mensual'!J155+parametros_recargas!$L$80*'Plan mensual'!J156+parametros_recargas!$M$80*'Plan mensual'!J158</f>
        <v>9.88643882641992</v>
      </c>
      <c r="I134" s="26" t="n">
        <f aca="false">parametros_recargas!$E$80*'Plan mensual'!K149+parametros_recargas!$F$80*'Plan mensual'!K150+parametros_recargas!$G$80*'Plan mensual'!K151+parametros_recargas!$H$80*'Plan mensual'!K152+parametros_recargas!$I$80*'Plan mensual'!K153+parametros_recargas!$J$80*'Plan mensual'!K154+parametros_recargas!$K$80*'Plan mensual'!K155+parametros_recargas!$L$80*'Plan mensual'!K156+parametros_recargas!$M$80*'Plan mensual'!K158</f>
        <v>9.88643882641992</v>
      </c>
      <c r="J134" s="26" t="n">
        <f aca="false">parametros_recargas!$E$80*'Plan mensual'!L149+parametros_recargas!$F$80*'Plan mensual'!L150+parametros_recargas!$G$80*'Plan mensual'!L151+parametros_recargas!$H$80*'Plan mensual'!L152+parametros_recargas!$I$80*'Plan mensual'!L153+parametros_recargas!$J$80*'Plan mensual'!L154+parametros_recargas!$K$80*'Plan mensual'!L155+parametros_recargas!$L$80*'Plan mensual'!L156+parametros_recargas!$M$80*'Plan mensual'!L158</f>
        <v>9.88643882641992</v>
      </c>
      <c r="K134" s="26" t="n">
        <f aca="false">parametros_recargas!$E$80*'Plan mensual'!M149+parametros_recargas!$F$80*'Plan mensual'!M150+parametros_recargas!$G$80*'Plan mensual'!M151+parametros_recargas!$H$80*'Plan mensual'!M152+parametros_recargas!$I$80*'Plan mensual'!M153+parametros_recargas!$J$80*'Plan mensual'!M154+parametros_recargas!$K$80*'Plan mensual'!M155+parametros_recargas!$L$80*'Plan mensual'!M156+parametros_recargas!$M$80*'Plan mensual'!M158</f>
        <v>9.88643882641992</v>
      </c>
      <c r="L134" s="26" t="n">
        <f aca="false">parametros_recargas!$E$80*'Plan mensual'!N149+parametros_recargas!$F$80*'Plan mensual'!N150+parametros_recargas!$G$80*'Plan mensual'!N151+parametros_recargas!$H$80*'Plan mensual'!N152+parametros_recargas!$I$80*'Plan mensual'!N153+parametros_recargas!$J$80*'Plan mensual'!N154+parametros_recargas!$K$80*'Plan mensual'!N155+parametros_recargas!$L$80*'Plan mensual'!N156+parametros_recargas!$M$80*'Plan mensual'!N158</f>
        <v>9.88643882641992</v>
      </c>
      <c r="M134" s="26" t="n">
        <f aca="false">parametros_recargas!$E$80*'Plan mensual'!O149+parametros_recargas!$F$80*'Plan mensual'!O150+parametros_recargas!$G$80*'Plan mensual'!O151+parametros_recargas!$H$80*'Plan mensual'!O152+parametros_recargas!$I$80*'Plan mensual'!O153+parametros_recargas!$J$80*'Plan mensual'!O154+parametros_recargas!$K$80*'Plan mensual'!O155+parametros_recargas!$L$80*'Plan mensual'!O156+parametros_recargas!$M$80*'Plan mensual'!O158</f>
        <v>9.88643882641992</v>
      </c>
      <c r="N134" s="8" t="n">
        <f aca="false">SUM(B134:M134)</f>
        <v>118.637265917039</v>
      </c>
      <c r="O134" s="27" t="n">
        <f aca="false">MAX(B134:M134)</f>
        <v>9.88643882641992</v>
      </c>
      <c r="P134" s="13" t="n">
        <f aca="false">O134/parametros_recargas!$B$6</f>
        <v>0.0659095921761328</v>
      </c>
    </row>
    <row r="135" customFormat="false" ht="15" hidden="false" customHeight="false" outlineLevel="0" collapsed="false">
      <c r="A135" s="10" t="str">
        <f aca="false">parametros_recargas!$B$81</f>
        <v>Descarga de agua / AFFF / sales K</v>
      </c>
      <c r="B135" s="26" t="n">
        <f aca="false">parametros_recargas!$E$81*'Plan mensual'!D149+parametros_recargas!$F$81*'Plan mensual'!D150+parametros_recargas!$G$81*'Plan mensual'!D151+parametros_recargas!$H$81*'Plan mensual'!D152+parametros_recargas!$I$81*'Plan mensual'!D153+parametros_recargas!$J$81*'Plan mensual'!D154+parametros_recargas!$K$81*'Plan mensual'!D155+parametros_recargas!$L$81*'Plan mensual'!D156+parametros_recargas!$M$81*'Plan mensual'!D158</f>
        <v>398.807415557223</v>
      </c>
      <c r="C135" s="26" t="n">
        <f aca="false">parametros_recargas!$E$81*'Plan mensual'!E149+parametros_recargas!$F$81*'Plan mensual'!E150+parametros_recargas!$G$81*'Plan mensual'!E151+parametros_recargas!$H$81*'Plan mensual'!E152+parametros_recargas!$I$81*'Plan mensual'!E153+parametros_recargas!$J$81*'Plan mensual'!E154+parametros_recargas!$K$81*'Plan mensual'!E155+parametros_recargas!$L$81*'Plan mensual'!E156+parametros_recargas!$M$81*'Plan mensual'!E158</f>
        <v>561.416349275236</v>
      </c>
      <c r="D135" s="26" t="n">
        <f aca="false">parametros_recargas!$E$81*'Plan mensual'!F149+parametros_recargas!$F$81*'Plan mensual'!F150+parametros_recargas!$G$81*'Plan mensual'!F151+parametros_recargas!$H$81*'Plan mensual'!F152+parametros_recargas!$I$81*'Plan mensual'!F153+parametros_recargas!$J$81*'Plan mensual'!F154+parametros_recargas!$K$81*'Plan mensual'!F155+parametros_recargas!$L$81*'Plan mensual'!F156+parametros_recargas!$M$81*'Plan mensual'!F158</f>
        <v>398.807415557223</v>
      </c>
      <c r="E135" s="26" t="n">
        <f aca="false">parametros_recargas!$E$81*'Plan mensual'!G149+parametros_recargas!$F$81*'Plan mensual'!G150+parametros_recargas!$G$81*'Plan mensual'!G151+parametros_recargas!$H$81*'Plan mensual'!G152+parametros_recargas!$I$81*'Plan mensual'!G153+parametros_recargas!$J$81*'Plan mensual'!G154+parametros_recargas!$K$81*'Plan mensual'!G155+parametros_recargas!$L$81*'Plan mensual'!G156+parametros_recargas!$M$81*'Plan mensual'!G158</f>
        <v>398.807415557223</v>
      </c>
      <c r="F135" s="26" t="n">
        <f aca="false">parametros_recargas!$E$81*'Plan mensual'!H149+parametros_recargas!$F$81*'Plan mensual'!H150+parametros_recargas!$G$81*'Plan mensual'!H151+parametros_recargas!$H$81*'Plan mensual'!H152+parametros_recargas!$I$81*'Plan mensual'!H153+parametros_recargas!$J$81*'Plan mensual'!H154+parametros_recargas!$K$81*'Plan mensual'!H155+parametros_recargas!$L$81*'Plan mensual'!H156+parametros_recargas!$M$81*'Plan mensual'!H158</f>
        <v>398.807415557223</v>
      </c>
      <c r="G135" s="26" t="n">
        <f aca="false">parametros_recargas!$E$81*'Plan mensual'!I149+parametros_recargas!$F$81*'Plan mensual'!I150+parametros_recargas!$G$81*'Plan mensual'!I151+parametros_recargas!$H$81*'Plan mensual'!I152+parametros_recargas!$I$81*'Plan mensual'!I153+parametros_recargas!$J$81*'Plan mensual'!I154+parametros_recargas!$K$81*'Plan mensual'!I155+parametros_recargas!$L$81*'Plan mensual'!I156+parametros_recargas!$M$81*'Plan mensual'!I158</f>
        <v>398.807415557223</v>
      </c>
      <c r="H135" s="26" t="n">
        <f aca="false">parametros_recargas!$E$81*'Plan mensual'!J149+parametros_recargas!$F$81*'Plan mensual'!J150+parametros_recargas!$G$81*'Plan mensual'!J151+parametros_recargas!$H$81*'Plan mensual'!J152+parametros_recargas!$I$81*'Plan mensual'!J153+parametros_recargas!$J$81*'Plan mensual'!J154+parametros_recargas!$K$81*'Plan mensual'!J155+parametros_recargas!$L$81*'Plan mensual'!J156+parametros_recargas!$M$81*'Plan mensual'!J158</f>
        <v>398.807415557223</v>
      </c>
      <c r="I135" s="26" t="n">
        <f aca="false">parametros_recargas!$E$81*'Plan mensual'!K149+parametros_recargas!$F$81*'Plan mensual'!K150+parametros_recargas!$G$81*'Plan mensual'!K151+parametros_recargas!$H$81*'Plan mensual'!K152+parametros_recargas!$I$81*'Plan mensual'!K153+parametros_recargas!$J$81*'Plan mensual'!K154+parametros_recargas!$K$81*'Plan mensual'!K155+parametros_recargas!$L$81*'Plan mensual'!K156+parametros_recargas!$M$81*'Plan mensual'!K158</f>
        <v>398.807415557223</v>
      </c>
      <c r="J135" s="26" t="n">
        <f aca="false">parametros_recargas!$E$81*'Plan mensual'!L149+parametros_recargas!$F$81*'Plan mensual'!L150+parametros_recargas!$G$81*'Plan mensual'!L151+parametros_recargas!$H$81*'Plan mensual'!L152+parametros_recargas!$I$81*'Plan mensual'!L153+parametros_recargas!$J$81*'Plan mensual'!L154+parametros_recargas!$K$81*'Plan mensual'!L155+parametros_recargas!$L$81*'Plan mensual'!L156+parametros_recargas!$M$81*'Plan mensual'!L158</f>
        <v>398.807415557223</v>
      </c>
      <c r="K135" s="26" t="n">
        <f aca="false">parametros_recargas!$E$81*'Plan mensual'!M149+parametros_recargas!$F$81*'Plan mensual'!M150+parametros_recargas!$G$81*'Plan mensual'!M151+parametros_recargas!$H$81*'Plan mensual'!M152+parametros_recargas!$I$81*'Plan mensual'!M153+parametros_recargas!$J$81*'Plan mensual'!M154+parametros_recargas!$K$81*'Plan mensual'!M155+parametros_recargas!$L$81*'Plan mensual'!M156+parametros_recargas!$M$81*'Plan mensual'!M158</f>
        <v>398.807415557223</v>
      </c>
      <c r="L135" s="26" t="n">
        <f aca="false">parametros_recargas!$E$81*'Plan mensual'!N149+parametros_recargas!$F$81*'Plan mensual'!N150+parametros_recargas!$G$81*'Plan mensual'!N151+parametros_recargas!$H$81*'Plan mensual'!N152+parametros_recargas!$I$81*'Plan mensual'!N153+parametros_recargas!$J$81*'Plan mensual'!N154+parametros_recargas!$K$81*'Plan mensual'!N155+parametros_recargas!$L$81*'Plan mensual'!N156+parametros_recargas!$M$81*'Plan mensual'!N158</f>
        <v>398.807415557223</v>
      </c>
      <c r="M135" s="26" t="n">
        <f aca="false">parametros_recargas!$E$81*'Plan mensual'!O149+parametros_recargas!$F$81*'Plan mensual'!O150+parametros_recargas!$G$81*'Plan mensual'!O151+parametros_recargas!$H$81*'Plan mensual'!O152+parametros_recargas!$I$81*'Plan mensual'!O153+parametros_recargas!$J$81*'Plan mensual'!O154+parametros_recargas!$K$81*'Plan mensual'!O155+parametros_recargas!$L$81*'Plan mensual'!O156+parametros_recargas!$M$81*'Plan mensual'!O158</f>
        <v>398.807415557223</v>
      </c>
      <c r="N135" s="8" t="n">
        <f aca="false">SUM(B135:M135)</f>
        <v>4948.29792040469</v>
      </c>
      <c r="O135" s="27" t="n">
        <f aca="false">MAX(B135:M135)</f>
        <v>561.416349275236</v>
      </c>
      <c r="P135" s="13" t="n">
        <f aca="false">O135/parametros_recargas!$B$6</f>
        <v>3.7427756618349</v>
      </c>
    </row>
    <row r="136" customFormat="false" ht="15" hidden="false" customHeight="false" outlineLevel="0" collapsed="false">
      <c r="A136" s="10" t="str">
        <f aca="false">parametros_recargas!$B$82</f>
        <v>Recuperación de CO₂</v>
      </c>
      <c r="B136" s="26" t="n">
        <f aca="false">parametros_recargas!$E$82*'Plan mensual'!D149+parametros_recargas!$F$82*'Plan mensual'!D150+parametros_recargas!$G$82*'Plan mensual'!D151+parametros_recargas!$H$82*'Plan mensual'!D152+parametros_recargas!$I$82*'Plan mensual'!D153+parametros_recargas!$J$82*'Plan mensual'!D154+parametros_recargas!$K$82*'Plan mensual'!D155+parametros_recargas!$L$82*'Plan mensual'!D156+parametros_recargas!$M$82*'Plan mensual'!D158</f>
        <v>194.256655819452</v>
      </c>
      <c r="C136" s="26" t="n">
        <f aca="false">parametros_recargas!$E$82*'Plan mensual'!E149+parametros_recargas!$F$82*'Plan mensual'!E150+parametros_recargas!$G$82*'Plan mensual'!E151+parametros_recargas!$H$82*'Plan mensual'!E152+parametros_recargas!$I$82*'Plan mensual'!E153+parametros_recargas!$J$82*'Plan mensual'!E154+parametros_recargas!$K$82*'Plan mensual'!E155+parametros_recargas!$L$82*'Plan mensual'!E156+parametros_recargas!$M$82*'Plan mensual'!E158</f>
        <v>304.982150036561</v>
      </c>
      <c r="D136" s="26" t="n">
        <f aca="false">parametros_recargas!$E$82*'Plan mensual'!F149+parametros_recargas!$F$82*'Plan mensual'!F150+parametros_recargas!$G$82*'Plan mensual'!F151+parametros_recargas!$H$82*'Plan mensual'!F152+parametros_recargas!$I$82*'Plan mensual'!F153+parametros_recargas!$J$82*'Plan mensual'!F154+parametros_recargas!$K$82*'Plan mensual'!F155+parametros_recargas!$L$82*'Plan mensual'!F156+parametros_recargas!$M$82*'Plan mensual'!F158</f>
        <v>194.256655819452</v>
      </c>
      <c r="E136" s="26" t="n">
        <f aca="false">parametros_recargas!$E$82*'Plan mensual'!G149+parametros_recargas!$F$82*'Plan mensual'!G150+parametros_recargas!$G$82*'Plan mensual'!G151+parametros_recargas!$H$82*'Plan mensual'!G152+parametros_recargas!$I$82*'Plan mensual'!G153+parametros_recargas!$J$82*'Plan mensual'!G154+parametros_recargas!$K$82*'Plan mensual'!G155+parametros_recargas!$L$82*'Plan mensual'!G156+parametros_recargas!$M$82*'Plan mensual'!G158</f>
        <v>194.256655819452</v>
      </c>
      <c r="F136" s="26" t="n">
        <f aca="false">parametros_recargas!$E$82*'Plan mensual'!H149+parametros_recargas!$F$82*'Plan mensual'!H150+parametros_recargas!$G$82*'Plan mensual'!H151+parametros_recargas!$H$82*'Plan mensual'!H152+parametros_recargas!$I$82*'Plan mensual'!H153+parametros_recargas!$J$82*'Plan mensual'!H154+parametros_recargas!$K$82*'Plan mensual'!H155+parametros_recargas!$L$82*'Plan mensual'!H156+parametros_recargas!$M$82*'Plan mensual'!H158</f>
        <v>194.256655819452</v>
      </c>
      <c r="G136" s="26" t="n">
        <f aca="false">parametros_recargas!$E$82*'Plan mensual'!I149+parametros_recargas!$F$82*'Plan mensual'!I150+parametros_recargas!$G$82*'Plan mensual'!I151+parametros_recargas!$H$82*'Plan mensual'!I152+parametros_recargas!$I$82*'Plan mensual'!I153+parametros_recargas!$J$82*'Plan mensual'!I154+parametros_recargas!$K$82*'Plan mensual'!I155+parametros_recargas!$L$82*'Plan mensual'!I156+parametros_recargas!$M$82*'Plan mensual'!I158</f>
        <v>194.256655819452</v>
      </c>
      <c r="H136" s="26" t="n">
        <f aca="false">parametros_recargas!$E$82*'Plan mensual'!J149+parametros_recargas!$F$82*'Plan mensual'!J150+parametros_recargas!$G$82*'Plan mensual'!J151+parametros_recargas!$H$82*'Plan mensual'!J152+parametros_recargas!$I$82*'Plan mensual'!J153+parametros_recargas!$J$82*'Plan mensual'!J154+parametros_recargas!$K$82*'Plan mensual'!J155+parametros_recargas!$L$82*'Plan mensual'!J156+parametros_recargas!$M$82*'Plan mensual'!J158</f>
        <v>194.256655819452</v>
      </c>
      <c r="I136" s="26" t="n">
        <f aca="false">parametros_recargas!$E$82*'Plan mensual'!K149+parametros_recargas!$F$82*'Plan mensual'!K150+parametros_recargas!$G$82*'Plan mensual'!K151+parametros_recargas!$H$82*'Plan mensual'!K152+parametros_recargas!$I$82*'Plan mensual'!K153+parametros_recargas!$J$82*'Plan mensual'!K154+parametros_recargas!$K$82*'Plan mensual'!K155+parametros_recargas!$L$82*'Plan mensual'!K156+parametros_recargas!$M$82*'Plan mensual'!K158</f>
        <v>194.256655819452</v>
      </c>
      <c r="J136" s="26" t="n">
        <f aca="false">parametros_recargas!$E$82*'Plan mensual'!L149+parametros_recargas!$F$82*'Plan mensual'!L150+parametros_recargas!$G$82*'Plan mensual'!L151+parametros_recargas!$H$82*'Plan mensual'!L152+parametros_recargas!$I$82*'Plan mensual'!L153+parametros_recargas!$J$82*'Plan mensual'!L154+parametros_recargas!$K$82*'Plan mensual'!L155+parametros_recargas!$L$82*'Plan mensual'!L156+parametros_recargas!$M$82*'Plan mensual'!L158</f>
        <v>194.256655819452</v>
      </c>
      <c r="K136" s="26" t="n">
        <f aca="false">parametros_recargas!$E$82*'Plan mensual'!M149+parametros_recargas!$F$82*'Plan mensual'!M150+parametros_recargas!$G$82*'Plan mensual'!M151+parametros_recargas!$H$82*'Plan mensual'!M152+parametros_recargas!$I$82*'Plan mensual'!M153+parametros_recargas!$J$82*'Plan mensual'!M154+parametros_recargas!$K$82*'Plan mensual'!M155+parametros_recargas!$L$82*'Plan mensual'!M156+parametros_recargas!$M$82*'Plan mensual'!M158</f>
        <v>194.256655819452</v>
      </c>
      <c r="L136" s="26" t="n">
        <f aca="false">parametros_recargas!$E$82*'Plan mensual'!N149+parametros_recargas!$F$82*'Plan mensual'!N150+parametros_recargas!$G$82*'Plan mensual'!N151+parametros_recargas!$H$82*'Plan mensual'!N152+parametros_recargas!$I$82*'Plan mensual'!N153+parametros_recargas!$J$82*'Plan mensual'!N154+parametros_recargas!$K$82*'Plan mensual'!N155+parametros_recargas!$L$82*'Plan mensual'!N156+parametros_recargas!$M$82*'Plan mensual'!N158</f>
        <v>194.256655819452</v>
      </c>
      <c r="M136" s="26" t="n">
        <f aca="false">parametros_recargas!$E$82*'Plan mensual'!O149+parametros_recargas!$F$82*'Plan mensual'!O150+parametros_recargas!$G$82*'Plan mensual'!O151+parametros_recargas!$H$82*'Plan mensual'!O152+parametros_recargas!$I$82*'Plan mensual'!O153+parametros_recargas!$J$82*'Plan mensual'!O154+parametros_recargas!$K$82*'Plan mensual'!O155+parametros_recargas!$L$82*'Plan mensual'!O156+parametros_recargas!$M$82*'Plan mensual'!O158</f>
        <v>194.256655819452</v>
      </c>
      <c r="N136" s="8" t="n">
        <f aca="false">SUM(B136:M136)</f>
        <v>2441.80536405053</v>
      </c>
      <c r="O136" s="27" t="n">
        <f aca="false">MAX(B136:M136)</f>
        <v>304.982150036561</v>
      </c>
      <c r="P136" s="13" t="n">
        <f aca="false">O136/parametros_recargas!$B$6</f>
        <v>2.03321433357708</v>
      </c>
    </row>
    <row r="137" customFormat="false" ht="15" hidden="false" customHeight="false" outlineLevel="0" collapsed="false">
      <c r="A137" s="10" t="str">
        <f aca="false">parametros_recargas!$B$83</f>
        <v>Recuperación de halogenado</v>
      </c>
      <c r="B137" s="26" t="n">
        <f aca="false">parametros_recargas!$E$83*'Plan mensual'!D149+parametros_recargas!$F$83*'Plan mensual'!D150+parametros_recargas!$G$83*'Plan mensual'!D151+parametros_recargas!$H$83*'Plan mensual'!D152+parametros_recargas!$I$83*'Plan mensual'!D153+parametros_recargas!$J$83*'Plan mensual'!D154+parametros_recargas!$K$83*'Plan mensual'!D155+parametros_recargas!$L$83*'Plan mensual'!D156+parametros_recargas!$M$83*'Plan mensual'!D158</f>
        <v>9.46679735027531</v>
      </c>
      <c r="C137" s="26" t="n">
        <f aca="false">parametros_recargas!$E$83*'Plan mensual'!E149+parametros_recargas!$F$83*'Plan mensual'!E150+parametros_recargas!$G$83*'Plan mensual'!E151+parametros_recargas!$H$83*'Plan mensual'!E152+parametros_recargas!$I$83*'Plan mensual'!E153+parametros_recargas!$J$83*'Plan mensual'!E154+parametros_recargas!$K$83*'Plan mensual'!E155+parametros_recargas!$L$83*'Plan mensual'!E156+parametros_recargas!$M$83*'Plan mensual'!E158</f>
        <v>9.46679735027531</v>
      </c>
      <c r="D137" s="26" t="n">
        <f aca="false">parametros_recargas!$E$83*'Plan mensual'!F149+parametros_recargas!$F$83*'Plan mensual'!F150+parametros_recargas!$G$83*'Plan mensual'!F151+parametros_recargas!$H$83*'Plan mensual'!F152+parametros_recargas!$I$83*'Plan mensual'!F153+parametros_recargas!$J$83*'Plan mensual'!F154+parametros_recargas!$K$83*'Plan mensual'!F155+parametros_recargas!$L$83*'Plan mensual'!F156+parametros_recargas!$M$83*'Plan mensual'!F158</f>
        <v>9.46679735027531</v>
      </c>
      <c r="E137" s="26" t="n">
        <f aca="false">parametros_recargas!$E$83*'Plan mensual'!G149+parametros_recargas!$F$83*'Plan mensual'!G150+parametros_recargas!$G$83*'Plan mensual'!G151+parametros_recargas!$H$83*'Plan mensual'!G152+parametros_recargas!$I$83*'Plan mensual'!G153+parametros_recargas!$J$83*'Plan mensual'!G154+parametros_recargas!$K$83*'Plan mensual'!G155+parametros_recargas!$L$83*'Plan mensual'!G156+parametros_recargas!$M$83*'Plan mensual'!G158</f>
        <v>9.46679735027531</v>
      </c>
      <c r="F137" s="26" t="n">
        <f aca="false">parametros_recargas!$E$83*'Plan mensual'!H149+parametros_recargas!$F$83*'Plan mensual'!H150+parametros_recargas!$G$83*'Plan mensual'!H151+parametros_recargas!$H$83*'Plan mensual'!H152+parametros_recargas!$I$83*'Plan mensual'!H153+parametros_recargas!$J$83*'Plan mensual'!H154+parametros_recargas!$K$83*'Plan mensual'!H155+parametros_recargas!$L$83*'Plan mensual'!H156+parametros_recargas!$M$83*'Plan mensual'!H158</f>
        <v>9.46679735027531</v>
      </c>
      <c r="G137" s="26" t="n">
        <f aca="false">parametros_recargas!$E$83*'Plan mensual'!I149+parametros_recargas!$F$83*'Plan mensual'!I150+parametros_recargas!$G$83*'Plan mensual'!I151+parametros_recargas!$H$83*'Plan mensual'!I152+parametros_recargas!$I$83*'Plan mensual'!I153+parametros_recargas!$J$83*'Plan mensual'!I154+parametros_recargas!$K$83*'Plan mensual'!I155+parametros_recargas!$L$83*'Plan mensual'!I156+parametros_recargas!$M$83*'Plan mensual'!I158</f>
        <v>9.46679735027531</v>
      </c>
      <c r="H137" s="26" t="n">
        <f aca="false">parametros_recargas!$E$83*'Plan mensual'!J149+parametros_recargas!$F$83*'Plan mensual'!J150+parametros_recargas!$G$83*'Plan mensual'!J151+parametros_recargas!$H$83*'Plan mensual'!J152+parametros_recargas!$I$83*'Plan mensual'!J153+parametros_recargas!$J$83*'Plan mensual'!J154+parametros_recargas!$K$83*'Plan mensual'!J155+parametros_recargas!$L$83*'Plan mensual'!J156+parametros_recargas!$M$83*'Plan mensual'!J158</f>
        <v>9.46679735027531</v>
      </c>
      <c r="I137" s="26" t="n">
        <f aca="false">parametros_recargas!$E$83*'Plan mensual'!K149+parametros_recargas!$F$83*'Plan mensual'!K150+parametros_recargas!$G$83*'Plan mensual'!K151+parametros_recargas!$H$83*'Plan mensual'!K152+parametros_recargas!$I$83*'Plan mensual'!K153+parametros_recargas!$J$83*'Plan mensual'!K154+parametros_recargas!$K$83*'Plan mensual'!K155+parametros_recargas!$L$83*'Plan mensual'!K156+parametros_recargas!$M$83*'Plan mensual'!K158</f>
        <v>9.46679735027531</v>
      </c>
      <c r="J137" s="26" t="n">
        <f aca="false">parametros_recargas!$E$83*'Plan mensual'!L149+parametros_recargas!$F$83*'Plan mensual'!L150+parametros_recargas!$G$83*'Plan mensual'!L151+parametros_recargas!$H$83*'Plan mensual'!L152+parametros_recargas!$I$83*'Plan mensual'!L153+parametros_recargas!$J$83*'Plan mensual'!L154+parametros_recargas!$K$83*'Plan mensual'!L155+parametros_recargas!$L$83*'Plan mensual'!L156+parametros_recargas!$M$83*'Plan mensual'!L158</f>
        <v>9.46679735027531</v>
      </c>
      <c r="K137" s="26" t="n">
        <f aca="false">parametros_recargas!$E$83*'Plan mensual'!M149+parametros_recargas!$F$83*'Plan mensual'!M150+parametros_recargas!$G$83*'Plan mensual'!M151+parametros_recargas!$H$83*'Plan mensual'!M152+parametros_recargas!$I$83*'Plan mensual'!M153+parametros_recargas!$J$83*'Plan mensual'!M154+parametros_recargas!$K$83*'Plan mensual'!M155+parametros_recargas!$L$83*'Plan mensual'!M156+parametros_recargas!$M$83*'Plan mensual'!M158</f>
        <v>9.46679735027531</v>
      </c>
      <c r="L137" s="26" t="n">
        <f aca="false">parametros_recargas!$E$83*'Plan mensual'!N149+parametros_recargas!$F$83*'Plan mensual'!N150+parametros_recargas!$G$83*'Plan mensual'!N151+parametros_recargas!$H$83*'Plan mensual'!N152+parametros_recargas!$I$83*'Plan mensual'!N153+parametros_recargas!$J$83*'Plan mensual'!N154+parametros_recargas!$K$83*'Plan mensual'!N155+parametros_recargas!$L$83*'Plan mensual'!N156+parametros_recargas!$M$83*'Plan mensual'!N158</f>
        <v>9.46679735027531</v>
      </c>
      <c r="M137" s="26" t="n">
        <f aca="false">parametros_recargas!$E$83*'Plan mensual'!O149+parametros_recargas!$F$83*'Plan mensual'!O150+parametros_recargas!$G$83*'Plan mensual'!O151+parametros_recargas!$H$83*'Plan mensual'!O152+parametros_recargas!$I$83*'Plan mensual'!O153+parametros_recargas!$J$83*'Plan mensual'!O154+parametros_recargas!$K$83*'Plan mensual'!O155+parametros_recargas!$L$83*'Plan mensual'!O156+parametros_recargas!$M$83*'Plan mensual'!O158</f>
        <v>9.46679735027531</v>
      </c>
      <c r="N137" s="8" t="n">
        <f aca="false">SUM(B137:M137)</f>
        <v>113.601568203304</v>
      </c>
      <c r="O137" s="27" t="n">
        <f aca="false">MAX(B137:M137)</f>
        <v>9.46679735027531</v>
      </c>
      <c r="P137" s="13" t="n">
        <f aca="false">O137/parametros_recargas!$B$6</f>
        <v>0.0631119823351687</v>
      </c>
    </row>
    <row r="138" customFormat="false" ht="15" hidden="false" customHeight="false" outlineLevel="0" collapsed="false">
      <c r="A138" s="10" t="str">
        <f aca="false">parametros_recargas!$B$84</f>
        <v>Desarme y limpieza — recinto</v>
      </c>
      <c r="B138" s="26" t="n">
        <f aca="false">parametros_recargas!$E$84*'Plan mensual'!D149+parametros_recargas!$F$84*'Plan mensual'!D150+parametros_recargas!$G$84*'Plan mensual'!D151+parametros_recargas!$H$84*'Plan mensual'!D152+parametros_recargas!$I$84*'Plan mensual'!D153+parametros_recargas!$J$84*'Plan mensual'!D154+parametros_recargas!$K$84*'Plan mensual'!D155+parametros_recargas!$L$84*'Plan mensual'!D156+parametros_recargas!$M$84*'Plan mensual'!D158</f>
        <v>3465.46323666472</v>
      </c>
      <c r="C138" s="26" t="n">
        <f aca="false">parametros_recargas!$E$84*'Plan mensual'!E149+parametros_recargas!$F$84*'Plan mensual'!E150+parametros_recargas!$G$84*'Plan mensual'!E151+parametros_recargas!$H$84*'Plan mensual'!E152+parametros_recargas!$I$84*'Plan mensual'!E153+parametros_recargas!$J$84*'Plan mensual'!E154+parametros_recargas!$K$84*'Plan mensual'!E155+parametros_recargas!$L$84*'Plan mensual'!E156+parametros_recargas!$M$84*'Plan mensual'!E158</f>
        <v>9238.46056420216</v>
      </c>
      <c r="D138" s="26" t="n">
        <f aca="false">parametros_recargas!$E$84*'Plan mensual'!F149+parametros_recargas!$F$84*'Plan mensual'!F150+parametros_recargas!$G$84*'Plan mensual'!F151+parametros_recargas!$H$84*'Plan mensual'!F152+parametros_recargas!$I$84*'Plan mensual'!F153+parametros_recargas!$J$84*'Plan mensual'!F154+parametros_recargas!$K$84*'Plan mensual'!F155+parametros_recargas!$L$84*'Plan mensual'!F156+parametros_recargas!$M$84*'Plan mensual'!F158</f>
        <v>7891.61489434191</v>
      </c>
      <c r="E138" s="26" t="n">
        <f aca="false">parametros_recargas!$E$84*'Plan mensual'!G149+parametros_recargas!$F$84*'Plan mensual'!G150+parametros_recargas!$G$84*'Plan mensual'!G151+parametros_recargas!$H$84*'Plan mensual'!G152+parametros_recargas!$I$84*'Plan mensual'!G153+parametros_recargas!$J$84*'Plan mensual'!G154+parametros_recargas!$K$84*'Plan mensual'!G155+parametros_recargas!$L$84*'Plan mensual'!G156+parametros_recargas!$M$84*'Plan mensual'!G158</f>
        <v>7925.84582074061</v>
      </c>
      <c r="F138" s="26" t="n">
        <f aca="false">parametros_recargas!$E$84*'Plan mensual'!H149+parametros_recargas!$F$84*'Plan mensual'!H150+parametros_recargas!$G$84*'Plan mensual'!H151+parametros_recargas!$H$84*'Plan mensual'!H152+parametros_recargas!$I$84*'Plan mensual'!H153+parametros_recargas!$J$84*'Plan mensual'!H154+parametros_recargas!$K$84*'Plan mensual'!H155+parametros_recargas!$L$84*'Plan mensual'!H156+parametros_recargas!$M$84*'Plan mensual'!H158</f>
        <v>7927.63277012715</v>
      </c>
      <c r="G138" s="26" t="n">
        <f aca="false">parametros_recargas!$E$84*'Plan mensual'!I149+parametros_recargas!$F$84*'Plan mensual'!I150+parametros_recargas!$G$84*'Plan mensual'!I151+parametros_recargas!$H$84*'Plan mensual'!I152+parametros_recargas!$I$84*'Plan mensual'!I153+parametros_recargas!$J$84*'Plan mensual'!I154+parametros_recargas!$K$84*'Plan mensual'!I155+parametros_recargas!$L$84*'Plan mensual'!I156+parametros_recargas!$M$84*'Plan mensual'!I158</f>
        <v>7911.35913568504</v>
      </c>
      <c r="H138" s="26" t="n">
        <f aca="false">parametros_recargas!$E$84*'Plan mensual'!J149+parametros_recargas!$F$84*'Plan mensual'!J150+parametros_recargas!$G$84*'Plan mensual'!J151+parametros_recargas!$H$84*'Plan mensual'!J152+parametros_recargas!$I$84*'Plan mensual'!J153+parametros_recargas!$J$84*'Plan mensual'!J154+parametros_recargas!$K$84*'Plan mensual'!J155+parametros_recargas!$L$84*'Plan mensual'!J156+parametros_recargas!$M$84*'Plan mensual'!J158</f>
        <v>7962.5454228814</v>
      </c>
      <c r="I138" s="26" t="n">
        <f aca="false">parametros_recargas!$E$84*'Plan mensual'!K149+parametros_recargas!$F$84*'Plan mensual'!K150+parametros_recargas!$G$84*'Plan mensual'!K151+parametros_recargas!$H$84*'Plan mensual'!K152+parametros_recargas!$I$84*'Plan mensual'!K153+parametros_recargas!$J$84*'Plan mensual'!K154+parametros_recargas!$K$84*'Plan mensual'!K155+parametros_recargas!$L$84*'Plan mensual'!K156+parametros_recargas!$M$84*'Plan mensual'!K158</f>
        <v>7924.02271919886</v>
      </c>
      <c r="J138" s="26" t="n">
        <f aca="false">parametros_recargas!$E$84*'Plan mensual'!L149+parametros_recargas!$F$84*'Plan mensual'!L150+parametros_recargas!$G$84*'Plan mensual'!L151+parametros_recargas!$H$84*'Plan mensual'!L152+parametros_recargas!$I$84*'Plan mensual'!L153+parametros_recargas!$J$84*'Plan mensual'!L154+parametros_recargas!$K$84*'Plan mensual'!L155+parametros_recargas!$L$84*'Plan mensual'!L156+parametros_recargas!$M$84*'Plan mensual'!L158</f>
        <v>7930.0291415588</v>
      </c>
      <c r="K138" s="26" t="n">
        <f aca="false">parametros_recargas!$E$84*'Plan mensual'!M149+parametros_recargas!$F$84*'Plan mensual'!M150+parametros_recargas!$G$84*'Plan mensual'!M151+parametros_recargas!$H$84*'Plan mensual'!M152+parametros_recargas!$I$84*'Plan mensual'!M153+parametros_recargas!$J$84*'Plan mensual'!M154+parametros_recargas!$K$84*'Plan mensual'!M155+parametros_recargas!$L$84*'Plan mensual'!M156+parametros_recargas!$M$84*'Plan mensual'!M158</f>
        <v>7910.17127915642</v>
      </c>
      <c r="L138" s="26" t="n">
        <f aca="false">parametros_recargas!$E$84*'Plan mensual'!N149+parametros_recargas!$F$84*'Plan mensual'!N150+parametros_recargas!$G$84*'Plan mensual'!N151+parametros_recargas!$H$84*'Plan mensual'!N152+parametros_recargas!$I$84*'Plan mensual'!N153+parametros_recargas!$J$84*'Plan mensual'!N154+parametros_recargas!$K$84*'Plan mensual'!N155+parametros_recargas!$L$84*'Plan mensual'!N156+parametros_recargas!$M$84*'Plan mensual'!N158</f>
        <v>7824.65593828291</v>
      </c>
      <c r="M138" s="26" t="n">
        <f aca="false">parametros_recargas!$E$84*'Plan mensual'!O149+parametros_recargas!$F$84*'Plan mensual'!O150+parametros_recargas!$G$84*'Plan mensual'!O151+parametros_recargas!$H$84*'Plan mensual'!O152+parametros_recargas!$I$84*'Plan mensual'!O153+parametros_recargas!$J$84*'Plan mensual'!O154+parametros_recargas!$K$84*'Plan mensual'!O155+parametros_recargas!$L$84*'Plan mensual'!O156+parametros_recargas!$M$84*'Plan mensual'!O158</f>
        <v>3233.10300588563</v>
      </c>
      <c r="N138" s="8" t="n">
        <f aca="false">SUM(B138:M138)</f>
        <v>87144.9039287256</v>
      </c>
      <c r="O138" s="27" t="n">
        <f aca="false">MAX(B138:M138)</f>
        <v>9238.46056420216</v>
      </c>
      <c r="P138" s="13" t="n">
        <f aca="false">O138/parametros_recargas!$B$6</f>
        <v>61.5897370946811</v>
      </c>
    </row>
    <row r="139" customFormat="false" ht="15" hidden="false" customHeight="false" outlineLevel="0" collapsed="false">
      <c r="A139" s="10" t="str">
        <f aca="false">parametros_recargas!$B$85</f>
        <v>Desarme e inspección interior — zona general</v>
      </c>
      <c r="B139" s="26" t="n">
        <f aca="false">parametros_recargas!$E$85*'Plan mensual'!D149+parametros_recargas!$F$85*'Plan mensual'!D150+parametros_recargas!$G$85*'Plan mensual'!D151+parametros_recargas!$H$85*'Plan mensual'!D152+parametros_recargas!$I$85*'Plan mensual'!D153+parametros_recargas!$J$85*'Plan mensual'!D154+parametros_recargas!$K$85*'Plan mensual'!D155+parametros_recargas!$L$85*'Plan mensual'!D156+parametros_recargas!$M$85*'Plan mensual'!D158</f>
        <v>623.520732703646</v>
      </c>
      <c r="C139" s="26" t="n">
        <f aca="false">parametros_recargas!$E$85*'Plan mensual'!E149+parametros_recargas!$F$85*'Plan mensual'!E150+parametros_recargas!$G$85*'Plan mensual'!E151+parametros_recargas!$H$85*'Plan mensual'!E152+parametros_recargas!$I$85*'Plan mensual'!E153+parametros_recargas!$J$85*'Plan mensual'!E154+parametros_recargas!$K$85*'Plan mensual'!E155+parametros_recargas!$L$85*'Plan mensual'!E156+parametros_recargas!$M$85*'Plan mensual'!E158</f>
        <v>905.413525571295</v>
      </c>
      <c r="D139" s="26" t="n">
        <f aca="false">parametros_recargas!$E$85*'Plan mensual'!F149+parametros_recargas!$F$85*'Plan mensual'!F150+parametros_recargas!$G$85*'Plan mensual'!F151+parametros_recargas!$H$85*'Plan mensual'!F152+parametros_recargas!$I$85*'Plan mensual'!F153+parametros_recargas!$J$85*'Plan mensual'!F154+parametros_recargas!$K$85*'Plan mensual'!F155+parametros_recargas!$L$85*'Plan mensual'!F156+parametros_recargas!$M$85*'Plan mensual'!F158</f>
        <v>623.520732703646</v>
      </c>
      <c r="E139" s="26" t="n">
        <f aca="false">parametros_recargas!$E$85*'Plan mensual'!G149+parametros_recargas!$F$85*'Plan mensual'!G150+parametros_recargas!$G$85*'Plan mensual'!G151+parametros_recargas!$H$85*'Plan mensual'!G152+parametros_recargas!$I$85*'Plan mensual'!G153+parametros_recargas!$J$85*'Plan mensual'!G154+parametros_recargas!$K$85*'Plan mensual'!G155+parametros_recargas!$L$85*'Plan mensual'!G156+parametros_recargas!$M$85*'Plan mensual'!G158</f>
        <v>623.520732703646</v>
      </c>
      <c r="F139" s="26" t="n">
        <f aca="false">parametros_recargas!$E$85*'Plan mensual'!H149+parametros_recargas!$F$85*'Plan mensual'!H150+parametros_recargas!$G$85*'Plan mensual'!H151+parametros_recargas!$H$85*'Plan mensual'!H152+parametros_recargas!$I$85*'Plan mensual'!H153+parametros_recargas!$J$85*'Plan mensual'!H154+parametros_recargas!$K$85*'Plan mensual'!H155+parametros_recargas!$L$85*'Plan mensual'!H156+parametros_recargas!$M$85*'Plan mensual'!H158</f>
        <v>623.520732703646</v>
      </c>
      <c r="G139" s="26" t="n">
        <f aca="false">parametros_recargas!$E$85*'Plan mensual'!I149+parametros_recargas!$F$85*'Plan mensual'!I150+parametros_recargas!$G$85*'Plan mensual'!I151+parametros_recargas!$H$85*'Plan mensual'!I152+parametros_recargas!$I$85*'Plan mensual'!I153+parametros_recargas!$J$85*'Plan mensual'!I154+parametros_recargas!$K$85*'Plan mensual'!I155+parametros_recargas!$L$85*'Plan mensual'!I156+parametros_recargas!$M$85*'Plan mensual'!I158</f>
        <v>623.520732703646</v>
      </c>
      <c r="H139" s="26" t="n">
        <f aca="false">parametros_recargas!$E$85*'Plan mensual'!J149+parametros_recargas!$F$85*'Plan mensual'!J150+parametros_recargas!$G$85*'Plan mensual'!J151+parametros_recargas!$H$85*'Plan mensual'!J152+parametros_recargas!$I$85*'Plan mensual'!J153+parametros_recargas!$J$85*'Plan mensual'!J154+parametros_recargas!$K$85*'Plan mensual'!J155+parametros_recargas!$L$85*'Plan mensual'!J156+parametros_recargas!$M$85*'Plan mensual'!J158</f>
        <v>623.520732703646</v>
      </c>
      <c r="I139" s="26" t="n">
        <f aca="false">parametros_recargas!$E$85*'Plan mensual'!K149+parametros_recargas!$F$85*'Plan mensual'!K150+parametros_recargas!$G$85*'Plan mensual'!K151+parametros_recargas!$H$85*'Plan mensual'!K152+parametros_recargas!$I$85*'Plan mensual'!K153+parametros_recargas!$J$85*'Plan mensual'!K154+parametros_recargas!$K$85*'Plan mensual'!K155+parametros_recargas!$L$85*'Plan mensual'!K156+parametros_recargas!$M$85*'Plan mensual'!K158</f>
        <v>623.520732703646</v>
      </c>
      <c r="J139" s="26" t="n">
        <f aca="false">parametros_recargas!$E$85*'Plan mensual'!L149+parametros_recargas!$F$85*'Plan mensual'!L150+parametros_recargas!$G$85*'Plan mensual'!L151+parametros_recargas!$H$85*'Plan mensual'!L152+parametros_recargas!$I$85*'Plan mensual'!L153+parametros_recargas!$J$85*'Plan mensual'!L154+parametros_recargas!$K$85*'Plan mensual'!L155+parametros_recargas!$L$85*'Plan mensual'!L156+parametros_recargas!$M$85*'Plan mensual'!L158</f>
        <v>623.520732703646</v>
      </c>
      <c r="K139" s="26" t="n">
        <f aca="false">parametros_recargas!$E$85*'Plan mensual'!M149+parametros_recargas!$F$85*'Plan mensual'!M150+parametros_recargas!$G$85*'Plan mensual'!M151+parametros_recargas!$H$85*'Plan mensual'!M152+parametros_recargas!$I$85*'Plan mensual'!M153+parametros_recargas!$J$85*'Plan mensual'!M154+parametros_recargas!$K$85*'Plan mensual'!M155+parametros_recargas!$L$85*'Plan mensual'!M156+parametros_recargas!$M$85*'Plan mensual'!M158</f>
        <v>623.520732703646</v>
      </c>
      <c r="L139" s="26" t="n">
        <f aca="false">parametros_recargas!$E$85*'Plan mensual'!N149+parametros_recargas!$F$85*'Plan mensual'!N150+parametros_recargas!$G$85*'Plan mensual'!N151+parametros_recargas!$H$85*'Plan mensual'!N152+parametros_recargas!$I$85*'Plan mensual'!N153+parametros_recargas!$J$85*'Plan mensual'!N154+parametros_recargas!$K$85*'Plan mensual'!N155+parametros_recargas!$L$85*'Plan mensual'!N156+parametros_recargas!$M$85*'Plan mensual'!N158</f>
        <v>623.520732703646</v>
      </c>
      <c r="M139" s="26" t="n">
        <f aca="false">parametros_recargas!$E$85*'Plan mensual'!O149+parametros_recargas!$F$85*'Plan mensual'!O150+parametros_recargas!$G$85*'Plan mensual'!O151+parametros_recargas!$H$85*'Plan mensual'!O152+parametros_recargas!$I$85*'Plan mensual'!O153+parametros_recargas!$J$85*'Plan mensual'!O154+parametros_recargas!$K$85*'Plan mensual'!O155+parametros_recargas!$L$85*'Plan mensual'!O156+parametros_recargas!$M$85*'Plan mensual'!O158</f>
        <v>623.520732703646</v>
      </c>
      <c r="N139" s="8" t="n">
        <f aca="false">SUM(B139:M139)</f>
        <v>7764.1415853114</v>
      </c>
      <c r="O139" s="27" t="n">
        <f aca="false">MAX(B139:M139)</f>
        <v>905.413525571295</v>
      </c>
      <c r="P139" s="13" t="n">
        <f aca="false">O139/parametros_recargas!$B$6</f>
        <v>6.0360901704753</v>
      </c>
    </row>
    <row r="140" customFormat="false" ht="15" hidden="false" customHeight="false" outlineLevel="0" collapsed="false">
      <c r="A140" s="10" t="str">
        <f aca="false">parametros_recargas!$B$86</f>
        <v>Laboratorio — Puffer y mufla</v>
      </c>
      <c r="B140" s="26" t="n">
        <f aca="false">parametros_recargas!$E$86*'Plan mensual'!D149+parametros_recargas!$F$86*'Plan mensual'!D150+parametros_recargas!$G$86*'Plan mensual'!D151+parametros_recargas!$H$86*'Plan mensual'!D152+parametros_recargas!$I$86*'Plan mensual'!D153+parametros_recargas!$J$86*'Plan mensual'!D154+parametros_recargas!$K$86*'Plan mensual'!D155+parametros_recargas!$L$86*'Plan mensual'!D156+parametros_recargas!$M$86*'Plan mensual'!D158</f>
        <v>4.60018198536146</v>
      </c>
      <c r="C140" s="26" t="n">
        <f aca="false">parametros_recargas!$E$86*'Plan mensual'!E149+parametros_recargas!$F$86*'Plan mensual'!E150+parametros_recargas!$G$86*'Plan mensual'!E151+parametros_recargas!$H$86*'Plan mensual'!E152+parametros_recargas!$I$86*'Plan mensual'!E153+parametros_recargas!$J$86*'Plan mensual'!E154+parametros_recargas!$K$86*'Plan mensual'!E155+parametros_recargas!$L$86*'Plan mensual'!E156+parametros_recargas!$M$86*'Plan mensual'!E158</f>
        <v>12.3082658306559</v>
      </c>
      <c r="D140" s="26" t="n">
        <f aca="false">parametros_recargas!$E$86*'Plan mensual'!F149+parametros_recargas!$F$86*'Plan mensual'!F150+parametros_recargas!$G$86*'Plan mensual'!F151+parametros_recargas!$H$86*'Plan mensual'!F152+parametros_recargas!$I$86*'Plan mensual'!F153+parametros_recargas!$J$86*'Plan mensual'!F154+parametros_recargas!$K$86*'Plan mensual'!F155+parametros_recargas!$L$86*'Plan mensual'!F156+parametros_recargas!$M$86*'Plan mensual'!F158</f>
        <v>10.5099626683742</v>
      </c>
      <c r="E140" s="26" t="n">
        <f aca="false">parametros_recargas!$E$86*'Plan mensual'!G149+parametros_recargas!$F$86*'Plan mensual'!G150+parametros_recargas!$G$86*'Plan mensual'!G151+parametros_recargas!$H$86*'Plan mensual'!G152+parametros_recargas!$I$86*'Plan mensual'!G153+parametros_recargas!$J$86*'Plan mensual'!G154+parametros_recargas!$K$86*'Plan mensual'!G155+parametros_recargas!$L$86*'Plan mensual'!G156+parametros_recargas!$M$86*'Plan mensual'!G158</f>
        <v>10.5556676697475</v>
      </c>
      <c r="F140" s="26" t="n">
        <f aca="false">parametros_recargas!$E$86*'Plan mensual'!H149+parametros_recargas!$F$86*'Plan mensual'!H150+parametros_recargas!$G$86*'Plan mensual'!H151+parametros_recargas!$H$86*'Plan mensual'!H152+parametros_recargas!$I$86*'Plan mensual'!H153+parametros_recargas!$J$86*'Plan mensual'!H154+parametros_recargas!$K$86*'Plan mensual'!H155+parametros_recargas!$L$86*'Plan mensual'!H156+parametros_recargas!$M$86*'Plan mensual'!H158</f>
        <v>10.5580535977009</v>
      </c>
      <c r="G140" s="26" t="n">
        <f aca="false">parametros_recargas!$E$86*'Plan mensual'!I149+parametros_recargas!$F$86*'Plan mensual'!I150+parametros_recargas!$G$86*'Plan mensual'!I151+parametros_recargas!$H$86*'Plan mensual'!I152+parametros_recargas!$I$86*'Plan mensual'!I153+parametros_recargas!$J$86*'Plan mensual'!I154+parametros_recargas!$K$86*'Plan mensual'!I155+parametros_recargas!$L$86*'Plan mensual'!I156+parametros_recargas!$M$86*'Plan mensual'!I158</f>
        <v>10.5363251035356</v>
      </c>
      <c r="H140" s="26" t="n">
        <f aca="false">parametros_recargas!$E$86*'Plan mensual'!J149+parametros_recargas!$F$86*'Plan mensual'!J150+parametros_recargas!$G$86*'Plan mensual'!J151+parametros_recargas!$H$86*'Plan mensual'!J152+parametros_recargas!$I$86*'Plan mensual'!J153+parametros_recargas!$J$86*'Plan mensual'!J154+parametros_recargas!$K$86*'Plan mensual'!J155+parametros_recargas!$L$86*'Plan mensual'!J156+parametros_recargas!$M$86*'Plan mensual'!J158</f>
        <v>10.6046688374842</v>
      </c>
      <c r="I140" s="26" t="n">
        <f aca="false">parametros_recargas!$E$86*'Plan mensual'!K149+parametros_recargas!$F$86*'Plan mensual'!K150+parametros_recargas!$G$86*'Plan mensual'!K151+parametros_recargas!$H$86*'Plan mensual'!K152+parametros_recargas!$I$86*'Plan mensual'!K153+parametros_recargas!$J$86*'Plan mensual'!K154+parametros_recargas!$K$86*'Plan mensual'!K155+parametros_recargas!$L$86*'Plan mensual'!K156+parametros_recargas!$M$86*'Plan mensual'!K158</f>
        <v>10.5532334715754</v>
      </c>
      <c r="J140" s="26" t="n">
        <f aca="false">parametros_recargas!$E$86*'Plan mensual'!L149+parametros_recargas!$F$86*'Plan mensual'!L150+parametros_recargas!$G$86*'Plan mensual'!L151+parametros_recargas!$H$86*'Plan mensual'!L152+parametros_recargas!$I$86*'Plan mensual'!L153+parametros_recargas!$J$86*'Plan mensual'!L154+parametros_recargas!$K$86*'Plan mensual'!L155+parametros_recargas!$L$86*'Plan mensual'!L156+parametros_recargas!$M$86*'Plan mensual'!L158</f>
        <v>10.5612532236268</v>
      </c>
      <c r="K140" s="26" t="n">
        <f aca="false">parametros_recargas!$E$86*'Plan mensual'!M149+parametros_recargas!$F$86*'Plan mensual'!M150+parametros_recargas!$G$86*'Plan mensual'!M151+parametros_recargas!$H$86*'Plan mensual'!M152+parametros_recargas!$I$86*'Plan mensual'!M153+parametros_recargas!$J$86*'Plan mensual'!M154+parametros_recargas!$K$86*'Plan mensual'!M155+parametros_recargas!$L$86*'Plan mensual'!M156+parametros_recargas!$M$86*'Plan mensual'!M158</f>
        <v>10.5347390820637</v>
      </c>
      <c r="L140" s="26" t="n">
        <f aca="false">parametros_recargas!$E$86*'Plan mensual'!N149+parametros_recargas!$F$86*'Plan mensual'!N150+parametros_recargas!$G$86*'Plan mensual'!N151+parametros_recargas!$H$86*'Plan mensual'!N152+parametros_recargas!$I$86*'Plan mensual'!N153+parametros_recargas!$J$86*'Plan mensual'!N154+parametros_recargas!$K$86*'Plan mensual'!N155+parametros_recargas!$L$86*'Plan mensual'!N156+parametros_recargas!$M$86*'Plan mensual'!N158</f>
        <v>10.4205593275768</v>
      </c>
      <c r="M140" s="26" t="n">
        <f aca="false">parametros_recargas!$E$86*'Plan mensual'!O149+parametros_recargas!$F$86*'Plan mensual'!O150+parametros_recargas!$G$86*'Plan mensual'!O151+parametros_recargas!$H$86*'Plan mensual'!O152+parametros_recargas!$I$86*'Plan mensual'!O153+parametros_recargas!$J$86*'Plan mensual'!O154+parametros_recargas!$K$86*'Plan mensual'!O155+parametros_recargas!$L$86*'Plan mensual'!O156+parametros_recargas!$M$86*'Plan mensual'!O158</f>
        <v>4.28993549821798</v>
      </c>
      <c r="N140" s="8" t="n">
        <f aca="false">SUM(B140:M140)</f>
        <v>116.03284629592</v>
      </c>
      <c r="O140" s="27" t="n">
        <f aca="false">MAX(B140:M140)</f>
        <v>12.3082658306559</v>
      </c>
      <c r="P140" s="13" t="n">
        <f aca="false">O140/parametros_recargas!$B$6</f>
        <v>0.0820551055377059</v>
      </c>
    </row>
    <row r="141" customFormat="false" ht="15" hidden="false" customHeight="false" outlineLevel="0" collapsed="false">
      <c r="A141" s="10" t="str">
        <f aca="false">parametros_recargas!$B$87</f>
        <v>Prueba hidráulica</v>
      </c>
      <c r="B141" s="26" t="n">
        <f aca="false">parametros_recargas!$E$87*'Plan mensual'!D149+parametros_recargas!$F$87*'Plan mensual'!D150+parametros_recargas!$G$87*'Plan mensual'!D151+parametros_recargas!$H$87*'Plan mensual'!D152+parametros_recargas!$I$87*'Plan mensual'!D153+parametros_recargas!$J$87*'Plan mensual'!D154+parametros_recargas!$K$87*'Plan mensual'!D155+parametros_recargas!$L$87*'Plan mensual'!D156+parametros_recargas!$M$87*'Plan mensual'!D158</f>
        <v>1265.89685753338</v>
      </c>
      <c r="C141" s="26" t="n">
        <f aca="false">parametros_recargas!$E$87*'Plan mensual'!E149+parametros_recargas!$F$87*'Plan mensual'!E150+parametros_recargas!$G$87*'Plan mensual'!E151+parametros_recargas!$H$87*'Plan mensual'!E152+parametros_recargas!$I$87*'Plan mensual'!E153+parametros_recargas!$J$87*'Plan mensual'!E154+parametros_recargas!$K$87*'Plan mensual'!E155+parametros_recargas!$L$87*'Plan mensual'!E156+parametros_recargas!$M$87*'Plan mensual'!E158</f>
        <v>2895.55944885647</v>
      </c>
      <c r="D141" s="26" t="n">
        <f aca="false">parametros_recargas!$E$87*'Plan mensual'!F149+parametros_recargas!$F$87*'Plan mensual'!F150+parametros_recargas!$G$87*'Plan mensual'!F151+parametros_recargas!$H$87*'Plan mensual'!F152+parametros_recargas!$I$87*'Plan mensual'!F153+parametros_recargas!$J$87*'Plan mensual'!F154+parametros_recargas!$K$87*'Plan mensual'!F155+parametros_recargas!$L$87*'Plan mensual'!F156+parametros_recargas!$M$87*'Plan mensual'!F158</f>
        <v>2372.43477195268</v>
      </c>
      <c r="E141" s="26" t="n">
        <f aca="false">parametros_recargas!$E$87*'Plan mensual'!G149+parametros_recargas!$F$87*'Plan mensual'!G150+parametros_recargas!$G$87*'Plan mensual'!G151+parametros_recargas!$H$87*'Plan mensual'!G152+parametros_recargas!$I$87*'Plan mensual'!G153+parametros_recargas!$J$87*'Plan mensual'!G154+parametros_recargas!$K$87*'Plan mensual'!G155+parametros_recargas!$L$87*'Plan mensual'!G156+parametros_recargas!$M$87*'Plan mensual'!G158</f>
        <v>2380.99250355236</v>
      </c>
      <c r="F141" s="26" t="n">
        <f aca="false">parametros_recargas!$E$87*'Plan mensual'!H149+parametros_recargas!$F$87*'Plan mensual'!H150+parametros_recargas!$G$87*'Plan mensual'!H151+parametros_recargas!$H$87*'Plan mensual'!H152+parametros_recargas!$I$87*'Plan mensual'!H153+parametros_recargas!$J$87*'Plan mensual'!H154+parametros_recargas!$K$87*'Plan mensual'!H155+parametros_recargas!$L$87*'Plan mensual'!H156+parametros_recargas!$M$87*'Plan mensual'!H158</f>
        <v>2381.43924089899</v>
      </c>
      <c r="G141" s="26" t="n">
        <f aca="false">parametros_recargas!$E$87*'Plan mensual'!I149+parametros_recargas!$F$87*'Plan mensual'!I150+parametros_recargas!$G$87*'Plan mensual'!I151+parametros_recargas!$H$87*'Plan mensual'!I152+parametros_recargas!$I$87*'Plan mensual'!I153+parametros_recargas!$J$87*'Plan mensual'!I154+parametros_recargas!$K$87*'Plan mensual'!I155+parametros_recargas!$L$87*'Plan mensual'!I156+parametros_recargas!$M$87*'Plan mensual'!I158</f>
        <v>2377.37083228846</v>
      </c>
      <c r="H141" s="26" t="n">
        <f aca="false">parametros_recargas!$E$87*'Plan mensual'!J149+parametros_recargas!$F$87*'Plan mensual'!J150+parametros_recargas!$G$87*'Plan mensual'!J151+parametros_recargas!$H$87*'Plan mensual'!J152+parametros_recargas!$I$87*'Plan mensual'!J153+parametros_recargas!$J$87*'Plan mensual'!J154+parametros_recargas!$K$87*'Plan mensual'!J155+parametros_recargas!$L$87*'Plan mensual'!J156+parametros_recargas!$M$87*'Plan mensual'!J158</f>
        <v>2390.16740408756</v>
      </c>
      <c r="I141" s="26" t="n">
        <f aca="false">parametros_recargas!$E$87*'Plan mensual'!K149+parametros_recargas!$F$87*'Plan mensual'!K150+parametros_recargas!$G$87*'Plan mensual'!K151+parametros_recargas!$H$87*'Plan mensual'!K152+parametros_recargas!$I$87*'Plan mensual'!K153+parametros_recargas!$J$87*'Plan mensual'!K154+parametros_recargas!$K$87*'Plan mensual'!K155+parametros_recargas!$L$87*'Plan mensual'!K156+parametros_recargas!$M$87*'Plan mensual'!K158</f>
        <v>2380.53672816692</v>
      </c>
      <c r="J141" s="26" t="n">
        <f aca="false">parametros_recargas!$E$87*'Plan mensual'!L149+parametros_recargas!$F$87*'Plan mensual'!L150+parametros_recargas!$G$87*'Plan mensual'!L151+parametros_recargas!$H$87*'Plan mensual'!L152+parametros_recargas!$I$87*'Plan mensual'!L153+parametros_recargas!$J$87*'Plan mensual'!L154+parametros_recargas!$K$87*'Plan mensual'!L155+parametros_recargas!$L$87*'Plan mensual'!L156+parametros_recargas!$M$87*'Plan mensual'!L158</f>
        <v>2382.0383337569</v>
      </c>
      <c r="K141" s="26" t="n">
        <f aca="false">parametros_recargas!$E$87*'Plan mensual'!M149+parametros_recargas!$F$87*'Plan mensual'!M150+parametros_recargas!$G$87*'Plan mensual'!M151+parametros_recargas!$H$87*'Plan mensual'!M152+parametros_recargas!$I$87*'Plan mensual'!M153+parametros_recargas!$J$87*'Plan mensual'!M154+parametros_recargas!$K$87*'Plan mensual'!M155+parametros_recargas!$L$87*'Plan mensual'!M156+parametros_recargas!$M$87*'Plan mensual'!M158</f>
        <v>2377.07386815631</v>
      </c>
      <c r="L141" s="26" t="n">
        <f aca="false">parametros_recargas!$E$87*'Plan mensual'!N149+parametros_recargas!$F$87*'Plan mensual'!N150+parametros_recargas!$G$87*'Plan mensual'!N151+parametros_recargas!$H$87*'Plan mensual'!N152+parametros_recargas!$I$87*'Plan mensual'!N153+parametros_recargas!$J$87*'Plan mensual'!N154+parametros_recargas!$K$87*'Plan mensual'!N155+parametros_recargas!$L$87*'Plan mensual'!N156+parametros_recargas!$M$87*'Plan mensual'!N158</f>
        <v>2355.69503293793</v>
      </c>
      <c r="M141" s="26" t="n">
        <f aca="false">parametros_recargas!$E$87*'Plan mensual'!O149+parametros_recargas!$F$87*'Plan mensual'!O150+parametros_recargas!$G$87*'Plan mensual'!O151+parametros_recargas!$H$87*'Plan mensual'!O152+parametros_recargas!$I$87*'Plan mensual'!O153+parametros_recargas!$J$87*'Plan mensual'!O154+parametros_recargas!$K$87*'Plan mensual'!O155+parametros_recargas!$L$87*'Plan mensual'!O156+parametros_recargas!$M$87*'Plan mensual'!O158</f>
        <v>1207.80679983861</v>
      </c>
      <c r="N141" s="8" t="n">
        <f aca="false">SUM(B141:M141)</f>
        <v>26767.0118220266</v>
      </c>
      <c r="O141" s="27" t="n">
        <f aca="false">MAX(B141:M141)</f>
        <v>2895.55944885647</v>
      </c>
      <c r="P141" s="13" t="n">
        <f aca="false">O141/parametros_recargas!$B$6</f>
        <v>19.3037296590431</v>
      </c>
    </row>
    <row r="142" customFormat="false" ht="15" hidden="false" customHeight="false" outlineLevel="0" collapsed="false">
      <c r="A142" s="10" t="str">
        <f aca="false">parametros_recargas!$B$88</f>
        <v>Secado</v>
      </c>
      <c r="B142" s="26" t="n">
        <f aca="false">parametros_recargas!$E$88*'Plan mensual'!D149+parametros_recargas!$F$88*'Plan mensual'!D150+parametros_recargas!$G$88*'Plan mensual'!D151+parametros_recargas!$H$88*'Plan mensual'!D152+parametros_recargas!$I$88*'Plan mensual'!D153+parametros_recargas!$J$88*'Plan mensual'!D154+parametros_recargas!$K$88*'Plan mensual'!D155+parametros_recargas!$L$88*'Plan mensual'!D156+parametros_recargas!$M$88*'Plan mensual'!D158</f>
        <v>1069.66298615638</v>
      </c>
      <c r="C142" s="26" t="n">
        <f aca="false">parametros_recargas!$E$88*'Plan mensual'!E149+parametros_recargas!$F$88*'Plan mensual'!E150+parametros_recargas!$G$88*'Plan mensual'!E151+parametros_recargas!$H$88*'Plan mensual'!E152+parametros_recargas!$I$88*'Plan mensual'!E153+parametros_recargas!$J$88*'Plan mensual'!E154+parametros_recargas!$K$88*'Plan mensual'!E155+parametros_recargas!$L$88*'Plan mensual'!E156+parametros_recargas!$M$88*'Plan mensual'!E158</f>
        <v>2662.91353649704</v>
      </c>
      <c r="D142" s="26" t="n">
        <f aca="false">parametros_recargas!$E$88*'Plan mensual'!F149+parametros_recargas!$F$88*'Plan mensual'!F150+parametros_recargas!$G$88*'Plan mensual'!F151+parametros_recargas!$H$88*'Plan mensual'!F152+parametros_recargas!$I$88*'Plan mensual'!F153+parametros_recargas!$J$88*'Plan mensual'!F154+parametros_recargas!$K$88*'Plan mensual'!F155+parametros_recargas!$L$88*'Plan mensual'!F156+parametros_recargas!$M$88*'Plan mensual'!F158</f>
        <v>2220.46241715245</v>
      </c>
      <c r="E142" s="26" t="n">
        <f aca="false">parametros_recargas!$E$88*'Plan mensual'!G149+parametros_recargas!$F$88*'Plan mensual'!G150+parametros_recargas!$G$88*'Plan mensual'!G151+parametros_recargas!$H$88*'Plan mensual'!G152+parametros_recargas!$I$88*'Plan mensual'!G153+parametros_recargas!$J$88*'Plan mensual'!G154+parametros_recargas!$K$88*'Plan mensual'!G155+parametros_recargas!$L$88*'Plan mensual'!G156+parametros_recargas!$M$88*'Plan mensual'!G158</f>
        <v>2229.36245801611</v>
      </c>
      <c r="F142" s="26" t="n">
        <f aca="false">parametros_recargas!$E$88*'Plan mensual'!H149+parametros_recargas!$F$88*'Plan mensual'!H150+parametros_recargas!$G$88*'Plan mensual'!H151+parametros_recargas!$H$88*'Plan mensual'!H152+parametros_recargas!$I$88*'Plan mensual'!H153+parametros_recargas!$J$88*'Plan mensual'!H154+parametros_recargas!$K$88*'Plan mensual'!H155+parametros_recargas!$L$88*'Plan mensual'!H156+parametros_recargas!$M$88*'Plan mensual'!H158</f>
        <v>2229.82706485661</v>
      </c>
      <c r="G142" s="26" t="n">
        <f aca="false">parametros_recargas!$E$88*'Plan mensual'!I149+parametros_recargas!$F$88*'Plan mensual'!I150+parametros_recargas!$G$88*'Plan mensual'!I151+parametros_recargas!$H$88*'Plan mensual'!I152+parametros_recargas!$I$88*'Plan mensual'!I153+parametros_recargas!$J$88*'Plan mensual'!I154+parametros_recargas!$K$88*'Plan mensual'!I155+parametros_recargas!$L$88*'Plan mensual'!I156+parametros_recargas!$M$88*'Plan mensual'!I158</f>
        <v>2225.59591990166</v>
      </c>
      <c r="H142" s="26" t="n">
        <f aca="false">parametros_recargas!$E$88*'Plan mensual'!J149+parametros_recargas!$F$88*'Plan mensual'!J150+parametros_recargas!$G$88*'Plan mensual'!J151+parametros_recargas!$H$88*'Plan mensual'!J152+parametros_recargas!$I$88*'Plan mensual'!J153+parametros_recargas!$J$88*'Plan mensual'!J154+parametros_recargas!$K$88*'Plan mensual'!J155+parametros_recargas!$L$88*'Plan mensual'!J156+parametros_recargas!$M$88*'Plan mensual'!J158</f>
        <v>2238.90435457271</v>
      </c>
      <c r="I142" s="26" t="n">
        <f aca="false">parametros_recargas!$E$88*'Plan mensual'!K149+parametros_recargas!$F$88*'Plan mensual'!K150+parametros_recargas!$G$88*'Plan mensual'!K151+parametros_recargas!$H$88*'Plan mensual'!K152+parametros_recargas!$I$88*'Plan mensual'!K153+parametros_recargas!$J$88*'Plan mensual'!K154+parametros_recargas!$K$88*'Plan mensual'!K155+parametros_recargas!$L$88*'Plan mensual'!K156+parametros_recargas!$M$88*'Plan mensual'!K158</f>
        <v>2228.88845161525</v>
      </c>
      <c r="J142" s="26" t="n">
        <f aca="false">parametros_recargas!$E$88*'Plan mensual'!L149+parametros_recargas!$F$88*'Plan mensual'!L150+parametros_recargas!$G$88*'Plan mensual'!L151+parametros_recargas!$H$88*'Plan mensual'!L152+parametros_recargas!$I$88*'Plan mensual'!L153+parametros_recargas!$J$88*'Plan mensual'!L154+parametros_recargas!$K$88*'Plan mensual'!L155+parametros_recargas!$L$88*'Plan mensual'!L156+parametros_recargas!$M$88*'Plan mensual'!L158</f>
        <v>2230.45012142884</v>
      </c>
      <c r="K142" s="26" t="n">
        <f aca="false">parametros_recargas!$E$88*'Plan mensual'!M149+parametros_recargas!$F$88*'Plan mensual'!M150+parametros_recargas!$G$88*'Plan mensual'!M151+parametros_recargas!$H$88*'Plan mensual'!M152+parametros_recargas!$I$88*'Plan mensual'!M153+parametros_recargas!$J$88*'Plan mensual'!M154+parametros_recargas!$K$88*'Plan mensual'!M155+parametros_recargas!$L$88*'Plan mensual'!M156+parametros_recargas!$M$88*'Plan mensual'!M158</f>
        <v>2225.28707720422</v>
      </c>
      <c r="L142" s="26" t="n">
        <f aca="false">parametros_recargas!$E$88*'Plan mensual'!N149+parametros_recargas!$F$88*'Plan mensual'!N150+parametros_recargas!$G$88*'Plan mensual'!N151+parametros_recargas!$H$88*'Plan mensual'!N152+parametros_recargas!$I$88*'Plan mensual'!N153+parametros_recargas!$J$88*'Plan mensual'!N154+parametros_recargas!$K$88*'Plan mensual'!N155+parametros_recargas!$L$88*'Plan mensual'!N156+parametros_recargas!$M$88*'Plan mensual'!N158</f>
        <v>2203.0530885771</v>
      </c>
      <c r="M142" s="26" t="n">
        <f aca="false">parametros_recargas!$E$88*'Plan mensual'!O149+parametros_recargas!$F$88*'Plan mensual'!O150+parametros_recargas!$G$88*'Plan mensual'!O151+parametros_recargas!$H$88*'Plan mensual'!O152+parametros_recargas!$I$88*'Plan mensual'!O153+parametros_recargas!$J$88*'Plan mensual'!O154+parametros_recargas!$K$88*'Plan mensual'!O155+parametros_recargas!$L$88*'Plan mensual'!O156+parametros_recargas!$M$88*'Plan mensual'!O158</f>
        <v>1009.24932615381</v>
      </c>
      <c r="N142" s="8" t="n">
        <f aca="false">SUM(B142:M142)</f>
        <v>24773.6568021322</v>
      </c>
      <c r="O142" s="27" t="n">
        <f aca="false">MAX(B142:M142)</f>
        <v>2662.91353649704</v>
      </c>
      <c r="P142" s="13" t="n">
        <f aca="false">O142/parametros_recargas!$B$6</f>
        <v>17.7527569099802</v>
      </c>
    </row>
    <row r="143" customFormat="false" ht="15" hidden="false" customHeight="false" outlineLevel="0" collapsed="false">
      <c r="A143" s="10" t="str">
        <f aca="false">parametros_recargas!$B$89</f>
        <v>Inspección interior con videoscopio</v>
      </c>
      <c r="B143" s="26" t="n">
        <f aca="false">parametros_recargas!$E$89*'Plan mensual'!D149+parametros_recargas!$F$89*'Plan mensual'!D150+parametros_recargas!$G$89*'Plan mensual'!D151+parametros_recargas!$H$89*'Plan mensual'!D152+parametros_recargas!$I$89*'Plan mensual'!D153+parametros_recargas!$J$89*'Plan mensual'!D154+parametros_recargas!$K$89*'Plan mensual'!D155+parametros_recargas!$L$89*'Plan mensual'!D156+parametros_recargas!$M$89*'Plan mensual'!D158</f>
        <v>1069.66298615638</v>
      </c>
      <c r="C143" s="26" t="n">
        <f aca="false">parametros_recargas!$E$89*'Plan mensual'!E149+parametros_recargas!$F$89*'Plan mensual'!E150+parametros_recargas!$G$89*'Plan mensual'!E151+parametros_recargas!$H$89*'Plan mensual'!E152+parametros_recargas!$I$89*'Plan mensual'!E153+parametros_recargas!$J$89*'Plan mensual'!E154+parametros_recargas!$K$89*'Plan mensual'!E155+parametros_recargas!$L$89*'Plan mensual'!E156+parametros_recargas!$M$89*'Plan mensual'!E158</f>
        <v>2662.91353649704</v>
      </c>
      <c r="D143" s="26" t="n">
        <f aca="false">parametros_recargas!$E$89*'Plan mensual'!F149+parametros_recargas!$F$89*'Plan mensual'!F150+parametros_recargas!$G$89*'Plan mensual'!F151+parametros_recargas!$H$89*'Plan mensual'!F152+parametros_recargas!$I$89*'Plan mensual'!F153+parametros_recargas!$J$89*'Plan mensual'!F154+parametros_recargas!$K$89*'Plan mensual'!F155+parametros_recargas!$L$89*'Plan mensual'!F156+parametros_recargas!$M$89*'Plan mensual'!F158</f>
        <v>2220.46241715245</v>
      </c>
      <c r="E143" s="26" t="n">
        <f aca="false">parametros_recargas!$E$89*'Plan mensual'!G149+parametros_recargas!$F$89*'Plan mensual'!G150+parametros_recargas!$G$89*'Plan mensual'!G151+parametros_recargas!$H$89*'Plan mensual'!G152+parametros_recargas!$I$89*'Plan mensual'!G153+parametros_recargas!$J$89*'Plan mensual'!G154+parametros_recargas!$K$89*'Plan mensual'!G155+parametros_recargas!$L$89*'Plan mensual'!G156+parametros_recargas!$M$89*'Plan mensual'!G158</f>
        <v>2229.36245801611</v>
      </c>
      <c r="F143" s="26" t="n">
        <f aca="false">parametros_recargas!$E$89*'Plan mensual'!H149+parametros_recargas!$F$89*'Plan mensual'!H150+parametros_recargas!$G$89*'Plan mensual'!H151+parametros_recargas!$H$89*'Plan mensual'!H152+parametros_recargas!$I$89*'Plan mensual'!H153+parametros_recargas!$J$89*'Plan mensual'!H154+parametros_recargas!$K$89*'Plan mensual'!H155+parametros_recargas!$L$89*'Plan mensual'!H156+parametros_recargas!$M$89*'Plan mensual'!H158</f>
        <v>2229.82706485661</v>
      </c>
      <c r="G143" s="26" t="n">
        <f aca="false">parametros_recargas!$E$89*'Plan mensual'!I149+parametros_recargas!$F$89*'Plan mensual'!I150+parametros_recargas!$G$89*'Plan mensual'!I151+parametros_recargas!$H$89*'Plan mensual'!I152+parametros_recargas!$I$89*'Plan mensual'!I153+parametros_recargas!$J$89*'Plan mensual'!I154+parametros_recargas!$K$89*'Plan mensual'!I155+parametros_recargas!$L$89*'Plan mensual'!I156+parametros_recargas!$M$89*'Plan mensual'!I158</f>
        <v>2225.59591990166</v>
      </c>
      <c r="H143" s="26" t="n">
        <f aca="false">parametros_recargas!$E$89*'Plan mensual'!J149+parametros_recargas!$F$89*'Plan mensual'!J150+parametros_recargas!$G$89*'Plan mensual'!J151+parametros_recargas!$H$89*'Plan mensual'!J152+parametros_recargas!$I$89*'Plan mensual'!J153+parametros_recargas!$J$89*'Plan mensual'!J154+parametros_recargas!$K$89*'Plan mensual'!J155+parametros_recargas!$L$89*'Plan mensual'!J156+parametros_recargas!$M$89*'Plan mensual'!J158</f>
        <v>2238.90435457271</v>
      </c>
      <c r="I143" s="26" t="n">
        <f aca="false">parametros_recargas!$E$89*'Plan mensual'!K149+parametros_recargas!$F$89*'Plan mensual'!K150+parametros_recargas!$G$89*'Plan mensual'!K151+parametros_recargas!$H$89*'Plan mensual'!K152+parametros_recargas!$I$89*'Plan mensual'!K153+parametros_recargas!$J$89*'Plan mensual'!K154+parametros_recargas!$K$89*'Plan mensual'!K155+parametros_recargas!$L$89*'Plan mensual'!K156+parametros_recargas!$M$89*'Plan mensual'!K158</f>
        <v>2228.88845161525</v>
      </c>
      <c r="J143" s="26" t="n">
        <f aca="false">parametros_recargas!$E$89*'Plan mensual'!L149+parametros_recargas!$F$89*'Plan mensual'!L150+parametros_recargas!$G$89*'Plan mensual'!L151+parametros_recargas!$H$89*'Plan mensual'!L152+parametros_recargas!$I$89*'Plan mensual'!L153+parametros_recargas!$J$89*'Plan mensual'!L154+parametros_recargas!$K$89*'Plan mensual'!L155+parametros_recargas!$L$89*'Plan mensual'!L156+parametros_recargas!$M$89*'Plan mensual'!L158</f>
        <v>2230.45012142884</v>
      </c>
      <c r="K143" s="26" t="n">
        <f aca="false">parametros_recargas!$E$89*'Plan mensual'!M149+parametros_recargas!$F$89*'Plan mensual'!M150+parametros_recargas!$G$89*'Plan mensual'!M151+parametros_recargas!$H$89*'Plan mensual'!M152+parametros_recargas!$I$89*'Plan mensual'!M153+parametros_recargas!$J$89*'Plan mensual'!M154+parametros_recargas!$K$89*'Plan mensual'!M155+parametros_recargas!$L$89*'Plan mensual'!M156+parametros_recargas!$M$89*'Plan mensual'!M158</f>
        <v>2225.28707720422</v>
      </c>
      <c r="L143" s="26" t="n">
        <f aca="false">parametros_recargas!$E$89*'Plan mensual'!N149+parametros_recargas!$F$89*'Plan mensual'!N150+parametros_recargas!$G$89*'Plan mensual'!N151+parametros_recargas!$H$89*'Plan mensual'!N152+parametros_recargas!$I$89*'Plan mensual'!N153+parametros_recargas!$J$89*'Plan mensual'!N154+parametros_recargas!$K$89*'Plan mensual'!N155+parametros_recargas!$L$89*'Plan mensual'!N156+parametros_recargas!$M$89*'Plan mensual'!N158</f>
        <v>2203.0530885771</v>
      </c>
      <c r="M143" s="26" t="n">
        <f aca="false">parametros_recargas!$E$89*'Plan mensual'!O149+parametros_recargas!$F$89*'Plan mensual'!O150+parametros_recargas!$G$89*'Plan mensual'!O151+parametros_recargas!$H$89*'Plan mensual'!O152+parametros_recargas!$I$89*'Plan mensual'!O153+parametros_recargas!$J$89*'Plan mensual'!O154+parametros_recargas!$K$89*'Plan mensual'!O155+parametros_recargas!$L$89*'Plan mensual'!O156+parametros_recargas!$M$89*'Plan mensual'!O158</f>
        <v>1009.24932615381</v>
      </c>
      <c r="N143" s="8" t="n">
        <f aca="false">SUM(B143:M143)</f>
        <v>24773.6568021322</v>
      </c>
      <c r="O143" s="27" t="n">
        <f aca="false">MAX(B143:M143)</f>
        <v>2662.91353649704</v>
      </c>
      <c r="P143" s="13" t="n">
        <f aca="false">O143/parametros_recargas!$B$6</f>
        <v>17.7527569099802</v>
      </c>
    </row>
    <row r="144" customFormat="false" ht="15" hidden="false" customHeight="false" outlineLevel="0" collapsed="false">
      <c r="A144" s="10" t="str">
        <f aca="false">parametros_recargas!$B$90</f>
        <v>Pintura</v>
      </c>
      <c r="B144" s="26" t="n">
        <f aca="false">parametros_recargas!$E$90*'Plan mensual'!D149+parametros_recargas!$F$90*'Plan mensual'!D150+parametros_recargas!$G$90*'Plan mensual'!D151+parametros_recargas!$H$90*'Plan mensual'!D152+parametros_recargas!$I$90*'Plan mensual'!D153+parametros_recargas!$J$90*'Plan mensual'!D154+parametros_recargas!$K$90*'Plan mensual'!D155+parametros_recargas!$L$90*'Plan mensual'!D156+parametros_recargas!$M$90*'Plan mensual'!D158</f>
        <v>683.974604203925</v>
      </c>
      <c r="C144" s="26" t="n">
        <f aca="false">parametros_recargas!$E$90*'Plan mensual'!E149+parametros_recargas!$F$90*'Plan mensual'!E150+parametros_recargas!$G$90*'Plan mensual'!E151+parametros_recargas!$H$90*'Plan mensual'!E152+parametros_recargas!$I$90*'Plan mensual'!E153+parametros_recargas!$J$90*'Plan mensual'!E154+parametros_recargas!$K$90*'Plan mensual'!E155+parametros_recargas!$L$90*'Plan mensual'!E156+parametros_recargas!$M$90*'Plan mensual'!E158</f>
        <v>1630.96204524068</v>
      </c>
      <c r="D144" s="26" t="n">
        <f aca="false">parametros_recargas!$E$90*'Plan mensual'!F149+parametros_recargas!$F$90*'Plan mensual'!F150+parametros_recargas!$G$90*'Plan mensual'!F151+parametros_recargas!$H$90*'Plan mensual'!F152+parametros_recargas!$I$90*'Plan mensual'!F153+parametros_recargas!$J$90*'Plan mensual'!F154+parametros_recargas!$K$90*'Plan mensual'!F155+parametros_recargas!$L$90*'Plan mensual'!F156+parametros_recargas!$M$90*'Plan mensual'!F158</f>
        <v>1347.8973528555</v>
      </c>
      <c r="E144" s="26" t="n">
        <f aca="false">parametros_recargas!$E$90*'Plan mensual'!G149+parametros_recargas!$F$90*'Plan mensual'!G150+parametros_recargas!$G$90*'Plan mensual'!G151+parametros_recargas!$H$90*'Plan mensual'!G152+parametros_recargas!$I$90*'Plan mensual'!G153+parametros_recargas!$J$90*'Plan mensual'!G154+parametros_recargas!$K$90*'Plan mensual'!G155+parametros_recargas!$L$90*'Plan mensual'!G156+parametros_recargas!$M$90*'Plan mensual'!G158</f>
        <v>1353.03199181531</v>
      </c>
      <c r="F144" s="26" t="n">
        <f aca="false">parametros_recargas!$E$90*'Plan mensual'!H149+parametros_recargas!$F$90*'Plan mensual'!H150+parametros_recargas!$G$90*'Plan mensual'!H151+parametros_recargas!$H$90*'Plan mensual'!H152+parametros_recargas!$I$90*'Plan mensual'!H153+parametros_recargas!$J$90*'Plan mensual'!H154+parametros_recargas!$K$90*'Plan mensual'!H155+parametros_recargas!$L$90*'Plan mensual'!H156+parametros_recargas!$M$90*'Plan mensual'!H158</f>
        <v>1353.30003422329</v>
      </c>
      <c r="G144" s="26" t="n">
        <f aca="false">parametros_recargas!$E$90*'Plan mensual'!I149+parametros_recargas!$F$90*'Plan mensual'!I150+parametros_recargas!$G$90*'Plan mensual'!I151+parametros_recargas!$H$90*'Plan mensual'!I152+parametros_recargas!$I$90*'Plan mensual'!I153+parametros_recargas!$J$90*'Plan mensual'!I154+parametros_recargas!$K$90*'Plan mensual'!I155+parametros_recargas!$L$90*'Plan mensual'!I156+parametros_recargas!$M$90*'Plan mensual'!I158</f>
        <v>1350.85898905697</v>
      </c>
      <c r="H144" s="26" t="n">
        <f aca="false">parametros_recargas!$E$90*'Plan mensual'!J149+parametros_recargas!$F$90*'Plan mensual'!J150+parametros_recargas!$G$90*'Plan mensual'!J151+parametros_recargas!$H$90*'Plan mensual'!J152+parametros_recargas!$I$90*'Plan mensual'!J153+parametros_recargas!$J$90*'Plan mensual'!J154+parametros_recargas!$K$90*'Plan mensual'!J155+parametros_recargas!$L$90*'Plan mensual'!J156+parametros_recargas!$M$90*'Plan mensual'!J158</f>
        <v>1358.53693213643</v>
      </c>
      <c r="I144" s="26" t="n">
        <f aca="false">parametros_recargas!$E$90*'Plan mensual'!K149+parametros_recargas!$F$90*'Plan mensual'!K150+parametros_recargas!$G$90*'Plan mensual'!K151+parametros_recargas!$H$90*'Plan mensual'!K152+parametros_recargas!$I$90*'Plan mensual'!K153+parametros_recargas!$J$90*'Plan mensual'!K154+parametros_recargas!$K$90*'Plan mensual'!K155+parametros_recargas!$L$90*'Plan mensual'!K156+parametros_recargas!$M$90*'Plan mensual'!K158</f>
        <v>1352.75852658405</v>
      </c>
      <c r="J144" s="26" t="n">
        <f aca="false">parametros_recargas!$E$90*'Plan mensual'!L149+parametros_recargas!$F$90*'Plan mensual'!L150+parametros_recargas!$G$90*'Plan mensual'!L151+parametros_recargas!$H$90*'Plan mensual'!L152+parametros_recargas!$I$90*'Plan mensual'!L153+parametros_recargas!$J$90*'Plan mensual'!L154+parametros_recargas!$K$90*'Plan mensual'!L155+parametros_recargas!$L$90*'Plan mensual'!L156+parametros_recargas!$M$90*'Plan mensual'!L158</f>
        <v>1353.65948993804</v>
      </c>
      <c r="K144" s="26" t="n">
        <f aca="false">parametros_recargas!$E$90*'Plan mensual'!M149+parametros_recargas!$F$90*'Plan mensual'!M150+parametros_recargas!$G$90*'Plan mensual'!M151+parametros_recargas!$H$90*'Plan mensual'!M152+parametros_recargas!$I$90*'Plan mensual'!M153+parametros_recargas!$J$90*'Plan mensual'!M154+parametros_recargas!$K$90*'Plan mensual'!M155+parametros_recargas!$L$90*'Plan mensual'!M156+parametros_recargas!$M$90*'Plan mensual'!M158</f>
        <v>1350.68081057768</v>
      </c>
      <c r="L144" s="26" t="n">
        <f aca="false">parametros_recargas!$E$90*'Plan mensual'!N149+parametros_recargas!$F$90*'Plan mensual'!N150+parametros_recargas!$G$90*'Plan mensual'!N151+parametros_recargas!$H$90*'Plan mensual'!N152+parametros_recargas!$I$90*'Plan mensual'!N153+parametros_recargas!$J$90*'Plan mensual'!N154+parametros_recargas!$K$90*'Plan mensual'!N155+parametros_recargas!$L$90*'Plan mensual'!N156+parametros_recargas!$M$90*'Plan mensual'!N158</f>
        <v>1337.85350944665</v>
      </c>
      <c r="M144" s="26" t="n">
        <f aca="false">parametros_recargas!$E$90*'Plan mensual'!O149+parametros_recargas!$F$90*'Plan mensual'!O150+parametros_recargas!$G$90*'Plan mensual'!O151+parametros_recargas!$H$90*'Plan mensual'!O152+parametros_recargas!$I$90*'Plan mensual'!O153+parametros_recargas!$J$90*'Plan mensual'!O154+parametros_recargas!$K$90*'Plan mensual'!O155+parametros_recargas!$L$90*'Plan mensual'!O156+parametros_recargas!$M$90*'Plan mensual'!O158</f>
        <v>649.120569587062</v>
      </c>
      <c r="N144" s="8" t="n">
        <f aca="false">SUM(B144:M144)</f>
        <v>15122.6348556656</v>
      </c>
      <c r="O144" s="27" t="n">
        <f aca="false">MAX(B144:M144)</f>
        <v>1630.96204524068</v>
      </c>
      <c r="P144" s="13" t="n">
        <f aca="false">O144/parametros_recargas!$B$6</f>
        <v>10.8730803016045</v>
      </c>
    </row>
    <row r="145" customFormat="false" ht="15" hidden="false" customHeight="false" outlineLevel="0" collapsed="false">
      <c r="A145" s="10" t="str">
        <f aca="false">parametros_recargas!$B$91</f>
        <v>Carga de polvo ABC</v>
      </c>
      <c r="B145" s="26" t="n">
        <f aca="false">parametros_recargas!$E$91*'Plan mensual'!D149+parametros_recargas!$F$91*'Plan mensual'!D150+parametros_recargas!$G$91*'Plan mensual'!D151+parametros_recargas!$H$91*'Plan mensual'!D152+parametros_recargas!$I$91*'Plan mensual'!D153+parametros_recargas!$J$91*'Plan mensual'!D154+parametros_recargas!$K$91*'Plan mensual'!D155+parametros_recargas!$L$91*'Plan mensual'!D156+parametros_recargas!$M$91*'Plan mensual'!D158</f>
        <v>3473.73099027252</v>
      </c>
      <c r="C145" s="26" t="n">
        <f aca="false">parametros_recargas!$E$91*'Plan mensual'!E149+parametros_recargas!$F$91*'Plan mensual'!E150+parametros_recargas!$G$91*'Plan mensual'!E151+parametros_recargas!$H$91*'Plan mensual'!E152+parametros_recargas!$I$91*'Plan mensual'!E153+parametros_recargas!$J$91*'Plan mensual'!E154+parametros_recargas!$K$91*'Plan mensual'!E155+parametros_recargas!$L$91*'Plan mensual'!E156+parametros_recargas!$M$91*'Plan mensual'!E158</f>
        <v>9241.41895042601</v>
      </c>
      <c r="D145" s="26" t="n">
        <f aca="false">parametros_recargas!$E$91*'Plan mensual'!F149+parametros_recargas!$F$91*'Plan mensual'!F150+parametros_recargas!$G$91*'Plan mensual'!F151+parametros_recargas!$H$91*'Plan mensual'!F152+parametros_recargas!$I$91*'Plan mensual'!F153+parametros_recargas!$J$91*'Plan mensual'!F154+parametros_recargas!$K$91*'Plan mensual'!F155+parametros_recargas!$L$91*'Plan mensual'!F156+parametros_recargas!$M$91*'Plan mensual'!F158</f>
        <v>7896.56533164169</v>
      </c>
      <c r="E145" s="26" t="n">
        <f aca="false">parametros_recargas!$E$91*'Plan mensual'!G149+parametros_recargas!$F$91*'Plan mensual'!G150+parametros_recargas!$G$91*'Plan mensual'!G151+parametros_recargas!$H$91*'Plan mensual'!G152+parametros_recargas!$I$91*'Plan mensual'!G153+parametros_recargas!$J$91*'Plan mensual'!G154+parametros_recargas!$K$91*'Plan mensual'!G155+parametros_recargas!$L$91*'Plan mensual'!G156+parametros_recargas!$M$91*'Plan mensual'!G158</f>
        <v>7930.79625804039</v>
      </c>
      <c r="F145" s="26" t="n">
        <f aca="false">parametros_recargas!$E$91*'Plan mensual'!H149+parametros_recargas!$F$91*'Plan mensual'!H150+parametros_recargas!$G$91*'Plan mensual'!H151+parametros_recargas!$H$91*'Plan mensual'!H152+parametros_recargas!$I$91*'Plan mensual'!H153+parametros_recargas!$J$91*'Plan mensual'!H154+parametros_recargas!$K$91*'Plan mensual'!H155+parametros_recargas!$L$91*'Plan mensual'!H156+parametros_recargas!$M$91*'Plan mensual'!H158</f>
        <v>7931.38880742692</v>
      </c>
      <c r="G145" s="26" t="n">
        <f aca="false">parametros_recargas!$E$91*'Plan mensual'!I149+parametros_recargas!$F$91*'Plan mensual'!I150+parametros_recargas!$G$91*'Plan mensual'!I151+parametros_recargas!$H$91*'Plan mensual'!I152+parametros_recargas!$I$91*'Plan mensual'!I153+parametros_recargas!$J$91*'Plan mensual'!I154+parametros_recargas!$K$91*'Plan mensual'!I155+parametros_recargas!$L$91*'Plan mensual'!I156+parametros_recargas!$M$91*'Plan mensual'!I158</f>
        <v>7913.38900560086</v>
      </c>
      <c r="H145" s="26" t="n">
        <f aca="false">parametros_recargas!$E$91*'Plan mensual'!J149+parametros_recargas!$F$91*'Plan mensual'!J150+parametros_recargas!$G$91*'Plan mensual'!J151+parametros_recargas!$H$91*'Plan mensual'!J152+parametros_recargas!$I$91*'Plan mensual'!J153+parametros_recargas!$J$91*'Plan mensual'!J154+parametros_recargas!$K$91*'Plan mensual'!J155+parametros_recargas!$L$91*'Plan mensual'!J156+parametros_recargas!$M$91*'Plan mensual'!J158</f>
        <v>7966.30146018118</v>
      </c>
      <c r="I145" s="26" t="n">
        <f aca="false">parametros_recargas!$E$91*'Plan mensual'!K149+parametros_recargas!$F$91*'Plan mensual'!K150+parametros_recargas!$G$91*'Plan mensual'!K151+parametros_recargas!$H$91*'Plan mensual'!K152+parametros_recargas!$I$91*'Plan mensual'!K153+parametros_recargas!$J$91*'Plan mensual'!K154+parametros_recargas!$K$91*'Plan mensual'!K155+parametros_recargas!$L$91*'Plan mensual'!K156+parametros_recargas!$M$91*'Plan mensual'!K158</f>
        <v>7927.77875649864</v>
      </c>
      <c r="J145" s="26" t="n">
        <f aca="false">parametros_recargas!$E$91*'Plan mensual'!L149+parametros_recargas!$F$91*'Plan mensual'!L150+parametros_recargas!$G$91*'Plan mensual'!L151+parametros_recargas!$H$91*'Plan mensual'!L152+parametros_recargas!$I$91*'Plan mensual'!L153+parametros_recargas!$J$91*'Plan mensual'!L154+parametros_recargas!$K$91*'Plan mensual'!L155+parametros_recargas!$L$91*'Plan mensual'!L156+parametros_recargas!$M$91*'Plan mensual'!L158</f>
        <v>7933.5192951666</v>
      </c>
      <c r="K145" s="26" t="n">
        <f aca="false">parametros_recargas!$E$91*'Plan mensual'!M149+parametros_recargas!$F$91*'Plan mensual'!M150+parametros_recargas!$G$91*'Plan mensual'!M151+parametros_recargas!$H$91*'Plan mensual'!M152+parametros_recargas!$I$91*'Plan mensual'!M153+parametros_recargas!$J$91*'Plan mensual'!M154+parametros_recargas!$K$91*'Plan mensual'!M155+parametros_recargas!$L$91*'Plan mensual'!M156+parametros_recargas!$M$91*'Plan mensual'!M158</f>
        <v>7911.93526538027</v>
      </c>
      <c r="L145" s="26" t="n">
        <f aca="false">parametros_recargas!$E$91*'Plan mensual'!N149+parametros_recargas!$F$91*'Plan mensual'!N150+parametros_recargas!$G$91*'Plan mensual'!N151+parametros_recargas!$H$91*'Plan mensual'!N152+parametros_recargas!$I$91*'Plan mensual'!N153+parametros_recargas!$J$91*'Plan mensual'!N154+parametros_recargas!$K$91*'Plan mensual'!N155+parametros_recargas!$L$91*'Plan mensual'!N156+parametros_recargas!$M$91*'Plan mensual'!N158</f>
        <v>7824.95964081478</v>
      </c>
      <c r="M145" s="26" t="n">
        <f aca="false">parametros_recargas!$E$91*'Plan mensual'!O149+parametros_recargas!$F$91*'Plan mensual'!O150+parametros_recargas!$G$91*'Plan mensual'!O151+parametros_recargas!$H$91*'Plan mensual'!O152+parametros_recargas!$I$91*'Plan mensual'!O153+parametros_recargas!$J$91*'Plan mensual'!O154+parametros_recargas!$K$91*'Plan mensual'!O155+parametros_recargas!$L$91*'Plan mensual'!O156+parametros_recargas!$M$91*'Plan mensual'!O158</f>
        <v>3243.49367580146</v>
      </c>
      <c r="N145" s="8" t="n">
        <f aca="false">SUM(B145:M145)</f>
        <v>87195.2774372513</v>
      </c>
      <c r="O145" s="27" t="n">
        <f aca="false">MAX(B145:M145)</f>
        <v>9241.41895042601</v>
      </c>
      <c r="P145" s="13" t="n">
        <f aca="false">O145/parametros_recargas!$B$6</f>
        <v>61.6094596695068</v>
      </c>
    </row>
    <row r="146" customFormat="false" ht="15" hidden="false" customHeight="false" outlineLevel="0" collapsed="false">
      <c r="A146" s="10" t="str">
        <f aca="false">parametros_recargas!$B$92</f>
        <v>Carga de polvo BC</v>
      </c>
      <c r="B146" s="26" t="n">
        <f aca="false">parametros_recargas!$E$92*'Plan mensual'!D149+parametros_recargas!$F$92*'Plan mensual'!D150+parametros_recargas!$G$92*'Plan mensual'!D151+parametros_recargas!$H$92*'Plan mensual'!D152+parametros_recargas!$I$92*'Plan mensual'!D153+parametros_recargas!$J$92*'Plan mensual'!D154+parametros_recargas!$K$92*'Plan mensual'!D155+parametros_recargas!$L$92*'Plan mensual'!D156+parametros_recargas!$M$92*'Plan mensual'!D158</f>
        <v>10.406777712021</v>
      </c>
      <c r="C146" s="26" t="n">
        <f aca="false">parametros_recargas!$E$92*'Plan mensual'!E149+parametros_recargas!$F$92*'Plan mensual'!E150+parametros_recargas!$G$92*'Plan mensual'!E151+parametros_recargas!$H$92*'Plan mensual'!E152+parametros_recargas!$I$92*'Plan mensual'!E153+parametros_recargas!$J$92*'Plan mensual'!E154+parametros_recargas!$K$92*'Plan mensual'!E155+parametros_recargas!$L$92*'Plan mensual'!E156+parametros_recargas!$M$92*'Plan mensual'!E158</f>
        <v>10.406777712021</v>
      </c>
      <c r="D146" s="26" t="n">
        <f aca="false">parametros_recargas!$E$92*'Plan mensual'!F149+parametros_recargas!$F$92*'Plan mensual'!F150+parametros_recargas!$G$92*'Plan mensual'!F151+parametros_recargas!$H$92*'Plan mensual'!F152+parametros_recargas!$I$92*'Plan mensual'!F153+parametros_recargas!$J$92*'Plan mensual'!F154+parametros_recargas!$K$92*'Plan mensual'!F155+parametros_recargas!$L$92*'Plan mensual'!F156+parametros_recargas!$M$92*'Plan mensual'!F158</f>
        <v>10.406777712021</v>
      </c>
      <c r="E146" s="26" t="n">
        <f aca="false">parametros_recargas!$E$92*'Plan mensual'!G149+parametros_recargas!$F$92*'Plan mensual'!G150+parametros_recargas!$G$92*'Plan mensual'!G151+parametros_recargas!$H$92*'Plan mensual'!G152+parametros_recargas!$I$92*'Plan mensual'!G153+parametros_recargas!$J$92*'Plan mensual'!G154+parametros_recargas!$K$92*'Plan mensual'!G155+parametros_recargas!$L$92*'Plan mensual'!G156+parametros_recargas!$M$92*'Plan mensual'!G158</f>
        <v>10.406777712021</v>
      </c>
      <c r="F146" s="26" t="n">
        <f aca="false">parametros_recargas!$E$92*'Plan mensual'!H149+parametros_recargas!$F$92*'Plan mensual'!H150+parametros_recargas!$G$92*'Plan mensual'!H151+parametros_recargas!$H$92*'Plan mensual'!H152+parametros_recargas!$I$92*'Plan mensual'!H153+parametros_recargas!$J$92*'Plan mensual'!H154+parametros_recargas!$K$92*'Plan mensual'!H155+parametros_recargas!$L$92*'Plan mensual'!H156+parametros_recargas!$M$92*'Plan mensual'!H158</f>
        <v>10.406777712021</v>
      </c>
      <c r="G146" s="26" t="n">
        <f aca="false">parametros_recargas!$E$92*'Plan mensual'!I149+parametros_recargas!$F$92*'Plan mensual'!I150+parametros_recargas!$G$92*'Plan mensual'!I151+parametros_recargas!$H$92*'Plan mensual'!I152+parametros_recargas!$I$92*'Plan mensual'!I153+parametros_recargas!$J$92*'Plan mensual'!I154+parametros_recargas!$K$92*'Plan mensual'!I155+parametros_recargas!$L$92*'Plan mensual'!I156+parametros_recargas!$M$92*'Plan mensual'!I158</f>
        <v>10.406777712021</v>
      </c>
      <c r="H146" s="26" t="n">
        <f aca="false">parametros_recargas!$E$92*'Plan mensual'!J149+parametros_recargas!$F$92*'Plan mensual'!J150+parametros_recargas!$G$92*'Plan mensual'!J151+parametros_recargas!$H$92*'Plan mensual'!J152+parametros_recargas!$I$92*'Plan mensual'!J153+parametros_recargas!$J$92*'Plan mensual'!J154+parametros_recargas!$K$92*'Plan mensual'!J155+parametros_recargas!$L$92*'Plan mensual'!J156+parametros_recargas!$M$92*'Plan mensual'!J158</f>
        <v>10.406777712021</v>
      </c>
      <c r="I146" s="26" t="n">
        <f aca="false">parametros_recargas!$E$92*'Plan mensual'!K149+parametros_recargas!$F$92*'Plan mensual'!K150+parametros_recargas!$G$92*'Plan mensual'!K151+parametros_recargas!$H$92*'Plan mensual'!K152+parametros_recargas!$I$92*'Plan mensual'!K153+parametros_recargas!$J$92*'Plan mensual'!K154+parametros_recargas!$K$92*'Plan mensual'!K155+parametros_recargas!$L$92*'Plan mensual'!K156+parametros_recargas!$M$92*'Plan mensual'!K158</f>
        <v>10.406777712021</v>
      </c>
      <c r="J146" s="26" t="n">
        <f aca="false">parametros_recargas!$E$92*'Plan mensual'!L149+parametros_recargas!$F$92*'Plan mensual'!L150+parametros_recargas!$G$92*'Plan mensual'!L151+parametros_recargas!$H$92*'Plan mensual'!L152+parametros_recargas!$I$92*'Plan mensual'!L153+parametros_recargas!$J$92*'Plan mensual'!L154+parametros_recargas!$K$92*'Plan mensual'!L155+parametros_recargas!$L$92*'Plan mensual'!L156+parametros_recargas!$M$92*'Plan mensual'!L158</f>
        <v>10.406777712021</v>
      </c>
      <c r="K146" s="26" t="n">
        <f aca="false">parametros_recargas!$E$92*'Plan mensual'!M149+parametros_recargas!$F$92*'Plan mensual'!M150+parametros_recargas!$G$92*'Plan mensual'!M151+parametros_recargas!$H$92*'Plan mensual'!M152+parametros_recargas!$I$92*'Plan mensual'!M153+parametros_recargas!$J$92*'Plan mensual'!M154+parametros_recargas!$K$92*'Plan mensual'!M155+parametros_recargas!$L$92*'Plan mensual'!M156+parametros_recargas!$M$92*'Plan mensual'!M158</f>
        <v>10.406777712021</v>
      </c>
      <c r="L146" s="26" t="n">
        <f aca="false">parametros_recargas!$E$92*'Plan mensual'!N149+parametros_recargas!$F$92*'Plan mensual'!N150+parametros_recargas!$G$92*'Plan mensual'!N151+parametros_recargas!$H$92*'Plan mensual'!N152+parametros_recargas!$I$92*'Plan mensual'!N153+parametros_recargas!$J$92*'Plan mensual'!N154+parametros_recargas!$K$92*'Plan mensual'!N155+parametros_recargas!$L$92*'Plan mensual'!N156+parametros_recargas!$M$92*'Plan mensual'!N158</f>
        <v>10.406777712021</v>
      </c>
      <c r="M146" s="26" t="n">
        <f aca="false">parametros_recargas!$E$92*'Plan mensual'!O149+parametros_recargas!$F$92*'Plan mensual'!O150+parametros_recargas!$G$92*'Plan mensual'!O151+parametros_recargas!$H$92*'Plan mensual'!O152+parametros_recargas!$I$92*'Plan mensual'!O153+parametros_recargas!$J$92*'Plan mensual'!O154+parametros_recargas!$K$92*'Plan mensual'!O155+parametros_recargas!$L$92*'Plan mensual'!O156+parametros_recargas!$M$92*'Plan mensual'!O158</f>
        <v>10.406777712021</v>
      </c>
      <c r="N146" s="8" t="n">
        <f aca="false">SUM(B146:M146)</f>
        <v>124.881332544252</v>
      </c>
      <c r="O146" s="27" t="n">
        <f aca="false">MAX(B146:M146)</f>
        <v>10.406777712021</v>
      </c>
      <c r="P146" s="13" t="n">
        <f aca="false">O146/parametros_recargas!$B$6</f>
        <v>0.0693785180801398</v>
      </c>
    </row>
    <row r="147" customFormat="false" ht="15" hidden="false" customHeight="false" outlineLevel="0" collapsed="false">
      <c r="A147" s="10" t="str">
        <f aca="false">parametros_recargas!$B$93</f>
        <v>Descarga y carga Clase D</v>
      </c>
      <c r="B147" s="26" t="n">
        <f aca="false">parametros_recargas!$E$93*'Plan mensual'!D149+parametros_recargas!$F$93*'Plan mensual'!D150+parametros_recargas!$G$93*'Plan mensual'!D151+parametros_recargas!$H$93*'Plan mensual'!D152+parametros_recargas!$I$93*'Plan mensual'!D153+parametros_recargas!$J$93*'Plan mensual'!D154+parametros_recargas!$K$93*'Plan mensual'!D155+parametros_recargas!$L$93*'Plan mensual'!D156+parametros_recargas!$M$93*'Plan mensual'!D158</f>
        <v>9.73349144375313</v>
      </c>
      <c r="C147" s="26" t="n">
        <f aca="false">parametros_recargas!$E$93*'Plan mensual'!E149+parametros_recargas!$F$93*'Plan mensual'!E150+parametros_recargas!$G$93*'Plan mensual'!E151+parametros_recargas!$H$93*'Plan mensual'!E152+parametros_recargas!$I$93*'Plan mensual'!E153+parametros_recargas!$J$93*'Plan mensual'!E154+parametros_recargas!$K$93*'Plan mensual'!E155+parametros_recargas!$L$93*'Plan mensual'!E156+parametros_recargas!$M$93*'Plan mensual'!E158</f>
        <v>9.73349144375313</v>
      </c>
      <c r="D147" s="26" t="n">
        <f aca="false">parametros_recargas!$E$93*'Plan mensual'!F149+parametros_recargas!$F$93*'Plan mensual'!F150+parametros_recargas!$G$93*'Plan mensual'!F151+parametros_recargas!$H$93*'Plan mensual'!F152+parametros_recargas!$I$93*'Plan mensual'!F153+parametros_recargas!$J$93*'Plan mensual'!F154+parametros_recargas!$K$93*'Plan mensual'!F155+parametros_recargas!$L$93*'Plan mensual'!F156+parametros_recargas!$M$93*'Plan mensual'!F158</f>
        <v>9.73349144375313</v>
      </c>
      <c r="E147" s="26" t="n">
        <f aca="false">parametros_recargas!$E$93*'Plan mensual'!G149+parametros_recargas!$F$93*'Plan mensual'!G150+parametros_recargas!$G$93*'Plan mensual'!G151+parametros_recargas!$H$93*'Plan mensual'!G152+parametros_recargas!$I$93*'Plan mensual'!G153+parametros_recargas!$J$93*'Plan mensual'!G154+parametros_recargas!$K$93*'Plan mensual'!G155+parametros_recargas!$L$93*'Plan mensual'!G156+parametros_recargas!$M$93*'Plan mensual'!G158</f>
        <v>9.73349144375313</v>
      </c>
      <c r="F147" s="26" t="n">
        <f aca="false">parametros_recargas!$E$93*'Plan mensual'!H149+parametros_recargas!$F$93*'Plan mensual'!H150+parametros_recargas!$G$93*'Plan mensual'!H151+parametros_recargas!$H$93*'Plan mensual'!H152+parametros_recargas!$I$93*'Plan mensual'!H153+parametros_recargas!$J$93*'Plan mensual'!H154+parametros_recargas!$K$93*'Plan mensual'!H155+parametros_recargas!$L$93*'Plan mensual'!H156+parametros_recargas!$M$93*'Plan mensual'!H158</f>
        <v>9.73349144375313</v>
      </c>
      <c r="G147" s="26" t="n">
        <f aca="false">parametros_recargas!$E$93*'Plan mensual'!I149+parametros_recargas!$F$93*'Plan mensual'!I150+parametros_recargas!$G$93*'Plan mensual'!I151+parametros_recargas!$H$93*'Plan mensual'!I152+parametros_recargas!$I$93*'Plan mensual'!I153+parametros_recargas!$J$93*'Plan mensual'!I154+parametros_recargas!$K$93*'Plan mensual'!I155+parametros_recargas!$L$93*'Plan mensual'!I156+parametros_recargas!$M$93*'Plan mensual'!I158</f>
        <v>9.73349144375313</v>
      </c>
      <c r="H147" s="26" t="n">
        <f aca="false">parametros_recargas!$E$93*'Plan mensual'!J149+parametros_recargas!$F$93*'Plan mensual'!J150+parametros_recargas!$G$93*'Plan mensual'!J151+parametros_recargas!$H$93*'Plan mensual'!J152+parametros_recargas!$I$93*'Plan mensual'!J153+parametros_recargas!$J$93*'Plan mensual'!J154+parametros_recargas!$K$93*'Plan mensual'!J155+parametros_recargas!$L$93*'Plan mensual'!J156+parametros_recargas!$M$93*'Plan mensual'!J158</f>
        <v>9.73349144375313</v>
      </c>
      <c r="I147" s="26" t="n">
        <f aca="false">parametros_recargas!$E$93*'Plan mensual'!K149+parametros_recargas!$F$93*'Plan mensual'!K150+parametros_recargas!$G$93*'Plan mensual'!K151+parametros_recargas!$H$93*'Plan mensual'!K152+parametros_recargas!$I$93*'Plan mensual'!K153+parametros_recargas!$J$93*'Plan mensual'!K154+parametros_recargas!$K$93*'Plan mensual'!K155+parametros_recargas!$L$93*'Plan mensual'!K156+parametros_recargas!$M$93*'Plan mensual'!K158</f>
        <v>9.73349144375313</v>
      </c>
      <c r="J147" s="26" t="n">
        <f aca="false">parametros_recargas!$E$93*'Plan mensual'!L149+parametros_recargas!$F$93*'Plan mensual'!L150+parametros_recargas!$G$93*'Plan mensual'!L151+parametros_recargas!$H$93*'Plan mensual'!L152+parametros_recargas!$I$93*'Plan mensual'!L153+parametros_recargas!$J$93*'Plan mensual'!L154+parametros_recargas!$K$93*'Plan mensual'!L155+parametros_recargas!$L$93*'Plan mensual'!L156+parametros_recargas!$M$93*'Plan mensual'!L158</f>
        <v>9.73349144375313</v>
      </c>
      <c r="K147" s="26" t="n">
        <f aca="false">parametros_recargas!$E$93*'Plan mensual'!M149+parametros_recargas!$F$93*'Plan mensual'!M150+parametros_recargas!$G$93*'Plan mensual'!M151+parametros_recargas!$H$93*'Plan mensual'!M152+parametros_recargas!$I$93*'Plan mensual'!M153+parametros_recargas!$J$93*'Plan mensual'!M154+parametros_recargas!$K$93*'Plan mensual'!M155+parametros_recargas!$L$93*'Plan mensual'!M156+parametros_recargas!$M$93*'Plan mensual'!M158</f>
        <v>9.73349144375313</v>
      </c>
      <c r="L147" s="26" t="n">
        <f aca="false">parametros_recargas!$E$93*'Plan mensual'!N149+parametros_recargas!$F$93*'Plan mensual'!N150+parametros_recargas!$G$93*'Plan mensual'!N151+parametros_recargas!$H$93*'Plan mensual'!N152+parametros_recargas!$I$93*'Plan mensual'!N153+parametros_recargas!$J$93*'Plan mensual'!N154+parametros_recargas!$K$93*'Plan mensual'!N155+parametros_recargas!$L$93*'Plan mensual'!N156+parametros_recargas!$M$93*'Plan mensual'!N158</f>
        <v>9.73349144375313</v>
      </c>
      <c r="M147" s="26" t="n">
        <f aca="false">parametros_recargas!$E$93*'Plan mensual'!O149+parametros_recargas!$F$93*'Plan mensual'!O150+parametros_recargas!$G$93*'Plan mensual'!O151+parametros_recargas!$H$93*'Plan mensual'!O152+parametros_recargas!$I$93*'Plan mensual'!O153+parametros_recargas!$J$93*'Plan mensual'!O154+parametros_recargas!$K$93*'Plan mensual'!O155+parametros_recargas!$L$93*'Plan mensual'!O156+parametros_recargas!$M$93*'Plan mensual'!O158</f>
        <v>9.73349144375313</v>
      </c>
      <c r="N147" s="8" t="n">
        <f aca="false">SUM(B147:M147)</f>
        <v>116.801897325038</v>
      </c>
      <c r="O147" s="27" t="n">
        <f aca="false">MAX(B147:M147)</f>
        <v>9.73349144375313</v>
      </c>
      <c r="P147" s="13" t="n">
        <f aca="false">O147/parametros_recargas!$B$6</f>
        <v>0.0648899429583542</v>
      </c>
    </row>
    <row r="148" customFormat="false" ht="15" hidden="false" customHeight="false" outlineLevel="0" collapsed="false">
      <c r="A148" s="10" t="str">
        <f aca="false">parametros_recargas!$B$94</f>
        <v>Carga de agua / AFFF / sales K</v>
      </c>
      <c r="B148" s="26" t="n">
        <f aca="false">parametros_recargas!$E$94*'Plan mensual'!D149+parametros_recargas!$F$94*'Plan mensual'!D150+parametros_recargas!$G$94*'Plan mensual'!D151+parametros_recargas!$H$94*'Plan mensual'!D152+parametros_recargas!$I$94*'Plan mensual'!D153+parametros_recargas!$J$94*'Plan mensual'!D154+parametros_recargas!$K$94*'Plan mensual'!D155+parametros_recargas!$L$94*'Plan mensual'!D156+parametros_recargas!$M$94*'Plan mensual'!D158</f>
        <v>398.807415557223</v>
      </c>
      <c r="C148" s="26" t="n">
        <f aca="false">parametros_recargas!$E$94*'Plan mensual'!E149+parametros_recargas!$F$94*'Plan mensual'!E150+parametros_recargas!$G$94*'Plan mensual'!E151+parametros_recargas!$H$94*'Plan mensual'!E152+parametros_recargas!$I$94*'Plan mensual'!E153+parametros_recargas!$J$94*'Plan mensual'!E154+parametros_recargas!$K$94*'Plan mensual'!E155+parametros_recargas!$L$94*'Plan mensual'!E156+parametros_recargas!$M$94*'Plan mensual'!E158</f>
        <v>561.416349275236</v>
      </c>
      <c r="D148" s="26" t="n">
        <f aca="false">parametros_recargas!$E$94*'Plan mensual'!F149+parametros_recargas!$F$94*'Plan mensual'!F150+parametros_recargas!$G$94*'Plan mensual'!F151+parametros_recargas!$H$94*'Plan mensual'!F152+parametros_recargas!$I$94*'Plan mensual'!F153+parametros_recargas!$J$94*'Plan mensual'!F154+parametros_recargas!$K$94*'Plan mensual'!F155+parametros_recargas!$L$94*'Plan mensual'!F156+parametros_recargas!$M$94*'Plan mensual'!F158</f>
        <v>398.807415557223</v>
      </c>
      <c r="E148" s="26" t="n">
        <f aca="false">parametros_recargas!$E$94*'Plan mensual'!G149+parametros_recargas!$F$94*'Plan mensual'!G150+parametros_recargas!$G$94*'Plan mensual'!G151+parametros_recargas!$H$94*'Plan mensual'!G152+parametros_recargas!$I$94*'Plan mensual'!G153+parametros_recargas!$J$94*'Plan mensual'!G154+parametros_recargas!$K$94*'Plan mensual'!G155+parametros_recargas!$L$94*'Plan mensual'!G156+parametros_recargas!$M$94*'Plan mensual'!G158</f>
        <v>398.807415557223</v>
      </c>
      <c r="F148" s="26" t="n">
        <f aca="false">parametros_recargas!$E$94*'Plan mensual'!H149+parametros_recargas!$F$94*'Plan mensual'!H150+parametros_recargas!$G$94*'Plan mensual'!H151+parametros_recargas!$H$94*'Plan mensual'!H152+parametros_recargas!$I$94*'Plan mensual'!H153+parametros_recargas!$J$94*'Plan mensual'!H154+parametros_recargas!$K$94*'Plan mensual'!H155+parametros_recargas!$L$94*'Plan mensual'!H156+parametros_recargas!$M$94*'Plan mensual'!H158</f>
        <v>398.807415557223</v>
      </c>
      <c r="G148" s="26" t="n">
        <f aca="false">parametros_recargas!$E$94*'Plan mensual'!I149+parametros_recargas!$F$94*'Plan mensual'!I150+parametros_recargas!$G$94*'Plan mensual'!I151+parametros_recargas!$H$94*'Plan mensual'!I152+parametros_recargas!$I$94*'Plan mensual'!I153+parametros_recargas!$J$94*'Plan mensual'!I154+parametros_recargas!$K$94*'Plan mensual'!I155+parametros_recargas!$L$94*'Plan mensual'!I156+parametros_recargas!$M$94*'Plan mensual'!I158</f>
        <v>398.807415557223</v>
      </c>
      <c r="H148" s="26" t="n">
        <f aca="false">parametros_recargas!$E$94*'Plan mensual'!J149+parametros_recargas!$F$94*'Plan mensual'!J150+parametros_recargas!$G$94*'Plan mensual'!J151+parametros_recargas!$H$94*'Plan mensual'!J152+parametros_recargas!$I$94*'Plan mensual'!J153+parametros_recargas!$J$94*'Plan mensual'!J154+parametros_recargas!$K$94*'Plan mensual'!J155+parametros_recargas!$L$94*'Plan mensual'!J156+parametros_recargas!$M$94*'Plan mensual'!J158</f>
        <v>398.807415557223</v>
      </c>
      <c r="I148" s="26" t="n">
        <f aca="false">parametros_recargas!$E$94*'Plan mensual'!K149+parametros_recargas!$F$94*'Plan mensual'!K150+parametros_recargas!$G$94*'Plan mensual'!K151+parametros_recargas!$H$94*'Plan mensual'!K152+parametros_recargas!$I$94*'Plan mensual'!K153+parametros_recargas!$J$94*'Plan mensual'!K154+parametros_recargas!$K$94*'Plan mensual'!K155+parametros_recargas!$L$94*'Plan mensual'!K156+parametros_recargas!$M$94*'Plan mensual'!K158</f>
        <v>398.807415557223</v>
      </c>
      <c r="J148" s="26" t="n">
        <f aca="false">parametros_recargas!$E$94*'Plan mensual'!L149+parametros_recargas!$F$94*'Plan mensual'!L150+parametros_recargas!$G$94*'Plan mensual'!L151+parametros_recargas!$H$94*'Plan mensual'!L152+parametros_recargas!$I$94*'Plan mensual'!L153+parametros_recargas!$J$94*'Plan mensual'!L154+parametros_recargas!$K$94*'Plan mensual'!L155+parametros_recargas!$L$94*'Plan mensual'!L156+parametros_recargas!$M$94*'Plan mensual'!L158</f>
        <v>398.807415557223</v>
      </c>
      <c r="K148" s="26" t="n">
        <f aca="false">parametros_recargas!$E$94*'Plan mensual'!M149+parametros_recargas!$F$94*'Plan mensual'!M150+parametros_recargas!$G$94*'Plan mensual'!M151+parametros_recargas!$H$94*'Plan mensual'!M152+parametros_recargas!$I$94*'Plan mensual'!M153+parametros_recargas!$J$94*'Plan mensual'!M154+parametros_recargas!$K$94*'Plan mensual'!M155+parametros_recargas!$L$94*'Plan mensual'!M156+parametros_recargas!$M$94*'Plan mensual'!M158</f>
        <v>398.807415557223</v>
      </c>
      <c r="L148" s="26" t="n">
        <f aca="false">parametros_recargas!$E$94*'Plan mensual'!N149+parametros_recargas!$F$94*'Plan mensual'!N150+parametros_recargas!$G$94*'Plan mensual'!N151+parametros_recargas!$H$94*'Plan mensual'!N152+parametros_recargas!$I$94*'Plan mensual'!N153+parametros_recargas!$J$94*'Plan mensual'!N154+parametros_recargas!$K$94*'Plan mensual'!N155+parametros_recargas!$L$94*'Plan mensual'!N156+parametros_recargas!$M$94*'Plan mensual'!N158</f>
        <v>398.807415557223</v>
      </c>
      <c r="M148" s="26" t="n">
        <f aca="false">parametros_recargas!$E$94*'Plan mensual'!O149+parametros_recargas!$F$94*'Plan mensual'!O150+parametros_recargas!$G$94*'Plan mensual'!O151+parametros_recargas!$H$94*'Plan mensual'!O152+parametros_recargas!$I$94*'Plan mensual'!O153+parametros_recargas!$J$94*'Plan mensual'!O154+parametros_recargas!$K$94*'Plan mensual'!O155+parametros_recargas!$L$94*'Plan mensual'!O156+parametros_recargas!$M$94*'Plan mensual'!O158</f>
        <v>398.807415557223</v>
      </c>
      <c r="N148" s="8" t="n">
        <f aca="false">SUM(B148:M148)</f>
        <v>4948.29792040469</v>
      </c>
      <c r="O148" s="27" t="n">
        <f aca="false">MAX(B148:M148)</f>
        <v>561.416349275236</v>
      </c>
      <c r="P148" s="13" t="n">
        <f aca="false">O148/parametros_recargas!$B$6</f>
        <v>3.7427756618349</v>
      </c>
    </row>
    <row r="149" customFormat="false" ht="15" hidden="false" customHeight="false" outlineLevel="0" collapsed="false">
      <c r="A149" s="10" t="str">
        <f aca="false">parametros_recargas!$B$95</f>
        <v>Carga de CO₂</v>
      </c>
      <c r="B149" s="26" t="n">
        <f aca="false">parametros_recargas!$E$95*'Plan mensual'!D149+parametros_recargas!$F$95*'Plan mensual'!D150+parametros_recargas!$G$95*'Plan mensual'!D151+parametros_recargas!$H$95*'Plan mensual'!D152+parametros_recargas!$I$95*'Plan mensual'!D153+parametros_recargas!$J$95*'Plan mensual'!D154+parametros_recargas!$K$95*'Plan mensual'!D155+parametros_recargas!$L$95*'Plan mensual'!D156+parametros_recargas!$M$95*'Plan mensual'!D158</f>
        <v>226.632765122694</v>
      </c>
      <c r="C149" s="26" t="n">
        <f aca="false">parametros_recargas!$E$95*'Plan mensual'!E149+parametros_recargas!$F$95*'Plan mensual'!E150+parametros_recargas!$G$95*'Plan mensual'!E151+parametros_recargas!$H$95*'Plan mensual'!E152+parametros_recargas!$I$95*'Plan mensual'!E153+parametros_recargas!$J$95*'Plan mensual'!E154+parametros_recargas!$K$95*'Plan mensual'!E155+parametros_recargas!$L$95*'Plan mensual'!E156+parametros_recargas!$M$95*'Plan mensual'!E158</f>
        <v>355.812508375988</v>
      </c>
      <c r="D149" s="26" t="n">
        <f aca="false">parametros_recargas!$E$95*'Plan mensual'!F149+parametros_recargas!$F$95*'Plan mensual'!F150+parametros_recargas!$G$95*'Plan mensual'!F151+parametros_recargas!$H$95*'Plan mensual'!F152+parametros_recargas!$I$95*'Plan mensual'!F153+parametros_recargas!$J$95*'Plan mensual'!F154+parametros_recargas!$K$95*'Plan mensual'!F155+parametros_recargas!$L$95*'Plan mensual'!F156+parametros_recargas!$M$95*'Plan mensual'!F158</f>
        <v>226.632765122694</v>
      </c>
      <c r="E149" s="26" t="n">
        <f aca="false">parametros_recargas!$E$95*'Plan mensual'!G149+parametros_recargas!$F$95*'Plan mensual'!G150+parametros_recargas!$G$95*'Plan mensual'!G151+parametros_recargas!$H$95*'Plan mensual'!G152+parametros_recargas!$I$95*'Plan mensual'!G153+parametros_recargas!$J$95*'Plan mensual'!G154+parametros_recargas!$K$95*'Plan mensual'!G155+parametros_recargas!$L$95*'Plan mensual'!G156+parametros_recargas!$M$95*'Plan mensual'!G158</f>
        <v>226.632765122694</v>
      </c>
      <c r="F149" s="26" t="n">
        <f aca="false">parametros_recargas!$E$95*'Plan mensual'!H149+parametros_recargas!$F$95*'Plan mensual'!H150+parametros_recargas!$G$95*'Plan mensual'!H151+parametros_recargas!$H$95*'Plan mensual'!H152+parametros_recargas!$I$95*'Plan mensual'!H153+parametros_recargas!$J$95*'Plan mensual'!H154+parametros_recargas!$K$95*'Plan mensual'!H155+parametros_recargas!$L$95*'Plan mensual'!H156+parametros_recargas!$M$95*'Plan mensual'!H158</f>
        <v>226.632765122694</v>
      </c>
      <c r="G149" s="26" t="n">
        <f aca="false">parametros_recargas!$E$95*'Plan mensual'!I149+parametros_recargas!$F$95*'Plan mensual'!I150+parametros_recargas!$G$95*'Plan mensual'!I151+parametros_recargas!$H$95*'Plan mensual'!I152+parametros_recargas!$I$95*'Plan mensual'!I153+parametros_recargas!$J$95*'Plan mensual'!I154+parametros_recargas!$K$95*'Plan mensual'!I155+parametros_recargas!$L$95*'Plan mensual'!I156+parametros_recargas!$M$95*'Plan mensual'!I158</f>
        <v>226.632765122694</v>
      </c>
      <c r="H149" s="26" t="n">
        <f aca="false">parametros_recargas!$E$95*'Plan mensual'!J149+parametros_recargas!$F$95*'Plan mensual'!J150+parametros_recargas!$G$95*'Plan mensual'!J151+parametros_recargas!$H$95*'Plan mensual'!J152+parametros_recargas!$I$95*'Plan mensual'!J153+parametros_recargas!$J$95*'Plan mensual'!J154+parametros_recargas!$K$95*'Plan mensual'!J155+parametros_recargas!$L$95*'Plan mensual'!J156+parametros_recargas!$M$95*'Plan mensual'!J158</f>
        <v>226.632765122694</v>
      </c>
      <c r="I149" s="26" t="n">
        <f aca="false">parametros_recargas!$E$95*'Plan mensual'!K149+parametros_recargas!$F$95*'Plan mensual'!K150+parametros_recargas!$G$95*'Plan mensual'!K151+parametros_recargas!$H$95*'Plan mensual'!K152+parametros_recargas!$I$95*'Plan mensual'!K153+parametros_recargas!$J$95*'Plan mensual'!K154+parametros_recargas!$K$95*'Plan mensual'!K155+parametros_recargas!$L$95*'Plan mensual'!K156+parametros_recargas!$M$95*'Plan mensual'!K158</f>
        <v>226.632765122694</v>
      </c>
      <c r="J149" s="26" t="n">
        <f aca="false">parametros_recargas!$E$95*'Plan mensual'!L149+parametros_recargas!$F$95*'Plan mensual'!L150+parametros_recargas!$G$95*'Plan mensual'!L151+parametros_recargas!$H$95*'Plan mensual'!L152+parametros_recargas!$I$95*'Plan mensual'!L153+parametros_recargas!$J$95*'Plan mensual'!L154+parametros_recargas!$K$95*'Plan mensual'!L155+parametros_recargas!$L$95*'Plan mensual'!L156+parametros_recargas!$M$95*'Plan mensual'!L158</f>
        <v>226.632765122694</v>
      </c>
      <c r="K149" s="26" t="n">
        <f aca="false">parametros_recargas!$E$95*'Plan mensual'!M149+parametros_recargas!$F$95*'Plan mensual'!M150+parametros_recargas!$G$95*'Plan mensual'!M151+parametros_recargas!$H$95*'Plan mensual'!M152+parametros_recargas!$I$95*'Plan mensual'!M153+parametros_recargas!$J$95*'Plan mensual'!M154+parametros_recargas!$K$95*'Plan mensual'!M155+parametros_recargas!$L$95*'Plan mensual'!M156+parametros_recargas!$M$95*'Plan mensual'!M158</f>
        <v>226.632765122694</v>
      </c>
      <c r="L149" s="26" t="n">
        <f aca="false">parametros_recargas!$E$95*'Plan mensual'!N149+parametros_recargas!$F$95*'Plan mensual'!N150+parametros_recargas!$G$95*'Plan mensual'!N151+parametros_recargas!$H$95*'Plan mensual'!N152+parametros_recargas!$I$95*'Plan mensual'!N153+parametros_recargas!$J$95*'Plan mensual'!N154+parametros_recargas!$K$95*'Plan mensual'!N155+parametros_recargas!$L$95*'Plan mensual'!N156+parametros_recargas!$M$95*'Plan mensual'!N158</f>
        <v>226.632765122694</v>
      </c>
      <c r="M149" s="26" t="n">
        <f aca="false">parametros_recargas!$E$95*'Plan mensual'!O149+parametros_recargas!$F$95*'Plan mensual'!O150+parametros_recargas!$G$95*'Plan mensual'!O151+parametros_recargas!$H$95*'Plan mensual'!O152+parametros_recargas!$I$95*'Plan mensual'!O153+parametros_recargas!$J$95*'Plan mensual'!O154+parametros_recargas!$K$95*'Plan mensual'!O155+parametros_recargas!$L$95*'Plan mensual'!O156+parametros_recargas!$M$95*'Plan mensual'!O158</f>
        <v>226.632765122694</v>
      </c>
      <c r="N149" s="8" t="n">
        <f aca="false">SUM(B149:M149)</f>
        <v>2848.77292472562</v>
      </c>
      <c r="O149" s="27" t="n">
        <f aca="false">MAX(B149:M149)</f>
        <v>355.812508375988</v>
      </c>
      <c r="P149" s="13" t="n">
        <f aca="false">O149/parametros_recargas!$B$6</f>
        <v>2.37208338917326</v>
      </c>
    </row>
    <row r="150" customFormat="false" ht="15" hidden="false" customHeight="false" outlineLevel="0" collapsed="false">
      <c r="A150" s="10" t="str">
        <f aca="false">parametros_recargas!$B$96</f>
        <v>Ensamblaje y marbete — recinto</v>
      </c>
      <c r="B150" s="26" t="n">
        <f aca="false">parametros_recargas!$E$96*'Plan mensual'!D149+parametros_recargas!$F$96*'Plan mensual'!D150+parametros_recargas!$G$96*'Plan mensual'!D151+parametros_recargas!$H$96*'Plan mensual'!D152+parametros_recargas!$I$96*'Plan mensual'!D153+parametros_recargas!$J$96*'Plan mensual'!D154+parametros_recargas!$K$96*'Plan mensual'!D155+parametros_recargas!$L$96*'Plan mensual'!D156+parametros_recargas!$M$96*'Plan mensual'!D158</f>
        <v>3493.87125942829</v>
      </c>
      <c r="C150" s="26" t="n">
        <f aca="false">parametros_recargas!$E$96*'Plan mensual'!E149+parametros_recargas!$F$96*'Plan mensual'!E150+parametros_recargas!$G$96*'Plan mensual'!E151+parametros_recargas!$H$96*'Plan mensual'!E152+parametros_recargas!$I$96*'Plan mensual'!E153+parametros_recargas!$J$96*'Plan mensual'!E154+parametros_recargas!$K$96*'Plan mensual'!E155+parametros_recargas!$L$96*'Plan mensual'!E156+parametros_recargas!$M$96*'Plan mensual'!E158</f>
        <v>9261.55921958179</v>
      </c>
      <c r="D150" s="26" t="n">
        <f aca="false">parametros_recargas!$E$96*'Plan mensual'!F149+parametros_recargas!$F$96*'Plan mensual'!F150+parametros_recargas!$G$96*'Plan mensual'!F151+parametros_recargas!$H$96*'Plan mensual'!F152+parametros_recargas!$I$96*'Plan mensual'!F153+parametros_recargas!$J$96*'Plan mensual'!F154+parametros_recargas!$K$96*'Plan mensual'!F155+parametros_recargas!$L$96*'Plan mensual'!F156+parametros_recargas!$M$96*'Plan mensual'!F158</f>
        <v>7916.70560079746</v>
      </c>
      <c r="E150" s="26" t="n">
        <f aca="false">parametros_recargas!$E$96*'Plan mensual'!G149+parametros_recargas!$F$96*'Plan mensual'!G150+parametros_recargas!$G$96*'Plan mensual'!G151+parametros_recargas!$H$96*'Plan mensual'!G152+parametros_recargas!$I$96*'Plan mensual'!G153+parametros_recargas!$J$96*'Plan mensual'!G154+parametros_recargas!$K$96*'Plan mensual'!G155+parametros_recargas!$L$96*'Plan mensual'!G156+parametros_recargas!$M$96*'Plan mensual'!G158</f>
        <v>7950.93652719616</v>
      </c>
      <c r="F150" s="26" t="n">
        <f aca="false">parametros_recargas!$E$96*'Plan mensual'!H149+parametros_recargas!$F$96*'Plan mensual'!H150+parametros_recargas!$G$96*'Plan mensual'!H151+parametros_recargas!$H$96*'Plan mensual'!H152+parametros_recargas!$I$96*'Plan mensual'!H153+parametros_recargas!$J$96*'Plan mensual'!H154+parametros_recargas!$K$96*'Plan mensual'!H155+parametros_recargas!$L$96*'Plan mensual'!H156+parametros_recargas!$M$96*'Plan mensual'!H158</f>
        <v>7951.5290765827</v>
      </c>
      <c r="G150" s="26" t="n">
        <f aca="false">parametros_recargas!$E$96*'Plan mensual'!I149+parametros_recargas!$F$96*'Plan mensual'!I150+parametros_recargas!$G$96*'Plan mensual'!I151+parametros_recargas!$H$96*'Plan mensual'!I152+parametros_recargas!$I$96*'Plan mensual'!I153+parametros_recargas!$J$96*'Plan mensual'!I154+parametros_recargas!$K$96*'Plan mensual'!I155+parametros_recargas!$L$96*'Plan mensual'!I156+parametros_recargas!$M$96*'Plan mensual'!I158</f>
        <v>7933.52927475664</v>
      </c>
      <c r="H150" s="26" t="n">
        <f aca="false">parametros_recargas!$E$96*'Plan mensual'!J149+parametros_recargas!$F$96*'Plan mensual'!J150+parametros_recargas!$G$96*'Plan mensual'!J151+parametros_recargas!$H$96*'Plan mensual'!J152+parametros_recargas!$I$96*'Plan mensual'!J153+parametros_recargas!$J$96*'Plan mensual'!J154+parametros_recargas!$K$96*'Plan mensual'!J155+parametros_recargas!$L$96*'Plan mensual'!J156+parametros_recargas!$M$96*'Plan mensual'!J158</f>
        <v>7986.44172933695</v>
      </c>
      <c r="I150" s="26" t="n">
        <f aca="false">parametros_recargas!$E$96*'Plan mensual'!K149+parametros_recargas!$F$96*'Plan mensual'!K150+parametros_recargas!$G$96*'Plan mensual'!K151+parametros_recargas!$H$96*'Plan mensual'!K152+parametros_recargas!$I$96*'Plan mensual'!K153+parametros_recargas!$J$96*'Plan mensual'!K154+parametros_recargas!$K$96*'Plan mensual'!K155+parametros_recargas!$L$96*'Plan mensual'!K156+parametros_recargas!$M$96*'Plan mensual'!K158</f>
        <v>7947.91902565441</v>
      </c>
      <c r="J150" s="26" t="n">
        <f aca="false">parametros_recargas!$E$96*'Plan mensual'!L149+parametros_recargas!$F$96*'Plan mensual'!L150+parametros_recargas!$G$96*'Plan mensual'!L151+parametros_recargas!$H$96*'Plan mensual'!L152+parametros_recargas!$I$96*'Plan mensual'!L153+parametros_recargas!$J$96*'Plan mensual'!L154+parametros_recargas!$K$96*'Plan mensual'!L155+parametros_recargas!$L$96*'Plan mensual'!L156+parametros_recargas!$M$96*'Plan mensual'!L158</f>
        <v>7953.65956432237</v>
      </c>
      <c r="K150" s="26" t="n">
        <f aca="false">parametros_recargas!$E$96*'Plan mensual'!M149+parametros_recargas!$F$96*'Plan mensual'!M150+parametros_recargas!$G$96*'Plan mensual'!M151+parametros_recargas!$H$96*'Plan mensual'!M152+parametros_recargas!$I$96*'Plan mensual'!M153+parametros_recargas!$J$96*'Plan mensual'!M154+parametros_recargas!$K$96*'Plan mensual'!M155+parametros_recargas!$L$96*'Plan mensual'!M156+parametros_recargas!$M$96*'Plan mensual'!M158</f>
        <v>7932.07553453604</v>
      </c>
      <c r="L150" s="26" t="n">
        <f aca="false">parametros_recargas!$E$96*'Plan mensual'!N149+parametros_recargas!$F$96*'Plan mensual'!N150+parametros_recargas!$G$96*'Plan mensual'!N151+parametros_recargas!$H$96*'Plan mensual'!N152+parametros_recargas!$I$96*'Plan mensual'!N153+parametros_recargas!$J$96*'Plan mensual'!N154+parametros_recargas!$K$96*'Plan mensual'!N155+parametros_recargas!$L$96*'Plan mensual'!N156+parametros_recargas!$M$96*'Plan mensual'!N158</f>
        <v>7845.09990997056</v>
      </c>
      <c r="M150" s="26" t="n">
        <f aca="false">parametros_recargas!$E$96*'Plan mensual'!O149+parametros_recargas!$F$96*'Plan mensual'!O150+parametros_recargas!$G$96*'Plan mensual'!O151+parametros_recargas!$H$96*'Plan mensual'!O152+parametros_recargas!$I$96*'Plan mensual'!O153+parametros_recargas!$J$96*'Plan mensual'!O154+parametros_recargas!$K$96*'Plan mensual'!O155+parametros_recargas!$L$96*'Plan mensual'!O156+parametros_recargas!$M$96*'Plan mensual'!O158</f>
        <v>3263.63394495723</v>
      </c>
      <c r="N150" s="8" t="n">
        <f aca="false">SUM(B150:M150)</f>
        <v>87436.9606671206</v>
      </c>
      <c r="O150" s="27" t="n">
        <f aca="false">MAX(B150:M150)</f>
        <v>9261.55921958179</v>
      </c>
      <c r="P150" s="13" t="n">
        <f aca="false">O150/parametros_recargas!$B$6</f>
        <v>61.7437281305452</v>
      </c>
    </row>
    <row r="151" customFormat="false" ht="15" hidden="false" customHeight="false" outlineLevel="0" collapsed="false">
      <c r="A151" s="10" t="str">
        <f aca="false">parametros_recargas!$B$97</f>
        <v>Presurización — recinto</v>
      </c>
      <c r="B151" s="26" t="n">
        <f aca="false">parametros_recargas!$E$97*'Plan mensual'!D149+parametros_recargas!$F$97*'Plan mensual'!D150+parametros_recargas!$G$97*'Plan mensual'!D151+parametros_recargas!$H$97*'Plan mensual'!D152+parametros_recargas!$I$97*'Plan mensual'!D153+parametros_recargas!$J$97*'Plan mensual'!D154+parametros_recargas!$K$97*'Plan mensual'!D155+parametros_recargas!$L$97*'Plan mensual'!D156+parametros_recargas!$M$97*'Plan mensual'!D158</f>
        <v>3493.87125942829</v>
      </c>
      <c r="C151" s="26" t="n">
        <f aca="false">parametros_recargas!$E$97*'Plan mensual'!E149+parametros_recargas!$F$97*'Plan mensual'!E150+parametros_recargas!$G$97*'Plan mensual'!E151+parametros_recargas!$H$97*'Plan mensual'!E152+parametros_recargas!$I$97*'Plan mensual'!E153+parametros_recargas!$J$97*'Plan mensual'!E154+parametros_recargas!$K$97*'Plan mensual'!E155+parametros_recargas!$L$97*'Plan mensual'!E156+parametros_recargas!$M$97*'Plan mensual'!E158</f>
        <v>9261.55921958179</v>
      </c>
      <c r="D151" s="26" t="n">
        <f aca="false">parametros_recargas!$E$97*'Plan mensual'!F149+parametros_recargas!$F$97*'Plan mensual'!F150+parametros_recargas!$G$97*'Plan mensual'!F151+parametros_recargas!$H$97*'Plan mensual'!F152+parametros_recargas!$I$97*'Plan mensual'!F153+parametros_recargas!$J$97*'Plan mensual'!F154+parametros_recargas!$K$97*'Plan mensual'!F155+parametros_recargas!$L$97*'Plan mensual'!F156+parametros_recargas!$M$97*'Plan mensual'!F158</f>
        <v>7916.70560079746</v>
      </c>
      <c r="E151" s="26" t="n">
        <f aca="false">parametros_recargas!$E$97*'Plan mensual'!G149+parametros_recargas!$F$97*'Plan mensual'!G150+parametros_recargas!$G$97*'Plan mensual'!G151+parametros_recargas!$H$97*'Plan mensual'!G152+parametros_recargas!$I$97*'Plan mensual'!G153+parametros_recargas!$J$97*'Plan mensual'!G154+parametros_recargas!$K$97*'Plan mensual'!G155+parametros_recargas!$L$97*'Plan mensual'!G156+parametros_recargas!$M$97*'Plan mensual'!G158</f>
        <v>7950.93652719616</v>
      </c>
      <c r="F151" s="26" t="n">
        <f aca="false">parametros_recargas!$E$97*'Plan mensual'!H149+parametros_recargas!$F$97*'Plan mensual'!H150+parametros_recargas!$G$97*'Plan mensual'!H151+parametros_recargas!$H$97*'Plan mensual'!H152+parametros_recargas!$I$97*'Plan mensual'!H153+parametros_recargas!$J$97*'Plan mensual'!H154+parametros_recargas!$K$97*'Plan mensual'!H155+parametros_recargas!$L$97*'Plan mensual'!H156+parametros_recargas!$M$97*'Plan mensual'!H158</f>
        <v>7951.5290765827</v>
      </c>
      <c r="G151" s="26" t="n">
        <f aca="false">parametros_recargas!$E$97*'Plan mensual'!I149+parametros_recargas!$F$97*'Plan mensual'!I150+parametros_recargas!$G$97*'Plan mensual'!I151+parametros_recargas!$H$97*'Plan mensual'!I152+parametros_recargas!$I$97*'Plan mensual'!I153+parametros_recargas!$J$97*'Plan mensual'!I154+parametros_recargas!$K$97*'Plan mensual'!I155+parametros_recargas!$L$97*'Plan mensual'!I156+parametros_recargas!$M$97*'Plan mensual'!I158</f>
        <v>7933.52927475664</v>
      </c>
      <c r="H151" s="26" t="n">
        <f aca="false">parametros_recargas!$E$97*'Plan mensual'!J149+parametros_recargas!$F$97*'Plan mensual'!J150+parametros_recargas!$G$97*'Plan mensual'!J151+parametros_recargas!$H$97*'Plan mensual'!J152+parametros_recargas!$I$97*'Plan mensual'!J153+parametros_recargas!$J$97*'Plan mensual'!J154+parametros_recargas!$K$97*'Plan mensual'!J155+parametros_recargas!$L$97*'Plan mensual'!J156+parametros_recargas!$M$97*'Plan mensual'!J158</f>
        <v>7986.44172933695</v>
      </c>
      <c r="I151" s="26" t="n">
        <f aca="false">parametros_recargas!$E$97*'Plan mensual'!K149+parametros_recargas!$F$97*'Plan mensual'!K150+parametros_recargas!$G$97*'Plan mensual'!K151+parametros_recargas!$H$97*'Plan mensual'!K152+parametros_recargas!$I$97*'Plan mensual'!K153+parametros_recargas!$J$97*'Plan mensual'!K154+parametros_recargas!$K$97*'Plan mensual'!K155+parametros_recargas!$L$97*'Plan mensual'!K156+parametros_recargas!$M$97*'Plan mensual'!K158</f>
        <v>7947.91902565441</v>
      </c>
      <c r="J151" s="26" t="n">
        <f aca="false">parametros_recargas!$E$97*'Plan mensual'!L149+parametros_recargas!$F$97*'Plan mensual'!L150+parametros_recargas!$G$97*'Plan mensual'!L151+parametros_recargas!$H$97*'Plan mensual'!L152+parametros_recargas!$I$97*'Plan mensual'!L153+parametros_recargas!$J$97*'Plan mensual'!L154+parametros_recargas!$K$97*'Plan mensual'!L155+parametros_recargas!$L$97*'Plan mensual'!L156+parametros_recargas!$M$97*'Plan mensual'!L158</f>
        <v>7953.65956432237</v>
      </c>
      <c r="K151" s="26" t="n">
        <f aca="false">parametros_recargas!$E$97*'Plan mensual'!M149+parametros_recargas!$F$97*'Plan mensual'!M150+parametros_recargas!$G$97*'Plan mensual'!M151+parametros_recargas!$H$97*'Plan mensual'!M152+parametros_recargas!$I$97*'Plan mensual'!M153+parametros_recargas!$J$97*'Plan mensual'!M154+parametros_recargas!$K$97*'Plan mensual'!M155+parametros_recargas!$L$97*'Plan mensual'!M156+parametros_recargas!$M$97*'Plan mensual'!M158</f>
        <v>7932.07553453604</v>
      </c>
      <c r="L151" s="26" t="n">
        <f aca="false">parametros_recargas!$E$97*'Plan mensual'!N149+parametros_recargas!$F$97*'Plan mensual'!N150+parametros_recargas!$G$97*'Plan mensual'!N151+parametros_recargas!$H$97*'Plan mensual'!N152+parametros_recargas!$I$97*'Plan mensual'!N153+parametros_recargas!$J$97*'Plan mensual'!N154+parametros_recargas!$K$97*'Plan mensual'!N155+parametros_recargas!$L$97*'Plan mensual'!N156+parametros_recargas!$M$97*'Plan mensual'!N158</f>
        <v>7845.09990997056</v>
      </c>
      <c r="M151" s="26" t="n">
        <f aca="false">parametros_recargas!$E$97*'Plan mensual'!O149+parametros_recargas!$F$97*'Plan mensual'!O150+parametros_recargas!$G$97*'Plan mensual'!O151+parametros_recargas!$H$97*'Plan mensual'!O152+parametros_recargas!$I$97*'Plan mensual'!O153+parametros_recargas!$J$97*'Plan mensual'!O154+parametros_recargas!$K$97*'Plan mensual'!O155+parametros_recargas!$L$97*'Plan mensual'!O156+parametros_recargas!$M$97*'Plan mensual'!O158</f>
        <v>3263.63394495723</v>
      </c>
      <c r="N151" s="8" t="n">
        <f aca="false">SUM(B151:M151)</f>
        <v>87436.9606671206</v>
      </c>
      <c r="O151" s="27" t="n">
        <f aca="false">MAX(B151:M151)</f>
        <v>9261.55921958179</v>
      </c>
      <c r="P151" s="13" t="n">
        <f aca="false">O151/parametros_recargas!$B$6</f>
        <v>61.7437281305452</v>
      </c>
    </row>
    <row r="152" customFormat="false" ht="15" hidden="false" customHeight="false" outlineLevel="0" collapsed="false">
      <c r="A152" s="10" t="str">
        <f aca="false">parametros_recargas!$B$98</f>
        <v>Ensamblaje y presurización — zona general</v>
      </c>
      <c r="B152" s="26" t="n">
        <f aca="false">parametros_recargas!$E$98*'Plan mensual'!D149+parametros_recargas!$F$98*'Plan mensual'!D150+parametros_recargas!$G$98*'Plan mensual'!D151+parametros_recargas!$H$98*'Plan mensual'!D152+parametros_recargas!$I$98*'Plan mensual'!D153+parametros_recargas!$J$98*'Plan mensual'!D154+parametros_recargas!$K$98*'Plan mensual'!D155+parametros_recargas!$L$98*'Plan mensual'!D156+parametros_recargas!$M$98*'Plan mensual'!D158</f>
        <v>623.520732703646</v>
      </c>
      <c r="C152" s="26" t="n">
        <f aca="false">parametros_recargas!$E$98*'Plan mensual'!E149+parametros_recargas!$F$98*'Plan mensual'!E150+parametros_recargas!$G$98*'Plan mensual'!E151+parametros_recargas!$H$98*'Plan mensual'!E152+parametros_recargas!$I$98*'Plan mensual'!E153+parametros_recargas!$J$98*'Plan mensual'!E154+parametros_recargas!$K$98*'Plan mensual'!E155+parametros_recargas!$L$98*'Plan mensual'!E156+parametros_recargas!$M$98*'Plan mensual'!E158</f>
        <v>905.413525571295</v>
      </c>
      <c r="D152" s="26" t="n">
        <f aca="false">parametros_recargas!$E$98*'Plan mensual'!F149+parametros_recargas!$F$98*'Plan mensual'!F150+parametros_recargas!$G$98*'Plan mensual'!F151+parametros_recargas!$H$98*'Plan mensual'!F152+parametros_recargas!$I$98*'Plan mensual'!F153+parametros_recargas!$J$98*'Plan mensual'!F154+parametros_recargas!$K$98*'Plan mensual'!F155+parametros_recargas!$L$98*'Plan mensual'!F156+parametros_recargas!$M$98*'Plan mensual'!F158</f>
        <v>623.520732703646</v>
      </c>
      <c r="E152" s="26" t="n">
        <f aca="false">parametros_recargas!$E$98*'Plan mensual'!G149+parametros_recargas!$F$98*'Plan mensual'!G150+parametros_recargas!$G$98*'Plan mensual'!G151+parametros_recargas!$H$98*'Plan mensual'!G152+parametros_recargas!$I$98*'Plan mensual'!G153+parametros_recargas!$J$98*'Plan mensual'!G154+parametros_recargas!$K$98*'Plan mensual'!G155+parametros_recargas!$L$98*'Plan mensual'!G156+parametros_recargas!$M$98*'Plan mensual'!G158</f>
        <v>623.520732703646</v>
      </c>
      <c r="F152" s="26" t="n">
        <f aca="false">parametros_recargas!$E$98*'Plan mensual'!H149+parametros_recargas!$F$98*'Plan mensual'!H150+parametros_recargas!$G$98*'Plan mensual'!H151+parametros_recargas!$H$98*'Plan mensual'!H152+parametros_recargas!$I$98*'Plan mensual'!H153+parametros_recargas!$J$98*'Plan mensual'!H154+parametros_recargas!$K$98*'Plan mensual'!H155+parametros_recargas!$L$98*'Plan mensual'!H156+parametros_recargas!$M$98*'Plan mensual'!H158</f>
        <v>623.520732703646</v>
      </c>
      <c r="G152" s="26" t="n">
        <f aca="false">parametros_recargas!$E$98*'Plan mensual'!I149+parametros_recargas!$F$98*'Plan mensual'!I150+parametros_recargas!$G$98*'Plan mensual'!I151+parametros_recargas!$H$98*'Plan mensual'!I152+parametros_recargas!$I$98*'Plan mensual'!I153+parametros_recargas!$J$98*'Plan mensual'!I154+parametros_recargas!$K$98*'Plan mensual'!I155+parametros_recargas!$L$98*'Plan mensual'!I156+parametros_recargas!$M$98*'Plan mensual'!I158</f>
        <v>623.520732703646</v>
      </c>
      <c r="H152" s="26" t="n">
        <f aca="false">parametros_recargas!$E$98*'Plan mensual'!J149+parametros_recargas!$F$98*'Plan mensual'!J150+parametros_recargas!$G$98*'Plan mensual'!J151+parametros_recargas!$H$98*'Plan mensual'!J152+parametros_recargas!$I$98*'Plan mensual'!J153+parametros_recargas!$J$98*'Plan mensual'!J154+parametros_recargas!$K$98*'Plan mensual'!J155+parametros_recargas!$L$98*'Plan mensual'!J156+parametros_recargas!$M$98*'Plan mensual'!J158</f>
        <v>623.520732703646</v>
      </c>
      <c r="I152" s="26" t="n">
        <f aca="false">parametros_recargas!$E$98*'Plan mensual'!K149+parametros_recargas!$F$98*'Plan mensual'!K150+parametros_recargas!$G$98*'Plan mensual'!K151+parametros_recargas!$H$98*'Plan mensual'!K152+parametros_recargas!$I$98*'Plan mensual'!K153+parametros_recargas!$J$98*'Plan mensual'!K154+parametros_recargas!$K$98*'Plan mensual'!K155+parametros_recargas!$L$98*'Plan mensual'!K156+parametros_recargas!$M$98*'Plan mensual'!K158</f>
        <v>623.520732703646</v>
      </c>
      <c r="J152" s="26" t="n">
        <f aca="false">parametros_recargas!$E$98*'Plan mensual'!L149+parametros_recargas!$F$98*'Plan mensual'!L150+parametros_recargas!$G$98*'Plan mensual'!L151+parametros_recargas!$H$98*'Plan mensual'!L152+parametros_recargas!$I$98*'Plan mensual'!L153+parametros_recargas!$J$98*'Plan mensual'!L154+parametros_recargas!$K$98*'Plan mensual'!L155+parametros_recargas!$L$98*'Plan mensual'!L156+parametros_recargas!$M$98*'Plan mensual'!L158</f>
        <v>623.520732703646</v>
      </c>
      <c r="K152" s="26" t="n">
        <f aca="false">parametros_recargas!$E$98*'Plan mensual'!M149+parametros_recargas!$F$98*'Plan mensual'!M150+parametros_recargas!$G$98*'Plan mensual'!M151+parametros_recargas!$H$98*'Plan mensual'!M152+parametros_recargas!$I$98*'Plan mensual'!M153+parametros_recargas!$J$98*'Plan mensual'!M154+parametros_recargas!$K$98*'Plan mensual'!M155+parametros_recargas!$L$98*'Plan mensual'!M156+parametros_recargas!$M$98*'Plan mensual'!M158</f>
        <v>623.520732703646</v>
      </c>
      <c r="L152" s="26" t="n">
        <f aca="false">parametros_recargas!$E$98*'Plan mensual'!N149+parametros_recargas!$F$98*'Plan mensual'!N150+parametros_recargas!$G$98*'Plan mensual'!N151+parametros_recargas!$H$98*'Plan mensual'!N152+parametros_recargas!$I$98*'Plan mensual'!N153+parametros_recargas!$J$98*'Plan mensual'!N154+parametros_recargas!$K$98*'Plan mensual'!N155+parametros_recargas!$L$98*'Plan mensual'!N156+parametros_recargas!$M$98*'Plan mensual'!N158</f>
        <v>623.520732703646</v>
      </c>
      <c r="M152" s="26" t="n">
        <f aca="false">parametros_recargas!$E$98*'Plan mensual'!O149+parametros_recargas!$F$98*'Plan mensual'!O150+parametros_recargas!$G$98*'Plan mensual'!O151+parametros_recargas!$H$98*'Plan mensual'!O152+parametros_recargas!$I$98*'Plan mensual'!O153+parametros_recargas!$J$98*'Plan mensual'!O154+parametros_recargas!$K$98*'Plan mensual'!O155+parametros_recargas!$L$98*'Plan mensual'!O156+parametros_recargas!$M$98*'Plan mensual'!O158</f>
        <v>623.520732703646</v>
      </c>
      <c r="N152" s="8" t="n">
        <f aca="false">SUM(B152:M152)</f>
        <v>7764.1415853114</v>
      </c>
      <c r="O152" s="27" t="n">
        <f aca="false">MAX(B152:M152)</f>
        <v>905.413525571295</v>
      </c>
      <c r="P152" s="13" t="n">
        <f aca="false">O152/parametros_recargas!$B$6</f>
        <v>6.0360901704753</v>
      </c>
    </row>
    <row r="153" customFormat="false" ht="15" hidden="false" customHeight="false" outlineLevel="0" collapsed="false">
      <c r="A153" s="10" t="str">
        <f aca="false">parametros_recargas!$B$99</f>
        <v>Carga y presurización de halogenado</v>
      </c>
      <c r="B153" s="26" t="n">
        <f aca="false">parametros_recargas!$E$99*'Plan mensual'!D149+parametros_recargas!$F$99*'Plan mensual'!D150+parametros_recargas!$G$99*'Plan mensual'!D151+parametros_recargas!$H$99*'Plan mensual'!D152+parametros_recargas!$I$99*'Plan mensual'!D153+parametros_recargas!$J$99*'Plan mensual'!D154+parametros_recargas!$K$99*'Plan mensual'!D155+parametros_recargas!$L$99*'Plan mensual'!D156+parametros_recargas!$M$99*'Plan mensual'!D158</f>
        <v>9.46679735027531</v>
      </c>
      <c r="C153" s="26" t="n">
        <f aca="false">parametros_recargas!$E$99*'Plan mensual'!E149+parametros_recargas!$F$99*'Plan mensual'!E150+parametros_recargas!$G$99*'Plan mensual'!E151+parametros_recargas!$H$99*'Plan mensual'!E152+parametros_recargas!$I$99*'Plan mensual'!E153+parametros_recargas!$J$99*'Plan mensual'!E154+parametros_recargas!$K$99*'Plan mensual'!E155+parametros_recargas!$L$99*'Plan mensual'!E156+parametros_recargas!$M$99*'Plan mensual'!E158</f>
        <v>9.46679735027531</v>
      </c>
      <c r="D153" s="26" t="n">
        <f aca="false">parametros_recargas!$E$99*'Plan mensual'!F149+parametros_recargas!$F$99*'Plan mensual'!F150+parametros_recargas!$G$99*'Plan mensual'!F151+parametros_recargas!$H$99*'Plan mensual'!F152+parametros_recargas!$I$99*'Plan mensual'!F153+parametros_recargas!$J$99*'Plan mensual'!F154+parametros_recargas!$K$99*'Plan mensual'!F155+parametros_recargas!$L$99*'Plan mensual'!F156+parametros_recargas!$M$99*'Plan mensual'!F158</f>
        <v>9.46679735027531</v>
      </c>
      <c r="E153" s="26" t="n">
        <f aca="false">parametros_recargas!$E$99*'Plan mensual'!G149+parametros_recargas!$F$99*'Plan mensual'!G150+parametros_recargas!$G$99*'Plan mensual'!G151+parametros_recargas!$H$99*'Plan mensual'!G152+parametros_recargas!$I$99*'Plan mensual'!G153+parametros_recargas!$J$99*'Plan mensual'!G154+parametros_recargas!$K$99*'Plan mensual'!G155+parametros_recargas!$L$99*'Plan mensual'!G156+parametros_recargas!$M$99*'Plan mensual'!G158</f>
        <v>9.46679735027531</v>
      </c>
      <c r="F153" s="26" t="n">
        <f aca="false">parametros_recargas!$E$99*'Plan mensual'!H149+parametros_recargas!$F$99*'Plan mensual'!H150+parametros_recargas!$G$99*'Plan mensual'!H151+parametros_recargas!$H$99*'Plan mensual'!H152+parametros_recargas!$I$99*'Plan mensual'!H153+parametros_recargas!$J$99*'Plan mensual'!H154+parametros_recargas!$K$99*'Plan mensual'!H155+parametros_recargas!$L$99*'Plan mensual'!H156+parametros_recargas!$M$99*'Plan mensual'!H158</f>
        <v>9.46679735027531</v>
      </c>
      <c r="G153" s="26" t="n">
        <f aca="false">parametros_recargas!$E$99*'Plan mensual'!I149+parametros_recargas!$F$99*'Plan mensual'!I150+parametros_recargas!$G$99*'Plan mensual'!I151+parametros_recargas!$H$99*'Plan mensual'!I152+parametros_recargas!$I$99*'Plan mensual'!I153+parametros_recargas!$J$99*'Plan mensual'!I154+parametros_recargas!$K$99*'Plan mensual'!I155+parametros_recargas!$L$99*'Plan mensual'!I156+parametros_recargas!$M$99*'Plan mensual'!I158</f>
        <v>9.46679735027531</v>
      </c>
      <c r="H153" s="26" t="n">
        <f aca="false">parametros_recargas!$E$99*'Plan mensual'!J149+parametros_recargas!$F$99*'Plan mensual'!J150+parametros_recargas!$G$99*'Plan mensual'!J151+parametros_recargas!$H$99*'Plan mensual'!J152+parametros_recargas!$I$99*'Plan mensual'!J153+parametros_recargas!$J$99*'Plan mensual'!J154+parametros_recargas!$K$99*'Plan mensual'!J155+parametros_recargas!$L$99*'Plan mensual'!J156+parametros_recargas!$M$99*'Plan mensual'!J158</f>
        <v>9.46679735027531</v>
      </c>
      <c r="I153" s="26" t="n">
        <f aca="false">parametros_recargas!$E$99*'Plan mensual'!K149+parametros_recargas!$F$99*'Plan mensual'!K150+parametros_recargas!$G$99*'Plan mensual'!K151+parametros_recargas!$H$99*'Plan mensual'!K152+parametros_recargas!$I$99*'Plan mensual'!K153+parametros_recargas!$J$99*'Plan mensual'!K154+parametros_recargas!$K$99*'Plan mensual'!K155+parametros_recargas!$L$99*'Plan mensual'!K156+parametros_recargas!$M$99*'Plan mensual'!K158</f>
        <v>9.46679735027531</v>
      </c>
      <c r="J153" s="26" t="n">
        <f aca="false">parametros_recargas!$E$99*'Plan mensual'!L149+parametros_recargas!$F$99*'Plan mensual'!L150+parametros_recargas!$G$99*'Plan mensual'!L151+parametros_recargas!$H$99*'Plan mensual'!L152+parametros_recargas!$I$99*'Plan mensual'!L153+parametros_recargas!$J$99*'Plan mensual'!L154+parametros_recargas!$K$99*'Plan mensual'!L155+parametros_recargas!$L$99*'Plan mensual'!L156+parametros_recargas!$M$99*'Plan mensual'!L158</f>
        <v>9.46679735027531</v>
      </c>
      <c r="K153" s="26" t="n">
        <f aca="false">parametros_recargas!$E$99*'Plan mensual'!M149+parametros_recargas!$F$99*'Plan mensual'!M150+parametros_recargas!$G$99*'Plan mensual'!M151+parametros_recargas!$H$99*'Plan mensual'!M152+parametros_recargas!$I$99*'Plan mensual'!M153+parametros_recargas!$J$99*'Plan mensual'!M154+parametros_recargas!$K$99*'Plan mensual'!M155+parametros_recargas!$L$99*'Plan mensual'!M156+parametros_recargas!$M$99*'Plan mensual'!M158</f>
        <v>9.46679735027531</v>
      </c>
      <c r="L153" s="26" t="n">
        <f aca="false">parametros_recargas!$E$99*'Plan mensual'!N149+parametros_recargas!$F$99*'Plan mensual'!N150+parametros_recargas!$G$99*'Plan mensual'!N151+parametros_recargas!$H$99*'Plan mensual'!N152+parametros_recargas!$I$99*'Plan mensual'!N153+parametros_recargas!$J$99*'Plan mensual'!N154+parametros_recargas!$K$99*'Plan mensual'!N155+parametros_recargas!$L$99*'Plan mensual'!N156+parametros_recargas!$M$99*'Plan mensual'!N158</f>
        <v>9.46679735027531</v>
      </c>
      <c r="M153" s="26" t="n">
        <f aca="false">parametros_recargas!$E$99*'Plan mensual'!O149+parametros_recargas!$F$99*'Plan mensual'!O150+parametros_recargas!$G$99*'Plan mensual'!O151+parametros_recargas!$H$99*'Plan mensual'!O152+parametros_recargas!$I$99*'Plan mensual'!O153+parametros_recargas!$J$99*'Plan mensual'!O154+parametros_recargas!$K$99*'Plan mensual'!O155+parametros_recargas!$L$99*'Plan mensual'!O156+parametros_recargas!$M$99*'Plan mensual'!O158</f>
        <v>9.46679735027531</v>
      </c>
      <c r="N153" s="8" t="n">
        <f aca="false">SUM(B153:M153)</f>
        <v>113.601568203304</v>
      </c>
      <c r="O153" s="27" t="n">
        <f aca="false">MAX(B153:M153)</f>
        <v>9.46679735027531</v>
      </c>
      <c r="P153" s="13" t="n">
        <f aca="false">O153/parametros_recargas!$B$6</f>
        <v>0.0631119823351687</v>
      </c>
    </row>
    <row r="154" customFormat="false" ht="15" hidden="false" customHeight="false" outlineLevel="0" collapsed="false">
      <c r="A154" s="10" t="str">
        <f aca="false">parametros_recargas!$B$100</f>
        <v>Control de peso (CO₂ y halogenados sin recarga)</v>
      </c>
      <c r="B154" s="26" t="n">
        <f aca="false">parametros_recargas!$E$100*'Plan mensual'!D149+parametros_recargas!$F$100*'Plan mensual'!D150+parametros_recargas!$G$100*'Plan mensual'!D151+parametros_recargas!$H$100*'Plan mensual'!D152+parametros_recargas!$I$100*'Plan mensual'!D153+parametros_recargas!$J$100*'Plan mensual'!D154+parametros_recargas!$K$100*'Plan mensual'!D155+parametros_recargas!$L$100*'Plan mensual'!D156+parametros_recargas!$M$100*'Plan mensual'!D158</f>
        <v>438.470616021228</v>
      </c>
      <c r="C154" s="26" t="n">
        <f aca="false">parametros_recargas!$E$100*'Plan mensual'!E149+parametros_recargas!$F$100*'Plan mensual'!E150+parametros_recargas!$G$100*'Plan mensual'!E151+parametros_recargas!$H$100*'Plan mensual'!E152+parametros_recargas!$I$100*'Plan mensual'!E153+parametros_recargas!$J$100*'Plan mensual'!E154+parametros_recargas!$K$100*'Plan mensual'!E155+parametros_recargas!$L$100*'Plan mensual'!E156+parametros_recargas!$M$100*'Plan mensual'!E158</f>
        <v>678.375853491632</v>
      </c>
      <c r="D154" s="26" t="n">
        <f aca="false">parametros_recargas!$E$100*'Plan mensual'!F149+parametros_recargas!$F$100*'Plan mensual'!F150+parametros_recargas!$G$100*'Plan mensual'!F151+parametros_recargas!$H$100*'Plan mensual'!F152+parametros_recargas!$I$100*'Plan mensual'!F153+parametros_recargas!$J$100*'Plan mensual'!F154+parametros_recargas!$K$100*'Plan mensual'!F155+parametros_recargas!$L$100*'Plan mensual'!F156+parametros_recargas!$M$100*'Plan mensual'!F158</f>
        <v>438.470616021228</v>
      </c>
      <c r="E154" s="26" t="n">
        <f aca="false">parametros_recargas!$E$100*'Plan mensual'!G149+parametros_recargas!$F$100*'Plan mensual'!G150+parametros_recargas!$G$100*'Plan mensual'!G151+parametros_recargas!$H$100*'Plan mensual'!G152+parametros_recargas!$I$100*'Plan mensual'!G153+parametros_recargas!$J$100*'Plan mensual'!G154+parametros_recargas!$K$100*'Plan mensual'!G155+parametros_recargas!$L$100*'Plan mensual'!G156+parametros_recargas!$M$100*'Plan mensual'!G158</f>
        <v>438.470616021228</v>
      </c>
      <c r="F154" s="26" t="n">
        <f aca="false">parametros_recargas!$E$100*'Plan mensual'!H149+parametros_recargas!$F$100*'Plan mensual'!H150+parametros_recargas!$G$100*'Plan mensual'!H151+parametros_recargas!$H$100*'Plan mensual'!H152+parametros_recargas!$I$100*'Plan mensual'!H153+parametros_recargas!$J$100*'Plan mensual'!H154+parametros_recargas!$K$100*'Plan mensual'!H155+parametros_recargas!$L$100*'Plan mensual'!H156+parametros_recargas!$M$100*'Plan mensual'!H158</f>
        <v>438.470616021228</v>
      </c>
      <c r="G154" s="26" t="n">
        <f aca="false">parametros_recargas!$E$100*'Plan mensual'!I149+parametros_recargas!$F$100*'Plan mensual'!I150+parametros_recargas!$G$100*'Plan mensual'!I151+parametros_recargas!$H$100*'Plan mensual'!I152+parametros_recargas!$I$100*'Plan mensual'!I153+parametros_recargas!$J$100*'Plan mensual'!I154+parametros_recargas!$K$100*'Plan mensual'!I155+parametros_recargas!$L$100*'Plan mensual'!I156+parametros_recargas!$M$100*'Plan mensual'!I158</f>
        <v>438.470616021228</v>
      </c>
      <c r="H154" s="26" t="n">
        <f aca="false">parametros_recargas!$E$100*'Plan mensual'!J149+parametros_recargas!$F$100*'Plan mensual'!J150+parametros_recargas!$G$100*'Plan mensual'!J151+parametros_recargas!$H$100*'Plan mensual'!J152+parametros_recargas!$I$100*'Plan mensual'!J153+parametros_recargas!$J$100*'Plan mensual'!J154+parametros_recargas!$K$100*'Plan mensual'!J155+parametros_recargas!$L$100*'Plan mensual'!J156+parametros_recargas!$M$100*'Plan mensual'!J158</f>
        <v>438.470616021228</v>
      </c>
      <c r="I154" s="26" t="n">
        <f aca="false">parametros_recargas!$E$100*'Plan mensual'!K149+parametros_recargas!$F$100*'Plan mensual'!K150+parametros_recargas!$G$100*'Plan mensual'!K151+parametros_recargas!$H$100*'Plan mensual'!K152+parametros_recargas!$I$100*'Plan mensual'!K153+parametros_recargas!$J$100*'Plan mensual'!K154+parametros_recargas!$K$100*'Plan mensual'!K155+parametros_recargas!$L$100*'Plan mensual'!K156+parametros_recargas!$M$100*'Plan mensual'!K158</f>
        <v>438.470616021228</v>
      </c>
      <c r="J154" s="26" t="n">
        <f aca="false">parametros_recargas!$E$100*'Plan mensual'!L149+parametros_recargas!$F$100*'Plan mensual'!L150+parametros_recargas!$G$100*'Plan mensual'!L151+parametros_recargas!$H$100*'Plan mensual'!L152+parametros_recargas!$I$100*'Plan mensual'!L153+parametros_recargas!$J$100*'Plan mensual'!L154+parametros_recargas!$K$100*'Plan mensual'!L155+parametros_recargas!$L$100*'Plan mensual'!L156+parametros_recargas!$M$100*'Plan mensual'!L158</f>
        <v>438.470616021228</v>
      </c>
      <c r="K154" s="26" t="n">
        <f aca="false">parametros_recargas!$E$100*'Plan mensual'!M149+parametros_recargas!$F$100*'Plan mensual'!M150+parametros_recargas!$G$100*'Plan mensual'!M151+parametros_recargas!$H$100*'Plan mensual'!M152+parametros_recargas!$I$100*'Plan mensual'!M153+parametros_recargas!$J$100*'Plan mensual'!M154+parametros_recargas!$K$100*'Plan mensual'!M155+parametros_recargas!$L$100*'Plan mensual'!M156+parametros_recargas!$M$100*'Plan mensual'!M158</f>
        <v>438.470616021228</v>
      </c>
      <c r="L154" s="26" t="n">
        <f aca="false">parametros_recargas!$E$100*'Plan mensual'!N149+parametros_recargas!$F$100*'Plan mensual'!N150+parametros_recargas!$G$100*'Plan mensual'!N151+parametros_recargas!$H$100*'Plan mensual'!N152+parametros_recargas!$I$100*'Plan mensual'!N153+parametros_recargas!$J$100*'Plan mensual'!N154+parametros_recargas!$K$100*'Plan mensual'!N155+parametros_recargas!$L$100*'Plan mensual'!N156+parametros_recargas!$M$100*'Plan mensual'!N158</f>
        <v>438.470616021228</v>
      </c>
      <c r="M154" s="26" t="n">
        <f aca="false">parametros_recargas!$E$100*'Plan mensual'!O149+parametros_recargas!$F$100*'Plan mensual'!O150+parametros_recargas!$G$100*'Plan mensual'!O151+parametros_recargas!$H$100*'Plan mensual'!O152+parametros_recargas!$I$100*'Plan mensual'!O153+parametros_recargas!$J$100*'Plan mensual'!O154+parametros_recargas!$K$100*'Plan mensual'!O155+parametros_recargas!$L$100*'Plan mensual'!O156+parametros_recargas!$M$100*'Plan mensual'!O158</f>
        <v>438.470616021228</v>
      </c>
      <c r="N154" s="8" t="n">
        <f aca="false">SUM(B154:M154)</f>
        <v>5501.55262972514</v>
      </c>
      <c r="O154" s="27" t="n">
        <f aca="false">MAX(B154:M154)</f>
        <v>678.375853491632</v>
      </c>
      <c r="P154" s="13" t="n">
        <f aca="false">O154/parametros_recargas!$B$6</f>
        <v>4.52250568994422</v>
      </c>
    </row>
    <row r="155" customFormat="false" ht="15" hidden="false" customHeight="false" outlineLevel="0" collapsed="false">
      <c r="A155" s="10" t="str">
        <f aca="false">parametros_recargas!$B$101</f>
        <v>Ensayo de pérdidas</v>
      </c>
      <c r="B155" s="26" t="n">
        <f aca="false">parametros_recargas!$E$101*'Plan mensual'!D149+parametros_recargas!$F$101*'Plan mensual'!D150+parametros_recargas!$G$101*'Plan mensual'!D151+parametros_recargas!$H$101*'Plan mensual'!D152+parametros_recargas!$I$101*'Plan mensual'!D153+parametros_recargas!$J$101*'Plan mensual'!D154+parametros_recargas!$K$101*'Plan mensual'!D155+parametros_recargas!$L$101*'Plan mensual'!D156+parametros_recargas!$M$101*'Plan mensual'!D158</f>
        <v>4588.23871745641</v>
      </c>
      <c r="C155" s="26" t="n">
        <f aca="false">parametros_recargas!$E$101*'Plan mensual'!E149+parametros_recargas!$F$101*'Plan mensual'!E150+parametros_recargas!$G$101*'Plan mensual'!E151+parametros_recargas!$H$101*'Plan mensual'!E152+parametros_recargas!$I$101*'Plan mensual'!E153+parametros_recargas!$J$101*'Plan mensual'!E154+parametros_recargas!$K$101*'Plan mensual'!E155+parametros_recargas!$L$101*'Plan mensual'!E156+parametros_recargas!$M$101*'Plan mensual'!E158</f>
        <v>10896.1789569841</v>
      </c>
      <c r="D155" s="26" t="n">
        <f aca="false">parametros_recargas!$E$101*'Plan mensual'!F149+parametros_recargas!$F$101*'Plan mensual'!F150+parametros_recargas!$G$101*'Plan mensual'!F151+parametros_recargas!$H$101*'Plan mensual'!F152+parametros_recargas!$I$101*'Plan mensual'!F153+parametros_recargas!$J$101*'Plan mensual'!F154+parametros_recargas!$K$101*'Plan mensual'!F155+parametros_recargas!$L$101*'Plan mensual'!F156+parametros_recargas!$M$101*'Plan mensual'!F158</f>
        <v>9011.07305882558</v>
      </c>
      <c r="E155" s="26" t="n">
        <f aca="false">parametros_recargas!$E$101*'Plan mensual'!G149+parametros_recargas!$F$101*'Plan mensual'!G150+parametros_recargas!$G$101*'Plan mensual'!G151+parametros_recargas!$H$101*'Plan mensual'!G152+parametros_recargas!$I$101*'Plan mensual'!G153+parametros_recargas!$J$101*'Plan mensual'!G154+parametros_recargas!$K$101*'Plan mensual'!G155+parametros_recargas!$L$101*'Plan mensual'!G156+parametros_recargas!$M$101*'Plan mensual'!G158</f>
        <v>9045.30398522428</v>
      </c>
      <c r="F155" s="26" t="n">
        <f aca="false">parametros_recargas!$E$101*'Plan mensual'!H149+parametros_recargas!$F$101*'Plan mensual'!H150+parametros_recargas!$G$101*'Plan mensual'!H151+parametros_recargas!$H$101*'Plan mensual'!H152+parametros_recargas!$I$101*'Plan mensual'!H153+parametros_recargas!$J$101*'Plan mensual'!H154+parametros_recargas!$K$101*'Plan mensual'!H155+parametros_recargas!$L$101*'Plan mensual'!H156+parametros_recargas!$M$101*'Plan mensual'!H158</f>
        <v>9045.89653461081</v>
      </c>
      <c r="G155" s="26" t="n">
        <f aca="false">parametros_recargas!$E$101*'Plan mensual'!I149+parametros_recargas!$F$101*'Plan mensual'!I150+parametros_recargas!$G$101*'Plan mensual'!I151+parametros_recargas!$H$101*'Plan mensual'!I152+parametros_recargas!$I$101*'Plan mensual'!I153+parametros_recargas!$J$101*'Plan mensual'!I154+parametros_recargas!$K$101*'Plan mensual'!I155+parametros_recargas!$L$101*'Plan mensual'!I156+parametros_recargas!$M$101*'Plan mensual'!I158</f>
        <v>9027.89673278476</v>
      </c>
      <c r="H155" s="26" t="n">
        <f aca="false">parametros_recargas!$E$101*'Plan mensual'!J149+parametros_recargas!$F$101*'Plan mensual'!J150+parametros_recargas!$G$101*'Plan mensual'!J151+parametros_recargas!$H$101*'Plan mensual'!J152+parametros_recargas!$I$101*'Plan mensual'!J153+parametros_recargas!$J$101*'Plan mensual'!J154+parametros_recargas!$K$101*'Plan mensual'!J155+parametros_recargas!$L$101*'Plan mensual'!J156+parametros_recargas!$M$101*'Plan mensual'!J158</f>
        <v>9080.80918736507</v>
      </c>
      <c r="I155" s="26" t="n">
        <f aca="false">parametros_recargas!$E$101*'Plan mensual'!K149+parametros_recargas!$F$101*'Plan mensual'!K150+parametros_recargas!$G$101*'Plan mensual'!K151+parametros_recargas!$H$101*'Plan mensual'!K152+parametros_recargas!$I$101*'Plan mensual'!K153+parametros_recargas!$J$101*'Plan mensual'!K154+parametros_recargas!$K$101*'Plan mensual'!K155+parametros_recargas!$L$101*'Plan mensual'!K156+parametros_recargas!$M$101*'Plan mensual'!K158</f>
        <v>9042.28648368253</v>
      </c>
      <c r="J155" s="26" t="n">
        <f aca="false">parametros_recargas!$E$101*'Plan mensual'!L149+parametros_recargas!$F$101*'Plan mensual'!L150+parametros_recargas!$G$101*'Plan mensual'!L151+parametros_recargas!$H$101*'Plan mensual'!L152+parametros_recargas!$I$101*'Plan mensual'!L153+parametros_recargas!$J$101*'Plan mensual'!L154+parametros_recargas!$K$101*'Plan mensual'!L155+parametros_recargas!$L$101*'Plan mensual'!L156+parametros_recargas!$M$101*'Plan mensual'!L158</f>
        <v>9048.02702235049</v>
      </c>
      <c r="K155" s="26" t="n">
        <f aca="false">parametros_recargas!$E$101*'Plan mensual'!M149+parametros_recargas!$F$101*'Plan mensual'!M150+parametros_recargas!$G$101*'Plan mensual'!M151+parametros_recargas!$H$101*'Plan mensual'!M152+parametros_recargas!$I$101*'Plan mensual'!M153+parametros_recargas!$J$101*'Plan mensual'!M154+parametros_recargas!$K$101*'Plan mensual'!M155+parametros_recargas!$L$101*'Plan mensual'!M156+parametros_recargas!$M$101*'Plan mensual'!M158</f>
        <v>9026.44299256416</v>
      </c>
      <c r="L155" s="26" t="n">
        <f aca="false">parametros_recargas!$E$101*'Plan mensual'!N149+parametros_recargas!$F$101*'Plan mensual'!N150+parametros_recargas!$G$101*'Plan mensual'!N151+parametros_recargas!$H$101*'Plan mensual'!N152+parametros_recargas!$I$101*'Plan mensual'!N153+parametros_recargas!$J$101*'Plan mensual'!N154+parametros_recargas!$K$101*'Plan mensual'!N155+parametros_recargas!$L$101*'Plan mensual'!N156+parametros_recargas!$M$101*'Plan mensual'!N158</f>
        <v>8939.46736799867</v>
      </c>
      <c r="M155" s="26" t="n">
        <f aca="false">parametros_recargas!$E$101*'Plan mensual'!O149+parametros_recargas!$F$101*'Plan mensual'!O150+parametros_recargas!$G$101*'Plan mensual'!O151+parametros_recargas!$H$101*'Plan mensual'!O152+parametros_recargas!$I$101*'Plan mensual'!O153+parametros_recargas!$J$101*'Plan mensual'!O154+parametros_recargas!$K$101*'Plan mensual'!O155+parametros_recargas!$L$101*'Plan mensual'!O156+parametros_recargas!$M$101*'Plan mensual'!O158</f>
        <v>4358.00140298535</v>
      </c>
      <c r="N155" s="8" t="n">
        <f aca="false">SUM(B155:M155)</f>
        <v>101109.622442832</v>
      </c>
      <c r="O155" s="27" t="n">
        <f aca="false">MAX(B155:M155)</f>
        <v>10896.1789569841</v>
      </c>
      <c r="P155" s="13" t="n">
        <f aca="false">O155/parametros_recargas!$B$6</f>
        <v>72.6411930465609</v>
      </c>
    </row>
    <row r="156" customFormat="false" ht="15" hidden="false" customHeight="false" outlineLevel="0" collapsed="false">
      <c r="A156" s="10" t="str">
        <f aca="false">parametros_recargas!$B$102</f>
        <v>Precinto, etiqueta y despacho</v>
      </c>
      <c r="B156" s="26" t="n">
        <f aca="false">parametros_recargas!$E$102*'Plan mensual'!D149+parametros_recargas!$F$102*'Plan mensual'!D150+parametros_recargas!$G$102*'Plan mensual'!D151+parametros_recargas!$H$102*'Plan mensual'!D152+parametros_recargas!$I$102*'Plan mensual'!D153+parametros_recargas!$J$102*'Plan mensual'!D154+parametros_recargas!$K$102*'Plan mensual'!D155+parametros_recargas!$L$102*'Plan mensual'!D156+parametros_recargas!$M$102*'Plan mensual'!D158</f>
        <v>4588.23871745641</v>
      </c>
      <c r="C156" s="26" t="n">
        <f aca="false">parametros_recargas!$E$102*'Plan mensual'!E149+parametros_recargas!$F$102*'Plan mensual'!E150+parametros_recargas!$G$102*'Plan mensual'!E151+parametros_recargas!$H$102*'Plan mensual'!E152+parametros_recargas!$I$102*'Plan mensual'!E153+parametros_recargas!$J$102*'Plan mensual'!E154+parametros_recargas!$K$102*'Plan mensual'!E155+parametros_recargas!$L$102*'Plan mensual'!E156+parametros_recargas!$M$102*'Plan mensual'!E158</f>
        <v>10896.1789569841</v>
      </c>
      <c r="D156" s="26" t="n">
        <f aca="false">parametros_recargas!$E$102*'Plan mensual'!F149+parametros_recargas!$F$102*'Plan mensual'!F150+parametros_recargas!$G$102*'Plan mensual'!F151+parametros_recargas!$H$102*'Plan mensual'!F152+parametros_recargas!$I$102*'Plan mensual'!F153+parametros_recargas!$J$102*'Plan mensual'!F154+parametros_recargas!$K$102*'Plan mensual'!F155+parametros_recargas!$L$102*'Plan mensual'!F156+parametros_recargas!$M$102*'Plan mensual'!F158</f>
        <v>9011.07305882558</v>
      </c>
      <c r="E156" s="26" t="n">
        <f aca="false">parametros_recargas!$E$102*'Plan mensual'!G149+parametros_recargas!$F$102*'Plan mensual'!G150+parametros_recargas!$G$102*'Plan mensual'!G151+parametros_recargas!$H$102*'Plan mensual'!G152+parametros_recargas!$I$102*'Plan mensual'!G153+parametros_recargas!$J$102*'Plan mensual'!G154+parametros_recargas!$K$102*'Plan mensual'!G155+parametros_recargas!$L$102*'Plan mensual'!G156+parametros_recargas!$M$102*'Plan mensual'!G158</f>
        <v>9045.30398522428</v>
      </c>
      <c r="F156" s="26" t="n">
        <f aca="false">parametros_recargas!$E$102*'Plan mensual'!H149+parametros_recargas!$F$102*'Plan mensual'!H150+parametros_recargas!$G$102*'Plan mensual'!H151+parametros_recargas!$H$102*'Plan mensual'!H152+parametros_recargas!$I$102*'Plan mensual'!H153+parametros_recargas!$J$102*'Plan mensual'!H154+parametros_recargas!$K$102*'Plan mensual'!H155+parametros_recargas!$L$102*'Plan mensual'!H156+parametros_recargas!$M$102*'Plan mensual'!H158</f>
        <v>9045.89653461081</v>
      </c>
      <c r="G156" s="26" t="n">
        <f aca="false">parametros_recargas!$E$102*'Plan mensual'!I149+parametros_recargas!$F$102*'Plan mensual'!I150+parametros_recargas!$G$102*'Plan mensual'!I151+parametros_recargas!$H$102*'Plan mensual'!I152+parametros_recargas!$I$102*'Plan mensual'!I153+parametros_recargas!$J$102*'Plan mensual'!I154+parametros_recargas!$K$102*'Plan mensual'!I155+parametros_recargas!$L$102*'Plan mensual'!I156+parametros_recargas!$M$102*'Plan mensual'!I158</f>
        <v>9027.89673278476</v>
      </c>
      <c r="H156" s="26" t="n">
        <f aca="false">parametros_recargas!$E$102*'Plan mensual'!J149+parametros_recargas!$F$102*'Plan mensual'!J150+parametros_recargas!$G$102*'Plan mensual'!J151+parametros_recargas!$H$102*'Plan mensual'!J152+parametros_recargas!$I$102*'Plan mensual'!J153+parametros_recargas!$J$102*'Plan mensual'!J154+parametros_recargas!$K$102*'Plan mensual'!J155+parametros_recargas!$L$102*'Plan mensual'!J156+parametros_recargas!$M$102*'Plan mensual'!J158</f>
        <v>9080.80918736507</v>
      </c>
      <c r="I156" s="26" t="n">
        <f aca="false">parametros_recargas!$E$102*'Plan mensual'!K149+parametros_recargas!$F$102*'Plan mensual'!K150+parametros_recargas!$G$102*'Plan mensual'!K151+parametros_recargas!$H$102*'Plan mensual'!K152+parametros_recargas!$I$102*'Plan mensual'!K153+parametros_recargas!$J$102*'Plan mensual'!K154+parametros_recargas!$K$102*'Plan mensual'!K155+parametros_recargas!$L$102*'Plan mensual'!K156+parametros_recargas!$M$102*'Plan mensual'!K158</f>
        <v>9042.28648368253</v>
      </c>
      <c r="J156" s="26" t="n">
        <f aca="false">parametros_recargas!$E$102*'Plan mensual'!L149+parametros_recargas!$F$102*'Plan mensual'!L150+parametros_recargas!$G$102*'Plan mensual'!L151+parametros_recargas!$H$102*'Plan mensual'!L152+parametros_recargas!$I$102*'Plan mensual'!L153+parametros_recargas!$J$102*'Plan mensual'!L154+parametros_recargas!$K$102*'Plan mensual'!L155+parametros_recargas!$L$102*'Plan mensual'!L156+parametros_recargas!$M$102*'Plan mensual'!L158</f>
        <v>9048.02702235049</v>
      </c>
      <c r="K156" s="26" t="n">
        <f aca="false">parametros_recargas!$E$102*'Plan mensual'!M149+parametros_recargas!$F$102*'Plan mensual'!M150+parametros_recargas!$G$102*'Plan mensual'!M151+parametros_recargas!$H$102*'Plan mensual'!M152+parametros_recargas!$I$102*'Plan mensual'!M153+parametros_recargas!$J$102*'Plan mensual'!M154+parametros_recargas!$K$102*'Plan mensual'!M155+parametros_recargas!$L$102*'Plan mensual'!M156+parametros_recargas!$M$102*'Plan mensual'!M158</f>
        <v>9026.44299256416</v>
      </c>
      <c r="L156" s="26" t="n">
        <f aca="false">parametros_recargas!$E$102*'Plan mensual'!N149+parametros_recargas!$F$102*'Plan mensual'!N150+parametros_recargas!$G$102*'Plan mensual'!N151+parametros_recargas!$H$102*'Plan mensual'!N152+parametros_recargas!$I$102*'Plan mensual'!N153+parametros_recargas!$J$102*'Plan mensual'!N154+parametros_recargas!$K$102*'Plan mensual'!N155+parametros_recargas!$L$102*'Plan mensual'!N156+parametros_recargas!$M$102*'Plan mensual'!N158</f>
        <v>8939.46736799867</v>
      </c>
      <c r="M156" s="26" t="n">
        <f aca="false">parametros_recargas!$E$102*'Plan mensual'!O149+parametros_recargas!$F$102*'Plan mensual'!O150+parametros_recargas!$G$102*'Plan mensual'!O151+parametros_recargas!$H$102*'Plan mensual'!O152+parametros_recargas!$I$102*'Plan mensual'!O153+parametros_recargas!$J$102*'Plan mensual'!O154+parametros_recargas!$K$102*'Plan mensual'!O155+parametros_recargas!$L$102*'Plan mensual'!O156+parametros_recargas!$M$102*'Plan mensual'!O158</f>
        <v>4358.00140298535</v>
      </c>
      <c r="N156" s="8" t="n">
        <f aca="false">SUM(B156:M156)</f>
        <v>101109.622442832</v>
      </c>
      <c r="O156" s="27" t="n">
        <f aca="false">MAX(B156:M156)</f>
        <v>10896.1789569841</v>
      </c>
      <c r="P156" s="13" t="n">
        <f aca="false">O156/parametros_recargas!$B$6</f>
        <v>72.6411930465609</v>
      </c>
    </row>
    <row r="157" customFormat="false" ht="15" hidden="false" customHeight="false" outlineLevel="0" collapsed="false">
      <c r="A157" s="10" t="str">
        <f aca="false">parametros_recargas!$B$103</f>
        <v>Inutilización y disposición final</v>
      </c>
      <c r="B157" s="26" t="n">
        <f aca="false">parametros_recargas!$E$103*'Plan mensual'!D149+parametros_recargas!$F$103*'Plan mensual'!D150+parametros_recargas!$G$103*'Plan mensual'!D151+parametros_recargas!$H$103*'Plan mensual'!D152+parametros_recargas!$I$103*'Plan mensual'!D153+parametros_recargas!$J$103*'Plan mensual'!D154+parametros_recargas!$K$103*'Plan mensual'!D155+parametros_recargas!$L$103*'Plan mensual'!D156+parametros_recargas!$M$103*'Plan mensual'!D158</f>
        <v>353.994419141013</v>
      </c>
      <c r="C157" s="26" t="n">
        <f aca="false">parametros_recargas!$E$103*'Plan mensual'!E149+parametros_recargas!$F$103*'Plan mensual'!E150+parametros_recargas!$G$103*'Plan mensual'!E151+parametros_recargas!$H$103*'Plan mensual'!E152+parametros_recargas!$I$103*'Plan mensual'!E153+parametros_recargas!$J$103*'Plan mensual'!E154+parametros_recargas!$K$103*'Plan mensual'!E155+parametros_recargas!$L$103*'Plan mensual'!E156+parametros_recargas!$M$103*'Plan mensual'!E158</f>
        <v>852.902971348552</v>
      </c>
      <c r="D157" s="26" t="n">
        <f aca="false">parametros_recargas!$E$103*'Plan mensual'!F149+parametros_recargas!$F$103*'Plan mensual'!F150+parametros_recargas!$G$103*'Plan mensual'!F151+parametros_recargas!$H$103*'Plan mensual'!F152+parametros_recargas!$I$103*'Plan mensual'!F153+parametros_recargas!$J$103*'Plan mensual'!F154+parametros_recargas!$K$103*'Plan mensual'!F155+parametros_recargas!$L$103*'Plan mensual'!F156+parametros_recargas!$M$103*'Plan mensual'!F158</f>
        <v>708.086551755189</v>
      </c>
      <c r="E157" s="26" t="n">
        <f aca="false">parametros_recargas!$E$103*'Plan mensual'!G149+parametros_recargas!$F$103*'Plan mensual'!G150+parametros_recargas!$G$103*'Plan mensual'!G151+parametros_recargas!$H$103*'Plan mensual'!G152+parametros_recargas!$I$103*'Plan mensual'!G153+parametros_recargas!$J$103*'Plan mensual'!G154+parametros_recargas!$K$103*'Plan mensual'!G155+parametros_recargas!$L$103*'Plan mensual'!G156+parametros_recargas!$M$103*'Plan mensual'!G158</f>
        <v>710.825025867084</v>
      </c>
      <c r="F157" s="26" t="n">
        <f aca="false">parametros_recargas!$E$103*'Plan mensual'!H149+parametros_recargas!$F$103*'Plan mensual'!H150+parametros_recargas!$G$103*'Plan mensual'!H151+parametros_recargas!$H$103*'Plan mensual'!H152+parametros_recargas!$I$103*'Plan mensual'!H153+parametros_recargas!$J$103*'Plan mensual'!H154+parametros_recargas!$K$103*'Plan mensual'!H155+parametros_recargas!$L$103*'Plan mensual'!H156+parametros_recargas!$M$103*'Plan mensual'!H158</f>
        <v>710.967981818007</v>
      </c>
      <c r="G157" s="26" t="n">
        <f aca="false">parametros_recargas!$E$103*'Plan mensual'!I149+parametros_recargas!$F$103*'Plan mensual'!I150+parametros_recargas!$G$103*'Plan mensual'!I151+parametros_recargas!$H$103*'Plan mensual'!I152+parametros_recargas!$I$103*'Plan mensual'!I153+parametros_recargas!$J$103*'Plan mensual'!I154+parametros_recargas!$K$103*'Plan mensual'!I155+parametros_recargas!$L$103*'Plan mensual'!I156+parametros_recargas!$M$103*'Plan mensual'!I158</f>
        <v>709.666091062638</v>
      </c>
      <c r="H157" s="26" t="n">
        <f aca="false">parametros_recargas!$E$103*'Plan mensual'!J149+parametros_recargas!$F$103*'Plan mensual'!J150+parametros_recargas!$G$103*'Plan mensual'!J151+parametros_recargas!$H$103*'Plan mensual'!J152+parametros_recargas!$I$103*'Plan mensual'!J153+parametros_recargas!$J$103*'Plan mensual'!J154+parametros_recargas!$K$103*'Plan mensual'!J155+parametros_recargas!$L$103*'Plan mensual'!J156+parametros_recargas!$M$103*'Plan mensual'!J158</f>
        <v>713.760994038347</v>
      </c>
      <c r="I157" s="26" t="n">
        <f aca="false">parametros_recargas!$E$103*'Plan mensual'!K149+parametros_recargas!$F$103*'Plan mensual'!K150+parametros_recargas!$G$103*'Plan mensual'!K151+parametros_recargas!$H$103*'Plan mensual'!K152+parametros_recargas!$I$103*'Plan mensual'!K153+parametros_recargas!$J$103*'Plan mensual'!K154+parametros_recargas!$K$103*'Plan mensual'!K155+parametros_recargas!$L$103*'Plan mensual'!K156+parametros_recargas!$M$103*'Plan mensual'!K158</f>
        <v>710.679177743744</v>
      </c>
      <c r="J157" s="26" t="n">
        <f aca="false">parametros_recargas!$E$103*'Plan mensual'!L149+parametros_recargas!$F$103*'Plan mensual'!L150+parametros_recargas!$G$103*'Plan mensual'!L151+parametros_recargas!$H$103*'Plan mensual'!L152+parametros_recargas!$I$103*'Plan mensual'!L153+parametros_recargas!$J$103*'Plan mensual'!L154+parametros_recargas!$K$103*'Plan mensual'!L155+parametros_recargas!$L$103*'Plan mensual'!L156+parametros_recargas!$M$103*'Plan mensual'!L158</f>
        <v>711.159691532539</v>
      </c>
      <c r="K157" s="26" t="n">
        <f aca="false">parametros_recargas!$E$103*'Plan mensual'!M149+parametros_recargas!$F$103*'Plan mensual'!M150+parametros_recargas!$G$103*'Plan mensual'!M151+parametros_recargas!$H$103*'Plan mensual'!M152+parametros_recargas!$I$103*'Plan mensual'!M153+parametros_recargas!$J$103*'Plan mensual'!M154+parametros_recargas!$K$103*'Plan mensual'!M155+parametros_recargas!$L$103*'Plan mensual'!M156+parametros_recargas!$M$103*'Plan mensual'!M158</f>
        <v>709.571062540349</v>
      </c>
      <c r="L157" s="26" t="n">
        <f aca="false">parametros_recargas!$E$103*'Plan mensual'!N149+parametros_recargas!$F$103*'Plan mensual'!N150+parametros_recargas!$G$103*'Plan mensual'!N151+parametros_recargas!$H$103*'Plan mensual'!N152+parametros_recargas!$I$103*'Plan mensual'!N153+parametros_recargas!$J$103*'Plan mensual'!N154+parametros_recargas!$K$103*'Plan mensual'!N155+parametros_recargas!$L$103*'Plan mensual'!N156+parametros_recargas!$M$103*'Plan mensual'!N158</f>
        <v>702.729835270468</v>
      </c>
      <c r="M157" s="26" t="n">
        <f aca="false">parametros_recargas!$E$103*'Plan mensual'!O149+parametros_recargas!$F$103*'Plan mensual'!O150+parametros_recargas!$G$103*'Plan mensual'!O151+parametros_recargas!$H$103*'Plan mensual'!O152+parametros_recargas!$I$103*'Plan mensual'!O153+parametros_recargas!$J$103*'Plan mensual'!O154+parametros_recargas!$K$103*'Plan mensual'!O155+parametros_recargas!$L$103*'Plan mensual'!O156+parametros_recargas!$M$103*'Plan mensual'!O158</f>
        <v>335.405600678686</v>
      </c>
      <c r="N157" s="8" t="n">
        <f aca="false">SUM(B157:M157)</f>
        <v>7929.74940279662</v>
      </c>
      <c r="O157" s="27" t="n">
        <f aca="false">MAX(B157:M157)</f>
        <v>852.902971348552</v>
      </c>
      <c r="P157" s="13" t="n">
        <f aca="false">O157/parametros_recargas!$B$6</f>
        <v>5.68601980899035</v>
      </c>
    </row>
    <row r="158" customFormat="false" ht="15" hidden="false" customHeight="false" outlineLevel="0" collapsed="false">
      <c r="A158" s="10" t="str">
        <f aca="false">parametros_recargas!$B$104</f>
        <v>PH de mangueras (CO₂ y rodantes)</v>
      </c>
      <c r="B158" s="26" t="n">
        <f aca="false">'Plan mensual'!D157</f>
        <v>273.324691824499</v>
      </c>
      <c r="C158" s="26" t="n">
        <f aca="false">'Plan mensual'!E157</f>
        <v>303.387396567358</v>
      </c>
      <c r="D158" s="26" t="n">
        <f aca="false">'Plan mensual'!F157</f>
        <v>273.324691824499</v>
      </c>
      <c r="E158" s="26" t="n">
        <f aca="false">'Plan mensual'!G157</f>
        <v>273.324691824499</v>
      </c>
      <c r="F158" s="26" t="n">
        <f aca="false">'Plan mensual'!H157</f>
        <v>273.324691824499</v>
      </c>
      <c r="G158" s="26" t="n">
        <f aca="false">'Plan mensual'!I157</f>
        <v>273.324691824499</v>
      </c>
      <c r="H158" s="26" t="n">
        <f aca="false">'Plan mensual'!J157</f>
        <v>273.324691824499</v>
      </c>
      <c r="I158" s="26" t="n">
        <f aca="false">'Plan mensual'!K157</f>
        <v>273.324691824499</v>
      </c>
      <c r="J158" s="26" t="n">
        <f aca="false">'Plan mensual'!L157</f>
        <v>273.324691824499</v>
      </c>
      <c r="K158" s="26" t="n">
        <f aca="false">'Plan mensual'!M157</f>
        <v>273.324691824499</v>
      </c>
      <c r="L158" s="26" t="n">
        <f aca="false">'Plan mensual'!N157</f>
        <v>273.324691824499</v>
      </c>
      <c r="M158" s="26" t="n">
        <f aca="false">'Plan mensual'!O157</f>
        <v>273.324691824499</v>
      </c>
      <c r="N158" s="8" t="n">
        <f aca="false">SUM(B158:M158)</f>
        <v>3309.95900663685</v>
      </c>
      <c r="O158" s="27" t="n">
        <f aca="false">MAX(B158:M158)</f>
        <v>303.387396567358</v>
      </c>
      <c r="P158" s="13" t="n">
        <f aca="false">O158/parametros_recargas!$B$6</f>
        <v>2.02258264378239</v>
      </c>
    </row>
    <row r="161" customFormat="false" ht="23.85" hidden="false" customHeight="false" outlineLevel="0" collapsed="false">
      <c r="A161" s="6" t="s">
        <v>442</v>
      </c>
      <c r="B161" s="6" t="s">
        <v>175</v>
      </c>
      <c r="C161" s="6" t="s">
        <v>176</v>
      </c>
      <c r="D161" s="6" t="s">
        <v>177</v>
      </c>
      <c r="E161" s="6" t="s">
        <v>178</v>
      </c>
      <c r="F161" s="6" t="s">
        <v>179</v>
      </c>
      <c r="G161" s="6" t="s">
        <v>180</v>
      </c>
      <c r="H161" s="6" t="s">
        <v>181</v>
      </c>
      <c r="I161" s="6" t="s">
        <v>182</v>
      </c>
      <c r="J161" s="6" t="s">
        <v>183</v>
      </c>
      <c r="K161" s="6" t="s">
        <v>184</v>
      </c>
      <c r="L161" s="6" t="s">
        <v>185</v>
      </c>
      <c r="M161" s="6" t="s">
        <v>186</v>
      </c>
      <c r="N161" s="6" t="s">
        <v>435</v>
      </c>
      <c r="O161" s="6" t="s">
        <v>436</v>
      </c>
      <c r="P161" s="6" t="s">
        <v>437</v>
      </c>
    </row>
    <row r="162" customFormat="false" ht="15" hidden="false" customHeight="false" outlineLevel="0" collapsed="false">
      <c r="A162" s="10" t="str">
        <f aca="false">parametros_recargas!$B$76</f>
        <v>Recepción y registro</v>
      </c>
      <c r="B162" s="26" t="n">
        <f aca="false">parametros_recargas!$E$76*'Plan mensual'!D181+parametros_recargas!$F$76*'Plan mensual'!D182+parametros_recargas!$G$76*'Plan mensual'!D183+parametros_recargas!$H$76*'Plan mensual'!D184+parametros_recargas!$I$76*'Plan mensual'!D185+parametros_recargas!$J$76*'Plan mensual'!D186+parametros_recargas!$K$76*'Plan mensual'!D187+parametros_recargas!$L$76*'Plan mensual'!D188+parametros_recargas!$M$76*'Plan mensual'!D190</f>
        <v>6116.76845552636</v>
      </c>
      <c r="C162" s="26" t="n">
        <f aca="false">parametros_recargas!$E$76*'Plan mensual'!E181+parametros_recargas!$F$76*'Plan mensual'!E182+parametros_recargas!$G$76*'Plan mensual'!E183+parametros_recargas!$H$76*'Plan mensual'!E184+parametros_recargas!$I$76*'Plan mensual'!E185+parametros_recargas!$J$76*'Plan mensual'!E186+parametros_recargas!$K$76*'Plan mensual'!E187+parametros_recargas!$L$76*'Plan mensual'!E188+parametros_recargas!$M$76*'Plan mensual'!E190</f>
        <v>14773.8438192846</v>
      </c>
      <c r="D162" s="26" t="n">
        <f aca="false">parametros_recargas!$E$76*'Plan mensual'!F181+parametros_recargas!$F$76*'Plan mensual'!F182+parametros_recargas!$G$76*'Plan mensual'!F183+parametros_recargas!$H$76*'Plan mensual'!F184+parametros_recargas!$I$76*'Plan mensual'!F185+parametros_recargas!$J$76*'Plan mensual'!F186+parametros_recargas!$K$76*'Plan mensual'!F187+parametros_recargas!$L$76*'Plan mensual'!F188+parametros_recargas!$M$76*'Plan mensual'!F190</f>
        <v>12268.9648654817</v>
      </c>
      <c r="E162" s="26" t="n">
        <f aca="false">parametros_recargas!$E$76*'Plan mensual'!G181+parametros_recargas!$F$76*'Plan mensual'!G182+parametros_recargas!$G$76*'Plan mensual'!G183+parametros_recargas!$H$76*'Plan mensual'!G184+parametros_recargas!$I$76*'Plan mensual'!G185+parametros_recargas!$J$76*'Plan mensual'!G186+parametros_recargas!$K$76*'Plan mensual'!G187+parametros_recargas!$L$76*'Plan mensual'!G188+parametros_recargas!$M$76*'Plan mensual'!G190</f>
        <v>12316.5737776281</v>
      </c>
      <c r="F162" s="26" t="n">
        <f aca="false">parametros_recargas!$E$76*'Plan mensual'!H181+parametros_recargas!$F$76*'Plan mensual'!H182+parametros_recargas!$G$76*'Plan mensual'!H183+parametros_recargas!$H$76*'Plan mensual'!H184+parametros_recargas!$I$76*'Plan mensual'!H185+parametros_recargas!$J$76*'Plan mensual'!H186+parametros_recargas!$K$76*'Plan mensual'!H187+parametros_recargas!$L$76*'Plan mensual'!H188+parametros_recargas!$M$76*'Plan mensual'!H190</f>
        <v>12317.6988950093</v>
      </c>
      <c r="G162" s="26" t="n">
        <f aca="false">parametros_recargas!$E$76*'Plan mensual'!I181+parametros_recargas!$F$76*'Plan mensual'!I182+parametros_recargas!$G$76*'Plan mensual'!I183+parametros_recargas!$H$76*'Plan mensual'!I184+parametros_recargas!$I$76*'Plan mensual'!I185+parametros_recargas!$J$76*'Plan mensual'!I186+parametros_recargas!$K$76*'Plan mensual'!I187+parametros_recargas!$L$76*'Plan mensual'!I188+parametros_recargas!$M$76*'Plan mensual'!I190</f>
        <v>12293.0740709402</v>
      </c>
      <c r="H162" s="26" t="n">
        <f aca="false">parametros_recargas!$E$76*'Plan mensual'!J181+parametros_recargas!$F$76*'Plan mensual'!J182+parametros_recargas!$G$76*'Plan mensual'!J183+parametros_recargas!$H$76*'Plan mensual'!J184+parametros_recargas!$I$76*'Plan mensual'!J185+parametros_recargas!$J$76*'Plan mensual'!J186+parametros_recargas!$K$76*'Plan mensual'!J187+parametros_recargas!$L$76*'Plan mensual'!J188+parametros_recargas!$M$76*'Plan mensual'!J190</f>
        <v>12366.2559629196</v>
      </c>
      <c r="I162" s="26" t="n">
        <f aca="false">parametros_recargas!$E$76*'Plan mensual'!K181+parametros_recargas!$F$76*'Plan mensual'!K182+parametros_recargas!$G$76*'Plan mensual'!K183+parametros_recargas!$H$76*'Plan mensual'!K184+parametros_recargas!$I$76*'Plan mensual'!K185+parametros_recargas!$J$76*'Plan mensual'!K186+parametros_recargas!$K$76*'Plan mensual'!K187+parametros_recargas!$L$76*'Plan mensual'!K188+parametros_recargas!$M$76*'Plan mensual'!K190</f>
        <v>12312.6779792594</v>
      </c>
      <c r="J162" s="26" t="n">
        <f aca="false">parametros_recargas!$E$76*'Plan mensual'!L181+parametros_recargas!$F$76*'Plan mensual'!L182+parametros_recargas!$G$76*'Plan mensual'!L183+parametros_recargas!$H$76*'Plan mensual'!L184+parametros_recargas!$I$76*'Plan mensual'!L185+parametros_recargas!$J$76*'Plan mensual'!L186+parametros_recargas!$K$76*'Plan mensual'!L187+parametros_recargas!$L$76*'Plan mensual'!L188+parametros_recargas!$M$76*'Plan mensual'!L190</f>
        <v>12320.7163078273</v>
      </c>
      <c r="K162" s="26" t="n">
        <f aca="false">parametros_recargas!$E$76*'Plan mensual'!M181+parametros_recargas!$F$76*'Plan mensual'!M182+parametros_recargas!$G$76*'Plan mensual'!M183+parametros_recargas!$H$76*'Plan mensual'!M184+parametros_recargas!$I$76*'Plan mensual'!M185+parametros_recargas!$J$76*'Plan mensual'!M186+parametros_recargas!$K$76*'Plan mensual'!M187+parametros_recargas!$L$76*'Plan mensual'!M188+parametros_recargas!$M$76*'Plan mensual'!M190</f>
        <v>12291.1064829993</v>
      </c>
      <c r="L162" s="26" t="n">
        <f aca="false">parametros_recargas!$E$76*'Plan mensual'!N181+parametros_recargas!$F$76*'Plan mensual'!N182+parametros_recargas!$G$76*'Plan mensual'!N183+parametros_recargas!$H$76*'Plan mensual'!N184+parametros_recargas!$I$76*'Plan mensual'!N185+parametros_recargas!$J$76*'Plan mensual'!N186+parametros_recargas!$K$76*'Plan mensual'!N187+parametros_recargas!$L$76*'Plan mensual'!N188+parametros_recargas!$M$76*'Plan mensual'!N190</f>
        <v>12170.4947002597</v>
      </c>
      <c r="M162" s="26" t="n">
        <f aca="false">parametros_recargas!$E$76*'Plan mensual'!O181+parametros_recargas!$F$76*'Plan mensual'!O182+parametros_recargas!$G$76*'Plan mensual'!O183+parametros_recargas!$H$76*'Plan mensual'!O184+parametros_recargas!$I$76*'Plan mensual'!O185+parametros_recargas!$J$76*'Plan mensual'!O186+parametros_recargas!$K$76*'Plan mensual'!O187+parametros_recargas!$L$76*'Plan mensual'!O188+parametros_recargas!$M$76*'Plan mensual'!O190</f>
        <v>5796.00308463678</v>
      </c>
      <c r="N162" s="8" t="n">
        <f aca="false">SUM(B162:M162)</f>
        <v>137344.178401772</v>
      </c>
      <c r="O162" s="27" t="n">
        <f aca="false">MAX(B162:M162)</f>
        <v>14773.8438192846</v>
      </c>
      <c r="P162" s="13" t="n">
        <f aca="false">O162/parametros_recargas!$B$6</f>
        <v>98.4922921285643</v>
      </c>
    </row>
    <row r="163" customFormat="false" ht="15" hidden="false" customHeight="false" outlineLevel="0" collapsed="false">
      <c r="A163" s="10" t="str">
        <f aca="false">parametros_recargas!$B$77</f>
        <v>Inspección visual</v>
      </c>
      <c r="B163" s="26" t="n">
        <f aca="false">parametros_recargas!$E$77*'Plan mensual'!D181+parametros_recargas!$F$77*'Plan mensual'!D182+parametros_recargas!$G$77*'Plan mensual'!D183+parametros_recargas!$H$77*'Plan mensual'!D184+parametros_recargas!$I$77*'Plan mensual'!D185+parametros_recargas!$J$77*'Plan mensual'!D186+parametros_recargas!$K$77*'Plan mensual'!D187+parametros_recargas!$L$77*'Plan mensual'!D188+parametros_recargas!$M$77*'Plan mensual'!D190</f>
        <v>6084.20098353896</v>
      </c>
      <c r="C163" s="26" t="n">
        <f aca="false">parametros_recargas!$E$77*'Plan mensual'!E181+parametros_recargas!$F$77*'Plan mensual'!E182+parametros_recargas!$G$77*'Plan mensual'!E183+parametros_recargas!$H$77*'Plan mensual'!E184+parametros_recargas!$I$77*'Plan mensual'!E185+parametros_recargas!$J$77*'Plan mensual'!E186+parametros_recargas!$K$77*'Plan mensual'!E187+parametros_recargas!$L$77*'Plan mensual'!E188+parametros_recargas!$M$77*'Plan mensual'!E190</f>
        <v>14747.3481440016</v>
      </c>
      <c r="D163" s="26" t="n">
        <f aca="false">parametros_recargas!$E$77*'Plan mensual'!F181+parametros_recargas!$F$77*'Plan mensual'!F182+parametros_recargas!$G$77*'Plan mensual'!F183+parametros_recargas!$H$77*'Plan mensual'!F184+parametros_recargas!$I$77*'Plan mensual'!F185+parametros_recargas!$J$77*'Plan mensual'!F186+parametros_recargas!$K$77*'Plan mensual'!F187+parametros_recargas!$L$77*'Plan mensual'!F188+parametros_recargas!$M$77*'Plan mensual'!F190</f>
        <v>12240.1624951421</v>
      </c>
      <c r="E163" s="26" t="n">
        <f aca="false">parametros_recargas!$E$77*'Plan mensual'!G181+parametros_recargas!$F$77*'Plan mensual'!G182+parametros_recargas!$G$77*'Plan mensual'!G183+parametros_recargas!$H$77*'Plan mensual'!G184+parametros_recargas!$I$77*'Plan mensual'!G185+parametros_recargas!$J$77*'Plan mensual'!G186+parametros_recargas!$K$77*'Plan mensual'!G187+parametros_recargas!$L$77*'Plan mensual'!G188+parametros_recargas!$M$77*'Plan mensual'!G190</f>
        <v>12287.7714072885</v>
      </c>
      <c r="F163" s="26" t="n">
        <f aca="false">parametros_recargas!$E$77*'Plan mensual'!H181+parametros_recargas!$F$77*'Plan mensual'!H182+parametros_recargas!$G$77*'Plan mensual'!H183+parametros_recargas!$H$77*'Plan mensual'!H184+parametros_recargas!$I$77*'Plan mensual'!H185+parametros_recargas!$J$77*'Plan mensual'!H186+parametros_recargas!$K$77*'Plan mensual'!H187+parametros_recargas!$L$77*'Plan mensual'!H188+parametros_recargas!$M$77*'Plan mensual'!H190</f>
        <v>12290.2567246697</v>
      </c>
      <c r="G163" s="26" t="n">
        <f aca="false">parametros_recargas!$E$77*'Plan mensual'!I181+parametros_recargas!$F$77*'Plan mensual'!I182+parametros_recargas!$G$77*'Plan mensual'!I183+parametros_recargas!$H$77*'Plan mensual'!I184+parametros_recargas!$I$77*'Plan mensual'!I185+parametros_recargas!$J$77*'Plan mensual'!I186+parametros_recargas!$K$77*'Plan mensual'!I187+parametros_recargas!$L$77*'Plan mensual'!I188+parametros_recargas!$M$77*'Plan mensual'!I190</f>
        <v>12267.623097305</v>
      </c>
      <c r="H163" s="26" t="n">
        <f aca="false">parametros_recargas!$E$77*'Plan mensual'!J181+parametros_recargas!$F$77*'Plan mensual'!J182+parametros_recargas!$G$77*'Plan mensual'!J183+parametros_recargas!$H$77*'Plan mensual'!J184+parametros_recargas!$I$77*'Plan mensual'!J185+parametros_recargas!$J$77*'Plan mensual'!J186+parametros_recargas!$K$77*'Plan mensual'!J187+parametros_recargas!$L$77*'Plan mensual'!J188+parametros_recargas!$M$77*'Plan mensual'!J190</f>
        <v>12338.81379258</v>
      </c>
      <c r="I163" s="26" t="n">
        <f aca="false">parametros_recargas!$E$77*'Plan mensual'!K181+parametros_recargas!$F$77*'Plan mensual'!K182+parametros_recargas!$G$77*'Plan mensual'!K183+parametros_recargas!$H$77*'Plan mensual'!K184+parametros_recargas!$I$77*'Plan mensual'!K185+parametros_recargas!$J$77*'Plan mensual'!K186+parametros_recargas!$K$77*'Plan mensual'!K187+parametros_recargas!$L$77*'Plan mensual'!K188+parametros_recargas!$M$77*'Plan mensual'!K190</f>
        <v>12285.2358089198</v>
      </c>
      <c r="J163" s="26" t="n">
        <f aca="false">parametros_recargas!$E$77*'Plan mensual'!L181+parametros_recargas!$F$77*'Plan mensual'!L182+parametros_recargas!$G$77*'Plan mensual'!L183+parametros_recargas!$H$77*'Plan mensual'!L184+parametros_recargas!$I$77*'Plan mensual'!L185+parametros_recargas!$J$77*'Plan mensual'!L186+parametros_recargas!$K$77*'Plan mensual'!L187+parametros_recargas!$L$77*'Plan mensual'!L188+parametros_recargas!$M$77*'Plan mensual'!L190</f>
        <v>12293.5896358399</v>
      </c>
      <c r="K163" s="26" t="n">
        <f aca="false">parametros_recargas!$E$77*'Plan mensual'!M181+parametros_recargas!$F$77*'Plan mensual'!M182+parametros_recargas!$G$77*'Plan mensual'!M183+parametros_recargas!$H$77*'Plan mensual'!M184+parametros_recargas!$I$77*'Plan mensual'!M185+parametros_recargas!$J$77*'Plan mensual'!M186+parametros_recargas!$K$77*'Plan mensual'!M187+parametros_recargas!$L$77*'Plan mensual'!M188+parametros_recargas!$M$77*'Plan mensual'!M190</f>
        <v>12265.9710077163</v>
      </c>
      <c r="L163" s="26" t="n">
        <f aca="false">parametros_recargas!$E$77*'Plan mensual'!N181+parametros_recargas!$F$77*'Plan mensual'!N182+parametros_recargas!$G$77*'Plan mensual'!N183+parametros_recargas!$H$77*'Plan mensual'!N184+parametros_recargas!$I$77*'Plan mensual'!N185+parametros_recargas!$J$77*'Plan mensual'!N186+parametros_recargas!$K$77*'Plan mensual'!N187+parametros_recargas!$L$77*'Plan mensual'!N188+parametros_recargas!$M$77*'Plan mensual'!N190</f>
        <v>12147.0349233289</v>
      </c>
      <c r="M163" s="26" t="n">
        <f aca="false">parametros_recargas!$E$77*'Plan mensual'!O181+parametros_recargas!$F$77*'Plan mensual'!O182+parametros_recargas!$G$77*'Plan mensual'!O183+parametros_recargas!$H$77*'Plan mensual'!O184+parametros_recargas!$I$77*'Plan mensual'!O185+parametros_recargas!$J$77*'Plan mensual'!O186+parametros_recargas!$K$77*'Plan mensual'!O187+parametros_recargas!$L$77*'Plan mensual'!O188+parametros_recargas!$M$77*'Plan mensual'!O190</f>
        <v>5761.03071100158</v>
      </c>
      <c r="N163" s="8" t="n">
        <f aca="false">SUM(B163:M163)</f>
        <v>137009.038731332</v>
      </c>
      <c r="O163" s="27" t="n">
        <f aca="false">MAX(B163:M163)</f>
        <v>14747.3481440016</v>
      </c>
      <c r="P163" s="13" t="n">
        <f aca="false">O163/parametros_recargas!$B$6</f>
        <v>98.3156542933443</v>
      </c>
    </row>
    <row r="164" customFormat="false" ht="15" hidden="false" customHeight="false" outlineLevel="0" collapsed="false">
      <c r="A164" s="10" t="str">
        <f aca="false">parametros_recargas!$B$78</f>
        <v>Descarga ABC — ruta recuperable</v>
      </c>
      <c r="B164" s="26" t="n">
        <f aca="false">parametros_recargas!$E$78*'Plan mensual'!D181+parametros_recargas!$F$78*'Plan mensual'!D182+parametros_recargas!$G$78*'Plan mensual'!D183+parametros_recargas!$H$78*'Plan mensual'!D184+parametros_recargas!$I$78*'Plan mensual'!D185+parametros_recargas!$J$78*'Plan mensual'!D186+parametros_recargas!$K$78*'Plan mensual'!D187+parametros_recargas!$L$78*'Plan mensual'!D188+parametros_recargas!$M$78*'Plan mensual'!D190</f>
        <v>3938.49853158643</v>
      </c>
      <c r="C164" s="26" t="n">
        <f aca="false">parametros_recargas!$E$78*'Plan mensual'!E181+parametros_recargas!$F$78*'Plan mensual'!E182+parametros_recargas!$G$78*'Plan mensual'!E183+parametros_recargas!$H$78*'Plan mensual'!E184+parametros_recargas!$I$78*'Plan mensual'!E185+parametros_recargas!$J$78*'Plan mensual'!E186+parametros_recargas!$K$78*'Plan mensual'!E187+parametros_recargas!$L$78*'Plan mensual'!E188+parametros_recargas!$M$78*'Plan mensual'!E190</f>
        <v>10731.2142061107</v>
      </c>
      <c r="D164" s="26" t="n">
        <f aca="false">parametros_recargas!$E$78*'Plan mensual'!F181+parametros_recargas!$F$78*'Plan mensual'!F182+parametros_recargas!$G$78*'Plan mensual'!F183+parametros_recargas!$H$78*'Plan mensual'!F184+parametros_recargas!$I$78*'Plan mensual'!F185+parametros_recargas!$J$78*'Plan mensual'!F186+parametros_recargas!$K$78*'Plan mensual'!F187+parametros_recargas!$L$78*'Plan mensual'!F188+parametros_recargas!$M$78*'Plan mensual'!F190</f>
        <v>9201.84562400711</v>
      </c>
      <c r="E164" s="26" t="n">
        <f aca="false">parametros_recargas!$E$78*'Plan mensual'!G181+parametros_recargas!$F$78*'Plan mensual'!G182+parametros_recargas!$G$78*'Plan mensual'!G183+parametros_recargas!$H$78*'Plan mensual'!G184+parametros_recargas!$I$78*'Plan mensual'!G185+parametros_recargas!$J$78*'Plan mensual'!G186+parametros_recargas!$K$78*'Plan mensual'!G187+parametros_recargas!$L$78*'Plan mensual'!G188+parametros_recargas!$M$78*'Plan mensual'!G190</f>
        <v>9242.55124389226</v>
      </c>
      <c r="F164" s="26" t="n">
        <f aca="false">parametros_recargas!$E$78*'Plan mensual'!H181+parametros_recargas!$F$78*'Plan mensual'!H182+parametros_recargas!$G$78*'Plan mensual'!H183+parametros_recargas!$H$78*'Plan mensual'!H184+parametros_recargas!$I$78*'Plan mensual'!H185+parametros_recargas!$J$78*'Plan mensual'!H186+parametros_recargas!$K$78*'Plan mensual'!H187+parametros_recargas!$L$78*'Plan mensual'!H188+parametros_recargas!$M$78*'Plan mensual'!H190</f>
        <v>9244.6761902532</v>
      </c>
      <c r="G164" s="26" t="n">
        <f aca="false">parametros_recargas!$E$78*'Plan mensual'!I181+parametros_recargas!$F$78*'Plan mensual'!I182+parametros_recargas!$G$78*'Plan mensual'!I183+parametros_recargas!$H$78*'Plan mensual'!I184+parametros_recargas!$I$78*'Plan mensual'!I185+parametros_recargas!$J$78*'Plan mensual'!I186+parametros_recargas!$K$78*'Plan mensual'!I187+parametros_recargas!$L$78*'Plan mensual'!I188+parametros_recargas!$M$78*'Plan mensual'!I190</f>
        <v>9225.32443885638</v>
      </c>
      <c r="H164" s="26" t="n">
        <f aca="false">parametros_recargas!$E$78*'Plan mensual'!J181+parametros_recargas!$F$78*'Plan mensual'!J182+parametros_recargas!$G$78*'Plan mensual'!J183+parametros_recargas!$H$78*'Plan mensual'!J184+parametros_recargas!$I$78*'Plan mensual'!J185+parametros_recargas!$J$78*'Plan mensual'!J186+parametros_recargas!$K$78*'Plan mensual'!J187+parametros_recargas!$L$78*'Plan mensual'!J188+parametros_recargas!$M$78*'Plan mensual'!J190</f>
        <v>9286.19248331651</v>
      </c>
      <c r="I164" s="26" t="n">
        <f aca="false">parametros_recargas!$E$78*'Plan mensual'!K181+parametros_recargas!$F$78*'Plan mensual'!K182+parametros_recargas!$G$78*'Plan mensual'!K183+parametros_recargas!$H$78*'Plan mensual'!K184+parametros_recargas!$I$78*'Plan mensual'!K185+parametros_recargas!$J$78*'Plan mensual'!K186+parametros_recargas!$K$78*'Plan mensual'!K187+parametros_recargas!$L$78*'Plan mensual'!K188+parametros_recargas!$M$78*'Plan mensual'!K190</f>
        <v>9240.38330728704</v>
      </c>
      <c r="J164" s="26" t="n">
        <f aca="false">parametros_recargas!$E$78*'Plan mensual'!L181+parametros_recargas!$F$78*'Plan mensual'!L182+parametros_recargas!$G$78*'Plan mensual'!L183+parametros_recargas!$H$78*'Plan mensual'!L184+parametros_recargas!$I$78*'Plan mensual'!L185+parametros_recargas!$J$78*'Plan mensual'!L186+parametros_recargas!$K$78*'Plan mensual'!L187+parametros_recargas!$L$78*'Plan mensual'!L188+parametros_recargas!$M$78*'Plan mensual'!L190</f>
        <v>9247.5258293037</v>
      </c>
      <c r="K164" s="26" t="n">
        <f aca="false">parametros_recargas!$E$78*'Plan mensual'!M181+parametros_recargas!$F$78*'Plan mensual'!M182+parametros_recargas!$G$78*'Plan mensual'!M183+parametros_recargas!$H$78*'Plan mensual'!M184+parametros_recargas!$I$78*'Plan mensual'!M185+parametros_recargas!$J$78*'Plan mensual'!M186+parametros_recargas!$K$78*'Plan mensual'!M187+parametros_recargas!$L$78*'Plan mensual'!M188+parametros_recargas!$M$78*'Plan mensual'!M190</f>
        <v>9223.91190225807</v>
      </c>
      <c r="L164" s="26" t="n">
        <f aca="false">parametros_recargas!$E$78*'Plan mensual'!N181+parametros_recargas!$F$78*'Plan mensual'!N182+parametros_recargas!$G$78*'Plan mensual'!N183+parametros_recargas!$H$78*'Plan mensual'!N184+parametros_recargas!$I$78*'Plan mensual'!N185+parametros_recargas!$J$78*'Plan mensual'!N186+parametros_recargas!$K$78*'Plan mensual'!N187+parametros_recargas!$L$78*'Plan mensual'!N188+parametros_recargas!$M$78*'Plan mensual'!N190</f>
        <v>9122.22155010684</v>
      </c>
      <c r="M164" s="26" t="n">
        <f aca="false">parametros_recargas!$E$78*'Plan mensual'!O181+parametros_recargas!$F$78*'Plan mensual'!O182+parametros_recargas!$G$78*'Plan mensual'!O183+parametros_recargas!$H$78*'Plan mensual'!O184+parametros_recargas!$I$78*'Plan mensual'!O185+parametros_recargas!$J$78*'Plan mensual'!O186+parametros_recargas!$K$78*'Plan mensual'!O187+parametros_recargas!$L$78*'Plan mensual'!O188+parametros_recargas!$M$78*'Plan mensual'!O190</f>
        <v>3662.18794856697</v>
      </c>
      <c r="N164" s="8" t="n">
        <f aca="false">SUM(B164:M164)</f>
        <v>101366.533255545</v>
      </c>
      <c r="O164" s="27" t="n">
        <f aca="false">MAX(B164:M164)</f>
        <v>10731.2142061107</v>
      </c>
      <c r="P164" s="13" t="n">
        <f aca="false">O164/parametros_recargas!$B$6</f>
        <v>71.5414280407381</v>
      </c>
    </row>
    <row r="165" customFormat="false" ht="15" hidden="false" customHeight="false" outlineLevel="0" collapsed="false">
      <c r="A165" s="10" t="str">
        <f aca="false">parametros_recargas!$B$79</f>
        <v>Descarga ABC — ruta descarte</v>
      </c>
      <c r="B165" s="26" t="n">
        <f aca="false">parametros_recargas!$E$79*'Plan mensual'!D181+parametros_recargas!$F$79*'Plan mensual'!D182+parametros_recargas!$G$79*'Plan mensual'!D183+parametros_recargas!$H$79*'Plan mensual'!D184+parametros_recargas!$I$79*'Plan mensual'!D185+parametros_recargas!$J$79*'Plan mensual'!D186+parametros_recargas!$K$79*'Plan mensual'!D187+parametros_recargas!$L$79*'Plan mensual'!D188+parametros_recargas!$M$79*'Plan mensual'!D190</f>
        <v>437.610947954048</v>
      </c>
      <c r="C165" s="26" t="n">
        <f aca="false">parametros_recargas!$E$79*'Plan mensual'!E181+parametros_recargas!$F$79*'Plan mensual'!E182+parametros_recargas!$G$79*'Plan mensual'!E183+parametros_recargas!$H$79*'Plan mensual'!E184+parametros_recargas!$I$79*'Plan mensual'!E185+parametros_recargas!$J$79*'Plan mensual'!E186+parametros_recargas!$K$79*'Plan mensual'!E187+parametros_recargas!$L$79*'Plan mensual'!E188+parametros_recargas!$M$79*'Plan mensual'!E190</f>
        <v>1192.3571340123</v>
      </c>
      <c r="D165" s="26" t="n">
        <f aca="false">parametros_recargas!$E$79*'Plan mensual'!F181+parametros_recargas!$F$79*'Plan mensual'!F182+parametros_recargas!$G$79*'Plan mensual'!F183+parametros_recargas!$H$79*'Plan mensual'!F184+parametros_recargas!$I$79*'Plan mensual'!F185+parametros_recargas!$J$79*'Plan mensual'!F186+parametros_recargas!$K$79*'Plan mensual'!F187+parametros_recargas!$L$79*'Plan mensual'!F188+parametros_recargas!$M$79*'Plan mensual'!F190</f>
        <v>1022.42729155635</v>
      </c>
      <c r="E165" s="26" t="n">
        <f aca="false">parametros_recargas!$E$79*'Plan mensual'!G181+parametros_recargas!$F$79*'Plan mensual'!G182+parametros_recargas!$G$79*'Plan mensual'!G183+parametros_recargas!$H$79*'Plan mensual'!G184+parametros_recargas!$I$79*'Plan mensual'!G185+parametros_recargas!$J$79*'Plan mensual'!G186+parametros_recargas!$K$79*'Plan mensual'!G187+parametros_recargas!$L$79*'Plan mensual'!G188+parametros_recargas!$M$79*'Plan mensual'!G190</f>
        <v>1026.95013821025</v>
      </c>
      <c r="F165" s="26" t="n">
        <f aca="false">parametros_recargas!$E$79*'Plan mensual'!H181+parametros_recargas!$F$79*'Plan mensual'!H182+parametros_recargas!$G$79*'Plan mensual'!H183+parametros_recargas!$H$79*'Plan mensual'!H184+parametros_recargas!$I$79*'Plan mensual'!H185+parametros_recargas!$J$79*'Plan mensual'!H186+parametros_recargas!$K$79*'Plan mensual'!H187+parametros_recargas!$L$79*'Plan mensual'!H188+parametros_recargas!$M$79*'Plan mensual'!H190</f>
        <v>1027.18624336147</v>
      </c>
      <c r="G165" s="26" t="n">
        <f aca="false">parametros_recargas!$E$79*'Plan mensual'!I181+parametros_recargas!$F$79*'Plan mensual'!I182+parametros_recargas!$G$79*'Plan mensual'!I183+parametros_recargas!$H$79*'Plan mensual'!I184+parametros_recargas!$I$79*'Plan mensual'!I185+parametros_recargas!$J$79*'Plan mensual'!I186+parametros_recargas!$K$79*'Plan mensual'!I187+parametros_recargas!$L$79*'Plan mensual'!I188+parametros_recargas!$M$79*'Plan mensual'!I190</f>
        <v>1025.03604876182</v>
      </c>
      <c r="H165" s="26" t="n">
        <f aca="false">parametros_recargas!$E$79*'Plan mensual'!J181+parametros_recargas!$F$79*'Plan mensual'!J182+parametros_recargas!$G$79*'Plan mensual'!J183+parametros_recargas!$H$79*'Plan mensual'!J184+parametros_recargas!$I$79*'Plan mensual'!J185+parametros_recargas!$J$79*'Plan mensual'!J186+parametros_recargas!$K$79*'Plan mensual'!J187+parametros_recargas!$L$79*'Plan mensual'!J188+parametros_recargas!$M$79*'Plan mensual'!J190</f>
        <v>1031.79916481295</v>
      </c>
      <c r="I165" s="26" t="n">
        <f aca="false">parametros_recargas!$E$79*'Plan mensual'!K181+parametros_recargas!$F$79*'Plan mensual'!K182+parametros_recargas!$G$79*'Plan mensual'!K183+parametros_recargas!$H$79*'Plan mensual'!K184+parametros_recargas!$I$79*'Plan mensual'!K185+parametros_recargas!$J$79*'Plan mensual'!K186+parametros_recargas!$K$79*'Plan mensual'!K187+parametros_recargas!$L$79*'Plan mensual'!K188+parametros_recargas!$M$79*'Plan mensual'!K190</f>
        <v>1026.70925636523</v>
      </c>
      <c r="J165" s="26" t="n">
        <f aca="false">parametros_recargas!$E$79*'Plan mensual'!L181+parametros_recargas!$F$79*'Plan mensual'!L182+parametros_recargas!$G$79*'Plan mensual'!L183+parametros_recargas!$H$79*'Plan mensual'!L184+parametros_recargas!$I$79*'Plan mensual'!L185+parametros_recargas!$J$79*'Plan mensual'!L186+parametros_recargas!$K$79*'Plan mensual'!L187+parametros_recargas!$L$79*'Plan mensual'!L188+parametros_recargas!$M$79*'Plan mensual'!L190</f>
        <v>1027.50286992263</v>
      </c>
      <c r="K165" s="26" t="n">
        <f aca="false">parametros_recargas!$E$79*'Plan mensual'!M181+parametros_recargas!$F$79*'Plan mensual'!M182+parametros_recargas!$G$79*'Plan mensual'!M183+parametros_recargas!$H$79*'Plan mensual'!M184+parametros_recargas!$I$79*'Plan mensual'!M185+parametros_recargas!$J$79*'Plan mensual'!M186+parametros_recargas!$K$79*'Plan mensual'!M187+parametros_recargas!$L$79*'Plan mensual'!M188+parametros_recargas!$M$79*'Plan mensual'!M190</f>
        <v>1024.8791002509</v>
      </c>
      <c r="L165" s="26" t="n">
        <f aca="false">parametros_recargas!$E$79*'Plan mensual'!N181+parametros_recargas!$F$79*'Plan mensual'!N182+parametros_recargas!$G$79*'Plan mensual'!N183+parametros_recargas!$H$79*'Plan mensual'!N184+parametros_recargas!$I$79*'Plan mensual'!N185+parametros_recargas!$J$79*'Plan mensual'!N186+parametros_recargas!$K$79*'Plan mensual'!N187+parametros_recargas!$L$79*'Plan mensual'!N188+parametros_recargas!$M$79*'Plan mensual'!N190</f>
        <v>1013.58017223409</v>
      </c>
      <c r="M165" s="26" t="n">
        <f aca="false">parametros_recargas!$E$79*'Plan mensual'!O181+parametros_recargas!$F$79*'Plan mensual'!O182+parametros_recargas!$G$79*'Plan mensual'!O183+parametros_recargas!$H$79*'Plan mensual'!O184+parametros_recargas!$I$79*'Plan mensual'!O185+parametros_recargas!$J$79*'Plan mensual'!O186+parametros_recargas!$K$79*'Plan mensual'!O187+parametros_recargas!$L$79*'Plan mensual'!O188+parametros_recargas!$M$79*'Plan mensual'!O190</f>
        <v>406.909772062997</v>
      </c>
      <c r="N165" s="8" t="n">
        <f aca="false">SUM(B165:M165)</f>
        <v>11262.948139505</v>
      </c>
      <c r="O165" s="27" t="n">
        <f aca="false">MAX(B165:M165)</f>
        <v>1192.3571340123</v>
      </c>
      <c r="P165" s="13" t="n">
        <f aca="false">O165/parametros_recargas!$B$6</f>
        <v>7.94904756008201</v>
      </c>
    </row>
    <row r="166" customFormat="false" ht="15" hidden="false" customHeight="false" outlineLevel="0" collapsed="false">
      <c r="A166" s="10" t="str">
        <f aca="false">parametros_recargas!$B$80</f>
        <v>Descarga BC</v>
      </c>
      <c r="B166" s="26" t="n">
        <f aca="false">parametros_recargas!$E$80*'Plan mensual'!D181+parametros_recargas!$F$80*'Plan mensual'!D182+parametros_recargas!$G$80*'Plan mensual'!D183+parametros_recargas!$H$80*'Plan mensual'!D184+parametros_recargas!$I$80*'Plan mensual'!D185+parametros_recargas!$J$80*'Plan mensual'!D186+parametros_recargas!$K$80*'Plan mensual'!D187+parametros_recargas!$L$80*'Plan mensual'!D188+parametros_recargas!$M$80*'Plan mensual'!D190</f>
        <v>13.1296012453687</v>
      </c>
      <c r="C166" s="26" t="n">
        <f aca="false">parametros_recargas!$E$80*'Plan mensual'!E181+parametros_recargas!$F$80*'Plan mensual'!E182+parametros_recargas!$G$80*'Plan mensual'!E183+parametros_recargas!$H$80*'Plan mensual'!E184+parametros_recargas!$I$80*'Plan mensual'!E185+parametros_recargas!$J$80*'Plan mensual'!E186+parametros_recargas!$K$80*'Plan mensual'!E187+parametros_recargas!$L$80*'Plan mensual'!E188+parametros_recargas!$M$80*'Plan mensual'!E190</f>
        <v>13.1296012453687</v>
      </c>
      <c r="D166" s="26" t="n">
        <f aca="false">parametros_recargas!$E$80*'Plan mensual'!F181+parametros_recargas!$F$80*'Plan mensual'!F182+parametros_recargas!$G$80*'Plan mensual'!F183+parametros_recargas!$H$80*'Plan mensual'!F184+parametros_recargas!$I$80*'Plan mensual'!F185+parametros_recargas!$J$80*'Plan mensual'!F186+parametros_recargas!$K$80*'Plan mensual'!F187+parametros_recargas!$L$80*'Plan mensual'!F188+parametros_recargas!$M$80*'Plan mensual'!F190</f>
        <v>13.1296012453687</v>
      </c>
      <c r="E166" s="26" t="n">
        <f aca="false">parametros_recargas!$E$80*'Plan mensual'!G181+parametros_recargas!$F$80*'Plan mensual'!G182+parametros_recargas!$G$80*'Plan mensual'!G183+parametros_recargas!$H$80*'Plan mensual'!G184+parametros_recargas!$I$80*'Plan mensual'!G185+parametros_recargas!$J$80*'Plan mensual'!G186+parametros_recargas!$K$80*'Plan mensual'!G187+parametros_recargas!$L$80*'Plan mensual'!G188+parametros_recargas!$M$80*'Plan mensual'!G190</f>
        <v>13.1296012453687</v>
      </c>
      <c r="F166" s="26" t="n">
        <f aca="false">parametros_recargas!$E$80*'Plan mensual'!H181+parametros_recargas!$F$80*'Plan mensual'!H182+parametros_recargas!$G$80*'Plan mensual'!H183+parametros_recargas!$H$80*'Plan mensual'!H184+parametros_recargas!$I$80*'Plan mensual'!H185+parametros_recargas!$J$80*'Plan mensual'!H186+parametros_recargas!$K$80*'Plan mensual'!H187+parametros_recargas!$L$80*'Plan mensual'!H188+parametros_recargas!$M$80*'Plan mensual'!H190</f>
        <v>13.1296012453687</v>
      </c>
      <c r="G166" s="26" t="n">
        <f aca="false">parametros_recargas!$E$80*'Plan mensual'!I181+parametros_recargas!$F$80*'Plan mensual'!I182+parametros_recargas!$G$80*'Plan mensual'!I183+parametros_recargas!$H$80*'Plan mensual'!I184+parametros_recargas!$I$80*'Plan mensual'!I185+parametros_recargas!$J$80*'Plan mensual'!I186+parametros_recargas!$K$80*'Plan mensual'!I187+parametros_recargas!$L$80*'Plan mensual'!I188+parametros_recargas!$M$80*'Plan mensual'!I190</f>
        <v>13.1296012453687</v>
      </c>
      <c r="H166" s="26" t="n">
        <f aca="false">parametros_recargas!$E$80*'Plan mensual'!J181+parametros_recargas!$F$80*'Plan mensual'!J182+parametros_recargas!$G$80*'Plan mensual'!J183+parametros_recargas!$H$80*'Plan mensual'!J184+parametros_recargas!$I$80*'Plan mensual'!J185+parametros_recargas!$J$80*'Plan mensual'!J186+parametros_recargas!$K$80*'Plan mensual'!J187+parametros_recargas!$L$80*'Plan mensual'!J188+parametros_recargas!$M$80*'Plan mensual'!J190</f>
        <v>13.1296012453687</v>
      </c>
      <c r="I166" s="26" t="n">
        <f aca="false">parametros_recargas!$E$80*'Plan mensual'!K181+parametros_recargas!$F$80*'Plan mensual'!K182+parametros_recargas!$G$80*'Plan mensual'!K183+parametros_recargas!$H$80*'Plan mensual'!K184+parametros_recargas!$I$80*'Plan mensual'!K185+parametros_recargas!$J$80*'Plan mensual'!K186+parametros_recargas!$K$80*'Plan mensual'!K187+parametros_recargas!$L$80*'Plan mensual'!K188+parametros_recargas!$M$80*'Plan mensual'!K190</f>
        <v>13.1296012453687</v>
      </c>
      <c r="J166" s="26" t="n">
        <f aca="false">parametros_recargas!$E$80*'Plan mensual'!L181+parametros_recargas!$F$80*'Plan mensual'!L182+parametros_recargas!$G$80*'Plan mensual'!L183+parametros_recargas!$H$80*'Plan mensual'!L184+parametros_recargas!$I$80*'Plan mensual'!L185+parametros_recargas!$J$80*'Plan mensual'!L186+parametros_recargas!$K$80*'Plan mensual'!L187+parametros_recargas!$L$80*'Plan mensual'!L188+parametros_recargas!$M$80*'Plan mensual'!L190</f>
        <v>13.1296012453687</v>
      </c>
      <c r="K166" s="26" t="n">
        <f aca="false">parametros_recargas!$E$80*'Plan mensual'!M181+parametros_recargas!$F$80*'Plan mensual'!M182+parametros_recargas!$G$80*'Plan mensual'!M183+parametros_recargas!$H$80*'Plan mensual'!M184+parametros_recargas!$I$80*'Plan mensual'!M185+parametros_recargas!$J$80*'Plan mensual'!M186+parametros_recargas!$K$80*'Plan mensual'!M187+parametros_recargas!$L$80*'Plan mensual'!M188+parametros_recargas!$M$80*'Plan mensual'!M190</f>
        <v>13.1296012453687</v>
      </c>
      <c r="L166" s="26" t="n">
        <f aca="false">parametros_recargas!$E$80*'Plan mensual'!N181+parametros_recargas!$F$80*'Plan mensual'!N182+parametros_recargas!$G$80*'Plan mensual'!N183+parametros_recargas!$H$80*'Plan mensual'!N184+parametros_recargas!$I$80*'Plan mensual'!N185+parametros_recargas!$J$80*'Plan mensual'!N186+parametros_recargas!$K$80*'Plan mensual'!N187+parametros_recargas!$L$80*'Plan mensual'!N188+parametros_recargas!$M$80*'Plan mensual'!N190</f>
        <v>13.1296012453687</v>
      </c>
      <c r="M166" s="26" t="n">
        <f aca="false">parametros_recargas!$E$80*'Plan mensual'!O181+parametros_recargas!$F$80*'Plan mensual'!O182+parametros_recargas!$G$80*'Plan mensual'!O183+parametros_recargas!$H$80*'Plan mensual'!O184+parametros_recargas!$I$80*'Plan mensual'!O185+parametros_recargas!$J$80*'Plan mensual'!O186+parametros_recargas!$K$80*'Plan mensual'!O187+parametros_recargas!$L$80*'Plan mensual'!O188+parametros_recargas!$M$80*'Plan mensual'!O190</f>
        <v>13.1296012453687</v>
      </c>
      <c r="N166" s="8" t="n">
        <f aca="false">SUM(B166:M166)</f>
        <v>157.555214944424</v>
      </c>
      <c r="O166" s="27" t="n">
        <f aca="false">MAX(B166:M166)</f>
        <v>13.1296012453687</v>
      </c>
      <c r="P166" s="13" t="n">
        <f aca="false">O166/parametros_recargas!$B$6</f>
        <v>0.0875306749691246</v>
      </c>
    </row>
    <row r="167" customFormat="false" ht="15" hidden="false" customHeight="false" outlineLevel="0" collapsed="false">
      <c r="A167" s="10" t="str">
        <f aca="false">parametros_recargas!$B$81</f>
        <v>Descarga de agua / AFFF / sales K</v>
      </c>
      <c r="B167" s="26" t="n">
        <f aca="false">parametros_recargas!$E$81*'Plan mensual'!D181+parametros_recargas!$F$81*'Plan mensual'!D182+parametros_recargas!$G$81*'Plan mensual'!D183+parametros_recargas!$H$81*'Plan mensual'!D184+parametros_recargas!$I$81*'Plan mensual'!D185+parametros_recargas!$J$81*'Plan mensual'!D186+parametros_recargas!$K$81*'Plan mensual'!D187+parametros_recargas!$L$81*'Plan mensual'!D188+parametros_recargas!$M$81*'Plan mensual'!D190</f>
        <v>526.367609376988</v>
      </c>
      <c r="C167" s="26" t="n">
        <f aca="false">parametros_recargas!$E$81*'Plan mensual'!E181+parametros_recargas!$F$81*'Plan mensual'!E182+parametros_recargas!$G$81*'Plan mensual'!E183+parametros_recargas!$H$81*'Plan mensual'!E184+parametros_recargas!$I$81*'Plan mensual'!E185+parametros_recargas!$J$81*'Plan mensual'!E186+parametros_recargas!$K$81*'Plan mensual'!E187+parametros_recargas!$L$81*'Plan mensual'!E188+parametros_recargas!$M$81*'Plan mensual'!E190</f>
        <v>742.795440609857</v>
      </c>
      <c r="D167" s="26" t="n">
        <f aca="false">parametros_recargas!$E$81*'Plan mensual'!F181+parametros_recargas!$F$81*'Plan mensual'!F182+parametros_recargas!$G$81*'Plan mensual'!F183+parametros_recargas!$H$81*'Plan mensual'!F184+parametros_recargas!$I$81*'Plan mensual'!F185+parametros_recargas!$J$81*'Plan mensual'!F186+parametros_recargas!$K$81*'Plan mensual'!F187+parametros_recargas!$L$81*'Plan mensual'!F188+parametros_recargas!$M$81*'Plan mensual'!F190</f>
        <v>526.367609376988</v>
      </c>
      <c r="E167" s="26" t="n">
        <f aca="false">parametros_recargas!$E$81*'Plan mensual'!G181+parametros_recargas!$F$81*'Plan mensual'!G182+parametros_recargas!$G$81*'Plan mensual'!G183+parametros_recargas!$H$81*'Plan mensual'!G184+parametros_recargas!$I$81*'Plan mensual'!G185+parametros_recargas!$J$81*'Plan mensual'!G186+parametros_recargas!$K$81*'Plan mensual'!G187+parametros_recargas!$L$81*'Plan mensual'!G188+parametros_recargas!$M$81*'Plan mensual'!G190</f>
        <v>526.367609376988</v>
      </c>
      <c r="F167" s="26" t="n">
        <f aca="false">parametros_recargas!$E$81*'Plan mensual'!H181+parametros_recargas!$F$81*'Plan mensual'!H182+parametros_recargas!$G$81*'Plan mensual'!H183+parametros_recargas!$H$81*'Plan mensual'!H184+parametros_recargas!$I$81*'Plan mensual'!H185+parametros_recargas!$J$81*'Plan mensual'!H186+parametros_recargas!$K$81*'Plan mensual'!H187+parametros_recargas!$L$81*'Plan mensual'!H188+parametros_recargas!$M$81*'Plan mensual'!H190</f>
        <v>526.367609376988</v>
      </c>
      <c r="G167" s="26" t="n">
        <f aca="false">parametros_recargas!$E$81*'Plan mensual'!I181+parametros_recargas!$F$81*'Plan mensual'!I182+parametros_recargas!$G$81*'Plan mensual'!I183+parametros_recargas!$H$81*'Plan mensual'!I184+parametros_recargas!$I$81*'Plan mensual'!I185+parametros_recargas!$J$81*'Plan mensual'!I186+parametros_recargas!$K$81*'Plan mensual'!I187+parametros_recargas!$L$81*'Plan mensual'!I188+parametros_recargas!$M$81*'Plan mensual'!I190</f>
        <v>526.367609376988</v>
      </c>
      <c r="H167" s="26" t="n">
        <f aca="false">parametros_recargas!$E$81*'Plan mensual'!J181+parametros_recargas!$F$81*'Plan mensual'!J182+parametros_recargas!$G$81*'Plan mensual'!J183+parametros_recargas!$H$81*'Plan mensual'!J184+parametros_recargas!$I$81*'Plan mensual'!J185+parametros_recargas!$J$81*'Plan mensual'!J186+parametros_recargas!$K$81*'Plan mensual'!J187+parametros_recargas!$L$81*'Plan mensual'!J188+parametros_recargas!$M$81*'Plan mensual'!J190</f>
        <v>526.367609376988</v>
      </c>
      <c r="I167" s="26" t="n">
        <f aca="false">parametros_recargas!$E$81*'Plan mensual'!K181+parametros_recargas!$F$81*'Plan mensual'!K182+parametros_recargas!$G$81*'Plan mensual'!K183+parametros_recargas!$H$81*'Plan mensual'!K184+parametros_recargas!$I$81*'Plan mensual'!K185+parametros_recargas!$J$81*'Plan mensual'!K186+parametros_recargas!$K$81*'Plan mensual'!K187+parametros_recargas!$L$81*'Plan mensual'!K188+parametros_recargas!$M$81*'Plan mensual'!K190</f>
        <v>526.367609376988</v>
      </c>
      <c r="J167" s="26" t="n">
        <f aca="false">parametros_recargas!$E$81*'Plan mensual'!L181+parametros_recargas!$F$81*'Plan mensual'!L182+parametros_recargas!$G$81*'Plan mensual'!L183+parametros_recargas!$H$81*'Plan mensual'!L184+parametros_recargas!$I$81*'Plan mensual'!L185+parametros_recargas!$J$81*'Plan mensual'!L186+parametros_recargas!$K$81*'Plan mensual'!L187+parametros_recargas!$L$81*'Plan mensual'!L188+parametros_recargas!$M$81*'Plan mensual'!L190</f>
        <v>526.367609376988</v>
      </c>
      <c r="K167" s="26" t="n">
        <f aca="false">parametros_recargas!$E$81*'Plan mensual'!M181+parametros_recargas!$F$81*'Plan mensual'!M182+parametros_recargas!$G$81*'Plan mensual'!M183+parametros_recargas!$H$81*'Plan mensual'!M184+parametros_recargas!$I$81*'Plan mensual'!M185+parametros_recargas!$J$81*'Plan mensual'!M186+parametros_recargas!$K$81*'Plan mensual'!M187+parametros_recargas!$L$81*'Plan mensual'!M188+parametros_recargas!$M$81*'Plan mensual'!M190</f>
        <v>526.367609376988</v>
      </c>
      <c r="L167" s="26" t="n">
        <f aca="false">parametros_recargas!$E$81*'Plan mensual'!N181+parametros_recargas!$F$81*'Plan mensual'!N182+parametros_recargas!$G$81*'Plan mensual'!N183+parametros_recargas!$H$81*'Plan mensual'!N184+parametros_recargas!$I$81*'Plan mensual'!N185+parametros_recargas!$J$81*'Plan mensual'!N186+parametros_recargas!$K$81*'Plan mensual'!N187+parametros_recargas!$L$81*'Plan mensual'!N188+parametros_recargas!$M$81*'Plan mensual'!N190</f>
        <v>526.367609376988</v>
      </c>
      <c r="M167" s="26" t="n">
        <f aca="false">parametros_recargas!$E$81*'Plan mensual'!O181+parametros_recargas!$F$81*'Plan mensual'!O182+parametros_recargas!$G$81*'Plan mensual'!O183+parametros_recargas!$H$81*'Plan mensual'!O184+parametros_recargas!$I$81*'Plan mensual'!O185+parametros_recargas!$J$81*'Plan mensual'!O186+parametros_recargas!$K$81*'Plan mensual'!O187+parametros_recargas!$L$81*'Plan mensual'!O188+parametros_recargas!$M$81*'Plan mensual'!O190</f>
        <v>526.367609376988</v>
      </c>
      <c r="N167" s="8" t="n">
        <f aca="false">SUM(B167:M167)</f>
        <v>6532.83914375672</v>
      </c>
      <c r="O167" s="27" t="n">
        <f aca="false">MAX(B167:M167)</f>
        <v>742.795440609857</v>
      </c>
      <c r="P167" s="13" t="n">
        <f aca="false">O167/parametros_recargas!$B$6</f>
        <v>4.95196960406572</v>
      </c>
    </row>
    <row r="168" customFormat="false" ht="15" hidden="false" customHeight="false" outlineLevel="0" collapsed="false">
      <c r="A168" s="10" t="str">
        <f aca="false">parametros_recargas!$B$82</f>
        <v>Recuperación de CO₂</v>
      </c>
      <c r="B168" s="26" t="n">
        <f aca="false">parametros_recargas!$E$82*'Plan mensual'!D181+parametros_recargas!$F$82*'Plan mensual'!D182+parametros_recargas!$G$82*'Plan mensual'!D183+parametros_recargas!$H$82*'Plan mensual'!D184+parametros_recargas!$I$82*'Plan mensual'!D185+parametros_recargas!$J$82*'Plan mensual'!D186+parametros_recargas!$K$82*'Plan mensual'!D187+parametros_recargas!$L$82*'Plan mensual'!D188+parametros_recargas!$M$82*'Plan mensual'!D190</f>
        <v>258.685286553296</v>
      </c>
      <c r="C168" s="26" t="n">
        <f aca="false">parametros_recargas!$E$82*'Plan mensual'!E181+parametros_recargas!$F$82*'Plan mensual'!E182+parametros_recargas!$G$82*'Plan mensual'!E183+parametros_recargas!$H$82*'Plan mensual'!E184+parametros_recargas!$I$82*'Plan mensual'!E185+parametros_recargas!$J$82*'Plan mensual'!E186+parametros_recargas!$K$82*'Plan mensual'!E187+parametros_recargas!$L$82*'Plan mensual'!E188+parametros_recargas!$M$82*'Plan mensual'!E190</f>
        <v>405.874795171444</v>
      </c>
      <c r="D168" s="26" t="n">
        <f aca="false">parametros_recargas!$E$82*'Plan mensual'!F181+parametros_recargas!$F$82*'Plan mensual'!F182+parametros_recargas!$G$82*'Plan mensual'!F183+parametros_recargas!$H$82*'Plan mensual'!F184+parametros_recargas!$I$82*'Plan mensual'!F185+parametros_recargas!$J$82*'Plan mensual'!F186+parametros_recargas!$K$82*'Plan mensual'!F187+parametros_recargas!$L$82*'Plan mensual'!F188+parametros_recargas!$M$82*'Plan mensual'!F190</f>
        <v>258.685286553296</v>
      </c>
      <c r="E168" s="26" t="n">
        <f aca="false">parametros_recargas!$E$82*'Plan mensual'!G181+parametros_recargas!$F$82*'Plan mensual'!G182+parametros_recargas!$G$82*'Plan mensual'!G183+parametros_recargas!$H$82*'Plan mensual'!G184+parametros_recargas!$I$82*'Plan mensual'!G185+parametros_recargas!$J$82*'Plan mensual'!G186+parametros_recargas!$K$82*'Plan mensual'!G187+parametros_recargas!$L$82*'Plan mensual'!G188+parametros_recargas!$M$82*'Plan mensual'!G190</f>
        <v>258.685286553296</v>
      </c>
      <c r="F168" s="26" t="n">
        <f aca="false">parametros_recargas!$E$82*'Plan mensual'!H181+parametros_recargas!$F$82*'Plan mensual'!H182+parametros_recargas!$G$82*'Plan mensual'!H183+parametros_recargas!$H$82*'Plan mensual'!H184+parametros_recargas!$I$82*'Plan mensual'!H185+parametros_recargas!$J$82*'Plan mensual'!H186+parametros_recargas!$K$82*'Plan mensual'!H187+parametros_recargas!$L$82*'Plan mensual'!H188+parametros_recargas!$M$82*'Plan mensual'!H190</f>
        <v>258.685286553296</v>
      </c>
      <c r="G168" s="26" t="n">
        <f aca="false">parametros_recargas!$E$82*'Plan mensual'!I181+parametros_recargas!$F$82*'Plan mensual'!I182+parametros_recargas!$G$82*'Plan mensual'!I183+parametros_recargas!$H$82*'Plan mensual'!I184+parametros_recargas!$I$82*'Plan mensual'!I185+parametros_recargas!$J$82*'Plan mensual'!I186+parametros_recargas!$K$82*'Plan mensual'!I187+parametros_recargas!$L$82*'Plan mensual'!I188+parametros_recargas!$M$82*'Plan mensual'!I190</f>
        <v>258.685286553296</v>
      </c>
      <c r="H168" s="26" t="n">
        <f aca="false">parametros_recargas!$E$82*'Plan mensual'!J181+parametros_recargas!$F$82*'Plan mensual'!J182+parametros_recargas!$G$82*'Plan mensual'!J183+parametros_recargas!$H$82*'Plan mensual'!J184+parametros_recargas!$I$82*'Plan mensual'!J185+parametros_recargas!$J$82*'Plan mensual'!J186+parametros_recargas!$K$82*'Plan mensual'!J187+parametros_recargas!$L$82*'Plan mensual'!J188+parametros_recargas!$M$82*'Plan mensual'!J190</f>
        <v>258.685286553296</v>
      </c>
      <c r="I168" s="26" t="n">
        <f aca="false">parametros_recargas!$E$82*'Plan mensual'!K181+parametros_recargas!$F$82*'Plan mensual'!K182+parametros_recargas!$G$82*'Plan mensual'!K183+parametros_recargas!$H$82*'Plan mensual'!K184+parametros_recargas!$I$82*'Plan mensual'!K185+parametros_recargas!$J$82*'Plan mensual'!K186+parametros_recargas!$K$82*'Plan mensual'!K187+parametros_recargas!$L$82*'Plan mensual'!K188+parametros_recargas!$M$82*'Plan mensual'!K190</f>
        <v>258.685286553296</v>
      </c>
      <c r="J168" s="26" t="n">
        <f aca="false">parametros_recargas!$E$82*'Plan mensual'!L181+parametros_recargas!$F$82*'Plan mensual'!L182+parametros_recargas!$G$82*'Plan mensual'!L183+parametros_recargas!$H$82*'Plan mensual'!L184+parametros_recargas!$I$82*'Plan mensual'!L185+parametros_recargas!$J$82*'Plan mensual'!L186+parametros_recargas!$K$82*'Plan mensual'!L187+parametros_recargas!$L$82*'Plan mensual'!L188+parametros_recargas!$M$82*'Plan mensual'!L190</f>
        <v>258.685286553296</v>
      </c>
      <c r="K168" s="26" t="n">
        <f aca="false">parametros_recargas!$E$82*'Plan mensual'!M181+parametros_recargas!$F$82*'Plan mensual'!M182+parametros_recargas!$G$82*'Plan mensual'!M183+parametros_recargas!$H$82*'Plan mensual'!M184+parametros_recargas!$I$82*'Plan mensual'!M185+parametros_recargas!$J$82*'Plan mensual'!M186+parametros_recargas!$K$82*'Plan mensual'!M187+parametros_recargas!$L$82*'Plan mensual'!M188+parametros_recargas!$M$82*'Plan mensual'!M190</f>
        <v>258.685286553296</v>
      </c>
      <c r="L168" s="26" t="n">
        <f aca="false">parametros_recargas!$E$82*'Plan mensual'!N181+parametros_recargas!$F$82*'Plan mensual'!N182+parametros_recargas!$G$82*'Plan mensual'!N183+parametros_recargas!$H$82*'Plan mensual'!N184+parametros_recargas!$I$82*'Plan mensual'!N185+parametros_recargas!$J$82*'Plan mensual'!N186+parametros_recargas!$K$82*'Plan mensual'!N187+parametros_recargas!$L$82*'Plan mensual'!N188+parametros_recargas!$M$82*'Plan mensual'!N190</f>
        <v>258.685286553296</v>
      </c>
      <c r="M168" s="26" t="n">
        <f aca="false">parametros_recargas!$E$82*'Plan mensual'!O181+parametros_recargas!$F$82*'Plan mensual'!O182+parametros_recargas!$G$82*'Plan mensual'!O183+parametros_recargas!$H$82*'Plan mensual'!O184+parametros_recargas!$I$82*'Plan mensual'!O185+parametros_recargas!$J$82*'Plan mensual'!O186+parametros_recargas!$K$82*'Plan mensual'!O187+parametros_recargas!$L$82*'Plan mensual'!O188+parametros_recargas!$M$82*'Plan mensual'!O190</f>
        <v>258.685286553296</v>
      </c>
      <c r="N168" s="8" t="n">
        <f aca="false">SUM(B168:M168)</f>
        <v>3251.4129472577</v>
      </c>
      <c r="O168" s="27" t="n">
        <f aca="false">MAX(B168:M168)</f>
        <v>405.874795171444</v>
      </c>
      <c r="P168" s="13" t="n">
        <f aca="false">O168/parametros_recargas!$B$6</f>
        <v>2.70583196780963</v>
      </c>
    </row>
    <row r="169" customFormat="false" ht="15" hidden="false" customHeight="false" outlineLevel="0" collapsed="false">
      <c r="A169" s="10" t="str">
        <f aca="false">parametros_recargas!$B$83</f>
        <v>Recuperación de halogenado</v>
      </c>
      <c r="B169" s="26" t="n">
        <f aca="false">parametros_recargas!$E$83*'Plan mensual'!D181+parametros_recargas!$F$83*'Plan mensual'!D182+parametros_recargas!$G$83*'Plan mensual'!D183+parametros_recargas!$H$83*'Plan mensual'!D184+parametros_recargas!$I$83*'Plan mensual'!D185+parametros_recargas!$J$83*'Plan mensual'!D186+parametros_recargas!$K$83*'Plan mensual'!D187+parametros_recargas!$L$83*'Plan mensual'!D188+parametros_recargas!$M$83*'Plan mensual'!D190</f>
        <v>12.4337365222676</v>
      </c>
      <c r="C169" s="26" t="n">
        <f aca="false">parametros_recargas!$E$83*'Plan mensual'!E181+parametros_recargas!$F$83*'Plan mensual'!E182+parametros_recargas!$G$83*'Plan mensual'!E183+parametros_recargas!$H$83*'Plan mensual'!E184+parametros_recargas!$I$83*'Plan mensual'!E185+parametros_recargas!$J$83*'Plan mensual'!E186+parametros_recargas!$K$83*'Plan mensual'!E187+parametros_recargas!$L$83*'Plan mensual'!E188+parametros_recargas!$M$83*'Plan mensual'!E190</f>
        <v>12.4337365222676</v>
      </c>
      <c r="D169" s="26" t="n">
        <f aca="false">parametros_recargas!$E$83*'Plan mensual'!F181+parametros_recargas!$F$83*'Plan mensual'!F182+parametros_recargas!$G$83*'Plan mensual'!F183+parametros_recargas!$H$83*'Plan mensual'!F184+parametros_recargas!$I$83*'Plan mensual'!F185+parametros_recargas!$J$83*'Plan mensual'!F186+parametros_recargas!$K$83*'Plan mensual'!F187+parametros_recargas!$L$83*'Plan mensual'!F188+parametros_recargas!$M$83*'Plan mensual'!F190</f>
        <v>12.4337365222676</v>
      </c>
      <c r="E169" s="26" t="n">
        <f aca="false">parametros_recargas!$E$83*'Plan mensual'!G181+parametros_recargas!$F$83*'Plan mensual'!G182+parametros_recargas!$G$83*'Plan mensual'!G183+parametros_recargas!$H$83*'Plan mensual'!G184+parametros_recargas!$I$83*'Plan mensual'!G185+parametros_recargas!$J$83*'Plan mensual'!G186+parametros_recargas!$K$83*'Plan mensual'!G187+parametros_recargas!$L$83*'Plan mensual'!G188+parametros_recargas!$M$83*'Plan mensual'!G190</f>
        <v>12.4337365222676</v>
      </c>
      <c r="F169" s="26" t="n">
        <f aca="false">parametros_recargas!$E$83*'Plan mensual'!H181+parametros_recargas!$F$83*'Plan mensual'!H182+parametros_recargas!$G$83*'Plan mensual'!H183+parametros_recargas!$H$83*'Plan mensual'!H184+parametros_recargas!$I$83*'Plan mensual'!H185+parametros_recargas!$J$83*'Plan mensual'!H186+parametros_recargas!$K$83*'Plan mensual'!H187+parametros_recargas!$L$83*'Plan mensual'!H188+parametros_recargas!$M$83*'Plan mensual'!H190</f>
        <v>12.4337365222676</v>
      </c>
      <c r="G169" s="26" t="n">
        <f aca="false">parametros_recargas!$E$83*'Plan mensual'!I181+parametros_recargas!$F$83*'Plan mensual'!I182+parametros_recargas!$G$83*'Plan mensual'!I183+parametros_recargas!$H$83*'Plan mensual'!I184+parametros_recargas!$I$83*'Plan mensual'!I185+parametros_recargas!$J$83*'Plan mensual'!I186+parametros_recargas!$K$83*'Plan mensual'!I187+parametros_recargas!$L$83*'Plan mensual'!I188+parametros_recargas!$M$83*'Plan mensual'!I190</f>
        <v>12.4337365222676</v>
      </c>
      <c r="H169" s="26" t="n">
        <f aca="false">parametros_recargas!$E$83*'Plan mensual'!J181+parametros_recargas!$F$83*'Plan mensual'!J182+parametros_recargas!$G$83*'Plan mensual'!J183+parametros_recargas!$H$83*'Plan mensual'!J184+parametros_recargas!$I$83*'Plan mensual'!J185+parametros_recargas!$J$83*'Plan mensual'!J186+parametros_recargas!$K$83*'Plan mensual'!J187+parametros_recargas!$L$83*'Plan mensual'!J188+parametros_recargas!$M$83*'Plan mensual'!J190</f>
        <v>12.4337365222676</v>
      </c>
      <c r="I169" s="26" t="n">
        <f aca="false">parametros_recargas!$E$83*'Plan mensual'!K181+parametros_recargas!$F$83*'Plan mensual'!K182+parametros_recargas!$G$83*'Plan mensual'!K183+parametros_recargas!$H$83*'Plan mensual'!K184+parametros_recargas!$I$83*'Plan mensual'!K185+parametros_recargas!$J$83*'Plan mensual'!K186+parametros_recargas!$K$83*'Plan mensual'!K187+parametros_recargas!$L$83*'Plan mensual'!K188+parametros_recargas!$M$83*'Plan mensual'!K190</f>
        <v>12.4337365222676</v>
      </c>
      <c r="J169" s="26" t="n">
        <f aca="false">parametros_recargas!$E$83*'Plan mensual'!L181+parametros_recargas!$F$83*'Plan mensual'!L182+parametros_recargas!$G$83*'Plan mensual'!L183+parametros_recargas!$H$83*'Plan mensual'!L184+parametros_recargas!$I$83*'Plan mensual'!L185+parametros_recargas!$J$83*'Plan mensual'!L186+parametros_recargas!$K$83*'Plan mensual'!L187+parametros_recargas!$L$83*'Plan mensual'!L188+parametros_recargas!$M$83*'Plan mensual'!L190</f>
        <v>12.4337365222676</v>
      </c>
      <c r="K169" s="26" t="n">
        <f aca="false">parametros_recargas!$E$83*'Plan mensual'!M181+parametros_recargas!$F$83*'Plan mensual'!M182+parametros_recargas!$G$83*'Plan mensual'!M183+parametros_recargas!$H$83*'Plan mensual'!M184+parametros_recargas!$I$83*'Plan mensual'!M185+parametros_recargas!$J$83*'Plan mensual'!M186+parametros_recargas!$K$83*'Plan mensual'!M187+parametros_recargas!$L$83*'Plan mensual'!M188+parametros_recargas!$M$83*'Plan mensual'!M190</f>
        <v>12.4337365222676</v>
      </c>
      <c r="L169" s="26" t="n">
        <f aca="false">parametros_recargas!$E$83*'Plan mensual'!N181+parametros_recargas!$F$83*'Plan mensual'!N182+parametros_recargas!$G$83*'Plan mensual'!N183+parametros_recargas!$H$83*'Plan mensual'!N184+parametros_recargas!$I$83*'Plan mensual'!N185+parametros_recargas!$J$83*'Plan mensual'!N186+parametros_recargas!$K$83*'Plan mensual'!N187+parametros_recargas!$L$83*'Plan mensual'!N188+parametros_recargas!$M$83*'Plan mensual'!N190</f>
        <v>12.4337365222676</v>
      </c>
      <c r="M169" s="26" t="n">
        <f aca="false">parametros_recargas!$E$83*'Plan mensual'!O181+parametros_recargas!$F$83*'Plan mensual'!O182+parametros_recargas!$G$83*'Plan mensual'!O183+parametros_recargas!$H$83*'Plan mensual'!O184+parametros_recargas!$I$83*'Plan mensual'!O185+parametros_recargas!$J$83*'Plan mensual'!O186+parametros_recargas!$K$83*'Plan mensual'!O187+parametros_recargas!$L$83*'Plan mensual'!O188+parametros_recargas!$M$83*'Plan mensual'!O190</f>
        <v>12.4337365222676</v>
      </c>
      <c r="N169" s="8" t="n">
        <f aca="false">SUM(B169:M169)</f>
        <v>149.204838267211</v>
      </c>
      <c r="O169" s="27" t="n">
        <f aca="false">MAX(B169:M169)</f>
        <v>12.4337365222676</v>
      </c>
      <c r="P169" s="13" t="n">
        <f aca="false">O169/parametros_recargas!$B$6</f>
        <v>0.0828915768151173</v>
      </c>
    </row>
    <row r="170" customFormat="false" ht="15" hidden="false" customHeight="false" outlineLevel="0" collapsed="false">
      <c r="A170" s="10" t="str">
        <f aca="false">parametros_recargas!$B$84</f>
        <v>Desarme y limpieza — recinto</v>
      </c>
      <c r="B170" s="26" t="n">
        <f aca="false">parametros_recargas!$E$84*'Plan mensual'!D181+parametros_recargas!$F$84*'Plan mensual'!D182+parametros_recargas!$G$84*'Plan mensual'!D183+parametros_recargas!$H$84*'Plan mensual'!D184+parametros_recargas!$I$84*'Plan mensual'!D185+parametros_recargas!$J$84*'Plan mensual'!D186+parametros_recargas!$K$84*'Plan mensual'!D187+parametros_recargas!$L$84*'Plan mensual'!D188+parametros_recargas!$M$84*'Plan mensual'!D190</f>
        <v>4632.32056577053</v>
      </c>
      <c r="C170" s="26" t="n">
        <f aca="false">parametros_recargas!$E$84*'Plan mensual'!E181+parametros_recargas!$F$84*'Plan mensual'!E182+parametros_recargas!$G$84*'Plan mensual'!E183+parametros_recargas!$H$84*'Plan mensual'!E184+parametros_recargas!$I$84*'Plan mensual'!E185+parametros_recargas!$J$84*'Plan mensual'!E186+parametros_recargas!$K$84*'Plan mensual'!E187+parametros_recargas!$L$84*'Plan mensual'!E188+parametros_recargas!$M$84*'Plan mensual'!E190</f>
        <v>12577.0172611206</v>
      </c>
      <c r="D170" s="26" t="n">
        <f aca="false">parametros_recargas!$E$84*'Plan mensual'!F181+parametros_recargas!$F$84*'Plan mensual'!F182+parametros_recargas!$G$84*'Plan mensual'!F183+parametros_recargas!$H$84*'Plan mensual'!F184+parametros_recargas!$I$84*'Plan mensual'!F185+parametros_recargas!$J$84*'Plan mensual'!F186+parametros_recargas!$K$84*'Plan mensual'!F187+parametros_recargas!$L$84*'Plan mensual'!F188+parametros_recargas!$M$84*'Plan mensual'!F190</f>
        <v>10788.2820773737</v>
      </c>
      <c r="E170" s="26" t="n">
        <f aca="false">parametros_recargas!$E$84*'Plan mensual'!G181+parametros_recargas!$F$84*'Plan mensual'!G182+parametros_recargas!$G$84*'Plan mensual'!G183+parametros_recargas!$H$84*'Plan mensual'!G184+parametros_recargas!$I$84*'Plan mensual'!G185+parametros_recargas!$J$84*'Plan mensual'!G186+parametros_recargas!$K$84*'Plan mensual'!G187+parametros_recargas!$L$84*'Plan mensual'!G188+parametros_recargas!$M$84*'Plan mensual'!G190</f>
        <v>10835.89098952</v>
      </c>
      <c r="F170" s="26" t="n">
        <f aca="false">parametros_recargas!$E$84*'Plan mensual'!H181+parametros_recargas!$F$84*'Plan mensual'!H182+parametros_recargas!$G$84*'Plan mensual'!H183+parametros_recargas!$H$84*'Plan mensual'!H184+parametros_recargas!$I$84*'Plan mensual'!H185+parametros_recargas!$J$84*'Plan mensual'!H186+parametros_recargas!$K$84*'Plan mensual'!H187+parametros_recargas!$L$84*'Plan mensual'!H188+parametros_recargas!$M$84*'Plan mensual'!H190</f>
        <v>10838.3763069013</v>
      </c>
      <c r="G170" s="26" t="n">
        <f aca="false">parametros_recargas!$E$84*'Plan mensual'!I181+parametros_recargas!$F$84*'Plan mensual'!I182+parametros_recargas!$G$84*'Plan mensual'!I183+parametros_recargas!$H$84*'Plan mensual'!I184+parametros_recargas!$I$84*'Plan mensual'!I185+parametros_recargas!$J$84*'Plan mensual'!I186+parametros_recargas!$K$84*'Plan mensual'!I187+parametros_recargas!$L$84*'Plan mensual'!I188+parametros_recargas!$M$84*'Plan mensual'!I190</f>
        <v>10815.7426795366</v>
      </c>
      <c r="H170" s="26" t="n">
        <f aca="false">parametros_recargas!$E$84*'Plan mensual'!J181+parametros_recargas!$F$84*'Plan mensual'!J182+parametros_recargas!$G$84*'Plan mensual'!J183+parametros_recargas!$H$84*'Plan mensual'!J184+parametros_recargas!$I$84*'Plan mensual'!J185+parametros_recargas!$J$84*'Plan mensual'!J186+parametros_recargas!$K$84*'Plan mensual'!J187+parametros_recargas!$L$84*'Plan mensual'!J188+parametros_recargas!$M$84*'Plan mensual'!J190</f>
        <v>10886.9333748116</v>
      </c>
      <c r="I170" s="26" t="n">
        <f aca="false">parametros_recargas!$E$84*'Plan mensual'!K181+parametros_recargas!$F$84*'Plan mensual'!K182+parametros_recargas!$G$84*'Plan mensual'!K183+parametros_recargas!$H$84*'Plan mensual'!K184+parametros_recargas!$I$84*'Plan mensual'!K185+parametros_recargas!$J$84*'Plan mensual'!K186+parametros_recargas!$K$84*'Plan mensual'!K187+parametros_recargas!$L$84*'Plan mensual'!K188+parametros_recargas!$M$84*'Plan mensual'!K190</f>
        <v>10833.3553911514</v>
      </c>
      <c r="J170" s="26" t="n">
        <f aca="false">parametros_recargas!$E$84*'Plan mensual'!L181+parametros_recargas!$F$84*'Plan mensual'!L182+parametros_recargas!$G$84*'Plan mensual'!L183+parametros_recargas!$H$84*'Plan mensual'!L184+parametros_recargas!$I$84*'Plan mensual'!L185+parametros_recargas!$J$84*'Plan mensual'!L186+parametros_recargas!$K$84*'Plan mensual'!L187+parametros_recargas!$L$84*'Plan mensual'!L188+parametros_recargas!$M$84*'Plan mensual'!L190</f>
        <v>10841.7092180714</v>
      </c>
      <c r="K170" s="26" t="n">
        <f aca="false">parametros_recargas!$E$84*'Plan mensual'!M181+parametros_recargas!$F$84*'Plan mensual'!M182+parametros_recargas!$G$84*'Plan mensual'!M183+parametros_recargas!$H$84*'Plan mensual'!M184+parametros_recargas!$I$84*'Plan mensual'!M185+parametros_recargas!$J$84*'Plan mensual'!M186+parametros_recargas!$K$84*'Plan mensual'!M187+parametros_recargas!$L$84*'Plan mensual'!M188+parametros_recargas!$M$84*'Plan mensual'!M190</f>
        <v>10814.0905899479</v>
      </c>
      <c r="L170" s="26" t="n">
        <f aca="false">parametros_recargas!$E$84*'Plan mensual'!N181+parametros_recargas!$F$84*'Plan mensual'!N182+parametros_recargas!$G$84*'Plan mensual'!N183+parametros_recargas!$H$84*'Plan mensual'!N184+parametros_recargas!$I$84*'Plan mensual'!N185+parametros_recargas!$J$84*'Plan mensual'!N186+parametros_recargas!$K$84*'Plan mensual'!N187+parametros_recargas!$L$84*'Plan mensual'!N188+parametros_recargas!$M$84*'Plan mensual'!N190</f>
        <v>10695.1545055605</v>
      </c>
      <c r="M170" s="26" t="n">
        <f aca="false">parametros_recargas!$E$84*'Plan mensual'!O181+parametros_recargas!$F$84*'Plan mensual'!O182+parametros_recargas!$G$84*'Plan mensual'!O183+parametros_recargas!$H$84*'Plan mensual'!O184+parametros_recargas!$I$84*'Plan mensual'!O185+parametros_recargas!$J$84*'Plan mensual'!O186+parametros_recargas!$K$84*'Plan mensual'!O187+parametros_recargas!$L$84*'Plan mensual'!O188+parametros_recargas!$M$84*'Plan mensual'!O190</f>
        <v>4309.15029323315</v>
      </c>
      <c r="N170" s="8" t="n">
        <f aca="false">SUM(B170:M170)</f>
        <v>118868.023252998</v>
      </c>
      <c r="O170" s="27" t="n">
        <f aca="false">MAX(B170:M170)</f>
        <v>12577.0172611206</v>
      </c>
      <c r="P170" s="13" t="n">
        <f aca="false">O170/parametros_recargas!$B$6</f>
        <v>83.8467817408038</v>
      </c>
    </row>
    <row r="171" customFormat="false" ht="15" hidden="false" customHeight="false" outlineLevel="0" collapsed="false">
      <c r="A171" s="10" t="str">
        <f aca="false">parametros_recargas!$B$85</f>
        <v>Desarme e inspección interior — zona general</v>
      </c>
      <c r="B171" s="26" t="n">
        <f aca="false">parametros_recargas!$E$85*'Plan mensual'!D181+parametros_recargas!$F$85*'Plan mensual'!D182+parametros_recargas!$G$85*'Plan mensual'!D183+parametros_recargas!$H$85*'Plan mensual'!D184+parametros_recargas!$I$85*'Plan mensual'!D185+parametros_recargas!$J$85*'Plan mensual'!D186+parametros_recargas!$K$85*'Plan mensual'!D187+parametros_recargas!$L$85*'Plan mensual'!D188+parametros_recargas!$M$85*'Plan mensual'!D190</f>
        <v>825.190190840814</v>
      </c>
      <c r="C171" s="26" t="n">
        <f aca="false">parametros_recargas!$E$85*'Plan mensual'!E181+parametros_recargas!$F$85*'Plan mensual'!E182+parametros_recargas!$G$85*'Plan mensual'!E183+parametros_recargas!$H$85*'Plan mensual'!E184+parametros_recargas!$I$85*'Plan mensual'!E185+parametros_recargas!$J$85*'Plan mensual'!E186+parametros_recargas!$K$85*'Plan mensual'!E187+parametros_recargas!$L$85*'Plan mensual'!E188+parametros_recargas!$M$85*'Plan mensual'!E190</f>
        <v>1200.19846917777</v>
      </c>
      <c r="D171" s="26" t="n">
        <f aca="false">parametros_recargas!$E$85*'Plan mensual'!F181+parametros_recargas!$F$85*'Plan mensual'!F182+parametros_recargas!$G$85*'Plan mensual'!F183+parametros_recargas!$H$85*'Plan mensual'!F184+parametros_recargas!$I$85*'Plan mensual'!F185+parametros_recargas!$J$85*'Plan mensual'!F186+parametros_recargas!$K$85*'Plan mensual'!F187+parametros_recargas!$L$85*'Plan mensual'!F188+parametros_recargas!$M$85*'Plan mensual'!F190</f>
        <v>825.190190840814</v>
      </c>
      <c r="E171" s="26" t="n">
        <f aca="false">parametros_recargas!$E$85*'Plan mensual'!G181+parametros_recargas!$F$85*'Plan mensual'!G182+parametros_recargas!$G$85*'Plan mensual'!G183+parametros_recargas!$H$85*'Plan mensual'!G184+parametros_recargas!$I$85*'Plan mensual'!G185+parametros_recargas!$J$85*'Plan mensual'!G186+parametros_recargas!$K$85*'Plan mensual'!G187+parametros_recargas!$L$85*'Plan mensual'!G188+parametros_recargas!$M$85*'Plan mensual'!G190</f>
        <v>825.190190840814</v>
      </c>
      <c r="F171" s="26" t="n">
        <f aca="false">parametros_recargas!$E$85*'Plan mensual'!H181+parametros_recargas!$F$85*'Plan mensual'!H182+parametros_recargas!$G$85*'Plan mensual'!H183+parametros_recargas!$H$85*'Plan mensual'!H184+parametros_recargas!$I$85*'Plan mensual'!H185+parametros_recargas!$J$85*'Plan mensual'!H186+parametros_recargas!$K$85*'Plan mensual'!H187+parametros_recargas!$L$85*'Plan mensual'!H188+parametros_recargas!$M$85*'Plan mensual'!H190</f>
        <v>825.190190840814</v>
      </c>
      <c r="G171" s="26" t="n">
        <f aca="false">parametros_recargas!$E$85*'Plan mensual'!I181+parametros_recargas!$F$85*'Plan mensual'!I182+parametros_recargas!$G$85*'Plan mensual'!I183+parametros_recargas!$H$85*'Plan mensual'!I184+parametros_recargas!$I$85*'Plan mensual'!I185+parametros_recargas!$J$85*'Plan mensual'!I186+parametros_recargas!$K$85*'Plan mensual'!I187+parametros_recargas!$L$85*'Plan mensual'!I188+parametros_recargas!$M$85*'Plan mensual'!I190</f>
        <v>825.190190840814</v>
      </c>
      <c r="H171" s="26" t="n">
        <f aca="false">parametros_recargas!$E$85*'Plan mensual'!J181+parametros_recargas!$F$85*'Plan mensual'!J182+parametros_recargas!$G$85*'Plan mensual'!J183+parametros_recargas!$H$85*'Plan mensual'!J184+parametros_recargas!$I$85*'Plan mensual'!J185+parametros_recargas!$J$85*'Plan mensual'!J186+parametros_recargas!$K$85*'Plan mensual'!J187+parametros_recargas!$L$85*'Plan mensual'!J188+parametros_recargas!$M$85*'Plan mensual'!J190</f>
        <v>825.190190840814</v>
      </c>
      <c r="I171" s="26" t="n">
        <f aca="false">parametros_recargas!$E$85*'Plan mensual'!K181+parametros_recargas!$F$85*'Plan mensual'!K182+parametros_recargas!$G$85*'Plan mensual'!K183+parametros_recargas!$H$85*'Plan mensual'!K184+parametros_recargas!$I$85*'Plan mensual'!K185+parametros_recargas!$J$85*'Plan mensual'!K186+parametros_recargas!$K$85*'Plan mensual'!K187+parametros_recargas!$L$85*'Plan mensual'!K188+parametros_recargas!$M$85*'Plan mensual'!K190</f>
        <v>825.190190840814</v>
      </c>
      <c r="J171" s="26" t="n">
        <f aca="false">parametros_recargas!$E$85*'Plan mensual'!L181+parametros_recargas!$F$85*'Plan mensual'!L182+parametros_recargas!$G$85*'Plan mensual'!L183+parametros_recargas!$H$85*'Plan mensual'!L184+parametros_recargas!$I$85*'Plan mensual'!L185+parametros_recargas!$J$85*'Plan mensual'!L186+parametros_recargas!$K$85*'Plan mensual'!L187+parametros_recargas!$L$85*'Plan mensual'!L188+parametros_recargas!$M$85*'Plan mensual'!L190</f>
        <v>825.190190840814</v>
      </c>
      <c r="K171" s="26" t="n">
        <f aca="false">parametros_recargas!$E$85*'Plan mensual'!M181+parametros_recargas!$F$85*'Plan mensual'!M182+parametros_recargas!$G$85*'Plan mensual'!M183+parametros_recargas!$H$85*'Plan mensual'!M184+parametros_recargas!$I$85*'Plan mensual'!M185+parametros_recargas!$J$85*'Plan mensual'!M186+parametros_recargas!$K$85*'Plan mensual'!M187+parametros_recargas!$L$85*'Plan mensual'!M188+parametros_recargas!$M$85*'Plan mensual'!M190</f>
        <v>825.190190840814</v>
      </c>
      <c r="L171" s="26" t="n">
        <f aca="false">parametros_recargas!$E$85*'Plan mensual'!N181+parametros_recargas!$F$85*'Plan mensual'!N182+parametros_recargas!$G$85*'Plan mensual'!N183+parametros_recargas!$H$85*'Plan mensual'!N184+parametros_recargas!$I$85*'Plan mensual'!N185+parametros_recargas!$J$85*'Plan mensual'!N186+parametros_recargas!$K$85*'Plan mensual'!N187+parametros_recargas!$L$85*'Plan mensual'!N188+parametros_recargas!$M$85*'Plan mensual'!N190</f>
        <v>825.190190840814</v>
      </c>
      <c r="M171" s="26" t="n">
        <f aca="false">parametros_recargas!$E$85*'Plan mensual'!O181+parametros_recargas!$F$85*'Plan mensual'!O182+parametros_recargas!$G$85*'Plan mensual'!O183+parametros_recargas!$H$85*'Plan mensual'!O184+parametros_recargas!$I$85*'Plan mensual'!O185+parametros_recargas!$J$85*'Plan mensual'!O186+parametros_recargas!$K$85*'Plan mensual'!O187+parametros_recargas!$L$85*'Plan mensual'!O188+parametros_recargas!$M$85*'Plan mensual'!O190</f>
        <v>825.190190840814</v>
      </c>
      <c r="N171" s="8" t="n">
        <f aca="false">SUM(B171:M171)</f>
        <v>10277.2905684267</v>
      </c>
      <c r="O171" s="27" t="n">
        <f aca="false">MAX(B171:M171)</f>
        <v>1200.19846917777</v>
      </c>
      <c r="P171" s="13" t="n">
        <f aca="false">O171/parametros_recargas!$B$6</f>
        <v>8.00132312785181</v>
      </c>
    </row>
    <row r="172" customFormat="false" ht="15" hidden="false" customHeight="false" outlineLevel="0" collapsed="false">
      <c r="A172" s="10" t="str">
        <f aca="false">parametros_recargas!$B$86</f>
        <v>Laboratorio — Puffer y mufla</v>
      </c>
      <c r="B172" s="26" t="n">
        <f aca="false">parametros_recargas!$E$86*'Plan mensual'!D181+parametros_recargas!$F$86*'Plan mensual'!D182+parametros_recargas!$G$86*'Plan mensual'!D183+parametros_recargas!$H$86*'Plan mensual'!D184+parametros_recargas!$I$86*'Plan mensual'!D185+parametros_recargas!$J$86*'Plan mensual'!D186+parametros_recargas!$K$86*'Plan mensual'!D187+parametros_recargas!$L$86*'Plan mensual'!D188+parametros_recargas!$M$86*'Plan mensual'!D190</f>
        <v>6.15048900956171</v>
      </c>
      <c r="C172" s="26" t="n">
        <f aca="false">parametros_recargas!$E$86*'Plan mensual'!E181+parametros_recargas!$F$86*'Plan mensual'!E182+parametros_recargas!$G$86*'Plan mensual'!E183+parametros_recargas!$H$86*'Plan mensual'!E184+parametros_recargas!$I$86*'Plan mensual'!E185+parametros_recargas!$J$86*'Plan mensual'!E186+parametros_recargas!$K$86*'Plan mensual'!E187+parametros_recargas!$L$86*'Plan mensual'!E188+parametros_recargas!$M$86*'Plan mensual'!E190</f>
        <v>16.7582175046161</v>
      </c>
      <c r="D172" s="26" t="n">
        <f aca="false">parametros_recargas!$E$86*'Plan mensual'!F181+parametros_recargas!$F$86*'Plan mensual'!F182+parametros_recargas!$G$86*'Plan mensual'!F183+parametros_recargas!$H$86*'Plan mensual'!F184+parametros_recargas!$I$86*'Plan mensual'!F185+parametros_recargas!$J$86*'Plan mensual'!F186+parametros_recargas!$K$86*'Plan mensual'!F187+parametros_recargas!$L$86*'Plan mensual'!F188+parametros_recargas!$M$86*'Plan mensual'!F190</f>
        <v>14.3699051616359</v>
      </c>
      <c r="E172" s="26" t="n">
        <f aca="false">parametros_recargas!$E$86*'Plan mensual'!G181+parametros_recargas!$F$86*'Plan mensual'!G182+parametros_recargas!$G$86*'Plan mensual'!G183+parametros_recargas!$H$86*'Plan mensual'!G184+parametros_recargas!$I$86*'Plan mensual'!G185+parametros_recargas!$J$86*'Plan mensual'!G186+parametros_recargas!$K$86*'Plan mensual'!G187+parametros_recargas!$L$86*'Plan mensual'!G188+parametros_recargas!$M$86*'Plan mensual'!G190</f>
        <v>14.4334723981661</v>
      </c>
      <c r="F172" s="26" t="n">
        <f aca="false">parametros_recargas!$E$86*'Plan mensual'!H181+parametros_recargas!$F$86*'Plan mensual'!H182+parametros_recargas!$G$86*'Plan mensual'!H183+parametros_recargas!$H$86*'Plan mensual'!H184+parametros_recargas!$I$86*'Plan mensual'!H185+parametros_recargas!$J$86*'Plan mensual'!H186+parametros_recargas!$K$86*'Plan mensual'!H187+parametros_recargas!$L$86*'Plan mensual'!H188+parametros_recargas!$M$86*'Plan mensual'!H190</f>
        <v>14.436790784382</v>
      </c>
      <c r="G172" s="26" t="n">
        <f aca="false">parametros_recargas!$E$86*'Plan mensual'!I181+parametros_recargas!$F$86*'Plan mensual'!I182+parametros_recargas!$G$86*'Plan mensual'!I183+parametros_recargas!$H$86*'Plan mensual'!I184+parametros_recargas!$I$86*'Plan mensual'!I185+parametros_recargas!$J$86*'Plan mensual'!I186+parametros_recargas!$K$86*'Plan mensual'!I187+parametros_recargas!$L$86*'Plan mensual'!I188+parametros_recargas!$M$86*'Plan mensual'!I190</f>
        <v>14.4065704521089</v>
      </c>
      <c r="H172" s="26" t="n">
        <f aca="false">parametros_recargas!$E$86*'Plan mensual'!J181+parametros_recargas!$F$86*'Plan mensual'!J182+parametros_recargas!$G$86*'Plan mensual'!J183+parametros_recargas!$H$86*'Plan mensual'!J184+parametros_recargas!$I$86*'Plan mensual'!J185+parametros_recargas!$J$86*'Plan mensual'!J186+parametros_recargas!$K$86*'Plan mensual'!J187+parametros_recargas!$L$86*'Plan mensual'!J188+parametros_recargas!$M$86*'Plan mensual'!J190</f>
        <v>14.5016239948443</v>
      </c>
      <c r="I172" s="26" t="n">
        <f aca="false">parametros_recargas!$E$86*'Plan mensual'!K181+parametros_recargas!$F$86*'Plan mensual'!K182+parametros_recargas!$G$86*'Plan mensual'!K183+parametros_recargas!$H$86*'Plan mensual'!K184+parametros_recargas!$I$86*'Plan mensual'!K185+parametros_recargas!$J$86*'Plan mensual'!K186+parametros_recargas!$K$86*'Plan mensual'!K187+parametros_recargas!$L$86*'Plan mensual'!K188+parametros_recargas!$M$86*'Plan mensual'!K190</f>
        <v>14.4300868769689</v>
      </c>
      <c r="J172" s="26" t="n">
        <f aca="false">parametros_recargas!$E$86*'Plan mensual'!L181+parametros_recargas!$F$86*'Plan mensual'!L182+parametros_recargas!$G$86*'Plan mensual'!L183+parametros_recargas!$H$86*'Plan mensual'!L184+parametros_recargas!$I$86*'Plan mensual'!L185+parametros_recargas!$J$86*'Plan mensual'!L186+parametros_recargas!$K$86*'Plan mensual'!L187+parametros_recargas!$L$86*'Plan mensual'!L188+parametros_recargas!$M$86*'Plan mensual'!L190</f>
        <v>14.4412408745676</v>
      </c>
      <c r="K172" s="26" t="n">
        <f aca="false">parametros_recargas!$E$86*'Plan mensual'!M181+parametros_recargas!$F$86*'Plan mensual'!M182+parametros_recargas!$G$86*'Plan mensual'!M183+parametros_recargas!$H$86*'Plan mensual'!M184+parametros_recargas!$I$86*'Plan mensual'!M185+parametros_recargas!$J$86*'Plan mensual'!M186+parametros_recargas!$K$86*'Plan mensual'!M187+parametros_recargas!$L$86*'Plan mensual'!M188+parametros_recargas!$M$86*'Plan mensual'!M190</f>
        <v>14.4043645884393</v>
      </c>
      <c r="L172" s="26" t="n">
        <f aca="false">parametros_recargas!$E$86*'Plan mensual'!N181+parametros_recargas!$F$86*'Plan mensual'!N182+parametros_recargas!$G$86*'Plan mensual'!N183+parametros_recargas!$H$86*'Plan mensual'!N184+parametros_recargas!$I$86*'Plan mensual'!N185+parametros_recargas!$J$86*'Plan mensual'!N186+parametros_recargas!$K$86*'Plan mensual'!N187+parametros_recargas!$L$86*'Plan mensual'!N188+parametros_recargas!$M$86*'Plan mensual'!N190</f>
        <v>14.2455615856532</v>
      </c>
      <c r="M172" s="26" t="n">
        <f aca="false">parametros_recargas!$E$86*'Plan mensual'!O181+parametros_recargas!$F$86*'Plan mensual'!O182+parametros_recargas!$G$86*'Plan mensual'!O183+parametros_recargas!$H$86*'Plan mensual'!O184+parametros_recargas!$I$86*'Plan mensual'!O185+parametros_recargas!$J$86*'Plan mensual'!O186+parametros_recargas!$K$86*'Plan mensual'!O187+parametros_recargas!$L$86*'Plan mensual'!O188+parametros_recargas!$M$86*'Plan mensual'!O190</f>
        <v>5.71899330365822</v>
      </c>
      <c r="N172" s="8" t="n">
        <f aca="false">SUM(B172:M172)</f>
        <v>158.297316534602</v>
      </c>
      <c r="O172" s="27" t="n">
        <f aca="false">MAX(B172:M172)</f>
        <v>16.7582175046161</v>
      </c>
      <c r="P172" s="13" t="n">
        <f aca="false">O172/parametros_recargas!$B$6</f>
        <v>0.111721450030774</v>
      </c>
    </row>
    <row r="173" customFormat="false" ht="15" hidden="false" customHeight="false" outlineLevel="0" collapsed="false">
      <c r="A173" s="10" t="str">
        <f aca="false">parametros_recargas!$B$87</f>
        <v>Prueba hidráulica</v>
      </c>
      <c r="B173" s="26" t="n">
        <f aca="false">parametros_recargas!$E$87*'Plan mensual'!D181+parametros_recargas!$F$87*'Plan mensual'!D182+parametros_recargas!$G$87*'Plan mensual'!D183+parametros_recargas!$H$87*'Plan mensual'!D184+parametros_recargas!$I$87*'Plan mensual'!D185+parametros_recargas!$J$87*'Plan mensual'!D186+parametros_recargas!$K$87*'Plan mensual'!D187+parametros_recargas!$L$87*'Plan mensual'!D188+parametros_recargas!$M$87*'Plan mensual'!D190</f>
        <v>1687.27159621431</v>
      </c>
      <c r="C173" s="26" t="n">
        <f aca="false">parametros_recargas!$E$87*'Plan mensual'!E181+parametros_recargas!$F$87*'Plan mensual'!E182+parametros_recargas!$G$87*'Plan mensual'!E183+parametros_recargas!$H$87*'Plan mensual'!E184+parametros_recargas!$I$87*'Plan mensual'!E185+parametros_recargas!$J$87*'Plan mensual'!E186+parametros_recargas!$K$87*'Plan mensual'!E187+parametros_recargas!$L$87*'Plan mensual'!E188+parametros_recargas!$M$87*'Plan mensual'!E190</f>
        <v>3921.40401724563</v>
      </c>
      <c r="D173" s="26" t="n">
        <f aca="false">parametros_recargas!$E$87*'Plan mensual'!F181+parametros_recargas!$F$87*'Plan mensual'!F182+parametros_recargas!$G$87*'Plan mensual'!F183+parametros_recargas!$H$87*'Plan mensual'!F184+parametros_recargas!$I$87*'Plan mensual'!F185+parametros_recargas!$J$87*'Plan mensual'!F186+parametros_recargas!$K$87*'Plan mensual'!F187+parametros_recargas!$L$87*'Plan mensual'!F188+parametros_recargas!$M$87*'Plan mensual'!F190</f>
        <v>3226.2619741151</v>
      </c>
      <c r="E173" s="26" t="n">
        <f aca="false">parametros_recargas!$E$87*'Plan mensual'!G181+parametros_recargas!$F$87*'Plan mensual'!G182+parametros_recargas!$G$87*'Plan mensual'!G183+parametros_recargas!$H$87*'Plan mensual'!G184+parametros_recargas!$I$87*'Plan mensual'!G185+parametros_recargas!$J$87*'Plan mensual'!G186+parametros_recargas!$K$87*'Plan mensual'!G187+parametros_recargas!$L$87*'Plan mensual'!G188+parametros_recargas!$M$87*'Plan mensual'!G190</f>
        <v>3238.16420215169</v>
      </c>
      <c r="F173" s="26" t="n">
        <f aca="false">parametros_recargas!$E$87*'Plan mensual'!H181+parametros_recargas!$F$87*'Plan mensual'!H182+parametros_recargas!$G$87*'Plan mensual'!H183+parametros_recargas!$H$87*'Plan mensual'!H184+parametros_recargas!$I$87*'Plan mensual'!H185+parametros_recargas!$J$87*'Plan mensual'!H186+parametros_recargas!$K$87*'Plan mensual'!H187+parametros_recargas!$L$87*'Plan mensual'!H188+parametros_recargas!$M$87*'Plan mensual'!H190</f>
        <v>3238.785531497</v>
      </c>
      <c r="G173" s="26" t="n">
        <f aca="false">parametros_recargas!$E$87*'Plan mensual'!I181+parametros_recargas!$F$87*'Plan mensual'!I182+parametros_recargas!$G$87*'Plan mensual'!I183+parametros_recargas!$H$87*'Plan mensual'!I184+parametros_recargas!$I$87*'Plan mensual'!I185+parametros_recargas!$J$87*'Plan mensual'!I186+parametros_recargas!$K$87*'Plan mensual'!I187+parametros_recargas!$L$87*'Plan mensual'!I188+parametros_recargas!$M$87*'Plan mensual'!I190</f>
        <v>3233.12712465582</v>
      </c>
      <c r="H173" s="26" t="n">
        <f aca="false">parametros_recargas!$E$87*'Plan mensual'!J181+parametros_recargas!$F$87*'Plan mensual'!J182+parametros_recargas!$G$87*'Plan mensual'!J183+parametros_recargas!$H$87*'Plan mensual'!J184+parametros_recargas!$I$87*'Plan mensual'!J185+parametros_recargas!$J$87*'Plan mensual'!J186+parametros_recargas!$K$87*'Plan mensual'!J187+parametros_recargas!$L$87*'Plan mensual'!J188+parametros_recargas!$M$87*'Plan mensual'!J190</f>
        <v>3250.92479847457</v>
      </c>
      <c r="I173" s="26" t="n">
        <f aca="false">parametros_recargas!$E$87*'Plan mensual'!K181+parametros_recargas!$F$87*'Plan mensual'!K182+parametros_recargas!$G$87*'Plan mensual'!K183+parametros_recargas!$H$87*'Plan mensual'!K184+parametros_recargas!$I$87*'Plan mensual'!K185+parametros_recargas!$J$87*'Plan mensual'!K186+parametros_recargas!$K$87*'Plan mensual'!K187+parametros_recargas!$L$87*'Plan mensual'!K188+parametros_recargas!$M$87*'Plan mensual'!K190</f>
        <v>3237.53030255952</v>
      </c>
      <c r="J173" s="26" t="n">
        <f aca="false">parametros_recargas!$E$87*'Plan mensual'!L181+parametros_recargas!$F$87*'Plan mensual'!L182+parametros_recargas!$G$87*'Plan mensual'!L183+parametros_recargas!$H$87*'Plan mensual'!L184+parametros_recargas!$I$87*'Plan mensual'!L185+parametros_recargas!$J$87*'Plan mensual'!L186+parametros_recargas!$K$87*'Plan mensual'!L187+parametros_recargas!$L$87*'Plan mensual'!L188+parametros_recargas!$M$87*'Plan mensual'!L190</f>
        <v>3239.61875928954</v>
      </c>
      <c r="K173" s="26" t="n">
        <f aca="false">parametros_recargas!$E$87*'Plan mensual'!M181+parametros_recargas!$F$87*'Plan mensual'!M182+parametros_recargas!$G$87*'Plan mensual'!M183+parametros_recargas!$H$87*'Plan mensual'!M184+parametros_recargas!$I$87*'Plan mensual'!M185+parametros_recargas!$J$87*'Plan mensual'!M186+parametros_recargas!$K$87*'Plan mensual'!M187+parametros_recargas!$L$87*'Plan mensual'!M188+parametros_recargas!$M$87*'Plan mensual'!M190</f>
        <v>3232.71410225865</v>
      </c>
      <c r="L173" s="26" t="n">
        <f aca="false">parametros_recargas!$E$87*'Plan mensual'!N181+parametros_recargas!$F$87*'Plan mensual'!N182+parametros_recargas!$G$87*'Plan mensual'!N183+parametros_recargas!$H$87*'Plan mensual'!N184+parametros_recargas!$I$87*'Plan mensual'!N185+parametros_recargas!$J$87*'Plan mensual'!N186+parametros_recargas!$K$87*'Plan mensual'!N187+parametros_recargas!$L$87*'Plan mensual'!N188+parametros_recargas!$M$87*'Plan mensual'!N190</f>
        <v>3202.9800811618</v>
      </c>
      <c r="M173" s="26" t="n">
        <f aca="false">parametros_recargas!$E$87*'Plan mensual'!O181+parametros_recargas!$F$87*'Plan mensual'!O182+parametros_recargas!$G$87*'Plan mensual'!O183+parametros_recargas!$H$87*'Plan mensual'!O184+parametros_recargas!$I$87*'Plan mensual'!O185+parametros_recargas!$J$87*'Plan mensual'!O186+parametros_recargas!$K$87*'Plan mensual'!O187+parametros_recargas!$L$87*'Plan mensual'!O188+parametros_recargas!$M$87*'Plan mensual'!O190</f>
        <v>1606.47902807997</v>
      </c>
      <c r="N173" s="8" t="n">
        <f aca="false">SUM(B173:M173)</f>
        <v>36315.2615177036</v>
      </c>
      <c r="O173" s="27" t="n">
        <f aca="false">MAX(B173:M173)</f>
        <v>3921.40401724563</v>
      </c>
      <c r="P173" s="13" t="n">
        <f aca="false">O173/parametros_recargas!$B$6</f>
        <v>26.1426934483042</v>
      </c>
    </row>
    <row r="174" customFormat="false" ht="15" hidden="false" customHeight="false" outlineLevel="0" collapsed="false">
      <c r="A174" s="10" t="str">
        <f aca="false">parametros_recargas!$B$88</f>
        <v>Secado</v>
      </c>
      <c r="B174" s="26" t="n">
        <f aca="false">parametros_recargas!$E$88*'Plan mensual'!D181+parametros_recargas!$F$88*'Plan mensual'!D182+parametros_recargas!$G$88*'Plan mensual'!D183+parametros_recargas!$H$88*'Plan mensual'!D184+parametros_recargas!$I$88*'Plan mensual'!D185+parametros_recargas!$J$88*'Plan mensual'!D186+parametros_recargas!$K$88*'Plan mensual'!D187+parametros_recargas!$L$88*'Plan mensual'!D188+parametros_recargas!$M$88*'Plan mensual'!D190</f>
        <v>1428.85565960113</v>
      </c>
      <c r="C174" s="26" t="n">
        <f aca="false">parametros_recargas!$E$88*'Plan mensual'!E181+parametros_recargas!$F$88*'Plan mensual'!E182+parametros_recargas!$G$88*'Plan mensual'!E183+parametros_recargas!$H$88*'Plan mensual'!E184+parametros_recargas!$I$88*'Plan mensual'!E185+parametros_recargas!$J$88*'Plan mensual'!E186+parametros_recargas!$K$88*'Plan mensual'!E187+parametros_recargas!$L$88*'Plan mensual'!E188+parametros_recargas!$M$88*'Plan mensual'!E190</f>
        <v>3617.1347242406</v>
      </c>
      <c r="D174" s="26" t="n">
        <f aca="false">parametros_recargas!$E$88*'Plan mensual'!F181+parametros_recargas!$F$88*'Plan mensual'!F182+parametros_recargas!$G$88*'Plan mensual'!F183+parametros_recargas!$H$88*'Plan mensual'!F184+parametros_recargas!$I$88*'Plan mensual'!F185+parametros_recargas!$J$88*'Plan mensual'!F186+parametros_recargas!$K$88*'Plan mensual'!F187+parametros_recargas!$L$88*'Plan mensual'!F188+parametros_recargas!$M$88*'Plan mensual'!F190</f>
        <v>3029.40565261795</v>
      </c>
      <c r="E174" s="26" t="n">
        <f aca="false">parametros_recargas!$E$88*'Plan mensual'!G181+parametros_recargas!$F$88*'Plan mensual'!G182+parametros_recargas!$G$88*'Plan mensual'!G183+parametros_recargas!$H$88*'Plan mensual'!G184+parametros_recargas!$I$88*'Plan mensual'!G185+parametros_recargas!$J$88*'Plan mensual'!G186+parametros_recargas!$K$88*'Plan mensual'!G187+parametros_recargas!$L$88*'Plan mensual'!G188+parametros_recargas!$M$88*'Plan mensual'!G190</f>
        <v>3041.78396977601</v>
      </c>
      <c r="F174" s="26" t="n">
        <f aca="false">parametros_recargas!$E$88*'Plan mensual'!H181+parametros_recargas!$F$88*'Plan mensual'!H182+parametros_recargas!$G$88*'Plan mensual'!H183+parametros_recargas!$H$88*'Plan mensual'!H184+parametros_recargas!$I$88*'Plan mensual'!H185+parametros_recargas!$J$88*'Plan mensual'!H186+parametros_recargas!$K$88*'Plan mensual'!H187+parametros_recargas!$L$88*'Plan mensual'!H188+parametros_recargas!$M$88*'Plan mensual'!H190</f>
        <v>3042.43015229512</v>
      </c>
      <c r="G174" s="26" t="n">
        <f aca="false">parametros_recargas!$E$88*'Plan mensual'!I181+parametros_recargas!$F$88*'Plan mensual'!I182+parametros_recargas!$G$88*'Plan mensual'!I183+parametros_recargas!$H$88*'Plan mensual'!I184+parametros_recargas!$I$88*'Plan mensual'!I185+parametros_recargas!$J$88*'Plan mensual'!I186+parametros_recargas!$K$88*'Plan mensual'!I187+parametros_recargas!$L$88*'Plan mensual'!I188+parametros_recargas!$M$88*'Plan mensual'!I190</f>
        <v>3036.5454091803</v>
      </c>
      <c r="H174" s="26" t="n">
        <f aca="false">parametros_recargas!$E$88*'Plan mensual'!J181+parametros_recargas!$F$88*'Plan mensual'!J182+parametros_recargas!$G$88*'Plan mensual'!J183+parametros_recargas!$H$88*'Plan mensual'!J184+parametros_recargas!$I$88*'Plan mensual'!J185+parametros_recargas!$J$88*'Plan mensual'!J186+parametros_recargas!$K$88*'Plan mensual'!J187+parametros_recargas!$L$88*'Plan mensual'!J188+parametros_recargas!$M$88*'Plan mensual'!J190</f>
        <v>3055.0549899518</v>
      </c>
      <c r="I174" s="26" t="n">
        <f aca="false">parametros_recargas!$E$88*'Plan mensual'!K181+parametros_recargas!$F$88*'Plan mensual'!K182+parametros_recargas!$G$88*'Plan mensual'!K183+parametros_recargas!$H$88*'Plan mensual'!K184+parametros_recargas!$I$88*'Plan mensual'!K185+parametros_recargas!$J$88*'Plan mensual'!K186+parametros_recargas!$K$88*'Plan mensual'!K187+parametros_recargas!$L$88*'Plan mensual'!K188+parametros_recargas!$M$88*'Plan mensual'!K190</f>
        <v>3041.12471420015</v>
      </c>
      <c r="J174" s="26" t="n">
        <f aca="false">parametros_recargas!$E$88*'Plan mensual'!L181+parametros_recargas!$F$88*'Plan mensual'!L182+parametros_recargas!$G$88*'Plan mensual'!L183+parametros_recargas!$H$88*'Plan mensual'!L184+parametros_recargas!$I$88*'Plan mensual'!L185+parametros_recargas!$J$88*'Plan mensual'!L186+parametros_recargas!$K$88*'Plan mensual'!L187+parametros_recargas!$L$88*'Plan mensual'!L188+parametros_recargas!$M$88*'Plan mensual'!L190</f>
        <v>3043.29670919937</v>
      </c>
      <c r="K174" s="26" t="n">
        <f aca="false">parametros_recargas!$E$88*'Plan mensual'!M181+parametros_recargas!$F$88*'Plan mensual'!M182+parametros_recargas!$G$88*'Plan mensual'!M183+parametros_recargas!$H$88*'Plan mensual'!M184+parametros_recargas!$I$88*'Plan mensual'!M185+parametros_recargas!$J$88*'Plan mensual'!M186+parametros_recargas!$K$88*'Plan mensual'!M187+parametros_recargas!$L$88*'Plan mensual'!M188+parametros_recargas!$M$88*'Plan mensual'!M190</f>
        <v>3036.11586588725</v>
      </c>
      <c r="L174" s="26" t="n">
        <f aca="false">parametros_recargas!$E$88*'Plan mensual'!N181+parametros_recargas!$F$88*'Plan mensual'!N182+parametros_recargas!$G$88*'Plan mensual'!N183+parametros_recargas!$H$88*'Plan mensual'!N184+parametros_recargas!$I$88*'Plan mensual'!N185+parametros_recargas!$J$88*'Plan mensual'!N186+parametros_recargas!$K$88*'Plan mensual'!N187+parametros_recargas!$L$88*'Plan mensual'!N188+parametros_recargas!$M$88*'Plan mensual'!N190</f>
        <v>3005.19248394652</v>
      </c>
      <c r="M174" s="26" t="n">
        <f aca="false">parametros_recargas!$E$88*'Plan mensual'!O181+parametros_recargas!$F$88*'Plan mensual'!O182+parametros_recargas!$G$88*'Plan mensual'!O183+parametros_recargas!$H$88*'Plan mensual'!O184+parametros_recargas!$I$88*'Plan mensual'!O185+parametros_recargas!$J$88*'Plan mensual'!O186+parametros_recargas!$K$88*'Plan mensual'!O187+parametros_recargas!$L$88*'Plan mensual'!O188+parametros_recargas!$M$88*'Plan mensual'!O190</f>
        <v>1344.83138874141</v>
      </c>
      <c r="N174" s="8" t="n">
        <f aca="false">SUM(B174:M174)</f>
        <v>33721.7717196376</v>
      </c>
      <c r="O174" s="27" t="n">
        <f aca="false">MAX(B174:M174)</f>
        <v>3617.1347242406</v>
      </c>
      <c r="P174" s="13" t="n">
        <f aca="false">O174/parametros_recargas!$B$6</f>
        <v>24.1142314949373</v>
      </c>
    </row>
    <row r="175" customFormat="false" ht="15" hidden="false" customHeight="false" outlineLevel="0" collapsed="false">
      <c r="A175" s="10" t="str">
        <f aca="false">parametros_recargas!$B$89</f>
        <v>Inspección interior con videoscopio</v>
      </c>
      <c r="B175" s="26" t="n">
        <f aca="false">parametros_recargas!$E$89*'Plan mensual'!D181+parametros_recargas!$F$89*'Plan mensual'!D182+parametros_recargas!$G$89*'Plan mensual'!D183+parametros_recargas!$H$89*'Plan mensual'!D184+parametros_recargas!$I$89*'Plan mensual'!D185+parametros_recargas!$J$89*'Plan mensual'!D186+parametros_recargas!$K$89*'Plan mensual'!D187+parametros_recargas!$L$89*'Plan mensual'!D188+parametros_recargas!$M$89*'Plan mensual'!D190</f>
        <v>1428.85565960113</v>
      </c>
      <c r="C175" s="26" t="n">
        <f aca="false">parametros_recargas!$E$89*'Plan mensual'!E181+parametros_recargas!$F$89*'Plan mensual'!E182+parametros_recargas!$G$89*'Plan mensual'!E183+parametros_recargas!$H$89*'Plan mensual'!E184+parametros_recargas!$I$89*'Plan mensual'!E185+parametros_recargas!$J$89*'Plan mensual'!E186+parametros_recargas!$K$89*'Plan mensual'!E187+parametros_recargas!$L$89*'Plan mensual'!E188+parametros_recargas!$M$89*'Plan mensual'!E190</f>
        <v>3617.1347242406</v>
      </c>
      <c r="D175" s="26" t="n">
        <f aca="false">parametros_recargas!$E$89*'Plan mensual'!F181+parametros_recargas!$F$89*'Plan mensual'!F182+parametros_recargas!$G$89*'Plan mensual'!F183+parametros_recargas!$H$89*'Plan mensual'!F184+parametros_recargas!$I$89*'Plan mensual'!F185+parametros_recargas!$J$89*'Plan mensual'!F186+parametros_recargas!$K$89*'Plan mensual'!F187+parametros_recargas!$L$89*'Plan mensual'!F188+parametros_recargas!$M$89*'Plan mensual'!F190</f>
        <v>3029.40565261795</v>
      </c>
      <c r="E175" s="26" t="n">
        <f aca="false">parametros_recargas!$E$89*'Plan mensual'!G181+parametros_recargas!$F$89*'Plan mensual'!G182+parametros_recargas!$G$89*'Plan mensual'!G183+parametros_recargas!$H$89*'Plan mensual'!G184+parametros_recargas!$I$89*'Plan mensual'!G185+parametros_recargas!$J$89*'Plan mensual'!G186+parametros_recargas!$K$89*'Plan mensual'!G187+parametros_recargas!$L$89*'Plan mensual'!G188+parametros_recargas!$M$89*'Plan mensual'!G190</f>
        <v>3041.78396977601</v>
      </c>
      <c r="F175" s="26" t="n">
        <f aca="false">parametros_recargas!$E$89*'Plan mensual'!H181+parametros_recargas!$F$89*'Plan mensual'!H182+parametros_recargas!$G$89*'Plan mensual'!H183+parametros_recargas!$H$89*'Plan mensual'!H184+parametros_recargas!$I$89*'Plan mensual'!H185+parametros_recargas!$J$89*'Plan mensual'!H186+parametros_recargas!$K$89*'Plan mensual'!H187+parametros_recargas!$L$89*'Plan mensual'!H188+parametros_recargas!$M$89*'Plan mensual'!H190</f>
        <v>3042.43015229512</v>
      </c>
      <c r="G175" s="26" t="n">
        <f aca="false">parametros_recargas!$E$89*'Plan mensual'!I181+parametros_recargas!$F$89*'Plan mensual'!I182+parametros_recargas!$G$89*'Plan mensual'!I183+parametros_recargas!$H$89*'Plan mensual'!I184+parametros_recargas!$I$89*'Plan mensual'!I185+parametros_recargas!$J$89*'Plan mensual'!I186+parametros_recargas!$K$89*'Plan mensual'!I187+parametros_recargas!$L$89*'Plan mensual'!I188+parametros_recargas!$M$89*'Plan mensual'!I190</f>
        <v>3036.5454091803</v>
      </c>
      <c r="H175" s="26" t="n">
        <f aca="false">parametros_recargas!$E$89*'Plan mensual'!J181+parametros_recargas!$F$89*'Plan mensual'!J182+parametros_recargas!$G$89*'Plan mensual'!J183+parametros_recargas!$H$89*'Plan mensual'!J184+parametros_recargas!$I$89*'Plan mensual'!J185+parametros_recargas!$J$89*'Plan mensual'!J186+parametros_recargas!$K$89*'Plan mensual'!J187+parametros_recargas!$L$89*'Plan mensual'!J188+parametros_recargas!$M$89*'Plan mensual'!J190</f>
        <v>3055.0549899518</v>
      </c>
      <c r="I175" s="26" t="n">
        <f aca="false">parametros_recargas!$E$89*'Plan mensual'!K181+parametros_recargas!$F$89*'Plan mensual'!K182+parametros_recargas!$G$89*'Plan mensual'!K183+parametros_recargas!$H$89*'Plan mensual'!K184+parametros_recargas!$I$89*'Plan mensual'!K185+parametros_recargas!$J$89*'Plan mensual'!K186+parametros_recargas!$K$89*'Plan mensual'!K187+parametros_recargas!$L$89*'Plan mensual'!K188+parametros_recargas!$M$89*'Plan mensual'!K190</f>
        <v>3041.12471420015</v>
      </c>
      <c r="J175" s="26" t="n">
        <f aca="false">parametros_recargas!$E$89*'Plan mensual'!L181+parametros_recargas!$F$89*'Plan mensual'!L182+parametros_recargas!$G$89*'Plan mensual'!L183+parametros_recargas!$H$89*'Plan mensual'!L184+parametros_recargas!$I$89*'Plan mensual'!L185+parametros_recargas!$J$89*'Plan mensual'!L186+parametros_recargas!$K$89*'Plan mensual'!L187+parametros_recargas!$L$89*'Plan mensual'!L188+parametros_recargas!$M$89*'Plan mensual'!L190</f>
        <v>3043.29670919937</v>
      </c>
      <c r="K175" s="26" t="n">
        <f aca="false">parametros_recargas!$E$89*'Plan mensual'!M181+parametros_recargas!$F$89*'Plan mensual'!M182+parametros_recargas!$G$89*'Plan mensual'!M183+parametros_recargas!$H$89*'Plan mensual'!M184+parametros_recargas!$I$89*'Plan mensual'!M185+parametros_recargas!$J$89*'Plan mensual'!M186+parametros_recargas!$K$89*'Plan mensual'!M187+parametros_recargas!$L$89*'Plan mensual'!M188+parametros_recargas!$M$89*'Plan mensual'!M190</f>
        <v>3036.11586588725</v>
      </c>
      <c r="L175" s="26" t="n">
        <f aca="false">parametros_recargas!$E$89*'Plan mensual'!N181+parametros_recargas!$F$89*'Plan mensual'!N182+parametros_recargas!$G$89*'Plan mensual'!N183+parametros_recargas!$H$89*'Plan mensual'!N184+parametros_recargas!$I$89*'Plan mensual'!N185+parametros_recargas!$J$89*'Plan mensual'!N186+parametros_recargas!$K$89*'Plan mensual'!N187+parametros_recargas!$L$89*'Plan mensual'!N188+parametros_recargas!$M$89*'Plan mensual'!N190</f>
        <v>3005.19248394652</v>
      </c>
      <c r="M175" s="26" t="n">
        <f aca="false">parametros_recargas!$E$89*'Plan mensual'!O181+parametros_recargas!$F$89*'Plan mensual'!O182+parametros_recargas!$G$89*'Plan mensual'!O183+parametros_recargas!$H$89*'Plan mensual'!O184+parametros_recargas!$I$89*'Plan mensual'!O185+parametros_recargas!$J$89*'Plan mensual'!O186+parametros_recargas!$K$89*'Plan mensual'!O187+parametros_recargas!$L$89*'Plan mensual'!O188+parametros_recargas!$M$89*'Plan mensual'!O190</f>
        <v>1344.83138874141</v>
      </c>
      <c r="N175" s="8" t="n">
        <f aca="false">SUM(B175:M175)</f>
        <v>33721.7717196376</v>
      </c>
      <c r="O175" s="27" t="n">
        <f aca="false">MAX(B175:M175)</f>
        <v>3617.1347242406</v>
      </c>
      <c r="P175" s="13" t="n">
        <f aca="false">O175/parametros_recargas!$B$6</f>
        <v>24.1142314949373</v>
      </c>
    </row>
    <row r="176" customFormat="false" ht="15" hidden="false" customHeight="false" outlineLevel="0" collapsed="false">
      <c r="A176" s="10" t="str">
        <f aca="false">parametros_recargas!$B$90</f>
        <v>Pintura</v>
      </c>
      <c r="B176" s="26" t="n">
        <f aca="false">parametros_recargas!$E$90*'Plan mensual'!D181+parametros_recargas!$F$90*'Plan mensual'!D182+parametros_recargas!$G$90*'Plan mensual'!D183+parametros_recargas!$H$90*'Plan mensual'!D184+parametros_recargas!$I$90*'Plan mensual'!D185+parametros_recargas!$J$90*'Plan mensual'!D186+parametros_recargas!$K$90*'Plan mensual'!D187+parametros_recargas!$L$90*'Plan mensual'!D188+parametros_recargas!$M$90*'Plan mensual'!D190</f>
        <v>912.630147530844</v>
      </c>
      <c r="C176" s="26" t="n">
        <f aca="false">parametros_recargas!$E$90*'Plan mensual'!E181+parametros_recargas!$F$90*'Plan mensual'!E182+parametros_recargas!$G$90*'Plan mensual'!E183+parametros_recargas!$H$90*'Plan mensual'!E184+parametros_recargas!$I$90*'Plan mensual'!E185+parametros_recargas!$J$90*'Plan mensual'!E186+parametros_recargas!$K$90*'Plan mensual'!E187+parametros_recargas!$L$90*'Plan mensual'!E188+parametros_recargas!$M$90*'Plan mensual'!E190</f>
        <v>2212.10222160025</v>
      </c>
      <c r="D176" s="26" t="n">
        <f aca="false">parametros_recargas!$E$90*'Plan mensual'!F181+parametros_recargas!$F$90*'Plan mensual'!F182+parametros_recargas!$G$90*'Plan mensual'!F183+parametros_recargas!$H$90*'Plan mensual'!F184+parametros_recargas!$I$90*'Plan mensual'!F185+parametros_recargas!$J$90*'Plan mensual'!F186+parametros_recargas!$K$90*'Plan mensual'!F187+parametros_recargas!$L$90*'Plan mensual'!F188+parametros_recargas!$M$90*'Plan mensual'!F190</f>
        <v>1836.02437427131</v>
      </c>
      <c r="E176" s="26" t="n">
        <f aca="false">parametros_recargas!$E$90*'Plan mensual'!G181+parametros_recargas!$F$90*'Plan mensual'!G182+parametros_recargas!$G$90*'Plan mensual'!G183+parametros_recargas!$H$90*'Plan mensual'!G184+parametros_recargas!$I$90*'Plan mensual'!G185+parametros_recargas!$J$90*'Plan mensual'!G186+parametros_recargas!$K$90*'Plan mensual'!G187+parametros_recargas!$L$90*'Plan mensual'!G188+parametros_recargas!$M$90*'Plan mensual'!G190</f>
        <v>1843.16571109327</v>
      </c>
      <c r="F176" s="26" t="n">
        <f aca="false">parametros_recargas!$E$90*'Plan mensual'!H181+parametros_recargas!$F$90*'Plan mensual'!H182+parametros_recargas!$G$90*'Plan mensual'!H183+parametros_recargas!$H$90*'Plan mensual'!H184+parametros_recargas!$I$90*'Plan mensual'!H185+parametros_recargas!$J$90*'Plan mensual'!H186+parametros_recargas!$K$90*'Plan mensual'!H187+parametros_recargas!$L$90*'Plan mensual'!H188+parametros_recargas!$M$90*'Plan mensual'!H190</f>
        <v>1843.53850870045</v>
      </c>
      <c r="G176" s="26" t="n">
        <f aca="false">parametros_recargas!$E$90*'Plan mensual'!I181+parametros_recargas!$F$90*'Plan mensual'!I182+parametros_recargas!$G$90*'Plan mensual'!I183+parametros_recargas!$H$90*'Plan mensual'!I184+parametros_recargas!$I$90*'Plan mensual'!I185+parametros_recargas!$J$90*'Plan mensual'!I186+parametros_recargas!$K$90*'Plan mensual'!I187+parametros_recargas!$L$90*'Plan mensual'!I188+parametros_recargas!$M$90*'Plan mensual'!I190</f>
        <v>1840.14346459575</v>
      </c>
      <c r="H176" s="26" t="n">
        <f aca="false">parametros_recargas!$E$90*'Plan mensual'!J181+parametros_recargas!$F$90*'Plan mensual'!J182+parametros_recargas!$G$90*'Plan mensual'!J183+parametros_recargas!$H$90*'Plan mensual'!J184+parametros_recargas!$I$90*'Plan mensual'!J185+parametros_recargas!$J$90*'Plan mensual'!J186+parametros_recargas!$K$90*'Plan mensual'!J187+parametros_recargas!$L$90*'Plan mensual'!J188+parametros_recargas!$M$90*'Plan mensual'!J190</f>
        <v>1850.822068887</v>
      </c>
      <c r="I176" s="26" t="n">
        <f aca="false">parametros_recargas!$E$90*'Plan mensual'!K181+parametros_recargas!$F$90*'Plan mensual'!K182+parametros_recargas!$G$90*'Plan mensual'!K183+parametros_recargas!$H$90*'Plan mensual'!K184+parametros_recargas!$I$90*'Plan mensual'!K185+parametros_recargas!$J$90*'Plan mensual'!K186+parametros_recargas!$K$90*'Plan mensual'!K187+parametros_recargas!$L$90*'Plan mensual'!K188+parametros_recargas!$M$90*'Plan mensual'!K190</f>
        <v>1842.78537133797</v>
      </c>
      <c r="J176" s="26" t="n">
        <f aca="false">parametros_recargas!$E$90*'Plan mensual'!L181+parametros_recargas!$F$90*'Plan mensual'!L182+parametros_recargas!$G$90*'Plan mensual'!L183+parametros_recargas!$H$90*'Plan mensual'!L184+parametros_recargas!$I$90*'Plan mensual'!L185+parametros_recargas!$J$90*'Plan mensual'!L186+parametros_recargas!$K$90*'Plan mensual'!L187+parametros_recargas!$L$90*'Plan mensual'!L188+parametros_recargas!$M$90*'Plan mensual'!L190</f>
        <v>1844.03844537598</v>
      </c>
      <c r="K176" s="26" t="n">
        <f aca="false">parametros_recargas!$E$90*'Plan mensual'!M181+parametros_recargas!$F$90*'Plan mensual'!M182+parametros_recargas!$G$90*'Plan mensual'!M183+parametros_recargas!$H$90*'Plan mensual'!M184+parametros_recargas!$I$90*'Plan mensual'!M185+parametros_recargas!$J$90*'Plan mensual'!M186+parametros_recargas!$K$90*'Plan mensual'!M187+parametros_recargas!$L$90*'Plan mensual'!M188+parametros_recargas!$M$90*'Plan mensual'!M190</f>
        <v>1839.89565115745</v>
      </c>
      <c r="L176" s="26" t="n">
        <f aca="false">parametros_recargas!$E$90*'Plan mensual'!N181+parametros_recargas!$F$90*'Plan mensual'!N182+parametros_recargas!$G$90*'Plan mensual'!N183+parametros_recargas!$H$90*'Plan mensual'!N184+parametros_recargas!$I$90*'Plan mensual'!N185+parametros_recargas!$J$90*'Plan mensual'!N186+parametros_recargas!$K$90*'Plan mensual'!N187+parametros_recargas!$L$90*'Plan mensual'!N188+parametros_recargas!$M$90*'Plan mensual'!N190</f>
        <v>1822.05523849934</v>
      </c>
      <c r="M176" s="26" t="n">
        <f aca="false">parametros_recargas!$E$90*'Plan mensual'!O181+parametros_recargas!$F$90*'Plan mensual'!O182+parametros_recargas!$G$90*'Plan mensual'!O183+parametros_recargas!$H$90*'Plan mensual'!O184+parametros_recargas!$I$90*'Plan mensual'!O185+parametros_recargas!$J$90*'Plan mensual'!O186+parametros_recargas!$K$90*'Plan mensual'!O187+parametros_recargas!$L$90*'Plan mensual'!O188+parametros_recargas!$M$90*'Plan mensual'!O190</f>
        <v>864.154606650237</v>
      </c>
      <c r="N176" s="8" t="n">
        <f aca="false">SUM(B176:M176)</f>
        <v>20551.3558096998</v>
      </c>
      <c r="O176" s="27" t="n">
        <f aca="false">MAX(B176:M176)</f>
        <v>2212.10222160025</v>
      </c>
      <c r="P176" s="13" t="n">
        <f aca="false">O176/parametros_recargas!$B$6</f>
        <v>14.7473481440016</v>
      </c>
    </row>
    <row r="177" customFormat="false" ht="15" hidden="false" customHeight="false" outlineLevel="0" collapsed="false">
      <c r="A177" s="10" t="str">
        <f aca="false">parametros_recargas!$B$91</f>
        <v>Carga de polvo ABC</v>
      </c>
      <c r="B177" s="26" t="n">
        <f aca="false">parametros_recargas!$E$91*'Plan mensual'!D181+parametros_recargas!$F$91*'Plan mensual'!D182+parametros_recargas!$G$91*'Plan mensual'!D183+parametros_recargas!$H$91*'Plan mensual'!D184+parametros_recargas!$I$91*'Plan mensual'!D185+parametros_recargas!$J$91*'Plan mensual'!D186+parametros_recargas!$K$91*'Plan mensual'!D187+parametros_recargas!$L$91*'Plan mensual'!D188+parametros_recargas!$M$91*'Plan mensual'!D190</f>
        <v>4638.99850308264</v>
      </c>
      <c r="C177" s="26" t="n">
        <f aca="false">parametros_recargas!$E$91*'Plan mensual'!E181+parametros_recargas!$F$91*'Plan mensual'!E182+parametros_recargas!$G$91*'Plan mensual'!E183+parametros_recargas!$H$91*'Plan mensual'!E184+parametros_recargas!$I$91*'Plan mensual'!E185+parametros_recargas!$J$91*'Plan mensual'!E186+parametros_recargas!$K$91*'Plan mensual'!E187+parametros_recargas!$L$91*'Plan mensual'!E188+parametros_recargas!$M$91*'Plan mensual'!E190</f>
        <v>12577.6234017283</v>
      </c>
      <c r="D177" s="26" t="n">
        <f aca="false">parametros_recargas!$E$91*'Plan mensual'!F181+parametros_recargas!$F$91*'Plan mensual'!F182+parametros_recargas!$G$91*'Plan mensual'!F183+parametros_recargas!$H$91*'Plan mensual'!F184+parametros_recargas!$I$91*'Plan mensual'!F185+parametros_recargas!$J$91*'Plan mensual'!F186+parametros_recargas!$K$91*'Plan mensual'!F187+parametros_recargas!$L$91*'Plan mensual'!F188+parametros_recargas!$M$91*'Plan mensual'!F190</f>
        <v>10791.194913038</v>
      </c>
      <c r="E177" s="26" t="n">
        <f aca="false">parametros_recargas!$E$91*'Plan mensual'!G181+parametros_recargas!$F$91*'Plan mensual'!G182+parametros_recargas!$G$91*'Plan mensual'!G183+parametros_recargas!$H$91*'Plan mensual'!G184+parametros_recargas!$I$91*'Plan mensual'!G185+parametros_recargas!$J$91*'Plan mensual'!G186+parametros_recargas!$K$91*'Plan mensual'!G187+parametros_recargas!$L$91*'Plan mensual'!G188+parametros_recargas!$M$91*'Plan mensual'!G190</f>
        <v>10838.8038251844</v>
      </c>
      <c r="F177" s="26" t="n">
        <f aca="false">parametros_recargas!$E$91*'Plan mensual'!H181+parametros_recargas!$F$91*'Plan mensual'!H182+parametros_recargas!$G$91*'Plan mensual'!H183+parametros_recargas!$H$91*'Plan mensual'!H184+parametros_recargas!$I$91*'Plan mensual'!H185+parametros_recargas!$J$91*'Plan mensual'!H186+parametros_recargas!$K$91*'Plan mensual'!H187+parametros_recargas!$L$91*'Plan mensual'!H188+parametros_recargas!$M$91*'Plan mensual'!H190</f>
        <v>10839.9289425656</v>
      </c>
      <c r="G177" s="26" t="n">
        <f aca="false">parametros_recargas!$E$91*'Plan mensual'!I181+parametros_recargas!$F$91*'Plan mensual'!I182+parametros_recargas!$G$91*'Plan mensual'!I183+parametros_recargas!$H$91*'Plan mensual'!I184+parametros_recargas!$I$91*'Plan mensual'!I185+parametros_recargas!$J$91*'Plan mensual'!I186+parametros_recargas!$K$91*'Plan mensual'!I187+parametros_recargas!$L$91*'Plan mensual'!I188+parametros_recargas!$M$91*'Plan mensual'!I190</f>
        <v>10815.3041184965</v>
      </c>
      <c r="H177" s="26" t="n">
        <f aca="false">parametros_recargas!$E$91*'Plan mensual'!J181+parametros_recargas!$F$91*'Plan mensual'!J182+parametros_recargas!$G$91*'Plan mensual'!J183+parametros_recargas!$H$91*'Plan mensual'!J184+parametros_recargas!$I$91*'Plan mensual'!J185+parametros_recargas!$J$91*'Plan mensual'!J186+parametros_recargas!$K$91*'Plan mensual'!J187+parametros_recargas!$L$91*'Plan mensual'!J188+parametros_recargas!$M$91*'Plan mensual'!J190</f>
        <v>10888.4860104759</v>
      </c>
      <c r="I177" s="26" t="n">
        <f aca="false">parametros_recargas!$E$91*'Plan mensual'!K181+parametros_recargas!$F$91*'Plan mensual'!K182+parametros_recargas!$G$91*'Plan mensual'!K183+parametros_recargas!$H$91*'Plan mensual'!K184+parametros_recargas!$I$91*'Plan mensual'!K185+parametros_recargas!$J$91*'Plan mensual'!K186+parametros_recargas!$K$91*'Plan mensual'!K187+parametros_recargas!$L$91*'Plan mensual'!K188+parametros_recargas!$M$91*'Plan mensual'!K190</f>
        <v>10834.9080268157</v>
      </c>
      <c r="J177" s="26" t="n">
        <f aca="false">parametros_recargas!$E$91*'Plan mensual'!L181+parametros_recargas!$F$91*'Plan mensual'!L182+parametros_recargas!$G$91*'Plan mensual'!L183+parametros_recargas!$H$91*'Plan mensual'!L184+parametros_recargas!$I$91*'Plan mensual'!L185+parametros_recargas!$J$91*'Plan mensual'!L186+parametros_recargas!$K$91*'Plan mensual'!L187+parametros_recargas!$L$91*'Plan mensual'!L188+parametros_recargas!$M$91*'Plan mensual'!L190</f>
        <v>10842.9463553835</v>
      </c>
      <c r="K177" s="26" t="n">
        <f aca="false">parametros_recargas!$E$91*'Plan mensual'!M181+parametros_recargas!$F$91*'Plan mensual'!M182+parametros_recargas!$G$91*'Plan mensual'!M183+parametros_recargas!$H$91*'Plan mensual'!M184+parametros_recargas!$I$91*'Plan mensual'!M185+parametros_recargas!$J$91*'Plan mensual'!M186+parametros_recargas!$K$91*'Plan mensual'!M187+parametros_recargas!$L$91*'Plan mensual'!M188+parametros_recargas!$M$91*'Plan mensual'!M190</f>
        <v>10813.3365305556</v>
      </c>
      <c r="L177" s="26" t="n">
        <f aca="false">parametros_recargas!$E$91*'Plan mensual'!N181+parametros_recargas!$F$91*'Plan mensual'!N182+parametros_recargas!$G$91*'Plan mensual'!N183+parametros_recargas!$H$91*'Plan mensual'!N184+parametros_recargas!$I$91*'Plan mensual'!N185+parametros_recargas!$J$91*'Plan mensual'!N186+parametros_recargas!$K$91*'Plan mensual'!N187+parametros_recargas!$L$91*'Plan mensual'!N188+parametros_recargas!$M$91*'Plan mensual'!N190</f>
        <v>10692.724747816</v>
      </c>
      <c r="M177" s="26" t="n">
        <f aca="false">parametros_recargas!$E$91*'Plan mensual'!O181+parametros_recargas!$F$91*'Plan mensual'!O182+parametros_recargas!$G$91*'Plan mensual'!O183+parametros_recargas!$H$91*'Plan mensual'!O184+parametros_recargas!$I$91*'Plan mensual'!O185+parametros_recargas!$J$91*'Plan mensual'!O186+parametros_recargas!$K$91*'Plan mensual'!O187+parametros_recargas!$L$91*'Plan mensual'!O188+parametros_recargas!$M$91*'Plan mensual'!O190</f>
        <v>4318.23313219306</v>
      </c>
      <c r="N177" s="8" t="n">
        <f aca="false">SUM(B177:M177)</f>
        <v>118892.488507335</v>
      </c>
      <c r="O177" s="27" t="n">
        <f aca="false">MAX(B177:M177)</f>
        <v>12577.6234017283</v>
      </c>
      <c r="P177" s="13" t="n">
        <f aca="false">O177/parametros_recargas!$B$6</f>
        <v>83.8508226781885</v>
      </c>
    </row>
    <row r="178" customFormat="false" ht="15" hidden="false" customHeight="false" outlineLevel="0" collapsed="false">
      <c r="A178" s="10" t="str">
        <f aca="false">parametros_recargas!$B$92</f>
        <v>Carga de polvo BC</v>
      </c>
      <c r="B178" s="26" t="n">
        <f aca="false">parametros_recargas!$E$92*'Plan mensual'!D181+parametros_recargas!$F$92*'Plan mensual'!D182+parametros_recargas!$G$92*'Plan mensual'!D183+parametros_recargas!$H$92*'Plan mensual'!D184+parametros_recargas!$I$92*'Plan mensual'!D185+parametros_recargas!$J$92*'Plan mensual'!D186+parametros_recargas!$K$92*'Plan mensual'!D187+parametros_recargas!$L$92*'Plan mensual'!D188+parametros_recargas!$M$92*'Plan mensual'!D190</f>
        <v>13.8206328898618</v>
      </c>
      <c r="C178" s="26" t="n">
        <f aca="false">parametros_recargas!$E$92*'Plan mensual'!E181+parametros_recargas!$F$92*'Plan mensual'!E182+parametros_recargas!$G$92*'Plan mensual'!E183+parametros_recargas!$H$92*'Plan mensual'!E184+parametros_recargas!$I$92*'Plan mensual'!E185+parametros_recargas!$J$92*'Plan mensual'!E186+parametros_recargas!$K$92*'Plan mensual'!E187+parametros_recargas!$L$92*'Plan mensual'!E188+parametros_recargas!$M$92*'Plan mensual'!E190</f>
        <v>13.8206328898618</v>
      </c>
      <c r="D178" s="26" t="n">
        <f aca="false">parametros_recargas!$E$92*'Plan mensual'!F181+parametros_recargas!$F$92*'Plan mensual'!F182+parametros_recargas!$G$92*'Plan mensual'!F183+parametros_recargas!$H$92*'Plan mensual'!F184+parametros_recargas!$I$92*'Plan mensual'!F185+parametros_recargas!$J$92*'Plan mensual'!F186+parametros_recargas!$K$92*'Plan mensual'!F187+parametros_recargas!$L$92*'Plan mensual'!F188+parametros_recargas!$M$92*'Plan mensual'!F190</f>
        <v>13.8206328898618</v>
      </c>
      <c r="E178" s="26" t="n">
        <f aca="false">parametros_recargas!$E$92*'Plan mensual'!G181+parametros_recargas!$F$92*'Plan mensual'!G182+parametros_recargas!$G$92*'Plan mensual'!G183+parametros_recargas!$H$92*'Plan mensual'!G184+parametros_recargas!$I$92*'Plan mensual'!G185+parametros_recargas!$J$92*'Plan mensual'!G186+parametros_recargas!$K$92*'Plan mensual'!G187+parametros_recargas!$L$92*'Plan mensual'!G188+parametros_recargas!$M$92*'Plan mensual'!G190</f>
        <v>13.8206328898618</v>
      </c>
      <c r="F178" s="26" t="n">
        <f aca="false">parametros_recargas!$E$92*'Plan mensual'!H181+parametros_recargas!$F$92*'Plan mensual'!H182+parametros_recargas!$G$92*'Plan mensual'!H183+parametros_recargas!$H$92*'Plan mensual'!H184+parametros_recargas!$I$92*'Plan mensual'!H185+parametros_recargas!$J$92*'Plan mensual'!H186+parametros_recargas!$K$92*'Plan mensual'!H187+parametros_recargas!$L$92*'Plan mensual'!H188+parametros_recargas!$M$92*'Plan mensual'!H190</f>
        <v>13.8206328898618</v>
      </c>
      <c r="G178" s="26" t="n">
        <f aca="false">parametros_recargas!$E$92*'Plan mensual'!I181+parametros_recargas!$F$92*'Plan mensual'!I182+parametros_recargas!$G$92*'Plan mensual'!I183+parametros_recargas!$H$92*'Plan mensual'!I184+parametros_recargas!$I$92*'Plan mensual'!I185+parametros_recargas!$J$92*'Plan mensual'!I186+parametros_recargas!$K$92*'Plan mensual'!I187+parametros_recargas!$L$92*'Plan mensual'!I188+parametros_recargas!$M$92*'Plan mensual'!I190</f>
        <v>13.8206328898618</v>
      </c>
      <c r="H178" s="26" t="n">
        <f aca="false">parametros_recargas!$E$92*'Plan mensual'!J181+parametros_recargas!$F$92*'Plan mensual'!J182+parametros_recargas!$G$92*'Plan mensual'!J183+parametros_recargas!$H$92*'Plan mensual'!J184+parametros_recargas!$I$92*'Plan mensual'!J185+parametros_recargas!$J$92*'Plan mensual'!J186+parametros_recargas!$K$92*'Plan mensual'!J187+parametros_recargas!$L$92*'Plan mensual'!J188+parametros_recargas!$M$92*'Plan mensual'!J190</f>
        <v>13.8206328898618</v>
      </c>
      <c r="I178" s="26" t="n">
        <f aca="false">parametros_recargas!$E$92*'Plan mensual'!K181+parametros_recargas!$F$92*'Plan mensual'!K182+parametros_recargas!$G$92*'Plan mensual'!K183+parametros_recargas!$H$92*'Plan mensual'!K184+parametros_recargas!$I$92*'Plan mensual'!K185+parametros_recargas!$J$92*'Plan mensual'!K186+parametros_recargas!$K$92*'Plan mensual'!K187+parametros_recargas!$L$92*'Plan mensual'!K188+parametros_recargas!$M$92*'Plan mensual'!K190</f>
        <v>13.8206328898618</v>
      </c>
      <c r="J178" s="26" t="n">
        <f aca="false">parametros_recargas!$E$92*'Plan mensual'!L181+parametros_recargas!$F$92*'Plan mensual'!L182+parametros_recargas!$G$92*'Plan mensual'!L183+parametros_recargas!$H$92*'Plan mensual'!L184+parametros_recargas!$I$92*'Plan mensual'!L185+parametros_recargas!$J$92*'Plan mensual'!L186+parametros_recargas!$K$92*'Plan mensual'!L187+parametros_recargas!$L$92*'Plan mensual'!L188+parametros_recargas!$M$92*'Plan mensual'!L190</f>
        <v>13.8206328898618</v>
      </c>
      <c r="K178" s="26" t="n">
        <f aca="false">parametros_recargas!$E$92*'Plan mensual'!M181+parametros_recargas!$F$92*'Plan mensual'!M182+parametros_recargas!$G$92*'Plan mensual'!M183+parametros_recargas!$H$92*'Plan mensual'!M184+parametros_recargas!$I$92*'Plan mensual'!M185+parametros_recargas!$J$92*'Plan mensual'!M186+parametros_recargas!$K$92*'Plan mensual'!M187+parametros_recargas!$L$92*'Plan mensual'!M188+parametros_recargas!$M$92*'Plan mensual'!M190</f>
        <v>13.8206328898618</v>
      </c>
      <c r="L178" s="26" t="n">
        <f aca="false">parametros_recargas!$E$92*'Plan mensual'!N181+parametros_recargas!$F$92*'Plan mensual'!N182+parametros_recargas!$G$92*'Plan mensual'!N183+parametros_recargas!$H$92*'Plan mensual'!N184+parametros_recargas!$I$92*'Plan mensual'!N185+parametros_recargas!$J$92*'Plan mensual'!N186+parametros_recargas!$K$92*'Plan mensual'!N187+parametros_recargas!$L$92*'Plan mensual'!N188+parametros_recargas!$M$92*'Plan mensual'!N190</f>
        <v>13.8206328898618</v>
      </c>
      <c r="M178" s="26" t="n">
        <f aca="false">parametros_recargas!$E$92*'Plan mensual'!O181+parametros_recargas!$F$92*'Plan mensual'!O182+parametros_recargas!$G$92*'Plan mensual'!O183+parametros_recargas!$H$92*'Plan mensual'!O184+parametros_recargas!$I$92*'Plan mensual'!O185+parametros_recargas!$J$92*'Plan mensual'!O186+parametros_recargas!$K$92*'Plan mensual'!O187+parametros_recargas!$L$92*'Plan mensual'!O188+parametros_recargas!$M$92*'Plan mensual'!O190</f>
        <v>13.8206328898618</v>
      </c>
      <c r="N178" s="8" t="n">
        <f aca="false">SUM(B178:M178)</f>
        <v>165.847594678341</v>
      </c>
      <c r="O178" s="27" t="n">
        <f aca="false">MAX(B178:M178)</f>
        <v>13.8206328898618</v>
      </c>
      <c r="P178" s="13" t="n">
        <f aca="false">O178/parametros_recargas!$B$6</f>
        <v>0.0921375525990785</v>
      </c>
    </row>
    <row r="179" customFormat="false" ht="15" hidden="false" customHeight="false" outlineLevel="0" collapsed="false">
      <c r="A179" s="10" t="str">
        <f aca="false">parametros_recargas!$B$93</f>
        <v>Descarga y carga Clase D</v>
      </c>
      <c r="B179" s="26" t="n">
        <f aca="false">parametros_recargas!$E$93*'Plan mensual'!D181+parametros_recargas!$F$93*'Plan mensual'!D182+parametros_recargas!$G$93*'Plan mensual'!D183+parametros_recargas!$H$93*'Plan mensual'!D184+parametros_recargas!$I$93*'Plan mensual'!D185+parametros_recargas!$J$93*'Plan mensual'!D186+parametros_recargas!$K$93*'Plan mensual'!D187+parametros_recargas!$L$93*'Plan mensual'!D188+parametros_recargas!$M$93*'Plan mensual'!D190</f>
        <v>12.0689017854267</v>
      </c>
      <c r="C179" s="26" t="n">
        <f aca="false">parametros_recargas!$E$93*'Plan mensual'!E181+parametros_recargas!$F$93*'Plan mensual'!E182+parametros_recargas!$G$93*'Plan mensual'!E183+parametros_recargas!$H$93*'Plan mensual'!E184+parametros_recargas!$I$93*'Plan mensual'!E185+parametros_recargas!$J$93*'Plan mensual'!E186+parametros_recargas!$K$93*'Plan mensual'!E187+parametros_recargas!$L$93*'Plan mensual'!E188+parametros_recargas!$M$93*'Plan mensual'!E190</f>
        <v>12.0689017854267</v>
      </c>
      <c r="D179" s="26" t="n">
        <f aca="false">parametros_recargas!$E$93*'Plan mensual'!F181+parametros_recargas!$F$93*'Plan mensual'!F182+parametros_recargas!$G$93*'Plan mensual'!F183+parametros_recargas!$H$93*'Plan mensual'!F184+parametros_recargas!$I$93*'Plan mensual'!F185+parametros_recargas!$J$93*'Plan mensual'!F186+parametros_recargas!$K$93*'Plan mensual'!F187+parametros_recargas!$L$93*'Plan mensual'!F188+parametros_recargas!$M$93*'Plan mensual'!F190</f>
        <v>12.0689017854267</v>
      </c>
      <c r="E179" s="26" t="n">
        <f aca="false">parametros_recargas!$E$93*'Plan mensual'!G181+parametros_recargas!$F$93*'Plan mensual'!G182+parametros_recargas!$G$93*'Plan mensual'!G183+parametros_recargas!$H$93*'Plan mensual'!G184+parametros_recargas!$I$93*'Plan mensual'!G185+parametros_recargas!$J$93*'Plan mensual'!G186+parametros_recargas!$K$93*'Plan mensual'!G187+parametros_recargas!$L$93*'Plan mensual'!G188+parametros_recargas!$M$93*'Plan mensual'!G190</f>
        <v>12.0689017854267</v>
      </c>
      <c r="F179" s="26" t="n">
        <f aca="false">parametros_recargas!$E$93*'Plan mensual'!H181+parametros_recargas!$F$93*'Plan mensual'!H182+parametros_recargas!$G$93*'Plan mensual'!H183+parametros_recargas!$H$93*'Plan mensual'!H184+parametros_recargas!$I$93*'Plan mensual'!H185+parametros_recargas!$J$93*'Plan mensual'!H186+parametros_recargas!$K$93*'Plan mensual'!H187+parametros_recargas!$L$93*'Plan mensual'!H188+parametros_recargas!$M$93*'Plan mensual'!H190</f>
        <v>12.0689017854267</v>
      </c>
      <c r="G179" s="26" t="n">
        <f aca="false">parametros_recargas!$E$93*'Plan mensual'!I181+parametros_recargas!$F$93*'Plan mensual'!I182+parametros_recargas!$G$93*'Plan mensual'!I183+parametros_recargas!$H$93*'Plan mensual'!I184+parametros_recargas!$I$93*'Plan mensual'!I185+parametros_recargas!$J$93*'Plan mensual'!I186+parametros_recargas!$K$93*'Plan mensual'!I187+parametros_recargas!$L$93*'Plan mensual'!I188+parametros_recargas!$M$93*'Plan mensual'!I190</f>
        <v>12.0689017854267</v>
      </c>
      <c r="H179" s="26" t="n">
        <f aca="false">parametros_recargas!$E$93*'Plan mensual'!J181+parametros_recargas!$F$93*'Plan mensual'!J182+parametros_recargas!$G$93*'Plan mensual'!J183+parametros_recargas!$H$93*'Plan mensual'!J184+parametros_recargas!$I$93*'Plan mensual'!J185+parametros_recargas!$J$93*'Plan mensual'!J186+parametros_recargas!$K$93*'Plan mensual'!J187+parametros_recargas!$L$93*'Plan mensual'!J188+parametros_recargas!$M$93*'Plan mensual'!J190</f>
        <v>12.0689017854267</v>
      </c>
      <c r="I179" s="26" t="n">
        <f aca="false">parametros_recargas!$E$93*'Plan mensual'!K181+parametros_recargas!$F$93*'Plan mensual'!K182+parametros_recargas!$G$93*'Plan mensual'!K183+parametros_recargas!$H$93*'Plan mensual'!K184+parametros_recargas!$I$93*'Plan mensual'!K185+parametros_recargas!$J$93*'Plan mensual'!K186+parametros_recargas!$K$93*'Plan mensual'!K187+parametros_recargas!$L$93*'Plan mensual'!K188+parametros_recargas!$M$93*'Plan mensual'!K190</f>
        <v>12.0689017854267</v>
      </c>
      <c r="J179" s="26" t="n">
        <f aca="false">parametros_recargas!$E$93*'Plan mensual'!L181+parametros_recargas!$F$93*'Plan mensual'!L182+parametros_recargas!$G$93*'Plan mensual'!L183+parametros_recargas!$H$93*'Plan mensual'!L184+parametros_recargas!$I$93*'Plan mensual'!L185+parametros_recargas!$J$93*'Plan mensual'!L186+parametros_recargas!$K$93*'Plan mensual'!L187+parametros_recargas!$L$93*'Plan mensual'!L188+parametros_recargas!$M$93*'Plan mensual'!L190</f>
        <v>12.0689017854267</v>
      </c>
      <c r="K179" s="26" t="n">
        <f aca="false">parametros_recargas!$E$93*'Plan mensual'!M181+parametros_recargas!$F$93*'Plan mensual'!M182+parametros_recargas!$G$93*'Plan mensual'!M183+parametros_recargas!$H$93*'Plan mensual'!M184+parametros_recargas!$I$93*'Plan mensual'!M185+parametros_recargas!$J$93*'Plan mensual'!M186+parametros_recargas!$K$93*'Plan mensual'!M187+parametros_recargas!$L$93*'Plan mensual'!M188+parametros_recargas!$M$93*'Plan mensual'!M190</f>
        <v>12.0689017854267</v>
      </c>
      <c r="L179" s="26" t="n">
        <f aca="false">parametros_recargas!$E$93*'Plan mensual'!N181+parametros_recargas!$F$93*'Plan mensual'!N182+parametros_recargas!$G$93*'Plan mensual'!N183+parametros_recargas!$H$93*'Plan mensual'!N184+parametros_recargas!$I$93*'Plan mensual'!N185+parametros_recargas!$J$93*'Plan mensual'!N186+parametros_recargas!$K$93*'Plan mensual'!N187+parametros_recargas!$L$93*'Plan mensual'!N188+parametros_recargas!$M$93*'Plan mensual'!N190</f>
        <v>12.0689017854267</v>
      </c>
      <c r="M179" s="26" t="n">
        <f aca="false">parametros_recargas!$E$93*'Plan mensual'!O181+parametros_recargas!$F$93*'Plan mensual'!O182+parametros_recargas!$G$93*'Plan mensual'!O183+parametros_recargas!$H$93*'Plan mensual'!O184+parametros_recargas!$I$93*'Plan mensual'!O185+parametros_recargas!$J$93*'Plan mensual'!O186+parametros_recargas!$K$93*'Plan mensual'!O187+parametros_recargas!$L$93*'Plan mensual'!O188+parametros_recargas!$M$93*'Plan mensual'!O190</f>
        <v>12.0689017854267</v>
      </c>
      <c r="N179" s="8" t="n">
        <f aca="false">SUM(B179:M179)</f>
        <v>144.826821425121</v>
      </c>
      <c r="O179" s="27" t="n">
        <f aca="false">MAX(B179:M179)</f>
        <v>12.0689017854267</v>
      </c>
      <c r="P179" s="13" t="n">
        <f aca="false">O179/parametros_recargas!$B$6</f>
        <v>0.0804593452361781</v>
      </c>
    </row>
    <row r="180" customFormat="false" ht="15" hidden="false" customHeight="false" outlineLevel="0" collapsed="false">
      <c r="A180" s="10" t="str">
        <f aca="false">parametros_recargas!$B$94</f>
        <v>Carga de agua / AFFF / sales K</v>
      </c>
      <c r="B180" s="26" t="n">
        <f aca="false">parametros_recargas!$E$94*'Plan mensual'!D181+parametros_recargas!$F$94*'Plan mensual'!D182+parametros_recargas!$G$94*'Plan mensual'!D183+parametros_recargas!$H$94*'Plan mensual'!D184+parametros_recargas!$I$94*'Plan mensual'!D185+parametros_recargas!$J$94*'Plan mensual'!D186+parametros_recargas!$K$94*'Plan mensual'!D187+parametros_recargas!$L$94*'Plan mensual'!D188+parametros_recargas!$M$94*'Plan mensual'!D190</f>
        <v>526.367609376988</v>
      </c>
      <c r="C180" s="26" t="n">
        <f aca="false">parametros_recargas!$E$94*'Plan mensual'!E181+parametros_recargas!$F$94*'Plan mensual'!E182+parametros_recargas!$G$94*'Plan mensual'!E183+parametros_recargas!$H$94*'Plan mensual'!E184+parametros_recargas!$I$94*'Plan mensual'!E185+parametros_recargas!$J$94*'Plan mensual'!E186+parametros_recargas!$K$94*'Plan mensual'!E187+parametros_recargas!$L$94*'Plan mensual'!E188+parametros_recargas!$M$94*'Plan mensual'!E190</f>
        <v>742.795440609857</v>
      </c>
      <c r="D180" s="26" t="n">
        <f aca="false">parametros_recargas!$E$94*'Plan mensual'!F181+parametros_recargas!$F$94*'Plan mensual'!F182+parametros_recargas!$G$94*'Plan mensual'!F183+parametros_recargas!$H$94*'Plan mensual'!F184+parametros_recargas!$I$94*'Plan mensual'!F185+parametros_recargas!$J$94*'Plan mensual'!F186+parametros_recargas!$K$94*'Plan mensual'!F187+parametros_recargas!$L$94*'Plan mensual'!F188+parametros_recargas!$M$94*'Plan mensual'!F190</f>
        <v>526.367609376988</v>
      </c>
      <c r="E180" s="26" t="n">
        <f aca="false">parametros_recargas!$E$94*'Plan mensual'!G181+parametros_recargas!$F$94*'Plan mensual'!G182+parametros_recargas!$G$94*'Plan mensual'!G183+parametros_recargas!$H$94*'Plan mensual'!G184+parametros_recargas!$I$94*'Plan mensual'!G185+parametros_recargas!$J$94*'Plan mensual'!G186+parametros_recargas!$K$94*'Plan mensual'!G187+parametros_recargas!$L$94*'Plan mensual'!G188+parametros_recargas!$M$94*'Plan mensual'!G190</f>
        <v>526.367609376988</v>
      </c>
      <c r="F180" s="26" t="n">
        <f aca="false">parametros_recargas!$E$94*'Plan mensual'!H181+parametros_recargas!$F$94*'Plan mensual'!H182+parametros_recargas!$G$94*'Plan mensual'!H183+parametros_recargas!$H$94*'Plan mensual'!H184+parametros_recargas!$I$94*'Plan mensual'!H185+parametros_recargas!$J$94*'Plan mensual'!H186+parametros_recargas!$K$94*'Plan mensual'!H187+parametros_recargas!$L$94*'Plan mensual'!H188+parametros_recargas!$M$94*'Plan mensual'!H190</f>
        <v>526.367609376988</v>
      </c>
      <c r="G180" s="26" t="n">
        <f aca="false">parametros_recargas!$E$94*'Plan mensual'!I181+parametros_recargas!$F$94*'Plan mensual'!I182+parametros_recargas!$G$94*'Plan mensual'!I183+parametros_recargas!$H$94*'Plan mensual'!I184+parametros_recargas!$I$94*'Plan mensual'!I185+parametros_recargas!$J$94*'Plan mensual'!I186+parametros_recargas!$K$94*'Plan mensual'!I187+parametros_recargas!$L$94*'Plan mensual'!I188+parametros_recargas!$M$94*'Plan mensual'!I190</f>
        <v>526.367609376988</v>
      </c>
      <c r="H180" s="26" t="n">
        <f aca="false">parametros_recargas!$E$94*'Plan mensual'!J181+parametros_recargas!$F$94*'Plan mensual'!J182+parametros_recargas!$G$94*'Plan mensual'!J183+parametros_recargas!$H$94*'Plan mensual'!J184+parametros_recargas!$I$94*'Plan mensual'!J185+parametros_recargas!$J$94*'Plan mensual'!J186+parametros_recargas!$K$94*'Plan mensual'!J187+parametros_recargas!$L$94*'Plan mensual'!J188+parametros_recargas!$M$94*'Plan mensual'!J190</f>
        <v>526.367609376988</v>
      </c>
      <c r="I180" s="26" t="n">
        <f aca="false">parametros_recargas!$E$94*'Plan mensual'!K181+parametros_recargas!$F$94*'Plan mensual'!K182+parametros_recargas!$G$94*'Plan mensual'!K183+parametros_recargas!$H$94*'Plan mensual'!K184+parametros_recargas!$I$94*'Plan mensual'!K185+parametros_recargas!$J$94*'Plan mensual'!K186+parametros_recargas!$K$94*'Plan mensual'!K187+parametros_recargas!$L$94*'Plan mensual'!K188+parametros_recargas!$M$94*'Plan mensual'!K190</f>
        <v>526.367609376988</v>
      </c>
      <c r="J180" s="26" t="n">
        <f aca="false">parametros_recargas!$E$94*'Plan mensual'!L181+parametros_recargas!$F$94*'Plan mensual'!L182+parametros_recargas!$G$94*'Plan mensual'!L183+parametros_recargas!$H$94*'Plan mensual'!L184+parametros_recargas!$I$94*'Plan mensual'!L185+parametros_recargas!$J$94*'Plan mensual'!L186+parametros_recargas!$K$94*'Plan mensual'!L187+parametros_recargas!$L$94*'Plan mensual'!L188+parametros_recargas!$M$94*'Plan mensual'!L190</f>
        <v>526.367609376988</v>
      </c>
      <c r="K180" s="26" t="n">
        <f aca="false">parametros_recargas!$E$94*'Plan mensual'!M181+parametros_recargas!$F$94*'Plan mensual'!M182+parametros_recargas!$G$94*'Plan mensual'!M183+parametros_recargas!$H$94*'Plan mensual'!M184+parametros_recargas!$I$94*'Plan mensual'!M185+parametros_recargas!$J$94*'Plan mensual'!M186+parametros_recargas!$K$94*'Plan mensual'!M187+parametros_recargas!$L$94*'Plan mensual'!M188+parametros_recargas!$M$94*'Plan mensual'!M190</f>
        <v>526.367609376988</v>
      </c>
      <c r="L180" s="26" t="n">
        <f aca="false">parametros_recargas!$E$94*'Plan mensual'!N181+parametros_recargas!$F$94*'Plan mensual'!N182+parametros_recargas!$G$94*'Plan mensual'!N183+parametros_recargas!$H$94*'Plan mensual'!N184+parametros_recargas!$I$94*'Plan mensual'!N185+parametros_recargas!$J$94*'Plan mensual'!N186+parametros_recargas!$K$94*'Plan mensual'!N187+parametros_recargas!$L$94*'Plan mensual'!N188+parametros_recargas!$M$94*'Plan mensual'!N190</f>
        <v>526.367609376988</v>
      </c>
      <c r="M180" s="26" t="n">
        <f aca="false">parametros_recargas!$E$94*'Plan mensual'!O181+parametros_recargas!$F$94*'Plan mensual'!O182+parametros_recargas!$G$94*'Plan mensual'!O183+parametros_recargas!$H$94*'Plan mensual'!O184+parametros_recargas!$I$94*'Plan mensual'!O185+parametros_recargas!$J$94*'Plan mensual'!O186+parametros_recargas!$K$94*'Plan mensual'!O187+parametros_recargas!$L$94*'Plan mensual'!O188+parametros_recargas!$M$94*'Plan mensual'!O190</f>
        <v>526.367609376988</v>
      </c>
      <c r="N180" s="8" t="n">
        <f aca="false">SUM(B180:M180)</f>
        <v>6532.83914375672</v>
      </c>
      <c r="O180" s="27" t="n">
        <f aca="false">MAX(B180:M180)</f>
        <v>742.795440609857</v>
      </c>
      <c r="P180" s="13" t="n">
        <f aca="false">O180/parametros_recargas!$B$6</f>
        <v>4.95196960406572</v>
      </c>
    </row>
    <row r="181" customFormat="false" ht="15" hidden="false" customHeight="false" outlineLevel="0" collapsed="false">
      <c r="A181" s="10" t="str">
        <f aca="false">parametros_recargas!$B$95</f>
        <v>Carga de CO₂</v>
      </c>
      <c r="B181" s="26" t="n">
        <f aca="false">parametros_recargas!$E$95*'Plan mensual'!D181+parametros_recargas!$F$95*'Plan mensual'!D182+parametros_recargas!$G$95*'Plan mensual'!D183+parametros_recargas!$H$95*'Plan mensual'!D184+parametros_recargas!$I$95*'Plan mensual'!D185+parametros_recargas!$J$95*'Plan mensual'!D186+parametros_recargas!$K$95*'Plan mensual'!D187+parametros_recargas!$L$95*'Plan mensual'!D188+parametros_recargas!$M$95*'Plan mensual'!D190</f>
        <v>301.799500978846</v>
      </c>
      <c r="C181" s="26" t="n">
        <f aca="false">parametros_recargas!$E$95*'Plan mensual'!E181+parametros_recargas!$F$95*'Plan mensual'!E182+parametros_recargas!$G$95*'Plan mensual'!E183+parametros_recargas!$H$95*'Plan mensual'!E184+parametros_recargas!$I$95*'Plan mensual'!E185+parametros_recargas!$J$95*'Plan mensual'!E186+parametros_recargas!$K$95*'Plan mensual'!E187+parametros_recargas!$L$95*'Plan mensual'!E188+parametros_recargas!$M$95*'Plan mensual'!E190</f>
        <v>473.520594366685</v>
      </c>
      <c r="D181" s="26" t="n">
        <f aca="false">parametros_recargas!$E$95*'Plan mensual'!F181+parametros_recargas!$F$95*'Plan mensual'!F182+parametros_recargas!$G$95*'Plan mensual'!F183+parametros_recargas!$H$95*'Plan mensual'!F184+parametros_recargas!$I$95*'Plan mensual'!F185+parametros_recargas!$J$95*'Plan mensual'!F186+parametros_recargas!$K$95*'Plan mensual'!F187+parametros_recargas!$L$95*'Plan mensual'!F188+parametros_recargas!$M$95*'Plan mensual'!F190</f>
        <v>301.799500978846</v>
      </c>
      <c r="E181" s="26" t="n">
        <f aca="false">parametros_recargas!$E$95*'Plan mensual'!G181+parametros_recargas!$F$95*'Plan mensual'!G182+parametros_recargas!$G$95*'Plan mensual'!G183+parametros_recargas!$H$95*'Plan mensual'!G184+parametros_recargas!$I$95*'Plan mensual'!G185+parametros_recargas!$J$95*'Plan mensual'!G186+parametros_recargas!$K$95*'Plan mensual'!G187+parametros_recargas!$L$95*'Plan mensual'!G188+parametros_recargas!$M$95*'Plan mensual'!G190</f>
        <v>301.799500978846</v>
      </c>
      <c r="F181" s="26" t="n">
        <f aca="false">parametros_recargas!$E$95*'Plan mensual'!H181+parametros_recargas!$F$95*'Plan mensual'!H182+parametros_recargas!$G$95*'Plan mensual'!H183+parametros_recargas!$H$95*'Plan mensual'!H184+parametros_recargas!$I$95*'Plan mensual'!H185+parametros_recargas!$J$95*'Plan mensual'!H186+parametros_recargas!$K$95*'Plan mensual'!H187+parametros_recargas!$L$95*'Plan mensual'!H188+parametros_recargas!$M$95*'Plan mensual'!H190</f>
        <v>301.799500978846</v>
      </c>
      <c r="G181" s="26" t="n">
        <f aca="false">parametros_recargas!$E$95*'Plan mensual'!I181+parametros_recargas!$F$95*'Plan mensual'!I182+parametros_recargas!$G$95*'Plan mensual'!I183+parametros_recargas!$H$95*'Plan mensual'!I184+parametros_recargas!$I$95*'Plan mensual'!I185+parametros_recargas!$J$95*'Plan mensual'!I186+parametros_recargas!$K$95*'Plan mensual'!I187+parametros_recargas!$L$95*'Plan mensual'!I188+parametros_recargas!$M$95*'Plan mensual'!I190</f>
        <v>301.799500978846</v>
      </c>
      <c r="H181" s="26" t="n">
        <f aca="false">parametros_recargas!$E$95*'Plan mensual'!J181+parametros_recargas!$F$95*'Plan mensual'!J182+parametros_recargas!$G$95*'Plan mensual'!J183+parametros_recargas!$H$95*'Plan mensual'!J184+parametros_recargas!$I$95*'Plan mensual'!J185+parametros_recargas!$J$95*'Plan mensual'!J186+parametros_recargas!$K$95*'Plan mensual'!J187+parametros_recargas!$L$95*'Plan mensual'!J188+parametros_recargas!$M$95*'Plan mensual'!J190</f>
        <v>301.799500978846</v>
      </c>
      <c r="I181" s="26" t="n">
        <f aca="false">parametros_recargas!$E$95*'Plan mensual'!K181+parametros_recargas!$F$95*'Plan mensual'!K182+parametros_recargas!$G$95*'Plan mensual'!K183+parametros_recargas!$H$95*'Plan mensual'!K184+parametros_recargas!$I$95*'Plan mensual'!K185+parametros_recargas!$J$95*'Plan mensual'!K186+parametros_recargas!$K$95*'Plan mensual'!K187+parametros_recargas!$L$95*'Plan mensual'!K188+parametros_recargas!$M$95*'Plan mensual'!K190</f>
        <v>301.799500978846</v>
      </c>
      <c r="J181" s="26" t="n">
        <f aca="false">parametros_recargas!$E$95*'Plan mensual'!L181+parametros_recargas!$F$95*'Plan mensual'!L182+parametros_recargas!$G$95*'Plan mensual'!L183+parametros_recargas!$H$95*'Plan mensual'!L184+parametros_recargas!$I$95*'Plan mensual'!L185+parametros_recargas!$J$95*'Plan mensual'!L186+parametros_recargas!$K$95*'Plan mensual'!L187+parametros_recargas!$L$95*'Plan mensual'!L188+parametros_recargas!$M$95*'Plan mensual'!L190</f>
        <v>301.799500978846</v>
      </c>
      <c r="K181" s="26" t="n">
        <f aca="false">parametros_recargas!$E$95*'Plan mensual'!M181+parametros_recargas!$F$95*'Plan mensual'!M182+parametros_recargas!$G$95*'Plan mensual'!M183+parametros_recargas!$H$95*'Plan mensual'!M184+parametros_recargas!$I$95*'Plan mensual'!M185+parametros_recargas!$J$95*'Plan mensual'!M186+parametros_recargas!$K$95*'Plan mensual'!M187+parametros_recargas!$L$95*'Plan mensual'!M188+parametros_recargas!$M$95*'Plan mensual'!M190</f>
        <v>301.799500978846</v>
      </c>
      <c r="L181" s="26" t="n">
        <f aca="false">parametros_recargas!$E$95*'Plan mensual'!N181+parametros_recargas!$F$95*'Plan mensual'!N182+parametros_recargas!$G$95*'Plan mensual'!N183+parametros_recargas!$H$95*'Plan mensual'!N184+parametros_recargas!$I$95*'Plan mensual'!N185+parametros_recargas!$J$95*'Plan mensual'!N186+parametros_recargas!$K$95*'Plan mensual'!N187+parametros_recargas!$L$95*'Plan mensual'!N188+parametros_recargas!$M$95*'Plan mensual'!N190</f>
        <v>301.799500978846</v>
      </c>
      <c r="M181" s="26" t="n">
        <f aca="false">parametros_recargas!$E$95*'Plan mensual'!O181+parametros_recargas!$F$95*'Plan mensual'!O182+parametros_recargas!$G$95*'Plan mensual'!O183+parametros_recargas!$H$95*'Plan mensual'!O184+parametros_recargas!$I$95*'Plan mensual'!O185+parametros_recargas!$J$95*'Plan mensual'!O186+parametros_recargas!$K$95*'Plan mensual'!O187+parametros_recargas!$L$95*'Plan mensual'!O188+parametros_recargas!$M$95*'Plan mensual'!O190</f>
        <v>301.799500978846</v>
      </c>
      <c r="N181" s="8" t="n">
        <f aca="false">SUM(B181:M181)</f>
        <v>3793.31510513399</v>
      </c>
      <c r="O181" s="27" t="n">
        <f aca="false">MAX(B181:M181)</f>
        <v>473.520594366685</v>
      </c>
      <c r="P181" s="13" t="n">
        <f aca="false">O181/parametros_recargas!$B$6</f>
        <v>3.15680396244457</v>
      </c>
    </row>
    <row r="182" customFormat="false" ht="15" hidden="false" customHeight="false" outlineLevel="0" collapsed="false">
      <c r="A182" s="10" t="str">
        <f aca="false">parametros_recargas!$B$96</f>
        <v>Ensamblaje y marbete — recinto</v>
      </c>
      <c r="B182" s="26" t="n">
        <f aca="false">parametros_recargas!$E$96*'Plan mensual'!D181+parametros_recargas!$F$96*'Plan mensual'!D182+parametros_recargas!$G$96*'Plan mensual'!D183+parametros_recargas!$H$96*'Plan mensual'!D184+parametros_recargas!$I$96*'Plan mensual'!D185+parametros_recargas!$J$96*'Plan mensual'!D186+parametros_recargas!$K$96*'Plan mensual'!D187+parametros_recargas!$L$96*'Plan mensual'!D188+parametros_recargas!$M$96*'Plan mensual'!D190</f>
        <v>4664.88803775793</v>
      </c>
      <c r="C182" s="26" t="n">
        <f aca="false">parametros_recargas!$E$96*'Plan mensual'!E181+parametros_recargas!$F$96*'Plan mensual'!E182+parametros_recargas!$G$96*'Plan mensual'!E183+parametros_recargas!$H$96*'Plan mensual'!E184+parametros_recargas!$I$96*'Plan mensual'!E185+parametros_recargas!$J$96*'Plan mensual'!E186+parametros_recargas!$K$96*'Plan mensual'!E187+parametros_recargas!$L$96*'Plan mensual'!E188+parametros_recargas!$M$96*'Plan mensual'!E190</f>
        <v>12603.5129364036</v>
      </c>
      <c r="D182" s="26" t="n">
        <f aca="false">parametros_recargas!$E$96*'Plan mensual'!F181+parametros_recargas!$F$96*'Plan mensual'!F182+parametros_recargas!$G$96*'Plan mensual'!F183+parametros_recargas!$H$96*'Plan mensual'!F184+parametros_recargas!$I$96*'Plan mensual'!F185+parametros_recargas!$J$96*'Plan mensual'!F186+parametros_recargas!$K$96*'Plan mensual'!F187+parametros_recargas!$L$96*'Plan mensual'!F188+parametros_recargas!$M$96*'Plan mensual'!F190</f>
        <v>10817.0844477133</v>
      </c>
      <c r="E182" s="26" t="n">
        <f aca="false">parametros_recargas!$E$96*'Plan mensual'!G181+parametros_recargas!$F$96*'Plan mensual'!G182+parametros_recargas!$G$96*'Plan mensual'!G183+parametros_recargas!$H$96*'Plan mensual'!G184+parametros_recargas!$I$96*'Plan mensual'!G185+parametros_recargas!$J$96*'Plan mensual'!G186+parametros_recargas!$K$96*'Plan mensual'!G187+parametros_recargas!$L$96*'Plan mensual'!G188+parametros_recargas!$M$96*'Plan mensual'!G190</f>
        <v>10864.6933598596</v>
      </c>
      <c r="F182" s="26" t="n">
        <f aca="false">parametros_recargas!$E$96*'Plan mensual'!H181+parametros_recargas!$F$96*'Plan mensual'!H182+parametros_recargas!$G$96*'Plan mensual'!H183+parametros_recargas!$H$96*'Plan mensual'!H184+parametros_recargas!$I$96*'Plan mensual'!H185+parametros_recargas!$J$96*'Plan mensual'!H186+parametros_recargas!$K$96*'Plan mensual'!H187+parametros_recargas!$L$96*'Plan mensual'!H188+parametros_recargas!$M$96*'Plan mensual'!H190</f>
        <v>10865.8184772409</v>
      </c>
      <c r="G182" s="26" t="n">
        <f aca="false">parametros_recargas!$E$96*'Plan mensual'!I181+parametros_recargas!$F$96*'Plan mensual'!I182+parametros_recargas!$G$96*'Plan mensual'!I183+parametros_recargas!$H$96*'Plan mensual'!I184+parametros_recargas!$I$96*'Plan mensual'!I185+parametros_recargas!$J$96*'Plan mensual'!I186+parametros_recargas!$K$96*'Plan mensual'!I187+parametros_recargas!$L$96*'Plan mensual'!I188+parametros_recargas!$M$96*'Plan mensual'!I190</f>
        <v>10841.1936531718</v>
      </c>
      <c r="H182" s="26" t="n">
        <f aca="false">parametros_recargas!$E$96*'Plan mensual'!J181+parametros_recargas!$F$96*'Plan mensual'!J182+parametros_recargas!$G$96*'Plan mensual'!J183+parametros_recargas!$H$96*'Plan mensual'!J184+parametros_recargas!$I$96*'Plan mensual'!J185+parametros_recargas!$J$96*'Plan mensual'!J186+parametros_recargas!$K$96*'Plan mensual'!J187+parametros_recargas!$L$96*'Plan mensual'!J188+parametros_recargas!$M$96*'Plan mensual'!J190</f>
        <v>10914.3755451512</v>
      </c>
      <c r="I182" s="26" t="n">
        <f aca="false">parametros_recargas!$E$96*'Plan mensual'!K181+parametros_recargas!$F$96*'Plan mensual'!K182+parametros_recargas!$G$96*'Plan mensual'!K183+parametros_recargas!$H$96*'Plan mensual'!K184+parametros_recargas!$I$96*'Plan mensual'!K185+parametros_recargas!$J$96*'Plan mensual'!K186+parametros_recargas!$K$96*'Plan mensual'!K187+parametros_recargas!$L$96*'Plan mensual'!K188+parametros_recargas!$M$96*'Plan mensual'!K190</f>
        <v>10860.797561491</v>
      </c>
      <c r="J182" s="26" t="n">
        <f aca="false">parametros_recargas!$E$96*'Plan mensual'!L181+parametros_recargas!$F$96*'Plan mensual'!L182+parametros_recargas!$G$96*'Plan mensual'!L183+parametros_recargas!$H$96*'Plan mensual'!L184+parametros_recargas!$I$96*'Plan mensual'!L185+parametros_recargas!$J$96*'Plan mensual'!L186+parametros_recargas!$K$96*'Plan mensual'!L187+parametros_recargas!$L$96*'Plan mensual'!L188+parametros_recargas!$M$96*'Plan mensual'!L190</f>
        <v>10868.8358900588</v>
      </c>
      <c r="K182" s="26" t="n">
        <f aca="false">parametros_recargas!$E$96*'Plan mensual'!M181+parametros_recargas!$F$96*'Plan mensual'!M182+parametros_recargas!$G$96*'Plan mensual'!M183+parametros_recargas!$H$96*'Plan mensual'!M184+parametros_recargas!$I$96*'Plan mensual'!M185+parametros_recargas!$J$96*'Plan mensual'!M186+parametros_recargas!$K$96*'Plan mensual'!M187+parametros_recargas!$L$96*'Plan mensual'!M188+parametros_recargas!$M$96*'Plan mensual'!M190</f>
        <v>10839.2260652309</v>
      </c>
      <c r="L182" s="26" t="n">
        <f aca="false">parametros_recargas!$E$96*'Plan mensual'!N181+parametros_recargas!$F$96*'Plan mensual'!N182+parametros_recargas!$G$96*'Plan mensual'!N183+parametros_recargas!$H$96*'Plan mensual'!N184+parametros_recargas!$I$96*'Plan mensual'!N185+parametros_recargas!$J$96*'Plan mensual'!N186+parametros_recargas!$K$96*'Plan mensual'!N187+parametros_recargas!$L$96*'Plan mensual'!N188+parametros_recargas!$M$96*'Plan mensual'!N190</f>
        <v>10718.6142824913</v>
      </c>
      <c r="M182" s="26" t="n">
        <f aca="false">parametros_recargas!$E$96*'Plan mensual'!O181+parametros_recargas!$F$96*'Plan mensual'!O182+parametros_recargas!$G$96*'Plan mensual'!O183+parametros_recargas!$H$96*'Plan mensual'!O184+parametros_recargas!$I$96*'Plan mensual'!O185+parametros_recargas!$J$96*'Plan mensual'!O186+parametros_recargas!$K$96*'Plan mensual'!O187+parametros_recargas!$L$96*'Plan mensual'!O188+parametros_recargas!$M$96*'Plan mensual'!O190</f>
        <v>4344.12266686835</v>
      </c>
      <c r="N182" s="8" t="n">
        <f aca="false">SUM(B182:M182)</f>
        <v>119203.162923438</v>
      </c>
      <c r="O182" s="27" t="n">
        <f aca="false">MAX(B182:M182)</f>
        <v>12603.5129364036</v>
      </c>
      <c r="P182" s="13" t="n">
        <f aca="false">O182/parametros_recargas!$B$6</f>
        <v>84.0234195760238</v>
      </c>
    </row>
    <row r="183" customFormat="false" ht="15" hidden="false" customHeight="false" outlineLevel="0" collapsed="false">
      <c r="A183" s="10" t="str">
        <f aca="false">parametros_recargas!$B$97</f>
        <v>Presurización — recinto</v>
      </c>
      <c r="B183" s="26" t="n">
        <f aca="false">parametros_recargas!$E$97*'Plan mensual'!D181+parametros_recargas!$F$97*'Plan mensual'!D182+parametros_recargas!$G$97*'Plan mensual'!D183+parametros_recargas!$H$97*'Plan mensual'!D184+parametros_recargas!$I$97*'Plan mensual'!D185+parametros_recargas!$J$97*'Plan mensual'!D186+parametros_recargas!$K$97*'Plan mensual'!D187+parametros_recargas!$L$97*'Plan mensual'!D188+parametros_recargas!$M$97*'Plan mensual'!D190</f>
        <v>4664.88803775793</v>
      </c>
      <c r="C183" s="26" t="n">
        <f aca="false">parametros_recargas!$E$97*'Plan mensual'!E181+parametros_recargas!$F$97*'Plan mensual'!E182+parametros_recargas!$G$97*'Plan mensual'!E183+parametros_recargas!$H$97*'Plan mensual'!E184+parametros_recargas!$I$97*'Plan mensual'!E185+parametros_recargas!$J$97*'Plan mensual'!E186+parametros_recargas!$K$97*'Plan mensual'!E187+parametros_recargas!$L$97*'Plan mensual'!E188+parametros_recargas!$M$97*'Plan mensual'!E190</f>
        <v>12603.5129364036</v>
      </c>
      <c r="D183" s="26" t="n">
        <f aca="false">parametros_recargas!$E$97*'Plan mensual'!F181+parametros_recargas!$F$97*'Plan mensual'!F182+parametros_recargas!$G$97*'Plan mensual'!F183+parametros_recargas!$H$97*'Plan mensual'!F184+parametros_recargas!$I$97*'Plan mensual'!F185+parametros_recargas!$J$97*'Plan mensual'!F186+parametros_recargas!$K$97*'Plan mensual'!F187+parametros_recargas!$L$97*'Plan mensual'!F188+parametros_recargas!$M$97*'Plan mensual'!F190</f>
        <v>10817.0844477133</v>
      </c>
      <c r="E183" s="26" t="n">
        <f aca="false">parametros_recargas!$E$97*'Plan mensual'!G181+parametros_recargas!$F$97*'Plan mensual'!G182+parametros_recargas!$G$97*'Plan mensual'!G183+parametros_recargas!$H$97*'Plan mensual'!G184+parametros_recargas!$I$97*'Plan mensual'!G185+parametros_recargas!$J$97*'Plan mensual'!G186+parametros_recargas!$K$97*'Plan mensual'!G187+parametros_recargas!$L$97*'Plan mensual'!G188+parametros_recargas!$M$97*'Plan mensual'!G190</f>
        <v>10864.6933598596</v>
      </c>
      <c r="F183" s="26" t="n">
        <f aca="false">parametros_recargas!$E$97*'Plan mensual'!H181+parametros_recargas!$F$97*'Plan mensual'!H182+parametros_recargas!$G$97*'Plan mensual'!H183+parametros_recargas!$H$97*'Plan mensual'!H184+parametros_recargas!$I$97*'Plan mensual'!H185+parametros_recargas!$J$97*'Plan mensual'!H186+parametros_recargas!$K$97*'Plan mensual'!H187+parametros_recargas!$L$97*'Plan mensual'!H188+parametros_recargas!$M$97*'Plan mensual'!H190</f>
        <v>10865.8184772409</v>
      </c>
      <c r="G183" s="26" t="n">
        <f aca="false">parametros_recargas!$E$97*'Plan mensual'!I181+parametros_recargas!$F$97*'Plan mensual'!I182+parametros_recargas!$G$97*'Plan mensual'!I183+parametros_recargas!$H$97*'Plan mensual'!I184+parametros_recargas!$I$97*'Plan mensual'!I185+parametros_recargas!$J$97*'Plan mensual'!I186+parametros_recargas!$K$97*'Plan mensual'!I187+parametros_recargas!$L$97*'Plan mensual'!I188+parametros_recargas!$M$97*'Plan mensual'!I190</f>
        <v>10841.1936531718</v>
      </c>
      <c r="H183" s="26" t="n">
        <f aca="false">parametros_recargas!$E$97*'Plan mensual'!J181+parametros_recargas!$F$97*'Plan mensual'!J182+parametros_recargas!$G$97*'Plan mensual'!J183+parametros_recargas!$H$97*'Plan mensual'!J184+parametros_recargas!$I$97*'Plan mensual'!J185+parametros_recargas!$J$97*'Plan mensual'!J186+parametros_recargas!$K$97*'Plan mensual'!J187+parametros_recargas!$L$97*'Plan mensual'!J188+parametros_recargas!$M$97*'Plan mensual'!J190</f>
        <v>10914.3755451512</v>
      </c>
      <c r="I183" s="26" t="n">
        <f aca="false">parametros_recargas!$E$97*'Plan mensual'!K181+parametros_recargas!$F$97*'Plan mensual'!K182+parametros_recargas!$G$97*'Plan mensual'!K183+parametros_recargas!$H$97*'Plan mensual'!K184+parametros_recargas!$I$97*'Plan mensual'!K185+parametros_recargas!$J$97*'Plan mensual'!K186+parametros_recargas!$K$97*'Plan mensual'!K187+parametros_recargas!$L$97*'Plan mensual'!K188+parametros_recargas!$M$97*'Plan mensual'!K190</f>
        <v>10860.797561491</v>
      </c>
      <c r="J183" s="26" t="n">
        <f aca="false">parametros_recargas!$E$97*'Plan mensual'!L181+parametros_recargas!$F$97*'Plan mensual'!L182+parametros_recargas!$G$97*'Plan mensual'!L183+parametros_recargas!$H$97*'Plan mensual'!L184+parametros_recargas!$I$97*'Plan mensual'!L185+parametros_recargas!$J$97*'Plan mensual'!L186+parametros_recargas!$K$97*'Plan mensual'!L187+parametros_recargas!$L$97*'Plan mensual'!L188+parametros_recargas!$M$97*'Plan mensual'!L190</f>
        <v>10868.8358900588</v>
      </c>
      <c r="K183" s="26" t="n">
        <f aca="false">parametros_recargas!$E$97*'Plan mensual'!M181+parametros_recargas!$F$97*'Plan mensual'!M182+parametros_recargas!$G$97*'Plan mensual'!M183+parametros_recargas!$H$97*'Plan mensual'!M184+parametros_recargas!$I$97*'Plan mensual'!M185+parametros_recargas!$J$97*'Plan mensual'!M186+parametros_recargas!$K$97*'Plan mensual'!M187+parametros_recargas!$L$97*'Plan mensual'!M188+parametros_recargas!$M$97*'Plan mensual'!M190</f>
        <v>10839.2260652309</v>
      </c>
      <c r="L183" s="26" t="n">
        <f aca="false">parametros_recargas!$E$97*'Plan mensual'!N181+parametros_recargas!$F$97*'Plan mensual'!N182+parametros_recargas!$G$97*'Plan mensual'!N183+parametros_recargas!$H$97*'Plan mensual'!N184+parametros_recargas!$I$97*'Plan mensual'!N185+parametros_recargas!$J$97*'Plan mensual'!N186+parametros_recargas!$K$97*'Plan mensual'!N187+parametros_recargas!$L$97*'Plan mensual'!N188+parametros_recargas!$M$97*'Plan mensual'!N190</f>
        <v>10718.6142824913</v>
      </c>
      <c r="M183" s="26" t="n">
        <f aca="false">parametros_recargas!$E$97*'Plan mensual'!O181+parametros_recargas!$F$97*'Plan mensual'!O182+parametros_recargas!$G$97*'Plan mensual'!O183+parametros_recargas!$H$97*'Plan mensual'!O184+parametros_recargas!$I$97*'Plan mensual'!O185+parametros_recargas!$J$97*'Plan mensual'!O186+parametros_recargas!$K$97*'Plan mensual'!O187+parametros_recargas!$L$97*'Plan mensual'!O188+parametros_recargas!$M$97*'Plan mensual'!O190</f>
        <v>4344.12266686835</v>
      </c>
      <c r="N183" s="8" t="n">
        <f aca="false">SUM(B183:M183)</f>
        <v>119203.162923438</v>
      </c>
      <c r="O183" s="27" t="n">
        <f aca="false">MAX(B183:M183)</f>
        <v>12603.5129364036</v>
      </c>
      <c r="P183" s="13" t="n">
        <f aca="false">O183/parametros_recargas!$B$6</f>
        <v>84.0234195760238</v>
      </c>
    </row>
    <row r="184" customFormat="false" ht="15" hidden="false" customHeight="false" outlineLevel="0" collapsed="false">
      <c r="A184" s="10" t="str">
        <f aca="false">parametros_recargas!$B$98</f>
        <v>Ensamblaje y presurización — zona general</v>
      </c>
      <c r="B184" s="26" t="n">
        <f aca="false">parametros_recargas!$E$98*'Plan mensual'!D181+parametros_recargas!$F$98*'Plan mensual'!D182+parametros_recargas!$G$98*'Plan mensual'!D183+parametros_recargas!$H$98*'Plan mensual'!D184+parametros_recargas!$I$98*'Plan mensual'!D185+parametros_recargas!$J$98*'Plan mensual'!D186+parametros_recargas!$K$98*'Plan mensual'!D187+parametros_recargas!$L$98*'Plan mensual'!D188+parametros_recargas!$M$98*'Plan mensual'!D190</f>
        <v>825.190190840814</v>
      </c>
      <c r="C184" s="26" t="n">
        <f aca="false">parametros_recargas!$E$98*'Plan mensual'!E181+parametros_recargas!$F$98*'Plan mensual'!E182+parametros_recargas!$G$98*'Plan mensual'!E183+parametros_recargas!$H$98*'Plan mensual'!E184+parametros_recargas!$I$98*'Plan mensual'!E185+parametros_recargas!$J$98*'Plan mensual'!E186+parametros_recargas!$K$98*'Plan mensual'!E187+parametros_recargas!$L$98*'Plan mensual'!E188+parametros_recargas!$M$98*'Plan mensual'!E190</f>
        <v>1200.19846917777</v>
      </c>
      <c r="D184" s="26" t="n">
        <f aca="false">parametros_recargas!$E$98*'Plan mensual'!F181+parametros_recargas!$F$98*'Plan mensual'!F182+parametros_recargas!$G$98*'Plan mensual'!F183+parametros_recargas!$H$98*'Plan mensual'!F184+parametros_recargas!$I$98*'Plan mensual'!F185+parametros_recargas!$J$98*'Plan mensual'!F186+parametros_recargas!$K$98*'Plan mensual'!F187+parametros_recargas!$L$98*'Plan mensual'!F188+parametros_recargas!$M$98*'Plan mensual'!F190</f>
        <v>825.190190840814</v>
      </c>
      <c r="E184" s="26" t="n">
        <f aca="false">parametros_recargas!$E$98*'Plan mensual'!G181+parametros_recargas!$F$98*'Plan mensual'!G182+parametros_recargas!$G$98*'Plan mensual'!G183+parametros_recargas!$H$98*'Plan mensual'!G184+parametros_recargas!$I$98*'Plan mensual'!G185+parametros_recargas!$J$98*'Plan mensual'!G186+parametros_recargas!$K$98*'Plan mensual'!G187+parametros_recargas!$L$98*'Plan mensual'!G188+parametros_recargas!$M$98*'Plan mensual'!G190</f>
        <v>825.190190840814</v>
      </c>
      <c r="F184" s="26" t="n">
        <f aca="false">parametros_recargas!$E$98*'Plan mensual'!H181+parametros_recargas!$F$98*'Plan mensual'!H182+parametros_recargas!$G$98*'Plan mensual'!H183+parametros_recargas!$H$98*'Plan mensual'!H184+parametros_recargas!$I$98*'Plan mensual'!H185+parametros_recargas!$J$98*'Plan mensual'!H186+parametros_recargas!$K$98*'Plan mensual'!H187+parametros_recargas!$L$98*'Plan mensual'!H188+parametros_recargas!$M$98*'Plan mensual'!H190</f>
        <v>825.190190840814</v>
      </c>
      <c r="G184" s="26" t="n">
        <f aca="false">parametros_recargas!$E$98*'Plan mensual'!I181+parametros_recargas!$F$98*'Plan mensual'!I182+parametros_recargas!$G$98*'Plan mensual'!I183+parametros_recargas!$H$98*'Plan mensual'!I184+parametros_recargas!$I$98*'Plan mensual'!I185+parametros_recargas!$J$98*'Plan mensual'!I186+parametros_recargas!$K$98*'Plan mensual'!I187+parametros_recargas!$L$98*'Plan mensual'!I188+parametros_recargas!$M$98*'Plan mensual'!I190</f>
        <v>825.190190840814</v>
      </c>
      <c r="H184" s="26" t="n">
        <f aca="false">parametros_recargas!$E$98*'Plan mensual'!J181+parametros_recargas!$F$98*'Plan mensual'!J182+parametros_recargas!$G$98*'Plan mensual'!J183+parametros_recargas!$H$98*'Plan mensual'!J184+parametros_recargas!$I$98*'Plan mensual'!J185+parametros_recargas!$J$98*'Plan mensual'!J186+parametros_recargas!$K$98*'Plan mensual'!J187+parametros_recargas!$L$98*'Plan mensual'!J188+parametros_recargas!$M$98*'Plan mensual'!J190</f>
        <v>825.190190840814</v>
      </c>
      <c r="I184" s="26" t="n">
        <f aca="false">parametros_recargas!$E$98*'Plan mensual'!K181+parametros_recargas!$F$98*'Plan mensual'!K182+parametros_recargas!$G$98*'Plan mensual'!K183+parametros_recargas!$H$98*'Plan mensual'!K184+parametros_recargas!$I$98*'Plan mensual'!K185+parametros_recargas!$J$98*'Plan mensual'!K186+parametros_recargas!$K$98*'Plan mensual'!K187+parametros_recargas!$L$98*'Plan mensual'!K188+parametros_recargas!$M$98*'Plan mensual'!K190</f>
        <v>825.190190840814</v>
      </c>
      <c r="J184" s="26" t="n">
        <f aca="false">parametros_recargas!$E$98*'Plan mensual'!L181+parametros_recargas!$F$98*'Plan mensual'!L182+parametros_recargas!$G$98*'Plan mensual'!L183+parametros_recargas!$H$98*'Plan mensual'!L184+parametros_recargas!$I$98*'Plan mensual'!L185+parametros_recargas!$J$98*'Plan mensual'!L186+parametros_recargas!$K$98*'Plan mensual'!L187+parametros_recargas!$L$98*'Plan mensual'!L188+parametros_recargas!$M$98*'Plan mensual'!L190</f>
        <v>825.190190840814</v>
      </c>
      <c r="K184" s="26" t="n">
        <f aca="false">parametros_recargas!$E$98*'Plan mensual'!M181+parametros_recargas!$F$98*'Plan mensual'!M182+parametros_recargas!$G$98*'Plan mensual'!M183+parametros_recargas!$H$98*'Plan mensual'!M184+parametros_recargas!$I$98*'Plan mensual'!M185+parametros_recargas!$J$98*'Plan mensual'!M186+parametros_recargas!$K$98*'Plan mensual'!M187+parametros_recargas!$L$98*'Plan mensual'!M188+parametros_recargas!$M$98*'Plan mensual'!M190</f>
        <v>825.190190840814</v>
      </c>
      <c r="L184" s="26" t="n">
        <f aca="false">parametros_recargas!$E$98*'Plan mensual'!N181+parametros_recargas!$F$98*'Plan mensual'!N182+parametros_recargas!$G$98*'Plan mensual'!N183+parametros_recargas!$H$98*'Plan mensual'!N184+parametros_recargas!$I$98*'Plan mensual'!N185+parametros_recargas!$J$98*'Plan mensual'!N186+parametros_recargas!$K$98*'Plan mensual'!N187+parametros_recargas!$L$98*'Plan mensual'!N188+parametros_recargas!$M$98*'Plan mensual'!N190</f>
        <v>825.190190840814</v>
      </c>
      <c r="M184" s="26" t="n">
        <f aca="false">parametros_recargas!$E$98*'Plan mensual'!O181+parametros_recargas!$F$98*'Plan mensual'!O182+parametros_recargas!$G$98*'Plan mensual'!O183+parametros_recargas!$H$98*'Plan mensual'!O184+parametros_recargas!$I$98*'Plan mensual'!O185+parametros_recargas!$J$98*'Plan mensual'!O186+parametros_recargas!$K$98*'Plan mensual'!O187+parametros_recargas!$L$98*'Plan mensual'!O188+parametros_recargas!$M$98*'Plan mensual'!O190</f>
        <v>825.190190840814</v>
      </c>
      <c r="N184" s="8" t="n">
        <f aca="false">SUM(B184:M184)</f>
        <v>10277.2905684267</v>
      </c>
      <c r="O184" s="27" t="n">
        <f aca="false">MAX(B184:M184)</f>
        <v>1200.19846917777</v>
      </c>
      <c r="P184" s="13" t="n">
        <f aca="false">O184/parametros_recargas!$B$6</f>
        <v>8.00132312785181</v>
      </c>
    </row>
    <row r="185" customFormat="false" ht="15" hidden="false" customHeight="false" outlineLevel="0" collapsed="false">
      <c r="A185" s="10" t="str">
        <f aca="false">parametros_recargas!$B$99</f>
        <v>Carga y presurización de halogenado</v>
      </c>
      <c r="B185" s="26" t="n">
        <f aca="false">parametros_recargas!$E$99*'Plan mensual'!D181+parametros_recargas!$F$99*'Plan mensual'!D182+parametros_recargas!$G$99*'Plan mensual'!D183+parametros_recargas!$H$99*'Plan mensual'!D184+parametros_recargas!$I$99*'Plan mensual'!D185+parametros_recargas!$J$99*'Plan mensual'!D186+parametros_recargas!$K$99*'Plan mensual'!D187+parametros_recargas!$L$99*'Plan mensual'!D188+parametros_recargas!$M$99*'Plan mensual'!D190</f>
        <v>12.4337365222676</v>
      </c>
      <c r="C185" s="26" t="n">
        <f aca="false">parametros_recargas!$E$99*'Plan mensual'!E181+parametros_recargas!$F$99*'Plan mensual'!E182+parametros_recargas!$G$99*'Plan mensual'!E183+parametros_recargas!$H$99*'Plan mensual'!E184+parametros_recargas!$I$99*'Plan mensual'!E185+parametros_recargas!$J$99*'Plan mensual'!E186+parametros_recargas!$K$99*'Plan mensual'!E187+parametros_recargas!$L$99*'Plan mensual'!E188+parametros_recargas!$M$99*'Plan mensual'!E190</f>
        <v>12.4337365222676</v>
      </c>
      <c r="D185" s="26" t="n">
        <f aca="false">parametros_recargas!$E$99*'Plan mensual'!F181+parametros_recargas!$F$99*'Plan mensual'!F182+parametros_recargas!$G$99*'Plan mensual'!F183+parametros_recargas!$H$99*'Plan mensual'!F184+parametros_recargas!$I$99*'Plan mensual'!F185+parametros_recargas!$J$99*'Plan mensual'!F186+parametros_recargas!$K$99*'Plan mensual'!F187+parametros_recargas!$L$99*'Plan mensual'!F188+parametros_recargas!$M$99*'Plan mensual'!F190</f>
        <v>12.4337365222676</v>
      </c>
      <c r="E185" s="26" t="n">
        <f aca="false">parametros_recargas!$E$99*'Plan mensual'!G181+parametros_recargas!$F$99*'Plan mensual'!G182+parametros_recargas!$G$99*'Plan mensual'!G183+parametros_recargas!$H$99*'Plan mensual'!G184+parametros_recargas!$I$99*'Plan mensual'!G185+parametros_recargas!$J$99*'Plan mensual'!G186+parametros_recargas!$K$99*'Plan mensual'!G187+parametros_recargas!$L$99*'Plan mensual'!G188+parametros_recargas!$M$99*'Plan mensual'!G190</f>
        <v>12.4337365222676</v>
      </c>
      <c r="F185" s="26" t="n">
        <f aca="false">parametros_recargas!$E$99*'Plan mensual'!H181+parametros_recargas!$F$99*'Plan mensual'!H182+parametros_recargas!$G$99*'Plan mensual'!H183+parametros_recargas!$H$99*'Plan mensual'!H184+parametros_recargas!$I$99*'Plan mensual'!H185+parametros_recargas!$J$99*'Plan mensual'!H186+parametros_recargas!$K$99*'Plan mensual'!H187+parametros_recargas!$L$99*'Plan mensual'!H188+parametros_recargas!$M$99*'Plan mensual'!H190</f>
        <v>12.4337365222676</v>
      </c>
      <c r="G185" s="26" t="n">
        <f aca="false">parametros_recargas!$E$99*'Plan mensual'!I181+parametros_recargas!$F$99*'Plan mensual'!I182+parametros_recargas!$G$99*'Plan mensual'!I183+parametros_recargas!$H$99*'Plan mensual'!I184+parametros_recargas!$I$99*'Plan mensual'!I185+parametros_recargas!$J$99*'Plan mensual'!I186+parametros_recargas!$K$99*'Plan mensual'!I187+parametros_recargas!$L$99*'Plan mensual'!I188+parametros_recargas!$M$99*'Plan mensual'!I190</f>
        <v>12.4337365222676</v>
      </c>
      <c r="H185" s="26" t="n">
        <f aca="false">parametros_recargas!$E$99*'Plan mensual'!J181+parametros_recargas!$F$99*'Plan mensual'!J182+parametros_recargas!$G$99*'Plan mensual'!J183+parametros_recargas!$H$99*'Plan mensual'!J184+parametros_recargas!$I$99*'Plan mensual'!J185+parametros_recargas!$J$99*'Plan mensual'!J186+parametros_recargas!$K$99*'Plan mensual'!J187+parametros_recargas!$L$99*'Plan mensual'!J188+parametros_recargas!$M$99*'Plan mensual'!J190</f>
        <v>12.4337365222676</v>
      </c>
      <c r="I185" s="26" t="n">
        <f aca="false">parametros_recargas!$E$99*'Plan mensual'!K181+parametros_recargas!$F$99*'Plan mensual'!K182+parametros_recargas!$G$99*'Plan mensual'!K183+parametros_recargas!$H$99*'Plan mensual'!K184+parametros_recargas!$I$99*'Plan mensual'!K185+parametros_recargas!$J$99*'Plan mensual'!K186+parametros_recargas!$K$99*'Plan mensual'!K187+parametros_recargas!$L$99*'Plan mensual'!K188+parametros_recargas!$M$99*'Plan mensual'!K190</f>
        <v>12.4337365222676</v>
      </c>
      <c r="J185" s="26" t="n">
        <f aca="false">parametros_recargas!$E$99*'Plan mensual'!L181+parametros_recargas!$F$99*'Plan mensual'!L182+parametros_recargas!$G$99*'Plan mensual'!L183+parametros_recargas!$H$99*'Plan mensual'!L184+parametros_recargas!$I$99*'Plan mensual'!L185+parametros_recargas!$J$99*'Plan mensual'!L186+parametros_recargas!$K$99*'Plan mensual'!L187+parametros_recargas!$L$99*'Plan mensual'!L188+parametros_recargas!$M$99*'Plan mensual'!L190</f>
        <v>12.4337365222676</v>
      </c>
      <c r="K185" s="26" t="n">
        <f aca="false">parametros_recargas!$E$99*'Plan mensual'!M181+parametros_recargas!$F$99*'Plan mensual'!M182+parametros_recargas!$G$99*'Plan mensual'!M183+parametros_recargas!$H$99*'Plan mensual'!M184+parametros_recargas!$I$99*'Plan mensual'!M185+parametros_recargas!$J$99*'Plan mensual'!M186+parametros_recargas!$K$99*'Plan mensual'!M187+parametros_recargas!$L$99*'Plan mensual'!M188+parametros_recargas!$M$99*'Plan mensual'!M190</f>
        <v>12.4337365222676</v>
      </c>
      <c r="L185" s="26" t="n">
        <f aca="false">parametros_recargas!$E$99*'Plan mensual'!N181+parametros_recargas!$F$99*'Plan mensual'!N182+parametros_recargas!$G$99*'Plan mensual'!N183+parametros_recargas!$H$99*'Plan mensual'!N184+parametros_recargas!$I$99*'Plan mensual'!N185+parametros_recargas!$J$99*'Plan mensual'!N186+parametros_recargas!$K$99*'Plan mensual'!N187+parametros_recargas!$L$99*'Plan mensual'!N188+parametros_recargas!$M$99*'Plan mensual'!N190</f>
        <v>12.4337365222676</v>
      </c>
      <c r="M185" s="26" t="n">
        <f aca="false">parametros_recargas!$E$99*'Plan mensual'!O181+parametros_recargas!$F$99*'Plan mensual'!O182+parametros_recargas!$G$99*'Plan mensual'!O183+parametros_recargas!$H$99*'Plan mensual'!O184+parametros_recargas!$I$99*'Plan mensual'!O185+parametros_recargas!$J$99*'Plan mensual'!O186+parametros_recargas!$K$99*'Plan mensual'!O187+parametros_recargas!$L$99*'Plan mensual'!O188+parametros_recargas!$M$99*'Plan mensual'!O190</f>
        <v>12.4337365222676</v>
      </c>
      <c r="N185" s="8" t="n">
        <f aca="false">SUM(B185:M185)</f>
        <v>149.204838267211</v>
      </c>
      <c r="O185" s="27" t="n">
        <f aca="false">MAX(B185:M185)</f>
        <v>12.4337365222676</v>
      </c>
      <c r="P185" s="13" t="n">
        <f aca="false">O185/parametros_recargas!$B$6</f>
        <v>0.0828915768151173</v>
      </c>
    </row>
    <row r="186" customFormat="false" ht="15" hidden="false" customHeight="false" outlineLevel="0" collapsed="false">
      <c r="A186" s="10" t="str">
        <f aca="false">parametros_recargas!$B$100</f>
        <v>Control de peso (CO₂ y halogenados sin recarga)</v>
      </c>
      <c r="B186" s="26" t="n">
        <f aca="false">parametros_recargas!$E$100*'Plan mensual'!D181+parametros_recargas!$F$100*'Plan mensual'!D182+parametros_recargas!$G$100*'Plan mensual'!D183+parametros_recargas!$H$100*'Plan mensual'!D184+parametros_recargas!$I$100*'Plan mensual'!D185+parametros_recargas!$J$100*'Plan mensual'!D186+parametros_recargas!$K$100*'Plan mensual'!D187+parametros_recargas!$L$100*'Plan mensual'!D188+parametros_recargas!$M$100*'Plan mensual'!D190</f>
        <v>583.576012502067</v>
      </c>
      <c r="C186" s="26" t="n">
        <f aca="false">parametros_recargas!$E$100*'Plan mensual'!E181+parametros_recargas!$F$100*'Plan mensual'!E182+parametros_recargas!$G$100*'Plan mensual'!E183+parametros_recargas!$H$100*'Plan mensual'!E184+parametros_recargas!$I$100*'Plan mensual'!E185+parametros_recargas!$J$100*'Plan mensual'!E186+parametros_recargas!$K$100*'Plan mensual'!E187+parametros_recargas!$L$100*'Plan mensual'!E188+parametros_recargas!$M$100*'Plan mensual'!E190</f>
        <v>902.486614508055</v>
      </c>
      <c r="D186" s="26" t="n">
        <f aca="false">parametros_recargas!$E$100*'Plan mensual'!F181+parametros_recargas!$F$100*'Plan mensual'!F182+parametros_recargas!$G$100*'Plan mensual'!F183+parametros_recargas!$H$100*'Plan mensual'!F184+parametros_recargas!$I$100*'Plan mensual'!F185+parametros_recargas!$J$100*'Plan mensual'!F186+parametros_recargas!$K$100*'Plan mensual'!F187+parametros_recargas!$L$100*'Plan mensual'!F188+parametros_recargas!$M$100*'Plan mensual'!F190</f>
        <v>583.576012502067</v>
      </c>
      <c r="E186" s="26" t="n">
        <f aca="false">parametros_recargas!$E$100*'Plan mensual'!G181+parametros_recargas!$F$100*'Plan mensual'!G182+parametros_recargas!$G$100*'Plan mensual'!G183+parametros_recargas!$H$100*'Plan mensual'!G184+parametros_recargas!$I$100*'Plan mensual'!G185+parametros_recargas!$J$100*'Plan mensual'!G186+parametros_recargas!$K$100*'Plan mensual'!G187+parametros_recargas!$L$100*'Plan mensual'!G188+parametros_recargas!$M$100*'Plan mensual'!G190</f>
        <v>583.576012502067</v>
      </c>
      <c r="F186" s="26" t="n">
        <f aca="false">parametros_recargas!$E$100*'Plan mensual'!H181+parametros_recargas!$F$100*'Plan mensual'!H182+parametros_recargas!$G$100*'Plan mensual'!H183+parametros_recargas!$H$100*'Plan mensual'!H184+parametros_recargas!$I$100*'Plan mensual'!H185+parametros_recargas!$J$100*'Plan mensual'!H186+parametros_recargas!$K$100*'Plan mensual'!H187+parametros_recargas!$L$100*'Plan mensual'!H188+parametros_recargas!$M$100*'Plan mensual'!H190</f>
        <v>583.576012502067</v>
      </c>
      <c r="G186" s="26" t="n">
        <f aca="false">parametros_recargas!$E$100*'Plan mensual'!I181+parametros_recargas!$F$100*'Plan mensual'!I182+parametros_recargas!$G$100*'Plan mensual'!I183+parametros_recargas!$H$100*'Plan mensual'!I184+parametros_recargas!$I$100*'Plan mensual'!I185+parametros_recargas!$J$100*'Plan mensual'!I186+parametros_recargas!$K$100*'Plan mensual'!I187+parametros_recargas!$L$100*'Plan mensual'!I188+parametros_recargas!$M$100*'Plan mensual'!I190</f>
        <v>583.576012502067</v>
      </c>
      <c r="H186" s="26" t="n">
        <f aca="false">parametros_recargas!$E$100*'Plan mensual'!J181+parametros_recargas!$F$100*'Plan mensual'!J182+parametros_recargas!$G$100*'Plan mensual'!J183+parametros_recargas!$H$100*'Plan mensual'!J184+parametros_recargas!$I$100*'Plan mensual'!J185+parametros_recargas!$J$100*'Plan mensual'!J186+parametros_recargas!$K$100*'Plan mensual'!J187+parametros_recargas!$L$100*'Plan mensual'!J188+parametros_recargas!$M$100*'Plan mensual'!J190</f>
        <v>583.576012502067</v>
      </c>
      <c r="I186" s="26" t="n">
        <f aca="false">parametros_recargas!$E$100*'Plan mensual'!K181+parametros_recargas!$F$100*'Plan mensual'!K182+parametros_recargas!$G$100*'Plan mensual'!K183+parametros_recargas!$H$100*'Plan mensual'!K184+parametros_recargas!$I$100*'Plan mensual'!K185+parametros_recargas!$J$100*'Plan mensual'!K186+parametros_recargas!$K$100*'Plan mensual'!K187+parametros_recargas!$L$100*'Plan mensual'!K188+parametros_recargas!$M$100*'Plan mensual'!K190</f>
        <v>583.576012502067</v>
      </c>
      <c r="J186" s="26" t="n">
        <f aca="false">parametros_recargas!$E$100*'Plan mensual'!L181+parametros_recargas!$F$100*'Plan mensual'!L182+parametros_recargas!$G$100*'Plan mensual'!L183+parametros_recargas!$H$100*'Plan mensual'!L184+parametros_recargas!$I$100*'Plan mensual'!L185+parametros_recargas!$J$100*'Plan mensual'!L186+parametros_recargas!$K$100*'Plan mensual'!L187+parametros_recargas!$L$100*'Plan mensual'!L188+parametros_recargas!$M$100*'Plan mensual'!L190</f>
        <v>583.576012502067</v>
      </c>
      <c r="K186" s="26" t="n">
        <f aca="false">parametros_recargas!$E$100*'Plan mensual'!M181+parametros_recargas!$F$100*'Plan mensual'!M182+parametros_recargas!$G$100*'Plan mensual'!M183+parametros_recargas!$H$100*'Plan mensual'!M184+parametros_recargas!$I$100*'Plan mensual'!M185+parametros_recargas!$J$100*'Plan mensual'!M186+parametros_recargas!$K$100*'Plan mensual'!M187+parametros_recargas!$L$100*'Plan mensual'!M188+parametros_recargas!$M$100*'Plan mensual'!M190</f>
        <v>583.576012502067</v>
      </c>
      <c r="L186" s="26" t="n">
        <f aca="false">parametros_recargas!$E$100*'Plan mensual'!N181+parametros_recargas!$F$100*'Plan mensual'!N182+parametros_recargas!$G$100*'Plan mensual'!N183+parametros_recargas!$H$100*'Plan mensual'!N184+parametros_recargas!$I$100*'Plan mensual'!N185+parametros_recargas!$J$100*'Plan mensual'!N186+parametros_recargas!$K$100*'Plan mensual'!N187+parametros_recargas!$L$100*'Plan mensual'!N188+parametros_recargas!$M$100*'Plan mensual'!N190</f>
        <v>583.576012502067</v>
      </c>
      <c r="M186" s="26" t="n">
        <f aca="false">parametros_recargas!$E$100*'Plan mensual'!O181+parametros_recargas!$F$100*'Plan mensual'!O182+parametros_recargas!$G$100*'Plan mensual'!O183+parametros_recargas!$H$100*'Plan mensual'!O184+parametros_recargas!$I$100*'Plan mensual'!O185+parametros_recargas!$J$100*'Plan mensual'!O186+parametros_recargas!$K$100*'Plan mensual'!O187+parametros_recargas!$L$100*'Plan mensual'!O188+parametros_recargas!$M$100*'Plan mensual'!O190</f>
        <v>583.576012502067</v>
      </c>
      <c r="N186" s="8" t="n">
        <f aca="false">SUM(B186:M186)</f>
        <v>7321.8227520308</v>
      </c>
      <c r="O186" s="27" t="n">
        <f aca="false">MAX(B186:M186)</f>
        <v>902.486614508055</v>
      </c>
      <c r="P186" s="13" t="n">
        <f aca="false">O186/parametros_recargas!$B$6</f>
        <v>6.0165774300537</v>
      </c>
    </row>
    <row r="187" customFormat="false" ht="15" hidden="false" customHeight="false" outlineLevel="0" collapsed="false">
      <c r="A187" s="10" t="str">
        <f aca="false">parametros_recargas!$B$101</f>
        <v>Ensayo de pérdidas</v>
      </c>
      <c r="B187" s="26" t="n">
        <f aca="false">parametros_recargas!$E$101*'Plan mensual'!D181+parametros_recargas!$F$101*'Plan mensual'!D182+parametros_recargas!$G$101*'Plan mensual'!D183+parametros_recargas!$H$101*'Plan mensual'!D184+parametros_recargas!$I$101*'Plan mensual'!D185+parametros_recargas!$J$101*'Plan mensual'!D186+parametros_recargas!$K$101*'Plan mensual'!D187+parametros_recargas!$L$101*'Plan mensual'!D188+parametros_recargas!$M$101*'Plan mensual'!D190</f>
        <v>6116.76845552636</v>
      </c>
      <c r="C187" s="26" t="n">
        <f aca="false">parametros_recargas!$E$101*'Plan mensual'!E181+parametros_recargas!$F$101*'Plan mensual'!E182+parametros_recargas!$G$101*'Plan mensual'!E183+parametros_recargas!$H$101*'Plan mensual'!E184+parametros_recargas!$I$101*'Plan mensual'!E185+parametros_recargas!$J$101*'Plan mensual'!E186+parametros_recargas!$K$101*'Plan mensual'!E187+parametros_recargas!$L$101*'Plan mensual'!E188+parametros_recargas!$M$101*'Plan mensual'!E190</f>
        <v>14773.8438192846</v>
      </c>
      <c r="D187" s="26" t="n">
        <f aca="false">parametros_recargas!$E$101*'Plan mensual'!F181+parametros_recargas!$F$101*'Plan mensual'!F182+parametros_recargas!$G$101*'Plan mensual'!F183+parametros_recargas!$H$101*'Plan mensual'!F184+parametros_recargas!$I$101*'Plan mensual'!F185+parametros_recargas!$J$101*'Plan mensual'!F186+parametros_recargas!$K$101*'Plan mensual'!F187+parametros_recargas!$L$101*'Plan mensual'!F188+parametros_recargas!$M$101*'Plan mensual'!F190</f>
        <v>12268.9648654817</v>
      </c>
      <c r="E187" s="26" t="n">
        <f aca="false">parametros_recargas!$E$101*'Plan mensual'!G181+parametros_recargas!$F$101*'Plan mensual'!G182+parametros_recargas!$G$101*'Plan mensual'!G183+parametros_recargas!$H$101*'Plan mensual'!G184+parametros_recargas!$I$101*'Plan mensual'!G185+parametros_recargas!$J$101*'Plan mensual'!G186+parametros_recargas!$K$101*'Plan mensual'!G187+parametros_recargas!$L$101*'Plan mensual'!G188+parametros_recargas!$M$101*'Plan mensual'!G190</f>
        <v>12316.5737776281</v>
      </c>
      <c r="F187" s="26" t="n">
        <f aca="false">parametros_recargas!$E$101*'Plan mensual'!H181+parametros_recargas!$F$101*'Plan mensual'!H182+parametros_recargas!$G$101*'Plan mensual'!H183+parametros_recargas!$H$101*'Plan mensual'!H184+parametros_recargas!$I$101*'Plan mensual'!H185+parametros_recargas!$J$101*'Plan mensual'!H186+parametros_recargas!$K$101*'Plan mensual'!H187+parametros_recargas!$L$101*'Plan mensual'!H188+parametros_recargas!$M$101*'Plan mensual'!H190</f>
        <v>12317.6988950093</v>
      </c>
      <c r="G187" s="26" t="n">
        <f aca="false">parametros_recargas!$E$101*'Plan mensual'!I181+parametros_recargas!$F$101*'Plan mensual'!I182+parametros_recargas!$G$101*'Plan mensual'!I183+parametros_recargas!$H$101*'Plan mensual'!I184+parametros_recargas!$I$101*'Plan mensual'!I185+parametros_recargas!$J$101*'Plan mensual'!I186+parametros_recargas!$K$101*'Plan mensual'!I187+parametros_recargas!$L$101*'Plan mensual'!I188+parametros_recargas!$M$101*'Plan mensual'!I190</f>
        <v>12293.0740709402</v>
      </c>
      <c r="H187" s="26" t="n">
        <f aca="false">parametros_recargas!$E$101*'Plan mensual'!J181+parametros_recargas!$F$101*'Plan mensual'!J182+parametros_recargas!$G$101*'Plan mensual'!J183+parametros_recargas!$H$101*'Plan mensual'!J184+parametros_recargas!$I$101*'Plan mensual'!J185+parametros_recargas!$J$101*'Plan mensual'!J186+parametros_recargas!$K$101*'Plan mensual'!J187+parametros_recargas!$L$101*'Plan mensual'!J188+parametros_recargas!$M$101*'Plan mensual'!J190</f>
        <v>12366.2559629196</v>
      </c>
      <c r="I187" s="26" t="n">
        <f aca="false">parametros_recargas!$E$101*'Plan mensual'!K181+parametros_recargas!$F$101*'Plan mensual'!K182+parametros_recargas!$G$101*'Plan mensual'!K183+parametros_recargas!$H$101*'Plan mensual'!K184+parametros_recargas!$I$101*'Plan mensual'!K185+parametros_recargas!$J$101*'Plan mensual'!K186+parametros_recargas!$K$101*'Plan mensual'!K187+parametros_recargas!$L$101*'Plan mensual'!K188+parametros_recargas!$M$101*'Plan mensual'!K190</f>
        <v>12312.6779792594</v>
      </c>
      <c r="J187" s="26" t="n">
        <f aca="false">parametros_recargas!$E$101*'Plan mensual'!L181+parametros_recargas!$F$101*'Plan mensual'!L182+parametros_recargas!$G$101*'Plan mensual'!L183+parametros_recargas!$H$101*'Plan mensual'!L184+parametros_recargas!$I$101*'Plan mensual'!L185+parametros_recargas!$J$101*'Plan mensual'!L186+parametros_recargas!$K$101*'Plan mensual'!L187+parametros_recargas!$L$101*'Plan mensual'!L188+parametros_recargas!$M$101*'Plan mensual'!L190</f>
        <v>12320.7163078273</v>
      </c>
      <c r="K187" s="26" t="n">
        <f aca="false">parametros_recargas!$E$101*'Plan mensual'!M181+parametros_recargas!$F$101*'Plan mensual'!M182+parametros_recargas!$G$101*'Plan mensual'!M183+parametros_recargas!$H$101*'Plan mensual'!M184+parametros_recargas!$I$101*'Plan mensual'!M185+parametros_recargas!$J$101*'Plan mensual'!M186+parametros_recargas!$K$101*'Plan mensual'!M187+parametros_recargas!$L$101*'Plan mensual'!M188+parametros_recargas!$M$101*'Plan mensual'!M190</f>
        <v>12291.1064829993</v>
      </c>
      <c r="L187" s="26" t="n">
        <f aca="false">parametros_recargas!$E$101*'Plan mensual'!N181+parametros_recargas!$F$101*'Plan mensual'!N182+parametros_recargas!$G$101*'Plan mensual'!N183+parametros_recargas!$H$101*'Plan mensual'!N184+parametros_recargas!$I$101*'Plan mensual'!N185+parametros_recargas!$J$101*'Plan mensual'!N186+parametros_recargas!$K$101*'Plan mensual'!N187+parametros_recargas!$L$101*'Plan mensual'!N188+parametros_recargas!$M$101*'Plan mensual'!N190</f>
        <v>12170.4947002597</v>
      </c>
      <c r="M187" s="26" t="n">
        <f aca="false">parametros_recargas!$E$101*'Plan mensual'!O181+parametros_recargas!$F$101*'Plan mensual'!O182+parametros_recargas!$G$101*'Plan mensual'!O183+parametros_recargas!$H$101*'Plan mensual'!O184+parametros_recargas!$I$101*'Plan mensual'!O185+parametros_recargas!$J$101*'Plan mensual'!O186+parametros_recargas!$K$101*'Plan mensual'!O187+parametros_recargas!$L$101*'Plan mensual'!O188+parametros_recargas!$M$101*'Plan mensual'!O190</f>
        <v>5796.00308463678</v>
      </c>
      <c r="N187" s="8" t="n">
        <f aca="false">SUM(B187:M187)</f>
        <v>137344.178401772</v>
      </c>
      <c r="O187" s="27" t="n">
        <f aca="false">MAX(B187:M187)</f>
        <v>14773.8438192846</v>
      </c>
      <c r="P187" s="13" t="n">
        <f aca="false">O187/parametros_recargas!$B$6</f>
        <v>98.4922921285643</v>
      </c>
    </row>
    <row r="188" customFormat="false" ht="15" hidden="false" customHeight="false" outlineLevel="0" collapsed="false">
      <c r="A188" s="10" t="str">
        <f aca="false">parametros_recargas!$B$102</f>
        <v>Precinto, etiqueta y despacho</v>
      </c>
      <c r="B188" s="26" t="n">
        <f aca="false">parametros_recargas!$E$102*'Plan mensual'!D181+parametros_recargas!$F$102*'Plan mensual'!D182+parametros_recargas!$G$102*'Plan mensual'!D183+parametros_recargas!$H$102*'Plan mensual'!D184+parametros_recargas!$I$102*'Plan mensual'!D185+parametros_recargas!$J$102*'Plan mensual'!D186+parametros_recargas!$K$102*'Plan mensual'!D187+parametros_recargas!$L$102*'Plan mensual'!D188+parametros_recargas!$M$102*'Plan mensual'!D190</f>
        <v>6116.76845552636</v>
      </c>
      <c r="C188" s="26" t="n">
        <f aca="false">parametros_recargas!$E$102*'Plan mensual'!E181+parametros_recargas!$F$102*'Plan mensual'!E182+parametros_recargas!$G$102*'Plan mensual'!E183+parametros_recargas!$H$102*'Plan mensual'!E184+parametros_recargas!$I$102*'Plan mensual'!E185+parametros_recargas!$J$102*'Plan mensual'!E186+parametros_recargas!$K$102*'Plan mensual'!E187+parametros_recargas!$L$102*'Plan mensual'!E188+parametros_recargas!$M$102*'Plan mensual'!E190</f>
        <v>14773.8438192846</v>
      </c>
      <c r="D188" s="26" t="n">
        <f aca="false">parametros_recargas!$E$102*'Plan mensual'!F181+parametros_recargas!$F$102*'Plan mensual'!F182+parametros_recargas!$G$102*'Plan mensual'!F183+parametros_recargas!$H$102*'Plan mensual'!F184+parametros_recargas!$I$102*'Plan mensual'!F185+parametros_recargas!$J$102*'Plan mensual'!F186+parametros_recargas!$K$102*'Plan mensual'!F187+parametros_recargas!$L$102*'Plan mensual'!F188+parametros_recargas!$M$102*'Plan mensual'!F190</f>
        <v>12268.9648654817</v>
      </c>
      <c r="E188" s="26" t="n">
        <f aca="false">parametros_recargas!$E$102*'Plan mensual'!G181+parametros_recargas!$F$102*'Plan mensual'!G182+parametros_recargas!$G$102*'Plan mensual'!G183+parametros_recargas!$H$102*'Plan mensual'!G184+parametros_recargas!$I$102*'Plan mensual'!G185+parametros_recargas!$J$102*'Plan mensual'!G186+parametros_recargas!$K$102*'Plan mensual'!G187+parametros_recargas!$L$102*'Plan mensual'!G188+parametros_recargas!$M$102*'Plan mensual'!G190</f>
        <v>12316.5737776281</v>
      </c>
      <c r="F188" s="26" t="n">
        <f aca="false">parametros_recargas!$E$102*'Plan mensual'!H181+parametros_recargas!$F$102*'Plan mensual'!H182+parametros_recargas!$G$102*'Plan mensual'!H183+parametros_recargas!$H$102*'Plan mensual'!H184+parametros_recargas!$I$102*'Plan mensual'!H185+parametros_recargas!$J$102*'Plan mensual'!H186+parametros_recargas!$K$102*'Plan mensual'!H187+parametros_recargas!$L$102*'Plan mensual'!H188+parametros_recargas!$M$102*'Plan mensual'!H190</f>
        <v>12317.6988950093</v>
      </c>
      <c r="G188" s="26" t="n">
        <f aca="false">parametros_recargas!$E$102*'Plan mensual'!I181+parametros_recargas!$F$102*'Plan mensual'!I182+parametros_recargas!$G$102*'Plan mensual'!I183+parametros_recargas!$H$102*'Plan mensual'!I184+parametros_recargas!$I$102*'Plan mensual'!I185+parametros_recargas!$J$102*'Plan mensual'!I186+parametros_recargas!$K$102*'Plan mensual'!I187+parametros_recargas!$L$102*'Plan mensual'!I188+parametros_recargas!$M$102*'Plan mensual'!I190</f>
        <v>12293.0740709402</v>
      </c>
      <c r="H188" s="26" t="n">
        <f aca="false">parametros_recargas!$E$102*'Plan mensual'!J181+parametros_recargas!$F$102*'Plan mensual'!J182+parametros_recargas!$G$102*'Plan mensual'!J183+parametros_recargas!$H$102*'Plan mensual'!J184+parametros_recargas!$I$102*'Plan mensual'!J185+parametros_recargas!$J$102*'Plan mensual'!J186+parametros_recargas!$K$102*'Plan mensual'!J187+parametros_recargas!$L$102*'Plan mensual'!J188+parametros_recargas!$M$102*'Plan mensual'!J190</f>
        <v>12366.2559629196</v>
      </c>
      <c r="I188" s="26" t="n">
        <f aca="false">parametros_recargas!$E$102*'Plan mensual'!K181+parametros_recargas!$F$102*'Plan mensual'!K182+parametros_recargas!$G$102*'Plan mensual'!K183+parametros_recargas!$H$102*'Plan mensual'!K184+parametros_recargas!$I$102*'Plan mensual'!K185+parametros_recargas!$J$102*'Plan mensual'!K186+parametros_recargas!$K$102*'Plan mensual'!K187+parametros_recargas!$L$102*'Plan mensual'!K188+parametros_recargas!$M$102*'Plan mensual'!K190</f>
        <v>12312.6779792594</v>
      </c>
      <c r="J188" s="26" t="n">
        <f aca="false">parametros_recargas!$E$102*'Plan mensual'!L181+parametros_recargas!$F$102*'Plan mensual'!L182+parametros_recargas!$G$102*'Plan mensual'!L183+parametros_recargas!$H$102*'Plan mensual'!L184+parametros_recargas!$I$102*'Plan mensual'!L185+parametros_recargas!$J$102*'Plan mensual'!L186+parametros_recargas!$K$102*'Plan mensual'!L187+parametros_recargas!$L$102*'Plan mensual'!L188+parametros_recargas!$M$102*'Plan mensual'!L190</f>
        <v>12320.7163078273</v>
      </c>
      <c r="K188" s="26" t="n">
        <f aca="false">parametros_recargas!$E$102*'Plan mensual'!M181+parametros_recargas!$F$102*'Plan mensual'!M182+parametros_recargas!$G$102*'Plan mensual'!M183+parametros_recargas!$H$102*'Plan mensual'!M184+parametros_recargas!$I$102*'Plan mensual'!M185+parametros_recargas!$J$102*'Plan mensual'!M186+parametros_recargas!$K$102*'Plan mensual'!M187+parametros_recargas!$L$102*'Plan mensual'!M188+parametros_recargas!$M$102*'Plan mensual'!M190</f>
        <v>12291.1064829993</v>
      </c>
      <c r="L188" s="26" t="n">
        <f aca="false">parametros_recargas!$E$102*'Plan mensual'!N181+parametros_recargas!$F$102*'Plan mensual'!N182+parametros_recargas!$G$102*'Plan mensual'!N183+parametros_recargas!$H$102*'Plan mensual'!N184+parametros_recargas!$I$102*'Plan mensual'!N185+parametros_recargas!$J$102*'Plan mensual'!N186+parametros_recargas!$K$102*'Plan mensual'!N187+parametros_recargas!$L$102*'Plan mensual'!N188+parametros_recargas!$M$102*'Plan mensual'!N190</f>
        <v>12170.4947002597</v>
      </c>
      <c r="M188" s="26" t="n">
        <f aca="false">parametros_recargas!$E$102*'Plan mensual'!O181+parametros_recargas!$F$102*'Plan mensual'!O182+parametros_recargas!$G$102*'Plan mensual'!O183+parametros_recargas!$H$102*'Plan mensual'!O184+parametros_recargas!$I$102*'Plan mensual'!O185+parametros_recargas!$J$102*'Plan mensual'!O186+parametros_recargas!$K$102*'Plan mensual'!O187+parametros_recargas!$L$102*'Plan mensual'!O188+parametros_recargas!$M$102*'Plan mensual'!O190</f>
        <v>5796.00308463678</v>
      </c>
      <c r="N188" s="8" t="n">
        <f aca="false">SUM(B188:M188)</f>
        <v>137344.178401772</v>
      </c>
      <c r="O188" s="27" t="n">
        <f aca="false">MAX(B188:M188)</f>
        <v>14773.8438192846</v>
      </c>
      <c r="P188" s="13" t="n">
        <f aca="false">O188/parametros_recargas!$B$6</f>
        <v>98.4922921285643</v>
      </c>
    </row>
    <row r="189" customFormat="false" ht="15" hidden="false" customHeight="false" outlineLevel="0" collapsed="false">
      <c r="A189" s="10" t="str">
        <f aca="false">parametros_recargas!$B$103</f>
        <v>Inutilización y disposición final</v>
      </c>
      <c r="B189" s="26" t="n">
        <f aca="false">parametros_recargas!$E$103*'Plan mensual'!D181+parametros_recargas!$F$103*'Plan mensual'!D182+parametros_recargas!$G$103*'Plan mensual'!D183+parametros_recargas!$H$103*'Plan mensual'!D184+parametros_recargas!$I$103*'Plan mensual'!D185+parametros_recargas!$J$103*'Plan mensual'!D186+parametros_recargas!$K$103*'Plan mensual'!D187+parametros_recargas!$L$103*'Plan mensual'!D188+parametros_recargas!$M$103*'Plan mensual'!D190</f>
        <v>472.3646738746</v>
      </c>
      <c r="C189" s="26" t="n">
        <f aca="false">parametros_recargas!$E$103*'Plan mensual'!E181+parametros_recargas!$F$103*'Plan mensual'!E182+parametros_recargas!$G$103*'Plan mensual'!E183+parametros_recargas!$H$103*'Plan mensual'!E184+parametros_recargas!$I$103*'Plan mensual'!E185+parametros_recargas!$J$103*'Plan mensual'!E186+parametros_recargas!$K$103*'Plan mensual'!E187+parametros_recargas!$L$103*'Plan mensual'!E188+parametros_recargas!$M$103*'Plan mensual'!E190</f>
        <v>1157.23925178838</v>
      </c>
      <c r="D189" s="26" t="n">
        <f aca="false">parametros_recargas!$E$103*'Plan mensual'!F181+parametros_recargas!$F$103*'Plan mensual'!F182+parametros_recargas!$G$103*'Plan mensual'!F183+parametros_recargas!$H$103*'Plan mensual'!F184+parametros_recargas!$I$103*'Plan mensual'!F185+parametros_recargas!$J$103*'Plan mensual'!F186+parametros_recargas!$K$103*'Plan mensual'!F187+parametros_recargas!$L$103*'Plan mensual'!F188+parametros_recargas!$M$103*'Plan mensual'!F190</f>
        <v>964.841594802851</v>
      </c>
      <c r="E189" s="26" t="n">
        <f aca="false">parametros_recargas!$E$103*'Plan mensual'!G181+parametros_recargas!$F$103*'Plan mensual'!G182+parametros_recargas!$G$103*'Plan mensual'!G183+parametros_recargas!$H$103*'Plan mensual'!G184+parametros_recargas!$I$103*'Plan mensual'!G185+parametros_recargas!$J$103*'Plan mensual'!G186+parametros_recargas!$K$103*'Plan mensual'!G187+parametros_recargas!$L$103*'Plan mensual'!G188+parametros_recargas!$M$103*'Plan mensual'!G190</f>
        <v>968.650307774561</v>
      </c>
      <c r="F189" s="26" t="n">
        <f aca="false">parametros_recargas!$E$103*'Plan mensual'!H181+parametros_recargas!$F$103*'Plan mensual'!H182+parametros_recargas!$G$103*'Plan mensual'!H183+parametros_recargas!$H$103*'Plan mensual'!H184+parametros_recargas!$I$103*'Plan mensual'!H185+parametros_recargas!$J$103*'Plan mensual'!H186+parametros_recargas!$K$103*'Plan mensual'!H187+parametros_recargas!$L$103*'Plan mensual'!H188+parametros_recargas!$M$103*'Plan mensual'!H190</f>
        <v>968.849133165058</v>
      </c>
      <c r="G189" s="26" t="n">
        <f aca="false">parametros_recargas!$E$103*'Plan mensual'!I181+parametros_recargas!$F$103*'Plan mensual'!I182+parametros_recargas!$G$103*'Plan mensual'!I183+parametros_recargas!$H$103*'Plan mensual'!I184+parametros_recargas!$I$103*'Plan mensual'!I185+parametros_recargas!$J$103*'Plan mensual'!I186+parametros_recargas!$K$103*'Plan mensual'!I187+parametros_recargas!$L$103*'Plan mensual'!I188+parametros_recargas!$M$103*'Plan mensual'!I190</f>
        <v>967.038442975882</v>
      </c>
      <c r="H189" s="26" t="n">
        <f aca="false">parametros_recargas!$E$103*'Plan mensual'!J181+parametros_recargas!$F$103*'Plan mensual'!J182+parametros_recargas!$G$103*'Plan mensual'!J183+parametros_recargas!$H$103*'Plan mensual'!J184+parametros_recargas!$I$103*'Plan mensual'!J185+parametros_recargas!$J$103*'Plan mensual'!J186+parametros_recargas!$K$103*'Plan mensual'!J187+parametros_recargas!$L$103*'Plan mensual'!J188+parametros_recargas!$M$103*'Plan mensual'!J190</f>
        <v>972.733698597883</v>
      </c>
      <c r="I189" s="26" t="n">
        <f aca="false">parametros_recargas!$E$103*'Plan mensual'!K181+parametros_recargas!$F$103*'Plan mensual'!K182+parametros_recargas!$G$103*'Plan mensual'!K183+parametros_recargas!$H$103*'Plan mensual'!K184+parametros_recargas!$I$103*'Plan mensual'!K185+parametros_recargas!$J$103*'Plan mensual'!K186+parametros_recargas!$K$103*'Plan mensual'!K187+parametros_recargas!$L$103*'Plan mensual'!K188+parametros_recargas!$M$103*'Plan mensual'!K190</f>
        <v>968.447459905066</v>
      </c>
      <c r="J189" s="26" t="n">
        <f aca="false">parametros_recargas!$E$103*'Plan mensual'!L181+parametros_recargas!$F$103*'Plan mensual'!L182+parametros_recargas!$G$103*'Plan mensual'!L183+parametros_recargas!$H$103*'Plan mensual'!L184+parametros_recargas!$I$103*'Plan mensual'!L185+parametros_recargas!$J$103*'Plan mensual'!L186+parametros_recargas!$K$103*'Plan mensual'!L187+parametros_recargas!$L$103*'Plan mensual'!L188+parametros_recargas!$M$103*'Plan mensual'!L190</f>
        <v>969.115766058672</v>
      </c>
      <c r="K189" s="26" t="n">
        <f aca="false">parametros_recargas!$E$103*'Plan mensual'!M181+parametros_recargas!$F$103*'Plan mensual'!M182+parametros_recargas!$G$103*'Plan mensual'!M183+parametros_recargas!$H$103*'Plan mensual'!M184+parametros_recargas!$I$103*'Plan mensual'!M185+parametros_recargas!$J$103*'Plan mensual'!M186+parametros_recargas!$K$103*'Plan mensual'!M187+parametros_recargas!$L$103*'Plan mensual'!M188+parametros_recargas!$M$103*'Plan mensual'!M190</f>
        <v>966.906275808789</v>
      </c>
      <c r="L189" s="26" t="n">
        <f aca="false">parametros_recargas!$E$103*'Plan mensual'!N181+parametros_recargas!$F$103*'Plan mensual'!N182+parametros_recargas!$G$103*'Plan mensual'!N183+parametros_recargas!$H$103*'Plan mensual'!N184+parametros_recargas!$I$103*'Plan mensual'!N185+parametros_recargas!$J$103*'Plan mensual'!N186+parametros_recargas!$K$103*'Plan mensual'!N187+parametros_recargas!$L$103*'Plan mensual'!N188+parametros_recargas!$M$103*'Plan mensual'!N190</f>
        <v>957.391389057796</v>
      </c>
      <c r="M189" s="26" t="n">
        <f aca="false">parametros_recargas!$E$103*'Plan mensual'!O181+parametros_recargas!$F$103*'Plan mensual'!O182+parametros_recargas!$G$103*'Plan mensual'!O183+parametros_recargas!$H$103*'Plan mensual'!O184+parametros_recargas!$I$103*'Plan mensual'!O185+parametros_recargas!$J$103*'Plan mensual'!O186+parametros_recargas!$K$103*'Plan mensual'!O187+parametros_recargas!$L$103*'Plan mensual'!O188+parametros_recargas!$M$103*'Plan mensual'!O190</f>
        <v>446.51105207161</v>
      </c>
      <c r="N189" s="8" t="n">
        <f aca="false">SUM(B189:M189)</f>
        <v>10780.0890458812</v>
      </c>
      <c r="O189" s="27" t="n">
        <f aca="false">MAX(B189:M189)</f>
        <v>1157.23925178838</v>
      </c>
      <c r="P189" s="13" t="n">
        <f aca="false">O189/parametros_recargas!$B$6</f>
        <v>7.71492834525589</v>
      </c>
    </row>
    <row r="190" customFormat="false" ht="15" hidden="false" customHeight="false" outlineLevel="0" collapsed="false">
      <c r="A190" s="10" t="str">
        <f aca="false">parametros_recargas!$B$104</f>
        <v>PH de mangueras (CO₂ y rodantes)</v>
      </c>
      <c r="B190" s="26" t="n">
        <f aca="false">'Plan mensual'!D189</f>
        <v>363.44013420112</v>
      </c>
      <c r="C190" s="26" t="n">
        <f aca="false">'Plan mensual'!E189</f>
        <v>403.440454472048</v>
      </c>
      <c r="D190" s="26" t="n">
        <f aca="false">'Plan mensual'!F189</f>
        <v>363.44013420112</v>
      </c>
      <c r="E190" s="26" t="n">
        <f aca="false">'Plan mensual'!G189</f>
        <v>363.44013420112</v>
      </c>
      <c r="F190" s="26" t="n">
        <f aca="false">'Plan mensual'!H189</f>
        <v>363.44013420112</v>
      </c>
      <c r="G190" s="26" t="n">
        <f aca="false">'Plan mensual'!I189</f>
        <v>363.44013420112</v>
      </c>
      <c r="H190" s="26" t="n">
        <f aca="false">'Plan mensual'!J189</f>
        <v>363.44013420112</v>
      </c>
      <c r="I190" s="26" t="n">
        <f aca="false">'Plan mensual'!K189</f>
        <v>363.44013420112</v>
      </c>
      <c r="J190" s="26" t="n">
        <f aca="false">'Plan mensual'!L189</f>
        <v>363.44013420112</v>
      </c>
      <c r="K190" s="26" t="n">
        <f aca="false">'Plan mensual'!M189</f>
        <v>363.44013420112</v>
      </c>
      <c r="L190" s="26" t="n">
        <f aca="false">'Plan mensual'!N189</f>
        <v>363.44013420112</v>
      </c>
      <c r="M190" s="26" t="n">
        <f aca="false">'Plan mensual'!O189</f>
        <v>363.44013420112</v>
      </c>
      <c r="N190" s="8" t="n">
        <f aca="false">SUM(B190:M190)</f>
        <v>4401.28193068436</v>
      </c>
      <c r="O190" s="27" t="n">
        <f aca="false">MAX(B190:M190)</f>
        <v>403.440454472048</v>
      </c>
      <c r="P190" s="13" t="n">
        <f aca="false">O190/parametros_recargas!$B$6</f>
        <v>2.68960302981366</v>
      </c>
    </row>
    <row r="193" customFormat="false" ht="23.85" hidden="false" customHeight="false" outlineLevel="0" collapsed="false">
      <c r="A193" s="6" t="s">
        <v>443</v>
      </c>
      <c r="B193" s="6" t="s">
        <v>175</v>
      </c>
      <c r="C193" s="6" t="s">
        <v>176</v>
      </c>
      <c r="D193" s="6" t="s">
        <v>177</v>
      </c>
      <c r="E193" s="6" t="s">
        <v>178</v>
      </c>
      <c r="F193" s="6" t="s">
        <v>179</v>
      </c>
      <c r="G193" s="6" t="s">
        <v>180</v>
      </c>
      <c r="H193" s="6" t="s">
        <v>181</v>
      </c>
      <c r="I193" s="6" t="s">
        <v>182</v>
      </c>
      <c r="J193" s="6" t="s">
        <v>183</v>
      </c>
      <c r="K193" s="6" t="s">
        <v>184</v>
      </c>
      <c r="L193" s="6" t="s">
        <v>185</v>
      </c>
      <c r="M193" s="6" t="s">
        <v>186</v>
      </c>
      <c r="N193" s="6" t="s">
        <v>435</v>
      </c>
      <c r="O193" s="6" t="s">
        <v>436</v>
      </c>
      <c r="P193" s="6" t="s">
        <v>437</v>
      </c>
    </row>
    <row r="194" customFormat="false" ht="15" hidden="false" customHeight="false" outlineLevel="0" collapsed="false">
      <c r="A194" s="10" t="str">
        <f aca="false">parametros_recargas!$B$76</f>
        <v>Recepción y registro</v>
      </c>
      <c r="B194" s="26" t="n">
        <f aca="false">parametros_recargas!$E$76*'Plan mensual'!D213+parametros_recargas!$F$76*'Plan mensual'!D214+parametros_recargas!$G$76*'Plan mensual'!D215+parametros_recargas!$H$76*'Plan mensual'!D216+parametros_recargas!$I$76*'Plan mensual'!D217+parametros_recargas!$J$76*'Plan mensual'!D218+parametros_recargas!$K$76*'Plan mensual'!D219+parametros_recargas!$L$76*'Plan mensual'!D220+parametros_recargas!$M$76*'Plan mensual'!D222</f>
        <v>7506.55999210868</v>
      </c>
      <c r="C194" s="26" t="n">
        <f aca="false">parametros_recargas!$E$76*'Plan mensual'!E213+parametros_recargas!$F$76*'Plan mensual'!E214+parametros_recargas!$G$76*'Plan mensual'!E215+parametros_recargas!$H$76*'Plan mensual'!E216+parametros_recargas!$I$76*'Plan mensual'!E217+parametros_recargas!$J$76*'Plan mensual'!E218+parametros_recargas!$K$76*'Plan mensual'!E219+parametros_recargas!$L$76*'Plan mensual'!E220+parametros_recargas!$M$76*'Plan mensual'!E222</f>
        <v>18305.4478952391</v>
      </c>
      <c r="D194" s="26" t="n">
        <f aca="false">parametros_recargas!$E$76*'Plan mensual'!F213+parametros_recargas!$F$76*'Plan mensual'!F214+parametros_recargas!$G$76*'Plan mensual'!F215+parametros_recargas!$H$76*'Plan mensual'!F216+parametros_recargas!$I$76*'Plan mensual'!F217+parametros_recargas!$J$76*'Plan mensual'!F218+parametros_recargas!$K$76*'Plan mensual'!F219+parametros_recargas!$L$76*'Plan mensual'!F220+parametros_recargas!$M$76*'Plan mensual'!F222</f>
        <v>15236.1516753737</v>
      </c>
      <c r="E194" s="26" t="n">
        <f aca="false">parametros_recargas!$E$76*'Plan mensual'!G213+parametros_recargas!$F$76*'Plan mensual'!G214+parametros_recargas!$G$76*'Plan mensual'!G215+parametros_recargas!$H$76*'Plan mensual'!G216+parametros_recargas!$I$76*'Plan mensual'!G217+parametros_recargas!$J$76*'Plan mensual'!G218+parametros_recargas!$K$76*'Plan mensual'!G219+parametros_recargas!$L$76*'Plan mensual'!G220+parametros_recargas!$M$76*'Plan mensual'!G222</f>
        <v>15295.9509129517</v>
      </c>
      <c r="F194" s="26" t="n">
        <f aca="false">parametros_recargas!$E$76*'Plan mensual'!H213+parametros_recargas!$F$76*'Plan mensual'!H214+parametros_recargas!$G$76*'Plan mensual'!H215+parametros_recargas!$H$76*'Plan mensual'!H216+parametros_recargas!$I$76*'Plan mensual'!H217+parametros_recargas!$J$76*'Plan mensual'!H218+parametros_recargas!$K$76*'Plan mensual'!H219+parametros_recargas!$L$76*'Plan mensual'!H220+parametros_recargas!$M$76*'Plan mensual'!H222</f>
        <v>15298.174799162</v>
      </c>
      <c r="G194" s="26" t="n">
        <f aca="false">parametros_recargas!$E$76*'Plan mensual'!I213+parametros_recargas!$F$76*'Plan mensual'!I214+parametros_recargas!$G$76*'Plan mensual'!I215+parametros_recargas!$H$76*'Plan mensual'!I216+parametros_recargas!$I$76*'Plan mensual'!I217+parametros_recargas!$J$76*'Plan mensual'!I218+parametros_recargas!$K$76*'Plan mensual'!I219+parametros_recargas!$L$76*'Plan mensual'!I220+parametros_recargas!$M$76*'Plan mensual'!I222</f>
        <v>15268.6851634742</v>
      </c>
      <c r="H194" s="26" t="n">
        <f aca="false">parametros_recargas!$E$76*'Plan mensual'!J213+parametros_recargas!$F$76*'Plan mensual'!J214+parametros_recargas!$G$76*'Plan mensual'!J215+parametros_recargas!$H$76*'Plan mensual'!J216+parametros_recargas!$I$76*'Plan mensual'!J217+parametros_recargas!$J$76*'Plan mensual'!J218+parametros_recargas!$K$76*'Plan mensual'!J219+parametros_recargas!$L$76*'Plan mensual'!J220+parametros_recargas!$M$76*'Plan mensual'!J222</f>
        <v>15359.1649690515</v>
      </c>
      <c r="I194" s="26" t="n">
        <f aca="false">parametros_recargas!$E$76*'Plan mensual'!K213+parametros_recargas!$F$76*'Plan mensual'!K214+parametros_recargas!$G$76*'Plan mensual'!K215+parametros_recargas!$H$76*'Plan mensual'!K216+parametros_recargas!$I$76*'Plan mensual'!K217+parametros_recargas!$J$76*'Plan mensual'!K218+parametros_recargas!$K$76*'Plan mensual'!K219+parametros_recargas!$L$76*'Plan mensual'!K220+parametros_recargas!$M$76*'Plan mensual'!K222</f>
        <v>15291.86827124</v>
      </c>
      <c r="J194" s="26" t="n">
        <f aca="false">parametros_recargas!$E$76*'Plan mensual'!L213+parametros_recargas!$F$76*'Plan mensual'!L214+parametros_recargas!$G$76*'Plan mensual'!L215+parametros_recargas!$H$76*'Plan mensual'!L216+parametros_recargas!$I$76*'Plan mensual'!L217+parametros_recargas!$J$76*'Plan mensual'!L218+parametros_recargas!$K$76*'Plan mensual'!L219+parametros_recargas!$L$76*'Plan mensual'!L220+parametros_recargas!$M$76*'Plan mensual'!L222</f>
        <v>15302.2796877515</v>
      </c>
      <c r="K194" s="26" t="n">
        <f aca="false">parametros_recargas!$E$76*'Plan mensual'!M213+parametros_recargas!$F$76*'Plan mensual'!M214+parametros_recargas!$G$76*'Plan mensual'!M215+parametros_recargas!$H$76*'Plan mensual'!M216+parametros_recargas!$I$76*'Plan mensual'!M217+parametros_recargas!$J$76*'Plan mensual'!M218+parametros_recargas!$K$76*'Plan mensual'!M219+parametros_recargas!$L$76*'Plan mensual'!M220+parametros_recargas!$M$76*'Plan mensual'!M222</f>
        <v>15266.5286352141</v>
      </c>
      <c r="L194" s="26" t="n">
        <f aca="false">parametros_recargas!$E$76*'Plan mensual'!N213+parametros_recargas!$F$76*'Plan mensual'!N214+parametros_recargas!$G$76*'Plan mensual'!N215+parametros_recargas!$H$76*'Plan mensual'!N216+parametros_recargas!$I$76*'Plan mensual'!N217+parametros_recargas!$J$76*'Plan mensual'!N218+parametros_recargas!$K$76*'Plan mensual'!N219+parametros_recargas!$L$76*'Plan mensual'!N220+parametros_recargas!$M$76*'Plan mensual'!N222</f>
        <v>15116.1595889133</v>
      </c>
      <c r="M194" s="26" t="n">
        <f aca="false">parametros_recargas!$E$76*'Plan mensual'!O213+parametros_recargas!$F$76*'Plan mensual'!O214+parametros_recargas!$G$76*'Plan mensual'!O215+parametros_recargas!$H$76*'Plan mensual'!O216+parametros_recargas!$I$76*'Plan mensual'!O217+parametros_recargas!$J$76*'Plan mensual'!O218+parametros_recargas!$K$76*'Plan mensual'!O219+parametros_recargas!$L$76*'Plan mensual'!O220+parametros_recargas!$M$76*'Plan mensual'!O222</f>
        <v>7102.35572147858</v>
      </c>
      <c r="N194" s="8" t="n">
        <f aca="false">SUM(B194:M194)</f>
        <v>170349.327311958</v>
      </c>
      <c r="O194" s="27" t="n">
        <f aca="false">MAX(B194:M194)</f>
        <v>18305.4478952391</v>
      </c>
      <c r="P194" s="13" t="n">
        <f aca="false">O194/parametros_recargas!$B$6</f>
        <v>122.036319301594</v>
      </c>
    </row>
    <row r="195" customFormat="false" ht="15" hidden="false" customHeight="false" outlineLevel="0" collapsed="false">
      <c r="A195" s="10" t="str">
        <f aca="false">parametros_recargas!$B$77</f>
        <v>Inspección visual</v>
      </c>
      <c r="B195" s="26" t="n">
        <f aca="false">parametros_recargas!$E$77*'Plan mensual'!D213+parametros_recargas!$F$77*'Plan mensual'!D214+parametros_recargas!$G$77*'Plan mensual'!D215+parametros_recargas!$H$77*'Plan mensual'!D216+parametros_recargas!$I$77*'Plan mensual'!D217+parametros_recargas!$J$77*'Plan mensual'!D218+parametros_recargas!$K$77*'Plan mensual'!D219+parametros_recargas!$L$77*'Plan mensual'!D220+parametros_recargas!$M$77*'Plan mensual'!D222</f>
        <v>7487.21987030548</v>
      </c>
      <c r="C195" s="26" t="n">
        <f aca="false">parametros_recargas!$E$77*'Plan mensual'!E213+parametros_recargas!$F$77*'Plan mensual'!E214+parametros_recargas!$G$77*'Plan mensual'!E215+parametros_recargas!$H$77*'Plan mensual'!E216+parametros_recargas!$I$77*'Plan mensual'!E217+parametros_recargas!$J$77*'Plan mensual'!E218+parametros_recargas!$K$77*'Plan mensual'!E219+parametros_recargas!$L$77*'Plan mensual'!E220+parametros_recargas!$M$77*'Plan mensual'!E222</f>
        <v>18289.8618112951</v>
      </c>
      <c r="D195" s="26" t="n">
        <f aca="false">parametros_recargas!$E$77*'Plan mensual'!F213+parametros_recargas!$F$77*'Plan mensual'!F214+parametros_recargas!$G$77*'Plan mensual'!F215+parametros_recargas!$H$77*'Plan mensual'!F216+parametros_recargas!$I$77*'Plan mensual'!F217+parametros_recargas!$J$77*'Plan mensual'!F218+parametros_recargas!$K$77*'Plan mensual'!F219+parametros_recargas!$L$77*'Plan mensual'!F220+parametros_recargas!$M$77*'Plan mensual'!F222</f>
        <v>15219.423534641</v>
      </c>
      <c r="E195" s="26" t="n">
        <f aca="false">parametros_recargas!$E$77*'Plan mensual'!G213+parametros_recargas!$F$77*'Plan mensual'!G214+parametros_recargas!$G$77*'Plan mensual'!G215+parametros_recargas!$H$77*'Plan mensual'!G216+parametros_recargas!$I$77*'Plan mensual'!G217+parametros_recargas!$J$77*'Plan mensual'!G218+parametros_recargas!$K$77*'Plan mensual'!G219+parametros_recargas!$L$77*'Plan mensual'!G220+parametros_recargas!$M$77*'Plan mensual'!G222</f>
        <v>15279.2227722189</v>
      </c>
      <c r="F195" s="26" t="n">
        <f aca="false">parametros_recargas!$E$77*'Plan mensual'!H213+parametros_recargas!$F$77*'Plan mensual'!H214+parametros_recargas!$G$77*'Plan mensual'!H215+parametros_recargas!$H$77*'Plan mensual'!H216+parametros_recargas!$I$77*'Plan mensual'!H217+parametros_recargas!$J$77*'Plan mensual'!H218+parametros_recargas!$K$77*'Plan mensual'!H219+parametros_recargas!$L$77*'Plan mensual'!H220+parametros_recargas!$M$77*'Plan mensual'!H222</f>
        <v>15282.3444584292</v>
      </c>
      <c r="G195" s="26" t="n">
        <f aca="false">parametros_recargas!$E$77*'Plan mensual'!I213+parametros_recargas!$F$77*'Plan mensual'!I214+parametros_recargas!$G$77*'Plan mensual'!I215+parametros_recargas!$H$77*'Plan mensual'!I216+parametros_recargas!$I$77*'Plan mensual'!I217+parametros_recargas!$J$77*'Plan mensual'!I218+parametros_recargas!$K$77*'Plan mensual'!I219+parametros_recargas!$L$77*'Plan mensual'!I220+parametros_recargas!$M$77*'Plan mensual'!I222</f>
        <v>15253.9154606006</v>
      </c>
      <c r="H195" s="26" t="n">
        <f aca="false">parametros_recargas!$E$77*'Plan mensual'!J213+parametros_recargas!$F$77*'Plan mensual'!J214+parametros_recargas!$G$77*'Plan mensual'!J215+parametros_recargas!$H$77*'Plan mensual'!J216+parametros_recargas!$I$77*'Plan mensual'!J217+parametros_recargas!$J$77*'Plan mensual'!J218+parametros_recargas!$K$77*'Plan mensual'!J219+parametros_recargas!$L$77*'Plan mensual'!J220+parametros_recargas!$M$77*'Plan mensual'!J222</f>
        <v>15343.3346283187</v>
      </c>
      <c r="I195" s="26" t="n">
        <f aca="false">parametros_recargas!$E$77*'Plan mensual'!K213+parametros_recargas!$F$77*'Plan mensual'!K214+parametros_recargas!$G$77*'Plan mensual'!K215+parametros_recargas!$H$77*'Plan mensual'!K216+parametros_recargas!$I$77*'Plan mensual'!K217+parametros_recargas!$J$77*'Plan mensual'!K218+parametros_recargas!$K$77*'Plan mensual'!K219+parametros_recargas!$L$77*'Plan mensual'!K220+parametros_recargas!$M$77*'Plan mensual'!K222</f>
        <v>15276.0379305072</v>
      </c>
      <c r="J195" s="26" t="n">
        <f aca="false">parametros_recargas!$E$77*'Plan mensual'!L213+parametros_recargas!$F$77*'Plan mensual'!L214+parametros_recargas!$G$77*'Plan mensual'!L215+parametros_recargas!$H$77*'Plan mensual'!L216+parametros_recargas!$I$77*'Plan mensual'!L217+parametros_recargas!$J$77*'Plan mensual'!L218+parametros_recargas!$K$77*'Plan mensual'!L219+parametros_recargas!$L$77*'Plan mensual'!L220+parametros_recargas!$M$77*'Plan mensual'!L222</f>
        <v>15286.5307659483</v>
      </c>
      <c r="K195" s="26" t="n">
        <f aca="false">parametros_recargas!$E$77*'Plan mensual'!M213+parametros_recargas!$F$77*'Plan mensual'!M214+parametros_recargas!$G$77*'Plan mensual'!M215+parametros_recargas!$H$77*'Plan mensual'!M216+parametros_recargas!$I$77*'Plan mensual'!M217+parametros_recargas!$J$77*'Plan mensual'!M218+parametros_recargas!$K$77*'Plan mensual'!M219+parametros_recargas!$L$77*'Plan mensual'!M220+parametros_recargas!$M$77*'Plan mensual'!M222</f>
        <v>15251.8403512701</v>
      </c>
      <c r="L195" s="26" t="n">
        <f aca="false">parametros_recargas!$E$77*'Plan mensual'!N213+parametros_recargas!$F$77*'Plan mensual'!N214+parametros_recargas!$G$77*'Plan mensual'!N215+parametros_recargas!$H$77*'Plan mensual'!N216+parametros_recargas!$I$77*'Plan mensual'!N217+parametros_recargas!$J$77*'Plan mensual'!N218+parametros_recargas!$K$77*'Plan mensual'!N219+parametros_recargas!$L$77*'Plan mensual'!N220+parametros_recargas!$M$77*'Plan mensual'!N222</f>
        <v>15102.4505238989</v>
      </c>
      <c r="M195" s="26" t="n">
        <f aca="false">parametros_recargas!$E$77*'Plan mensual'!O213+parametros_recargas!$F$77*'Plan mensual'!O214+parametros_recargas!$G$77*'Plan mensual'!O215+parametros_recargas!$H$77*'Plan mensual'!O216+parametros_recargas!$I$77*'Plan mensual'!O217+parametros_recargas!$J$77*'Plan mensual'!O218+parametros_recargas!$K$77*'Plan mensual'!O219+parametros_recargas!$L$77*'Plan mensual'!O220+parametros_recargas!$M$77*'Plan mensual'!O222</f>
        <v>7081.30141860498</v>
      </c>
      <c r="N195" s="8" t="n">
        <f aca="false">SUM(B195:M195)</f>
        <v>170153.483526038</v>
      </c>
      <c r="O195" s="27" t="n">
        <f aca="false">MAX(B195:M195)</f>
        <v>18289.8618112951</v>
      </c>
      <c r="P195" s="13" t="n">
        <f aca="false">O195/parametros_recargas!$B$6</f>
        <v>121.932412075301</v>
      </c>
    </row>
    <row r="196" customFormat="false" ht="15" hidden="false" customHeight="false" outlineLevel="0" collapsed="false">
      <c r="A196" s="10" t="str">
        <f aca="false">parametros_recargas!$B$78</f>
        <v>Descarga ABC — ruta recuperable</v>
      </c>
      <c r="B196" s="26" t="n">
        <f aca="false">parametros_recargas!$E$78*'Plan mensual'!D213+parametros_recargas!$F$78*'Plan mensual'!D214+parametros_recargas!$G$78*'Plan mensual'!D215+parametros_recargas!$H$78*'Plan mensual'!D216+parametros_recargas!$I$78*'Plan mensual'!D217+parametros_recargas!$J$78*'Plan mensual'!D218+parametros_recargas!$K$78*'Plan mensual'!D219+parametros_recargas!$L$78*'Plan mensual'!D220+parametros_recargas!$M$78*'Plan mensual'!D222</f>
        <v>4847.41111152009</v>
      </c>
      <c r="C196" s="26" t="n">
        <f aca="false">parametros_recargas!$E$78*'Plan mensual'!E213+parametros_recargas!$F$78*'Plan mensual'!E214+parametros_recargas!$G$78*'Plan mensual'!E215+parametros_recargas!$H$78*'Plan mensual'!E216+parametros_recargas!$I$78*'Plan mensual'!E217+parametros_recargas!$J$78*'Plan mensual'!E218+parametros_recargas!$K$78*'Plan mensual'!E219+parametros_recargas!$L$78*'Plan mensual'!E220+parametros_recargas!$M$78*'Plan mensual'!E222</f>
        <v>13331.3042401723</v>
      </c>
      <c r="D196" s="26" t="n">
        <f aca="false">parametros_recargas!$E$78*'Plan mensual'!F213+parametros_recargas!$F$78*'Plan mensual'!F214+parametros_recargas!$G$78*'Plan mensual'!F215+parametros_recargas!$H$78*'Plan mensual'!F216+parametros_recargas!$I$78*'Plan mensual'!F217+parametros_recargas!$J$78*'Plan mensual'!F218+parametros_recargas!$K$78*'Plan mensual'!F219+parametros_recargas!$L$78*'Plan mensual'!F220+parametros_recargas!$M$78*'Plan mensual'!F222</f>
        <v>11458.4452445269</v>
      </c>
      <c r="E196" s="26" t="n">
        <f aca="false">parametros_recargas!$E$78*'Plan mensual'!G213+parametros_recargas!$F$78*'Plan mensual'!G214+parametros_recargas!$G$78*'Plan mensual'!G215+parametros_recargas!$H$78*'Plan mensual'!G216+parametros_recargas!$I$78*'Plan mensual'!G217+parametros_recargas!$J$78*'Plan mensual'!G218+parametros_recargas!$K$78*'Plan mensual'!G219+parametros_recargas!$L$78*'Plan mensual'!G220+parametros_recargas!$M$78*'Plan mensual'!G222</f>
        <v>11509.5735926561</v>
      </c>
      <c r="F196" s="26" t="n">
        <f aca="false">parametros_recargas!$E$78*'Plan mensual'!H213+parametros_recargas!$F$78*'Plan mensual'!H214+parametros_recargas!$G$78*'Plan mensual'!H215+parametros_recargas!$H$78*'Plan mensual'!H216+parametros_recargas!$I$78*'Plan mensual'!H217+parametros_recargas!$J$78*'Plan mensual'!H218+parametros_recargas!$K$78*'Plan mensual'!H219+parametros_recargas!$L$78*'Plan mensual'!H220+parametros_recargas!$M$78*'Plan mensual'!H222</f>
        <v>11512.2426343659</v>
      </c>
      <c r="G196" s="26" t="n">
        <f aca="false">parametros_recargas!$E$78*'Plan mensual'!I213+parametros_recargas!$F$78*'Plan mensual'!I214+parametros_recargas!$G$78*'Plan mensual'!I215+parametros_recargas!$H$78*'Plan mensual'!I216+parametros_recargas!$I$78*'Plan mensual'!I217+parametros_recargas!$J$78*'Plan mensual'!I218+parametros_recargas!$K$78*'Plan mensual'!I219+parametros_recargas!$L$78*'Plan mensual'!I220+parametros_recargas!$M$78*'Plan mensual'!I222</f>
        <v>11487.9358412224</v>
      </c>
      <c r="H196" s="26" t="n">
        <f aca="false">parametros_recargas!$E$78*'Plan mensual'!J213+parametros_recargas!$F$78*'Plan mensual'!J214+parametros_recargas!$G$78*'Plan mensual'!J215+parametros_recargas!$H$78*'Plan mensual'!J216+parametros_recargas!$I$78*'Plan mensual'!J217+parametros_recargas!$J$78*'Plan mensual'!J218+parametros_recargas!$K$78*'Plan mensual'!J219+parametros_recargas!$L$78*'Plan mensual'!J220+parametros_recargas!$M$78*'Plan mensual'!J222</f>
        <v>11564.3892296214</v>
      </c>
      <c r="I196" s="26" t="n">
        <f aca="false">parametros_recargas!$E$78*'Plan mensual'!K213+parametros_recargas!$F$78*'Plan mensual'!K214+parametros_recargas!$G$78*'Plan mensual'!K215+parametros_recargas!$H$78*'Plan mensual'!K216+parametros_recargas!$I$78*'Plan mensual'!K217+parametros_recargas!$J$78*'Plan mensual'!K218+parametros_recargas!$K$78*'Plan mensual'!K219+parametros_recargas!$L$78*'Plan mensual'!K220+parametros_recargas!$M$78*'Plan mensual'!K222</f>
        <v>11506.8505529926</v>
      </c>
      <c r="J196" s="26" t="n">
        <f aca="false">parametros_recargas!$E$78*'Plan mensual'!L213+parametros_recargas!$F$78*'Plan mensual'!L214+parametros_recargas!$G$78*'Plan mensual'!L215+parametros_recargas!$H$78*'Plan mensual'!L216+parametros_recargas!$I$78*'Plan mensual'!L217+parametros_recargas!$J$78*'Plan mensual'!L218+parametros_recargas!$K$78*'Plan mensual'!L219+parametros_recargas!$L$78*'Plan mensual'!L220+parametros_recargas!$M$78*'Plan mensual'!L222</f>
        <v>11515.8219272947</v>
      </c>
      <c r="K196" s="26" t="n">
        <f aca="false">parametros_recargas!$E$78*'Plan mensual'!M213+parametros_recargas!$F$78*'Plan mensual'!M214+parametros_recargas!$G$78*'Plan mensual'!M215+parametros_recargas!$H$78*'Plan mensual'!M216+parametros_recargas!$I$78*'Plan mensual'!M217+parametros_recargas!$J$78*'Plan mensual'!M218+parametros_recargas!$K$78*'Plan mensual'!M219+parametros_recargas!$L$78*'Plan mensual'!M220+parametros_recargas!$M$78*'Plan mensual'!M222</f>
        <v>11486.1616227448</v>
      </c>
      <c r="L196" s="26" t="n">
        <f aca="false">parametros_recargas!$E$78*'Plan mensual'!N213+parametros_recargas!$F$78*'Plan mensual'!N214+parametros_recargas!$G$78*'Plan mensual'!N215+parametros_recargas!$H$78*'Plan mensual'!N216+parametros_recargas!$I$78*'Plan mensual'!N217+parametros_recargas!$J$78*'Plan mensual'!N218+parametros_recargas!$K$78*'Plan mensual'!N219+parametros_recargas!$L$78*'Plan mensual'!N220+parametros_recargas!$M$78*'Plan mensual'!N222</f>
        <v>11358.4333203424</v>
      </c>
      <c r="M196" s="26" t="n">
        <f aca="false">parametros_recargas!$E$78*'Plan mensual'!O213+parametros_recargas!$F$78*'Plan mensual'!O214+parametros_recargas!$G$78*'Plan mensual'!O215+parametros_recargas!$H$78*'Plan mensual'!O216+parametros_recargas!$I$78*'Plan mensual'!O217+parametros_recargas!$J$78*'Plan mensual'!O218+parametros_recargas!$K$78*'Plan mensual'!O219+parametros_recargas!$L$78*'Plan mensual'!O220+parametros_recargas!$M$78*'Plan mensual'!O222</f>
        <v>4500.35083531617</v>
      </c>
      <c r="N196" s="8" t="n">
        <f aca="false">SUM(B196:M196)</f>
        <v>126078.920152776</v>
      </c>
      <c r="O196" s="27" t="n">
        <f aca="false">MAX(B196:M196)</f>
        <v>13331.3042401723</v>
      </c>
      <c r="P196" s="13" t="n">
        <f aca="false">O196/parametros_recargas!$B$6</f>
        <v>88.8753616011486</v>
      </c>
    </row>
    <row r="197" customFormat="false" ht="15" hidden="false" customHeight="false" outlineLevel="0" collapsed="false">
      <c r="A197" s="10" t="str">
        <f aca="false">parametros_recargas!$B$79</f>
        <v>Descarga ABC — ruta descarte</v>
      </c>
      <c r="B197" s="26" t="n">
        <f aca="false">parametros_recargas!$E$79*'Plan mensual'!D213+parametros_recargas!$F$79*'Plan mensual'!D214+parametros_recargas!$G$79*'Plan mensual'!D215+parametros_recargas!$H$79*'Plan mensual'!D216+parametros_recargas!$I$79*'Plan mensual'!D217+parametros_recargas!$J$79*'Plan mensual'!D218+parametros_recargas!$K$79*'Plan mensual'!D219+parametros_recargas!$L$79*'Plan mensual'!D220+parametros_recargas!$M$79*'Plan mensual'!D222</f>
        <v>538.601234613344</v>
      </c>
      <c r="C197" s="26" t="n">
        <f aca="false">parametros_recargas!$E$79*'Plan mensual'!E213+parametros_recargas!$F$79*'Plan mensual'!E214+parametros_recargas!$G$79*'Plan mensual'!E215+parametros_recargas!$H$79*'Plan mensual'!E216+parametros_recargas!$I$79*'Plan mensual'!E217+parametros_recargas!$J$79*'Plan mensual'!E218+parametros_recargas!$K$79*'Plan mensual'!E219+parametros_recargas!$L$79*'Plan mensual'!E220+parametros_recargas!$M$79*'Plan mensual'!E222</f>
        <v>1481.25602668581</v>
      </c>
      <c r="D197" s="26" t="n">
        <f aca="false">parametros_recargas!$E$79*'Plan mensual'!F213+parametros_recargas!$F$79*'Plan mensual'!F214+parametros_recargas!$G$79*'Plan mensual'!F215+parametros_recargas!$H$79*'Plan mensual'!F216+parametros_recargas!$I$79*'Plan mensual'!F217+parametros_recargas!$J$79*'Plan mensual'!F218+parametros_recargas!$K$79*'Plan mensual'!F219+parametros_recargas!$L$79*'Plan mensual'!F220+parametros_recargas!$M$79*'Plan mensual'!F222</f>
        <v>1273.16058272521</v>
      </c>
      <c r="E197" s="26" t="n">
        <f aca="false">parametros_recargas!$E$79*'Plan mensual'!G213+parametros_recargas!$F$79*'Plan mensual'!G214+parametros_recargas!$G$79*'Plan mensual'!G215+parametros_recargas!$H$79*'Plan mensual'!G216+parametros_recargas!$I$79*'Plan mensual'!G217+parametros_recargas!$J$79*'Plan mensual'!G218+parametros_recargas!$K$79*'Plan mensual'!G219+parametros_recargas!$L$79*'Plan mensual'!G220+parametros_recargas!$M$79*'Plan mensual'!G222</f>
        <v>1278.84151029512</v>
      </c>
      <c r="F197" s="26" t="n">
        <f aca="false">parametros_recargas!$E$79*'Plan mensual'!H213+parametros_recargas!$F$79*'Plan mensual'!H214+parametros_recargas!$G$79*'Plan mensual'!H215+parametros_recargas!$H$79*'Plan mensual'!H216+parametros_recargas!$I$79*'Plan mensual'!H217+parametros_recargas!$J$79*'Plan mensual'!H218+parametros_recargas!$K$79*'Plan mensual'!H219+parametros_recargas!$L$79*'Plan mensual'!H220+parametros_recargas!$M$79*'Plan mensual'!H222</f>
        <v>1279.1380704851</v>
      </c>
      <c r="G197" s="26" t="n">
        <f aca="false">parametros_recargas!$E$79*'Plan mensual'!I213+parametros_recargas!$F$79*'Plan mensual'!I214+parametros_recargas!$G$79*'Plan mensual'!I215+parametros_recargas!$H$79*'Plan mensual'!I216+parametros_recargas!$I$79*'Plan mensual'!I217+parametros_recargas!$J$79*'Plan mensual'!I218+parametros_recargas!$K$79*'Plan mensual'!I219+parametros_recargas!$L$79*'Plan mensual'!I220+parametros_recargas!$M$79*'Plan mensual'!I222</f>
        <v>1276.43731569138</v>
      </c>
      <c r="H197" s="26" t="n">
        <f aca="false">parametros_recargas!$E$79*'Plan mensual'!J213+parametros_recargas!$F$79*'Plan mensual'!J214+parametros_recargas!$G$79*'Plan mensual'!J215+parametros_recargas!$H$79*'Plan mensual'!J216+parametros_recargas!$I$79*'Plan mensual'!J217+parametros_recargas!$J$79*'Plan mensual'!J218+parametros_recargas!$K$79*'Plan mensual'!J219+parametros_recargas!$L$79*'Plan mensual'!J220+parametros_recargas!$M$79*'Plan mensual'!J222</f>
        <v>1284.9321366246</v>
      </c>
      <c r="I197" s="26" t="n">
        <f aca="false">parametros_recargas!$E$79*'Plan mensual'!K213+parametros_recargas!$F$79*'Plan mensual'!K214+parametros_recargas!$G$79*'Plan mensual'!K215+parametros_recargas!$H$79*'Plan mensual'!K216+parametros_recargas!$I$79*'Plan mensual'!K217+parametros_recargas!$J$79*'Plan mensual'!K218+parametros_recargas!$K$79*'Plan mensual'!K219+parametros_recargas!$L$79*'Plan mensual'!K220+parametros_recargas!$M$79*'Plan mensual'!K222</f>
        <v>1278.53895033251</v>
      </c>
      <c r="J197" s="26" t="n">
        <f aca="false">parametros_recargas!$E$79*'Plan mensual'!L213+parametros_recargas!$F$79*'Plan mensual'!L214+parametros_recargas!$G$79*'Plan mensual'!L215+parametros_recargas!$H$79*'Plan mensual'!L216+parametros_recargas!$I$79*'Plan mensual'!L217+parametros_recargas!$J$79*'Plan mensual'!L218+parametros_recargas!$K$79*'Plan mensual'!L219+parametros_recargas!$L$79*'Plan mensual'!L220+parametros_recargas!$M$79*'Plan mensual'!L222</f>
        <v>1279.53576969941</v>
      </c>
      <c r="K197" s="26" t="n">
        <f aca="false">parametros_recargas!$E$79*'Plan mensual'!M213+parametros_recargas!$F$79*'Plan mensual'!M214+parametros_recargas!$G$79*'Plan mensual'!M215+parametros_recargas!$H$79*'Plan mensual'!M216+parametros_recargas!$I$79*'Plan mensual'!M217+parametros_recargas!$J$79*'Plan mensual'!M218+parametros_recargas!$K$79*'Plan mensual'!M219+parametros_recargas!$L$79*'Plan mensual'!M220+parametros_recargas!$M$79*'Plan mensual'!M222</f>
        <v>1276.24018030498</v>
      </c>
      <c r="L197" s="26" t="n">
        <f aca="false">parametros_recargas!$E$79*'Plan mensual'!N213+parametros_recargas!$F$79*'Plan mensual'!N214+parametros_recargas!$G$79*'Plan mensual'!N215+parametros_recargas!$H$79*'Plan mensual'!N216+parametros_recargas!$I$79*'Plan mensual'!N217+parametros_recargas!$J$79*'Plan mensual'!N218+parametros_recargas!$K$79*'Plan mensual'!N219+parametros_recargas!$L$79*'Plan mensual'!N220+parametros_recargas!$M$79*'Plan mensual'!N222</f>
        <v>1262.04814670472</v>
      </c>
      <c r="M197" s="26" t="n">
        <f aca="false">parametros_recargas!$E$79*'Plan mensual'!O213+parametros_recargas!$F$79*'Plan mensual'!O214+parametros_recargas!$G$79*'Plan mensual'!O215+parametros_recargas!$H$79*'Plan mensual'!O216+parametros_recargas!$I$79*'Plan mensual'!O217+parametros_recargas!$J$79*'Plan mensual'!O218+parametros_recargas!$K$79*'Plan mensual'!O219+parametros_recargas!$L$79*'Plan mensual'!O220+parametros_recargas!$M$79*'Plan mensual'!O222</f>
        <v>500.038981701796</v>
      </c>
      <c r="N197" s="8" t="n">
        <f aca="false">SUM(B197:M197)</f>
        <v>14008.768905864</v>
      </c>
      <c r="O197" s="27" t="n">
        <f aca="false">MAX(B197:M197)</f>
        <v>1481.25602668581</v>
      </c>
      <c r="P197" s="13" t="n">
        <f aca="false">O197/parametros_recargas!$B$6</f>
        <v>9.87504017790541</v>
      </c>
    </row>
    <row r="198" customFormat="false" ht="15" hidden="false" customHeight="false" outlineLevel="0" collapsed="false">
      <c r="A198" s="10" t="str">
        <f aca="false">parametros_recargas!$B$80</f>
        <v>Descarga BC</v>
      </c>
      <c r="B198" s="26" t="n">
        <f aca="false">parametros_recargas!$E$80*'Plan mensual'!D213+parametros_recargas!$F$80*'Plan mensual'!D214+parametros_recargas!$G$80*'Plan mensual'!D215+parametros_recargas!$H$80*'Plan mensual'!D216+parametros_recargas!$I$80*'Plan mensual'!D217+parametros_recargas!$J$80*'Plan mensual'!D218+parametros_recargas!$K$80*'Plan mensual'!D219+parametros_recargas!$L$80*'Plan mensual'!D220+parametros_recargas!$M$80*'Plan mensual'!D222</f>
        <v>16.5879003061862</v>
      </c>
      <c r="C198" s="26" t="n">
        <f aca="false">parametros_recargas!$E$80*'Plan mensual'!E213+parametros_recargas!$F$80*'Plan mensual'!E214+parametros_recargas!$G$80*'Plan mensual'!E215+parametros_recargas!$H$80*'Plan mensual'!E216+parametros_recargas!$I$80*'Plan mensual'!E217+parametros_recargas!$J$80*'Plan mensual'!E218+parametros_recargas!$K$80*'Plan mensual'!E219+parametros_recargas!$L$80*'Plan mensual'!E220+parametros_recargas!$M$80*'Plan mensual'!E222</f>
        <v>16.5879003061862</v>
      </c>
      <c r="D198" s="26" t="n">
        <f aca="false">parametros_recargas!$E$80*'Plan mensual'!F213+parametros_recargas!$F$80*'Plan mensual'!F214+parametros_recargas!$G$80*'Plan mensual'!F215+parametros_recargas!$H$80*'Plan mensual'!F216+parametros_recargas!$I$80*'Plan mensual'!F217+parametros_recargas!$J$80*'Plan mensual'!F218+parametros_recargas!$K$80*'Plan mensual'!F219+parametros_recargas!$L$80*'Plan mensual'!F220+parametros_recargas!$M$80*'Plan mensual'!F222</f>
        <v>16.5879003061862</v>
      </c>
      <c r="E198" s="26" t="n">
        <f aca="false">parametros_recargas!$E$80*'Plan mensual'!G213+parametros_recargas!$F$80*'Plan mensual'!G214+parametros_recargas!$G$80*'Plan mensual'!G215+parametros_recargas!$H$80*'Plan mensual'!G216+parametros_recargas!$I$80*'Plan mensual'!G217+parametros_recargas!$J$80*'Plan mensual'!G218+parametros_recargas!$K$80*'Plan mensual'!G219+parametros_recargas!$L$80*'Plan mensual'!G220+parametros_recargas!$M$80*'Plan mensual'!G222</f>
        <v>16.5879003061862</v>
      </c>
      <c r="F198" s="26" t="n">
        <f aca="false">parametros_recargas!$E$80*'Plan mensual'!H213+parametros_recargas!$F$80*'Plan mensual'!H214+parametros_recargas!$G$80*'Plan mensual'!H215+parametros_recargas!$H$80*'Plan mensual'!H216+parametros_recargas!$I$80*'Plan mensual'!H217+parametros_recargas!$J$80*'Plan mensual'!H218+parametros_recargas!$K$80*'Plan mensual'!H219+parametros_recargas!$L$80*'Plan mensual'!H220+parametros_recargas!$M$80*'Plan mensual'!H222</f>
        <v>16.5879003061862</v>
      </c>
      <c r="G198" s="26" t="n">
        <f aca="false">parametros_recargas!$E$80*'Plan mensual'!I213+parametros_recargas!$F$80*'Plan mensual'!I214+parametros_recargas!$G$80*'Plan mensual'!I215+parametros_recargas!$H$80*'Plan mensual'!I216+parametros_recargas!$I$80*'Plan mensual'!I217+parametros_recargas!$J$80*'Plan mensual'!I218+parametros_recargas!$K$80*'Plan mensual'!I219+parametros_recargas!$L$80*'Plan mensual'!I220+parametros_recargas!$M$80*'Plan mensual'!I222</f>
        <v>16.5879003061862</v>
      </c>
      <c r="H198" s="26" t="n">
        <f aca="false">parametros_recargas!$E$80*'Plan mensual'!J213+parametros_recargas!$F$80*'Plan mensual'!J214+parametros_recargas!$G$80*'Plan mensual'!J215+parametros_recargas!$H$80*'Plan mensual'!J216+parametros_recargas!$I$80*'Plan mensual'!J217+parametros_recargas!$J$80*'Plan mensual'!J218+parametros_recargas!$K$80*'Plan mensual'!J219+parametros_recargas!$L$80*'Plan mensual'!J220+parametros_recargas!$M$80*'Plan mensual'!J222</f>
        <v>16.5879003061862</v>
      </c>
      <c r="I198" s="26" t="n">
        <f aca="false">parametros_recargas!$E$80*'Plan mensual'!K213+parametros_recargas!$F$80*'Plan mensual'!K214+parametros_recargas!$G$80*'Plan mensual'!K215+parametros_recargas!$H$80*'Plan mensual'!K216+parametros_recargas!$I$80*'Plan mensual'!K217+parametros_recargas!$J$80*'Plan mensual'!K218+parametros_recargas!$K$80*'Plan mensual'!K219+parametros_recargas!$L$80*'Plan mensual'!K220+parametros_recargas!$M$80*'Plan mensual'!K222</f>
        <v>16.5879003061862</v>
      </c>
      <c r="J198" s="26" t="n">
        <f aca="false">parametros_recargas!$E$80*'Plan mensual'!L213+parametros_recargas!$F$80*'Plan mensual'!L214+parametros_recargas!$G$80*'Plan mensual'!L215+parametros_recargas!$H$80*'Plan mensual'!L216+parametros_recargas!$I$80*'Plan mensual'!L217+parametros_recargas!$J$80*'Plan mensual'!L218+parametros_recargas!$K$80*'Plan mensual'!L219+parametros_recargas!$L$80*'Plan mensual'!L220+parametros_recargas!$M$80*'Plan mensual'!L222</f>
        <v>16.5879003061862</v>
      </c>
      <c r="K198" s="26" t="n">
        <f aca="false">parametros_recargas!$E$80*'Plan mensual'!M213+parametros_recargas!$F$80*'Plan mensual'!M214+parametros_recargas!$G$80*'Plan mensual'!M215+parametros_recargas!$H$80*'Plan mensual'!M216+parametros_recargas!$I$80*'Plan mensual'!M217+parametros_recargas!$J$80*'Plan mensual'!M218+parametros_recargas!$K$80*'Plan mensual'!M219+parametros_recargas!$L$80*'Plan mensual'!M220+parametros_recargas!$M$80*'Plan mensual'!M222</f>
        <v>16.5879003061862</v>
      </c>
      <c r="L198" s="26" t="n">
        <f aca="false">parametros_recargas!$E$80*'Plan mensual'!N213+parametros_recargas!$F$80*'Plan mensual'!N214+parametros_recargas!$G$80*'Plan mensual'!N215+parametros_recargas!$H$80*'Plan mensual'!N216+parametros_recargas!$I$80*'Plan mensual'!N217+parametros_recargas!$J$80*'Plan mensual'!N218+parametros_recargas!$K$80*'Plan mensual'!N219+parametros_recargas!$L$80*'Plan mensual'!N220+parametros_recargas!$M$80*'Plan mensual'!N222</f>
        <v>16.5879003061862</v>
      </c>
      <c r="M198" s="26" t="n">
        <f aca="false">parametros_recargas!$E$80*'Plan mensual'!O213+parametros_recargas!$F$80*'Plan mensual'!O214+parametros_recargas!$G$80*'Plan mensual'!O215+parametros_recargas!$H$80*'Plan mensual'!O216+parametros_recargas!$I$80*'Plan mensual'!O217+parametros_recargas!$J$80*'Plan mensual'!O218+parametros_recargas!$K$80*'Plan mensual'!O219+parametros_recargas!$L$80*'Plan mensual'!O220+parametros_recargas!$M$80*'Plan mensual'!O222</f>
        <v>16.5879003061862</v>
      </c>
      <c r="N198" s="8" t="n">
        <f aca="false">SUM(B198:M198)</f>
        <v>199.054803674234</v>
      </c>
      <c r="O198" s="27" t="n">
        <f aca="false">MAX(B198:M198)</f>
        <v>16.5879003061862</v>
      </c>
      <c r="P198" s="13" t="n">
        <f aca="false">O198/parametros_recargas!$B$6</f>
        <v>0.110586002041241</v>
      </c>
    </row>
    <row r="199" customFormat="false" ht="15" hidden="false" customHeight="false" outlineLevel="0" collapsed="false">
      <c r="A199" s="10" t="str">
        <f aca="false">parametros_recargas!$B$81</f>
        <v>Descarga de agua / AFFF / sales K</v>
      </c>
      <c r="B199" s="26" t="n">
        <f aca="false">parametros_recargas!$E$81*'Plan mensual'!D213+parametros_recargas!$F$81*'Plan mensual'!D214+parametros_recargas!$G$81*'Plan mensual'!D215+parametros_recargas!$H$81*'Plan mensual'!D216+parametros_recargas!$I$81*'Plan mensual'!D217+parametros_recargas!$J$81*'Plan mensual'!D218+parametros_recargas!$K$81*'Plan mensual'!D219+parametros_recargas!$L$81*'Plan mensual'!D220+parametros_recargas!$M$81*'Plan mensual'!D222</f>
        <v>646.834653089554</v>
      </c>
      <c r="C199" s="26" t="n">
        <f aca="false">parametros_recargas!$E$81*'Plan mensual'!E213+parametros_recargas!$F$81*'Plan mensual'!E214+parametros_recargas!$G$81*'Plan mensual'!E215+parametros_recargas!$H$81*'Plan mensual'!E216+parametros_recargas!$I$81*'Plan mensual'!E217+parametros_recargas!$J$81*'Plan mensual'!E218+parametros_recargas!$K$81*'Plan mensual'!E219+parametros_recargas!$L$81*'Plan mensual'!E220+parametros_recargas!$M$81*'Plan mensual'!E222</f>
        <v>912.589732362256</v>
      </c>
      <c r="D199" s="26" t="n">
        <f aca="false">parametros_recargas!$E$81*'Plan mensual'!F213+parametros_recargas!$F$81*'Plan mensual'!F214+parametros_recargas!$G$81*'Plan mensual'!F215+parametros_recargas!$H$81*'Plan mensual'!F216+parametros_recargas!$I$81*'Plan mensual'!F217+parametros_recargas!$J$81*'Plan mensual'!F218+parametros_recargas!$K$81*'Plan mensual'!F219+parametros_recargas!$L$81*'Plan mensual'!F220+parametros_recargas!$M$81*'Plan mensual'!F222</f>
        <v>646.834653089554</v>
      </c>
      <c r="E199" s="26" t="n">
        <f aca="false">parametros_recargas!$E$81*'Plan mensual'!G213+parametros_recargas!$F$81*'Plan mensual'!G214+parametros_recargas!$G$81*'Plan mensual'!G215+parametros_recargas!$H$81*'Plan mensual'!G216+parametros_recargas!$I$81*'Plan mensual'!G217+parametros_recargas!$J$81*'Plan mensual'!G218+parametros_recargas!$K$81*'Plan mensual'!G219+parametros_recargas!$L$81*'Plan mensual'!G220+parametros_recargas!$M$81*'Plan mensual'!G222</f>
        <v>646.834653089554</v>
      </c>
      <c r="F199" s="26" t="n">
        <f aca="false">parametros_recargas!$E$81*'Plan mensual'!H213+parametros_recargas!$F$81*'Plan mensual'!H214+parametros_recargas!$G$81*'Plan mensual'!H215+parametros_recargas!$H$81*'Plan mensual'!H216+parametros_recargas!$I$81*'Plan mensual'!H217+parametros_recargas!$J$81*'Plan mensual'!H218+parametros_recargas!$K$81*'Plan mensual'!H219+parametros_recargas!$L$81*'Plan mensual'!H220+parametros_recargas!$M$81*'Plan mensual'!H222</f>
        <v>646.834653089554</v>
      </c>
      <c r="G199" s="26" t="n">
        <f aca="false">parametros_recargas!$E$81*'Plan mensual'!I213+parametros_recargas!$F$81*'Plan mensual'!I214+parametros_recargas!$G$81*'Plan mensual'!I215+parametros_recargas!$H$81*'Plan mensual'!I216+parametros_recargas!$I$81*'Plan mensual'!I217+parametros_recargas!$J$81*'Plan mensual'!I218+parametros_recargas!$K$81*'Plan mensual'!I219+parametros_recargas!$L$81*'Plan mensual'!I220+parametros_recargas!$M$81*'Plan mensual'!I222</f>
        <v>646.834653089554</v>
      </c>
      <c r="H199" s="26" t="n">
        <f aca="false">parametros_recargas!$E$81*'Plan mensual'!J213+parametros_recargas!$F$81*'Plan mensual'!J214+parametros_recargas!$G$81*'Plan mensual'!J215+parametros_recargas!$H$81*'Plan mensual'!J216+parametros_recargas!$I$81*'Plan mensual'!J217+parametros_recargas!$J$81*'Plan mensual'!J218+parametros_recargas!$K$81*'Plan mensual'!J219+parametros_recargas!$L$81*'Plan mensual'!J220+parametros_recargas!$M$81*'Plan mensual'!J222</f>
        <v>646.834653089554</v>
      </c>
      <c r="I199" s="26" t="n">
        <f aca="false">parametros_recargas!$E$81*'Plan mensual'!K213+parametros_recargas!$F$81*'Plan mensual'!K214+parametros_recargas!$G$81*'Plan mensual'!K215+parametros_recargas!$H$81*'Plan mensual'!K216+parametros_recargas!$I$81*'Plan mensual'!K217+parametros_recargas!$J$81*'Plan mensual'!K218+parametros_recargas!$K$81*'Plan mensual'!K219+parametros_recargas!$L$81*'Plan mensual'!K220+parametros_recargas!$M$81*'Plan mensual'!K222</f>
        <v>646.834653089554</v>
      </c>
      <c r="J199" s="26" t="n">
        <f aca="false">parametros_recargas!$E$81*'Plan mensual'!L213+parametros_recargas!$F$81*'Plan mensual'!L214+parametros_recargas!$G$81*'Plan mensual'!L215+parametros_recargas!$H$81*'Plan mensual'!L216+parametros_recargas!$I$81*'Plan mensual'!L217+parametros_recargas!$J$81*'Plan mensual'!L218+parametros_recargas!$K$81*'Plan mensual'!L219+parametros_recargas!$L$81*'Plan mensual'!L220+parametros_recargas!$M$81*'Plan mensual'!L222</f>
        <v>646.834653089554</v>
      </c>
      <c r="K199" s="26" t="n">
        <f aca="false">parametros_recargas!$E$81*'Plan mensual'!M213+parametros_recargas!$F$81*'Plan mensual'!M214+parametros_recargas!$G$81*'Plan mensual'!M215+parametros_recargas!$H$81*'Plan mensual'!M216+parametros_recargas!$I$81*'Plan mensual'!M217+parametros_recargas!$J$81*'Plan mensual'!M218+parametros_recargas!$K$81*'Plan mensual'!M219+parametros_recargas!$L$81*'Plan mensual'!M220+parametros_recargas!$M$81*'Plan mensual'!M222</f>
        <v>646.834653089554</v>
      </c>
      <c r="L199" s="26" t="n">
        <f aca="false">parametros_recargas!$E$81*'Plan mensual'!N213+parametros_recargas!$F$81*'Plan mensual'!N214+parametros_recargas!$G$81*'Plan mensual'!N215+parametros_recargas!$H$81*'Plan mensual'!N216+parametros_recargas!$I$81*'Plan mensual'!N217+parametros_recargas!$J$81*'Plan mensual'!N218+parametros_recargas!$K$81*'Plan mensual'!N219+parametros_recargas!$L$81*'Plan mensual'!N220+parametros_recargas!$M$81*'Plan mensual'!N222</f>
        <v>646.834653089554</v>
      </c>
      <c r="M199" s="26" t="n">
        <f aca="false">parametros_recargas!$E$81*'Plan mensual'!O213+parametros_recargas!$F$81*'Plan mensual'!O214+parametros_recargas!$G$81*'Plan mensual'!O215+parametros_recargas!$H$81*'Plan mensual'!O216+parametros_recargas!$I$81*'Plan mensual'!O217+parametros_recargas!$J$81*'Plan mensual'!O218+parametros_recargas!$K$81*'Plan mensual'!O219+parametros_recargas!$L$81*'Plan mensual'!O220+parametros_recargas!$M$81*'Plan mensual'!O222</f>
        <v>646.834653089554</v>
      </c>
      <c r="N199" s="8" t="n">
        <f aca="false">SUM(B199:M199)</f>
        <v>8027.77091634735</v>
      </c>
      <c r="O199" s="27" t="n">
        <f aca="false">MAX(B199:M199)</f>
        <v>912.589732362256</v>
      </c>
      <c r="P199" s="13" t="n">
        <f aca="false">O199/parametros_recargas!$B$6</f>
        <v>6.0839315490817</v>
      </c>
    </row>
    <row r="200" customFormat="false" ht="15" hidden="false" customHeight="false" outlineLevel="0" collapsed="false">
      <c r="A200" s="10" t="str">
        <f aca="false">parametros_recargas!$B$82</f>
        <v>Recuperación de CO₂</v>
      </c>
      <c r="B200" s="26" t="n">
        <f aca="false">parametros_recargas!$E$82*'Plan mensual'!D213+parametros_recargas!$F$82*'Plan mensual'!D214+parametros_recargas!$G$82*'Plan mensual'!D215+parametros_recargas!$H$82*'Plan mensual'!D216+parametros_recargas!$I$82*'Plan mensual'!D217+parametros_recargas!$J$82*'Plan mensual'!D218+parametros_recargas!$K$82*'Plan mensual'!D219+parametros_recargas!$L$82*'Plan mensual'!D220+parametros_recargas!$M$82*'Plan mensual'!D222</f>
        <v>317.816809549332</v>
      </c>
      <c r="C200" s="26" t="n">
        <f aca="false">parametros_recargas!$E$82*'Plan mensual'!E213+parametros_recargas!$F$82*'Plan mensual'!E214+parametros_recargas!$G$82*'Plan mensual'!E215+parametros_recargas!$H$82*'Plan mensual'!E216+parametros_recargas!$I$82*'Plan mensual'!E217+parametros_recargas!$J$82*'Plan mensual'!E218+parametros_recargas!$K$82*'Plan mensual'!E219+parametros_recargas!$L$82*'Plan mensual'!E220+parametros_recargas!$M$82*'Plan mensual'!E222</f>
        <v>497.882128689155</v>
      </c>
      <c r="D200" s="26" t="n">
        <f aca="false">parametros_recargas!$E$82*'Plan mensual'!F213+parametros_recargas!$F$82*'Plan mensual'!F214+parametros_recargas!$G$82*'Plan mensual'!F215+parametros_recargas!$H$82*'Plan mensual'!F216+parametros_recargas!$I$82*'Plan mensual'!F217+parametros_recargas!$J$82*'Plan mensual'!F218+parametros_recargas!$K$82*'Plan mensual'!F219+parametros_recargas!$L$82*'Plan mensual'!F220+parametros_recargas!$M$82*'Plan mensual'!F222</f>
        <v>317.816809549332</v>
      </c>
      <c r="E200" s="26" t="n">
        <f aca="false">parametros_recargas!$E$82*'Plan mensual'!G213+parametros_recargas!$F$82*'Plan mensual'!G214+parametros_recargas!$G$82*'Plan mensual'!G215+parametros_recargas!$H$82*'Plan mensual'!G216+parametros_recargas!$I$82*'Plan mensual'!G217+parametros_recargas!$J$82*'Plan mensual'!G218+parametros_recargas!$K$82*'Plan mensual'!G219+parametros_recargas!$L$82*'Plan mensual'!G220+parametros_recargas!$M$82*'Plan mensual'!G222</f>
        <v>317.816809549332</v>
      </c>
      <c r="F200" s="26" t="n">
        <f aca="false">parametros_recargas!$E$82*'Plan mensual'!H213+parametros_recargas!$F$82*'Plan mensual'!H214+parametros_recargas!$G$82*'Plan mensual'!H215+parametros_recargas!$H$82*'Plan mensual'!H216+parametros_recargas!$I$82*'Plan mensual'!H217+parametros_recargas!$J$82*'Plan mensual'!H218+parametros_recargas!$K$82*'Plan mensual'!H219+parametros_recargas!$L$82*'Plan mensual'!H220+parametros_recargas!$M$82*'Plan mensual'!H222</f>
        <v>317.816809549332</v>
      </c>
      <c r="G200" s="26" t="n">
        <f aca="false">parametros_recargas!$E$82*'Plan mensual'!I213+parametros_recargas!$F$82*'Plan mensual'!I214+parametros_recargas!$G$82*'Plan mensual'!I215+parametros_recargas!$H$82*'Plan mensual'!I216+parametros_recargas!$I$82*'Plan mensual'!I217+parametros_recargas!$J$82*'Plan mensual'!I218+parametros_recargas!$K$82*'Plan mensual'!I219+parametros_recargas!$L$82*'Plan mensual'!I220+parametros_recargas!$M$82*'Plan mensual'!I222</f>
        <v>317.816809549332</v>
      </c>
      <c r="H200" s="26" t="n">
        <f aca="false">parametros_recargas!$E$82*'Plan mensual'!J213+parametros_recargas!$F$82*'Plan mensual'!J214+parametros_recargas!$G$82*'Plan mensual'!J215+parametros_recargas!$H$82*'Plan mensual'!J216+parametros_recargas!$I$82*'Plan mensual'!J217+parametros_recargas!$J$82*'Plan mensual'!J218+parametros_recargas!$K$82*'Plan mensual'!J219+parametros_recargas!$L$82*'Plan mensual'!J220+parametros_recargas!$M$82*'Plan mensual'!J222</f>
        <v>317.816809549332</v>
      </c>
      <c r="I200" s="26" t="n">
        <f aca="false">parametros_recargas!$E$82*'Plan mensual'!K213+parametros_recargas!$F$82*'Plan mensual'!K214+parametros_recargas!$G$82*'Plan mensual'!K215+parametros_recargas!$H$82*'Plan mensual'!K216+parametros_recargas!$I$82*'Plan mensual'!K217+parametros_recargas!$J$82*'Plan mensual'!K218+parametros_recargas!$K$82*'Plan mensual'!K219+parametros_recargas!$L$82*'Plan mensual'!K220+parametros_recargas!$M$82*'Plan mensual'!K222</f>
        <v>317.816809549332</v>
      </c>
      <c r="J200" s="26" t="n">
        <f aca="false">parametros_recargas!$E$82*'Plan mensual'!L213+parametros_recargas!$F$82*'Plan mensual'!L214+parametros_recargas!$G$82*'Plan mensual'!L215+parametros_recargas!$H$82*'Plan mensual'!L216+parametros_recargas!$I$82*'Plan mensual'!L217+parametros_recargas!$J$82*'Plan mensual'!L218+parametros_recargas!$K$82*'Plan mensual'!L219+parametros_recargas!$L$82*'Plan mensual'!L220+parametros_recargas!$M$82*'Plan mensual'!L222</f>
        <v>317.816809549332</v>
      </c>
      <c r="K200" s="26" t="n">
        <f aca="false">parametros_recargas!$E$82*'Plan mensual'!M213+parametros_recargas!$F$82*'Plan mensual'!M214+parametros_recargas!$G$82*'Plan mensual'!M215+parametros_recargas!$H$82*'Plan mensual'!M216+parametros_recargas!$I$82*'Plan mensual'!M217+parametros_recargas!$J$82*'Plan mensual'!M218+parametros_recargas!$K$82*'Plan mensual'!M219+parametros_recargas!$L$82*'Plan mensual'!M220+parametros_recargas!$M$82*'Plan mensual'!M222</f>
        <v>317.816809549332</v>
      </c>
      <c r="L200" s="26" t="n">
        <f aca="false">parametros_recargas!$E$82*'Plan mensual'!N213+parametros_recargas!$F$82*'Plan mensual'!N214+parametros_recargas!$G$82*'Plan mensual'!N215+parametros_recargas!$H$82*'Plan mensual'!N216+parametros_recargas!$I$82*'Plan mensual'!N217+parametros_recargas!$J$82*'Plan mensual'!N218+parametros_recargas!$K$82*'Plan mensual'!N219+parametros_recargas!$L$82*'Plan mensual'!N220+parametros_recargas!$M$82*'Plan mensual'!N222</f>
        <v>317.816809549332</v>
      </c>
      <c r="M200" s="26" t="n">
        <f aca="false">parametros_recargas!$E$82*'Plan mensual'!O213+parametros_recargas!$F$82*'Plan mensual'!O214+parametros_recargas!$G$82*'Plan mensual'!O215+parametros_recargas!$H$82*'Plan mensual'!O216+parametros_recargas!$I$82*'Plan mensual'!O217+parametros_recargas!$J$82*'Plan mensual'!O218+parametros_recargas!$K$82*'Plan mensual'!O219+parametros_recargas!$L$82*'Plan mensual'!O220+parametros_recargas!$M$82*'Plan mensual'!O222</f>
        <v>317.816809549332</v>
      </c>
      <c r="N200" s="8" t="n">
        <f aca="false">SUM(B200:M200)</f>
        <v>3993.86703373181</v>
      </c>
      <c r="O200" s="27" t="n">
        <f aca="false">MAX(B200:M200)</f>
        <v>497.882128689155</v>
      </c>
      <c r="P200" s="13" t="n">
        <f aca="false">O200/parametros_recargas!$B$6</f>
        <v>3.31921419126103</v>
      </c>
    </row>
    <row r="201" customFormat="false" ht="15" hidden="false" customHeight="false" outlineLevel="0" collapsed="false">
      <c r="A201" s="10" t="str">
        <f aca="false">parametros_recargas!$B$83</f>
        <v>Recuperación de halogenado</v>
      </c>
      <c r="B201" s="26" t="n">
        <f aca="false">parametros_recargas!$E$83*'Plan mensual'!D213+parametros_recargas!$F$83*'Plan mensual'!D214+parametros_recargas!$G$83*'Plan mensual'!D215+parametros_recargas!$H$83*'Plan mensual'!D216+parametros_recargas!$I$83*'Plan mensual'!D217+parametros_recargas!$J$83*'Plan mensual'!D218+parametros_recargas!$K$83*'Plan mensual'!D219+parametros_recargas!$L$83*'Plan mensual'!D220+parametros_recargas!$M$83*'Plan mensual'!D222</f>
        <v>15.5731721849891</v>
      </c>
      <c r="C201" s="26" t="n">
        <f aca="false">parametros_recargas!$E$83*'Plan mensual'!E213+parametros_recargas!$F$83*'Plan mensual'!E214+parametros_recargas!$G$83*'Plan mensual'!E215+parametros_recargas!$H$83*'Plan mensual'!E216+parametros_recargas!$I$83*'Plan mensual'!E217+parametros_recargas!$J$83*'Plan mensual'!E218+parametros_recargas!$K$83*'Plan mensual'!E219+parametros_recargas!$L$83*'Plan mensual'!E220+parametros_recargas!$M$83*'Plan mensual'!E222</f>
        <v>15.5731721849891</v>
      </c>
      <c r="D201" s="26" t="n">
        <f aca="false">parametros_recargas!$E$83*'Plan mensual'!F213+parametros_recargas!$F$83*'Plan mensual'!F214+parametros_recargas!$G$83*'Plan mensual'!F215+parametros_recargas!$H$83*'Plan mensual'!F216+parametros_recargas!$I$83*'Plan mensual'!F217+parametros_recargas!$J$83*'Plan mensual'!F218+parametros_recargas!$K$83*'Plan mensual'!F219+parametros_recargas!$L$83*'Plan mensual'!F220+parametros_recargas!$M$83*'Plan mensual'!F222</f>
        <v>15.5731721849891</v>
      </c>
      <c r="E201" s="26" t="n">
        <f aca="false">parametros_recargas!$E$83*'Plan mensual'!G213+parametros_recargas!$F$83*'Plan mensual'!G214+parametros_recargas!$G$83*'Plan mensual'!G215+parametros_recargas!$H$83*'Plan mensual'!G216+parametros_recargas!$I$83*'Plan mensual'!G217+parametros_recargas!$J$83*'Plan mensual'!G218+parametros_recargas!$K$83*'Plan mensual'!G219+parametros_recargas!$L$83*'Plan mensual'!G220+parametros_recargas!$M$83*'Plan mensual'!G222</f>
        <v>15.5731721849891</v>
      </c>
      <c r="F201" s="26" t="n">
        <f aca="false">parametros_recargas!$E$83*'Plan mensual'!H213+parametros_recargas!$F$83*'Plan mensual'!H214+parametros_recargas!$G$83*'Plan mensual'!H215+parametros_recargas!$H$83*'Plan mensual'!H216+parametros_recargas!$I$83*'Plan mensual'!H217+parametros_recargas!$J$83*'Plan mensual'!H218+parametros_recargas!$K$83*'Plan mensual'!H219+parametros_recargas!$L$83*'Plan mensual'!H220+parametros_recargas!$M$83*'Plan mensual'!H222</f>
        <v>15.5731721849891</v>
      </c>
      <c r="G201" s="26" t="n">
        <f aca="false">parametros_recargas!$E$83*'Plan mensual'!I213+parametros_recargas!$F$83*'Plan mensual'!I214+parametros_recargas!$G$83*'Plan mensual'!I215+parametros_recargas!$H$83*'Plan mensual'!I216+parametros_recargas!$I$83*'Plan mensual'!I217+parametros_recargas!$J$83*'Plan mensual'!I218+parametros_recargas!$K$83*'Plan mensual'!I219+parametros_recargas!$L$83*'Plan mensual'!I220+parametros_recargas!$M$83*'Plan mensual'!I222</f>
        <v>15.5731721849891</v>
      </c>
      <c r="H201" s="26" t="n">
        <f aca="false">parametros_recargas!$E$83*'Plan mensual'!J213+parametros_recargas!$F$83*'Plan mensual'!J214+parametros_recargas!$G$83*'Plan mensual'!J215+parametros_recargas!$H$83*'Plan mensual'!J216+parametros_recargas!$I$83*'Plan mensual'!J217+parametros_recargas!$J$83*'Plan mensual'!J218+parametros_recargas!$K$83*'Plan mensual'!J219+parametros_recargas!$L$83*'Plan mensual'!J220+parametros_recargas!$M$83*'Plan mensual'!J222</f>
        <v>15.5731721849891</v>
      </c>
      <c r="I201" s="26" t="n">
        <f aca="false">parametros_recargas!$E$83*'Plan mensual'!K213+parametros_recargas!$F$83*'Plan mensual'!K214+parametros_recargas!$G$83*'Plan mensual'!K215+parametros_recargas!$H$83*'Plan mensual'!K216+parametros_recargas!$I$83*'Plan mensual'!K217+parametros_recargas!$J$83*'Plan mensual'!K218+parametros_recargas!$K$83*'Plan mensual'!K219+parametros_recargas!$L$83*'Plan mensual'!K220+parametros_recargas!$M$83*'Plan mensual'!K222</f>
        <v>15.5731721849891</v>
      </c>
      <c r="J201" s="26" t="n">
        <f aca="false">parametros_recargas!$E$83*'Plan mensual'!L213+parametros_recargas!$F$83*'Plan mensual'!L214+parametros_recargas!$G$83*'Plan mensual'!L215+parametros_recargas!$H$83*'Plan mensual'!L216+parametros_recargas!$I$83*'Plan mensual'!L217+parametros_recargas!$J$83*'Plan mensual'!L218+parametros_recargas!$K$83*'Plan mensual'!L219+parametros_recargas!$L$83*'Plan mensual'!L220+parametros_recargas!$M$83*'Plan mensual'!L222</f>
        <v>15.5731721849891</v>
      </c>
      <c r="K201" s="26" t="n">
        <f aca="false">parametros_recargas!$E$83*'Plan mensual'!M213+parametros_recargas!$F$83*'Plan mensual'!M214+parametros_recargas!$G$83*'Plan mensual'!M215+parametros_recargas!$H$83*'Plan mensual'!M216+parametros_recargas!$I$83*'Plan mensual'!M217+parametros_recargas!$J$83*'Plan mensual'!M218+parametros_recargas!$K$83*'Plan mensual'!M219+parametros_recargas!$L$83*'Plan mensual'!M220+parametros_recargas!$M$83*'Plan mensual'!M222</f>
        <v>15.5731721849891</v>
      </c>
      <c r="L201" s="26" t="n">
        <f aca="false">parametros_recargas!$E$83*'Plan mensual'!N213+parametros_recargas!$F$83*'Plan mensual'!N214+parametros_recargas!$G$83*'Plan mensual'!N215+parametros_recargas!$H$83*'Plan mensual'!N216+parametros_recargas!$I$83*'Plan mensual'!N217+parametros_recargas!$J$83*'Plan mensual'!N218+parametros_recargas!$K$83*'Plan mensual'!N219+parametros_recargas!$L$83*'Plan mensual'!N220+parametros_recargas!$M$83*'Plan mensual'!N222</f>
        <v>15.5731721849891</v>
      </c>
      <c r="M201" s="26" t="n">
        <f aca="false">parametros_recargas!$E$83*'Plan mensual'!O213+parametros_recargas!$F$83*'Plan mensual'!O214+parametros_recargas!$G$83*'Plan mensual'!O215+parametros_recargas!$H$83*'Plan mensual'!O216+parametros_recargas!$I$83*'Plan mensual'!O217+parametros_recargas!$J$83*'Plan mensual'!O218+parametros_recargas!$K$83*'Plan mensual'!O219+parametros_recargas!$L$83*'Plan mensual'!O220+parametros_recargas!$M$83*'Plan mensual'!O222</f>
        <v>15.5731721849891</v>
      </c>
      <c r="N201" s="8" t="n">
        <f aca="false">SUM(B201:M201)</f>
        <v>186.878066219869</v>
      </c>
      <c r="O201" s="27" t="n">
        <f aca="false">MAX(B201:M201)</f>
        <v>15.5731721849891</v>
      </c>
      <c r="P201" s="13" t="n">
        <f aca="false">O201/parametros_recargas!$B$6</f>
        <v>0.103821147899927</v>
      </c>
    </row>
    <row r="202" customFormat="false" ht="15" hidden="false" customHeight="false" outlineLevel="0" collapsed="false">
      <c r="A202" s="10" t="str">
        <f aca="false">parametros_recargas!$B$84</f>
        <v>Desarme y limpieza — recinto</v>
      </c>
      <c r="B202" s="26" t="n">
        <f aca="false">parametros_recargas!$E$84*'Plan mensual'!D213+parametros_recargas!$F$84*'Plan mensual'!D214+parametros_recargas!$G$84*'Plan mensual'!D215+parametros_recargas!$H$84*'Plan mensual'!D216+parametros_recargas!$I$84*'Plan mensual'!D217+parametros_recargas!$J$84*'Plan mensual'!D218+parametros_recargas!$K$84*'Plan mensual'!D219+parametros_recargas!$L$84*'Plan mensual'!D220+parametros_recargas!$M$84*'Plan mensual'!D222</f>
        <v>5702.45714527011</v>
      </c>
      <c r="C202" s="26" t="n">
        <f aca="false">parametros_recargas!$E$84*'Plan mensual'!E213+parametros_recargas!$F$84*'Plan mensual'!E214+parametros_recargas!$G$84*'Plan mensual'!E215+parametros_recargas!$H$84*'Plan mensual'!E216+parametros_recargas!$I$84*'Plan mensual'!E217+parametros_recargas!$J$84*'Plan mensual'!E218+parametros_recargas!$K$84*'Plan mensual'!E219+parametros_recargas!$L$84*'Plan mensual'!E220+parametros_recargas!$M$84*'Plan mensual'!E222</f>
        <v>15625.1391670856</v>
      </c>
      <c r="D202" s="26" t="n">
        <f aca="false">parametros_recargas!$E$84*'Plan mensual'!F213+parametros_recargas!$F$84*'Plan mensual'!F214+parametros_recargas!$G$84*'Plan mensual'!F215+parametros_recargas!$H$84*'Plan mensual'!F216+parametros_recargas!$I$84*'Plan mensual'!F217+parametros_recargas!$J$84*'Plan mensual'!F218+parametros_recargas!$K$84*'Plan mensual'!F219+parametros_recargas!$L$84*'Plan mensual'!F220+parametros_recargas!$M$84*'Plan mensual'!F222</f>
        <v>13434.6608096056</v>
      </c>
      <c r="E202" s="26" t="n">
        <f aca="false">parametros_recargas!$E$84*'Plan mensual'!G213+parametros_recargas!$F$84*'Plan mensual'!G214+parametros_recargas!$G$84*'Plan mensual'!G215+parametros_recargas!$H$84*'Plan mensual'!G216+parametros_recargas!$I$84*'Plan mensual'!G217+parametros_recargas!$J$84*'Plan mensual'!G218+parametros_recargas!$K$84*'Plan mensual'!G219+parametros_recargas!$L$84*'Plan mensual'!G220+parametros_recargas!$M$84*'Plan mensual'!G222</f>
        <v>13494.4600471836</v>
      </c>
      <c r="F202" s="26" t="n">
        <f aca="false">parametros_recargas!$E$84*'Plan mensual'!H213+parametros_recargas!$F$84*'Plan mensual'!H214+parametros_recargas!$G$84*'Plan mensual'!H215+parametros_recargas!$H$84*'Plan mensual'!H216+parametros_recargas!$I$84*'Plan mensual'!H217+parametros_recargas!$J$84*'Plan mensual'!H218+parametros_recargas!$K$84*'Plan mensual'!H219+parametros_recargas!$L$84*'Plan mensual'!H220+parametros_recargas!$M$84*'Plan mensual'!H222</f>
        <v>13497.5817333939</v>
      </c>
      <c r="G202" s="26" t="n">
        <f aca="false">parametros_recargas!$E$84*'Plan mensual'!I213+parametros_recargas!$F$84*'Plan mensual'!I214+parametros_recargas!$G$84*'Plan mensual'!I215+parametros_recargas!$H$84*'Plan mensual'!I216+parametros_recargas!$I$84*'Plan mensual'!I217+parametros_recargas!$J$84*'Plan mensual'!I218+parametros_recargas!$K$84*'Plan mensual'!I219+parametros_recargas!$L$84*'Plan mensual'!I220+parametros_recargas!$M$84*'Plan mensual'!I222</f>
        <v>13469.1527355652</v>
      </c>
      <c r="H202" s="26" t="n">
        <f aca="false">parametros_recargas!$E$84*'Plan mensual'!J213+parametros_recargas!$F$84*'Plan mensual'!J214+parametros_recargas!$G$84*'Plan mensual'!J215+parametros_recargas!$H$84*'Plan mensual'!J216+parametros_recargas!$I$84*'Plan mensual'!J217+parametros_recargas!$J$84*'Plan mensual'!J218+parametros_recargas!$K$84*'Plan mensual'!J219+parametros_recargas!$L$84*'Plan mensual'!J220+parametros_recargas!$M$84*'Plan mensual'!J222</f>
        <v>13558.5719032833</v>
      </c>
      <c r="I202" s="26" t="n">
        <f aca="false">parametros_recargas!$E$84*'Plan mensual'!K213+parametros_recargas!$F$84*'Plan mensual'!K214+parametros_recargas!$G$84*'Plan mensual'!K215+parametros_recargas!$H$84*'Plan mensual'!K216+parametros_recargas!$I$84*'Plan mensual'!K217+parametros_recargas!$J$84*'Plan mensual'!K218+parametros_recargas!$K$84*'Plan mensual'!K219+parametros_recargas!$L$84*'Plan mensual'!K220+parametros_recargas!$M$84*'Plan mensual'!K222</f>
        <v>13491.2752054719</v>
      </c>
      <c r="J202" s="26" t="n">
        <f aca="false">parametros_recargas!$E$84*'Plan mensual'!L213+parametros_recargas!$F$84*'Plan mensual'!L214+parametros_recargas!$G$84*'Plan mensual'!L215+parametros_recargas!$H$84*'Plan mensual'!L216+parametros_recargas!$I$84*'Plan mensual'!L217+parametros_recargas!$J$84*'Plan mensual'!L218+parametros_recargas!$K$84*'Plan mensual'!L219+parametros_recargas!$L$84*'Plan mensual'!L220+parametros_recargas!$M$84*'Plan mensual'!L222</f>
        <v>13501.7680409129</v>
      </c>
      <c r="K202" s="26" t="n">
        <f aca="false">parametros_recargas!$E$84*'Plan mensual'!M213+parametros_recargas!$F$84*'Plan mensual'!M214+parametros_recargas!$G$84*'Plan mensual'!M215+parametros_recargas!$H$84*'Plan mensual'!M216+parametros_recargas!$I$84*'Plan mensual'!M217+parametros_recargas!$J$84*'Plan mensual'!M218+parametros_recargas!$K$84*'Plan mensual'!M219+parametros_recargas!$L$84*'Plan mensual'!M220+parametros_recargas!$M$84*'Plan mensual'!M222</f>
        <v>13467.0776262347</v>
      </c>
      <c r="L202" s="26" t="n">
        <f aca="false">parametros_recargas!$E$84*'Plan mensual'!N213+parametros_recargas!$F$84*'Plan mensual'!N214+parametros_recargas!$G$84*'Plan mensual'!N215+parametros_recargas!$H$84*'Plan mensual'!N216+parametros_recargas!$I$84*'Plan mensual'!N217+parametros_recargas!$J$84*'Plan mensual'!N218+parametros_recargas!$K$84*'Plan mensual'!N219+parametros_recargas!$L$84*'Plan mensual'!N220+parametros_recargas!$M$84*'Plan mensual'!N222</f>
        <v>13317.6877988635</v>
      </c>
      <c r="M202" s="26" t="n">
        <f aca="false">parametros_recargas!$E$84*'Plan mensual'!O213+parametros_recargas!$F$84*'Plan mensual'!O214+parametros_recargas!$G$84*'Plan mensual'!O215+parametros_recargas!$H$84*'Plan mensual'!O216+parametros_recargas!$I$84*'Plan mensual'!O217+parametros_recargas!$J$84*'Plan mensual'!O218+parametros_recargas!$K$84*'Plan mensual'!O219+parametros_recargas!$L$84*'Plan mensual'!O220+parametros_recargas!$M$84*'Plan mensual'!O222</f>
        <v>5296.53869356961</v>
      </c>
      <c r="N202" s="8" t="n">
        <f aca="false">SUM(B202:M202)</f>
        <v>147856.37090644</v>
      </c>
      <c r="O202" s="27" t="n">
        <f aca="false">MAX(B202:M202)</f>
        <v>15625.1391670856</v>
      </c>
      <c r="P202" s="13" t="n">
        <f aca="false">O202/parametros_recargas!$B$6</f>
        <v>104.167594447237</v>
      </c>
    </row>
    <row r="203" customFormat="false" ht="15" hidden="false" customHeight="false" outlineLevel="0" collapsed="false">
      <c r="A203" s="10" t="str">
        <f aca="false">parametros_recargas!$B$85</f>
        <v>Desarme e inspección interior — zona general</v>
      </c>
      <c r="B203" s="26" t="n">
        <f aca="false">parametros_recargas!$E$85*'Plan mensual'!D213+parametros_recargas!$F$85*'Plan mensual'!D214+parametros_recargas!$G$85*'Plan mensual'!D215+parametros_recargas!$H$85*'Plan mensual'!D216+parametros_recargas!$I$85*'Plan mensual'!D217+parametros_recargas!$J$85*'Plan mensual'!D218+parametros_recargas!$K$85*'Plan mensual'!D219+parametros_recargas!$L$85*'Plan mensual'!D220+parametros_recargas!$M$85*'Plan mensual'!D222</f>
        <v>1014.26856393385</v>
      </c>
      <c r="C203" s="26" t="n">
        <f aca="false">parametros_recargas!$E$85*'Plan mensual'!E213+parametros_recargas!$F$85*'Plan mensual'!E214+parametros_recargas!$G$85*'Plan mensual'!E215+parametros_recargas!$H$85*'Plan mensual'!E216+parametros_recargas!$I$85*'Plan mensual'!E217+parametros_recargas!$J$85*'Plan mensual'!E218+parametros_recargas!$K$85*'Plan mensual'!E219+parametros_recargas!$L$85*'Plan mensual'!E220+parametros_recargas!$M$85*'Plan mensual'!E222</f>
        <v>1474.07607178178</v>
      </c>
      <c r="D203" s="26" t="n">
        <f aca="false">parametros_recargas!$E$85*'Plan mensual'!F213+parametros_recargas!$F$85*'Plan mensual'!F214+parametros_recargas!$G$85*'Plan mensual'!F215+parametros_recargas!$H$85*'Plan mensual'!F216+parametros_recargas!$I$85*'Plan mensual'!F217+parametros_recargas!$J$85*'Plan mensual'!F218+parametros_recargas!$K$85*'Plan mensual'!F219+parametros_recargas!$L$85*'Plan mensual'!F220+parametros_recargas!$M$85*'Plan mensual'!F222</f>
        <v>1014.26856393385</v>
      </c>
      <c r="E203" s="26" t="n">
        <f aca="false">parametros_recargas!$E$85*'Plan mensual'!G213+parametros_recargas!$F$85*'Plan mensual'!G214+parametros_recargas!$G$85*'Plan mensual'!G215+parametros_recargas!$H$85*'Plan mensual'!G216+parametros_recargas!$I$85*'Plan mensual'!G217+parametros_recargas!$J$85*'Plan mensual'!G218+parametros_recargas!$K$85*'Plan mensual'!G219+parametros_recargas!$L$85*'Plan mensual'!G220+parametros_recargas!$M$85*'Plan mensual'!G222</f>
        <v>1014.26856393385</v>
      </c>
      <c r="F203" s="26" t="n">
        <f aca="false">parametros_recargas!$E$85*'Plan mensual'!H213+parametros_recargas!$F$85*'Plan mensual'!H214+parametros_recargas!$G$85*'Plan mensual'!H215+parametros_recargas!$H$85*'Plan mensual'!H216+parametros_recargas!$I$85*'Plan mensual'!H217+parametros_recargas!$J$85*'Plan mensual'!H218+parametros_recargas!$K$85*'Plan mensual'!H219+parametros_recargas!$L$85*'Plan mensual'!H220+parametros_recargas!$M$85*'Plan mensual'!H222</f>
        <v>1014.26856393385</v>
      </c>
      <c r="G203" s="26" t="n">
        <f aca="false">parametros_recargas!$E$85*'Plan mensual'!I213+parametros_recargas!$F$85*'Plan mensual'!I214+parametros_recargas!$G$85*'Plan mensual'!I215+parametros_recargas!$H$85*'Plan mensual'!I216+parametros_recargas!$I$85*'Plan mensual'!I217+parametros_recargas!$J$85*'Plan mensual'!I218+parametros_recargas!$K$85*'Plan mensual'!I219+parametros_recargas!$L$85*'Plan mensual'!I220+parametros_recargas!$M$85*'Plan mensual'!I222</f>
        <v>1014.26856393385</v>
      </c>
      <c r="H203" s="26" t="n">
        <f aca="false">parametros_recargas!$E$85*'Plan mensual'!J213+parametros_recargas!$F$85*'Plan mensual'!J214+parametros_recargas!$G$85*'Plan mensual'!J215+parametros_recargas!$H$85*'Plan mensual'!J216+parametros_recargas!$I$85*'Plan mensual'!J217+parametros_recargas!$J$85*'Plan mensual'!J218+parametros_recargas!$K$85*'Plan mensual'!J219+parametros_recargas!$L$85*'Plan mensual'!J220+parametros_recargas!$M$85*'Plan mensual'!J222</f>
        <v>1014.26856393385</v>
      </c>
      <c r="I203" s="26" t="n">
        <f aca="false">parametros_recargas!$E$85*'Plan mensual'!K213+parametros_recargas!$F$85*'Plan mensual'!K214+parametros_recargas!$G$85*'Plan mensual'!K215+parametros_recargas!$H$85*'Plan mensual'!K216+parametros_recargas!$I$85*'Plan mensual'!K217+parametros_recargas!$J$85*'Plan mensual'!K218+parametros_recargas!$K$85*'Plan mensual'!K219+parametros_recargas!$L$85*'Plan mensual'!K220+parametros_recargas!$M$85*'Plan mensual'!K222</f>
        <v>1014.26856393385</v>
      </c>
      <c r="J203" s="26" t="n">
        <f aca="false">parametros_recargas!$E$85*'Plan mensual'!L213+parametros_recargas!$F$85*'Plan mensual'!L214+parametros_recargas!$G$85*'Plan mensual'!L215+parametros_recargas!$H$85*'Plan mensual'!L216+parametros_recargas!$I$85*'Plan mensual'!L217+parametros_recargas!$J$85*'Plan mensual'!L218+parametros_recargas!$K$85*'Plan mensual'!L219+parametros_recargas!$L$85*'Plan mensual'!L220+parametros_recargas!$M$85*'Plan mensual'!L222</f>
        <v>1014.26856393385</v>
      </c>
      <c r="K203" s="26" t="n">
        <f aca="false">parametros_recargas!$E$85*'Plan mensual'!M213+parametros_recargas!$F$85*'Plan mensual'!M214+parametros_recargas!$G$85*'Plan mensual'!M215+parametros_recargas!$H$85*'Plan mensual'!M216+parametros_recargas!$I$85*'Plan mensual'!M217+parametros_recargas!$J$85*'Plan mensual'!M218+parametros_recargas!$K$85*'Plan mensual'!M219+parametros_recargas!$L$85*'Plan mensual'!M220+parametros_recargas!$M$85*'Plan mensual'!M222</f>
        <v>1014.26856393385</v>
      </c>
      <c r="L203" s="26" t="n">
        <f aca="false">parametros_recargas!$E$85*'Plan mensual'!N213+parametros_recargas!$F$85*'Plan mensual'!N214+parametros_recargas!$G$85*'Plan mensual'!N215+parametros_recargas!$H$85*'Plan mensual'!N216+parametros_recargas!$I$85*'Plan mensual'!N217+parametros_recargas!$J$85*'Plan mensual'!N218+parametros_recargas!$K$85*'Plan mensual'!N219+parametros_recargas!$L$85*'Plan mensual'!N220+parametros_recargas!$M$85*'Plan mensual'!N222</f>
        <v>1014.26856393385</v>
      </c>
      <c r="M203" s="26" t="n">
        <f aca="false">parametros_recargas!$E$85*'Plan mensual'!O213+parametros_recargas!$F$85*'Plan mensual'!O214+parametros_recargas!$G$85*'Plan mensual'!O215+parametros_recargas!$H$85*'Plan mensual'!O216+parametros_recargas!$I$85*'Plan mensual'!O217+parametros_recargas!$J$85*'Plan mensual'!O218+parametros_recargas!$K$85*'Plan mensual'!O219+parametros_recargas!$L$85*'Plan mensual'!O220+parametros_recargas!$M$85*'Plan mensual'!O222</f>
        <v>1014.26856393385</v>
      </c>
      <c r="N203" s="8" t="n">
        <f aca="false">SUM(B203:M203)</f>
        <v>12631.0302750542</v>
      </c>
      <c r="O203" s="27" t="n">
        <f aca="false">MAX(B203:M203)</f>
        <v>1474.07607178178</v>
      </c>
      <c r="P203" s="13" t="n">
        <f aca="false">O203/parametros_recargas!$B$6</f>
        <v>9.82717381187854</v>
      </c>
    </row>
    <row r="204" customFormat="false" ht="15" hidden="false" customHeight="false" outlineLevel="0" collapsed="false">
      <c r="A204" s="10" t="str">
        <f aca="false">parametros_recargas!$B$86</f>
        <v>Laboratorio — Puffer y mufla</v>
      </c>
      <c r="B204" s="26" t="n">
        <f aca="false">parametros_recargas!$E$86*'Plan mensual'!D213+parametros_recargas!$F$86*'Plan mensual'!D214+parametros_recargas!$G$86*'Plan mensual'!D215+parametros_recargas!$H$86*'Plan mensual'!D216+parametros_recargas!$I$86*'Plan mensual'!D217+parametros_recargas!$J$86*'Plan mensual'!D218+parametros_recargas!$K$86*'Plan mensual'!D219+parametros_recargas!$L$86*'Plan mensual'!D220+parametros_recargas!$M$86*'Plan mensual'!D222</f>
        <v>7.56987682669583</v>
      </c>
      <c r="C204" s="26" t="n">
        <f aca="false">parametros_recargas!$E$86*'Plan mensual'!E213+parametros_recargas!$F$86*'Plan mensual'!E214+parametros_recargas!$G$86*'Plan mensual'!E215+parametros_recargas!$H$86*'Plan mensual'!E216+parametros_recargas!$I$86*'Plan mensual'!E217+parametros_recargas!$J$86*'Plan mensual'!E218+parametros_recargas!$K$86*'Plan mensual'!E219+parametros_recargas!$L$86*'Plan mensual'!E220+parametros_recargas!$M$86*'Plan mensual'!E222</f>
        <v>20.8186037279735</v>
      </c>
      <c r="D204" s="26" t="n">
        <f aca="false">parametros_recargas!$E$86*'Plan mensual'!F213+parametros_recargas!$F$86*'Plan mensual'!F214+parametros_recargas!$G$86*'Plan mensual'!F215+parametros_recargas!$H$86*'Plan mensual'!F216+parametros_recargas!$I$86*'Plan mensual'!F217+parametros_recargas!$J$86*'Plan mensual'!F218+parametros_recargas!$K$86*'Plan mensual'!F219+parametros_recargas!$L$86*'Plan mensual'!F220+parametros_recargas!$M$86*'Plan mensual'!F222</f>
        <v>17.8938854433799</v>
      </c>
      <c r="E204" s="26" t="n">
        <f aca="false">parametros_recargas!$E$86*'Plan mensual'!G213+parametros_recargas!$F$86*'Plan mensual'!G214+parametros_recargas!$G$86*'Plan mensual'!G215+parametros_recargas!$H$86*'Plan mensual'!G216+parametros_recargas!$I$86*'Plan mensual'!G217+parametros_recargas!$J$86*'Plan mensual'!G218+parametros_recargas!$K$86*'Plan mensual'!G219+parametros_recargas!$L$86*'Plan mensual'!G220+parametros_recargas!$M$86*'Plan mensual'!G222</f>
        <v>17.9737291555772</v>
      </c>
      <c r="F204" s="26" t="n">
        <f aca="false">parametros_recargas!$E$86*'Plan mensual'!H213+parametros_recargas!$F$86*'Plan mensual'!H214+parametros_recargas!$G$86*'Plan mensual'!H215+parametros_recargas!$H$86*'Plan mensual'!H216+parametros_recargas!$I$86*'Plan mensual'!H217+parametros_recargas!$J$86*'Plan mensual'!H218+parametros_recargas!$K$86*'Plan mensual'!H219+parametros_recargas!$L$86*'Plan mensual'!H220+parametros_recargas!$M$86*'Plan mensual'!H222</f>
        <v>17.9778972190082</v>
      </c>
      <c r="G204" s="26" t="n">
        <f aca="false">parametros_recargas!$E$86*'Plan mensual'!I213+parametros_recargas!$F$86*'Plan mensual'!I214+parametros_recargas!$G$86*'Plan mensual'!I215+parametros_recargas!$H$86*'Plan mensual'!I216+parametros_recargas!$I$86*'Plan mensual'!I217+parametros_recargas!$J$86*'Plan mensual'!I218+parametros_recargas!$K$86*'Plan mensual'!I219+parametros_recargas!$L$86*'Plan mensual'!I220+parametros_recargas!$M$86*'Plan mensual'!I222</f>
        <v>17.939938930364</v>
      </c>
      <c r="H204" s="26" t="n">
        <f aca="false">parametros_recargas!$E$86*'Plan mensual'!J213+parametros_recargas!$F$86*'Plan mensual'!J214+parametros_recargas!$G$86*'Plan mensual'!J215+parametros_recargas!$H$86*'Plan mensual'!J216+parametros_recargas!$I$86*'Plan mensual'!J217+parametros_recargas!$J$86*'Plan mensual'!J218+parametros_recargas!$K$86*'Plan mensual'!J219+parametros_recargas!$L$86*'Plan mensual'!J220+parametros_recargas!$M$86*'Plan mensual'!J222</f>
        <v>18.0593310594508</v>
      </c>
      <c r="I204" s="26" t="n">
        <f aca="false">parametros_recargas!$E$86*'Plan mensual'!K213+parametros_recargas!$F$86*'Plan mensual'!K214+parametros_recargas!$G$86*'Plan mensual'!K215+parametros_recargas!$H$86*'Plan mensual'!K216+parametros_recargas!$I$86*'Plan mensual'!K217+parametros_recargas!$J$86*'Plan mensual'!K218+parametros_recargas!$K$86*'Plan mensual'!K219+parametros_recargas!$L$86*'Plan mensual'!K220+parametros_recargas!$M$86*'Plan mensual'!K222</f>
        <v>17.9694767671636</v>
      </c>
      <c r="J204" s="26" t="n">
        <f aca="false">parametros_recargas!$E$86*'Plan mensual'!L213+parametros_recargas!$F$86*'Plan mensual'!L214+parametros_recargas!$G$86*'Plan mensual'!L215+parametros_recargas!$H$86*'Plan mensual'!L216+parametros_recargas!$I$86*'Plan mensual'!L217+parametros_recargas!$J$86*'Plan mensual'!L218+parametros_recargas!$K$86*'Plan mensual'!L219+parametros_recargas!$L$86*'Plan mensual'!L220+parametros_recargas!$M$86*'Plan mensual'!L222</f>
        <v>17.983486760719</v>
      </c>
      <c r="K204" s="26" t="n">
        <f aca="false">parametros_recargas!$E$86*'Plan mensual'!M213+parametros_recargas!$F$86*'Plan mensual'!M214+parametros_recargas!$G$86*'Plan mensual'!M215+parametros_recargas!$H$86*'Plan mensual'!M216+parametros_recargas!$I$86*'Plan mensual'!M217+parametros_recargas!$J$86*'Plan mensual'!M218+parametros_recargas!$K$86*'Plan mensual'!M219+parametros_recargas!$L$86*'Plan mensual'!M220+parametros_recargas!$M$86*'Plan mensual'!M222</f>
        <v>17.9371682523607</v>
      </c>
      <c r="L204" s="26" t="n">
        <f aca="false">parametros_recargas!$E$86*'Plan mensual'!N213+parametros_recargas!$F$86*'Plan mensual'!N214+parametros_recargas!$G$86*'Plan mensual'!N215+parametros_recargas!$H$86*'Plan mensual'!N216+parametros_recargas!$I$86*'Plan mensual'!N217+parametros_recargas!$J$86*'Plan mensual'!N218+parametros_recargas!$K$86*'Plan mensual'!N219+parametros_recargas!$L$86*'Plan mensual'!N220+parametros_recargas!$M$86*'Plan mensual'!N222</f>
        <v>17.7377035289807</v>
      </c>
      <c r="M204" s="26" t="n">
        <f aca="false">parametros_recargas!$E$86*'Plan mensual'!O213+parametros_recargas!$F$86*'Plan mensual'!O214+parametros_recargas!$G$86*'Plan mensual'!O215+parametros_recargas!$H$86*'Plan mensual'!O216+parametros_recargas!$I$86*'Plan mensual'!O217+parametros_recargas!$J$86*'Plan mensual'!O218+parametros_recargas!$K$86*'Plan mensual'!O219+parametros_recargas!$L$86*'Plan mensual'!O220+parametros_recargas!$M$86*'Plan mensual'!O222</f>
        <v>7.02789606998653</v>
      </c>
      <c r="N204" s="8" t="n">
        <f aca="false">SUM(B204:M204)</f>
        <v>196.88899374166</v>
      </c>
      <c r="O204" s="27" t="n">
        <f aca="false">MAX(B204:M204)</f>
        <v>20.8186037279735</v>
      </c>
      <c r="P204" s="13" t="n">
        <f aca="false">O204/parametros_recargas!$B$6</f>
        <v>0.138790691519823</v>
      </c>
    </row>
    <row r="205" customFormat="false" ht="15" hidden="false" customHeight="false" outlineLevel="0" collapsed="false">
      <c r="A205" s="10" t="str">
        <f aca="false">parametros_recargas!$B$87</f>
        <v>Prueba hidráulica</v>
      </c>
      <c r="B205" s="26" t="n">
        <f aca="false">parametros_recargas!$E$87*'Plan mensual'!D213+parametros_recargas!$F$87*'Plan mensual'!D214+parametros_recargas!$G$87*'Plan mensual'!D215+parametros_recargas!$H$87*'Plan mensual'!D216+parametros_recargas!$I$87*'Plan mensual'!D217+parametros_recargas!$J$87*'Plan mensual'!D218+parametros_recargas!$K$87*'Plan mensual'!D219+parametros_recargas!$L$87*'Plan mensual'!D220+parametros_recargas!$M$87*'Plan mensual'!D222</f>
        <v>2076.06854223623</v>
      </c>
      <c r="C205" s="26" t="n">
        <f aca="false">parametros_recargas!$E$87*'Plan mensual'!E213+parametros_recargas!$F$87*'Plan mensual'!E214+parametros_recargas!$G$87*'Plan mensual'!E215+parametros_recargas!$H$87*'Plan mensual'!E216+parametros_recargas!$I$87*'Plan mensual'!E217+parametros_recargas!$J$87*'Plan mensual'!E218+parametros_recargas!$K$87*'Plan mensual'!E219+parametros_recargas!$L$87*'Plan mensual'!E220+parametros_recargas!$M$87*'Plan mensual'!E222</f>
        <v>4860.65168409607</v>
      </c>
      <c r="D205" s="26" t="n">
        <f aca="false">parametros_recargas!$E$87*'Plan mensual'!F213+parametros_recargas!$F$87*'Plan mensual'!F214+parametros_recargas!$G$87*'Plan mensual'!F215+parametros_recargas!$H$87*'Plan mensual'!F216+parametros_recargas!$I$87*'Plan mensual'!F217+parametros_recargas!$J$87*'Plan mensual'!F218+parametros_recargas!$K$87*'Plan mensual'!F219+parametros_recargas!$L$87*'Plan mensual'!F220+parametros_recargas!$M$87*'Plan mensual'!F222</f>
        <v>4009.1194583201</v>
      </c>
      <c r="E205" s="26" t="n">
        <f aca="false">parametros_recargas!$E$87*'Plan mensual'!G213+parametros_recargas!$F$87*'Plan mensual'!G214+parametros_recargas!$G$87*'Plan mensual'!G215+parametros_recargas!$H$87*'Plan mensual'!G216+parametros_recargas!$I$87*'Plan mensual'!G217+parametros_recargas!$J$87*'Plan mensual'!G218+parametros_recargas!$K$87*'Plan mensual'!G219+parametros_recargas!$L$87*'Plan mensual'!G220+parametros_recargas!$M$87*'Plan mensual'!G222</f>
        <v>4024.06926771459</v>
      </c>
      <c r="F205" s="26" t="n">
        <f aca="false">parametros_recargas!$E$87*'Plan mensual'!H213+parametros_recargas!$F$87*'Plan mensual'!H214+parametros_recargas!$G$87*'Plan mensual'!H215+parametros_recargas!$H$87*'Plan mensual'!H216+parametros_recargas!$I$87*'Plan mensual'!H217+parametros_recargas!$J$87*'Plan mensual'!H218+parametros_recargas!$K$87*'Plan mensual'!H219+parametros_recargas!$L$87*'Plan mensual'!H220+parametros_recargas!$M$87*'Plan mensual'!H222</f>
        <v>4024.84968926717</v>
      </c>
      <c r="G205" s="26" t="n">
        <f aca="false">parametros_recargas!$E$87*'Plan mensual'!I213+parametros_recargas!$F$87*'Plan mensual'!I214+parametros_recargas!$G$87*'Plan mensual'!I215+parametros_recargas!$H$87*'Plan mensual'!I216+parametros_recargas!$I$87*'Plan mensual'!I217+parametros_recargas!$J$87*'Plan mensual'!I218+parametros_recargas!$K$87*'Plan mensual'!I219+parametros_recargas!$L$87*'Plan mensual'!I220+parametros_recargas!$M$87*'Plan mensual'!I222</f>
        <v>4017.74243981001</v>
      </c>
      <c r="H205" s="26" t="n">
        <f aca="false">parametros_recargas!$E$87*'Plan mensual'!J213+parametros_recargas!$F$87*'Plan mensual'!J214+parametros_recargas!$G$87*'Plan mensual'!J215+parametros_recargas!$H$87*'Plan mensual'!J216+parametros_recargas!$I$87*'Plan mensual'!J217+parametros_recargas!$J$87*'Plan mensual'!J218+parametros_recargas!$K$87*'Plan mensual'!J219+parametros_recargas!$L$87*'Plan mensual'!J220+parametros_recargas!$M$87*'Plan mensual'!J222</f>
        <v>4040.09723173953</v>
      </c>
      <c r="I205" s="26" t="n">
        <f aca="false">parametros_recargas!$E$87*'Plan mensual'!K213+parametros_recargas!$F$87*'Plan mensual'!K214+parametros_recargas!$G$87*'Plan mensual'!K215+parametros_recargas!$H$87*'Plan mensual'!K216+parametros_recargas!$I$87*'Plan mensual'!K217+parametros_recargas!$J$87*'Plan mensual'!K218+parametros_recargas!$K$87*'Plan mensual'!K219+parametros_recargas!$L$87*'Plan mensual'!K220+parametros_recargas!$M$87*'Plan mensual'!K222</f>
        <v>4023.27305728667</v>
      </c>
      <c r="J205" s="26" t="n">
        <f aca="false">parametros_recargas!$E$87*'Plan mensual'!L213+parametros_recargas!$F$87*'Plan mensual'!L214+parametros_recargas!$G$87*'Plan mensual'!L215+parametros_recargas!$H$87*'Plan mensual'!L216+parametros_recargas!$I$87*'Plan mensual'!L217+parametros_recargas!$J$87*'Plan mensual'!L218+parametros_recargas!$K$87*'Plan mensual'!L219+parametros_recargas!$L$87*'Plan mensual'!L220+parametros_recargas!$M$87*'Plan mensual'!L222</f>
        <v>4025.89626614693</v>
      </c>
      <c r="K205" s="26" t="n">
        <f aca="false">parametros_recargas!$E$87*'Plan mensual'!M213+parametros_recargas!$F$87*'Plan mensual'!M214+parametros_recargas!$G$87*'Plan mensual'!M215+parametros_recargas!$H$87*'Plan mensual'!M216+parametros_recargas!$I$87*'Plan mensual'!M217+parametros_recargas!$J$87*'Plan mensual'!M218+parametros_recargas!$K$87*'Plan mensual'!M219+parametros_recargas!$L$87*'Plan mensual'!M220+parametros_recargas!$M$87*'Plan mensual'!M222</f>
        <v>4017.22366247737</v>
      </c>
      <c r="L205" s="26" t="n">
        <f aca="false">parametros_recargas!$E$87*'Plan mensual'!N213+parametros_recargas!$F$87*'Plan mensual'!N214+parametros_recargas!$G$87*'Plan mensual'!N215+parametros_recargas!$H$87*'Plan mensual'!N216+parametros_recargas!$I$87*'Plan mensual'!N217+parametros_recargas!$J$87*'Plan mensual'!N218+parametros_recargas!$K$87*'Plan mensual'!N219+parametros_recargas!$L$87*'Plan mensual'!N220+parametros_recargas!$M$87*'Plan mensual'!N222</f>
        <v>3979.87620563458</v>
      </c>
      <c r="M205" s="26" t="n">
        <f aca="false">parametros_recargas!$E$87*'Plan mensual'!O213+parametros_recargas!$F$87*'Plan mensual'!O214+parametros_recargas!$G$87*'Plan mensual'!O215+parametros_recargas!$H$87*'Plan mensual'!O216+parametros_recargas!$I$87*'Plan mensual'!O217+parametros_recargas!$J$87*'Plan mensual'!O218+parametros_recargas!$K$87*'Plan mensual'!O219+parametros_recargas!$L$87*'Plan mensual'!O220+parametros_recargas!$M$87*'Plan mensual'!O222</f>
        <v>1974.5889293111</v>
      </c>
      <c r="N205" s="8" t="n">
        <f aca="false">SUM(B205:M205)</f>
        <v>45073.4564340404</v>
      </c>
      <c r="O205" s="27" t="n">
        <f aca="false">MAX(B205:M205)</f>
        <v>4860.65168409607</v>
      </c>
      <c r="P205" s="13" t="n">
        <f aca="false">O205/parametros_recargas!$B$6</f>
        <v>32.4043445606405</v>
      </c>
    </row>
    <row r="206" customFormat="false" ht="15" hidden="false" customHeight="false" outlineLevel="0" collapsed="false">
      <c r="A206" s="10" t="str">
        <f aca="false">parametros_recargas!$B$88</f>
        <v>Secado</v>
      </c>
      <c r="B206" s="26" t="n">
        <f aca="false">parametros_recargas!$E$88*'Plan mensual'!D213+parametros_recargas!$F$88*'Plan mensual'!D214+parametros_recargas!$G$88*'Plan mensual'!D215+parametros_recargas!$H$88*'Plan mensual'!D216+parametros_recargas!$I$88*'Plan mensual'!D217+parametros_recargas!$J$88*'Plan mensual'!D218+parametros_recargas!$K$88*'Plan mensual'!D219+parametros_recargas!$L$88*'Plan mensual'!D220+parametros_recargas!$M$88*'Plan mensual'!D222</f>
        <v>1758.60989347919</v>
      </c>
      <c r="C206" s="26" t="n">
        <f aca="false">parametros_recargas!$E$88*'Plan mensual'!E213+parametros_recargas!$F$88*'Plan mensual'!E214+parametros_recargas!$G$88*'Plan mensual'!E215+parametros_recargas!$H$88*'Plan mensual'!E216+parametros_recargas!$I$88*'Plan mensual'!E217+parametros_recargas!$J$88*'Plan mensual'!E218+parametros_recargas!$K$88*'Plan mensual'!E219+parametros_recargas!$L$88*'Plan mensual'!E220+parametros_recargas!$M$88*'Plan mensual'!E222</f>
        <v>4488.56165176772</v>
      </c>
      <c r="D206" s="26" t="n">
        <f aca="false">parametros_recargas!$E$88*'Plan mensual'!F213+parametros_recargas!$F$88*'Plan mensual'!F214+parametros_recargas!$G$88*'Plan mensual'!F215+parametros_recargas!$H$88*'Plan mensual'!F216+parametros_recargas!$I$88*'Plan mensual'!F217+parametros_recargas!$J$88*'Plan mensual'!F218+parametros_recargas!$K$88*'Plan mensual'!F219+parametros_recargas!$L$88*'Plan mensual'!F220+parametros_recargas!$M$88*'Plan mensual'!F222</f>
        <v>3768.98284620641</v>
      </c>
      <c r="E206" s="26" t="n">
        <f aca="false">parametros_recargas!$E$88*'Plan mensual'!G213+parametros_recargas!$F$88*'Plan mensual'!G214+parametros_recargas!$G$88*'Plan mensual'!G215+parametros_recargas!$H$88*'Plan mensual'!G216+parametros_recargas!$I$88*'Plan mensual'!G217+parametros_recargas!$J$88*'Plan mensual'!G218+parametros_recargas!$K$88*'Plan mensual'!G219+parametros_recargas!$L$88*'Plan mensual'!G220+parametros_recargas!$M$88*'Plan mensual'!G222</f>
        <v>3784.53064797668</v>
      </c>
      <c r="F206" s="26" t="n">
        <f aca="false">parametros_recargas!$E$88*'Plan mensual'!H213+parametros_recargas!$F$88*'Plan mensual'!H214+parametros_recargas!$G$88*'Plan mensual'!H215+parametros_recargas!$H$88*'Plan mensual'!H216+parametros_recargas!$I$88*'Plan mensual'!H217+parametros_recargas!$J$88*'Plan mensual'!H218+parametros_recargas!$K$88*'Plan mensual'!H219+parametros_recargas!$L$88*'Plan mensual'!H220+parametros_recargas!$M$88*'Plan mensual'!H222</f>
        <v>3785.34228639137</v>
      </c>
      <c r="G206" s="26" t="n">
        <f aca="false">parametros_recargas!$E$88*'Plan mensual'!I213+parametros_recargas!$F$88*'Plan mensual'!I214+parametros_recargas!$G$88*'Plan mensual'!I215+parametros_recargas!$H$88*'Plan mensual'!I216+parametros_recargas!$I$88*'Plan mensual'!I217+parametros_recargas!$J$88*'Plan mensual'!I218+parametros_recargas!$K$88*'Plan mensual'!I219+parametros_recargas!$L$88*'Plan mensual'!I220+parametros_recargas!$M$88*'Plan mensual'!I222</f>
        <v>3777.95074695592</v>
      </c>
      <c r="H206" s="26" t="n">
        <f aca="false">parametros_recargas!$E$88*'Plan mensual'!J213+parametros_recargas!$F$88*'Plan mensual'!J214+parametros_recargas!$G$88*'Plan mensual'!J215+parametros_recargas!$H$88*'Plan mensual'!J216+parametros_recargas!$I$88*'Plan mensual'!J217+parametros_recargas!$J$88*'Plan mensual'!J218+parametros_recargas!$K$88*'Plan mensual'!J219+parametros_recargas!$L$88*'Plan mensual'!J220+parametros_recargas!$M$88*'Plan mensual'!J222</f>
        <v>3801.19973056262</v>
      </c>
      <c r="I206" s="26" t="n">
        <f aca="false">parametros_recargas!$E$88*'Plan mensual'!K213+parametros_recargas!$F$88*'Plan mensual'!K214+parametros_recargas!$G$88*'Plan mensual'!K215+parametros_recargas!$H$88*'Plan mensual'!K216+parametros_recargas!$I$88*'Plan mensual'!K217+parametros_recargas!$J$88*'Plan mensual'!K218+parametros_recargas!$K$88*'Plan mensual'!K219+parametros_recargas!$L$88*'Plan mensual'!K220+parametros_recargas!$M$88*'Plan mensual'!K222</f>
        <v>3783.70258913165</v>
      </c>
      <c r="J206" s="26" t="n">
        <f aca="false">parametros_recargas!$E$88*'Plan mensual'!L213+parametros_recargas!$F$88*'Plan mensual'!L214+parametros_recargas!$G$88*'Plan mensual'!L215+parametros_recargas!$H$88*'Plan mensual'!L216+parametros_recargas!$I$88*'Plan mensual'!L217+parametros_recargas!$J$88*'Plan mensual'!L218+parametros_recargas!$K$88*'Plan mensual'!L219+parametros_recargas!$L$88*'Plan mensual'!L220+parametros_recargas!$M$88*'Plan mensual'!L222</f>
        <v>3786.43072634632</v>
      </c>
      <c r="K206" s="26" t="n">
        <f aca="false">parametros_recargas!$E$88*'Plan mensual'!M213+parametros_recargas!$F$88*'Plan mensual'!M214+parametros_recargas!$G$88*'Plan mensual'!M215+parametros_recargas!$H$88*'Plan mensual'!M216+parametros_recargas!$I$88*'Plan mensual'!M217+parametros_recargas!$J$88*'Plan mensual'!M218+parametros_recargas!$K$88*'Plan mensual'!M219+parametros_recargas!$L$88*'Plan mensual'!M220+parametros_recargas!$M$88*'Plan mensual'!M222</f>
        <v>3777.41121852998</v>
      </c>
      <c r="L206" s="26" t="n">
        <f aca="false">parametros_recargas!$E$88*'Plan mensual'!N213+parametros_recargas!$F$88*'Plan mensual'!N214+parametros_recargas!$G$88*'Plan mensual'!N215+parametros_recargas!$H$88*'Plan mensual'!N216+parametros_recargas!$I$88*'Plan mensual'!N217+parametros_recargas!$J$88*'Plan mensual'!N218+parametros_recargas!$K$88*'Plan mensual'!N219+parametros_recargas!$L$88*'Plan mensual'!N220+parametros_recargas!$M$88*'Plan mensual'!N222</f>
        <v>3738.56986341347</v>
      </c>
      <c r="M206" s="26" t="n">
        <f aca="false">parametros_recargas!$E$88*'Plan mensual'!O213+parametros_recargas!$F$88*'Plan mensual'!O214+parametros_recargas!$G$88*'Plan mensual'!O215+parametros_recargas!$H$88*'Plan mensual'!O216+parametros_recargas!$I$88*'Plan mensual'!O217+parametros_recargas!$J$88*'Plan mensual'!O218+parametros_recargas!$K$88*'Plan mensual'!O219+parametros_recargas!$L$88*'Plan mensual'!O220+parametros_recargas!$M$88*'Plan mensual'!O222</f>
        <v>1653.07109603706</v>
      </c>
      <c r="N206" s="8" t="n">
        <f aca="false">SUM(B206:M206)</f>
        <v>41904.3632967984</v>
      </c>
      <c r="O206" s="27" t="n">
        <f aca="false">MAX(B206:M206)</f>
        <v>4488.56165176772</v>
      </c>
      <c r="P206" s="13" t="n">
        <f aca="false">O206/parametros_recargas!$B$6</f>
        <v>29.9237443451181</v>
      </c>
    </row>
    <row r="207" customFormat="false" ht="15" hidden="false" customHeight="false" outlineLevel="0" collapsed="false">
      <c r="A207" s="10" t="str">
        <f aca="false">parametros_recargas!$B$89</f>
        <v>Inspección interior con videoscopio</v>
      </c>
      <c r="B207" s="26" t="n">
        <f aca="false">parametros_recargas!$E$89*'Plan mensual'!D213+parametros_recargas!$F$89*'Plan mensual'!D214+parametros_recargas!$G$89*'Plan mensual'!D215+parametros_recargas!$H$89*'Plan mensual'!D216+parametros_recargas!$I$89*'Plan mensual'!D217+parametros_recargas!$J$89*'Plan mensual'!D218+parametros_recargas!$K$89*'Plan mensual'!D219+parametros_recargas!$L$89*'Plan mensual'!D220+parametros_recargas!$M$89*'Plan mensual'!D222</f>
        <v>1758.60989347919</v>
      </c>
      <c r="C207" s="26" t="n">
        <f aca="false">parametros_recargas!$E$89*'Plan mensual'!E213+parametros_recargas!$F$89*'Plan mensual'!E214+parametros_recargas!$G$89*'Plan mensual'!E215+parametros_recargas!$H$89*'Plan mensual'!E216+parametros_recargas!$I$89*'Plan mensual'!E217+parametros_recargas!$J$89*'Plan mensual'!E218+parametros_recargas!$K$89*'Plan mensual'!E219+parametros_recargas!$L$89*'Plan mensual'!E220+parametros_recargas!$M$89*'Plan mensual'!E222</f>
        <v>4488.56165176772</v>
      </c>
      <c r="D207" s="26" t="n">
        <f aca="false">parametros_recargas!$E$89*'Plan mensual'!F213+parametros_recargas!$F$89*'Plan mensual'!F214+parametros_recargas!$G$89*'Plan mensual'!F215+parametros_recargas!$H$89*'Plan mensual'!F216+parametros_recargas!$I$89*'Plan mensual'!F217+parametros_recargas!$J$89*'Plan mensual'!F218+parametros_recargas!$K$89*'Plan mensual'!F219+parametros_recargas!$L$89*'Plan mensual'!F220+parametros_recargas!$M$89*'Plan mensual'!F222</f>
        <v>3768.98284620641</v>
      </c>
      <c r="E207" s="26" t="n">
        <f aca="false">parametros_recargas!$E$89*'Plan mensual'!G213+parametros_recargas!$F$89*'Plan mensual'!G214+parametros_recargas!$G$89*'Plan mensual'!G215+parametros_recargas!$H$89*'Plan mensual'!G216+parametros_recargas!$I$89*'Plan mensual'!G217+parametros_recargas!$J$89*'Plan mensual'!G218+parametros_recargas!$K$89*'Plan mensual'!G219+parametros_recargas!$L$89*'Plan mensual'!G220+parametros_recargas!$M$89*'Plan mensual'!G222</f>
        <v>3784.53064797668</v>
      </c>
      <c r="F207" s="26" t="n">
        <f aca="false">parametros_recargas!$E$89*'Plan mensual'!H213+parametros_recargas!$F$89*'Plan mensual'!H214+parametros_recargas!$G$89*'Plan mensual'!H215+parametros_recargas!$H$89*'Plan mensual'!H216+parametros_recargas!$I$89*'Plan mensual'!H217+parametros_recargas!$J$89*'Plan mensual'!H218+parametros_recargas!$K$89*'Plan mensual'!H219+parametros_recargas!$L$89*'Plan mensual'!H220+parametros_recargas!$M$89*'Plan mensual'!H222</f>
        <v>3785.34228639137</v>
      </c>
      <c r="G207" s="26" t="n">
        <f aca="false">parametros_recargas!$E$89*'Plan mensual'!I213+parametros_recargas!$F$89*'Plan mensual'!I214+parametros_recargas!$G$89*'Plan mensual'!I215+parametros_recargas!$H$89*'Plan mensual'!I216+parametros_recargas!$I$89*'Plan mensual'!I217+parametros_recargas!$J$89*'Plan mensual'!I218+parametros_recargas!$K$89*'Plan mensual'!I219+parametros_recargas!$L$89*'Plan mensual'!I220+parametros_recargas!$M$89*'Plan mensual'!I222</f>
        <v>3777.95074695592</v>
      </c>
      <c r="H207" s="26" t="n">
        <f aca="false">parametros_recargas!$E$89*'Plan mensual'!J213+parametros_recargas!$F$89*'Plan mensual'!J214+parametros_recargas!$G$89*'Plan mensual'!J215+parametros_recargas!$H$89*'Plan mensual'!J216+parametros_recargas!$I$89*'Plan mensual'!J217+parametros_recargas!$J$89*'Plan mensual'!J218+parametros_recargas!$K$89*'Plan mensual'!J219+parametros_recargas!$L$89*'Plan mensual'!J220+parametros_recargas!$M$89*'Plan mensual'!J222</f>
        <v>3801.19973056262</v>
      </c>
      <c r="I207" s="26" t="n">
        <f aca="false">parametros_recargas!$E$89*'Plan mensual'!K213+parametros_recargas!$F$89*'Plan mensual'!K214+parametros_recargas!$G$89*'Plan mensual'!K215+parametros_recargas!$H$89*'Plan mensual'!K216+parametros_recargas!$I$89*'Plan mensual'!K217+parametros_recargas!$J$89*'Plan mensual'!K218+parametros_recargas!$K$89*'Plan mensual'!K219+parametros_recargas!$L$89*'Plan mensual'!K220+parametros_recargas!$M$89*'Plan mensual'!K222</f>
        <v>3783.70258913165</v>
      </c>
      <c r="J207" s="26" t="n">
        <f aca="false">parametros_recargas!$E$89*'Plan mensual'!L213+parametros_recargas!$F$89*'Plan mensual'!L214+parametros_recargas!$G$89*'Plan mensual'!L215+parametros_recargas!$H$89*'Plan mensual'!L216+parametros_recargas!$I$89*'Plan mensual'!L217+parametros_recargas!$J$89*'Plan mensual'!L218+parametros_recargas!$K$89*'Plan mensual'!L219+parametros_recargas!$L$89*'Plan mensual'!L220+parametros_recargas!$M$89*'Plan mensual'!L222</f>
        <v>3786.43072634632</v>
      </c>
      <c r="K207" s="26" t="n">
        <f aca="false">parametros_recargas!$E$89*'Plan mensual'!M213+parametros_recargas!$F$89*'Plan mensual'!M214+parametros_recargas!$G$89*'Plan mensual'!M215+parametros_recargas!$H$89*'Plan mensual'!M216+parametros_recargas!$I$89*'Plan mensual'!M217+parametros_recargas!$J$89*'Plan mensual'!M218+parametros_recargas!$K$89*'Plan mensual'!M219+parametros_recargas!$L$89*'Plan mensual'!M220+parametros_recargas!$M$89*'Plan mensual'!M222</f>
        <v>3777.41121852998</v>
      </c>
      <c r="L207" s="26" t="n">
        <f aca="false">parametros_recargas!$E$89*'Plan mensual'!N213+parametros_recargas!$F$89*'Plan mensual'!N214+parametros_recargas!$G$89*'Plan mensual'!N215+parametros_recargas!$H$89*'Plan mensual'!N216+parametros_recargas!$I$89*'Plan mensual'!N217+parametros_recargas!$J$89*'Plan mensual'!N218+parametros_recargas!$K$89*'Plan mensual'!N219+parametros_recargas!$L$89*'Plan mensual'!N220+parametros_recargas!$M$89*'Plan mensual'!N222</f>
        <v>3738.56986341347</v>
      </c>
      <c r="M207" s="26" t="n">
        <f aca="false">parametros_recargas!$E$89*'Plan mensual'!O213+parametros_recargas!$F$89*'Plan mensual'!O214+parametros_recargas!$G$89*'Plan mensual'!O215+parametros_recargas!$H$89*'Plan mensual'!O216+parametros_recargas!$I$89*'Plan mensual'!O217+parametros_recargas!$J$89*'Plan mensual'!O218+parametros_recargas!$K$89*'Plan mensual'!O219+parametros_recargas!$L$89*'Plan mensual'!O220+parametros_recargas!$M$89*'Plan mensual'!O222</f>
        <v>1653.07109603706</v>
      </c>
      <c r="N207" s="8" t="n">
        <f aca="false">SUM(B207:M207)</f>
        <v>41904.3632967984</v>
      </c>
      <c r="O207" s="27" t="n">
        <f aca="false">MAX(B207:M207)</f>
        <v>4488.56165176772</v>
      </c>
      <c r="P207" s="13" t="n">
        <f aca="false">O207/parametros_recargas!$B$6</f>
        <v>29.9237443451181</v>
      </c>
    </row>
    <row r="208" customFormat="false" ht="15" hidden="false" customHeight="false" outlineLevel="0" collapsed="false">
      <c r="A208" s="10" t="str">
        <f aca="false">parametros_recargas!$B$90</f>
        <v>Pintura</v>
      </c>
      <c r="B208" s="26" t="n">
        <f aca="false">parametros_recargas!$E$90*'Plan mensual'!D213+parametros_recargas!$F$90*'Plan mensual'!D214+parametros_recargas!$G$90*'Plan mensual'!D215+parametros_recargas!$H$90*'Plan mensual'!D216+parametros_recargas!$I$90*'Plan mensual'!D217+parametros_recargas!$J$90*'Plan mensual'!D218+parametros_recargas!$K$90*'Plan mensual'!D219+parametros_recargas!$L$90*'Plan mensual'!D220+parametros_recargas!$M$90*'Plan mensual'!D222</f>
        <v>1123.08298054582</v>
      </c>
      <c r="C208" s="26" t="n">
        <f aca="false">parametros_recargas!$E$90*'Plan mensual'!E213+parametros_recargas!$F$90*'Plan mensual'!E214+parametros_recargas!$G$90*'Plan mensual'!E215+parametros_recargas!$H$90*'Plan mensual'!E216+parametros_recargas!$I$90*'Plan mensual'!E217+parametros_recargas!$J$90*'Plan mensual'!E218+parametros_recargas!$K$90*'Plan mensual'!E219+parametros_recargas!$L$90*'Plan mensual'!E220+parametros_recargas!$M$90*'Plan mensual'!E222</f>
        <v>2743.47927169427</v>
      </c>
      <c r="D208" s="26" t="n">
        <f aca="false">parametros_recargas!$E$90*'Plan mensual'!F213+parametros_recargas!$F$90*'Plan mensual'!F214+parametros_recargas!$G$90*'Plan mensual'!F215+parametros_recargas!$H$90*'Plan mensual'!F216+parametros_recargas!$I$90*'Plan mensual'!F217+parametros_recargas!$J$90*'Plan mensual'!F218+parametros_recargas!$K$90*'Plan mensual'!F219+parametros_recargas!$L$90*'Plan mensual'!F220+parametros_recargas!$M$90*'Plan mensual'!F222</f>
        <v>2282.91353019614</v>
      </c>
      <c r="E208" s="26" t="n">
        <f aca="false">parametros_recargas!$E$90*'Plan mensual'!G213+parametros_recargas!$F$90*'Plan mensual'!G214+parametros_recargas!$G$90*'Plan mensual'!G215+parametros_recargas!$H$90*'Plan mensual'!G216+parametros_recargas!$I$90*'Plan mensual'!G217+parametros_recargas!$J$90*'Plan mensual'!G218+parametros_recargas!$K$90*'Plan mensual'!G219+parametros_recargas!$L$90*'Plan mensual'!G220+parametros_recargas!$M$90*'Plan mensual'!G222</f>
        <v>2291.88341583284</v>
      </c>
      <c r="F208" s="26" t="n">
        <f aca="false">parametros_recargas!$E$90*'Plan mensual'!H213+parametros_recargas!$F$90*'Plan mensual'!H214+parametros_recargas!$G$90*'Plan mensual'!H215+parametros_recargas!$H$90*'Plan mensual'!H216+parametros_recargas!$I$90*'Plan mensual'!H217+parametros_recargas!$J$90*'Plan mensual'!H218+parametros_recargas!$K$90*'Plan mensual'!H219+parametros_recargas!$L$90*'Plan mensual'!H220+parametros_recargas!$M$90*'Plan mensual'!H222</f>
        <v>2292.35166876439</v>
      </c>
      <c r="G208" s="26" t="n">
        <f aca="false">parametros_recargas!$E$90*'Plan mensual'!I213+parametros_recargas!$F$90*'Plan mensual'!I214+parametros_recargas!$G$90*'Plan mensual'!I215+parametros_recargas!$H$90*'Plan mensual'!I216+parametros_recargas!$I$90*'Plan mensual'!I217+parametros_recargas!$J$90*'Plan mensual'!I218+parametros_recargas!$K$90*'Plan mensual'!I219+parametros_recargas!$L$90*'Plan mensual'!I220+parametros_recargas!$M$90*'Plan mensual'!I222</f>
        <v>2288.08731909009</v>
      </c>
      <c r="H208" s="26" t="n">
        <f aca="false">parametros_recargas!$E$90*'Plan mensual'!J213+parametros_recargas!$F$90*'Plan mensual'!J214+parametros_recargas!$G$90*'Plan mensual'!J215+parametros_recargas!$H$90*'Plan mensual'!J216+parametros_recargas!$I$90*'Plan mensual'!J217+parametros_recargas!$J$90*'Plan mensual'!J218+parametros_recargas!$K$90*'Plan mensual'!J219+parametros_recargas!$L$90*'Plan mensual'!J220+parametros_recargas!$M$90*'Plan mensual'!J222</f>
        <v>2301.5001942478</v>
      </c>
      <c r="I208" s="26" t="n">
        <f aca="false">parametros_recargas!$E$90*'Plan mensual'!K213+parametros_recargas!$F$90*'Plan mensual'!K214+parametros_recargas!$G$90*'Plan mensual'!K215+parametros_recargas!$H$90*'Plan mensual'!K216+parametros_recargas!$I$90*'Plan mensual'!K217+parametros_recargas!$J$90*'Plan mensual'!K218+parametros_recargas!$K$90*'Plan mensual'!K219+parametros_recargas!$L$90*'Plan mensual'!K220+parametros_recargas!$M$90*'Plan mensual'!K222</f>
        <v>2291.40568957609</v>
      </c>
      <c r="J208" s="26" t="n">
        <f aca="false">parametros_recargas!$E$90*'Plan mensual'!L213+parametros_recargas!$F$90*'Plan mensual'!L214+parametros_recargas!$G$90*'Plan mensual'!L215+parametros_recargas!$H$90*'Plan mensual'!L216+parametros_recargas!$I$90*'Plan mensual'!L217+parametros_recargas!$J$90*'Plan mensual'!L218+parametros_recargas!$K$90*'Plan mensual'!L219+parametros_recargas!$L$90*'Plan mensual'!L220+parametros_recargas!$M$90*'Plan mensual'!L222</f>
        <v>2292.97961489224</v>
      </c>
      <c r="K208" s="26" t="n">
        <f aca="false">parametros_recargas!$E$90*'Plan mensual'!M213+parametros_recargas!$F$90*'Plan mensual'!M214+parametros_recargas!$G$90*'Plan mensual'!M215+parametros_recargas!$H$90*'Plan mensual'!M216+parametros_recargas!$I$90*'Plan mensual'!M217+parametros_recargas!$J$90*'Plan mensual'!M218+parametros_recargas!$K$90*'Plan mensual'!M219+parametros_recargas!$L$90*'Plan mensual'!M220+parametros_recargas!$M$90*'Plan mensual'!M222</f>
        <v>2287.77605269051</v>
      </c>
      <c r="L208" s="26" t="n">
        <f aca="false">parametros_recargas!$E$90*'Plan mensual'!N213+parametros_recargas!$F$90*'Plan mensual'!N214+parametros_recargas!$G$90*'Plan mensual'!N215+parametros_recargas!$H$90*'Plan mensual'!N216+parametros_recargas!$I$90*'Plan mensual'!N217+parametros_recargas!$J$90*'Plan mensual'!N218+parametros_recargas!$K$90*'Plan mensual'!N219+parametros_recargas!$L$90*'Plan mensual'!N220+parametros_recargas!$M$90*'Plan mensual'!N222</f>
        <v>2265.36757858483</v>
      </c>
      <c r="M208" s="26" t="n">
        <f aca="false">parametros_recargas!$E$90*'Plan mensual'!O213+parametros_recargas!$F$90*'Plan mensual'!O214+parametros_recargas!$G$90*'Plan mensual'!O215+parametros_recargas!$H$90*'Plan mensual'!O216+parametros_recargas!$I$90*'Plan mensual'!O217+parametros_recargas!$J$90*'Plan mensual'!O218+parametros_recargas!$K$90*'Plan mensual'!O219+parametros_recargas!$L$90*'Plan mensual'!O220+parametros_recargas!$M$90*'Plan mensual'!O222</f>
        <v>1062.19521279075</v>
      </c>
      <c r="N208" s="8" t="n">
        <f aca="false">SUM(B208:M208)</f>
        <v>25523.0225289058</v>
      </c>
      <c r="O208" s="27" t="n">
        <f aca="false">MAX(B208:M208)</f>
        <v>2743.47927169427</v>
      </c>
      <c r="P208" s="13" t="n">
        <f aca="false">O208/parametros_recargas!$B$6</f>
        <v>18.2898618112951</v>
      </c>
    </row>
    <row r="209" customFormat="false" ht="15" hidden="false" customHeight="false" outlineLevel="0" collapsed="false">
      <c r="A209" s="10" t="str">
        <f aca="false">parametros_recargas!$B$91</f>
        <v>Carga de polvo ABC</v>
      </c>
      <c r="B209" s="26" t="n">
        <f aca="false">parametros_recargas!$E$91*'Plan mensual'!D213+parametros_recargas!$F$91*'Plan mensual'!D214+parametros_recargas!$G$91*'Plan mensual'!D215+parametros_recargas!$H$91*'Plan mensual'!D216+parametros_recargas!$I$91*'Plan mensual'!D217+parametros_recargas!$J$91*'Plan mensual'!D218+parametros_recargas!$K$91*'Plan mensual'!D219+parametros_recargas!$L$91*'Plan mensual'!D220+parametros_recargas!$M$91*'Plan mensual'!D222</f>
        <v>5688.82680194366</v>
      </c>
      <c r="C209" s="26" t="n">
        <f aca="false">parametros_recargas!$E$91*'Plan mensual'!E213+parametros_recargas!$F$91*'Plan mensual'!E214+parametros_recargas!$G$91*'Plan mensual'!E215+parametros_recargas!$H$91*'Plan mensual'!E216+parametros_recargas!$I$91*'Plan mensual'!E217+parametros_recargas!$J$91*'Plan mensual'!E218+parametros_recargas!$K$91*'Plan mensual'!E219+parametros_recargas!$L$91*'Plan mensual'!E220+parametros_recargas!$M$91*'Plan mensual'!E222</f>
        <v>15607.7547858999</v>
      </c>
      <c r="D209" s="26" t="n">
        <f aca="false">parametros_recargas!$E$91*'Plan mensual'!F213+parametros_recargas!$F$91*'Plan mensual'!F214+parametros_recargas!$G$91*'Plan mensual'!F215+parametros_recargas!$H$91*'Plan mensual'!F216+parametros_recargas!$I$91*'Plan mensual'!F217+parametros_recargas!$J$91*'Plan mensual'!F218+parametros_recargas!$K$91*'Plan mensual'!F219+parametros_recargas!$L$91*'Plan mensual'!F220+parametros_recargas!$M$91*'Plan mensual'!F222</f>
        <v>13418.4184852087</v>
      </c>
      <c r="E209" s="26" t="n">
        <f aca="false">parametros_recargas!$E$91*'Plan mensual'!G213+parametros_recargas!$F$91*'Plan mensual'!G214+parametros_recargas!$G$91*'Plan mensual'!G215+parametros_recargas!$H$91*'Plan mensual'!G216+parametros_recargas!$I$91*'Plan mensual'!G217+parametros_recargas!$J$91*'Plan mensual'!G218+parametros_recargas!$K$91*'Plan mensual'!G219+parametros_recargas!$L$91*'Plan mensual'!G220+parametros_recargas!$M$91*'Plan mensual'!G222</f>
        <v>13478.2177227867</v>
      </c>
      <c r="F209" s="26" t="n">
        <f aca="false">parametros_recargas!$E$91*'Plan mensual'!H213+parametros_recargas!$F$91*'Plan mensual'!H214+parametros_recargas!$G$91*'Plan mensual'!H215+parametros_recargas!$H$91*'Plan mensual'!H216+parametros_recargas!$I$91*'Plan mensual'!H217+parametros_recargas!$J$91*'Plan mensual'!H218+parametros_recargas!$K$91*'Plan mensual'!H219+parametros_recargas!$L$91*'Plan mensual'!H220+parametros_recargas!$M$91*'Plan mensual'!H222</f>
        <v>13480.441608997</v>
      </c>
      <c r="G209" s="26" t="n">
        <f aca="false">parametros_recargas!$E$91*'Plan mensual'!I213+parametros_recargas!$F$91*'Plan mensual'!I214+parametros_recargas!$G$91*'Plan mensual'!I215+parametros_recargas!$H$91*'Plan mensual'!I216+parametros_recargas!$I$91*'Plan mensual'!I217+parametros_recargas!$J$91*'Plan mensual'!I218+parametros_recargas!$K$91*'Plan mensual'!I219+parametros_recargas!$L$91*'Plan mensual'!I220+parametros_recargas!$M$91*'Plan mensual'!I222</f>
        <v>13450.9519733092</v>
      </c>
      <c r="H209" s="26" t="n">
        <f aca="false">parametros_recargas!$E$91*'Plan mensual'!J213+parametros_recargas!$F$91*'Plan mensual'!J214+parametros_recargas!$G$91*'Plan mensual'!J215+parametros_recargas!$H$91*'Plan mensual'!J216+parametros_recargas!$I$91*'Plan mensual'!J217+parametros_recargas!$J$91*'Plan mensual'!J218+parametros_recargas!$K$91*'Plan mensual'!J219+parametros_recargas!$L$91*'Plan mensual'!J220+parametros_recargas!$M$91*'Plan mensual'!J222</f>
        <v>13541.4317788865</v>
      </c>
      <c r="I209" s="26" t="n">
        <f aca="false">parametros_recargas!$E$91*'Plan mensual'!K213+parametros_recargas!$F$91*'Plan mensual'!K214+parametros_recargas!$G$91*'Plan mensual'!K215+parametros_recargas!$H$91*'Plan mensual'!K216+parametros_recargas!$I$91*'Plan mensual'!K217+parametros_recargas!$J$91*'Plan mensual'!K218+parametros_recargas!$K$91*'Plan mensual'!K219+parametros_recargas!$L$91*'Plan mensual'!K220+parametros_recargas!$M$91*'Plan mensual'!K222</f>
        <v>13474.135081075</v>
      </c>
      <c r="J209" s="26" t="n">
        <f aca="false">parametros_recargas!$E$91*'Plan mensual'!L213+parametros_recargas!$F$91*'Plan mensual'!L214+parametros_recargas!$G$91*'Plan mensual'!L215+parametros_recargas!$H$91*'Plan mensual'!L216+parametros_recargas!$I$91*'Plan mensual'!L217+parametros_recargas!$J$91*'Plan mensual'!L218+parametros_recargas!$K$91*'Plan mensual'!L219+parametros_recargas!$L$91*'Plan mensual'!L220+parametros_recargas!$M$91*'Plan mensual'!L222</f>
        <v>13484.5464975865</v>
      </c>
      <c r="K209" s="26" t="n">
        <f aca="false">parametros_recargas!$E$91*'Plan mensual'!M213+parametros_recargas!$F$91*'Plan mensual'!M214+parametros_recargas!$G$91*'Plan mensual'!M215+parametros_recargas!$H$91*'Plan mensual'!M216+parametros_recargas!$I$91*'Plan mensual'!M217+parametros_recargas!$J$91*'Plan mensual'!M218+parametros_recargas!$K$91*'Plan mensual'!M219+parametros_recargas!$L$91*'Plan mensual'!M220+parametros_recargas!$M$91*'Plan mensual'!M222</f>
        <v>13448.795445049</v>
      </c>
      <c r="L209" s="26" t="n">
        <f aca="false">parametros_recargas!$E$91*'Plan mensual'!N213+parametros_recargas!$F$91*'Plan mensual'!N214+parametros_recargas!$G$91*'Plan mensual'!N215+parametros_recargas!$H$91*'Plan mensual'!N216+parametros_recargas!$I$91*'Plan mensual'!N217+parametros_recargas!$J$91*'Plan mensual'!N218+parametros_recargas!$K$91*'Plan mensual'!N219+parametros_recargas!$L$91*'Plan mensual'!N220+parametros_recargas!$M$91*'Plan mensual'!N222</f>
        <v>13298.4263987483</v>
      </c>
      <c r="M209" s="26" t="n">
        <f aca="false">parametros_recargas!$E$91*'Plan mensual'!O213+parametros_recargas!$F$91*'Plan mensual'!O214+parametros_recargas!$G$91*'Plan mensual'!O215+parametros_recargas!$H$91*'Plan mensual'!O216+parametros_recargas!$I$91*'Plan mensual'!O217+parametros_recargas!$J$91*'Plan mensual'!O218+parametros_recargas!$K$91*'Plan mensual'!O219+parametros_recargas!$L$91*'Plan mensual'!O220+parametros_recargas!$M$91*'Plan mensual'!O222</f>
        <v>5284.62253131356</v>
      </c>
      <c r="N209" s="8" t="n">
        <f aca="false">SUM(B209:M209)</f>
        <v>147656.569110804</v>
      </c>
      <c r="O209" s="27" t="n">
        <f aca="false">MAX(B209:M209)</f>
        <v>15607.7547858999</v>
      </c>
      <c r="P209" s="13" t="n">
        <f aca="false">O209/parametros_recargas!$B$6</f>
        <v>104.051698572666</v>
      </c>
    </row>
    <row r="210" customFormat="false" ht="15" hidden="false" customHeight="false" outlineLevel="0" collapsed="false">
      <c r="A210" s="10" t="str">
        <f aca="false">parametros_recargas!$B$92</f>
        <v>Carga de polvo BC</v>
      </c>
      <c r="B210" s="26" t="n">
        <f aca="false">parametros_recargas!$E$92*'Plan mensual'!D213+parametros_recargas!$F$92*'Plan mensual'!D214+parametros_recargas!$G$92*'Plan mensual'!D215+parametros_recargas!$H$92*'Plan mensual'!D216+parametros_recargas!$I$92*'Plan mensual'!D217+parametros_recargas!$J$92*'Plan mensual'!D218+parametros_recargas!$K$92*'Plan mensual'!D219+parametros_recargas!$L$92*'Plan mensual'!D220+parametros_recargas!$M$92*'Plan mensual'!D222</f>
        <v>17.4609476907223</v>
      </c>
      <c r="C210" s="26" t="n">
        <f aca="false">parametros_recargas!$E$92*'Plan mensual'!E213+parametros_recargas!$F$92*'Plan mensual'!E214+parametros_recargas!$G$92*'Plan mensual'!E215+parametros_recargas!$H$92*'Plan mensual'!E216+parametros_recargas!$I$92*'Plan mensual'!E217+parametros_recargas!$J$92*'Plan mensual'!E218+parametros_recargas!$K$92*'Plan mensual'!E219+parametros_recargas!$L$92*'Plan mensual'!E220+parametros_recargas!$M$92*'Plan mensual'!E222</f>
        <v>17.4609476907223</v>
      </c>
      <c r="D210" s="26" t="n">
        <f aca="false">parametros_recargas!$E$92*'Plan mensual'!F213+parametros_recargas!$F$92*'Plan mensual'!F214+parametros_recargas!$G$92*'Plan mensual'!F215+parametros_recargas!$H$92*'Plan mensual'!F216+parametros_recargas!$I$92*'Plan mensual'!F217+parametros_recargas!$J$92*'Plan mensual'!F218+parametros_recargas!$K$92*'Plan mensual'!F219+parametros_recargas!$L$92*'Plan mensual'!F220+parametros_recargas!$M$92*'Plan mensual'!F222</f>
        <v>17.4609476907223</v>
      </c>
      <c r="E210" s="26" t="n">
        <f aca="false">parametros_recargas!$E$92*'Plan mensual'!G213+parametros_recargas!$F$92*'Plan mensual'!G214+parametros_recargas!$G$92*'Plan mensual'!G215+parametros_recargas!$H$92*'Plan mensual'!G216+parametros_recargas!$I$92*'Plan mensual'!G217+parametros_recargas!$J$92*'Plan mensual'!G218+parametros_recargas!$K$92*'Plan mensual'!G219+parametros_recargas!$L$92*'Plan mensual'!G220+parametros_recargas!$M$92*'Plan mensual'!G222</f>
        <v>17.4609476907223</v>
      </c>
      <c r="F210" s="26" t="n">
        <f aca="false">parametros_recargas!$E$92*'Plan mensual'!H213+parametros_recargas!$F$92*'Plan mensual'!H214+parametros_recargas!$G$92*'Plan mensual'!H215+parametros_recargas!$H$92*'Plan mensual'!H216+parametros_recargas!$I$92*'Plan mensual'!H217+parametros_recargas!$J$92*'Plan mensual'!H218+parametros_recargas!$K$92*'Plan mensual'!H219+parametros_recargas!$L$92*'Plan mensual'!H220+parametros_recargas!$M$92*'Plan mensual'!H222</f>
        <v>17.4609476907223</v>
      </c>
      <c r="G210" s="26" t="n">
        <f aca="false">parametros_recargas!$E$92*'Plan mensual'!I213+parametros_recargas!$F$92*'Plan mensual'!I214+parametros_recargas!$G$92*'Plan mensual'!I215+parametros_recargas!$H$92*'Plan mensual'!I216+parametros_recargas!$I$92*'Plan mensual'!I217+parametros_recargas!$J$92*'Plan mensual'!I218+parametros_recargas!$K$92*'Plan mensual'!I219+parametros_recargas!$L$92*'Plan mensual'!I220+parametros_recargas!$M$92*'Plan mensual'!I222</f>
        <v>17.4609476907223</v>
      </c>
      <c r="H210" s="26" t="n">
        <f aca="false">parametros_recargas!$E$92*'Plan mensual'!J213+parametros_recargas!$F$92*'Plan mensual'!J214+parametros_recargas!$G$92*'Plan mensual'!J215+parametros_recargas!$H$92*'Plan mensual'!J216+parametros_recargas!$I$92*'Plan mensual'!J217+parametros_recargas!$J$92*'Plan mensual'!J218+parametros_recargas!$K$92*'Plan mensual'!J219+parametros_recargas!$L$92*'Plan mensual'!J220+parametros_recargas!$M$92*'Plan mensual'!J222</f>
        <v>17.4609476907223</v>
      </c>
      <c r="I210" s="26" t="n">
        <f aca="false">parametros_recargas!$E$92*'Plan mensual'!K213+parametros_recargas!$F$92*'Plan mensual'!K214+parametros_recargas!$G$92*'Plan mensual'!K215+parametros_recargas!$H$92*'Plan mensual'!K216+parametros_recargas!$I$92*'Plan mensual'!K217+parametros_recargas!$J$92*'Plan mensual'!K218+parametros_recargas!$K$92*'Plan mensual'!K219+parametros_recargas!$L$92*'Plan mensual'!K220+parametros_recargas!$M$92*'Plan mensual'!K222</f>
        <v>17.4609476907223</v>
      </c>
      <c r="J210" s="26" t="n">
        <f aca="false">parametros_recargas!$E$92*'Plan mensual'!L213+parametros_recargas!$F$92*'Plan mensual'!L214+parametros_recargas!$G$92*'Plan mensual'!L215+parametros_recargas!$H$92*'Plan mensual'!L216+parametros_recargas!$I$92*'Plan mensual'!L217+parametros_recargas!$J$92*'Plan mensual'!L218+parametros_recargas!$K$92*'Plan mensual'!L219+parametros_recargas!$L$92*'Plan mensual'!L220+parametros_recargas!$M$92*'Plan mensual'!L222</f>
        <v>17.4609476907223</v>
      </c>
      <c r="K210" s="26" t="n">
        <f aca="false">parametros_recargas!$E$92*'Plan mensual'!M213+parametros_recargas!$F$92*'Plan mensual'!M214+parametros_recargas!$G$92*'Plan mensual'!M215+parametros_recargas!$H$92*'Plan mensual'!M216+parametros_recargas!$I$92*'Plan mensual'!M217+parametros_recargas!$J$92*'Plan mensual'!M218+parametros_recargas!$K$92*'Plan mensual'!M219+parametros_recargas!$L$92*'Plan mensual'!M220+parametros_recargas!$M$92*'Plan mensual'!M222</f>
        <v>17.4609476907223</v>
      </c>
      <c r="L210" s="26" t="n">
        <f aca="false">parametros_recargas!$E$92*'Plan mensual'!N213+parametros_recargas!$F$92*'Plan mensual'!N214+parametros_recargas!$G$92*'Plan mensual'!N215+parametros_recargas!$H$92*'Plan mensual'!N216+parametros_recargas!$I$92*'Plan mensual'!N217+parametros_recargas!$J$92*'Plan mensual'!N218+parametros_recargas!$K$92*'Plan mensual'!N219+parametros_recargas!$L$92*'Plan mensual'!N220+parametros_recargas!$M$92*'Plan mensual'!N222</f>
        <v>17.4609476907223</v>
      </c>
      <c r="M210" s="26" t="n">
        <f aca="false">parametros_recargas!$E$92*'Plan mensual'!O213+parametros_recargas!$F$92*'Plan mensual'!O214+parametros_recargas!$G$92*'Plan mensual'!O215+parametros_recargas!$H$92*'Plan mensual'!O216+parametros_recargas!$I$92*'Plan mensual'!O217+parametros_recargas!$J$92*'Plan mensual'!O218+parametros_recargas!$K$92*'Plan mensual'!O219+parametros_recargas!$L$92*'Plan mensual'!O220+parametros_recargas!$M$92*'Plan mensual'!O222</f>
        <v>17.4609476907223</v>
      </c>
      <c r="N210" s="8" t="n">
        <f aca="false">SUM(B210:M210)</f>
        <v>209.531372288667</v>
      </c>
      <c r="O210" s="27" t="n">
        <f aca="false">MAX(B210:M210)</f>
        <v>17.4609476907223</v>
      </c>
      <c r="P210" s="13" t="n">
        <f aca="false">O210/parametros_recargas!$B$6</f>
        <v>0.116406317938149</v>
      </c>
    </row>
    <row r="211" customFormat="false" ht="15" hidden="false" customHeight="false" outlineLevel="0" collapsed="false">
      <c r="A211" s="10" t="str">
        <f aca="false">parametros_recargas!$B$93</f>
        <v>Descarga y carga Clase D</v>
      </c>
      <c r="B211" s="26" t="n">
        <f aca="false">parametros_recargas!$E$93*'Plan mensual'!D213+parametros_recargas!$F$93*'Plan mensual'!D214+parametros_recargas!$G$93*'Plan mensual'!D215+parametros_recargas!$H$93*'Plan mensual'!D216+parametros_recargas!$I$93*'Plan mensual'!D217+parametros_recargas!$J$93*'Plan mensual'!D218+parametros_recargas!$K$93*'Plan mensual'!D219+parametros_recargas!$L$93*'Plan mensual'!D220+parametros_recargas!$M$93*'Plan mensual'!D222</f>
        <v>15.5095174389271</v>
      </c>
      <c r="C211" s="26" t="n">
        <f aca="false">parametros_recargas!$E$93*'Plan mensual'!E213+parametros_recargas!$F$93*'Plan mensual'!E214+parametros_recargas!$G$93*'Plan mensual'!E215+parametros_recargas!$H$93*'Plan mensual'!E216+parametros_recargas!$I$93*'Plan mensual'!E217+parametros_recargas!$J$93*'Plan mensual'!E218+parametros_recargas!$K$93*'Plan mensual'!E219+parametros_recargas!$L$93*'Plan mensual'!E220+parametros_recargas!$M$93*'Plan mensual'!E222</f>
        <v>15.5095174389271</v>
      </c>
      <c r="D211" s="26" t="n">
        <f aca="false">parametros_recargas!$E$93*'Plan mensual'!F213+parametros_recargas!$F$93*'Plan mensual'!F214+parametros_recargas!$G$93*'Plan mensual'!F215+parametros_recargas!$H$93*'Plan mensual'!F216+parametros_recargas!$I$93*'Plan mensual'!F217+parametros_recargas!$J$93*'Plan mensual'!F218+parametros_recargas!$K$93*'Plan mensual'!F219+parametros_recargas!$L$93*'Plan mensual'!F220+parametros_recargas!$M$93*'Plan mensual'!F222</f>
        <v>15.5095174389271</v>
      </c>
      <c r="E211" s="26" t="n">
        <f aca="false">parametros_recargas!$E$93*'Plan mensual'!G213+parametros_recargas!$F$93*'Plan mensual'!G214+parametros_recargas!$G$93*'Plan mensual'!G215+parametros_recargas!$H$93*'Plan mensual'!G216+parametros_recargas!$I$93*'Plan mensual'!G217+parametros_recargas!$J$93*'Plan mensual'!G218+parametros_recargas!$K$93*'Plan mensual'!G219+parametros_recargas!$L$93*'Plan mensual'!G220+parametros_recargas!$M$93*'Plan mensual'!G222</f>
        <v>15.5095174389271</v>
      </c>
      <c r="F211" s="26" t="n">
        <f aca="false">parametros_recargas!$E$93*'Plan mensual'!H213+parametros_recargas!$F$93*'Plan mensual'!H214+parametros_recargas!$G$93*'Plan mensual'!H215+parametros_recargas!$H$93*'Plan mensual'!H216+parametros_recargas!$I$93*'Plan mensual'!H217+parametros_recargas!$J$93*'Plan mensual'!H218+parametros_recargas!$K$93*'Plan mensual'!H219+parametros_recargas!$L$93*'Plan mensual'!H220+parametros_recargas!$M$93*'Plan mensual'!H222</f>
        <v>15.5095174389271</v>
      </c>
      <c r="G211" s="26" t="n">
        <f aca="false">parametros_recargas!$E$93*'Plan mensual'!I213+parametros_recargas!$F$93*'Plan mensual'!I214+parametros_recargas!$G$93*'Plan mensual'!I215+parametros_recargas!$H$93*'Plan mensual'!I216+parametros_recargas!$I$93*'Plan mensual'!I217+parametros_recargas!$J$93*'Plan mensual'!I218+parametros_recargas!$K$93*'Plan mensual'!I219+parametros_recargas!$L$93*'Plan mensual'!I220+parametros_recargas!$M$93*'Plan mensual'!I222</f>
        <v>15.5095174389271</v>
      </c>
      <c r="H211" s="26" t="n">
        <f aca="false">parametros_recargas!$E$93*'Plan mensual'!J213+parametros_recargas!$F$93*'Plan mensual'!J214+parametros_recargas!$G$93*'Plan mensual'!J215+parametros_recargas!$H$93*'Plan mensual'!J216+parametros_recargas!$I$93*'Plan mensual'!J217+parametros_recargas!$J$93*'Plan mensual'!J218+parametros_recargas!$K$93*'Plan mensual'!J219+parametros_recargas!$L$93*'Plan mensual'!J220+parametros_recargas!$M$93*'Plan mensual'!J222</f>
        <v>15.5095174389271</v>
      </c>
      <c r="I211" s="26" t="n">
        <f aca="false">parametros_recargas!$E$93*'Plan mensual'!K213+parametros_recargas!$F$93*'Plan mensual'!K214+parametros_recargas!$G$93*'Plan mensual'!K215+parametros_recargas!$H$93*'Plan mensual'!K216+parametros_recargas!$I$93*'Plan mensual'!K217+parametros_recargas!$J$93*'Plan mensual'!K218+parametros_recargas!$K$93*'Plan mensual'!K219+parametros_recargas!$L$93*'Plan mensual'!K220+parametros_recargas!$M$93*'Plan mensual'!K222</f>
        <v>15.5095174389271</v>
      </c>
      <c r="J211" s="26" t="n">
        <f aca="false">parametros_recargas!$E$93*'Plan mensual'!L213+parametros_recargas!$F$93*'Plan mensual'!L214+parametros_recargas!$G$93*'Plan mensual'!L215+parametros_recargas!$H$93*'Plan mensual'!L216+parametros_recargas!$I$93*'Plan mensual'!L217+parametros_recargas!$J$93*'Plan mensual'!L218+parametros_recargas!$K$93*'Plan mensual'!L219+parametros_recargas!$L$93*'Plan mensual'!L220+parametros_recargas!$M$93*'Plan mensual'!L222</f>
        <v>15.5095174389271</v>
      </c>
      <c r="K211" s="26" t="n">
        <f aca="false">parametros_recargas!$E$93*'Plan mensual'!M213+parametros_recargas!$F$93*'Plan mensual'!M214+parametros_recargas!$G$93*'Plan mensual'!M215+parametros_recargas!$H$93*'Plan mensual'!M216+parametros_recargas!$I$93*'Plan mensual'!M217+parametros_recargas!$J$93*'Plan mensual'!M218+parametros_recargas!$K$93*'Plan mensual'!M219+parametros_recargas!$L$93*'Plan mensual'!M220+parametros_recargas!$M$93*'Plan mensual'!M222</f>
        <v>15.5095174389271</v>
      </c>
      <c r="L211" s="26" t="n">
        <f aca="false">parametros_recargas!$E$93*'Plan mensual'!N213+parametros_recargas!$F$93*'Plan mensual'!N214+parametros_recargas!$G$93*'Plan mensual'!N215+parametros_recargas!$H$93*'Plan mensual'!N216+parametros_recargas!$I$93*'Plan mensual'!N217+parametros_recargas!$J$93*'Plan mensual'!N218+parametros_recargas!$K$93*'Plan mensual'!N219+parametros_recargas!$L$93*'Plan mensual'!N220+parametros_recargas!$M$93*'Plan mensual'!N222</f>
        <v>15.5095174389271</v>
      </c>
      <c r="M211" s="26" t="n">
        <f aca="false">parametros_recargas!$E$93*'Plan mensual'!O213+parametros_recargas!$F$93*'Plan mensual'!O214+parametros_recargas!$G$93*'Plan mensual'!O215+parametros_recargas!$H$93*'Plan mensual'!O216+parametros_recargas!$I$93*'Plan mensual'!O217+parametros_recargas!$J$93*'Plan mensual'!O218+parametros_recargas!$K$93*'Plan mensual'!O219+parametros_recargas!$L$93*'Plan mensual'!O220+parametros_recargas!$M$93*'Plan mensual'!O222</f>
        <v>15.5095174389271</v>
      </c>
      <c r="N211" s="8" t="n">
        <f aca="false">SUM(B211:M211)</f>
        <v>186.114209267126</v>
      </c>
      <c r="O211" s="27" t="n">
        <f aca="false">MAX(B211:M211)</f>
        <v>15.5095174389271</v>
      </c>
      <c r="P211" s="13" t="n">
        <f aca="false">O211/parametros_recargas!$B$6</f>
        <v>0.103396782926181</v>
      </c>
    </row>
    <row r="212" customFormat="false" ht="15" hidden="false" customHeight="false" outlineLevel="0" collapsed="false">
      <c r="A212" s="10" t="str">
        <f aca="false">parametros_recargas!$B$94</f>
        <v>Carga de agua / AFFF / sales K</v>
      </c>
      <c r="B212" s="26" t="n">
        <f aca="false">parametros_recargas!$E$94*'Plan mensual'!D213+parametros_recargas!$F$94*'Plan mensual'!D214+parametros_recargas!$G$94*'Plan mensual'!D215+parametros_recargas!$H$94*'Plan mensual'!D216+parametros_recargas!$I$94*'Plan mensual'!D217+parametros_recargas!$J$94*'Plan mensual'!D218+parametros_recargas!$K$94*'Plan mensual'!D219+parametros_recargas!$L$94*'Plan mensual'!D220+parametros_recargas!$M$94*'Plan mensual'!D222</f>
        <v>646.834653089554</v>
      </c>
      <c r="C212" s="26" t="n">
        <f aca="false">parametros_recargas!$E$94*'Plan mensual'!E213+parametros_recargas!$F$94*'Plan mensual'!E214+parametros_recargas!$G$94*'Plan mensual'!E215+parametros_recargas!$H$94*'Plan mensual'!E216+parametros_recargas!$I$94*'Plan mensual'!E217+parametros_recargas!$J$94*'Plan mensual'!E218+parametros_recargas!$K$94*'Plan mensual'!E219+parametros_recargas!$L$94*'Plan mensual'!E220+parametros_recargas!$M$94*'Plan mensual'!E222</f>
        <v>912.589732362256</v>
      </c>
      <c r="D212" s="26" t="n">
        <f aca="false">parametros_recargas!$E$94*'Plan mensual'!F213+parametros_recargas!$F$94*'Plan mensual'!F214+parametros_recargas!$G$94*'Plan mensual'!F215+parametros_recargas!$H$94*'Plan mensual'!F216+parametros_recargas!$I$94*'Plan mensual'!F217+parametros_recargas!$J$94*'Plan mensual'!F218+parametros_recargas!$K$94*'Plan mensual'!F219+parametros_recargas!$L$94*'Plan mensual'!F220+parametros_recargas!$M$94*'Plan mensual'!F222</f>
        <v>646.834653089554</v>
      </c>
      <c r="E212" s="26" t="n">
        <f aca="false">parametros_recargas!$E$94*'Plan mensual'!G213+parametros_recargas!$F$94*'Plan mensual'!G214+parametros_recargas!$G$94*'Plan mensual'!G215+parametros_recargas!$H$94*'Plan mensual'!G216+parametros_recargas!$I$94*'Plan mensual'!G217+parametros_recargas!$J$94*'Plan mensual'!G218+parametros_recargas!$K$94*'Plan mensual'!G219+parametros_recargas!$L$94*'Plan mensual'!G220+parametros_recargas!$M$94*'Plan mensual'!G222</f>
        <v>646.834653089554</v>
      </c>
      <c r="F212" s="26" t="n">
        <f aca="false">parametros_recargas!$E$94*'Plan mensual'!H213+parametros_recargas!$F$94*'Plan mensual'!H214+parametros_recargas!$G$94*'Plan mensual'!H215+parametros_recargas!$H$94*'Plan mensual'!H216+parametros_recargas!$I$94*'Plan mensual'!H217+parametros_recargas!$J$94*'Plan mensual'!H218+parametros_recargas!$K$94*'Plan mensual'!H219+parametros_recargas!$L$94*'Plan mensual'!H220+parametros_recargas!$M$94*'Plan mensual'!H222</f>
        <v>646.834653089554</v>
      </c>
      <c r="G212" s="26" t="n">
        <f aca="false">parametros_recargas!$E$94*'Plan mensual'!I213+parametros_recargas!$F$94*'Plan mensual'!I214+parametros_recargas!$G$94*'Plan mensual'!I215+parametros_recargas!$H$94*'Plan mensual'!I216+parametros_recargas!$I$94*'Plan mensual'!I217+parametros_recargas!$J$94*'Plan mensual'!I218+parametros_recargas!$K$94*'Plan mensual'!I219+parametros_recargas!$L$94*'Plan mensual'!I220+parametros_recargas!$M$94*'Plan mensual'!I222</f>
        <v>646.834653089554</v>
      </c>
      <c r="H212" s="26" t="n">
        <f aca="false">parametros_recargas!$E$94*'Plan mensual'!J213+parametros_recargas!$F$94*'Plan mensual'!J214+parametros_recargas!$G$94*'Plan mensual'!J215+parametros_recargas!$H$94*'Plan mensual'!J216+parametros_recargas!$I$94*'Plan mensual'!J217+parametros_recargas!$J$94*'Plan mensual'!J218+parametros_recargas!$K$94*'Plan mensual'!J219+parametros_recargas!$L$94*'Plan mensual'!J220+parametros_recargas!$M$94*'Plan mensual'!J222</f>
        <v>646.834653089554</v>
      </c>
      <c r="I212" s="26" t="n">
        <f aca="false">parametros_recargas!$E$94*'Plan mensual'!K213+parametros_recargas!$F$94*'Plan mensual'!K214+parametros_recargas!$G$94*'Plan mensual'!K215+parametros_recargas!$H$94*'Plan mensual'!K216+parametros_recargas!$I$94*'Plan mensual'!K217+parametros_recargas!$J$94*'Plan mensual'!K218+parametros_recargas!$K$94*'Plan mensual'!K219+parametros_recargas!$L$94*'Plan mensual'!K220+parametros_recargas!$M$94*'Plan mensual'!K222</f>
        <v>646.834653089554</v>
      </c>
      <c r="J212" s="26" t="n">
        <f aca="false">parametros_recargas!$E$94*'Plan mensual'!L213+parametros_recargas!$F$94*'Plan mensual'!L214+parametros_recargas!$G$94*'Plan mensual'!L215+parametros_recargas!$H$94*'Plan mensual'!L216+parametros_recargas!$I$94*'Plan mensual'!L217+parametros_recargas!$J$94*'Plan mensual'!L218+parametros_recargas!$K$94*'Plan mensual'!L219+parametros_recargas!$L$94*'Plan mensual'!L220+parametros_recargas!$M$94*'Plan mensual'!L222</f>
        <v>646.834653089554</v>
      </c>
      <c r="K212" s="26" t="n">
        <f aca="false">parametros_recargas!$E$94*'Plan mensual'!M213+parametros_recargas!$F$94*'Plan mensual'!M214+parametros_recargas!$G$94*'Plan mensual'!M215+parametros_recargas!$H$94*'Plan mensual'!M216+parametros_recargas!$I$94*'Plan mensual'!M217+parametros_recargas!$J$94*'Plan mensual'!M218+parametros_recargas!$K$94*'Plan mensual'!M219+parametros_recargas!$L$94*'Plan mensual'!M220+parametros_recargas!$M$94*'Plan mensual'!M222</f>
        <v>646.834653089554</v>
      </c>
      <c r="L212" s="26" t="n">
        <f aca="false">parametros_recargas!$E$94*'Plan mensual'!N213+parametros_recargas!$F$94*'Plan mensual'!N214+parametros_recargas!$G$94*'Plan mensual'!N215+parametros_recargas!$H$94*'Plan mensual'!N216+parametros_recargas!$I$94*'Plan mensual'!N217+parametros_recargas!$J$94*'Plan mensual'!N218+parametros_recargas!$K$94*'Plan mensual'!N219+parametros_recargas!$L$94*'Plan mensual'!N220+parametros_recargas!$M$94*'Plan mensual'!N222</f>
        <v>646.834653089554</v>
      </c>
      <c r="M212" s="26" t="n">
        <f aca="false">parametros_recargas!$E$94*'Plan mensual'!O213+parametros_recargas!$F$94*'Plan mensual'!O214+parametros_recargas!$G$94*'Plan mensual'!O215+parametros_recargas!$H$94*'Plan mensual'!O216+parametros_recargas!$I$94*'Plan mensual'!O217+parametros_recargas!$J$94*'Plan mensual'!O218+parametros_recargas!$K$94*'Plan mensual'!O219+parametros_recargas!$L$94*'Plan mensual'!O220+parametros_recargas!$M$94*'Plan mensual'!O222</f>
        <v>646.834653089554</v>
      </c>
      <c r="N212" s="8" t="n">
        <f aca="false">SUM(B212:M212)</f>
        <v>8027.77091634735</v>
      </c>
      <c r="O212" s="27" t="n">
        <f aca="false">MAX(B212:M212)</f>
        <v>912.589732362256</v>
      </c>
      <c r="P212" s="13" t="n">
        <f aca="false">O212/parametros_recargas!$B$6</f>
        <v>6.0839315490817</v>
      </c>
    </row>
    <row r="213" customFormat="false" ht="15" hidden="false" customHeight="false" outlineLevel="0" collapsed="false">
      <c r="A213" s="10" t="str">
        <f aca="false">parametros_recargas!$B$95</f>
        <v>Carga de CO₂</v>
      </c>
      <c r="B213" s="26" t="n">
        <f aca="false">parametros_recargas!$E$95*'Plan mensual'!D213+parametros_recargas!$F$95*'Plan mensual'!D214+parametros_recargas!$G$95*'Plan mensual'!D215+parametros_recargas!$H$95*'Plan mensual'!D216+parametros_recargas!$I$95*'Plan mensual'!D217+parametros_recargas!$J$95*'Plan mensual'!D218+parametros_recargas!$K$95*'Plan mensual'!D219+parametros_recargas!$L$95*'Plan mensual'!D220+parametros_recargas!$M$95*'Plan mensual'!D222</f>
        <v>370.786277807554</v>
      </c>
      <c r="C213" s="26" t="n">
        <f aca="false">parametros_recargas!$E$95*'Plan mensual'!E213+parametros_recargas!$F$95*'Plan mensual'!E214+parametros_recargas!$G$95*'Plan mensual'!E215+parametros_recargas!$H$95*'Plan mensual'!E216+parametros_recargas!$I$95*'Plan mensual'!E217+parametros_recargas!$J$95*'Plan mensual'!E218+parametros_recargas!$K$95*'Plan mensual'!E219+parametros_recargas!$L$95*'Plan mensual'!E220+parametros_recargas!$M$95*'Plan mensual'!E222</f>
        <v>580.86248347068</v>
      </c>
      <c r="D213" s="26" t="n">
        <f aca="false">parametros_recargas!$E$95*'Plan mensual'!F213+parametros_recargas!$F$95*'Plan mensual'!F214+parametros_recargas!$G$95*'Plan mensual'!F215+parametros_recargas!$H$95*'Plan mensual'!F216+parametros_recargas!$I$95*'Plan mensual'!F217+parametros_recargas!$J$95*'Plan mensual'!F218+parametros_recargas!$K$95*'Plan mensual'!F219+parametros_recargas!$L$95*'Plan mensual'!F220+parametros_recargas!$M$95*'Plan mensual'!F222</f>
        <v>370.786277807554</v>
      </c>
      <c r="E213" s="26" t="n">
        <f aca="false">parametros_recargas!$E$95*'Plan mensual'!G213+parametros_recargas!$F$95*'Plan mensual'!G214+parametros_recargas!$G$95*'Plan mensual'!G215+parametros_recargas!$H$95*'Plan mensual'!G216+parametros_recargas!$I$95*'Plan mensual'!G217+parametros_recargas!$J$95*'Plan mensual'!G218+parametros_recargas!$K$95*'Plan mensual'!G219+parametros_recargas!$L$95*'Plan mensual'!G220+parametros_recargas!$M$95*'Plan mensual'!G222</f>
        <v>370.786277807554</v>
      </c>
      <c r="F213" s="26" t="n">
        <f aca="false">parametros_recargas!$E$95*'Plan mensual'!H213+parametros_recargas!$F$95*'Plan mensual'!H214+parametros_recargas!$G$95*'Plan mensual'!H215+parametros_recargas!$H$95*'Plan mensual'!H216+parametros_recargas!$I$95*'Plan mensual'!H217+parametros_recargas!$J$95*'Plan mensual'!H218+parametros_recargas!$K$95*'Plan mensual'!H219+parametros_recargas!$L$95*'Plan mensual'!H220+parametros_recargas!$M$95*'Plan mensual'!H222</f>
        <v>370.786277807554</v>
      </c>
      <c r="G213" s="26" t="n">
        <f aca="false">parametros_recargas!$E$95*'Plan mensual'!I213+parametros_recargas!$F$95*'Plan mensual'!I214+parametros_recargas!$G$95*'Plan mensual'!I215+parametros_recargas!$H$95*'Plan mensual'!I216+parametros_recargas!$I$95*'Plan mensual'!I217+parametros_recargas!$J$95*'Plan mensual'!I218+parametros_recargas!$K$95*'Plan mensual'!I219+parametros_recargas!$L$95*'Plan mensual'!I220+parametros_recargas!$M$95*'Plan mensual'!I222</f>
        <v>370.786277807554</v>
      </c>
      <c r="H213" s="26" t="n">
        <f aca="false">parametros_recargas!$E$95*'Plan mensual'!J213+parametros_recargas!$F$95*'Plan mensual'!J214+parametros_recargas!$G$95*'Plan mensual'!J215+parametros_recargas!$H$95*'Plan mensual'!J216+parametros_recargas!$I$95*'Plan mensual'!J217+parametros_recargas!$J$95*'Plan mensual'!J218+parametros_recargas!$K$95*'Plan mensual'!J219+parametros_recargas!$L$95*'Plan mensual'!J220+parametros_recargas!$M$95*'Plan mensual'!J222</f>
        <v>370.786277807554</v>
      </c>
      <c r="I213" s="26" t="n">
        <f aca="false">parametros_recargas!$E$95*'Plan mensual'!K213+parametros_recargas!$F$95*'Plan mensual'!K214+parametros_recargas!$G$95*'Plan mensual'!K215+parametros_recargas!$H$95*'Plan mensual'!K216+parametros_recargas!$I$95*'Plan mensual'!K217+parametros_recargas!$J$95*'Plan mensual'!K218+parametros_recargas!$K$95*'Plan mensual'!K219+parametros_recargas!$L$95*'Plan mensual'!K220+parametros_recargas!$M$95*'Plan mensual'!K222</f>
        <v>370.786277807554</v>
      </c>
      <c r="J213" s="26" t="n">
        <f aca="false">parametros_recargas!$E$95*'Plan mensual'!L213+parametros_recargas!$F$95*'Plan mensual'!L214+parametros_recargas!$G$95*'Plan mensual'!L215+parametros_recargas!$H$95*'Plan mensual'!L216+parametros_recargas!$I$95*'Plan mensual'!L217+parametros_recargas!$J$95*'Plan mensual'!L218+parametros_recargas!$K$95*'Plan mensual'!L219+parametros_recargas!$L$95*'Plan mensual'!L220+parametros_recargas!$M$95*'Plan mensual'!L222</f>
        <v>370.786277807554</v>
      </c>
      <c r="K213" s="26" t="n">
        <f aca="false">parametros_recargas!$E$95*'Plan mensual'!M213+parametros_recargas!$F$95*'Plan mensual'!M214+parametros_recargas!$G$95*'Plan mensual'!M215+parametros_recargas!$H$95*'Plan mensual'!M216+parametros_recargas!$I$95*'Plan mensual'!M217+parametros_recargas!$J$95*'Plan mensual'!M218+parametros_recargas!$K$95*'Plan mensual'!M219+parametros_recargas!$L$95*'Plan mensual'!M220+parametros_recargas!$M$95*'Plan mensual'!M222</f>
        <v>370.786277807554</v>
      </c>
      <c r="L213" s="26" t="n">
        <f aca="false">parametros_recargas!$E$95*'Plan mensual'!N213+parametros_recargas!$F$95*'Plan mensual'!N214+parametros_recargas!$G$95*'Plan mensual'!N215+parametros_recargas!$H$95*'Plan mensual'!N216+parametros_recargas!$I$95*'Plan mensual'!N217+parametros_recargas!$J$95*'Plan mensual'!N218+parametros_recargas!$K$95*'Plan mensual'!N219+parametros_recargas!$L$95*'Plan mensual'!N220+parametros_recargas!$M$95*'Plan mensual'!N222</f>
        <v>370.786277807554</v>
      </c>
      <c r="M213" s="26" t="n">
        <f aca="false">parametros_recargas!$E$95*'Plan mensual'!O213+parametros_recargas!$F$95*'Plan mensual'!O214+parametros_recargas!$G$95*'Plan mensual'!O215+parametros_recargas!$H$95*'Plan mensual'!O216+parametros_recargas!$I$95*'Plan mensual'!O217+parametros_recargas!$J$95*'Plan mensual'!O218+parametros_recargas!$K$95*'Plan mensual'!O219+parametros_recargas!$L$95*'Plan mensual'!O220+parametros_recargas!$M$95*'Plan mensual'!O222</f>
        <v>370.786277807554</v>
      </c>
      <c r="N213" s="8" t="n">
        <f aca="false">SUM(B213:M213)</f>
        <v>4659.51153935378</v>
      </c>
      <c r="O213" s="27" t="n">
        <f aca="false">MAX(B213:M213)</f>
        <v>580.86248347068</v>
      </c>
      <c r="P213" s="13" t="n">
        <f aca="false">O213/parametros_recargas!$B$6</f>
        <v>3.8724165564712</v>
      </c>
    </row>
    <row r="214" customFormat="false" ht="15" hidden="false" customHeight="false" outlineLevel="0" collapsed="false">
      <c r="A214" s="10" t="str">
        <f aca="false">parametros_recargas!$B$96</f>
        <v>Ensamblaje y marbete — recinto</v>
      </c>
      <c r="B214" s="26" t="n">
        <f aca="false">parametros_recargas!$E$96*'Plan mensual'!D213+parametros_recargas!$F$96*'Plan mensual'!D214+parametros_recargas!$G$96*'Plan mensual'!D215+parametros_recargas!$H$96*'Plan mensual'!D216+parametros_recargas!$I$96*'Plan mensual'!D217+parametros_recargas!$J$96*'Plan mensual'!D218+parametros_recargas!$K$96*'Plan mensual'!D219+parametros_recargas!$L$96*'Plan mensual'!D220+parametros_recargas!$M$96*'Plan mensual'!D222</f>
        <v>5721.79726707331</v>
      </c>
      <c r="C214" s="26" t="n">
        <f aca="false">parametros_recargas!$E$96*'Plan mensual'!E213+parametros_recargas!$F$96*'Plan mensual'!E214+parametros_recargas!$G$96*'Plan mensual'!E215+parametros_recargas!$H$96*'Plan mensual'!E216+parametros_recargas!$I$96*'Plan mensual'!E217+parametros_recargas!$J$96*'Plan mensual'!E218+parametros_recargas!$K$96*'Plan mensual'!E219+parametros_recargas!$L$96*'Plan mensual'!E220+parametros_recargas!$M$96*'Plan mensual'!E222</f>
        <v>15640.7252510296</v>
      </c>
      <c r="D214" s="26" t="n">
        <f aca="false">parametros_recargas!$E$96*'Plan mensual'!F213+parametros_recargas!$F$96*'Plan mensual'!F214+parametros_recargas!$G$96*'Plan mensual'!F215+parametros_recargas!$H$96*'Plan mensual'!F216+parametros_recargas!$I$96*'Plan mensual'!F217+parametros_recargas!$J$96*'Plan mensual'!F218+parametros_recargas!$K$96*'Plan mensual'!F219+parametros_recargas!$L$96*'Plan mensual'!F220+parametros_recargas!$M$96*'Plan mensual'!F222</f>
        <v>13451.3889503384</v>
      </c>
      <c r="E214" s="26" t="n">
        <f aca="false">parametros_recargas!$E$96*'Plan mensual'!G213+parametros_recargas!$F$96*'Plan mensual'!G214+parametros_recargas!$G$96*'Plan mensual'!G215+parametros_recargas!$H$96*'Plan mensual'!G216+parametros_recargas!$I$96*'Plan mensual'!G217+parametros_recargas!$J$96*'Plan mensual'!G218+parametros_recargas!$K$96*'Plan mensual'!G219+parametros_recargas!$L$96*'Plan mensual'!G220+parametros_recargas!$M$96*'Plan mensual'!G222</f>
        <v>13511.1881879164</v>
      </c>
      <c r="F214" s="26" t="n">
        <f aca="false">parametros_recargas!$E$96*'Plan mensual'!H213+parametros_recargas!$F$96*'Plan mensual'!H214+parametros_recargas!$G$96*'Plan mensual'!H215+parametros_recargas!$H$96*'Plan mensual'!H216+parametros_recargas!$I$96*'Plan mensual'!H217+parametros_recargas!$J$96*'Plan mensual'!H218+parametros_recargas!$K$96*'Plan mensual'!H219+parametros_recargas!$L$96*'Plan mensual'!H220+parametros_recargas!$M$96*'Plan mensual'!H222</f>
        <v>13513.4120741267</v>
      </c>
      <c r="G214" s="26" t="n">
        <f aca="false">parametros_recargas!$E$96*'Plan mensual'!I213+parametros_recargas!$F$96*'Plan mensual'!I214+parametros_recargas!$G$96*'Plan mensual'!I215+parametros_recargas!$H$96*'Plan mensual'!I216+parametros_recargas!$I$96*'Plan mensual'!I217+parametros_recargas!$J$96*'Plan mensual'!I218+parametros_recargas!$K$96*'Plan mensual'!I219+parametros_recargas!$L$96*'Plan mensual'!I220+parametros_recargas!$M$96*'Plan mensual'!I222</f>
        <v>13483.9224384388</v>
      </c>
      <c r="H214" s="26" t="n">
        <f aca="false">parametros_recargas!$E$96*'Plan mensual'!J213+parametros_recargas!$F$96*'Plan mensual'!J214+parametros_recargas!$G$96*'Plan mensual'!J215+parametros_recargas!$H$96*'Plan mensual'!J216+parametros_recargas!$I$96*'Plan mensual'!J217+parametros_recargas!$J$96*'Plan mensual'!J218+parametros_recargas!$K$96*'Plan mensual'!J219+parametros_recargas!$L$96*'Plan mensual'!J220+parametros_recargas!$M$96*'Plan mensual'!J222</f>
        <v>13574.4022440161</v>
      </c>
      <c r="I214" s="26" t="n">
        <f aca="false">parametros_recargas!$E$96*'Plan mensual'!K213+parametros_recargas!$F$96*'Plan mensual'!K214+parametros_recargas!$G$96*'Plan mensual'!K215+parametros_recargas!$H$96*'Plan mensual'!K216+parametros_recargas!$I$96*'Plan mensual'!K217+parametros_recargas!$J$96*'Plan mensual'!K218+parametros_recargas!$K$96*'Plan mensual'!K219+parametros_recargas!$L$96*'Plan mensual'!K220+parametros_recargas!$M$96*'Plan mensual'!K222</f>
        <v>13507.1055462047</v>
      </c>
      <c r="J214" s="26" t="n">
        <f aca="false">parametros_recargas!$E$96*'Plan mensual'!L213+parametros_recargas!$F$96*'Plan mensual'!L214+parametros_recargas!$G$96*'Plan mensual'!L215+parametros_recargas!$H$96*'Plan mensual'!L216+parametros_recargas!$I$96*'Plan mensual'!L217+parametros_recargas!$J$96*'Plan mensual'!L218+parametros_recargas!$K$96*'Plan mensual'!L219+parametros_recargas!$L$96*'Plan mensual'!L220+parametros_recargas!$M$96*'Plan mensual'!L222</f>
        <v>13517.5169627161</v>
      </c>
      <c r="K214" s="26" t="n">
        <f aca="false">parametros_recargas!$E$96*'Plan mensual'!M213+parametros_recargas!$F$96*'Plan mensual'!M214+parametros_recargas!$G$96*'Plan mensual'!M215+parametros_recargas!$H$96*'Plan mensual'!M216+parametros_recargas!$I$96*'Plan mensual'!M217+parametros_recargas!$J$96*'Plan mensual'!M218+parametros_recargas!$K$96*'Plan mensual'!M219+parametros_recargas!$L$96*'Plan mensual'!M220+parametros_recargas!$M$96*'Plan mensual'!M222</f>
        <v>13481.7659101787</v>
      </c>
      <c r="L214" s="26" t="n">
        <f aca="false">parametros_recargas!$E$96*'Plan mensual'!N213+parametros_recargas!$F$96*'Plan mensual'!N214+parametros_recargas!$G$96*'Plan mensual'!N215+parametros_recargas!$H$96*'Plan mensual'!N216+parametros_recargas!$I$96*'Plan mensual'!N217+parametros_recargas!$J$96*'Plan mensual'!N218+parametros_recargas!$K$96*'Plan mensual'!N219+parametros_recargas!$L$96*'Plan mensual'!N220+parametros_recargas!$M$96*'Plan mensual'!N222</f>
        <v>13331.3968638779</v>
      </c>
      <c r="M214" s="26" t="n">
        <f aca="false">parametros_recargas!$E$96*'Plan mensual'!O213+parametros_recargas!$F$96*'Plan mensual'!O214+parametros_recargas!$G$96*'Plan mensual'!O215+parametros_recargas!$H$96*'Plan mensual'!O216+parametros_recargas!$I$96*'Plan mensual'!O217+parametros_recargas!$J$96*'Plan mensual'!O218+parametros_recargas!$K$96*'Plan mensual'!O219+parametros_recargas!$L$96*'Plan mensual'!O220+parametros_recargas!$M$96*'Plan mensual'!O222</f>
        <v>5317.59299644321</v>
      </c>
      <c r="N214" s="8" t="n">
        <f aca="false">SUM(B214:M214)</f>
        <v>148052.21469236</v>
      </c>
      <c r="O214" s="27" t="n">
        <f aca="false">MAX(B214:M214)</f>
        <v>15640.7252510296</v>
      </c>
      <c r="P214" s="13" t="n">
        <f aca="false">O214/parametros_recargas!$B$6</f>
        <v>104.27150167353</v>
      </c>
    </row>
    <row r="215" customFormat="false" ht="15" hidden="false" customHeight="false" outlineLevel="0" collapsed="false">
      <c r="A215" s="10" t="str">
        <f aca="false">parametros_recargas!$B$97</f>
        <v>Presurización — recinto</v>
      </c>
      <c r="B215" s="26" t="n">
        <f aca="false">parametros_recargas!$E$97*'Plan mensual'!D213+parametros_recargas!$F$97*'Plan mensual'!D214+parametros_recargas!$G$97*'Plan mensual'!D215+parametros_recargas!$H$97*'Plan mensual'!D216+parametros_recargas!$I$97*'Plan mensual'!D217+parametros_recargas!$J$97*'Plan mensual'!D218+parametros_recargas!$K$97*'Plan mensual'!D219+parametros_recargas!$L$97*'Plan mensual'!D220+parametros_recargas!$M$97*'Plan mensual'!D222</f>
        <v>5721.79726707331</v>
      </c>
      <c r="C215" s="26" t="n">
        <f aca="false">parametros_recargas!$E$97*'Plan mensual'!E213+parametros_recargas!$F$97*'Plan mensual'!E214+parametros_recargas!$G$97*'Plan mensual'!E215+parametros_recargas!$H$97*'Plan mensual'!E216+parametros_recargas!$I$97*'Plan mensual'!E217+parametros_recargas!$J$97*'Plan mensual'!E218+parametros_recargas!$K$97*'Plan mensual'!E219+parametros_recargas!$L$97*'Plan mensual'!E220+parametros_recargas!$M$97*'Plan mensual'!E222</f>
        <v>15640.7252510296</v>
      </c>
      <c r="D215" s="26" t="n">
        <f aca="false">parametros_recargas!$E$97*'Plan mensual'!F213+parametros_recargas!$F$97*'Plan mensual'!F214+parametros_recargas!$G$97*'Plan mensual'!F215+parametros_recargas!$H$97*'Plan mensual'!F216+parametros_recargas!$I$97*'Plan mensual'!F217+parametros_recargas!$J$97*'Plan mensual'!F218+parametros_recargas!$K$97*'Plan mensual'!F219+parametros_recargas!$L$97*'Plan mensual'!F220+parametros_recargas!$M$97*'Plan mensual'!F222</f>
        <v>13451.3889503384</v>
      </c>
      <c r="E215" s="26" t="n">
        <f aca="false">parametros_recargas!$E$97*'Plan mensual'!G213+parametros_recargas!$F$97*'Plan mensual'!G214+parametros_recargas!$G$97*'Plan mensual'!G215+parametros_recargas!$H$97*'Plan mensual'!G216+parametros_recargas!$I$97*'Plan mensual'!G217+parametros_recargas!$J$97*'Plan mensual'!G218+parametros_recargas!$K$97*'Plan mensual'!G219+parametros_recargas!$L$97*'Plan mensual'!G220+parametros_recargas!$M$97*'Plan mensual'!G222</f>
        <v>13511.1881879164</v>
      </c>
      <c r="F215" s="26" t="n">
        <f aca="false">parametros_recargas!$E$97*'Plan mensual'!H213+parametros_recargas!$F$97*'Plan mensual'!H214+parametros_recargas!$G$97*'Plan mensual'!H215+parametros_recargas!$H$97*'Plan mensual'!H216+parametros_recargas!$I$97*'Plan mensual'!H217+parametros_recargas!$J$97*'Plan mensual'!H218+parametros_recargas!$K$97*'Plan mensual'!H219+parametros_recargas!$L$97*'Plan mensual'!H220+parametros_recargas!$M$97*'Plan mensual'!H222</f>
        <v>13513.4120741267</v>
      </c>
      <c r="G215" s="26" t="n">
        <f aca="false">parametros_recargas!$E$97*'Plan mensual'!I213+parametros_recargas!$F$97*'Plan mensual'!I214+parametros_recargas!$G$97*'Plan mensual'!I215+parametros_recargas!$H$97*'Plan mensual'!I216+parametros_recargas!$I$97*'Plan mensual'!I217+parametros_recargas!$J$97*'Plan mensual'!I218+parametros_recargas!$K$97*'Plan mensual'!I219+parametros_recargas!$L$97*'Plan mensual'!I220+parametros_recargas!$M$97*'Plan mensual'!I222</f>
        <v>13483.9224384388</v>
      </c>
      <c r="H215" s="26" t="n">
        <f aca="false">parametros_recargas!$E$97*'Plan mensual'!J213+parametros_recargas!$F$97*'Plan mensual'!J214+parametros_recargas!$G$97*'Plan mensual'!J215+parametros_recargas!$H$97*'Plan mensual'!J216+parametros_recargas!$I$97*'Plan mensual'!J217+parametros_recargas!$J$97*'Plan mensual'!J218+parametros_recargas!$K$97*'Plan mensual'!J219+parametros_recargas!$L$97*'Plan mensual'!J220+parametros_recargas!$M$97*'Plan mensual'!J222</f>
        <v>13574.4022440161</v>
      </c>
      <c r="I215" s="26" t="n">
        <f aca="false">parametros_recargas!$E$97*'Plan mensual'!K213+parametros_recargas!$F$97*'Plan mensual'!K214+parametros_recargas!$G$97*'Plan mensual'!K215+parametros_recargas!$H$97*'Plan mensual'!K216+parametros_recargas!$I$97*'Plan mensual'!K217+parametros_recargas!$J$97*'Plan mensual'!K218+parametros_recargas!$K$97*'Plan mensual'!K219+parametros_recargas!$L$97*'Plan mensual'!K220+parametros_recargas!$M$97*'Plan mensual'!K222</f>
        <v>13507.1055462047</v>
      </c>
      <c r="J215" s="26" t="n">
        <f aca="false">parametros_recargas!$E$97*'Plan mensual'!L213+parametros_recargas!$F$97*'Plan mensual'!L214+parametros_recargas!$G$97*'Plan mensual'!L215+parametros_recargas!$H$97*'Plan mensual'!L216+parametros_recargas!$I$97*'Plan mensual'!L217+parametros_recargas!$J$97*'Plan mensual'!L218+parametros_recargas!$K$97*'Plan mensual'!L219+parametros_recargas!$L$97*'Plan mensual'!L220+parametros_recargas!$M$97*'Plan mensual'!L222</f>
        <v>13517.5169627161</v>
      </c>
      <c r="K215" s="26" t="n">
        <f aca="false">parametros_recargas!$E$97*'Plan mensual'!M213+parametros_recargas!$F$97*'Plan mensual'!M214+parametros_recargas!$G$97*'Plan mensual'!M215+parametros_recargas!$H$97*'Plan mensual'!M216+parametros_recargas!$I$97*'Plan mensual'!M217+parametros_recargas!$J$97*'Plan mensual'!M218+parametros_recargas!$K$97*'Plan mensual'!M219+parametros_recargas!$L$97*'Plan mensual'!M220+parametros_recargas!$M$97*'Plan mensual'!M222</f>
        <v>13481.7659101787</v>
      </c>
      <c r="L215" s="26" t="n">
        <f aca="false">parametros_recargas!$E$97*'Plan mensual'!N213+parametros_recargas!$F$97*'Plan mensual'!N214+parametros_recargas!$G$97*'Plan mensual'!N215+parametros_recargas!$H$97*'Plan mensual'!N216+parametros_recargas!$I$97*'Plan mensual'!N217+parametros_recargas!$J$97*'Plan mensual'!N218+parametros_recargas!$K$97*'Plan mensual'!N219+parametros_recargas!$L$97*'Plan mensual'!N220+parametros_recargas!$M$97*'Plan mensual'!N222</f>
        <v>13331.3968638779</v>
      </c>
      <c r="M215" s="26" t="n">
        <f aca="false">parametros_recargas!$E$97*'Plan mensual'!O213+parametros_recargas!$F$97*'Plan mensual'!O214+parametros_recargas!$G$97*'Plan mensual'!O215+parametros_recargas!$H$97*'Plan mensual'!O216+parametros_recargas!$I$97*'Plan mensual'!O217+parametros_recargas!$J$97*'Plan mensual'!O218+parametros_recargas!$K$97*'Plan mensual'!O219+parametros_recargas!$L$97*'Plan mensual'!O220+parametros_recargas!$M$97*'Plan mensual'!O222</f>
        <v>5317.59299644321</v>
      </c>
      <c r="N215" s="8" t="n">
        <f aca="false">SUM(B215:M215)</f>
        <v>148052.21469236</v>
      </c>
      <c r="O215" s="27" t="n">
        <f aca="false">MAX(B215:M215)</f>
        <v>15640.7252510296</v>
      </c>
      <c r="P215" s="13" t="n">
        <f aca="false">O215/parametros_recargas!$B$6</f>
        <v>104.27150167353</v>
      </c>
    </row>
    <row r="216" customFormat="false" ht="15" hidden="false" customHeight="false" outlineLevel="0" collapsed="false">
      <c r="A216" s="10" t="str">
        <f aca="false">parametros_recargas!$B$98</f>
        <v>Ensamblaje y presurización — zona general</v>
      </c>
      <c r="B216" s="26" t="n">
        <f aca="false">parametros_recargas!$E$98*'Plan mensual'!D213+parametros_recargas!$F$98*'Plan mensual'!D214+parametros_recargas!$G$98*'Plan mensual'!D215+parametros_recargas!$H$98*'Plan mensual'!D216+parametros_recargas!$I$98*'Plan mensual'!D217+parametros_recargas!$J$98*'Plan mensual'!D218+parametros_recargas!$K$98*'Plan mensual'!D219+parametros_recargas!$L$98*'Plan mensual'!D220+parametros_recargas!$M$98*'Plan mensual'!D222</f>
        <v>1014.26856393385</v>
      </c>
      <c r="C216" s="26" t="n">
        <f aca="false">parametros_recargas!$E$98*'Plan mensual'!E213+parametros_recargas!$F$98*'Plan mensual'!E214+parametros_recargas!$G$98*'Plan mensual'!E215+parametros_recargas!$H$98*'Plan mensual'!E216+parametros_recargas!$I$98*'Plan mensual'!E217+parametros_recargas!$J$98*'Plan mensual'!E218+parametros_recargas!$K$98*'Plan mensual'!E219+parametros_recargas!$L$98*'Plan mensual'!E220+parametros_recargas!$M$98*'Plan mensual'!E222</f>
        <v>1474.07607178178</v>
      </c>
      <c r="D216" s="26" t="n">
        <f aca="false">parametros_recargas!$E$98*'Plan mensual'!F213+parametros_recargas!$F$98*'Plan mensual'!F214+parametros_recargas!$G$98*'Plan mensual'!F215+parametros_recargas!$H$98*'Plan mensual'!F216+parametros_recargas!$I$98*'Plan mensual'!F217+parametros_recargas!$J$98*'Plan mensual'!F218+parametros_recargas!$K$98*'Plan mensual'!F219+parametros_recargas!$L$98*'Plan mensual'!F220+parametros_recargas!$M$98*'Plan mensual'!F222</f>
        <v>1014.26856393385</v>
      </c>
      <c r="E216" s="26" t="n">
        <f aca="false">parametros_recargas!$E$98*'Plan mensual'!G213+parametros_recargas!$F$98*'Plan mensual'!G214+parametros_recargas!$G$98*'Plan mensual'!G215+parametros_recargas!$H$98*'Plan mensual'!G216+parametros_recargas!$I$98*'Plan mensual'!G217+parametros_recargas!$J$98*'Plan mensual'!G218+parametros_recargas!$K$98*'Plan mensual'!G219+parametros_recargas!$L$98*'Plan mensual'!G220+parametros_recargas!$M$98*'Plan mensual'!G222</f>
        <v>1014.26856393385</v>
      </c>
      <c r="F216" s="26" t="n">
        <f aca="false">parametros_recargas!$E$98*'Plan mensual'!H213+parametros_recargas!$F$98*'Plan mensual'!H214+parametros_recargas!$G$98*'Plan mensual'!H215+parametros_recargas!$H$98*'Plan mensual'!H216+parametros_recargas!$I$98*'Plan mensual'!H217+parametros_recargas!$J$98*'Plan mensual'!H218+parametros_recargas!$K$98*'Plan mensual'!H219+parametros_recargas!$L$98*'Plan mensual'!H220+parametros_recargas!$M$98*'Plan mensual'!H222</f>
        <v>1014.26856393385</v>
      </c>
      <c r="G216" s="26" t="n">
        <f aca="false">parametros_recargas!$E$98*'Plan mensual'!I213+parametros_recargas!$F$98*'Plan mensual'!I214+parametros_recargas!$G$98*'Plan mensual'!I215+parametros_recargas!$H$98*'Plan mensual'!I216+parametros_recargas!$I$98*'Plan mensual'!I217+parametros_recargas!$J$98*'Plan mensual'!I218+parametros_recargas!$K$98*'Plan mensual'!I219+parametros_recargas!$L$98*'Plan mensual'!I220+parametros_recargas!$M$98*'Plan mensual'!I222</f>
        <v>1014.26856393385</v>
      </c>
      <c r="H216" s="26" t="n">
        <f aca="false">parametros_recargas!$E$98*'Plan mensual'!J213+parametros_recargas!$F$98*'Plan mensual'!J214+parametros_recargas!$G$98*'Plan mensual'!J215+parametros_recargas!$H$98*'Plan mensual'!J216+parametros_recargas!$I$98*'Plan mensual'!J217+parametros_recargas!$J$98*'Plan mensual'!J218+parametros_recargas!$K$98*'Plan mensual'!J219+parametros_recargas!$L$98*'Plan mensual'!J220+parametros_recargas!$M$98*'Plan mensual'!J222</f>
        <v>1014.26856393385</v>
      </c>
      <c r="I216" s="26" t="n">
        <f aca="false">parametros_recargas!$E$98*'Plan mensual'!K213+parametros_recargas!$F$98*'Plan mensual'!K214+parametros_recargas!$G$98*'Plan mensual'!K215+parametros_recargas!$H$98*'Plan mensual'!K216+parametros_recargas!$I$98*'Plan mensual'!K217+parametros_recargas!$J$98*'Plan mensual'!K218+parametros_recargas!$K$98*'Plan mensual'!K219+parametros_recargas!$L$98*'Plan mensual'!K220+parametros_recargas!$M$98*'Plan mensual'!K222</f>
        <v>1014.26856393385</v>
      </c>
      <c r="J216" s="26" t="n">
        <f aca="false">parametros_recargas!$E$98*'Plan mensual'!L213+parametros_recargas!$F$98*'Plan mensual'!L214+parametros_recargas!$G$98*'Plan mensual'!L215+parametros_recargas!$H$98*'Plan mensual'!L216+parametros_recargas!$I$98*'Plan mensual'!L217+parametros_recargas!$J$98*'Plan mensual'!L218+parametros_recargas!$K$98*'Plan mensual'!L219+parametros_recargas!$L$98*'Plan mensual'!L220+parametros_recargas!$M$98*'Plan mensual'!L222</f>
        <v>1014.26856393385</v>
      </c>
      <c r="K216" s="26" t="n">
        <f aca="false">parametros_recargas!$E$98*'Plan mensual'!M213+parametros_recargas!$F$98*'Plan mensual'!M214+parametros_recargas!$G$98*'Plan mensual'!M215+parametros_recargas!$H$98*'Plan mensual'!M216+parametros_recargas!$I$98*'Plan mensual'!M217+parametros_recargas!$J$98*'Plan mensual'!M218+parametros_recargas!$K$98*'Plan mensual'!M219+parametros_recargas!$L$98*'Plan mensual'!M220+parametros_recargas!$M$98*'Plan mensual'!M222</f>
        <v>1014.26856393385</v>
      </c>
      <c r="L216" s="26" t="n">
        <f aca="false">parametros_recargas!$E$98*'Plan mensual'!N213+parametros_recargas!$F$98*'Plan mensual'!N214+parametros_recargas!$G$98*'Plan mensual'!N215+parametros_recargas!$H$98*'Plan mensual'!N216+parametros_recargas!$I$98*'Plan mensual'!N217+parametros_recargas!$J$98*'Plan mensual'!N218+parametros_recargas!$K$98*'Plan mensual'!N219+parametros_recargas!$L$98*'Plan mensual'!N220+parametros_recargas!$M$98*'Plan mensual'!N222</f>
        <v>1014.26856393385</v>
      </c>
      <c r="M216" s="26" t="n">
        <f aca="false">parametros_recargas!$E$98*'Plan mensual'!O213+parametros_recargas!$F$98*'Plan mensual'!O214+parametros_recargas!$G$98*'Plan mensual'!O215+parametros_recargas!$H$98*'Plan mensual'!O216+parametros_recargas!$I$98*'Plan mensual'!O217+parametros_recargas!$J$98*'Plan mensual'!O218+parametros_recargas!$K$98*'Plan mensual'!O219+parametros_recargas!$L$98*'Plan mensual'!O220+parametros_recargas!$M$98*'Plan mensual'!O222</f>
        <v>1014.26856393385</v>
      </c>
      <c r="N216" s="8" t="n">
        <f aca="false">SUM(B216:M216)</f>
        <v>12631.0302750542</v>
      </c>
      <c r="O216" s="27" t="n">
        <f aca="false">MAX(B216:M216)</f>
        <v>1474.07607178178</v>
      </c>
      <c r="P216" s="13" t="n">
        <f aca="false">O216/parametros_recargas!$B$6</f>
        <v>9.82717381187854</v>
      </c>
    </row>
    <row r="217" customFormat="false" ht="15" hidden="false" customHeight="false" outlineLevel="0" collapsed="false">
      <c r="A217" s="10" t="str">
        <f aca="false">parametros_recargas!$B$99</f>
        <v>Carga y presurización de halogenado</v>
      </c>
      <c r="B217" s="26" t="n">
        <f aca="false">parametros_recargas!$E$99*'Plan mensual'!D213+parametros_recargas!$F$99*'Plan mensual'!D214+parametros_recargas!$G$99*'Plan mensual'!D215+parametros_recargas!$H$99*'Plan mensual'!D216+parametros_recargas!$I$99*'Plan mensual'!D217+parametros_recargas!$J$99*'Plan mensual'!D218+parametros_recargas!$K$99*'Plan mensual'!D219+parametros_recargas!$L$99*'Plan mensual'!D220+parametros_recargas!$M$99*'Plan mensual'!D222</f>
        <v>15.5731721849891</v>
      </c>
      <c r="C217" s="26" t="n">
        <f aca="false">parametros_recargas!$E$99*'Plan mensual'!E213+parametros_recargas!$F$99*'Plan mensual'!E214+parametros_recargas!$G$99*'Plan mensual'!E215+parametros_recargas!$H$99*'Plan mensual'!E216+parametros_recargas!$I$99*'Plan mensual'!E217+parametros_recargas!$J$99*'Plan mensual'!E218+parametros_recargas!$K$99*'Plan mensual'!E219+parametros_recargas!$L$99*'Plan mensual'!E220+parametros_recargas!$M$99*'Plan mensual'!E222</f>
        <v>15.5731721849891</v>
      </c>
      <c r="D217" s="26" t="n">
        <f aca="false">parametros_recargas!$E$99*'Plan mensual'!F213+parametros_recargas!$F$99*'Plan mensual'!F214+parametros_recargas!$G$99*'Plan mensual'!F215+parametros_recargas!$H$99*'Plan mensual'!F216+parametros_recargas!$I$99*'Plan mensual'!F217+parametros_recargas!$J$99*'Plan mensual'!F218+parametros_recargas!$K$99*'Plan mensual'!F219+parametros_recargas!$L$99*'Plan mensual'!F220+parametros_recargas!$M$99*'Plan mensual'!F222</f>
        <v>15.5731721849891</v>
      </c>
      <c r="E217" s="26" t="n">
        <f aca="false">parametros_recargas!$E$99*'Plan mensual'!G213+parametros_recargas!$F$99*'Plan mensual'!G214+parametros_recargas!$G$99*'Plan mensual'!G215+parametros_recargas!$H$99*'Plan mensual'!G216+parametros_recargas!$I$99*'Plan mensual'!G217+parametros_recargas!$J$99*'Plan mensual'!G218+parametros_recargas!$K$99*'Plan mensual'!G219+parametros_recargas!$L$99*'Plan mensual'!G220+parametros_recargas!$M$99*'Plan mensual'!G222</f>
        <v>15.5731721849891</v>
      </c>
      <c r="F217" s="26" t="n">
        <f aca="false">parametros_recargas!$E$99*'Plan mensual'!H213+parametros_recargas!$F$99*'Plan mensual'!H214+parametros_recargas!$G$99*'Plan mensual'!H215+parametros_recargas!$H$99*'Plan mensual'!H216+parametros_recargas!$I$99*'Plan mensual'!H217+parametros_recargas!$J$99*'Plan mensual'!H218+parametros_recargas!$K$99*'Plan mensual'!H219+parametros_recargas!$L$99*'Plan mensual'!H220+parametros_recargas!$M$99*'Plan mensual'!H222</f>
        <v>15.5731721849891</v>
      </c>
      <c r="G217" s="26" t="n">
        <f aca="false">parametros_recargas!$E$99*'Plan mensual'!I213+parametros_recargas!$F$99*'Plan mensual'!I214+parametros_recargas!$G$99*'Plan mensual'!I215+parametros_recargas!$H$99*'Plan mensual'!I216+parametros_recargas!$I$99*'Plan mensual'!I217+parametros_recargas!$J$99*'Plan mensual'!I218+parametros_recargas!$K$99*'Plan mensual'!I219+parametros_recargas!$L$99*'Plan mensual'!I220+parametros_recargas!$M$99*'Plan mensual'!I222</f>
        <v>15.5731721849891</v>
      </c>
      <c r="H217" s="26" t="n">
        <f aca="false">parametros_recargas!$E$99*'Plan mensual'!J213+parametros_recargas!$F$99*'Plan mensual'!J214+parametros_recargas!$G$99*'Plan mensual'!J215+parametros_recargas!$H$99*'Plan mensual'!J216+parametros_recargas!$I$99*'Plan mensual'!J217+parametros_recargas!$J$99*'Plan mensual'!J218+parametros_recargas!$K$99*'Plan mensual'!J219+parametros_recargas!$L$99*'Plan mensual'!J220+parametros_recargas!$M$99*'Plan mensual'!J222</f>
        <v>15.5731721849891</v>
      </c>
      <c r="I217" s="26" t="n">
        <f aca="false">parametros_recargas!$E$99*'Plan mensual'!K213+parametros_recargas!$F$99*'Plan mensual'!K214+parametros_recargas!$G$99*'Plan mensual'!K215+parametros_recargas!$H$99*'Plan mensual'!K216+parametros_recargas!$I$99*'Plan mensual'!K217+parametros_recargas!$J$99*'Plan mensual'!K218+parametros_recargas!$K$99*'Plan mensual'!K219+parametros_recargas!$L$99*'Plan mensual'!K220+parametros_recargas!$M$99*'Plan mensual'!K222</f>
        <v>15.5731721849891</v>
      </c>
      <c r="J217" s="26" t="n">
        <f aca="false">parametros_recargas!$E$99*'Plan mensual'!L213+parametros_recargas!$F$99*'Plan mensual'!L214+parametros_recargas!$G$99*'Plan mensual'!L215+parametros_recargas!$H$99*'Plan mensual'!L216+parametros_recargas!$I$99*'Plan mensual'!L217+parametros_recargas!$J$99*'Plan mensual'!L218+parametros_recargas!$K$99*'Plan mensual'!L219+parametros_recargas!$L$99*'Plan mensual'!L220+parametros_recargas!$M$99*'Plan mensual'!L222</f>
        <v>15.5731721849891</v>
      </c>
      <c r="K217" s="26" t="n">
        <f aca="false">parametros_recargas!$E$99*'Plan mensual'!M213+parametros_recargas!$F$99*'Plan mensual'!M214+parametros_recargas!$G$99*'Plan mensual'!M215+parametros_recargas!$H$99*'Plan mensual'!M216+parametros_recargas!$I$99*'Plan mensual'!M217+parametros_recargas!$J$99*'Plan mensual'!M218+parametros_recargas!$K$99*'Plan mensual'!M219+parametros_recargas!$L$99*'Plan mensual'!M220+parametros_recargas!$M$99*'Plan mensual'!M222</f>
        <v>15.5731721849891</v>
      </c>
      <c r="L217" s="26" t="n">
        <f aca="false">parametros_recargas!$E$99*'Plan mensual'!N213+parametros_recargas!$F$99*'Plan mensual'!N214+parametros_recargas!$G$99*'Plan mensual'!N215+parametros_recargas!$H$99*'Plan mensual'!N216+parametros_recargas!$I$99*'Plan mensual'!N217+parametros_recargas!$J$99*'Plan mensual'!N218+parametros_recargas!$K$99*'Plan mensual'!N219+parametros_recargas!$L$99*'Plan mensual'!N220+parametros_recargas!$M$99*'Plan mensual'!N222</f>
        <v>15.5731721849891</v>
      </c>
      <c r="M217" s="26" t="n">
        <f aca="false">parametros_recargas!$E$99*'Plan mensual'!O213+parametros_recargas!$F$99*'Plan mensual'!O214+parametros_recargas!$G$99*'Plan mensual'!O215+parametros_recargas!$H$99*'Plan mensual'!O216+parametros_recargas!$I$99*'Plan mensual'!O217+parametros_recargas!$J$99*'Plan mensual'!O218+parametros_recargas!$K$99*'Plan mensual'!O219+parametros_recargas!$L$99*'Plan mensual'!O220+parametros_recargas!$M$99*'Plan mensual'!O222</f>
        <v>15.5731721849891</v>
      </c>
      <c r="N217" s="8" t="n">
        <f aca="false">SUM(B217:M217)</f>
        <v>186.878066219869</v>
      </c>
      <c r="O217" s="27" t="n">
        <f aca="false">MAX(B217:M217)</f>
        <v>15.5731721849891</v>
      </c>
      <c r="P217" s="13" t="n">
        <f aca="false">O217/parametros_recargas!$B$6</f>
        <v>0.103821147899927</v>
      </c>
    </row>
    <row r="218" customFormat="false" ht="15" hidden="false" customHeight="false" outlineLevel="0" collapsed="false">
      <c r="A218" s="10" t="str">
        <f aca="false">parametros_recargas!$B$100</f>
        <v>Control de peso (CO₂ y halogenados sin recarga)</v>
      </c>
      <c r="B218" s="26" t="n">
        <f aca="false">parametros_recargas!$E$100*'Plan mensual'!D213+parametros_recargas!$F$100*'Plan mensual'!D214+parametros_recargas!$G$100*'Plan mensual'!D215+parametros_recargas!$H$100*'Plan mensual'!D216+parametros_recargas!$I$100*'Plan mensual'!D217+parametros_recargas!$J$100*'Plan mensual'!D218+parametros_recargas!$K$100*'Plan mensual'!D219+parametros_recargas!$L$100*'Plan mensual'!D220+parametros_recargas!$M$100*'Plan mensual'!D222</f>
        <v>717.524692843295</v>
      </c>
      <c r="C218" s="26" t="n">
        <f aca="false">parametros_recargas!$E$100*'Plan mensual'!E213+parametros_recargas!$F$100*'Plan mensual'!E214+parametros_recargas!$G$100*'Plan mensual'!E215+parametros_recargas!$H$100*'Plan mensual'!E216+parametros_recargas!$I$100*'Plan mensual'!E217+parametros_recargas!$J$100*'Plan mensual'!E218+parametros_recargas!$K$100*'Plan mensual'!E219+parametros_recargas!$L$100*'Plan mensual'!E220+parametros_recargas!$M$100*'Plan mensual'!E222</f>
        <v>1107.66621764624</v>
      </c>
      <c r="D218" s="26" t="n">
        <f aca="false">parametros_recargas!$E$100*'Plan mensual'!F213+parametros_recargas!$F$100*'Plan mensual'!F214+parametros_recargas!$G$100*'Plan mensual'!F215+parametros_recargas!$H$100*'Plan mensual'!F216+parametros_recargas!$I$100*'Plan mensual'!F217+parametros_recargas!$J$100*'Plan mensual'!F218+parametros_recargas!$K$100*'Plan mensual'!F219+parametros_recargas!$L$100*'Plan mensual'!F220+parametros_recargas!$M$100*'Plan mensual'!F222</f>
        <v>717.524692843295</v>
      </c>
      <c r="E218" s="26" t="n">
        <f aca="false">parametros_recargas!$E$100*'Plan mensual'!G213+parametros_recargas!$F$100*'Plan mensual'!G214+parametros_recargas!$G$100*'Plan mensual'!G215+parametros_recargas!$H$100*'Plan mensual'!G216+parametros_recargas!$I$100*'Plan mensual'!G217+parametros_recargas!$J$100*'Plan mensual'!G218+parametros_recargas!$K$100*'Plan mensual'!G219+parametros_recargas!$L$100*'Plan mensual'!G220+parametros_recargas!$M$100*'Plan mensual'!G222</f>
        <v>717.524692843295</v>
      </c>
      <c r="F218" s="26" t="n">
        <f aca="false">parametros_recargas!$E$100*'Plan mensual'!H213+parametros_recargas!$F$100*'Plan mensual'!H214+parametros_recargas!$G$100*'Plan mensual'!H215+parametros_recargas!$H$100*'Plan mensual'!H216+parametros_recargas!$I$100*'Plan mensual'!H217+parametros_recargas!$J$100*'Plan mensual'!H218+parametros_recargas!$K$100*'Plan mensual'!H219+parametros_recargas!$L$100*'Plan mensual'!H220+parametros_recargas!$M$100*'Plan mensual'!H222</f>
        <v>717.524692843295</v>
      </c>
      <c r="G218" s="26" t="n">
        <f aca="false">parametros_recargas!$E$100*'Plan mensual'!I213+parametros_recargas!$F$100*'Plan mensual'!I214+parametros_recargas!$G$100*'Plan mensual'!I215+parametros_recargas!$H$100*'Plan mensual'!I216+parametros_recargas!$I$100*'Plan mensual'!I217+parametros_recargas!$J$100*'Plan mensual'!I218+parametros_recargas!$K$100*'Plan mensual'!I219+parametros_recargas!$L$100*'Plan mensual'!I220+parametros_recargas!$M$100*'Plan mensual'!I222</f>
        <v>717.524692843295</v>
      </c>
      <c r="H218" s="26" t="n">
        <f aca="false">parametros_recargas!$E$100*'Plan mensual'!J213+parametros_recargas!$F$100*'Plan mensual'!J214+parametros_recargas!$G$100*'Plan mensual'!J215+parametros_recargas!$H$100*'Plan mensual'!J216+parametros_recargas!$I$100*'Plan mensual'!J217+parametros_recargas!$J$100*'Plan mensual'!J218+parametros_recargas!$K$100*'Plan mensual'!J219+parametros_recargas!$L$100*'Plan mensual'!J220+parametros_recargas!$M$100*'Plan mensual'!J222</f>
        <v>717.524692843295</v>
      </c>
      <c r="I218" s="26" t="n">
        <f aca="false">parametros_recargas!$E$100*'Plan mensual'!K213+parametros_recargas!$F$100*'Plan mensual'!K214+parametros_recargas!$G$100*'Plan mensual'!K215+parametros_recargas!$H$100*'Plan mensual'!K216+parametros_recargas!$I$100*'Plan mensual'!K217+parametros_recargas!$J$100*'Plan mensual'!K218+parametros_recargas!$K$100*'Plan mensual'!K219+parametros_recargas!$L$100*'Plan mensual'!K220+parametros_recargas!$M$100*'Plan mensual'!K222</f>
        <v>717.524692843295</v>
      </c>
      <c r="J218" s="26" t="n">
        <f aca="false">parametros_recargas!$E$100*'Plan mensual'!L213+parametros_recargas!$F$100*'Plan mensual'!L214+parametros_recargas!$G$100*'Plan mensual'!L215+parametros_recargas!$H$100*'Plan mensual'!L216+parametros_recargas!$I$100*'Plan mensual'!L217+parametros_recargas!$J$100*'Plan mensual'!L218+parametros_recargas!$K$100*'Plan mensual'!L219+parametros_recargas!$L$100*'Plan mensual'!L220+parametros_recargas!$M$100*'Plan mensual'!L222</f>
        <v>717.524692843295</v>
      </c>
      <c r="K218" s="26" t="n">
        <f aca="false">parametros_recargas!$E$100*'Plan mensual'!M213+parametros_recargas!$F$100*'Plan mensual'!M214+parametros_recargas!$G$100*'Plan mensual'!M215+parametros_recargas!$H$100*'Plan mensual'!M216+parametros_recargas!$I$100*'Plan mensual'!M217+parametros_recargas!$J$100*'Plan mensual'!M218+parametros_recargas!$K$100*'Plan mensual'!M219+parametros_recargas!$L$100*'Plan mensual'!M220+parametros_recargas!$M$100*'Plan mensual'!M222</f>
        <v>717.524692843295</v>
      </c>
      <c r="L218" s="26" t="n">
        <f aca="false">parametros_recargas!$E$100*'Plan mensual'!N213+parametros_recargas!$F$100*'Plan mensual'!N214+parametros_recargas!$G$100*'Plan mensual'!N215+parametros_recargas!$H$100*'Plan mensual'!N216+parametros_recargas!$I$100*'Plan mensual'!N217+parametros_recargas!$J$100*'Plan mensual'!N218+parametros_recargas!$K$100*'Plan mensual'!N219+parametros_recargas!$L$100*'Plan mensual'!N220+parametros_recargas!$M$100*'Plan mensual'!N222</f>
        <v>717.524692843295</v>
      </c>
      <c r="M218" s="26" t="n">
        <f aca="false">parametros_recargas!$E$100*'Plan mensual'!O213+parametros_recargas!$F$100*'Plan mensual'!O214+parametros_recargas!$G$100*'Plan mensual'!O215+parametros_recargas!$H$100*'Plan mensual'!O216+parametros_recargas!$I$100*'Plan mensual'!O217+parametros_recargas!$J$100*'Plan mensual'!O218+parametros_recargas!$K$100*'Plan mensual'!O219+parametros_recargas!$L$100*'Plan mensual'!O220+parametros_recargas!$M$100*'Plan mensual'!O222</f>
        <v>717.524692843295</v>
      </c>
      <c r="N218" s="8" t="n">
        <f aca="false">SUM(B218:M218)</f>
        <v>9000.43783892248</v>
      </c>
      <c r="O218" s="27" t="n">
        <f aca="false">MAX(B218:M218)</f>
        <v>1107.66621764624</v>
      </c>
      <c r="P218" s="13" t="n">
        <f aca="false">O218/parametros_recargas!$B$6</f>
        <v>7.38444145097496</v>
      </c>
    </row>
    <row r="219" customFormat="false" ht="15" hidden="false" customHeight="false" outlineLevel="0" collapsed="false">
      <c r="A219" s="10" t="str">
        <f aca="false">parametros_recargas!$B$101</f>
        <v>Ensayo de pérdidas</v>
      </c>
      <c r="B219" s="26" t="n">
        <f aca="false">parametros_recargas!$E$101*'Plan mensual'!D213+parametros_recargas!$F$101*'Plan mensual'!D214+parametros_recargas!$G$101*'Plan mensual'!D215+parametros_recargas!$H$101*'Plan mensual'!D216+parametros_recargas!$I$101*'Plan mensual'!D217+parametros_recargas!$J$101*'Plan mensual'!D218+parametros_recargas!$K$101*'Plan mensual'!D219+parametros_recargas!$L$101*'Plan mensual'!D220+parametros_recargas!$M$101*'Plan mensual'!D222</f>
        <v>7506.55999210868</v>
      </c>
      <c r="C219" s="26" t="n">
        <f aca="false">parametros_recargas!$E$101*'Plan mensual'!E213+parametros_recargas!$F$101*'Plan mensual'!E214+parametros_recargas!$G$101*'Plan mensual'!E215+parametros_recargas!$H$101*'Plan mensual'!E216+parametros_recargas!$I$101*'Plan mensual'!E217+parametros_recargas!$J$101*'Plan mensual'!E218+parametros_recargas!$K$101*'Plan mensual'!E219+parametros_recargas!$L$101*'Plan mensual'!E220+parametros_recargas!$M$101*'Plan mensual'!E222</f>
        <v>18305.4478952391</v>
      </c>
      <c r="D219" s="26" t="n">
        <f aca="false">parametros_recargas!$E$101*'Plan mensual'!F213+parametros_recargas!$F$101*'Plan mensual'!F214+parametros_recargas!$G$101*'Plan mensual'!F215+parametros_recargas!$H$101*'Plan mensual'!F216+parametros_recargas!$I$101*'Plan mensual'!F217+parametros_recargas!$J$101*'Plan mensual'!F218+parametros_recargas!$K$101*'Plan mensual'!F219+parametros_recargas!$L$101*'Plan mensual'!F220+parametros_recargas!$M$101*'Plan mensual'!F222</f>
        <v>15236.1516753737</v>
      </c>
      <c r="E219" s="26" t="n">
        <f aca="false">parametros_recargas!$E$101*'Plan mensual'!G213+parametros_recargas!$F$101*'Plan mensual'!G214+parametros_recargas!$G$101*'Plan mensual'!G215+parametros_recargas!$H$101*'Plan mensual'!G216+parametros_recargas!$I$101*'Plan mensual'!G217+parametros_recargas!$J$101*'Plan mensual'!G218+parametros_recargas!$K$101*'Plan mensual'!G219+parametros_recargas!$L$101*'Plan mensual'!G220+parametros_recargas!$M$101*'Plan mensual'!G222</f>
        <v>15295.9509129517</v>
      </c>
      <c r="F219" s="26" t="n">
        <f aca="false">parametros_recargas!$E$101*'Plan mensual'!H213+parametros_recargas!$F$101*'Plan mensual'!H214+parametros_recargas!$G$101*'Plan mensual'!H215+parametros_recargas!$H$101*'Plan mensual'!H216+parametros_recargas!$I$101*'Plan mensual'!H217+parametros_recargas!$J$101*'Plan mensual'!H218+parametros_recargas!$K$101*'Plan mensual'!H219+parametros_recargas!$L$101*'Plan mensual'!H220+parametros_recargas!$M$101*'Plan mensual'!H222</f>
        <v>15298.174799162</v>
      </c>
      <c r="G219" s="26" t="n">
        <f aca="false">parametros_recargas!$E$101*'Plan mensual'!I213+parametros_recargas!$F$101*'Plan mensual'!I214+parametros_recargas!$G$101*'Plan mensual'!I215+parametros_recargas!$H$101*'Plan mensual'!I216+parametros_recargas!$I$101*'Plan mensual'!I217+parametros_recargas!$J$101*'Plan mensual'!I218+parametros_recargas!$K$101*'Plan mensual'!I219+parametros_recargas!$L$101*'Plan mensual'!I220+parametros_recargas!$M$101*'Plan mensual'!I222</f>
        <v>15268.6851634742</v>
      </c>
      <c r="H219" s="26" t="n">
        <f aca="false">parametros_recargas!$E$101*'Plan mensual'!J213+parametros_recargas!$F$101*'Plan mensual'!J214+parametros_recargas!$G$101*'Plan mensual'!J215+parametros_recargas!$H$101*'Plan mensual'!J216+parametros_recargas!$I$101*'Plan mensual'!J217+parametros_recargas!$J$101*'Plan mensual'!J218+parametros_recargas!$K$101*'Plan mensual'!J219+parametros_recargas!$L$101*'Plan mensual'!J220+parametros_recargas!$M$101*'Plan mensual'!J222</f>
        <v>15359.1649690515</v>
      </c>
      <c r="I219" s="26" t="n">
        <f aca="false">parametros_recargas!$E$101*'Plan mensual'!K213+parametros_recargas!$F$101*'Plan mensual'!K214+parametros_recargas!$G$101*'Plan mensual'!K215+parametros_recargas!$H$101*'Plan mensual'!K216+parametros_recargas!$I$101*'Plan mensual'!K217+parametros_recargas!$J$101*'Plan mensual'!K218+parametros_recargas!$K$101*'Plan mensual'!K219+parametros_recargas!$L$101*'Plan mensual'!K220+parametros_recargas!$M$101*'Plan mensual'!K222</f>
        <v>15291.86827124</v>
      </c>
      <c r="J219" s="26" t="n">
        <f aca="false">parametros_recargas!$E$101*'Plan mensual'!L213+parametros_recargas!$F$101*'Plan mensual'!L214+parametros_recargas!$G$101*'Plan mensual'!L215+parametros_recargas!$H$101*'Plan mensual'!L216+parametros_recargas!$I$101*'Plan mensual'!L217+parametros_recargas!$J$101*'Plan mensual'!L218+parametros_recargas!$K$101*'Plan mensual'!L219+parametros_recargas!$L$101*'Plan mensual'!L220+parametros_recargas!$M$101*'Plan mensual'!L222</f>
        <v>15302.2796877515</v>
      </c>
      <c r="K219" s="26" t="n">
        <f aca="false">parametros_recargas!$E$101*'Plan mensual'!M213+parametros_recargas!$F$101*'Plan mensual'!M214+parametros_recargas!$G$101*'Plan mensual'!M215+parametros_recargas!$H$101*'Plan mensual'!M216+parametros_recargas!$I$101*'Plan mensual'!M217+parametros_recargas!$J$101*'Plan mensual'!M218+parametros_recargas!$K$101*'Plan mensual'!M219+parametros_recargas!$L$101*'Plan mensual'!M220+parametros_recargas!$M$101*'Plan mensual'!M222</f>
        <v>15266.5286352141</v>
      </c>
      <c r="L219" s="26" t="n">
        <f aca="false">parametros_recargas!$E$101*'Plan mensual'!N213+parametros_recargas!$F$101*'Plan mensual'!N214+parametros_recargas!$G$101*'Plan mensual'!N215+parametros_recargas!$H$101*'Plan mensual'!N216+parametros_recargas!$I$101*'Plan mensual'!N217+parametros_recargas!$J$101*'Plan mensual'!N218+parametros_recargas!$K$101*'Plan mensual'!N219+parametros_recargas!$L$101*'Plan mensual'!N220+parametros_recargas!$M$101*'Plan mensual'!N222</f>
        <v>15116.1595889133</v>
      </c>
      <c r="M219" s="26" t="n">
        <f aca="false">parametros_recargas!$E$101*'Plan mensual'!O213+parametros_recargas!$F$101*'Plan mensual'!O214+parametros_recargas!$G$101*'Plan mensual'!O215+parametros_recargas!$H$101*'Plan mensual'!O216+parametros_recargas!$I$101*'Plan mensual'!O217+parametros_recargas!$J$101*'Plan mensual'!O218+parametros_recargas!$K$101*'Plan mensual'!O219+parametros_recargas!$L$101*'Plan mensual'!O220+parametros_recargas!$M$101*'Plan mensual'!O222</f>
        <v>7102.35572147858</v>
      </c>
      <c r="N219" s="8" t="n">
        <f aca="false">SUM(B219:M219)</f>
        <v>170349.327311958</v>
      </c>
      <c r="O219" s="27" t="n">
        <f aca="false">MAX(B219:M219)</f>
        <v>18305.4478952391</v>
      </c>
      <c r="P219" s="13" t="n">
        <f aca="false">O219/parametros_recargas!$B$6</f>
        <v>122.036319301594</v>
      </c>
    </row>
    <row r="220" customFormat="false" ht="15" hidden="false" customHeight="false" outlineLevel="0" collapsed="false">
      <c r="A220" s="10" t="str">
        <f aca="false">parametros_recargas!$B$102</f>
        <v>Precinto, etiqueta y despacho</v>
      </c>
      <c r="B220" s="26" t="n">
        <f aca="false">parametros_recargas!$E$102*'Plan mensual'!D213+parametros_recargas!$F$102*'Plan mensual'!D214+parametros_recargas!$G$102*'Plan mensual'!D215+parametros_recargas!$H$102*'Plan mensual'!D216+parametros_recargas!$I$102*'Plan mensual'!D217+parametros_recargas!$J$102*'Plan mensual'!D218+parametros_recargas!$K$102*'Plan mensual'!D219+parametros_recargas!$L$102*'Plan mensual'!D220+parametros_recargas!$M$102*'Plan mensual'!D222</f>
        <v>7506.55999210868</v>
      </c>
      <c r="C220" s="26" t="n">
        <f aca="false">parametros_recargas!$E$102*'Plan mensual'!E213+parametros_recargas!$F$102*'Plan mensual'!E214+parametros_recargas!$G$102*'Plan mensual'!E215+parametros_recargas!$H$102*'Plan mensual'!E216+parametros_recargas!$I$102*'Plan mensual'!E217+parametros_recargas!$J$102*'Plan mensual'!E218+parametros_recargas!$K$102*'Plan mensual'!E219+parametros_recargas!$L$102*'Plan mensual'!E220+parametros_recargas!$M$102*'Plan mensual'!E222</f>
        <v>18305.4478952391</v>
      </c>
      <c r="D220" s="26" t="n">
        <f aca="false">parametros_recargas!$E$102*'Plan mensual'!F213+parametros_recargas!$F$102*'Plan mensual'!F214+parametros_recargas!$G$102*'Plan mensual'!F215+parametros_recargas!$H$102*'Plan mensual'!F216+parametros_recargas!$I$102*'Plan mensual'!F217+parametros_recargas!$J$102*'Plan mensual'!F218+parametros_recargas!$K$102*'Plan mensual'!F219+parametros_recargas!$L$102*'Plan mensual'!F220+parametros_recargas!$M$102*'Plan mensual'!F222</f>
        <v>15236.1516753737</v>
      </c>
      <c r="E220" s="26" t="n">
        <f aca="false">parametros_recargas!$E$102*'Plan mensual'!G213+parametros_recargas!$F$102*'Plan mensual'!G214+parametros_recargas!$G$102*'Plan mensual'!G215+parametros_recargas!$H$102*'Plan mensual'!G216+parametros_recargas!$I$102*'Plan mensual'!G217+parametros_recargas!$J$102*'Plan mensual'!G218+parametros_recargas!$K$102*'Plan mensual'!G219+parametros_recargas!$L$102*'Plan mensual'!G220+parametros_recargas!$M$102*'Plan mensual'!G222</f>
        <v>15295.9509129517</v>
      </c>
      <c r="F220" s="26" t="n">
        <f aca="false">parametros_recargas!$E$102*'Plan mensual'!H213+parametros_recargas!$F$102*'Plan mensual'!H214+parametros_recargas!$G$102*'Plan mensual'!H215+parametros_recargas!$H$102*'Plan mensual'!H216+parametros_recargas!$I$102*'Plan mensual'!H217+parametros_recargas!$J$102*'Plan mensual'!H218+parametros_recargas!$K$102*'Plan mensual'!H219+parametros_recargas!$L$102*'Plan mensual'!H220+parametros_recargas!$M$102*'Plan mensual'!H222</f>
        <v>15298.174799162</v>
      </c>
      <c r="G220" s="26" t="n">
        <f aca="false">parametros_recargas!$E$102*'Plan mensual'!I213+parametros_recargas!$F$102*'Plan mensual'!I214+parametros_recargas!$G$102*'Plan mensual'!I215+parametros_recargas!$H$102*'Plan mensual'!I216+parametros_recargas!$I$102*'Plan mensual'!I217+parametros_recargas!$J$102*'Plan mensual'!I218+parametros_recargas!$K$102*'Plan mensual'!I219+parametros_recargas!$L$102*'Plan mensual'!I220+parametros_recargas!$M$102*'Plan mensual'!I222</f>
        <v>15268.6851634742</v>
      </c>
      <c r="H220" s="26" t="n">
        <f aca="false">parametros_recargas!$E$102*'Plan mensual'!J213+parametros_recargas!$F$102*'Plan mensual'!J214+parametros_recargas!$G$102*'Plan mensual'!J215+parametros_recargas!$H$102*'Plan mensual'!J216+parametros_recargas!$I$102*'Plan mensual'!J217+parametros_recargas!$J$102*'Plan mensual'!J218+parametros_recargas!$K$102*'Plan mensual'!J219+parametros_recargas!$L$102*'Plan mensual'!J220+parametros_recargas!$M$102*'Plan mensual'!J222</f>
        <v>15359.1649690515</v>
      </c>
      <c r="I220" s="26" t="n">
        <f aca="false">parametros_recargas!$E$102*'Plan mensual'!K213+parametros_recargas!$F$102*'Plan mensual'!K214+parametros_recargas!$G$102*'Plan mensual'!K215+parametros_recargas!$H$102*'Plan mensual'!K216+parametros_recargas!$I$102*'Plan mensual'!K217+parametros_recargas!$J$102*'Plan mensual'!K218+parametros_recargas!$K$102*'Plan mensual'!K219+parametros_recargas!$L$102*'Plan mensual'!K220+parametros_recargas!$M$102*'Plan mensual'!K222</f>
        <v>15291.86827124</v>
      </c>
      <c r="J220" s="26" t="n">
        <f aca="false">parametros_recargas!$E$102*'Plan mensual'!L213+parametros_recargas!$F$102*'Plan mensual'!L214+parametros_recargas!$G$102*'Plan mensual'!L215+parametros_recargas!$H$102*'Plan mensual'!L216+parametros_recargas!$I$102*'Plan mensual'!L217+parametros_recargas!$J$102*'Plan mensual'!L218+parametros_recargas!$K$102*'Plan mensual'!L219+parametros_recargas!$L$102*'Plan mensual'!L220+parametros_recargas!$M$102*'Plan mensual'!L222</f>
        <v>15302.2796877515</v>
      </c>
      <c r="K220" s="26" t="n">
        <f aca="false">parametros_recargas!$E$102*'Plan mensual'!M213+parametros_recargas!$F$102*'Plan mensual'!M214+parametros_recargas!$G$102*'Plan mensual'!M215+parametros_recargas!$H$102*'Plan mensual'!M216+parametros_recargas!$I$102*'Plan mensual'!M217+parametros_recargas!$J$102*'Plan mensual'!M218+parametros_recargas!$K$102*'Plan mensual'!M219+parametros_recargas!$L$102*'Plan mensual'!M220+parametros_recargas!$M$102*'Plan mensual'!M222</f>
        <v>15266.5286352141</v>
      </c>
      <c r="L220" s="26" t="n">
        <f aca="false">parametros_recargas!$E$102*'Plan mensual'!N213+parametros_recargas!$F$102*'Plan mensual'!N214+parametros_recargas!$G$102*'Plan mensual'!N215+parametros_recargas!$H$102*'Plan mensual'!N216+parametros_recargas!$I$102*'Plan mensual'!N217+parametros_recargas!$J$102*'Plan mensual'!N218+parametros_recargas!$K$102*'Plan mensual'!N219+parametros_recargas!$L$102*'Plan mensual'!N220+parametros_recargas!$M$102*'Plan mensual'!N222</f>
        <v>15116.1595889133</v>
      </c>
      <c r="M220" s="26" t="n">
        <f aca="false">parametros_recargas!$E$102*'Plan mensual'!O213+parametros_recargas!$F$102*'Plan mensual'!O214+parametros_recargas!$G$102*'Plan mensual'!O215+parametros_recargas!$H$102*'Plan mensual'!O216+parametros_recargas!$I$102*'Plan mensual'!O217+parametros_recargas!$J$102*'Plan mensual'!O218+parametros_recargas!$K$102*'Plan mensual'!O219+parametros_recargas!$L$102*'Plan mensual'!O220+parametros_recargas!$M$102*'Plan mensual'!O222</f>
        <v>7102.35572147858</v>
      </c>
      <c r="N220" s="8" t="n">
        <f aca="false">SUM(B220:M220)</f>
        <v>170349.327311958</v>
      </c>
      <c r="O220" s="27" t="n">
        <f aca="false">MAX(B220:M220)</f>
        <v>18305.4478952391</v>
      </c>
      <c r="P220" s="13" t="n">
        <f aca="false">O220/parametros_recargas!$B$6</f>
        <v>122.036319301594</v>
      </c>
    </row>
    <row r="221" customFormat="false" ht="15" hidden="false" customHeight="false" outlineLevel="0" collapsed="false">
      <c r="A221" s="10" t="str">
        <f aca="false">parametros_recargas!$B$103</f>
        <v>Inutilización y disposición final</v>
      </c>
      <c r="B221" s="26" t="n">
        <f aca="false">parametros_recargas!$E$103*'Plan mensual'!D213+parametros_recargas!$F$103*'Plan mensual'!D214+parametros_recargas!$G$103*'Plan mensual'!D215+parametros_recargas!$H$103*'Plan mensual'!D216+parametros_recargas!$I$103*'Plan mensual'!D217+parametros_recargas!$J$103*'Plan mensual'!D218+parametros_recargas!$K$103*'Plan mensual'!D219+parametros_recargas!$L$103*'Plan mensual'!D220+parametros_recargas!$M$103*'Plan mensual'!D222</f>
        <v>581.321100205031</v>
      </c>
      <c r="C221" s="26" t="n">
        <f aca="false">parametros_recargas!$E$103*'Plan mensual'!E213+parametros_recargas!$F$103*'Plan mensual'!E214+parametros_recargas!$G$103*'Plan mensual'!E215+parametros_recargas!$H$103*'Plan mensual'!E216+parametros_recargas!$I$103*'Plan mensual'!E217+parametros_recargas!$J$103*'Plan mensual'!E218+parametros_recargas!$K$103*'Plan mensual'!E219+parametros_recargas!$L$103*'Plan mensual'!E220+parametros_recargas!$M$103*'Plan mensual'!E222</f>
        <v>1435.5288266431</v>
      </c>
      <c r="D221" s="26" t="n">
        <f aca="false">parametros_recargas!$E$103*'Plan mensual'!F213+parametros_recargas!$F$103*'Plan mensual'!F214+parametros_recargas!$G$103*'Plan mensual'!F215+parametros_recargas!$H$103*'Plan mensual'!F216+parametros_recargas!$I$103*'Plan mensual'!F217+parametros_recargas!$J$103*'Plan mensual'!F218+parametros_recargas!$K$103*'Plan mensual'!F219+parametros_recargas!$L$103*'Plan mensual'!F220+parametros_recargas!$M$103*'Plan mensual'!F222</f>
        <v>1199.89739335187</v>
      </c>
      <c r="E221" s="26" t="n">
        <f aca="false">parametros_recargas!$E$103*'Plan mensual'!G213+parametros_recargas!$F$103*'Plan mensual'!G214+parametros_recargas!$G$103*'Plan mensual'!G215+parametros_recargas!$H$103*'Plan mensual'!G216+parametros_recargas!$I$103*'Plan mensual'!G217+parametros_recargas!$J$103*'Plan mensual'!G218+parametros_recargas!$K$103*'Plan mensual'!G219+parametros_recargas!$L$103*'Plan mensual'!G220+parametros_recargas!$M$103*'Plan mensual'!G222</f>
        <v>1204.68133235811</v>
      </c>
      <c r="F221" s="26" t="n">
        <f aca="false">parametros_recargas!$E$103*'Plan mensual'!H213+parametros_recargas!$F$103*'Plan mensual'!H214+parametros_recargas!$G$103*'Plan mensual'!H215+parametros_recargas!$H$103*'Plan mensual'!H216+parametros_recargas!$I$103*'Plan mensual'!H217+parametros_recargas!$J$103*'Plan mensual'!H218+parametros_recargas!$K$103*'Plan mensual'!H219+parametros_recargas!$L$103*'Plan mensual'!H220+parametros_recargas!$M$103*'Plan mensual'!H222</f>
        <v>1204.93106725493</v>
      </c>
      <c r="G221" s="26" t="n">
        <f aca="false">parametros_recargas!$E$103*'Plan mensual'!I213+parametros_recargas!$F$103*'Plan mensual'!I214+parametros_recargas!$G$103*'Plan mensual'!I215+parametros_recargas!$H$103*'Plan mensual'!I216+parametros_recargas!$I$103*'Plan mensual'!I217+parametros_recargas!$J$103*'Plan mensual'!I218+parametros_recargas!$K$103*'Plan mensual'!I219+parametros_recargas!$L$103*'Plan mensual'!I220+parametros_recargas!$M$103*'Plan mensual'!I222</f>
        <v>1202.65674742864</v>
      </c>
      <c r="H221" s="26" t="n">
        <f aca="false">parametros_recargas!$E$103*'Plan mensual'!J213+parametros_recargas!$F$103*'Plan mensual'!J214+parametros_recargas!$G$103*'Plan mensual'!J215+parametros_recargas!$H$103*'Plan mensual'!J216+parametros_recargas!$I$103*'Plan mensual'!J217+parametros_recargas!$J$103*'Plan mensual'!J218+parametros_recargas!$K$103*'Plan mensual'!J219+parametros_recargas!$L$103*'Plan mensual'!J220+parametros_recargas!$M$103*'Plan mensual'!J222</f>
        <v>1209.81028084609</v>
      </c>
      <c r="I221" s="26" t="n">
        <f aca="false">parametros_recargas!$E$103*'Plan mensual'!K213+parametros_recargas!$F$103*'Plan mensual'!K214+parametros_recargas!$G$103*'Plan mensual'!K215+parametros_recargas!$H$103*'Plan mensual'!K216+parametros_recargas!$I$103*'Plan mensual'!K217+parametros_recargas!$J$103*'Plan mensual'!K218+parametros_recargas!$K$103*'Plan mensual'!K219+parametros_recargas!$L$103*'Plan mensual'!K220+parametros_recargas!$M$103*'Plan mensual'!K222</f>
        <v>1204.42654502117</v>
      </c>
      <c r="J221" s="26" t="n">
        <f aca="false">parametros_recargas!$E$103*'Plan mensual'!L213+parametros_recargas!$F$103*'Plan mensual'!L214+parametros_recargas!$G$103*'Plan mensual'!L215+parametros_recargas!$H$103*'Plan mensual'!L216+parametros_recargas!$I$103*'Plan mensual'!L217+parametros_recargas!$J$103*'Plan mensual'!L218+parametros_recargas!$K$103*'Plan mensual'!L219+parametros_recargas!$L$103*'Plan mensual'!L220+parametros_recargas!$M$103*'Plan mensual'!L222</f>
        <v>1205.26597185646</v>
      </c>
      <c r="K221" s="26" t="n">
        <f aca="false">parametros_recargas!$E$103*'Plan mensual'!M213+parametros_recargas!$F$103*'Plan mensual'!M214+parametros_recargas!$G$103*'Plan mensual'!M215+parametros_recargas!$H$103*'Plan mensual'!M216+parametros_recargas!$I$103*'Plan mensual'!M217+parametros_recargas!$J$103*'Plan mensual'!M218+parametros_recargas!$K$103*'Plan mensual'!M219+parametros_recargas!$L$103*'Plan mensual'!M220+parametros_recargas!$M$103*'Plan mensual'!M222</f>
        <v>1202.4907386822</v>
      </c>
      <c r="L221" s="26" t="n">
        <f aca="false">parametros_recargas!$E$103*'Plan mensual'!N213+parametros_recargas!$F$103*'Plan mensual'!N214+parametros_recargas!$G$103*'Plan mensual'!N215+parametros_recargas!$H$103*'Plan mensual'!N216+parametros_recargas!$I$103*'Plan mensual'!N217+parametros_recargas!$J$103*'Plan mensual'!N218+parametros_recargas!$K$103*'Plan mensual'!N219+parametros_recargas!$L$103*'Plan mensual'!N220+parametros_recargas!$M$103*'Plan mensual'!N222</f>
        <v>1190.5395524925</v>
      </c>
      <c r="M221" s="26" t="n">
        <f aca="false">parametros_recargas!$E$103*'Plan mensual'!O213+parametros_recargas!$F$103*'Plan mensual'!O214+parametros_recargas!$G$103*'Plan mensual'!O215+parametros_recargas!$H$103*'Plan mensual'!O216+parametros_recargas!$I$103*'Plan mensual'!O217+parametros_recargas!$J$103*'Plan mensual'!O218+parametros_recargas!$K$103*'Plan mensual'!O219+parametros_recargas!$L$103*'Plan mensual'!O220+parametros_recargas!$M$103*'Plan mensual'!O222</f>
        <v>548.847624068991</v>
      </c>
      <c r="N221" s="8" t="n">
        <f aca="false">SUM(B221:M221)</f>
        <v>13390.3971802091</v>
      </c>
      <c r="O221" s="27" t="n">
        <f aca="false">MAX(B221:M221)</f>
        <v>1435.5288266431</v>
      </c>
      <c r="P221" s="13" t="n">
        <f aca="false">O221/parametros_recargas!$B$6</f>
        <v>9.57019217762066</v>
      </c>
    </row>
    <row r="222" customFormat="false" ht="15" hidden="false" customHeight="false" outlineLevel="0" collapsed="false">
      <c r="A222" s="10" t="str">
        <f aca="false">parametros_recargas!$B$104</f>
        <v>PH de mangueras (CO₂ y rodantes)</v>
      </c>
      <c r="B222" s="26" t="n">
        <f aca="false">'Plan mensual'!D221</f>
        <v>449.681440833534</v>
      </c>
      <c r="C222" s="26" t="n">
        <f aca="false">'Plan mensual'!E221</f>
        <v>499.115532498813</v>
      </c>
      <c r="D222" s="26" t="n">
        <f aca="false">'Plan mensual'!F221</f>
        <v>449.681440833534</v>
      </c>
      <c r="E222" s="26" t="n">
        <f aca="false">'Plan mensual'!G221</f>
        <v>449.681440833534</v>
      </c>
      <c r="F222" s="26" t="n">
        <f aca="false">'Plan mensual'!H221</f>
        <v>449.681440833534</v>
      </c>
      <c r="G222" s="26" t="n">
        <f aca="false">'Plan mensual'!I221</f>
        <v>449.681440833534</v>
      </c>
      <c r="H222" s="26" t="n">
        <f aca="false">'Plan mensual'!J221</f>
        <v>449.681440833534</v>
      </c>
      <c r="I222" s="26" t="n">
        <f aca="false">'Plan mensual'!K221</f>
        <v>449.681440833534</v>
      </c>
      <c r="J222" s="26" t="n">
        <f aca="false">'Plan mensual'!L221</f>
        <v>449.681440833534</v>
      </c>
      <c r="K222" s="26" t="n">
        <f aca="false">'Plan mensual'!M221</f>
        <v>449.681440833534</v>
      </c>
      <c r="L222" s="26" t="n">
        <f aca="false">'Plan mensual'!N221</f>
        <v>449.681440833534</v>
      </c>
      <c r="M222" s="26" t="n">
        <f aca="false">'Plan mensual'!O221</f>
        <v>449.681440833534</v>
      </c>
      <c r="N222" s="8" t="n">
        <f aca="false">SUM(B222:M222)</f>
        <v>5445.61138166768</v>
      </c>
      <c r="O222" s="27" t="n">
        <f aca="false">MAX(B222:M222)</f>
        <v>499.115532498813</v>
      </c>
      <c r="P222" s="13" t="n">
        <f aca="false">O222/parametros_recargas!$B$6</f>
        <v>3.32743688332542</v>
      </c>
    </row>
    <row r="225" customFormat="false" ht="23.85" hidden="false" customHeight="false" outlineLevel="0" collapsed="false">
      <c r="A225" s="6" t="s">
        <v>444</v>
      </c>
      <c r="B225" s="6" t="s">
        <v>175</v>
      </c>
      <c r="C225" s="6" t="s">
        <v>176</v>
      </c>
      <c r="D225" s="6" t="s">
        <v>177</v>
      </c>
      <c r="E225" s="6" t="s">
        <v>178</v>
      </c>
      <c r="F225" s="6" t="s">
        <v>179</v>
      </c>
      <c r="G225" s="6" t="s">
        <v>180</v>
      </c>
      <c r="H225" s="6" t="s">
        <v>181</v>
      </c>
      <c r="I225" s="6" t="s">
        <v>182</v>
      </c>
      <c r="J225" s="6" t="s">
        <v>183</v>
      </c>
      <c r="K225" s="6" t="s">
        <v>184</v>
      </c>
      <c r="L225" s="6" t="s">
        <v>185</v>
      </c>
      <c r="M225" s="6" t="s">
        <v>186</v>
      </c>
      <c r="N225" s="6" t="s">
        <v>435</v>
      </c>
      <c r="O225" s="6" t="s">
        <v>436</v>
      </c>
      <c r="P225" s="6" t="s">
        <v>437</v>
      </c>
    </row>
    <row r="226" customFormat="false" ht="15" hidden="false" customHeight="false" outlineLevel="0" collapsed="false">
      <c r="A226" s="10" t="str">
        <f aca="false">parametros_recargas!$B$76</f>
        <v>Recepción y registro</v>
      </c>
      <c r="B226" s="26" t="n">
        <f aca="false">parametros_recargas!$E$76*'Plan mensual'!D245+parametros_recargas!$F$76*'Plan mensual'!D246+parametros_recargas!$G$76*'Plan mensual'!D247+parametros_recargas!$H$76*'Plan mensual'!D248+parametros_recargas!$I$76*'Plan mensual'!D249+parametros_recargas!$J$76*'Plan mensual'!D250+parametros_recargas!$K$76*'Plan mensual'!D251+parametros_recargas!$L$76*'Plan mensual'!D252+parametros_recargas!$M$76*'Plan mensual'!D254</f>
        <v>8376.88967584842</v>
      </c>
      <c r="C226" s="26" t="n">
        <f aca="false">parametros_recargas!$E$76*'Plan mensual'!E245+parametros_recargas!$F$76*'Plan mensual'!E246+parametros_recargas!$G$76*'Plan mensual'!E247+parametros_recargas!$H$76*'Plan mensual'!E248+parametros_recargas!$I$76*'Plan mensual'!E249+parametros_recargas!$J$76*'Plan mensual'!E250+parametros_recargas!$K$76*'Plan mensual'!E251+parametros_recargas!$L$76*'Plan mensual'!E252+parametros_recargas!$M$76*'Plan mensual'!E254</f>
        <v>20742.2651146241</v>
      </c>
      <c r="D226" s="26" t="n">
        <f aca="false">parametros_recargas!$E$76*'Plan mensual'!F245+parametros_recargas!$F$76*'Plan mensual'!F246+parametros_recargas!$G$76*'Plan mensual'!F247+parametros_recargas!$H$76*'Plan mensual'!F248+parametros_recargas!$I$76*'Plan mensual'!F249+parametros_recargas!$J$76*'Plan mensual'!F250+parametros_recargas!$K$76*'Plan mensual'!F251+parametros_recargas!$L$76*'Plan mensual'!F252+parametros_recargas!$M$76*'Plan mensual'!F254</f>
        <v>17338.5520505199</v>
      </c>
      <c r="E226" s="26" t="n">
        <f aca="false">parametros_recargas!$E$76*'Plan mensual'!G245+parametros_recargas!$F$76*'Plan mensual'!G246+parametros_recargas!$G$76*'Plan mensual'!G247+parametros_recargas!$H$76*'Plan mensual'!G248+parametros_recargas!$I$76*'Plan mensual'!G249+parametros_recargas!$J$76*'Plan mensual'!G250+parametros_recargas!$K$76*'Plan mensual'!G251+parametros_recargas!$L$76*'Plan mensual'!G252+parametros_recargas!$M$76*'Plan mensual'!G254</f>
        <v>17407.8799251445</v>
      </c>
      <c r="F226" s="26" t="n">
        <f aca="false">parametros_recargas!$E$76*'Plan mensual'!H245+parametros_recargas!$F$76*'Plan mensual'!H246+parametros_recargas!$G$76*'Plan mensual'!H247+parametros_recargas!$H$76*'Plan mensual'!H248+parametros_recargas!$I$76*'Plan mensual'!H249+parametros_recargas!$J$76*'Plan mensual'!H250+parametros_recargas!$K$76*'Plan mensual'!H251+parametros_recargas!$L$76*'Plan mensual'!H252+parametros_recargas!$M$76*'Plan mensual'!H254</f>
        <v>17410.5676326611</v>
      </c>
      <c r="G226" s="26" t="n">
        <f aca="false">parametros_recargas!$E$76*'Plan mensual'!I245+parametros_recargas!$F$76*'Plan mensual'!I246+parametros_recargas!$G$76*'Plan mensual'!I247+parametros_recargas!$H$76*'Plan mensual'!I248+parametros_recargas!$I$76*'Plan mensual'!I249+parametros_recargas!$J$76*'Plan mensual'!I250+parametros_recargas!$K$76*'Plan mensual'!I251+parametros_recargas!$L$76*'Plan mensual'!I252+parametros_recargas!$M$76*'Plan mensual'!I254</f>
        <v>17376.3286758316</v>
      </c>
      <c r="H226" s="26" t="n">
        <f aca="false">parametros_recargas!$E$76*'Plan mensual'!J245+parametros_recargas!$F$76*'Plan mensual'!J246+parametros_recargas!$G$76*'Plan mensual'!J247+parametros_recargas!$H$76*'Plan mensual'!J248+parametros_recargas!$I$76*'Plan mensual'!J249+parametros_recargas!$J$76*'Plan mensual'!J250+parametros_recargas!$K$76*'Plan mensual'!J251+parametros_recargas!$L$76*'Plan mensual'!J252+parametros_recargas!$M$76*'Plan mensual'!J254</f>
        <v>17481.2762072631</v>
      </c>
      <c r="I226" s="26" t="n">
        <f aca="false">parametros_recargas!$E$76*'Plan mensual'!K245+parametros_recargas!$F$76*'Plan mensual'!K246+parametros_recargas!$G$76*'Plan mensual'!K247+parametros_recargas!$H$76*'Plan mensual'!K248+parametros_recargas!$I$76*'Plan mensual'!K249+parametros_recargas!$J$76*'Plan mensual'!K250+parametros_recargas!$K$76*'Plan mensual'!K251+parametros_recargas!$L$76*'Plan mensual'!K252+parametros_recargas!$M$76*'Plan mensual'!K254</f>
        <v>17403.2561986897</v>
      </c>
      <c r="J226" s="26" t="n">
        <f aca="false">parametros_recargas!$E$76*'Plan mensual'!L245+parametros_recargas!$F$76*'Plan mensual'!L246+parametros_recargas!$G$76*'Plan mensual'!L247+parametros_recargas!$H$76*'Plan mensual'!L248+parametros_recargas!$I$76*'Plan mensual'!L249+parametros_recargas!$J$76*'Plan mensual'!L250+parametros_recargas!$K$76*'Plan mensual'!L251+parametros_recargas!$L$76*'Plan mensual'!L252+parametros_recargas!$M$76*'Plan mensual'!L254</f>
        <v>17415.2467148826</v>
      </c>
      <c r="K226" s="26" t="n">
        <f aca="false">parametros_recargas!$E$76*'Plan mensual'!M245+parametros_recargas!$F$76*'Plan mensual'!M246+parametros_recargas!$G$76*'Plan mensual'!M247+parametros_recargas!$H$76*'Plan mensual'!M248+parametros_recargas!$I$76*'Plan mensual'!M249+parametros_recargas!$J$76*'Plan mensual'!M250+parametros_recargas!$K$76*'Plan mensual'!M251+parametros_recargas!$L$76*'Plan mensual'!M252+parametros_recargas!$M$76*'Plan mensual'!M254</f>
        <v>17373.7486233233</v>
      </c>
      <c r="L226" s="26" t="n">
        <f aca="false">parametros_recargas!$E$76*'Plan mensual'!N245+parametros_recargas!$F$76*'Plan mensual'!N246+parametros_recargas!$G$76*'Plan mensual'!N247+parametros_recargas!$H$76*'Plan mensual'!N248+parametros_recargas!$I$76*'Plan mensual'!N249+parametros_recargas!$J$76*'Plan mensual'!N250+parametros_recargas!$K$76*'Plan mensual'!N251+parametros_recargas!$L$76*'Plan mensual'!N252+parametros_recargas!$M$76*'Plan mensual'!N254</f>
        <v>17199.4487675454</v>
      </c>
      <c r="M226" s="26" t="n">
        <f aca="false">parametros_recargas!$E$76*'Plan mensual'!O245+parametros_recargas!$F$76*'Plan mensual'!O246+parametros_recargas!$G$76*'Plan mensual'!O247+parametros_recargas!$H$76*'Plan mensual'!O248+parametros_recargas!$I$76*'Plan mensual'!O249+parametros_recargas!$J$76*'Plan mensual'!O250+parametros_recargas!$K$76*'Plan mensual'!O251+parametros_recargas!$L$76*'Plan mensual'!O252+parametros_recargas!$M$76*'Plan mensual'!O254</f>
        <v>7907.97915296115</v>
      </c>
      <c r="N226" s="8" t="n">
        <f aca="false">SUM(B226:M226)</f>
        <v>193433.438739295</v>
      </c>
      <c r="O226" s="27" t="n">
        <f aca="false">MAX(B226:M226)</f>
        <v>20742.2651146241</v>
      </c>
      <c r="P226" s="13" t="n">
        <f aca="false">O226/parametros_recargas!$B$6</f>
        <v>138.281767430827</v>
      </c>
    </row>
    <row r="227" customFormat="false" ht="15" hidden="false" customHeight="false" outlineLevel="0" collapsed="false">
      <c r="A227" s="10" t="str">
        <f aca="false">parametros_recargas!$B$77</f>
        <v>Inspección visual</v>
      </c>
      <c r="B227" s="26" t="n">
        <f aca="false">parametros_recargas!$E$77*'Plan mensual'!D245+parametros_recargas!$F$77*'Plan mensual'!D246+parametros_recargas!$G$77*'Plan mensual'!D247+parametros_recargas!$H$77*'Plan mensual'!D248+parametros_recargas!$I$77*'Plan mensual'!D249+parametros_recargas!$J$77*'Plan mensual'!D250+parametros_recargas!$K$77*'Plan mensual'!D251+parametros_recargas!$L$77*'Plan mensual'!D252+parametros_recargas!$M$77*'Plan mensual'!D254</f>
        <v>8355.29879011345</v>
      </c>
      <c r="C227" s="26" t="n">
        <f aca="false">parametros_recargas!$E$77*'Plan mensual'!E245+parametros_recargas!$F$77*'Plan mensual'!E246+parametros_recargas!$G$77*'Plan mensual'!E247+parametros_recargas!$H$77*'Plan mensual'!E248+parametros_recargas!$I$77*'Plan mensual'!E249+parametros_recargas!$J$77*'Plan mensual'!E250+parametros_recargas!$K$77*'Plan mensual'!E251+parametros_recargas!$L$77*'Plan mensual'!E252+parametros_recargas!$M$77*'Plan mensual'!E254</f>
        <v>20724.7484036815</v>
      </c>
      <c r="D227" s="26" t="n">
        <f aca="false">parametros_recargas!$E$77*'Plan mensual'!F245+parametros_recargas!$F$77*'Plan mensual'!F246+parametros_recargas!$G$77*'Plan mensual'!F247+parametros_recargas!$H$77*'Plan mensual'!F248+parametros_recargas!$I$77*'Plan mensual'!F249+parametros_recargas!$J$77*'Plan mensual'!F250+parametros_recargas!$K$77*'Plan mensual'!F251+parametros_recargas!$L$77*'Plan mensual'!F252+parametros_recargas!$M$77*'Plan mensual'!F254</f>
        <v>17319.5810773887</v>
      </c>
      <c r="E227" s="26" t="n">
        <f aca="false">parametros_recargas!$E$77*'Plan mensual'!G245+parametros_recargas!$F$77*'Plan mensual'!G246+parametros_recargas!$G$77*'Plan mensual'!G247+parametros_recargas!$H$77*'Plan mensual'!G248+parametros_recargas!$I$77*'Plan mensual'!G249+parametros_recargas!$J$77*'Plan mensual'!G250+parametros_recargas!$K$77*'Plan mensual'!G251+parametros_recargas!$L$77*'Plan mensual'!G252+parametros_recargas!$M$77*'Plan mensual'!G254</f>
        <v>17388.9089520133</v>
      </c>
      <c r="F227" s="26" t="n">
        <f aca="false">parametros_recargas!$E$77*'Plan mensual'!H245+parametros_recargas!$F$77*'Plan mensual'!H246+parametros_recargas!$G$77*'Plan mensual'!H247+parametros_recargas!$H$77*'Plan mensual'!H248+parametros_recargas!$I$77*'Plan mensual'!H249+parametros_recargas!$J$77*'Plan mensual'!H250+parametros_recargas!$K$77*'Plan mensual'!H251+parametros_recargas!$L$77*'Plan mensual'!H252+parametros_recargas!$M$77*'Plan mensual'!H254</f>
        <v>17392.52805953</v>
      </c>
      <c r="G227" s="26" t="n">
        <f aca="false">parametros_recargas!$E$77*'Plan mensual'!I245+parametros_recargas!$F$77*'Plan mensual'!I246+parametros_recargas!$G$77*'Plan mensual'!I247+parametros_recargas!$H$77*'Plan mensual'!I248+parametros_recargas!$I$77*'Plan mensual'!I249+parametros_recargas!$J$77*'Plan mensual'!I250+parametros_recargas!$K$77*'Plan mensual'!I251+parametros_recargas!$L$77*'Plan mensual'!I252+parametros_recargas!$M$77*'Plan mensual'!I254</f>
        <v>17359.5690774928</v>
      </c>
      <c r="H227" s="26" t="n">
        <f aca="false">parametros_recargas!$E$77*'Plan mensual'!J245+parametros_recargas!$F$77*'Plan mensual'!J246+parametros_recargas!$G$77*'Plan mensual'!J247+parametros_recargas!$H$77*'Plan mensual'!J248+parametros_recargas!$I$77*'Plan mensual'!J249+parametros_recargas!$J$77*'Plan mensual'!J250+parametros_recargas!$K$77*'Plan mensual'!J251+parametros_recargas!$L$77*'Plan mensual'!J252+parametros_recargas!$M$77*'Plan mensual'!J254</f>
        <v>17463.236634132</v>
      </c>
      <c r="I227" s="26" t="n">
        <f aca="false">parametros_recargas!$E$77*'Plan mensual'!K245+parametros_recargas!$F$77*'Plan mensual'!K246+parametros_recargas!$G$77*'Plan mensual'!K247+parametros_recargas!$H$77*'Plan mensual'!K248+parametros_recargas!$I$77*'Plan mensual'!K249+parametros_recargas!$J$77*'Plan mensual'!K250+parametros_recargas!$K$77*'Plan mensual'!K251+parametros_recargas!$L$77*'Plan mensual'!K252+parametros_recargas!$M$77*'Plan mensual'!K254</f>
        <v>17385.2166255585</v>
      </c>
      <c r="J227" s="26" t="n">
        <f aca="false">parametros_recargas!$E$77*'Plan mensual'!L245+parametros_recargas!$F$77*'Plan mensual'!L246+parametros_recargas!$G$77*'Plan mensual'!L247+parametros_recargas!$H$77*'Plan mensual'!L248+parametros_recargas!$I$77*'Plan mensual'!L249+parametros_recargas!$J$77*'Plan mensual'!L250+parametros_recargas!$K$77*'Plan mensual'!L251+parametros_recargas!$L$77*'Plan mensual'!L252+parametros_recargas!$M$77*'Plan mensual'!L254</f>
        <v>17397.3814291476</v>
      </c>
      <c r="K227" s="26" t="n">
        <f aca="false">parametros_recargas!$E$77*'Plan mensual'!M245+parametros_recargas!$F$77*'Plan mensual'!M246+parametros_recargas!$G$77*'Plan mensual'!M247+parametros_recargas!$H$77*'Plan mensual'!M248+parametros_recargas!$I$77*'Plan mensual'!M249+parametros_recargas!$J$77*'Plan mensual'!M250+parametros_recargas!$K$77*'Plan mensual'!M251+parametros_recargas!$L$77*'Plan mensual'!M252+parametros_recargas!$M$77*'Plan mensual'!M254</f>
        <v>17357.1633123806</v>
      </c>
      <c r="L227" s="26" t="n">
        <f aca="false">parametros_recargas!$E$77*'Plan mensual'!N245+parametros_recargas!$F$77*'Plan mensual'!N246+parametros_recargas!$G$77*'Plan mensual'!N247+parametros_recargas!$H$77*'Plan mensual'!N248+parametros_recargas!$I$77*'Plan mensual'!N249+parametros_recargas!$J$77*'Plan mensual'!N250+parametros_recargas!$K$77*'Plan mensual'!N251+parametros_recargas!$L$77*'Plan mensual'!N252+parametros_recargas!$M$77*'Plan mensual'!N254</f>
        <v>17183.9691439989</v>
      </c>
      <c r="M227" s="26" t="n">
        <f aca="false">parametros_recargas!$E$77*'Plan mensual'!O245+parametros_recargas!$F$77*'Plan mensual'!O246+parametros_recargas!$G$77*'Plan mensual'!O247+parametros_recargas!$H$77*'Plan mensual'!O248+parametros_recargas!$I$77*'Plan mensual'!O249+parametros_recargas!$J$77*'Plan mensual'!O250+parametros_recargas!$K$77*'Plan mensual'!O251+parametros_recargas!$L$77*'Plan mensual'!O252+parametros_recargas!$M$77*'Plan mensual'!O254</f>
        <v>7884.69975462235</v>
      </c>
      <c r="N227" s="8" t="n">
        <f aca="false">SUM(B227:M227)</f>
        <v>193212.30126006</v>
      </c>
      <c r="O227" s="27" t="n">
        <f aca="false">MAX(B227:M227)</f>
        <v>20724.7484036815</v>
      </c>
      <c r="P227" s="13" t="n">
        <f aca="false">O227/parametros_recargas!$B$6</f>
        <v>138.164989357876</v>
      </c>
    </row>
    <row r="228" customFormat="false" ht="15" hidden="false" customHeight="false" outlineLevel="0" collapsed="false">
      <c r="A228" s="10" t="str">
        <f aca="false">parametros_recargas!$B$78</f>
        <v>Descarga ABC — ruta recuperable</v>
      </c>
      <c r="B228" s="26" t="n">
        <f aca="false">parametros_recargas!$E$78*'Plan mensual'!D245+parametros_recargas!$F$78*'Plan mensual'!D246+parametros_recargas!$G$78*'Plan mensual'!D247+parametros_recargas!$H$78*'Plan mensual'!D248+parametros_recargas!$I$78*'Plan mensual'!D249+parametros_recargas!$J$78*'Plan mensual'!D250+parametros_recargas!$K$78*'Plan mensual'!D251+parametros_recargas!$L$78*'Plan mensual'!D252+parametros_recargas!$M$78*'Plan mensual'!D254</f>
        <v>5412.34960429559</v>
      </c>
      <c r="C228" s="26" t="n">
        <f aca="false">parametros_recargas!$E$78*'Plan mensual'!E245+parametros_recargas!$F$78*'Plan mensual'!E246+parametros_recargas!$G$78*'Plan mensual'!E247+parametros_recargas!$H$78*'Plan mensual'!E248+parametros_recargas!$I$78*'Plan mensual'!E249+parametros_recargas!$J$78*'Plan mensual'!E250+parametros_recargas!$K$78*'Plan mensual'!E251+parametros_recargas!$L$78*'Plan mensual'!E252+parametros_recargas!$M$78*'Plan mensual'!E254</f>
        <v>15153.6272348188</v>
      </c>
      <c r="D228" s="26" t="n">
        <f aca="false">parametros_recargas!$E$78*'Plan mensual'!F245+parametros_recargas!$F$78*'Plan mensual'!F246+parametros_recargas!$G$78*'Plan mensual'!F247+parametros_recargas!$H$78*'Plan mensual'!F248+parametros_recargas!$I$78*'Plan mensual'!F249+parametros_recargas!$J$78*'Plan mensual'!F250+parametros_recargas!$K$78*'Plan mensual'!F251+parametros_recargas!$L$78*'Plan mensual'!F252+parametros_recargas!$M$78*'Plan mensual'!F254</f>
        <v>13076.810959916</v>
      </c>
      <c r="E228" s="26" t="n">
        <f aca="false">parametros_recargas!$E$78*'Plan mensual'!G245+parametros_recargas!$F$78*'Plan mensual'!G246+parametros_recargas!$G$78*'Plan mensual'!G247+parametros_recargas!$H$78*'Plan mensual'!G248+parametros_recargas!$I$78*'Plan mensual'!G249+parametros_recargas!$J$78*'Plan mensual'!G250+parametros_recargas!$K$78*'Plan mensual'!G251+parametros_recargas!$L$78*'Plan mensual'!G252+parametros_recargas!$M$78*'Plan mensual'!G254</f>
        <v>13136.08629272</v>
      </c>
      <c r="F228" s="26" t="n">
        <f aca="false">parametros_recargas!$E$78*'Plan mensual'!H245+parametros_recargas!$F$78*'Plan mensual'!H246+parametros_recargas!$G$78*'Plan mensual'!H247+parametros_recargas!$H$78*'Plan mensual'!H248+parametros_recargas!$I$78*'Plan mensual'!H249+parametros_recargas!$J$78*'Plan mensual'!H250+parametros_recargas!$K$78*'Plan mensual'!H251+parametros_recargas!$L$78*'Plan mensual'!H252+parametros_recargas!$M$78*'Plan mensual'!H254</f>
        <v>13139.1806296467</v>
      </c>
      <c r="G228" s="26" t="n">
        <f aca="false">parametros_recargas!$E$78*'Plan mensual'!I245+parametros_recargas!$F$78*'Plan mensual'!I246+parametros_recargas!$G$78*'Plan mensual'!I247+parametros_recargas!$H$78*'Plan mensual'!I248+parametros_recargas!$I$78*'Plan mensual'!I249+parametros_recargas!$J$78*'Plan mensual'!I250+parametros_recargas!$K$78*'Plan mensual'!I251+parametros_recargas!$L$78*'Plan mensual'!I252+parametros_recargas!$M$78*'Plan mensual'!I254</f>
        <v>13111.0007000049</v>
      </c>
      <c r="H228" s="26" t="n">
        <f aca="false">parametros_recargas!$E$78*'Plan mensual'!J245+parametros_recargas!$F$78*'Plan mensual'!J246+parametros_recargas!$G$78*'Plan mensual'!J247+parametros_recargas!$H$78*'Plan mensual'!J248+parametros_recargas!$I$78*'Plan mensual'!J249+parametros_recargas!$J$78*'Plan mensual'!J250+parametros_recargas!$K$78*'Plan mensual'!J251+parametros_recargas!$L$78*'Plan mensual'!J252+parametros_recargas!$M$78*'Plan mensual'!J254</f>
        <v>13199.6364609314</v>
      </c>
      <c r="I228" s="26" t="n">
        <f aca="false">parametros_recargas!$E$78*'Plan mensual'!K245+parametros_recargas!$F$78*'Plan mensual'!K246+parametros_recargas!$G$78*'Plan mensual'!K247+parametros_recargas!$H$78*'Plan mensual'!K248+parametros_recargas!$I$78*'Plan mensual'!K249+parametros_recargas!$J$78*'Plan mensual'!K250+parametros_recargas!$K$78*'Plan mensual'!K251+parametros_recargas!$L$78*'Plan mensual'!K252+parametros_recargas!$M$78*'Plan mensual'!K254</f>
        <v>13132.9293536011</v>
      </c>
      <c r="J228" s="26" t="n">
        <f aca="false">parametros_recargas!$E$78*'Plan mensual'!L245+parametros_recargas!$F$78*'Plan mensual'!L246+parametros_recargas!$G$78*'Plan mensual'!L247+parametros_recargas!$H$78*'Plan mensual'!L248+parametros_recargas!$I$78*'Plan mensual'!L249+parametros_recargas!$J$78*'Plan mensual'!L250+parametros_recargas!$K$78*'Plan mensual'!L251+parametros_recargas!$L$78*'Plan mensual'!L252+parametros_recargas!$M$78*'Plan mensual'!L254</f>
        <v>13143.3302606698</v>
      </c>
      <c r="K228" s="26" t="n">
        <f aca="false">parametros_recargas!$E$78*'Plan mensual'!M245+parametros_recargas!$F$78*'Plan mensual'!M246+parametros_recargas!$G$78*'Plan mensual'!M247+parametros_recargas!$H$78*'Plan mensual'!M248+parametros_recargas!$I$78*'Plan mensual'!M249+parametros_recargas!$J$78*'Plan mensual'!M250+parametros_recargas!$K$78*'Plan mensual'!M251+parametros_recargas!$L$78*'Plan mensual'!M252+parametros_recargas!$M$78*'Plan mensual'!M254</f>
        <v>13108.943770834</v>
      </c>
      <c r="L228" s="26" t="n">
        <f aca="false">parametros_recargas!$E$78*'Plan mensual'!N245+parametros_recargas!$F$78*'Plan mensual'!N246+parametros_recargas!$G$78*'Plan mensual'!N247+parametros_recargas!$H$78*'Plan mensual'!N248+parametros_recargas!$I$78*'Plan mensual'!N249+parametros_recargas!$J$78*'Plan mensual'!N250+parametros_recargas!$K$78*'Plan mensual'!N251+parametros_recargas!$L$78*'Plan mensual'!N252+parametros_recargas!$M$78*'Plan mensual'!N254</f>
        <v>12960.8627568677</v>
      </c>
      <c r="M228" s="26" t="n">
        <f aca="false">parametros_recargas!$E$78*'Plan mensual'!O245+parametros_recargas!$F$78*'Plan mensual'!O246+parametros_recargas!$G$78*'Plan mensual'!O247+parametros_recargas!$H$78*'Plan mensual'!O248+parametros_recargas!$I$78*'Plan mensual'!O249+parametros_recargas!$J$78*'Plan mensual'!O250+parametros_recargas!$K$78*'Plan mensual'!O251+parametros_recargas!$L$78*'Plan mensual'!O252+parametros_recargas!$M$78*'Plan mensual'!O254</f>
        <v>5009.9874289507</v>
      </c>
      <c r="N228" s="8" t="n">
        <f aca="false">SUM(B228:M228)</f>
        <v>143584.745453257</v>
      </c>
      <c r="O228" s="27" t="n">
        <f aca="false">MAX(B228:M228)</f>
        <v>15153.6272348188</v>
      </c>
      <c r="P228" s="13" t="n">
        <f aca="false">O228/parametros_recargas!$B$6</f>
        <v>101.024181565459</v>
      </c>
    </row>
    <row r="229" customFormat="false" ht="15" hidden="false" customHeight="false" outlineLevel="0" collapsed="false">
      <c r="A229" s="10" t="str">
        <f aca="false">parametros_recargas!$B$79</f>
        <v>Descarga ABC — ruta descarte</v>
      </c>
      <c r="B229" s="26" t="n">
        <f aca="false">parametros_recargas!$E$79*'Plan mensual'!D245+parametros_recargas!$F$79*'Plan mensual'!D246+parametros_recargas!$G$79*'Plan mensual'!D247+parametros_recargas!$H$79*'Plan mensual'!D248+parametros_recargas!$I$79*'Plan mensual'!D249+parametros_recargas!$J$79*'Plan mensual'!D250+parametros_recargas!$K$79*'Plan mensual'!D251+parametros_recargas!$L$79*'Plan mensual'!D252+parametros_recargas!$M$79*'Plan mensual'!D254</f>
        <v>601.372178255065</v>
      </c>
      <c r="C229" s="26" t="n">
        <f aca="false">parametros_recargas!$E$79*'Plan mensual'!E245+parametros_recargas!$F$79*'Plan mensual'!E246+parametros_recargas!$G$79*'Plan mensual'!E247+parametros_recargas!$H$79*'Plan mensual'!E248+parametros_recargas!$I$79*'Plan mensual'!E249+parametros_recargas!$J$79*'Plan mensual'!E250+parametros_recargas!$K$79*'Plan mensual'!E251+parametros_recargas!$L$79*'Plan mensual'!E252+parametros_recargas!$M$79*'Plan mensual'!E254</f>
        <v>1683.73635942432</v>
      </c>
      <c r="D229" s="26" t="n">
        <f aca="false">parametros_recargas!$E$79*'Plan mensual'!F245+parametros_recargas!$F$79*'Plan mensual'!F246+parametros_recargas!$G$79*'Plan mensual'!F247+parametros_recargas!$H$79*'Plan mensual'!F248+parametros_recargas!$I$79*'Plan mensual'!F249+parametros_recargas!$J$79*'Plan mensual'!F250+parametros_recargas!$K$79*'Plan mensual'!F251+parametros_recargas!$L$79*'Plan mensual'!F252+parametros_recargas!$M$79*'Plan mensual'!F254</f>
        <v>1452.97899554622</v>
      </c>
      <c r="E229" s="26" t="n">
        <f aca="false">parametros_recargas!$E$79*'Plan mensual'!G245+parametros_recargas!$F$79*'Plan mensual'!G246+parametros_recargas!$G$79*'Plan mensual'!G247+parametros_recargas!$H$79*'Plan mensual'!G248+parametros_recargas!$I$79*'Plan mensual'!G249+parametros_recargas!$J$79*'Plan mensual'!G250+parametros_recargas!$K$79*'Plan mensual'!G251+parametros_recargas!$L$79*'Plan mensual'!G252+parametros_recargas!$M$79*'Plan mensual'!G254</f>
        <v>1459.56514363555</v>
      </c>
      <c r="F229" s="26" t="n">
        <f aca="false">parametros_recargas!$E$79*'Plan mensual'!H245+parametros_recargas!$F$79*'Plan mensual'!H246+parametros_recargas!$G$79*'Plan mensual'!H247+parametros_recargas!$H$79*'Plan mensual'!H248+parametros_recargas!$I$79*'Plan mensual'!H249+parametros_recargas!$J$79*'Plan mensual'!H250+parametros_recargas!$K$79*'Plan mensual'!H251+parametros_recargas!$L$79*'Plan mensual'!H252+parametros_recargas!$M$79*'Plan mensual'!H254</f>
        <v>1459.90895884963</v>
      </c>
      <c r="G229" s="26" t="n">
        <f aca="false">parametros_recargas!$E$79*'Plan mensual'!I245+parametros_recargas!$F$79*'Plan mensual'!I246+parametros_recargas!$G$79*'Plan mensual'!I247+parametros_recargas!$H$79*'Plan mensual'!I248+parametros_recargas!$I$79*'Plan mensual'!I249+parametros_recargas!$J$79*'Plan mensual'!I250+parametros_recargas!$K$79*'Plan mensual'!I251+parametros_recargas!$L$79*'Plan mensual'!I252+parametros_recargas!$M$79*'Plan mensual'!I254</f>
        <v>1456.77785555611</v>
      </c>
      <c r="H229" s="26" t="n">
        <f aca="false">parametros_recargas!$E$79*'Plan mensual'!J245+parametros_recargas!$F$79*'Plan mensual'!J246+parametros_recargas!$G$79*'Plan mensual'!J247+parametros_recargas!$H$79*'Plan mensual'!J248+parametros_recargas!$I$79*'Plan mensual'!J249+parametros_recargas!$J$79*'Plan mensual'!J250+parametros_recargas!$K$79*'Plan mensual'!J251+parametros_recargas!$L$79*'Plan mensual'!J252+parametros_recargas!$M$79*'Plan mensual'!J254</f>
        <v>1466.62627343683</v>
      </c>
      <c r="I229" s="26" t="n">
        <f aca="false">parametros_recargas!$E$79*'Plan mensual'!K245+parametros_recargas!$F$79*'Plan mensual'!K246+parametros_recargas!$G$79*'Plan mensual'!K247+parametros_recargas!$H$79*'Plan mensual'!K248+parametros_recargas!$I$79*'Plan mensual'!K249+parametros_recargas!$J$79*'Plan mensual'!K250+parametros_recargas!$K$79*'Plan mensual'!K251+parametros_recargas!$L$79*'Plan mensual'!K252+parametros_recargas!$M$79*'Plan mensual'!K254</f>
        <v>1459.21437262235</v>
      </c>
      <c r="J229" s="26" t="n">
        <f aca="false">parametros_recargas!$E$79*'Plan mensual'!L245+parametros_recargas!$F$79*'Plan mensual'!L246+parametros_recargas!$G$79*'Plan mensual'!L247+parametros_recargas!$H$79*'Plan mensual'!L248+parametros_recargas!$I$79*'Plan mensual'!L249+parametros_recargas!$J$79*'Plan mensual'!L250+parametros_recargas!$K$79*'Plan mensual'!L251+parametros_recargas!$L$79*'Plan mensual'!L252+parametros_recargas!$M$79*'Plan mensual'!L254</f>
        <v>1460.37002896331</v>
      </c>
      <c r="K229" s="26" t="n">
        <f aca="false">parametros_recargas!$E$79*'Plan mensual'!M245+parametros_recargas!$F$79*'Plan mensual'!M246+parametros_recargas!$G$79*'Plan mensual'!M247+parametros_recargas!$H$79*'Plan mensual'!M248+parametros_recargas!$I$79*'Plan mensual'!M249+parametros_recargas!$J$79*'Plan mensual'!M250+parametros_recargas!$K$79*'Plan mensual'!M251+parametros_recargas!$L$79*'Plan mensual'!M252+parametros_recargas!$M$79*'Plan mensual'!M254</f>
        <v>1456.54930787045</v>
      </c>
      <c r="L229" s="26" t="n">
        <f aca="false">parametros_recargas!$E$79*'Plan mensual'!N245+parametros_recargas!$F$79*'Plan mensual'!N246+parametros_recargas!$G$79*'Plan mensual'!N247+parametros_recargas!$H$79*'Plan mensual'!N248+parametros_recargas!$I$79*'Plan mensual'!N249+parametros_recargas!$J$79*'Plan mensual'!N250+parametros_recargas!$K$79*'Plan mensual'!N251+parametros_recargas!$L$79*'Plan mensual'!N252+parametros_recargas!$M$79*'Plan mensual'!N254</f>
        <v>1440.09586187418</v>
      </c>
      <c r="M229" s="26" t="n">
        <f aca="false">parametros_recargas!$E$79*'Plan mensual'!O245+parametros_recargas!$F$79*'Plan mensual'!O246+parametros_recargas!$G$79*'Plan mensual'!O247+parametros_recargas!$H$79*'Plan mensual'!O248+parametros_recargas!$I$79*'Plan mensual'!O249+parametros_recargas!$J$79*'Plan mensual'!O250+parametros_recargas!$K$79*'Plan mensual'!O251+parametros_recargas!$L$79*'Plan mensual'!O252+parametros_recargas!$M$79*'Plan mensual'!O254</f>
        <v>556.665269883411</v>
      </c>
      <c r="N229" s="8" t="n">
        <f aca="false">SUM(B229:M229)</f>
        <v>15953.8606059174</v>
      </c>
      <c r="O229" s="27" t="n">
        <f aca="false">MAX(B229:M229)</f>
        <v>1683.73635942432</v>
      </c>
      <c r="P229" s="13" t="n">
        <f aca="false">O229/parametros_recargas!$B$6</f>
        <v>11.2249090628288</v>
      </c>
    </row>
    <row r="230" customFormat="false" ht="15" hidden="false" customHeight="false" outlineLevel="0" collapsed="false">
      <c r="A230" s="10" t="str">
        <f aca="false">parametros_recargas!$B$80</f>
        <v>Descarga BC</v>
      </c>
      <c r="B230" s="26" t="n">
        <f aca="false">parametros_recargas!$E$80*'Plan mensual'!D245+parametros_recargas!$F$80*'Plan mensual'!D246+parametros_recargas!$G$80*'Plan mensual'!D247+parametros_recargas!$H$80*'Plan mensual'!D248+parametros_recargas!$I$80*'Plan mensual'!D249+parametros_recargas!$J$80*'Plan mensual'!D250+parametros_recargas!$K$80*'Plan mensual'!D251+parametros_recargas!$L$80*'Plan mensual'!D252+parametros_recargas!$M$80*'Plan mensual'!D254</f>
        <v>18.2456070569069</v>
      </c>
      <c r="C230" s="26" t="n">
        <f aca="false">parametros_recargas!$E$80*'Plan mensual'!E245+parametros_recargas!$F$80*'Plan mensual'!E246+parametros_recargas!$G$80*'Plan mensual'!E247+parametros_recargas!$H$80*'Plan mensual'!E248+parametros_recargas!$I$80*'Plan mensual'!E249+parametros_recargas!$J$80*'Plan mensual'!E250+parametros_recargas!$K$80*'Plan mensual'!E251+parametros_recargas!$L$80*'Plan mensual'!E252+parametros_recargas!$M$80*'Plan mensual'!E254</f>
        <v>18.2456070569069</v>
      </c>
      <c r="D230" s="26" t="n">
        <f aca="false">parametros_recargas!$E$80*'Plan mensual'!F245+parametros_recargas!$F$80*'Plan mensual'!F246+parametros_recargas!$G$80*'Plan mensual'!F247+parametros_recargas!$H$80*'Plan mensual'!F248+parametros_recargas!$I$80*'Plan mensual'!F249+parametros_recargas!$J$80*'Plan mensual'!F250+parametros_recargas!$K$80*'Plan mensual'!F251+parametros_recargas!$L$80*'Plan mensual'!F252+parametros_recargas!$M$80*'Plan mensual'!F254</f>
        <v>18.2456070569069</v>
      </c>
      <c r="E230" s="26" t="n">
        <f aca="false">parametros_recargas!$E$80*'Plan mensual'!G245+parametros_recargas!$F$80*'Plan mensual'!G246+parametros_recargas!$G$80*'Plan mensual'!G247+parametros_recargas!$H$80*'Plan mensual'!G248+parametros_recargas!$I$80*'Plan mensual'!G249+parametros_recargas!$J$80*'Plan mensual'!G250+parametros_recargas!$K$80*'Plan mensual'!G251+parametros_recargas!$L$80*'Plan mensual'!G252+parametros_recargas!$M$80*'Plan mensual'!G254</f>
        <v>18.2456070569069</v>
      </c>
      <c r="F230" s="26" t="n">
        <f aca="false">parametros_recargas!$E$80*'Plan mensual'!H245+parametros_recargas!$F$80*'Plan mensual'!H246+parametros_recargas!$G$80*'Plan mensual'!H247+parametros_recargas!$H$80*'Plan mensual'!H248+parametros_recargas!$I$80*'Plan mensual'!H249+parametros_recargas!$J$80*'Plan mensual'!H250+parametros_recargas!$K$80*'Plan mensual'!H251+parametros_recargas!$L$80*'Plan mensual'!H252+parametros_recargas!$M$80*'Plan mensual'!H254</f>
        <v>18.2456070569069</v>
      </c>
      <c r="G230" s="26" t="n">
        <f aca="false">parametros_recargas!$E$80*'Plan mensual'!I245+parametros_recargas!$F$80*'Plan mensual'!I246+parametros_recargas!$G$80*'Plan mensual'!I247+parametros_recargas!$H$80*'Plan mensual'!I248+parametros_recargas!$I$80*'Plan mensual'!I249+parametros_recargas!$J$80*'Plan mensual'!I250+parametros_recargas!$K$80*'Plan mensual'!I251+parametros_recargas!$L$80*'Plan mensual'!I252+parametros_recargas!$M$80*'Plan mensual'!I254</f>
        <v>18.2456070569069</v>
      </c>
      <c r="H230" s="26" t="n">
        <f aca="false">parametros_recargas!$E$80*'Plan mensual'!J245+parametros_recargas!$F$80*'Plan mensual'!J246+parametros_recargas!$G$80*'Plan mensual'!J247+parametros_recargas!$H$80*'Plan mensual'!J248+parametros_recargas!$I$80*'Plan mensual'!J249+parametros_recargas!$J$80*'Plan mensual'!J250+parametros_recargas!$K$80*'Plan mensual'!J251+parametros_recargas!$L$80*'Plan mensual'!J252+parametros_recargas!$M$80*'Plan mensual'!J254</f>
        <v>18.2456070569069</v>
      </c>
      <c r="I230" s="26" t="n">
        <f aca="false">parametros_recargas!$E$80*'Plan mensual'!K245+parametros_recargas!$F$80*'Plan mensual'!K246+parametros_recargas!$G$80*'Plan mensual'!K247+parametros_recargas!$H$80*'Plan mensual'!K248+parametros_recargas!$I$80*'Plan mensual'!K249+parametros_recargas!$J$80*'Plan mensual'!K250+parametros_recargas!$K$80*'Plan mensual'!K251+parametros_recargas!$L$80*'Plan mensual'!K252+parametros_recargas!$M$80*'Plan mensual'!K254</f>
        <v>18.2456070569069</v>
      </c>
      <c r="J230" s="26" t="n">
        <f aca="false">parametros_recargas!$E$80*'Plan mensual'!L245+parametros_recargas!$F$80*'Plan mensual'!L246+parametros_recargas!$G$80*'Plan mensual'!L247+parametros_recargas!$H$80*'Plan mensual'!L248+parametros_recargas!$I$80*'Plan mensual'!L249+parametros_recargas!$J$80*'Plan mensual'!L250+parametros_recargas!$K$80*'Plan mensual'!L251+parametros_recargas!$L$80*'Plan mensual'!L252+parametros_recargas!$M$80*'Plan mensual'!L254</f>
        <v>18.2456070569069</v>
      </c>
      <c r="K230" s="26" t="n">
        <f aca="false">parametros_recargas!$E$80*'Plan mensual'!M245+parametros_recargas!$F$80*'Plan mensual'!M246+parametros_recargas!$G$80*'Plan mensual'!M247+parametros_recargas!$H$80*'Plan mensual'!M248+parametros_recargas!$I$80*'Plan mensual'!M249+parametros_recargas!$J$80*'Plan mensual'!M250+parametros_recargas!$K$80*'Plan mensual'!M251+parametros_recargas!$L$80*'Plan mensual'!M252+parametros_recargas!$M$80*'Plan mensual'!M254</f>
        <v>18.2456070569069</v>
      </c>
      <c r="L230" s="26" t="n">
        <f aca="false">parametros_recargas!$E$80*'Plan mensual'!N245+parametros_recargas!$F$80*'Plan mensual'!N246+parametros_recargas!$G$80*'Plan mensual'!N247+parametros_recargas!$H$80*'Plan mensual'!N248+parametros_recargas!$I$80*'Plan mensual'!N249+parametros_recargas!$J$80*'Plan mensual'!N250+parametros_recargas!$K$80*'Plan mensual'!N251+parametros_recargas!$L$80*'Plan mensual'!N252+parametros_recargas!$M$80*'Plan mensual'!N254</f>
        <v>18.2456070569069</v>
      </c>
      <c r="M230" s="26" t="n">
        <f aca="false">parametros_recargas!$E$80*'Plan mensual'!O245+parametros_recargas!$F$80*'Plan mensual'!O246+parametros_recargas!$G$80*'Plan mensual'!O247+parametros_recargas!$H$80*'Plan mensual'!O248+parametros_recargas!$I$80*'Plan mensual'!O249+parametros_recargas!$J$80*'Plan mensual'!O250+parametros_recargas!$K$80*'Plan mensual'!O251+parametros_recargas!$L$80*'Plan mensual'!O252+parametros_recargas!$M$80*'Plan mensual'!O254</f>
        <v>18.2456070569069</v>
      </c>
      <c r="N230" s="8" t="n">
        <f aca="false">SUM(B230:M230)</f>
        <v>218.947284682883</v>
      </c>
      <c r="O230" s="27" t="n">
        <f aca="false">MAX(B230:M230)</f>
        <v>18.2456070569069</v>
      </c>
      <c r="P230" s="13" t="n">
        <f aca="false">O230/parametros_recargas!$B$6</f>
        <v>0.12163738037938</v>
      </c>
    </row>
    <row r="231" customFormat="false" ht="15" hidden="false" customHeight="false" outlineLevel="0" collapsed="false">
      <c r="A231" s="10" t="str">
        <f aca="false">parametros_recargas!$B$81</f>
        <v>Descarga de agua / AFFF / sales K</v>
      </c>
      <c r="B231" s="26" t="n">
        <f aca="false">parametros_recargas!$E$81*'Plan mensual'!D245+parametros_recargas!$F$81*'Plan mensual'!D246+parametros_recargas!$G$81*'Plan mensual'!D247+parametros_recargas!$H$81*'Plan mensual'!D248+parametros_recargas!$I$81*'Plan mensual'!D249+parametros_recargas!$J$81*'Plan mensual'!D250+parametros_recargas!$K$81*'Plan mensual'!D251+parametros_recargas!$L$81*'Plan mensual'!D252+parametros_recargas!$M$81*'Plan mensual'!D254</f>
        <v>722.453771826961</v>
      </c>
      <c r="C231" s="26" t="n">
        <f aca="false">parametros_recargas!$E$81*'Plan mensual'!E245+parametros_recargas!$F$81*'Plan mensual'!E246+parametros_recargas!$G$81*'Plan mensual'!E247+parametros_recargas!$H$81*'Plan mensual'!E248+parametros_recargas!$I$81*'Plan mensual'!E249+parametros_recargas!$J$81*'Plan mensual'!E250+parametros_recargas!$K$81*'Plan mensual'!E251+parametros_recargas!$L$81*'Plan mensual'!E252+parametros_recargas!$M$81*'Plan mensual'!E254</f>
        <v>1018.89330119433</v>
      </c>
      <c r="D231" s="26" t="n">
        <f aca="false">parametros_recargas!$E$81*'Plan mensual'!F245+parametros_recargas!$F$81*'Plan mensual'!F246+parametros_recargas!$G$81*'Plan mensual'!F247+parametros_recargas!$H$81*'Plan mensual'!F248+parametros_recargas!$I$81*'Plan mensual'!F249+parametros_recargas!$J$81*'Plan mensual'!F250+parametros_recargas!$K$81*'Plan mensual'!F251+parametros_recargas!$L$81*'Plan mensual'!F252+parametros_recargas!$M$81*'Plan mensual'!F254</f>
        <v>722.453771826961</v>
      </c>
      <c r="E231" s="26" t="n">
        <f aca="false">parametros_recargas!$E$81*'Plan mensual'!G245+parametros_recargas!$F$81*'Plan mensual'!G246+parametros_recargas!$G$81*'Plan mensual'!G247+parametros_recargas!$H$81*'Plan mensual'!G248+parametros_recargas!$I$81*'Plan mensual'!G249+parametros_recargas!$J$81*'Plan mensual'!G250+parametros_recargas!$K$81*'Plan mensual'!G251+parametros_recargas!$L$81*'Plan mensual'!G252+parametros_recargas!$M$81*'Plan mensual'!G254</f>
        <v>722.453771826961</v>
      </c>
      <c r="F231" s="26" t="n">
        <f aca="false">parametros_recargas!$E$81*'Plan mensual'!H245+parametros_recargas!$F$81*'Plan mensual'!H246+parametros_recargas!$G$81*'Plan mensual'!H247+parametros_recargas!$H$81*'Plan mensual'!H248+parametros_recargas!$I$81*'Plan mensual'!H249+parametros_recargas!$J$81*'Plan mensual'!H250+parametros_recargas!$K$81*'Plan mensual'!H251+parametros_recargas!$L$81*'Plan mensual'!H252+parametros_recargas!$M$81*'Plan mensual'!H254</f>
        <v>722.453771826961</v>
      </c>
      <c r="G231" s="26" t="n">
        <f aca="false">parametros_recargas!$E$81*'Plan mensual'!I245+parametros_recargas!$F$81*'Plan mensual'!I246+parametros_recargas!$G$81*'Plan mensual'!I247+parametros_recargas!$H$81*'Plan mensual'!I248+parametros_recargas!$I$81*'Plan mensual'!I249+parametros_recargas!$J$81*'Plan mensual'!I250+parametros_recargas!$K$81*'Plan mensual'!I251+parametros_recargas!$L$81*'Plan mensual'!I252+parametros_recargas!$M$81*'Plan mensual'!I254</f>
        <v>722.453771826961</v>
      </c>
      <c r="H231" s="26" t="n">
        <f aca="false">parametros_recargas!$E$81*'Plan mensual'!J245+parametros_recargas!$F$81*'Plan mensual'!J246+parametros_recargas!$G$81*'Plan mensual'!J247+parametros_recargas!$H$81*'Plan mensual'!J248+parametros_recargas!$I$81*'Plan mensual'!J249+parametros_recargas!$J$81*'Plan mensual'!J250+parametros_recargas!$K$81*'Plan mensual'!J251+parametros_recargas!$L$81*'Plan mensual'!J252+parametros_recargas!$M$81*'Plan mensual'!J254</f>
        <v>722.453771826961</v>
      </c>
      <c r="I231" s="26" t="n">
        <f aca="false">parametros_recargas!$E$81*'Plan mensual'!K245+parametros_recargas!$F$81*'Plan mensual'!K246+parametros_recargas!$G$81*'Plan mensual'!K247+parametros_recargas!$H$81*'Plan mensual'!K248+parametros_recargas!$I$81*'Plan mensual'!K249+parametros_recargas!$J$81*'Plan mensual'!K250+parametros_recargas!$K$81*'Plan mensual'!K251+parametros_recargas!$L$81*'Plan mensual'!K252+parametros_recargas!$M$81*'Plan mensual'!K254</f>
        <v>722.453771826961</v>
      </c>
      <c r="J231" s="26" t="n">
        <f aca="false">parametros_recargas!$E$81*'Plan mensual'!L245+parametros_recargas!$F$81*'Plan mensual'!L246+parametros_recargas!$G$81*'Plan mensual'!L247+parametros_recargas!$H$81*'Plan mensual'!L248+parametros_recargas!$I$81*'Plan mensual'!L249+parametros_recargas!$J$81*'Plan mensual'!L250+parametros_recargas!$K$81*'Plan mensual'!L251+parametros_recargas!$L$81*'Plan mensual'!L252+parametros_recargas!$M$81*'Plan mensual'!L254</f>
        <v>722.453771826961</v>
      </c>
      <c r="K231" s="26" t="n">
        <f aca="false">parametros_recargas!$E$81*'Plan mensual'!M245+parametros_recargas!$F$81*'Plan mensual'!M246+parametros_recargas!$G$81*'Plan mensual'!M247+parametros_recargas!$H$81*'Plan mensual'!M248+parametros_recargas!$I$81*'Plan mensual'!M249+parametros_recargas!$J$81*'Plan mensual'!M250+parametros_recargas!$K$81*'Plan mensual'!M251+parametros_recargas!$L$81*'Plan mensual'!M252+parametros_recargas!$M$81*'Plan mensual'!M254</f>
        <v>722.453771826961</v>
      </c>
      <c r="L231" s="26" t="n">
        <f aca="false">parametros_recargas!$E$81*'Plan mensual'!N245+parametros_recargas!$F$81*'Plan mensual'!N246+parametros_recargas!$G$81*'Plan mensual'!N247+parametros_recargas!$H$81*'Plan mensual'!N248+parametros_recargas!$I$81*'Plan mensual'!N249+parametros_recargas!$J$81*'Plan mensual'!N250+parametros_recargas!$K$81*'Plan mensual'!N251+parametros_recargas!$L$81*'Plan mensual'!N252+parametros_recargas!$M$81*'Plan mensual'!N254</f>
        <v>722.453771826961</v>
      </c>
      <c r="M231" s="26" t="n">
        <f aca="false">parametros_recargas!$E$81*'Plan mensual'!O245+parametros_recargas!$F$81*'Plan mensual'!O246+parametros_recargas!$G$81*'Plan mensual'!O247+parametros_recargas!$H$81*'Plan mensual'!O248+parametros_recargas!$I$81*'Plan mensual'!O249+parametros_recargas!$J$81*'Plan mensual'!O250+parametros_recargas!$K$81*'Plan mensual'!O251+parametros_recargas!$L$81*'Plan mensual'!O252+parametros_recargas!$M$81*'Plan mensual'!O254</f>
        <v>722.453771826961</v>
      </c>
      <c r="N231" s="8" t="n">
        <f aca="false">SUM(B231:M231)</f>
        <v>8965.8847912909</v>
      </c>
      <c r="O231" s="27" t="n">
        <f aca="false">MAX(B231:M231)</f>
        <v>1018.89330119433</v>
      </c>
      <c r="P231" s="13" t="n">
        <f aca="false">O231/parametros_recargas!$B$6</f>
        <v>6.79262200796218</v>
      </c>
    </row>
    <row r="232" customFormat="false" ht="15" hidden="false" customHeight="false" outlineLevel="0" collapsed="false">
      <c r="A232" s="10" t="str">
        <f aca="false">parametros_recargas!$B$82</f>
        <v>Recuperación de CO₂</v>
      </c>
      <c r="B232" s="26" t="n">
        <f aca="false">parametros_recargas!$E$82*'Plan mensual'!D245+parametros_recargas!$F$82*'Plan mensual'!D246+parametros_recargas!$G$82*'Plan mensual'!D247+parametros_recargas!$H$82*'Plan mensual'!D248+parametros_recargas!$I$82*'Plan mensual'!D249+parametros_recargas!$J$82*'Plan mensual'!D250+parametros_recargas!$K$82*'Plan mensual'!D251+parametros_recargas!$L$82*'Plan mensual'!D252+parametros_recargas!$M$82*'Plan mensual'!D254</f>
        <v>353.338706984792</v>
      </c>
      <c r="C232" s="26" t="n">
        <f aca="false">parametros_recargas!$E$82*'Plan mensual'!E245+parametros_recargas!$F$82*'Plan mensual'!E246+parametros_recargas!$G$82*'Plan mensual'!E247+parametros_recargas!$H$82*'Plan mensual'!E248+parametros_recargas!$I$82*'Plan mensual'!E249+parametros_recargas!$J$82*'Plan mensual'!E250+parametros_recargas!$K$82*'Plan mensual'!E251+parametros_recargas!$L$82*'Plan mensual'!E252+parametros_recargas!$M$82*'Plan mensual'!E254</f>
        <v>552.568957036284</v>
      </c>
      <c r="D232" s="26" t="n">
        <f aca="false">parametros_recargas!$E$82*'Plan mensual'!F245+parametros_recargas!$F$82*'Plan mensual'!F246+parametros_recargas!$G$82*'Plan mensual'!F247+parametros_recargas!$H$82*'Plan mensual'!F248+parametros_recargas!$I$82*'Plan mensual'!F249+parametros_recargas!$J$82*'Plan mensual'!F250+parametros_recargas!$K$82*'Plan mensual'!F251+parametros_recargas!$L$82*'Plan mensual'!F252+parametros_recargas!$M$82*'Plan mensual'!F254</f>
        <v>353.338706984792</v>
      </c>
      <c r="E232" s="26" t="n">
        <f aca="false">parametros_recargas!$E$82*'Plan mensual'!G245+parametros_recargas!$F$82*'Plan mensual'!G246+parametros_recargas!$G$82*'Plan mensual'!G247+parametros_recargas!$H$82*'Plan mensual'!G248+parametros_recargas!$I$82*'Plan mensual'!G249+parametros_recargas!$J$82*'Plan mensual'!G250+parametros_recargas!$K$82*'Plan mensual'!G251+parametros_recargas!$L$82*'Plan mensual'!G252+parametros_recargas!$M$82*'Plan mensual'!G254</f>
        <v>353.338706984792</v>
      </c>
      <c r="F232" s="26" t="n">
        <f aca="false">parametros_recargas!$E$82*'Plan mensual'!H245+parametros_recargas!$F$82*'Plan mensual'!H246+parametros_recargas!$G$82*'Plan mensual'!H247+parametros_recargas!$H$82*'Plan mensual'!H248+parametros_recargas!$I$82*'Plan mensual'!H249+parametros_recargas!$J$82*'Plan mensual'!H250+parametros_recargas!$K$82*'Plan mensual'!H251+parametros_recargas!$L$82*'Plan mensual'!H252+parametros_recargas!$M$82*'Plan mensual'!H254</f>
        <v>353.338706984792</v>
      </c>
      <c r="G232" s="26" t="n">
        <f aca="false">parametros_recargas!$E$82*'Plan mensual'!I245+parametros_recargas!$F$82*'Plan mensual'!I246+parametros_recargas!$G$82*'Plan mensual'!I247+parametros_recargas!$H$82*'Plan mensual'!I248+parametros_recargas!$I$82*'Plan mensual'!I249+parametros_recargas!$J$82*'Plan mensual'!I250+parametros_recargas!$K$82*'Plan mensual'!I251+parametros_recargas!$L$82*'Plan mensual'!I252+parametros_recargas!$M$82*'Plan mensual'!I254</f>
        <v>353.338706984792</v>
      </c>
      <c r="H232" s="26" t="n">
        <f aca="false">parametros_recargas!$E$82*'Plan mensual'!J245+parametros_recargas!$F$82*'Plan mensual'!J246+parametros_recargas!$G$82*'Plan mensual'!J247+parametros_recargas!$H$82*'Plan mensual'!J248+parametros_recargas!$I$82*'Plan mensual'!J249+parametros_recargas!$J$82*'Plan mensual'!J250+parametros_recargas!$K$82*'Plan mensual'!J251+parametros_recargas!$L$82*'Plan mensual'!J252+parametros_recargas!$M$82*'Plan mensual'!J254</f>
        <v>353.338706984792</v>
      </c>
      <c r="I232" s="26" t="n">
        <f aca="false">parametros_recargas!$E$82*'Plan mensual'!K245+parametros_recargas!$F$82*'Plan mensual'!K246+parametros_recargas!$G$82*'Plan mensual'!K247+parametros_recargas!$H$82*'Plan mensual'!K248+parametros_recargas!$I$82*'Plan mensual'!K249+parametros_recargas!$J$82*'Plan mensual'!K250+parametros_recargas!$K$82*'Plan mensual'!K251+parametros_recargas!$L$82*'Plan mensual'!K252+parametros_recargas!$M$82*'Plan mensual'!K254</f>
        <v>353.338706984792</v>
      </c>
      <c r="J232" s="26" t="n">
        <f aca="false">parametros_recargas!$E$82*'Plan mensual'!L245+parametros_recargas!$F$82*'Plan mensual'!L246+parametros_recargas!$G$82*'Plan mensual'!L247+parametros_recargas!$H$82*'Plan mensual'!L248+parametros_recargas!$I$82*'Plan mensual'!L249+parametros_recargas!$J$82*'Plan mensual'!L250+parametros_recargas!$K$82*'Plan mensual'!L251+parametros_recargas!$L$82*'Plan mensual'!L252+parametros_recargas!$M$82*'Plan mensual'!L254</f>
        <v>353.338706984792</v>
      </c>
      <c r="K232" s="26" t="n">
        <f aca="false">parametros_recargas!$E$82*'Plan mensual'!M245+parametros_recargas!$F$82*'Plan mensual'!M246+parametros_recargas!$G$82*'Plan mensual'!M247+parametros_recargas!$H$82*'Plan mensual'!M248+parametros_recargas!$I$82*'Plan mensual'!M249+parametros_recargas!$J$82*'Plan mensual'!M250+parametros_recargas!$K$82*'Plan mensual'!M251+parametros_recargas!$L$82*'Plan mensual'!M252+parametros_recargas!$M$82*'Plan mensual'!M254</f>
        <v>353.338706984792</v>
      </c>
      <c r="L232" s="26" t="n">
        <f aca="false">parametros_recargas!$E$82*'Plan mensual'!N245+parametros_recargas!$F$82*'Plan mensual'!N246+parametros_recargas!$G$82*'Plan mensual'!N247+parametros_recargas!$H$82*'Plan mensual'!N248+parametros_recargas!$I$82*'Plan mensual'!N249+parametros_recargas!$J$82*'Plan mensual'!N250+parametros_recargas!$K$82*'Plan mensual'!N251+parametros_recargas!$L$82*'Plan mensual'!N252+parametros_recargas!$M$82*'Plan mensual'!N254</f>
        <v>353.338706984792</v>
      </c>
      <c r="M232" s="26" t="n">
        <f aca="false">parametros_recargas!$E$82*'Plan mensual'!O245+parametros_recargas!$F$82*'Plan mensual'!O246+parametros_recargas!$G$82*'Plan mensual'!O247+parametros_recargas!$H$82*'Plan mensual'!O248+parametros_recargas!$I$82*'Plan mensual'!O249+parametros_recargas!$J$82*'Plan mensual'!O250+parametros_recargas!$K$82*'Plan mensual'!O251+parametros_recargas!$L$82*'Plan mensual'!O252+parametros_recargas!$M$82*'Plan mensual'!O254</f>
        <v>353.338706984792</v>
      </c>
      <c r="N232" s="8" t="n">
        <f aca="false">SUM(B232:M232)</f>
        <v>4439.294733869</v>
      </c>
      <c r="O232" s="27" t="n">
        <f aca="false">MAX(B232:M232)</f>
        <v>552.568957036284</v>
      </c>
      <c r="P232" s="13" t="n">
        <f aca="false">O232/parametros_recargas!$B$6</f>
        <v>3.68379304690856</v>
      </c>
    </row>
    <row r="233" customFormat="false" ht="15" hidden="false" customHeight="false" outlineLevel="0" collapsed="false">
      <c r="A233" s="10" t="str">
        <f aca="false">parametros_recargas!$B$83</f>
        <v>Recuperación de halogenado</v>
      </c>
      <c r="B233" s="26" t="n">
        <f aca="false">parametros_recargas!$E$83*'Plan mensual'!D245+parametros_recargas!$F$83*'Plan mensual'!D246+parametros_recargas!$G$83*'Plan mensual'!D247+parametros_recargas!$H$83*'Plan mensual'!D248+parametros_recargas!$I$83*'Plan mensual'!D249+parametros_recargas!$J$83*'Plan mensual'!D250+parametros_recargas!$K$83*'Plan mensual'!D251+parametros_recargas!$L$83*'Plan mensual'!D252+parametros_recargas!$M$83*'Plan mensual'!D254</f>
        <v>17.6042792859047</v>
      </c>
      <c r="C233" s="26" t="n">
        <f aca="false">parametros_recargas!$E$83*'Plan mensual'!E245+parametros_recargas!$F$83*'Plan mensual'!E246+parametros_recargas!$G$83*'Plan mensual'!E247+parametros_recargas!$H$83*'Plan mensual'!E248+parametros_recargas!$I$83*'Plan mensual'!E249+parametros_recargas!$J$83*'Plan mensual'!E250+parametros_recargas!$K$83*'Plan mensual'!E251+parametros_recargas!$L$83*'Plan mensual'!E252+parametros_recargas!$M$83*'Plan mensual'!E254</f>
        <v>17.6042792859047</v>
      </c>
      <c r="D233" s="26" t="n">
        <f aca="false">parametros_recargas!$E$83*'Plan mensual'!F245+parametros_recargas!$F$83*'Plan mensual'!F246+parametros_recargas!$G$83*'Plan mensual'!F247+parametros_recargas!$H$83*'Plan mensual'!F248+parametros_recargas!$I$83*'Plan mensual'!F249+parametros_recargas!$J$83*'Plan mensual'!F250+parametros_recargas!$K$83*'Plan mensual'!F251+parametros_recargas!$L$83*'Plan mensual'!F252+parametros_recargas!$M$83*'Plan mensual'!F254</f>
        <v>17.6042792859047</v>
      </c>
      <c r="E233" s="26" t="n">
        <f aca="false">parametros_recargas!$E$83*'Plan mensual'!G245+parametros_recargas!$F$83*'Plan mensual'!G246+parametros_recargas!$G$83*'Plan mensual'!G247+parametros_recargas!$H$83*'Plan mensual'!G248+parametros_recargas!$I$83*'Plan mensual'!G249+parametros_recargas!$J$83*'Plan mensual'!G250+parametros_recargas!$K$83*'Plan mensual'!G251+parametros_recargas!$L$83*'Plan mensual'!G252+parametros_recargas!$M$83*'Plan mensual'!G254</f>
        <v>17.6042792859047</v>
      </c>
      <c r="F233" s="26" t="n">
        <f aca="false">parametros_recargas!$E$83*'Plan mensual'!H245+parametros_recargas!$F$83*'Plan mensual'!H246+parametros_recargas!$G$83*'Plan mensual'!H247+parametros_recargas!$H$83*'Plan mensual'!H248+parametros_recargas!$I$83*'Plan mensual'!H249+parametros_recargas!$J$83*'Plan mensual'!H250+parametros_recargas!$K$83*'Plan mensual'!H251+parametros_recargas!$L$83*'Plan mensual'!H252+parametros_recargas!$M$83*'Plan mensual'!H254</f>
        <v>17.6042792859047</v>
      </c>
      <c r="G233" s="26" t="n">
        <f aca="false">parametros_recargas!$E$83*'Plan mensual'!I245+parametros_recargas!$F$83*'Plan mensual'!I246+parametros_recargas!$G$83*'Plan mensual'!I247+parametros_recargas!$H$83*'Plan mensual'!I248+parametros_recargas!$I$83*'Plan mensual'!I249+parametros_recargas!$J$83*'Plan mensual'!I250+parametros_recargas!$K$83*'Plan mensual'!I251+parametros_recargas!$L$83*'Plan mensual'!I252+parametros_recargas!$M$83*'Plan mensual'!I254</f>
        <v>17.6042792859047</v>
      </c>
      <c r="H233" s="26" t="n">
        <f aca="false">parametros_recargas!$E$83*'Plan mensual'!J245+parametros_recargas!$F$83*'Plan mensual'!J246+parametros_recargas!$G$83*'Plan mensual'!J247+parametros_recargas!$H$83*'Plan mensual'!J248+parametros_recargas!$I$83*'Plan mensual'!J249+parametros_recargas!$J$83*'Plan mensual'!J250+parametros_recargas!$K$83*'Plan mensual'!J251+parametros_recargas!$L$83*'Plan mensual'!J252+parametros_recargas!$M$83*'Plan mensual'!J254</f>
        <v>17.6042792859047</v>
      </c>
      <c r="I233" s="26" t="n">
        <f aca="false">parametros_recargas!$E$83*'Plan mensual'!K245+parametros_recargas!$F$83*'Plan mensual'!K246+parametros_recargas!$G$83*'Plan mensual'!K247+parametros_recargas!$H$83*'Plan mensual'!K248+parametros_recargas!$I$83*'Plan mensual'!K249+parametros_recargas!$J$83*'Plan mensual'!K250+parametros_recargas!$K$83*'Plan mensual'!K251+parametros_recargas!$L$83*'Plan mensual'!K252+parametros_recargas!$M$83*'Plan mensual'!K254</f>
        <v>17.6042792859047</v>
      </c>
      <c r="J233" s="26" t="n">
        <f aca="false">parametros_recargas!$E$83*'Plan mensual'!L245+parametros_recargas!$F$83*'Plan mensual'!L246+parametros_recargas!$G$83*'Plan mensual'!L247+parametros_recargas!$H$83*'Plan mensual'!L248+parametros_recargas!$I$83*'Plan mensual'!L249+parametros_recargas!$J$83*'Plan mensual'!L250+parametros_recargas!$K$83*'Plan mensual'!L251+parametros_recargas!$L$83*'Plan mensual'!L252+parametros_recargas!$M$83*'Plan mensual'!L254</f>
        <v>17.6042792859047</v>
      </c>
      <c r="K233" s="26" t="n">
        <f aca="false">parametros_recargas!$E$83*'Plan mensual'!M245+parametros_recargas!$F$83*'Plan mensual'!M246+parametros_recargas!$G$83*'Plan mensual'!M247+parametros_recargas!$H$83*'Plan mensual'!M248+parametros_recargas!$I$83*'Plan mensual'!M249+parametros_recargas!$J$83*'Plan mensual'!M250+parametros_recargas!$K$83*'Plan mensual'!M251+parametros_recargas!$L$83*'Plan mensual'!M252+parametros_recargas!$M$83*'Plan mensual'!M254</f>
        <v>17.6042792859047</v>
      </c>
      <c r="L233" s="26" t="n">
        <f aca="false">parametros_recargas!$E$83*'Plan mensual'!N245+parametros_recargas!$F$83*'Plan mensual'!N246+parametros_recargas!$G$83*'Plan mensual'!N247+parametros_recargas!$H$83*'Plan mensual'!N248+parametros_recargas!$I$83*'Plan mensual'!N249+parametros_recargas!$J$83*'Plan mensual'!N250+parametros_recargas!$K$83*'Plan mensual'!N251+parametros_recargas!$L$83*'Plan mensual'!N252+parametros_recargas!$M$83*'Plan mensual'!N254</f>
        <v>17.6042792859047</v>
      </c>
      <c r="M233" s="26" t="n">
        <f aca="false">parametros_recargas!$E$83*'Plan mensual'!O245+parametros_recargas!$F$83*'Plan mensual'!O246+parametros_recargas!$G$83*'Plan mensual'!O247+parametros_recargas!$H$83*'Plan mensual'!O248+parametros_recargas!$I$83*'Plan mensual'!O249+parametros_recargas!$J$83*'Plan mensual'!O250+parametros_recargas!$K$83*'Plan mensual'!O251+parametros_recargas!$L$83*'Plan mensual'!O252+parametros_recargas!$M$83*'Plan mensual'!O254</f>
        <v>17.6042792859047</v>
      </c>
      <c r="N233" s="8" t="n">
        <f aca="false">SUM(B233:M233)</f>
        <v>211.251351430857</v>
      </c>
      <c r="O233" s="27" t="n">
        <f aca="false">MAX(B233:M233)</f>
        <v>17.6042792859047</v>
      </c>
      <c r="P233" s="13" t="n">
        <f aca="false">O233/parametros_recargas!$B$6</f>
        <v>0.117361861906031</v>
      </c>
    </row>
    <row r="234" customFormat="false" ht="15" hidden="false" customHeight="false" outlineLevel="0" collapsed="false">
      <c r="A234" s="10" t="str">
        <f aca="false">parametros_recargas!$B$84</f>
        <v>Desarme y limpieza — recinto</v>
      </c>
      <c r="B234" s="26" t="n">
        <f aca="false">parametros_recargas!$E$84*'Plan mensual'!D245+parametros_recargas!$F$84*'Plan mensual'!D246+parametros_recargas!$G$84*'Plan mensual'!D247+parametros_recargas!$H$84*'Plan mensual'!D248+parametros_recargas!$I$84*'Plan mensual'!D249+parametros_recargas!$J$84*'Plan mensual'!D250+parametros_recargas!$K$84*'Plan mensual'!D251+parametros_recargas!$L$84*'Plan mensual'!D252+parametros_recargas!$M$84*'Plan mensual'!D254</f>
        <v>6366.72750479258</v>
      </c>
      <c r="C234" s="26" t="n">
        <f aca="false">parametros_recargas!$E$84*'Plan mensual'!E245+parametros_recargas!$F$84*'Plan mensual'!E246+parametros_recargas!$G$84*'Plan mensual'!E247+parametros_recargas!$H$84*'Plan mensual'!E248+parametros_recargas!$I$84*'Plan mensual'!E249+parametros_recargas!$J$84*'Plan mensual'!E250+parametros_recargas!$K$84*'Plan mensual'!E251+parametros_recargas!$L$84*'Plan mensual'!E252+parametros_recargas!$M$84*'Plan mensual'!E254</f>
        <v>17760.0346749952</v>
      </c>
      <c r="D234" s="26" t="n">
        <f aca="false">parametros_recargas!$E$84*'Plan mensual'!F245+parametros_recargas!$F$84*'Plan mensual'!F246+parametros_recargas!$G$84*'Plan mensual'!F247+parametros_recargas!$H$84*'Plan mensual'!F248+parametros_recargas!$I$84*'Plan mensual'!F249+parametros_recargas!$J$84*'Plan mensual'!F250+parametros_recargas!$K$84*'Plan mensual'!F251+parametros_recargas!$L$84*'Plan mensual'!F252+parametros_recargas!$M$84*'Plan mensual'!F254</f>
        <v>15331.0097920679</v>
      </c>
      <c r="E234" s="26" t="n">
        <f aca="false">parametros_recargas!$E$84*'Plan mensual'!G245+parametros_recargas!$F$84*'Plan mensual'!G246+parametros_recargas!$G$84*'Plan mensual'!G247+parametros_recargas!$H$84*'Plan mensual'!G248+parametros_recargas!$I$84*'Plan mensual'!G249+parametros_recargas!$J$84*'Plan mensual'!G250+parametros_recargas!$K$84*'Plan mensual'!G251+parametros_recargas!$L$84*'Plan mensual'!G252+parametros_recargas!$M$84*'Plan mensual'!G254</f>
        <v>15400.3376666925</v>
      </c>
      <c r="F234" s="26" t="n">
        <f aca="false">parametros_recargas!$E$84*'Plan mensual'!H245+parametros_recargas!$F$84*'Plan mensual'!H246+parametros_recargas!$G$84*'Plan mensual'!H247+parametros_recargas!$H$84*'Plan mensual'!H248+parametros_recargas!$I$84*'Plan mensual'!H249+parametros_recargas!$J$84*'Plan mensual'!H250+parametros_recargas!$K$84*'Plan mensual'!H251+parametros_recargas!$L$84*'Plan mensual'!H252+parametros_recargas!$M$84*'Plan mensual'!H254</f>
        <v>15403.9567742091</v>
      </c>
      <c r="G234" s="26" t="n">
        <f aca="false">parametros_recargas!$E$84*'Plan mensual'!I245+parametros_recargas!$F$84*'Plan mensual'!I246+parametros_recargas!$G$84*'Plan mensual'!I247+parametros_recargas!$H$84*'Plan mensual'!I248+parametros_recargas!$I$84*'Plan mensual'!I249+parametros_recargas!$J$84*'Plan mensual'!I250+parametros_recargas!$K$84*'Plan mensual'!I251+parametros_recargas!$L$84*'Plan mensual'!I252+parametros_recargas!$M$84*'Plan mensual'!I254</f>
        <v>15370.9977921719</v>
      </c>
      <c r="H234" s="26" t="n">
        <f aca="false">parametros_recargas!$E$84*'Plan mensual'!J245+parametros_recargas!$F$84*'Plan mensual'!J246+parametros_recargas!$G$84*'Plan mensual'!J247+parametros_recargas!$H$84*'Plan mensual'!J248+parametros_recargas!$I$84*'Plan mensual'!J249+parametros_recargas!$J$84*'Plan mensual'!J250+parametros_recargas!$K$84*'Plan mensual'!J251+parametros_recargas!$L$84*'Plan mensual'!J252+parametros_recargas!$M$84*'Plan mensual'!J254</f>
        <v>15474.6653488111</v>
      </c>
      <c r="I234" s="26" t="n">
        <f aca="false">parametros_recargas!$E$84*'Plan mensual'!K245+parametros_recargas!$F$84*'Plan mensual'!K246+parametros_recargas!$G$84*'Plan mensual'!K247+parametros_recargas!$H$84*'Plan mensual'!K248+parametros_recargas!$I$84*'Plan mensual'!K249+parametros_recargas!$J$84*'Plan mensual'!K250+parametros_recargas!$K$84*'Plan mensual'!K251+parametros_recargas!$L$84*'Plan mensual'!K252+parametros_recargas!$M$84*'Plan mensual'!K254</f>
        <v>15396.6453402377</v>
      </c>
      <c r="J234" s="26" t="n">
        <f aca="false">parametros_recargas!$E$84*'Plan mensual'!L245+parametros_recargas!$F$84*'Plan mensual'!L246+parametros_recargas!$G$84*'Plan mensual'!L247+parametros_recargas!$H$84*'Plan mensual'!L248+parametros_recargas!$I$84*'Plan mensual'!L249+parametros_recargas!$J$84*'Plan mensual'!L250+parametros_recargas!$K$84*'Plan mensual'!L251+parametros_recargas!$L$84*'Plan mensual'!L252+parametros_recargas!$M$84*'Plan mensual'!L254</f>
        <v>15408.8101438267</v>
      </c>
      <c r="K234" s="26" t="n">
        <f aca="false">parametros_recargas!$E$84*'Plan mensual'!M245+parametros_recargas!$F$84*'Plan mensual'!M246+parametros_recargas!$G$84*'Plan mensual'!M247+parametros_recargas!$H$84*'Plan mensual'!M248+parametros_recargas!$I$84*'Plan mensual'!M249+parametros_recargas!$J$84*'Plan mensual'!M250+parametros_recargas!$K$84*'Plan mensual'!M251+parametros_recargas!$L$84*'Plan mensual'!M252+parametros_recargas!$M$84*'Plan mensual'!M254</f>
        <v>15368.5920270597</v>
      </c>
      <c r="L234" s="26" t="n">
        <f aca="false">parametros_recargas!$E$84*'Plan mensual'!N245+parametros_recargas!$F$84*'Plan mensual'!N246+parametros_recargas!$G$84*'Plan mensual'!N247+parametros_recargas!$H$84*'Plan mensual'!N248+parametros_recargas!$I$84*'Plan mensual'!N249+parametros_recargas!$J$84*'Plan mensual'!N250+parametros_recargas!$K$84*'Plan mensual'!N251+parametros_recargas!$L$84*'Plan mensual'!N252+parametros_recargas!$M$84*'Plan mensual'!N254</f>
        <v>15195.397858678</v>
      </c>
      <c r="M234" s="26" t="n">
        <f aca="false">parametros_recargas!$E$84*'Plan mensual'!O245+parametros_recargas!$F$84*'Plan mensual'!O246+parametros_recargas!$G$84*'Plan mensual'!O247+parametros_recargas!$H$84*'Plan mensual'!O248+parametros_recargas!$I$84*'Plan mensual'!O249+parametros_recargas!$J$84*'Plan mensual'!O250+parametros_recargas!$K$84*'Plan mensual'!O251+parametros_recargas!$L$84*'Plan mensual'!O252+parametros_recargas!$M$84*'Plan mensual'!O254</f>
        <v>5896.12846930148</v>
      </c>
      <c r="N234" s="8" t="n">
        <f aca="false">SUM(B234:M234)</f>
        <v>168373.303392844</v>
      </c>
      <c r="O234" s="27" t="n">
        <f aca="false">MAX(B234:M234)</f>
        <v>17760.0346749952</v>
      </c>
      <c r="P234" s="13" t="n">
        <f aca="false">O234/parametros_recargas!$B$6</f>
        <v>118.400231166635</v>
      </c>
    </row>
    <row r="235" customFormat="false" ht="15" hidden="false" customHeight="false" outlineLevel="0" collapsed="false">
      <c r="A235" s="10" t="str">
        <f aca="false">parametros_recargas!$B$85</f>
        <v>Desarme e inspección interior — zona general</v>
      </c>
      <c r="B235" s="26" t="n">
        <f aca="false">parametros_recargas!$E$85*'Plan mensual'!D245+parametros_recargas!$F$85*'Plan mensual'!D246+parametros_recargas!$G$85*'Plan mensual'!D247+parametros_recargas!$H$85*'Plan mensual'!D248+parametros_recargas!$I$85*'Plan mensual'!D249+parametros_recargas!$J$85*'Plan mensual'!D250+parametros_recargas!$K$85*'Plan mensual'!D251+parametros_recargas!$L$85*'Plan mensual'!D252+parametros_recargas!$M$85*'Plan mensual'!D254</f>
        <v>1131.42064082539</v>
      </c>
      <c r="C235" s="26" t="n">
        <f aca="false">parametros_recargas!$E$85*'Plan mensual'!E245+parametros_recargas!$F$85*'Plan mensual'!E246+parametros_recargas!$G$85*'Plan mensual'!E247+parametros_recargas!$H$85*'Plan mensual'!E248+parametros_recargas!$I$85*'Plan mensual'!E249+parametros_recargas!$J$85*'Plan mensual'!E250+parametros_recargas!$K$85*'Plan mensual'!E251+parametros_recargas!$L$85*'Plan mensual'!E252+parametros_recargas!$M$85*'Plan mensual'!E254</f>
        <v>1642.69250073727</v>
      </c>
      <c r="D235" s="26" t="n">
        <f aca="false">parametros_recargas!$E$85*'Plan mensual'!F245+parametros_recargas!$F$85*'Plan mensual'!F246+parametros_recargas!$G$85*'Plan mensual'!F247+parametros_recargas!$H$85*'Plan mensual'!F248+parametros_recargas!$I$85*'Plan mensual'!F249+parametros_recargas!$J$85*'Plan mensual'!F250+parametros_recargas!$K$85*'Plan mensual'!F251+parametros_recargas!$L$85*'Plan mensual'!F252+parametros_recargas!$M$85*'Plan mensual'!F254</f>
        <v>1131.42064082539</v>
      </c>
      <c r="E235" s="26" t="n">
        <f aca="false">parametros_recargas!$E$85*'Plan mensual'!G245+parametros_recargas!$F$85*'Plan mensual'!G246+parametros_recargas!$G$85*'Plan mensual'!G247+parametros_recargas!$H$85*'Plan mensual'!G248+parametros_recargas!$I$85*'Plan mensual'!G249+parametros_recargas!$J$85*'Plan mensual'!G250+parametros_recargas!$K$85*'Plan mensual'!G251+parametros_recargas!$L$85*'Plan mensual'!G252+parametros_recargas!$M$85*'Plan mensual'!G254</f>
        <v>1131.42064082539</v>
      </c>
      <c r="F235" s="26" t="n">
        <f aca="false">parametros_recargas!$E$85*'Plan mensual'!H245+parametros_recargas!$F$85*'Plan mensual'!H246+parametros_recargas!$G$85*'Plan mensual'!H247+parametros_recargas!$H$85*'Plan mensual'!H248+parametros_recargas!$I$85*'Plan mensual'!H249+parametros_recargas!$J$85*'Plan mensual'!H250+parametros_recargas!$K$85*'Plan mensual'!H251+parametros_recargas!$L$85*'Plan mensual'!H252+parametros_recargas!$M$85*'Plan mensual'!H254</f>
        <v>1131.42064082539</v>
      </c>
      <c r="G235" s="26" t="n">
        <f aca="false">parametros_recargas!$E$85*'Plan mensual'!I245+parametros_recargas!$F$85*'Plan mensual'!I246+parametros_recargas!$G$85*'Plan mensual'!I247+parametros_recargas!$H$85*'Plan mensual'!I248+parametros_recargas!$I$85*'Plan mensual'!I249+parametros_recargas!$J$85*'Plan mensual'!I250+parametros_recargas!$K$85*'Plan mensual'!I251+parametros_recargas!$L$85*'Plan mensual'!I252+parametros_recargas!$M$85*'Plan mensual'!I254</f>
        <v>1131.42064082539</v>
      </c>
      <c r="H235" s="26" t="n">
        <f aca="false">parametros_recargas!$E$85*'Plan mensual'!J245+parametros_recargas!$F$85*'Plan mensual'!J246+parametros_recargas!$G$85*'Plan mensual'!J247+parametros_recargas!$H$85*'Plan mensual'!J248+parametros_recargas!$I$85*'Plan mensual'!J249+parametros_recargas!$J$85*'Plan mensual'!J250+parametros_recargas!$K$85*'Plan mensual'!J251+parametros_recargas!$L$85*'Plan mensual'!J252+parametros_recargas!$M$85*'Plan mensual'!J254</f>
        <v>1131.42064082539</v>
      </c>
      <c r="I235" s="26" t="n">
        <f aca="false">parametros_recargas!$E$85*'Plan mensual'!K245+parametros_recargas!$F$85*'Plan mensual'!K246+parametros_recargas!$G$85*'Plan mensual'!K247+parametros_recargas!$H$85*'Plan mensual'!K248+parametros_recargas!$I$85*'Plan mensual'!K249+parametros_recargas!$J$85*'Plan mensual'!K250+parametros_recargas!$K$85*'Plan mensual'!K251+parametros_recargas!$L$85*'Plan mensual'!K252+parametros_recargas!$M$85*'Plan mensual'!K254</f>
        <v>1131.42064082539</v>
      </c>
      <c r="J235" s="26" t="n">
        <f aca="false">parametros_recargas!$E$85*'Plan mensual'!L245+parametros_recargas!$F$85*'Plan mensual'!L246+parametros_recargas!$G$85*'Plan mensual'!L247+parametros_recargas!$H$85*'Plan mensual'!L248+parametros_recargas!$I$85*'Plan mensual'!L249+parametros_recargas!$J$85*'Plan mensual'!L250+parametros_recargas!$K$85*'Plan mensual'!L251+parametros_recargas!$L$85*'Plan mensual'!L252+parametros_recargas!$M$85*'Plan mensual'!L254</f>
        <v>1131.42064082539</v>
      </c>
      <c r="K235" s="26" t="n">
        <f aca="false">parametros_recargas!$E$85*'Plan mensual'!M245+parametros_recargas!$F$85*'Plan mensual'!M246+parametros_recargas!$G$85*'Plan mensual'!M247+parametros_recargas!$H$85*'Plan mensual'!M248+parametros_recargas!$I$85*'Plan mensual'!M249+parametros_recargas!$J$85*'Plan mensual'!M250+parametros_recargas!$K$85*'Plan mensual'!M251+parametros_recargas!$L$85*'Plan mensual'!M252+parametros_recargas!$M$85*'Plan mensual'!M254</f>
        <v>1131.42064082539</v>
      </c>
      <c r="L235" s="26" t="n">
        <f aca="false">parametros_recargas!$E$85*'Plan mensual'!N245+parametros_recargas!$F$85*'Plan mensual'!N246+parametros_recargas!$G$85*'Plan mensual'!N247+parametros_recargas!$H$85*'Plan mensual'!N248+parametros_recargas!$I$85*'Plan mensual'!N249+parametros_recargas!$J$85*'Plan mensual'!N250+parametros_recargas!$K$85*'Plan mensual'!N251+parametros_recargas!$L$85*'Plan mensual'!N252+parametros_recargas!$M$85*'Plan mensual'!N254</f>
        <v>1131.42064082539</v>
      </c>
      <c r="M235" s="26" t="n">
        <f aca="false">parametros_recargas!$E$85*'Plan mensual'!O245+parametros_recargas!$F$85*'Plan mensual'!O246+parametros_recargas!$G$85*'Plan mensual'!O247+parametros_recargas!$H$85*'Plan mensual'!O248+parametros_recargas!$I$85*'Plan mensual'!O249+parametros_recargas!$J$85*'Plan mensual'!O250+parametros_recargas!$K$85*'Plan mensual'!O251+parametros_recargas!$L$85*'Plan mensual'!O252+parametros_recargas!$M$85*'Plan mensual'!O254</f>
        <v>1131.42064082539</v>
      </c>
      <c r="N235" s="8" t="n">
        <f aca="false">SUM(B235:M235)</f>
        <v>14088.3195498166</v>
      </c>
      <c r="O235" s="27" t="n">
        <f aca="false">MAX(B235:M235)</f>
        <v>1642.69250073727</v>
      </c>
      <c r="P235" s="13" t="n">
        <f aca="false">O235/parametros_recargas!$B$6</f>
        <v>10.9512833382485</v>
      </c>
    </row>
    <row r="236" customFormat="false" ht="15" hidden="false" customHeight="false" outlineLevel="0" collapsed="false">
      <c r="A236" s="10" t="str">
        <f aca="false">parametros_recargas!$B$86</f>
        <v>Laboratorio — Puffer y mufla</v>
      </c>
      <c r="B236" s="26" t="n">
        <f aca="false">parametros_recargas!$E$86*'Plan mensual'!D245+parametros_recargas!$F$86*'Plan mensual'!D246+parametros_recargas!$G$86*'Plan mensual'!D247+parametros_recargas!$H$86*'Plan mensual'!D248+parametros_recargas!$I$86*'Plan mensual'!D249+parametros_recargas!$J$86*'Plan mensual'!D250+parametros_recargas!$K$86*'Plan mensual'!D251+parametros_recargas!$L$86*'Plan mensual'!D252+parametros_recargas!$M$86*'Plan mensual'!D254</f>
        <v>8.45210338156887</v>
      </c>
      <c r="C236" s="26" t="n">
        <f aca="false">parametros_recargas!$E$86*'Plan mensual'!E245+parametros_recargas!$F$86*'Plan mensual'!E246+parametros_recargas!$G$86*'Plan mensual'!E247+parametros_recargas!$H$86*'Plan mensual'!E248+parametros_recargas!$I$86*'Plan mensual'!E249+parametros_recargas!$J$86*'Plan mensual'!E250+parametros_recargas!$K$86*'Plan mensual'!E251+parametros_recargas!$L$86*'Plan mensual'!E252+parametros_recargas!$M$86*'Plan mensual'!E254</f>
        <v>23.6644033291556</v>
      </c>
      <c r="D236" s="26" t="n">
        <f aca="false">parametros_recargas!$E$86*'Plan mensual'!F245+parametros_recargas!$F$86*'Plan mensual'!F246+parametros_recargas!$G$86*'Plan mensual'!F247+parametros_recargas!$H$86*'Plan mensual'!F248+parametros_recargas!$I$86*'Plan mensual'!F249+parametros_recargas!$J$86*'Plan mensual'!F250+parametros_recargas!$K$86*'Plan mensual'!F251+parametros_recargas!$L$86*'Plan mensual'!F252+parametros_recargas!$M$86*'Plan mensual'!F254</f>
        <v>20.4211786405523</v>
      </c>
      <c r="E236" s="26" t="n">
        <f aca="false">parametros_recargas!$E$86*'Plan mensual'!G245+parametros_recargas!$F$86*'Plan mensual'!G246+parametros_recargas!$G$86*'Plan mensual'!G247+parametros_recargas!$H$86*'Plan mensual'!G248+parametros_recargas!$I$86*'Plan mensual'!G249+parametros_recargas!$J$86*'Plan mensual'!G250+parametros_recargas!$K$86*'Plan mensual'!G251+parametros_recargas!$L$86*'Plan mensual'!G252+parametros_recargas!$M$86*'Plan mensual'!G254</f>
        <v>20.5137449523143</v>
      </c>
      <c r="F236" s="26" t="n">
        <f aca="false">parametros_recargas!$E$86*'Plan mensual'!H245+parametros_recargas!$F$86*'Plan mensual'!H246+parametros_recargas!$G$86*'Plan mensual'!H247+parametros_recargas!$H$86*'Plan mensual'!H248+parametros_recargas!$I$86*'Plan mensual'!H249+parametros_recargas!$J$86*'Plan mensual'!H250+parametros_recargas!$K$86*'Plan mensual'!H251+parametros_recargas!$L$86*'Plan mensual'!H252+parametros_recargas!$M$86*'Plan mensual'!H254</f>
        <v>20.5185771707618</v>
      </c>
      <c r="G236" s="26" t="n">
        <f aca="false">parametros_recargas!$E$86*'Plan mensual'!I245+parametros_recargas!$F$86*'Plan mensual'!I246+parametros_recargas!$G$86*'Plan mensual'!I247+parametros_recargas!$H$86*'Plan mensual'!I248+parametros_recargas!$I$86*'Plan mensual'!I249+parametros_recargas!$J$86*'Plan mensual'!I250+parametros_recargas!$K$86*'Plan mensual'!I251+parametros_recargas!$L$86*'Plan mensual'!I252+parametros_recargas!$M$86*'Plan mensual'!I254</f>
        <v>20.4745704646118</v>
      </c>
      <c r="H236" s="26" t="n">
        <f aca="false">parametros_recargas!$E$86*'Plan mensual'!J245+parametros_recargas!$F$86*'Plan mensual'!J246+parametros_recargas!$G$86*'Plan mensual'!J247+parametros_recargas!$H$86*'Plan mensual'!J248+parametros_recargas!$I$86*'Plan mensual'!J249+parametros_recargas!$J$86*'Plan mensual'!J250+parametros_recargas!$K$86*'Plan mensual'!J251+parametros_recargas!$L$86*'Plan mensual'!J252+parametros_recargas!$M$86*'Plan mensual'!J254</f>
        <v>20.6129869878275</v>
      </c>
      <c r="I236" s="26" t="n">
        <f aca="false">parametros_recargas!$E$86*'Plan mensual'!K245+parametros_recargas!$F$86*'Plan mensual'!K246+parametros_recargas!$G$86*'Plan mensual'!K247+parametros_recargas!$H$86*'Plan mensual'!K248+parametros_recargas!$I$86*'Plan mensual'!K249+parametros_recargas!$J$86*'Plan mensual'!K250+parametros_recargas!$K$86*'Plan mensual'!K251+parametros_recargas!$L$86*'Plan mensual'!K252+parametros_recargas!$M$86*'Plan mensual'!K254</f>
        <v>20.508814972222</v>
      </c>
      <c r="J236" s="26" t="n">
        <f aca="false">parametros_recargas!$E$86*'Plan mensual'!L245+parametros_recargas!$F$86*'Plan mensual'!L246+parametros_recargas!$G$86*'Plan mensual'!L247+parametros_recargas!$H$86*'Plan mensual'!L248+parametros_recargas!$I$86*'Plan mensual'!L249+parametros_recargas!$J$86*'Plan mensual'!L250+parametros_recargas!$K$86*'Plan mensual'!L251+parametros_recargas!$L$86*'Plan mensual'!L252+parametros_recargas!$M$86*'Plan mensual'!L254</f>
        <v>20.5250573712231</v>
      </c>
      <c r="K236" s="26" t="n">
        <f aca="false">parametros_recargas!$E$86*'Plan mensual'!M245+parametros_recargas!$F$86*'Plan mensual'!M246+parametros_recargas!$G$86*'Plan mensual'!M247+parametros_recargas!$H$86*'Plan mensual'!M248+parametros_recargas!$I$86*'Plan mensual'!M249+parametros_recargas!$J$86*'Plan mensual'!M250+parametros_recargas!$K$86*'Plan mensual'!M251+parametros_recargas!$L$86*'Plan mensual'!M252+parametros_recargas!$M$86*'Plan mensual'!M254</f>
        <v>20.4713582962797</v>
      </c>
      <c r="L236" s="26" t="n">
        <f aca="false">parametros_recargas!$E$86*'Plan mensual'!N245+parametros_recargas!$F$86*'Plan mensual'!N246+parametros_recargas!$G$86*'Plan mensual'!N247+parametros_recargas!$H$86*'Plan mensual'!N248+parametros_recargas!$I$86*'Plan mensual'!N249+parametros_recargas!$J$86*'Plan mensual'!N250+parametros_recargas!$K$86*'Plan mensual'!N251+parametros_recargas!$L$86*'Plan mensual'!N252+parametros_recargas!$M$86*'Plan mensual'!N254</f>
        <v>20.2401101082657</v>
      </c>
      <c r="M236" s="26" t="n">
        <f aca="false">parametros_recargas!$E$86*'Plan mensual'!O245+parametros_recargas!$F$86*'Plan mensual'!O246+parametros_recargas!$G$86*'Plan mensual'!O247+parametros_recargas!$H$86*'Plan mensual'!O248+parametros_recargas!$I$86*'Plan mensual'!O249+parametros_recargas!$J$86*'Plan mensual'!O250+parametros_recargas!$K$86*'Plan mensual'!O251+parametros_recargas!$L$86*'Plan mensual'!O252+parametros_recargas!$M$86*'Plan mensual'!O254</f>
        <v>7.82376135795886</v>
      </c>
      <c r="N236" s="8" t="n">
        <f aca="false">SUM(B236:M236)</f>
        <v>224.226667032742</v>
      </c>
      <c r="O236" s="27" t="n">
        <f aca="false">MAX(B236:M236)</f>
        <v>23.6644033291556</v>
      </c>
      <c r="P236" s="13" t="n">
        <f aca="false">O236/parametros_recargas!$B$6</f>
        <v>0.157762688861037</v>
      </c>
    </row>
    <row r="237" customFormat="false" ht="15" hidden="false" customHeight="false" outlineLevel="0" collapsed="false">
      <c r="A237" s="10" t="str">
        <f aca="false">parametros_recargas!$B$87</f>
        <v>Prueba hidráulica</v>
      </c>
      <c r="B237" s="26" t="n">
        <f aca="false">parametros_recargas!$E$87*'Plan mensual'!D245+parametros_recargas!$F$87*'Plan mensual'!D246+parametros_recargas!$G$87*'Plan mensual'!D247+parametros_recargas!$H$87*'Plan mensual'!D248+parametros_recargas!$I$87*'Plan mensual'!D249+parametros_recargas!$J$87*'Plan mensual'!D250+parametros_recargas!$K$87*'Plan mensual'!D251+parametros_recargas!$L$87*'Plan mensual'!D252+parametros_recargas!$M$87*'Plan mensual'!D254</f>
        <v>2316.96799389477</v>
      </c>
      <c r="C237" s="26" t="n">
        <f aca="false">parametros_recargas!$E$87*'Plan mensual'!E245+parametros_recargas!$F$87*'Plan mensual'!E246+parametros_recargas!$G$87*'Plan mensual'!E247+parametros_recargas!$H$87*'Plan mensual'!E248+parametros_recargas!$I$87*'Plan mensual'!E249+parametros_recargas!$J$87*'Plan mensual'!E250+parametros_recargas!$K$87*'Plan mensual'!E251+parametros_recargas!$L$87*'Plan mensual'!E252+parametros_recargas!$M$87*'Plan mensual'!E254</f>
        <v>5502.94288024489</v>
      </c>
      <c r="D237" s="26" t="n">
        <f aca="false">parametros_recargas!$E$87*'Plan mensual'!F245+parametros_recargas!$F$87*'Plan mensual'!F246+parametros_recargas!$G$87*'Plan mensual'!F247+parametros_recargas!$H$87*'Plan mensual'!F248+parametros_recargas!$I$87*'Plan mensual'!F249+parametros_recargas!$J$87*'Plan mensual'!F250+parametros_recargas!$K$87*'Plan mensual'!F251+parametros_recargas!$L$87*'Plan mensual'!F252+parametros_recargas!$M$87*'Plan mensual'!F254</f>
        <v>4558.0385657136</v>
      </c>
      <c r="E237" s="26" t="n">
        <f aca="false">parametros_recargas!$E$87*'Plan mensual'!G245+parametros_recargas!$F$87*'Plan mensual'!G246+parametros_recargas!$G$87*'Plan mensual'!G247+parametros_recargas!$H$87*'Plan mensual'!G248+parametros_recargas!$I$87*'Plan mensual'!G249+parametros_recargas!$J$87*'Plan mensual'!G250+parametros_recargas!$K$87*'Plan mensual'!G251+parametros_recargas!$L$87*'Plan mensual'!G252+parametros_recargas!$M$87*'Plan mensual'!G254</f>
        <v>4575.37053436974</v>
      </c>
      <c r="F237" s="26" t="n">
        <f aca="false">parametros_recargas!$E$87*'Plan mensual'!H245+parametros_recargas!$F$87*'Plan mensual'!H246+parametros_recargas!$G$87*'Plan mensual'!H247+parametros_recargas!$H$87*'Plan mensual'!H248+parametros_recargas!$I$87*'Plan mensual'!H249+parametros_recargas!$J$87*'Plan mensual'!H250+parametros_recargas!$K$87*'Plan mensual'!H251+parametros_recargas!$L$87*'Plan mensual'!H252+parametros_recargas!$M$87*'Plan mensual'!H254</f>
        <v>4576.2753112489</v>
      </c>
      <c r="G237" s="26" t="n">
        <f aca="false">parametros_recargas!$E$87*'Plan mensual'!I245+parametros_recargas!$F$87*'Plan mensual'!I246+parametros_recargas!$G$87*'Plan mensual'!I247+parametros_recargas!$H$87*'Plan mensual'!I248+parametros_recargas!$I$87*'Plan mensual'!I249+parametros_recargas!$J$87*'Plan mensual'!I250+parametros_recargas!$K$87*'Plan mensual'!I251+parametros_recargas!$L$87*'Plan mensual'!I252+parametros_recargas!$M$87*'Plan mensual'!I254</f>
        <v>4568.03556573961</v>
      </c>
      <c r="H237" s="26" t="n">
        <f aca="false">parametros_recargas!$E$87*'Plan mensual'!J245+parametros_recargas!$F$87*'Plan mensual'!J246+parametros_recargas!$G$87*'Plan mensual'!J247+parametros_recargas!$H$87*'Plan mensual'!J248+parametros_recargas!$I$87*'Plan mensual'!J249+parametros_recargas!$J$87*'Plan mensual'!J250+parametros_recargas!$K$87*'Plan mensual'!J251+parametros_recargas!$L$87*'Plan mensual'!J252+parametros_recargas!$M$87*'Plan mensual'!J254</f>
        <v>4593.9524548994</v>
      </c>
      <c r="I237" s="26" t="n">
        <f aca="false">parametros_recargas!$E$87*'Plan mensual'!K245+parametros_recargas!$F$87*'Plan mensual'!K246+parametros_recargas!$G$87*'Plan mensual'!K247+parametros_recargas!$H$87*'Plan mensual'!K248+parametros_recargas!$I$87*'Plan mensual'!K249+parametros_recargas!$J$87*'Plan mensual'!K250+parametros_recargas!$K$87*'Plan mensual'!K251+parametros_recargas!$L$87*'Plan mensual'!K252+parametros_recargas!$M$87*'Plan mensual'!K254</f>
        <v>4574.44745275604</v>
      </c>
      <c r="J237" s="26" t="n">
        <f aca="false">parametros_recargas!$E$87*'Plan mensual'!L245+parametros_recargas!$F$87*'Plan mensual'!L246+parametros_recargas!$G$87*'Plan mensual'!L247+parametros_recargas!$H$87*'Plan mensual'!L248+parametros_recargas!$I$87*'Plan mensual'!L249+parametros_recargas!$J$87*'Plan mensual'!L250+parametros_recargas!$K$87*'Plan mensual'!L251+parametros_recargas!$L$87*'Plan mensual'!L252+parametros_recargas!$M$87*'Plan mensual'!L254</f>
        <v>4577.48865365331</v>
      </c>
      <c r="K237" s="26" t="n">
        <f aca="false">parametros_recargas!$E$87*'Plan mensual'!M245+parametros_recargas!$F$87*'Plan mensual'!M246+parametros_recargas!$G$87*'Plan mensual'!M247+parametros_recargas!$H$87*'Plan mensual'!M248+parametros_recargas!$I$87*'Plan mensual'!M249+parametros_recargas!$J$87*'Plan mensual'!M250+parametros_recargas!$K$87*'Plan mensual'!M251+parametros_recargas!$L$87*'Plan mensual'!M252+parametros_recargas!$M$87*'Plan mensual'!M254</f>
        <v>4567.43412446156</v>
      </c>
      <c r="L237" s="26" t="n">
        <f aca="false">parametros_recargas!$E$87*'Plan mensual'!N245+parametros_recargas!$F$87*'Plan mensual'!N246+parametros_recargas!$G$87*'Plan mensual'!N247+parametros_recargas!$H$87*'Plan mensual'!N248+parametros_recargas!$I$87*'Plan mensual'!N249+parametros_recargas!$J$87*'Plan mensual'!N250+parametros_recargas!$K$87*'Plan mensual'!N251+parametros_recargas!$L$87*'Plan mensual'!N252+parametros_recargas!$M$87*'Plan mensual'!N254</f>
        <v>4524.13558236614</v>
      </c>
      <c r="M237" s="26" t="n">
        <f aca="false">parametros_recargas!$E$87*'Plan mensual'!O245+parametros_recargas!$F$87*'Plan mensual'!O246+parametros_recargas!$G$87*'Plan mensual'!O247+parametros_recargas!$H$87*'Plan mensual'!O248+parametros_recargas!$I$87*'Plan mensual'!O249+parametros_recargas!$J$87*'Plan mensual'!O250+parametros_recargas!$K$87*'Plan mensual'!O251+parametros_recargas!$L$87*'Plan mensual'!O252+parametros_recargas!$M$87*'Plan mensual'!O254</f>
        <v>2199.318235022</v>
      </c>
      <c r="N237" s="8" t="n">
        <f aca="false">SUM(B237:M237)</f>
        <v>51134.40735437</v>
      </c>
      <c r="O237" s="27" t="n">
        <f aca="false">MAX(B237:M237)</f>
        <v>5502.94288024489</v>
      </c>
      <c r="P237" s="13" t="n">
        <f aca="false">O237/parametros_recargas!$B$6</f>
        <v>36.6862858682993</v>
      </c>
    </row>
    <row r="238" customFormat="false" ht="15" hidden="false" customHeight="false" outlineLevel="0" collapsed="false">
      <c r="A238" s="10" t="str">
        <f aca="false">parametros_recargas!$B$88</f>
        <v>Secado</v>
      </c>
      <c r="B238" s="26" t="n">
        <f aca="false">parametros_recargas!$E$88*'Plan mensual'!D245+parametros_recargas!$F$88*'Plan mensual'!D246+parametros_recargas!$G$88*'Plan mensual'!D247+parametros_recargas!$H$88*'Plan mensual'!D248+parametros_recargas!$I$88*'Plan mensual'!D249+parametros_recargas!$J$88*'Plan mensual'!D250+parametros_recargas!$K$88*'Plan mensual'!D251+parametros_recargas!$L$88*'Plan mensual'!D252+parametros_recargas!$M$88*'Plan mensual'!D254</f>
        <v>1962.37255893761</v>
      </c>
      <c r="C238" s="26" t="n">
        <f aca="false">parametros_recargas!$E$88*'Plan mensual'!E245+parametros_recargas!$F$88*'Plan mensual'!E246+parametros_recargas!$G$88*'Plan mensual'!E247+parametros_recargas!$H$88*'Plan mensual'!E248+parametros_recargas!$I$88*'Plan mensual'!E249+parametros_recargas!$J$88*'Plan mensual'!E250+parametros_recargas!$K$88*'Plan mensual'!E251+parametros_recargas!$L$88*'Plan mensual'!E252+parametros_recargas!$M$88*'Plan mensual'!E254</f>
        <v>5090.65763156655</v>
      </c>
      <c r="D238" s="26" t="n">
        <f aca="false">parametros_recargas!$E$88*'Plan mensual'!F245+parametros_recargas!$F$88*'Plan mensual'!F246+parametros_recargas!$G$88*'Plan mensual'!F247+parametros_recargas!$H$88*'Plan mensual'!F248+parametros_recargas!$I$88*'Plan mensual'!F249+parametros_recargas!$J$88*'Plan mensual'!F250+parametros_recargas!$K$88*'Plan mensual'!F251+parametros_recargas!$L$88*'Plan mensual'!F252+parametros_recargas!$M$88*'Plan mensual'!F254</f>
        <v>4293.08595362919</v>
      </c>
      <c r="E238" s="26" t="n">
        <f aca="false">parametros_recargas!$E$88*'Plan mensual'!G245+parametros_recargas!$F$88*'Plan mensual'!G246+parametros_recargas!$G$88*'Plan mensual'!G247+parametros_recargas!$H$88*'Plan mensual'!G248+parametros_recargas!$I$88*'Plan mensual'!G249+parametros_recargas!$J$88*'Plan mensual'!G250+parametros_recargas!$K$88*'Plan mensual'!G251+parametros_recargas!$L$88*'Plan mensual'!G252+parametros_recargas!$M$88*'Plan mensual'!G254</f>
        <v>4311.11120103159</v>
      </c>
      <c r="F238" s="26" t="n">
        <f aca="false">parametros_recargas!$E$88*'Plan mensual'!H245+parametros_recargas!$F$88*'Plan mensual'!H246+parametros_recargas!$G$88*'Plan mensual'!H247+parametros_recargas!$H$88*'Plan mensual'!H248+parametros_recargas!$I$88*'Plan mensual'!H249+parametros_recargas!$J$88*'Plan mensual'!H250+parametros_recargas!$K$88*'Plan mensual'!H251+parametros_recargas!$L$88*'Plan mensual'!H252+parametros_recargas!$M$88*'Plan mensual'!H254</f>
        <v>4312.0521689859</v>
      </c>
      <c r="G238" s="26" t="n">
        <f aca="false">parametros_recargas!$E$88*'Plan mensual'!I245+parametros_recargas!$F$88*'Plan mensual'!I246+parametros_recargas!$G$88*'Plan mensual'!I247+parametros_recargas!$H$88*'Plan mensual'!I248+parametros_recargas!$I$88*'Plan mensual'!I249+parametros_recargas!$J$88*'Plan mensual'!I250+parametros_recargas!$K$88*'Plan mensual'!I251+parametros_recargas!$L$88*'Plan mensual'!I252+parametros_recargas!$M$88*'Plan mensual'!I254</f>
        <v>4303.48283365625</v>
      </c>
      <c r="H238" s="26" t="n">
        <f aca="false">parametros_recargas!$E$88*'Plan mensual'!J245+parametros_recargas!$F$88*'Plan mensual'!J246+parametros_recargas!$G$88*'Plan mensual'!J247+parametros_recargas!$H$88*'Plan mensual'!J248+parametros_recargas!$I$88*'Plan mensual'!J249+parametros_recargas!$J$88*'Plan mensual'!J250+parametros_recargas!$K$88*'Plan mensual'!J251+parametros_recargas!$L$88*'Plan mensual'!J252+parametros_recargas!$M$88*'Plan mensual'!J254</f>
        <v>4330.43639838243</v>
      </c>
      <c r="I238" s="26" t="n">
        <f aca="false">parametros_recargas!$E$88*'Plan mensual'!K245+parametros_recargas!$F$88*'Plan mensual'!K246+parametros_recargas!$G$88*'Plan mensual'!K247+parametros_recargas!$H$88*'Plan mensual'!K248+parametros_recargas!$I$88*'Plan mensual'!K249+parametros_recargas!$J$88*'Plan mensual'!K250+parametros_recargas!$K$88*'Plan mensual'!K251+parametros_recargas!$L$88*'Plan mensual'!K252+parametros_recargas!$M$88*'Plan mensual'!K254</f>
        <v>4310.15119615333</v>
      </c>
      <c r="J238" s="26" t="n">
        <f aca="false">parametros_recargas!$E$88*'Plan mensual'!L245+parametros_recargas!$F$88*'Plan mensual'!L246+parametros_recargas!$G$88*'Plan mensual'!L247+parametros_recargas!$H$88*'Plan mensual'!L248+parametros_recargas!$I$88*'Plan mensual'!L249+parametros_recargas!$J$88*'Plan mensual'!L250+parametros_recargas!$K$88*'Plan mensual'!L251+parametros_recargas!$L$88*'Plan mensual'!L252+parametros_recargas!$M$88*'Plan mensual'!L254</f>
        <v>4313.31404508649</v>
      </c>
      <c r="K238" s="26" t="n">
        <f aca="false">parametros_recargas!$E$88*'Plan mensual'!M245+parametros_recargas!$F$88*'Plan mensual'!M246+parametros_recargas!$G$88*'Plan mensual'!M247+parametros_recargas!$H$88*'Plan mensual'!M248+parametros_recargas!$I$88*'Plan mensual'!M249+parametros_recargas!$J$88*'Plan mensual'!M250+parametros_recargas!$K$88*'Plan mensual'!M251+parametros_recargas!$L$88*'Plan mensual'!M252+parametros_recargas!$M$88*'Plan mensual'!M254</f>
        <v>4302.85733472708</v>
      </c>
      <c r="L238" s="26" t="n">
        <f aca="false">parametros_recargas!$E$88*'Plan mensual'!N245+parametros_recargas!$F$88*'Plan mensual'!N246+parametros_recargas!$G$88*'Plan mensual'!N247+parametros_recargas!$H$88*'Plan mensual'!N248+parametros_recargas!$I$88*'Plan mensual'!N249+parametros_recargas!$J$88*'Plan mensual'!N250+parametros_recargas!$K$88*'Plan mensual'!N251+parametros_recargas!$L$88*'Plan mensual'!N252+parametros_recargas!$M$88*'Plan mensual'!N254</f>
        <v>4257.82685094783</v>
      </c>
      <c r="M238" s="26" t="n">
        <f aca="false">parametros_recargas!$E$88*'Plan mensual'!O245+parametros_recargas!$F$88*'Plan mensual'!O246+parametros_recargas!$G$88*'Plan mensual'!O247+parametros_recargas!$H$88*'Plan mensual'!O248+parametros_recargas!$I$88*'Plan mensual'!O249+parametros_recargas!$J$88*'Plan mensual'!O250+parametros_recargas!$K$88*'Plan mensual'!O251+parametros_recargas!$L$88*'Plan mensual'!O252+parametros_recargas!$M$88*'Plan mensual'!O254</f>
        <v>1840.01680970993</v>
      </c>
      <c r="N238" s="8" t="n">
        <f aca="false">SUM(B238:M238)</f>
        <v>47627.3649828142</v>
      </c>
      <c r="O238" s="27" t="n">
        <f aca="false">MAX(B238:M238)</f>
        <v>5090.65763156655</v>
      </c>
      <c r="P238" s="13" t="n">
        <f aca="false">O238/parametros_recargas!$B$6</f>
        <v>33.937717543777</v>
      </c>
    </row>
    <row r="239" customFormat="false" ht="15" hidden="false" customHeight="false" outlineLevel="0" collapsed="false">
      <c r="A239" s="10" t="str">
        <f aca="false">parametros_recargas!$B$89</f>
        <v>Inspección interior con videoscopio</v>
      </c>
      <c r="B239" s="26" t="n">
        <f aca="false">parametros_recargas!$E$89*'Plan mensual'!D245+parametros_recargas!$F$89*'Plan mensual'!D246+parametros_recargas!$G$89*'Plan mensual'!D247+parametros_recargas!$H$89*'Plan mensual'!D248+parametros_recargas!$I$89*'Plan mensual'!D249+parametros_recargas!$J$89*'Plan mensual'!D250+parametros_recargas!$K$89*'Plan mensual'!D251+parametros_recargas!$L$89*'Plan mensual'!D252+parametros_recargas!$M$89*'Plan mensual'!D254</f>
        <v>1962.37255893761</v>
      </c>
      <c r="C239" s="26" t="n">
        <f aca="false">parametros_recargas!$E$89*'Plan mensual'!E245+parametros_recargas!$F$89*'Plan mensual'!E246+parametros_recargas!$G$89*'Plan mensual'!E247+parametros_recargas!$H$89*'Plan mensual'!E248+parametros_recargas!$I$89*'Plan mensual'!E249+parametros_recargas!$J$89*'Plan mensual'!E250+parametros_recargas!$K$89*'Plan mensual'!E251+parametros_recargas!$L$89*'Plan mensual'!E252+parametros_recargas!$M$89*'Plan mensual'!E254</f>
        <v>5090.65763156655</v>
      </c>
      <c r="D239" s="26" t="n">
        <f aca="false">parametros_recargas!$E$89*'Plan mensual'!F245+parametros_recargas!$F$89*'Plan mensual'!F246+parametros_recargas!$G$89*'Plan mensual'!F247+parametros_recargas!$H$89*'Plan mensual'!F248+parametros_recargas!$I$89*'Plan mensual'!F249+parametros_recargas!$J$89*'Plan mensual'!F250+parametros_recargas!$K$89*'Plan mensual'!F251+parametros_recargas!$L$89*'Plan mensual'!F252+parametros_recargas!$M$89*'Plan mensual'!F254</f>
        <v>4293.08595362919</v>
      </c>
      <c r="E239" s="26" t="n">
        <f aca="false">parametros_recargas!$E$89*'Plan mensual'!G245+parametros_recargas!$F$89*'Plan mensual'!G246+parametros_recargas!$G$89*'Plan mensual'!G247+parametros_recargas!$H$89*'Plan mensual'!G248+parametros_recargas!$I$89*'Plan mensual'!G249+parametros_recargas!$J$89*'Plan mensual'!G250+parametros_recargas!$K$89*'Plan mensual'!G251+parametros_recargas!$L$89*'Plan mensual'!G252+parametros_recargas!$M$89*'Plan mensual'!G254</f>
        <v>4311.11120103159</v>
      </c>
      <c r="F239" s="26" t="n">
        <f aca="false">parametros_recargas!$E$89*'Plan mensual'!H245+parametros_recargas!$F$89*'Plan mensual'!H246+parametros_recargas!$G$89*'Plan mensual'!H247+parametros_recargas!$H$89*'Plan mensual'!H248+parametros_recargas!$I$89*'Plan mensual'!H249+parametros_recargas!$J$89*'Plan mensual'!H250+parametros_recargas!$K$89*'Plan mensual'!H251+parametros_recargas!$L$89*'Plan mensual'!H252+parametros_recargas!$M$89*'Plan mensual'!H254</f>
        <v>4312.0521689859</v>
      </c>
      <c r="G239" s="26" t="n">
        <f aca="false">parametros_recargas!$E$89*'Plan mensual'!I245+parametros_recargas!$F$89*'Plan mensual'!I246+parametros_recargas!$G$89*'Plan mensual'!I247+parametros_recargas!$H$89*'Plan mensual'!I248+parametros_recargas!$I$89*'Plan mensual'!I249+parametros_recargas!$J$89*'Plan mensual'!I250+parametros_recargas!$K$89*'Plan mensual'!I251+parametros_recargas!$L$89*'Plan mensual'!I252+parametros_recargas!$M$89*'Plan mensual'!I254</f>
        <v>4303.48283365625</v>
      </c>
      <c r="H239" s="26" t="n">
        <f aca="false">parametros_recargas!$E$89*'Plan mensual'!J245+parametros_recargas!$F$89*'Plan mensual'!J246+parametros_recargas!$G$89*'Plan mensual'!J247+parametros_recargas!$H$89*'Plan mensual'!J248+parametros_recargas!$I$89*'Plan mensual'!J249+parametros_recargas!$J$89*'Plan mensual'!J250+parametros_recargas!$K$89*'Plan mensual'!J251+parametros_recargas!$L$89*'Plan mensual'!J252+parametros_recargas!$M$89*'Plan mensual'!J254</f>
        <v>4330.43639838243</v>
      </c>
      <c r="I239" s="26" t="n">
        <f aca="false">parametros_recargas!$E$89*'Plan mensual'!K245+parametros_recargas!$F$89*'Plan mensual'!K246+parametros_recargas!$G$89*'Plan mensual'!K247+parametros_recargas!$H$89*'Plan mensual'!K248+parametros_recargas!$I$89*'Plan mensual'!K249+parametros_recargas!$J$89*'Plan mensual'!K250+parametros_recargas!$K$89*'Plan mensual'!K251+parametros_recargas!$L$89*'Plan mensual'!K252+parametros_recargas!$M$89*'Plan mensual'!K254</f>
        <v>4310.15119615333</v>
      </c>
      <c r="J239" s="26" t="n">
        <f aca="false">parametros_recargas!$E$89*'Plan mensual'!L245+parametros_recargas!$F$89*'Plan mensual'!L246+parametros_recargas!$G$89*'Plan mensual'!L247+parametros_recargas!$H$89*'Plan mensual'!L248+parametros_recargas!$I$89*'Plan mensual'!L249+parametros_recargas!$J$89*'Plan mensual'!L250+parametros_recargas!$K$89*'Plan mensual'!L251+parametros_recargas!$L$89*'Plan mensual'!L252+parametros_recargas!$M$89*'Plan mensual'!L254</f>
        <v>4313.31404508649</v>
      </c>
      <c r="K239" s="26" t="n">
        <f aca="false">parametros_recargas!$E$89*'Plan mensual'!M245+parametros_recargas!$F$89*'Plan mensual'!M246+parametros_recargas!$G$89*'Plan mensual'!M247+parametros_recargas!$H$89*'Plan mensual'!M248+parametros_recargas!$I$89*'Plan mensual'!M249+parametros_recargas!$J$89*'Plan mensual'!M250+parametros_recargas!$K$89*'Plan mensual'!M251+parametros_recargas!$L$89*'Plan mensual'!M252+parametros_recargas!$M$89*'Plan mensual'!M254</f>
        <v>4302.85733472708</v>
      </c>
      <c r="L239" s="26" t="n">
        <f aca="false">parametros_recargas!$E$89*'Plan mensual'!N245+parametros_recargas!$F$89*'Plan mensual'!N246+parametros_recargas!$G$89*'Plan mensual'!N247+parametros_recargas!$H$89*'Plan mensual'!N248+parametros_recargas!$I$89*'Plan mensual'!N249+parametros_recargas!$J$89*'Plan mensual'!N250+parametros_recargas!$K$89*'Plan mensual'!N251+parametros_recargas!$L$89*'Plan mensual'!N252+parametros_recargas!$M$89*'Plan mensual'!N254</f>
        <v>4257.82685094783</v>
      </c>
      <c r="M239" s="26" t="n">
        <f aca="false">parametros_recargas!$E$89*'Plan mensual'!O245+parametros_recargas!$F$89*'Plan mensual'!O246+parametros_recargas!$G$89*'Plan mensual'!O247+parametros_recargas!$H$89*'Plan mensual'!O248+parametros_recargas!$I$89*'Plan mensual'!O249+parametros_recargas!$J$89*'Plan mensual'!O250+parametros_recargas!$K$89*'Plan mensual'!O251+parametros_recargas!$L$89*'Plan mensual'!O252+parametros_recargas!$M$89*'Plan mensual'!O254</f>
        <v>1840.01680970993</v>
      </c>
      <c r="N239" s="8" t="n">
        <f aca="false">SUM(B239:M239)</f>
        <v>47627.3649828142</v>
      </c>
      <c r="O239" s="27" t="n">
        <f aca="false">MAX(B239:M239)</f>
        <v>5090.65763156655</v>
      </c>
      <c r="P239" s="13" t="n">
        <f aca="false">O239/parametros_recargas!$B$6</f>
        <v>33.937717543777</v>
      </c>
    </row>
    <row r="240" customFormat="false" ht="15" hidden="false" customHeight="false" outlineLevel="0" collapsed="false">
      <c r="A240" s="10" t="str">
        <f aca="false">parametros_recargas!$B$90</f>
        <v>Pintura</v>
      </c>
      <c r="B240" s="26" t="n">
        <f aca="false">parametros_recargas!$E$90*'Plan mensual'!D245+parametros_recargas!$F$90*'Plan mensual'!D246+parametros_recargas!$G$90*'Plan mensual'!D247+parametros_recargas!$H$90*'Plan mensual'!D248+parametros_recargas!$I$90*'Plan mensual'!D249+parametros_recargas!$J$90*'Plan mensual'!D250+parametros_recargas!$K$90*'Plan mensual'!D251+parametros_recargas!$L$90*'Plan mensual'!D252+parametros_recargas!$M$90*'Plan mensual'!D254</f>
        <v>1253.29481851702</v>
      </c>
      <c r="C240" s="26" t="n">
        <f aca="false">parametros_recargas!$E$90*'Plan mensual'!E245+parametros_recargas!$F$90*'Plan mensual'!E246+parametros_recargas!$G$90*'Plan mensual'!E247+parametros_recargas!$H$90*'Plan mensual'!E248+parametros_recargas!$I$90*'Plan mensual'!E249+parametros_recargas!$J$90*'Plan mensual'!E250+parametros_recargas!$K$90*'Plan mensual'!E251+parametros_recargas!$L$90*'Plan mensual'!E252+parametros_recargas!$M$90*'Plan mensual'!E254</f>
        <v>3108.71226055222</v>
      </c>
      <c r="D240" s="26" t="n">
        <f aca="false">parametros_recargas!$E$90*'Plan mensual'!F245+parametros_recargas!$F$90*'Plan mensual'!F246+parametros_recargas!$G$90*'Plan mensual'!F247+parametros_recargas!$H$90*'Plan mensual'!F248+parametros_recargas!$I$90*'Plan mensual'!F249+parametros_recargas!$J$90*'Plan mensual'!F250+parametros_recargas!$K$90*'Plan mensual'!F251+parametros_recargas!$L$90*'Plan mensual'!F252+parametros_recargas!$M$90*'Plan mensual'!F254</f>
        <v>2597.93716160831</v>
      </c>
      <c r="E240" s="26" t="n">
        <f aca="false">parametros_recargas!$E$90*'Plan mensual'!G245+parametros_recargas!$F$90*'Plan mensual'!G246+parametros_recargas!$G$90*'Plan mensual'!G247+parametros_recargas!$H$90*'Plan mensual'!G248+parametros_recargas!$I$90*'Plan mensual'!G249+parametros_recargas!$J$90*'Plan mensual'!G250+parametros_recargas!$K$90*'Plan mensual'!G251+parametros_recargas!$L$90*'Plan mensual'!G252+parametros_recargas!$M$90*'Plan mensual'!G254</f>
        <v>2608.336342802</v>
      </c>
      <c r="F240" s="26" t="n">
        <f aca="false">parametros_recargas!$E$90*'Plan mensual'!H245+parametros_recargas!$F$90*'Plan mensual'!H246+parametros_recargas!$G$90*'Plan mensual'!H247+parametros_recargas!$H$90*'Plan mensual'!H248+parametros_recargas!$I$90*'Plan mensual'!H249+parametros_recargas!$J$90*'Plan mensual'!H250+parametros_recargas!$K$90*'Plan mensual'!H251+parametros_recargas!$L$90*'Plan mensual'!H252+parametros_recargas!$M$90*'Plan mensual'!H254</f>
        <v>2608.87920892949</v>
      </c>
      <c r="G240" s="26" t="n">
        <f aca="false">parametros_recargas!$E$90*'Plan mensual'!I245+parametros_recargas!$F$90*'Plan mensual'!I246+parametros_recargas!$G$90*'Plan mensual'!I247+parametros_recargas!$H$90*'Plan mensual'!I248+parametros_recargas!$I$90*'Plan mensual'!I249+parametros_recargas!$J$90*'Plan mensual'!I250+parametros_recargas!$K$90*'Plan mensual'!I251+parametros_recargas!$L$90*'Plan mensual'!I252+parametros_recargas!$M$90*'Plan mensual'!I254</f>
        <v>2603.93536162392</v>
      </c>
      <c r="H240" s="26" t="n">
        <f aca="false">parametros_recargas!$E$90*'Plan mensual'!J245+parametros_recargas!$F$90*'Plan mensual'!J246+parametros_recargas!$G$90*'Plan mensual'!J247+parametros_recargas!$H$90*'Plan mensual'!J248+parametros_recargas!$I$90*'Plan mensual'!J249+parametros_recargas!$J$90*'Plan mensual'!J250+parametros_recargas!$K$90*'Plan mensual'!J251+parametros_recargas!$L$90*'Plan mensual'!J252+parametros_recargas!$M$90*'Plan mensual'!J254</f>
        <v>2619.4854951198</v>
      </c>
      <c r="I240" s="26" t="n">
        <f aca="false">parametros_recargas!$E$90*'Plan mensual'!K245+parametros_recargas!$F$90*'Plan mensual'!K246+parametros_recargas!$G$90*'Plan mensual'!K247+parametros_recargas!$H$90*'Plan mensual'!K248+parametros_recargas!$I$90*'Plan mensual'!K249+parametros_recargas!$J$90*'Plan mensual'!K250+parametros_recargas!$K$90*'Plan mensual'!K251+parametros_recargas!$L$90*'Plan mensual'!K252+parametros_recargas!$M$90*'Plan mensual'!K254</f>
        <v>2607.78249383378</v>
      </c>
      <c r="J240" s="26" t="n">
        <f aca="false">parametros_recargas!$E$90*'Plan mensual'!L245+parametros_recargas!$F$90*'Plan mensual'!L246+parametros_recargas!$G$90*'Plan mensual'!L247+parametros_recargas!$H$90*'Plan mensual'!L248+parametros_recargas!$I$90*'Plan mensual'!L249+parametros_recargas!$J$90*'Plan mensual'!L250+parametros_recargas!$K$90*'Plan mensual'!L251+parametros_recargas!$L$90*'Plan mensual'!L252+parametros_recargas!$M$90*'Plan mensual'!L254</f>
        <v>2609.60721437214</v>
      </c>
      <c r="K240" s="26" t="n">
        <f aca="false">parametros_recargas!$E$90*'Plan mensual'!M245+parametros_recargas!$F$90*'Plan mensual'!M246+parametros_recargas!$G$90*'Plan mensual'!M247+parametros_recargas!$H$90*'Plan mensual'!M248+parametros_recargas!$I$90*'Plan mensual'!M249+parametros_recargas!$J$90*'Plan mensual'!M250+parametros_recargas!$K$90*'Plan mensual'!M251+parametros_recargas!$L$90*'Plan mensual'!M252+parametros_recargas!$M$90*'Plan mensual'!M254</f>
        <v>2603.57449685709</v>
      </c>
      <c r="L240" s="26" t="n">
        <f aca="false">parametros_recargas!$E$90*'Plan mensual'!N245+parametros_recargas!$F$90*'Plan mensual'!N246+parametros_recargas!$G$90*'Plan mensual'!N247+parametros_recargas!$H$90*'Plan mensual'!N248+parametros_recargas!$I$90*'Plan mensual'!N249+parametros_recargas!$J$90*'Plan mensual'!N250+parametros_recargas!$K$90*'Plan mensual'!N251+parametros_recargas!$L$90*'Plan mensual'!N252+parametros_recargas!$M$90*'Plan mensual'!N254</f>
        <v>2577.59537159984</v>
      </c>
      <c r="M240" s="26" t="n">
        <f aca="false">parametros_recargas!$E$90*'Plan mensual'!O245+parametros_recargas!$F$90*'Plan mensual'!O246+parametros_recargas!$G$90*'Plan mensual'!O247+parametros_recargas!$H$90*'Plan mensual'!O248+parametros_recargas!$I$90*'Plan mensual'!O249+parametros_recargas!$J$90*'Plan mensual'!O250+parametros_recargas!$K$90*'Plan mensual'!O251+parametros_recargas!$L$90*'Plan mensual'!O252+parametros_recargas!$M$90*'Plan mensual'!O254</f>
        <v>1182.70496319335</v>
      </c>
      <c r="N240" s="8" t="n">
        <f aca="false">SUM(B240:M240)</f>
        <v>28981.845189009</v>
      </c>
      <c r="O240" s="27" t="n">
        <f aca="false">MAX(B240:M240)</f>
        <v>3108.71226055222</v>
      </c>
      <c r="P240" s="13" t="n">
        <f aca="false">O240/parametros_recargas!$B$6</f>
        <v>20.7247484036814</v>
      </c>
    </row>
    <row r="241" customFormat="false" ht="15" hidden="false" customHeight="false" outlineLevel="0" collapsed="false">
      <c r="A241" s="10" t="str">
        <f aca="false">parametros_recargas!$B$91</f>
        <v>Carga de polvo ABC</v>
      </c>
      <c r="B241" s="26" t="n">
        <f aca="false">parametros_recargas!$E$91*'Plan mensual'!D245+parametros_recargas!$F$91*'Plan mensual'!D246+parametros_recargas!$G$91*'Plan mensual'!D247+parametros_recargas!$H$91*'Plan mensual'!D248+parametros_recargas!$I$91*'Plan mensual'!D249+parametros_recargas!$J$91*'Plan mensual'!D250+parametros_recargas!$K$91*'Plan mensual'!D251+parametros_recargas!$L$91*'Plan mensual'!D252+parametros_recargas!$M$91*'Plan mensual'!D254</f>
        <v>6351.82434105145</v>
      </c>
      <c r="C241" s="26" t="n">
        <f aca="false">parametros_recargas!$E$91*'Plan mensual'!E245+parametros_recargas!$F$91*'Plan mensual'!E246+parametros_recargas!$G$91*'Plan mensual'!E247+parametros_recargas!$H$91*'Plan mensual'!E248+parametros_recargas!$I$91*'Plan mensual'!E249+parametros_recargas!$J$91*'Plan mensual'!E250+parametros_recargas!$K$91*'Plan mensual'!E251+parametros_recargas!$L$91*'Plan mensual'!E252+parametros_recargas!$M$91*'Plan mensual'!E254</f>
        <v>17741.0573364617</v>
      </c>
      <c r="D241" s="26" t="n">
        <f aca="false">parametros_recargas!$E$91*'Plan mensual'!F245+parametros_recargas!$F$91*'Plan mensual'!F246+parametros_recargas!$G$91*'Plan mensual'!F247+parametros_recargas!$H$91*'Plan mensual'!F248+parametros_recargas!$I$91*'Plan mensual'!F249+parametros_recargas!$J$91*'Plan mensual'!F250+parametros_recargas!$K$91*'Plan mensual'!F251+parametros_recargas!$L$91*'Plan mensual'!F252+parametros_recargas!$M$91*'Plan mensual'!F254</f>
        <v>15313.4867157229</v>
      </c>
      <c r="E241" s="26" t="n">
        <f aca="false">parametros_recargas!$E$91*'Plan mensual'!G245+parametros_recargas!$F$91*'Plan mensual'!G246+parametros_recargas!$G$91*'Plan mensual'!G247+parametros_recargas!$H$91*'Plan mensual'!G248+parametros_recargas!$I$91*'Plan mensual'!G249+parametros_recargas!$J$91*'Plan mensual'!G250+parametros_recargas!$K$91*'Plan mensual'!G251+parametros_recargas!$L$91*'Plan mensual'!G252+parametros_recargas!$M$91*'Plan mensual'!G254</f>
        <v>15382.8145903475</v>
      </c>
      <c r="F241" s="26" t="n">
        <f aca="false">parametros_recargas!$E$91*'Plan mensual'!H245+parametros_recargas!$F$91*'Plan mensual'!H246+parametros_recargas!$G$91*'Plan mensual'!H247+parametros_recargas!$H$91*'Plan mensual'!H248+parametros_recargas!$I$91*'Plan mensual'!H249+parametros_recargas!$J$91*'Plan mensual'!H250+parametros_recargas!$K$91*'Plan mensual'!H251+parametros_recargas!$L$91*'Plan mensual'!H252+parametros_recargas!$M$91*'Plan mensual'!H254</f>
        <v>15385.5022978641</v>
      </c>
      <c r="G241" s="26" t="n">
        <f aca="false">parametros_recargas!$E$91*'Plan mensual'!I245+parametros_recargas!$F$91*'Plan mensual'!I246+parametros_recargas!$G$91*'Plan mensual'!I247+parametros_recargas!$H$91*'Plan mensual'!I248+parametros_recargas!$I$91*'Plan mensual'!I249+parametros_recargas!$J$91*'Plan mensual'!I250+parametros_recargas!$K$91*'Plan mensual'!I251+parametros_recargas!$L$91*'Plan mensual'!I252+parametros_recargas!$M$91*'Plan mensual'!I254</f>
        <v>15351.2633410346</v>
      </c>
      <c r="H241" s="26" t="n">
        <f aca="false">parametros_recargas!$E$91*'Plan mensual'!J245+parametros_recargas!$F$91*'Plan mensual'!J246+parametros_recargas!$G$91*'Plan mensual'!J247+parametros_recargas!$H$91*'Plan mensual'!J248+parametros_recargas!$I$91*'Plan mensual'!J249+parametros_recargas!$J$91*'Plan mensual'!J250+parametros_recargas!$K$91*'Plan mensual'!J251+parametros_recargas!$L$91*'Plan mensual'!J252+parametros_recargas!$M$91*'Plan mensual'!J254</f>
        <v>15456.2108724662</v>
      </c>
      <c r="I241" s="26" t="n">
        <f aca="false">parametros_recargas!$E$91*'Plan mensual'!K245+parametros_recargas!$F$91*'Plan mensual'!K246+parametros_recargas!$G$91*'Plan mensual'!K247+parametros_recargas!$H$91*'Plan mensual'!K248+parametros_recargas!$I$91*'Plan mensual'!K249+parametros_recargas!$J$91*'Plan mensual'!K250+parametros_recargas!$K$91*'Plan mensual'!K251+parametros_recargas!$L$91*'Plan mensual'!K252+parametros_recargas!$M$91*'Plan mensual'!K254</f>
        <v>15378.1908638927</v>
      </c>
      <c r="J241" s="26" t="n">
        <f aca="false">parametros_recargas!$E$91*'Plan mensual'!L245+parametros_recargas!$F$91*'Plan mensual'!L246+parametros_recargas!$G$91*'Plan mensual'!L247+parametros_recargas!$H$91*'Plan mensual'!L248+parametros_recargas!$I$91*'Plan mensual'!L249+parametros_recargas!$J$91*'Plan mensual'!L250+parametros_recargas!$K$91*'Plan mensual'!L251+parametros_recargas!$L$91*'Plan mensual'!L252+parametros_recargas!$M$91*'Plan mensual'!L254</f>
        <v>15390.1813800856</v>
      </c>
      <c r="K241" s="26" t="n">
        <f aca="false">parametros_recargas!$E$91*'Plan mensual'!M245+parametros_recargas!$F$91*'Plan mensual'!M246+parametros_recargas!$G$91*'Plan mensual'!M247+parametros_recargas!$H$91*'Plan mensual'!M248+parametros_recargas!$I$91*'Plan mensual'!M249+parametros_recargas!$J$91*'Plan mensual'!M250+parametros_recargas!$K$91*'Plan mensual'!M251+parametros_recargas!$L$91*'Plan mensual'!M252+parametros_recargas!$M$91*'Plan mensual'!M254</f>
        <v>15348.6832885263</v>
      </c>
      <c r="L241" s="26" t="n">
        <f aca="false">parametros_recargas!$E$91*'Plan mensual'!N245+parametros_recargas!$F$91*'Plan mensual'!N246+parametros_recargas!$G$91*'Plan mensual'!N247+parametros_recargas!$H$91*'Plan mensual'!N248+parametros_recargas!$I$91*'Plan mensual'!N249+parametros_recargas!$J$91*'Plan mensual'!N250+parametros_recargas!$K$91*'Plan mensual'!N251+parametros_recargas!$L$91*'Plan mensual'!N252+parametros_recargas!$M$91*'Plan mensual'!N254</f>
        <v>15174.3834327484</v>
      </c>
      <c r="M241" s="26" t="n">
        <f aca="false">parametros_recargas!$E$91*'Plan mensual'!O245+parametros_recargas!$F$91*'Plan mensual'!O246+parametros_recargas!$G$91*'Plan mensual'!O247+parametros_recargas!$H$91*'Plan mensual'!O248+parametros_recargas!$I$91*'Plan mensual'!O249+parametros_recargas!$J$91*'Plan mensual'!O250+parametros_recargas!$K$91*'Plan mensual'!O251+parametros_recargas!$L$91*'Plan mensual'!O252+parametros_recargas!$M$91*'Plan mensual'!O254</f>
        <v>5882.91381816418</v>
      </c>
      <c r="N241" s="8" t="n">
        <f aca="false">SUM(B241:M241)</f>
        <v>168156.512278366</v>
      </c>
      <c r="O241" s="27" t="n">
        <f aca="false">MAX(B241:M241)</f>
        <v>17741.0573364617</v>
      </c>
      <c r="P241" s="13" t="n">
        <f aca="false">O241/parametros_recargas!$B$6</f>
        <v>118.273715576412</v>
      </c>
    </row>
    <row r="242" customFormat="false" ht="15" hidden="false" customHeight="false" outlineLevel="0" collapsed="false">
      <c r="A242" s="10" t="str">
        <f aca="false">parametros_recargas!$B$92</f>
        <v>Carga de polvo BC</v>
      </c>
      <c r="B242" s="26" t="n">
        <f aca="false">parametros_recargas!$E$92*'Plan mensual'!D245+parametros_recargas!$F$92*'Plan mensual'!D246+parametros_recargas!$G$92*'Plan mensual'!D247+parametros_recargas!$H$92*'Plan mensual'!D248+parametros_recargas!$I$92*'Plan mensual'!D249+parametros_recargas!$J$92*'Plan mensual'!D250+parametros_recargas!$K$92*'Plan mensual'!D251+parametros_recargas!$L$92*'Plan mensual'!D252+parametros_recargas!$M$92*'Plan mensual'!D254</f>
        <v>19.2059021651652</v>
      </c>
      <c r="C242" s="26" t="n">
        <f aca="false">parametros_recargas!$E$92*'Plan mensual'!E245+parametros_recargas!$F$92*'Plan mensual'!E246+parametros_recargas!$G$92*'Plan mensual'!E247+parametros_recargas!$H$92*'Plan mensual'!E248+parametros_recargas!$I$92*'Plan mensual'!E249+parametros_recargas!$J$92*'Plan mensual'!E250+parametros_recargas!$K$92*'Plan mensual'!E251+parametros_recargas!$L$92*'Plan mensual'!E252+parametros_recargas!$M$92*'Plan mensual'!E254</f>
        <v>19.2059021651652</v>
      </c>
      <c r="D242" s="26" t="n">
        <f aca="false">parametros_recargas!$E$92*'Plan mensual'!F245+parametros_recargas!$F$92*'Plan mensual'!F246+parametros_recargas!$G$92*'Plan mensual'!F247+parametros_recargas!$H$92*'Plan mensual'!F248+parametros_recargas!$I$92*'Plan mensual'!F249+parametros_recargas!$J$92*'Plan mensual'!F250+parametros_recargas!$K$92*'Plan mensual'!F251+parametros_recargas!$L$92*'Plan mensual'!F252+parametros_recargas!$M$92*'Plan mensual'!F254</f>
        <v>19.2059021651652</v>
      </c>
      <c r="E242" s="26" t="n">
        <f aca="false">parametros_recargas!$E$92*'Plan mensual'!G245+parametros_recargas!$F$92*'Plan mensual'!G246+parametros_recargas!$G$92*'Plan mensual'!G247+parametros_recargas!$H$92*'Plan mensual'!G248+parametros_recargas!$I$92*'Plan mensual'!G249+parametros_recargas!$J$92*'Plan mensual'!G250+parametros_recargas!$K$92*'Plan mensual'!G251+parametros_recargas!$L$92*'Plan mensual'!G252+parametros_recargas!$M$92*'Plan mensual'!G254</f>
        <v>19.2059021651652</v>
      </c>
      <c r="F242" s="26" t="n">
        <f aca="false">parametros_recargas!$E$92*'Plan mensual'!H245+parametros_recargas!$F$92*'Plan mensual'!H246+parametros_recargas!$G$92*'Plan mensual'!H247+parametros_recargas!$H$92*'Plan mensual'!H248+parametros_recargas!$I$92*'Plan mensual'!H249+parametros_recargas!$J$92*'Plan mensual'!H250+parametros_recargas!$K$92*'Plan mensual'!H251+parametros_recargas!$L$92*'Plan mensual'!H252+parametros_recargas!$M$92*'Plan mensual'!H254</f>
        <v>19.2059021651652</v>
      </c>
      <c r="G242" s="26" t="n">
        <f aca="false">parametros_recargas!$E$92*'Plan mensual'!I245+parametros_recargas!$F$92*'Plan mensual'!I246+parametros_recargas!$G$92*'Plan mensual'!I247+parametros_recargas!$H$92*'Plan mensual'!I248+parametros_recargas!$I$92*'Plan mensual'!I249+parametros_recargas!$J$92*'Plan mensual'!I250+parametros_recargas!$K$92*'Plan mensual'!I251+parametros_recargas!$L$92*'Plan mensual'!I252+parametros_recargas!$M$92*'Plan mensual'!I254</f>
        <v>19.2059021651652</v>
      </c>
      <c r="H242" s="26" t="n">
        <f aca="false">parametros_recargas!$E$92*'Plan mensual'!J245+parametros_recargas!$F$92*'Plan mensual'!J246+parametros_recargas!$G$92*'Plan mensual'!J247+parametros_recargas!$H$92*'Plan mensual'!J248+parametros_recargas!$I$92*'Plan mensual'!J249+parametros_recargas!$J$92*'Plan mensual'!J250+parametros_recargas!$K$92*'Plan mensual'!J251+parametros_recargas!$L$92*'Plan mensual'!J252+parametros_recargas!$M$92*'Plan mensual'!J254</f>
        <v>19.2059021651652</v>
      </c>
      <c r="I242" s="26" t="n">
        <f aca="false">parametros_recargas!$E$92*'Plan mensual'!K245+parametros_recargas!$F$92*'Plan mensual'!K246+parametros_recargas!$G$92*'Plan mensual'!K247+parametros_recargas!$H$92*'Plan mensual'!K248+parametros_recargas!$I$92*'Plan mensual'!K249+parametros_recargas!$J$92*'Plan mensual'!K250+parametros_recargas!$K$92*'Plan mensual'!K251+parametros_recargas!$L$92*'Plan mensual'!K252+parametros_recargas!$M$92*'Plan mensual'!K254</f>
        <v>19.2059021651652</v>
      </c>
      <c r="J242" s="26" t="n">
        <f aca="false">parametros_recargas!$E$92*'Plan mensual'!L245+parametros_recargas!$F$92*'Plan mensual'!L246+parametros_recargas!$G$92*'Plan mensual'!L247+parametros_recargas!$H$92*'Plan mensual'!L248+parametros_recargas!$I$92*'Plan mensual'!L249+parametros_recargas!$J$92*'Plan mensual'!L250+parametros_recargas!$K$92*'Plan mensual'!L251+parametros_recargas!$L$92*'Plan mensual'!L252+parametros_recargas!$M$92*'Plan mensual'!L254</f>
        <v>19.2059021651652</v>
      </c>
      <c r="K242" s="26" t="n">
        <f aca="false">parametros_recargas!$E$92*'Plan mensual'!M245+parametros_recargas!$F$92*'Plan mensual'!M246+parametros_recargas!$G$92*'Plan mensual'!M247+parametros_recargas!$H$92*'Plan mensual'!M248+parametros_recargas!$I$92*'Plan mensual'!M249+parametros_recargas!$J$92*'Plan mensual'!M250+parametros_recargas!$K$92*'Plan mensual'!M251+parametros_recargas!$L$92*'Plan mensual'!M252+parametros_recargas!$M$92*'Plan mensual'!M254</f>
        <v>19.2059021651652</v>
      </c>
      <c r="L242" s="26" t="n">
        <f aca="false">parametros_recargas!$E$92*'Plan mensual'!N245+parametros_recargas!$F$92*'Plan mensual'!N246+parametros_recargas!$G$92*'Plan mensual'!N247+parametros_recargas!$H$92*'Plan mensual'!N248+parametros_recargas!$I$92*'Plan mensual'!N249+parametros_recargas!$J$92*'Plan mensual'!N250+parametros_recargas!$K$92*'Plan mensual'!N251+parametros_recargas!$L$92*'Plan mensual'!N252+parametros_recargas!$M$92*'Plan mensual'!N254</f>
        <v>19.2059021651652</v>
      </c>
      <c r="M242" s="26" t="n">
        <f aca="false">parametros_recargas!$E$92*'Plan mensual'!O245+parametros_recargas!$F$92*'Plan mensual'!O246+parametros_recargas!$G$92*'Plan mensual'!O247+parametros_recargas!$H$92*'Plan mensual'!O248+parametros_recargas!$I$92*'Plan mensual'!O249+parametros_recargas!$J$92*'Plan mensual'!O250+parametros_recargas!$K$92*'Plan mensual'!O251+parametros_recargas!$L$92*'Plan mensual'!O252+parametros_recargas!$M$92*'Plan mensual'!O254</f>
        <v>19.2059021651652</v>
      </c>
      <c r="N242" s="8" t="n">
        <f aca="false">SUM(B242:M242)</f>
        <v>230.470825981982</v>
      </c>
      <c r="O242" s="27" t="n">
        <f aca="false">MAX(B242:M242)</f>
        <v>19.2059021651652</v>
      </c>
      <c r="P242" s="13" t="n">
        <f aca="false">O242/parametros_recargas!$B$6</f>
        <v>0.128039347767768</v>
      </c>
    </row>
    <row r="243" customFormat="false" ht="15" hidden="false" customHeight="false" outlineLevel="0" collapsed="false">
      <c r="A243" s="10" t="str">
        <f aca="false">parametros_recargas!$B$93</f>
        <v>Descarga y carga Clase D</v>
      </c>
      <c r="B243" s="26" t="n">
        <f aca="false">parametros_recargas!$E$93*'Plan mensual'!D245+parametros_recargas!$F$93*'Plan mensual'!D246+parametros_recargas!$G$93*'Plan mensual'!D247+parametros_recargas!$H$93*'Plan mensual'!D248+parametros_recargas!$I$93*'Plan mensual'!D249+parametros_recargas!$J$93*'Plan mensual'!D250+parametros_recargas!$K$93*'Plan mensual'!D251+parametros_recargas!$L$93*'Plan mensual'!D252+parametros_recargas!$M$93*'Plan mensual'!D254</f>
        <v>17.2881473109352</v>
      </c>
      <c r="C243" s="26" t="n">
        <f aca="false">parametros_recargas!$E$93*'Plan mensual'!E245+parametros_recargas!$F$93*'Plan mensual'!E246+parametros_recargas!$G$93*'Plan mensual'!E247+parametros_recargas!$H$93*'Plan mensual'!E248+parametros_recargas!$I$93*'Plan mensual'!E249+parametros_recargas!$J$93*'Plan mensual'!E250+parametros_recargas!$K$93*'Plan mensual'!E251+parametros_recargas!$L$93*'Plan mensual'!E252+parametros_recargas!$M$93*'Plan mensual'!E254</f>
        <v>17.2881473109352</v>
      </c>
      <c r="D243" s="26" t="n">
        <f aca="false">parametros_recargas!$E$93*'Plan mensual'!F245+parametros_recargas!$F$93*'Plan mensual'!F246+parametros_recargas!$G$93*'Plan mensual'!F247+parametros_recargas!$H$93*'Plan mensual'!F248+parametros_recargas!$I$93*'Plan mensual'!F249+parametros_recargas!$J$93*'Plan mensual'!F250+parametros_recargas!$K$93*'Plan mensual'!F251+parametros_recargas!$L$93*'Plan mensual'!F252+parametros_recargas!$M$93*'Plan mensual'!F254</f>
        <v>17.2881473109352</v>
      </c>
      <c r="E243" s="26" t="n">
        <f aca="false">parametros_recargas!$E$93*'Plan mensual'!G245+parametros_recargas!$F$93*'Plan mensual'!G246+parametros_recargas!$G$93*'Plan mensual'!G247+parametros_recargas!$H$93*'Plan mensual'!G248+parametros_recargas!$I$93*'Plan mensual'!G249+parametros_recargas!$J$93*'Plan mensual'!G250+parametros_recargas!$K$93*'Plan mensual'!G251+parametros_recargas!$L$93*'Plan mensual'!G252+parametros_recargas!$M$93*'Plan mensual'!G254</f>
        <v>17.2881473109352</v>
      </c>
      <c r="F243" s="26" t="n">
        <f aca="false">parametros_recargas!$E$93*'Plan mensual'!H245+parametros_recargas!$F$93*'Plan mensual'!H246+parametros_recargas!$G$93*'Plan mensual'!H247+parametros_recargas!$H$93*'Plan mensual'!H248+parametros_recargas!$I$93*'Plan mensual'!H249+parametros_recargas!$J$93*'Plan mensual'!H250+parametros_recargas!$K$93*'Plan mensual'!H251+parametros_recargas!$L$93*'Plan mensual'!H252+parametros_recargas!$M$93*'Plan mensual'!H254</f>
        <v>17.2881473109352</v>
      </c>
      <c r="G243" s="26" t="n">
        <f aca="false">parametros_recargas!$E$93*'Plan mensual'!I245+parametros_recargas!$F$93*'Plan mensual'!I246+parametros_recargas!$G$93*'Plan mensual'!I247+parametros_recargas!$H$93*'Plan mensual'!I248+parametros_recargas!$I$93*'Plan mensual'!I249+parametros_recargas!$J$93*'Plan mensual'!I250+parametros_recargas!$K$93*'Plan mensual'!I251+parametros_recargas!$L$93*'Plan mensual'!I252+parametros_recargas!$M$93*'Plan mensual'!I254</f>
        <v>17.2881473109352</v>
      </c>
      <c r="H243" s="26" t="n">
        <f aca="false">parametros_recargas!$E$93*'Plan mensual'!J245+parametros_recargas!$F$93*'Plan mensual'!J246+parametros_recargas!$G$93*'Plan mensual'!J247+parametros_recargas!$H$93*'Plan mensual'!J248+parametros_recargas!$I$93*'Plan mensual'!J249+parametros_recargas!$J$93*'Plan mensual'!J250+parametros_recargas!$K$93*'Plan mensual'!J251+parametros_recargas!$L$93*'Plan mensual'!J252+parametros_recargas!$M$93*'Plan mensual'!J254</f>
        <v>17.2881473109352</v>
      </c>
      <c r="I243" s="26" t="n">
        <f aca="false">parametros_recargas!$E$93*'Plan mensual'!K245+parametros_recargas!$F$93*'Plan mensual'!K246+parametros_recargas!$G$93*'Plan mensual'!K247+parametros_recargas!$H$93*'Plan mensual'!K248+parametros_recargas!$I$93*'Plan mensual'!K249+parametros_recargas!$J$93*'Plan mensual'!K250+parametros_recargas!$K$93*'Plan mensual'!K251+parametros_recargas!$L$93*'Plan mensual'!K252+parametros_recargas!$M$93*'Plan mensual'!K254</f>
        <v>17.2881473109352</v>
      </c>
      <c r="J243" s="26" t="n">
        <f aca="false">parametros_recargas!$E$93*'Plan mensual'!L245+parametros_recargas!$F$93*'Plan mensual'!L246+parametros_recargas!$G$93*'Plan mensual'!L247+parametros_recargas!$H$93*'Plan mensual'!L248+parametros_recargas!$I$93*'Plan mensual'!L249+parametros_recargas!$J$93*'Plan mensual'!L250+parametros_recargas!$K$93*'Plan mensual'!L251+parametros_recargas!$L$93*'Plan mensual'!L252+parametros_recargas!$M$93*'Plan mensual'!L254</f>
        <v>17.2881473109352</v>
      </c>
      <c r="K243" s="26" t="n">
        <f aca="false">parametros_recargas!$E$93*'Plan mensual'!M245+parametros_recargas!$F$93*'Plan mensual'!M246+parametros_recargas!$G$93*'Plan mensual'!M247+parametros_recargas!$H$93*'Plan mensual'!M248+parametros_recargas!$I$93*'Plan mensual'!M249+parametros_recargas!$J$93*'Plan mensual'!M250+parametros_recargas!$K$93*'Plan mensual'!M251+parametros_recargas!$L$93*'Plan mensual'!M252+parametros_recargas!$M$93*'Plan mensual'!M254</f>
        <v>17.2881473109352</v>
      </c>
      <c r="L243" s="26" t="n">
        <f aca="false">parametros_recargas!$E$93*'Plan mensual'!N245+parametros_recargas!$F$93*'Plan mensual'!N246+parametros_recargas!$G$93*'Plan mensual'!N247+parametros_recargas!$H$93*'Plan mensual'!N248+parametros_recargas!$I$93*'Plan mensual'!N249+parametros_recargas!$J$93*'Plan mensual'!N250+parametros_recargas!$K$93*'Plan mensual'!N251+parametros_recargas!$L$93*'Plan mensual'!N252+parametros_recargas!$M$93*'Plan mensual'!N254</f>
        <v>17.2881473109352</v>
      </c>
      <c r="M243" s="26" t="n">
        <f aca="false">parametros_recargas!$E$93*'Plan mensual'!O245+parametros_recargas!$F$93*'Plan mensual'!O246+parametros_recargas!$G$93*'Plan mensual'!O247+parametros_recargas!$H$93*'Plan mensual'!O248+parametros_recargas!$I$93*'Plan mensual'!O249+parametros_recargas!$J$93*'Plan mensual'!O250+parametros_recargas!$K$93*'Plan mensual'!O251+parametros_recargas!$L$93*'Plan mensual'!O252+parametros_recargas!$M$93*'Plan mensual'!O254</f>
        <v>17.2881473109352</v>
      </c>
      <c r="N243" s="8" t="n">
        <f aca="false">SUM(B243:M243)</f>
        <v>207.457767731223</v>
      </c>
      <c r="O243" s="27" t="n">
        <f aca="false">MAX(B243:M243)</f>
        <v>17.2881473109352</v>
      </c>
      <c r="P243" s="13" t="n">
        <f aca="false">O243/parametros_recargas!$B$6</f>
        <v>0.115254315406235</v>
      </c>
    </row>
    <row r="244" customFormat="false" ht="15" hidden="false" customHeight="false" outlineLevel="0" collapsed="false">
      <c r="A244" s="10" t="str">
        <f aca="false">parametros_recargas!$B$94</f>
        <v>Carga de agua / AFFF / sales K</v>
      </c>
      <c r="B244" s="26" t="n">
        <f aca="false">parametros_recargas!$E$94*'Plan mensual'!D245+parametros_recargas!$F$94*'Plan mensual'!D246+parametros_recargas!$G$94*'Plan mensual'!D247+parametros_recargas!$H$94*'Plan mensual'!D248+parametros_recargas!$I$94*'Plan mensual'!D249+parametros_recargas!$J$94*'Plan mensual'!D250+parametros_recargas!$K$94*'Plan mensual'!D251+parametros_recargas!$L$94*'Plan mensual'!D252+parametros_recargas!$M$94*'Plan mensual'!D254</f>
        <v>722.453771826961</v>
      </c>
      <c r="C244" s="26" t="n">
        <f aca="false">parametros_recargas!$E$94*'Plan mensual'!E245+parametros_recargas!$F$94*'Plan mensual'!E246+parametros_recargas!$G$94*'Plan mensual'!E247+parametros_recargas!$H$94*'Plan mensual'!E248+parametros_recargas!$I$94*'Plan mensual'!E249+parametros_recargas!$J$94*'Plan mensual'!E250+parametros_recargas!$K$94*'Plan mensual'!E251+parametros_recargas!$L$94*'Plan mensual'!E252+parametros_recargas!$M$94*'Plan mensual'!E254</f>
        <v>1018.89330119433</v>
      </c>
      <c r="D244" s="26" t="n">
        <f aca="false">parametros_recargas!$E$94*'Plan mensual'!F245+parametros_recargas!$F$94*'Plan mensual'!F246+parametros_recargas!$G$94*'Plan mensual'!F247+parametros_recargas!$H$94*'Plan mensual'!F248+parametros_recargas!$I$94*'Plan mensual'!F249+parametros_recargas!$J$94*'Plan mensual'!F250+parametros_recargas!$K$94*'Plan mensual'!F251+parametros_recargas!$L$94*'Plan mensual'!F252+parametros_recargas!$M$94*'Plan mensual'!F254</f>
        <v>722.453771826961</v>
      </c>
      <c r="E244" s="26" t="n">
        <f aca="false">parametros_recargas!$E$94*'Plan mensual'!G245+parametros_recargas!$F$94*'Plan mensual'!G246+parametros_recargas!$G$94*'Plan mensual'!G247+parametros_recargas!$H$94*'Plan mensual'!G248+parametros_recargas!$I$94*'Plan mensual'!G249+parametros_recargas!$J$94*'Plan mensual'!G250+parametros_recargas!$K$94*'Plan mensual'!G251+parametros_recargas!$L$94*'Plan mensual'!G252+parametros_recargas!$M$94*'Plan mensual'!G254</f>
        <v>722.453771826961</v>
      </c>
      <c r="F244" s="26" t="n">
        <f aca="false">parametros_recargas!$E$94*'Plan mensual'!H245+parametros_recargas!$F$94*'Plan mensual'!H246+parametros_recargas!$G$94*'Plan mensual'!H247+parametros_recargas!$H$94*'Plan mensual'!H248+parametros_recargas!$I$94*'Plan mensual'!H249+parametros_recargas!$J$94*'Plan mensual'!H250+parametros_recargas!$K$94*'Plan mensual'!H251+parametros_recargas!$L$94*'Plan mensual'!H252+parametros_recargas!$M$94*'Plan mensual'!H254</f>
        <v>722.453771826961</v>
      </c>
      <c r="G244" s="26" t="n">
        <f aca="false">parametros_recargas!$E$94*'Plan mensual'!I245+parametros_recargas!$F$94*'Plan mensual'!I246+parametros_recargas!$G$94*'Plan mensual'!I247+parametros_recargas!$H$94*'Plan mensual'!I248+parametros_recargas!$I$94*'Plan mensual'!I249+parametros_recargas!$J$94*'Plan mensual'!I250+parametros_recargas!$K$94*'Plan mensual'!I251+parametros_recargas!$L$94*'Plan mensual'!I252+parametros_recargas!$M$94*'Plan mensual'!I254</f>
        <v>722.453771826961</v>
      </c>
      <c r="H244" s="26" t="n">
        <f aca="false">parametros_recargas!$E$94*'Plan mensual'!J245+parametros_recargas!$F$94*'Plan mensual'!J246+parametros_recargas!$G$94*'Plan mensual'!J247+parametros_recargas!$H$94*'Plan mensual'!J248+parametros_recargas!$I$94*'Plan mensual'!J249+parametros_recargas!$J$94*'Plan mensual'!J250+parametros_recargas!$K$94*'Plan mensual'!J251+parametros_recargas!$L$94*'Plan mensual'!J252+parametros_recargas!$M$94*'Plan mensual'!J254</f>
        <v>722.453771826961</v>
      </c>
      <c r="I244" s="26" t="n">
        <f aca="false">parametros_recargas!$E$94*'Plan mensual'!K245+parametros_recargas!$F$94*'Plan mensual'!K246+parametros_recargas!$G$94*'Plan mensual'!K247+parametros_recargas!$H$94*'Plan mensual'!K248+parametros_recargas!$I$94*'Plan mensual'!K249+parametros_recargas!$J$94*'Plan mensual'!K250+parametros_recargas!$K$94*'Plan mensual'!K251+parametros_recargas!$L$94*'Plan mensual'!K252+parametros_recargas!$M$94*'Plan mensual'!K254</f>
        <v>722.453771826961</v>
      </c>
      <c r="J244" s="26" t="n">
        <f aca="false">parametros_recargas!$E$94*'Plan mensual'!L245+parametros_recargas!$F$94*'Plan mensual'!L246+parametros_recargas!$G$94*'Plan mensual'!L247+parametros_recargas!$H$94*'Plan mensual'!L248+parametros_recargas!$I$94*'Plan mensual'!L249+parametros_recargas!$J$94*'Plan mensual'!L250+parametros_recargas!$K$94*'Plan mensual'!L251+parametros_recargas!$L$94*'Plan mensual'!L252+parametros_recargas!$M$94*'Plan mensual'!L254</f>
        <v>722.453771826961</v>
      </c>
      <c r="K244" s="26" t="n">
        <f aca="false">parametros_recargas!$E$94*'Plan mensual'!M245+parametros_recargas!$F$94*'Plan mensual'!M246+parametros_recargas!$G$94*'Plan mensual'!M247+parametros_recargas!$H$94*'Plan mensual'!M248+parametros_recargas!$I$94*'Plan mensual'!M249+parametros_recargas!$J$94*'Plan mensual'!M250+parametros_recargas!$K$94*'Plan mensual'!M251+parametros_recargas!$L$94*'Plan mensual'!M252+parametros_recargas!$M$94*'Plan mensual'!M254</f>
        <v>722.453771826961</v>
      </c>
      <c r="L244" s="26" t="n">
        <f aca="false">parametros_recargas!$E$94*'Plan mensual'!N245+parametros_recargas!$F$94*'Plan mensual'!N246+parametros_recargas!$G$94*'Plan mensual'!N247+parametros_recargas!$H$94*'Plan mensual'!N248+parametros_recargas!$I$94*'Plan mensual'!N249+parametros_recargas!$J$94*'Plan mensual'!N250+parametros_recargas!$K$94*'Plan mensual'!N251+parametros_recargas!$L$94*'Plan mensual'!N252+parametros_recargas!$M$94*'Plan mensual'!N254</f>
        <v>722.453771826961</v>
      </c>
      <c r="M244" s="26" t="n">
        <f aca="false">parametros_recargas!$E$94*'Plan mensual'!O245+parametros_recargas!$F$94*'Plan mensual'!O246+parametros_recargas!$G$94*'Plan mensual'!O247+parametros_recargas!$H$94*'Plan mensual'!O248+parametros_recargas!$I$94*'Plan mensual'!O249+parametros_recargas!$J$94*'Plan mensual'!O250+parametros_recargas!$K$94*'Plan mensual'!O251+parametros_recargas!$L$94*'Plan mensual'!O252+parametros_recargas!$M$94*'Plan mensual'!O254</f>
        <v>722.453771826961</v>
      </c>
      <c r="N244" s="8" t="n">
        <f aca="false">SUM(B244:M244)</f>
        <v>8965.8847912909</v>
      </c>
      <c r="O244" s="27" t="n">
        <f aca="false">MAX(B244:M244)</f>
        <v>1018.89330119433</v>
      </c>
      <c r="P244" s="13" t="n">
        <f aca="false">O244/parametros_recargas!$B$6</f>
        <v>6.79262200796218</v>
      </c>
    </row>
    <row r="245" customFormat="false" ht="15" hidden="false" customHeight="false" outlineLevel="0" collapsed="false">
      <c r="A245" s="10" t="str">
        <f aca="false">parametros_recargas!$B$95</f>
        <v>Carga de CO₂</v>
      </c>
      <c r="B245" s="26" t="n">
        <f aca="false">parametros_recargas!$E$95*'Plan mensual'!D245+parametros_recargas!$F$95*'Plan mensual'!D246+parametros_recargas!$G$95*'Plan mensual'!D247+parametros_recargas!$H$95*'Plan mensual'!D248+parametros_recargas!$I$95*'Plan mensual'!D249+parametros_recargas!$J$95*'Plan mensual'!D250+parametros_recargas!$K$95*'Plan mensual'!D251+parametros_recargas!$L$95*'Plan mensual'!D252+parametros_recargas!$M$95*'Plan mensual'!D254</f>
        <v>412.228491482257</v>
      </c>
      <c r="C245" s="26" t="n">
        <f aca="false">parametros_recargas!$E$95*'Plan mensual'!E245+parametros_recargas!$F$95*'Plan mensual'!E246+parametros_recargas!$G$95*'Plan mensual'!E247+parametros_recargas!$H$95*'Plan mensual'!E248+parametros_recargas!$I$95*'Plan mensual'!E249+parametros_recargas!$J$95*'Plan mensual'!E250+parametros_recargas!$K$95*'Plan mensual'!E251+parametros_recargas!$L$95*'Plan mensual'!E252+parametros_recargas!$M$95*'Plan mensual'!E254</f>
        <v>644.663783208998</v>
      </c>
      <c r="D245" s="26" t="n">
        <f aca="false">parametros_recargas!$E$95*'Plan mensual'!F245+parametros_recargas!$F$95*'Plan mensual'!F246+parametros_recargas!$G$95*'Plan mensual'!F247+parametros_recargas!$H$95*'Plan mensual'!F248+parametros_recargas!$I$95*'Plan mensual'!F249+parametros_recargas!$J$95*'Plan mensual'!F250+parametros_recargas!$K$95*'Plan mensual'!F251+parametros_recargas!$L$95*'Plan mensual'!F252+parametros_recargas!$M$95*'Plan mensual'!F254</f>
        <v>412.228491482257</v>
      </c>
      <c r="E245" s="26" t="n">
        <f aca="false">parametros_recargas!$E$95*'Plan mensual'!G245+parametros_recargas!$F$95*'Plan mensual'!G246+parametros_recargas!$G$95*'Plan mensual'!G247+parametros_recargas!$H$95*'Plan mensual'!G248+parametros_recargas!$I$95*'Plan mensual'!G249+parametros_recargas!$J$95*'Plan mensual'!G250+parametros_recargas!$K$95*'Plan mensual'!G251+parametros_recargas!$L$95*'Plan mensual'!G252+parametros_recargas!$M$95*'Plan mensual'!G254</f>
        <v>412.228491482257</v>
      </c>
      <c r="F245" s="26" t="n">
        <f aca="false">parametros_recargas!$E$95*'Plan mensual'!H245+parametros_recargas!$F$95*'Plan mensual'!H246+parametros_recargas!$G$95*'Plan mensual'!H247+parametros_recargas!$H$95*'Plan mensual'!H248+parametros_recargas!$I$95*'Plan mensual'!H249+parametros_recargas!$J$95*'Plan mensual'!H250+parametros_recargas!$K$95*'Plan mensual'!H251+parametros_recargas!$L$95*'Plan mensual'!H252+parametros_recargas!$M$95*'Plan mensual'!H254</f>
        <v>412.228491482257</v>
      </c>
      <c r="G245" s="26" t="n">
        <f aca="false">parametros_recargas!$E$95*'Plan mensual'!I245+parametros_recargas!$F$95*'Plan mensual'!I246+parametros_recargas!$G$95*'Plan mensual'!I247+parametros_recargas!$H$95*'Plan mensual'!I248+parametros_recargas!$I$95*'Plan mensual'!I249+parametros_recargas!$J$95*'Plan mensual'!I250+parametros_recargas!$K$95*'Plan mensual'!I251+parametros_recargas!$L$95*'Plan mensual'!I252+parametros_recargas!$M$95*'Plan mensual'!I254</f>
        <v>412.228491482257</v>
      </c>
      <c r="H245" s="26" t="n">
        <f aca="false">parametros_recargas!$E$95*'Plan mensual'!J245+parametros_recargas!$F$95*'Plan mensual'!J246+parametros_recargas!$G$95*'Plan mensual'!J247+parametros_recargas!$H$95*'Plan mensual'!J248+parametros_recargas!$I$95*'Plan mensual'!J249+parametros_recargas!$J$95*'Plan mensual'!J250+parametros_recargas!$K$95*'Plan mensual'!J251+parametros_recargas!$L$95*'Plan mensual'!J252+parametros_recargas!$M$95*'Plan mensual'!J254</f>
        <v>412.228491482257</v>
      </c>
      <c r="I245" s="26" t="n">
        <f aca="false">parametros_recargas!$E$95*'Plan mensual'!K245+parametros_recargas!$F$95*'Plan mensual'!K246+parametros_recargas!$G$95*'Plan mensual'!K247+parametros_recargas!$H$95*'Plan mensual'!K248+parametros_recargas!$I$95*'Plan mensual'!K249+parametros_recargas!$J$95*'Plan mensual'!K250+parametros_recargas!$K$95*'Plan mensual'!K251+parametros_recargas!$L$95*'Plan mensual'!K252+parametros_recargas!$M$95*'Plan mensual'!K254</f>
        <v>412.228491482257</v>
      </c>
      <c r="J245" s="26" t="n">
        <f aca="false">parametros_recargas!$E$95*'Plan mensual'!L245+parametros_recargas!$F$95*'Plan mensual'!L246+parametros_recargas!$G$95*'Plan mensual'!L247+parametros_recargas!$H$95*'Plan mensual'!L248+parametros_recargas!$I$95*'Plan mensual'!L249+parametros_recargas!$J$95*'Plan mensual'!L250+parametros_recargas!$K$95*'Plan mensual'!L251+parametros_recargas!$L$95*'Plan mensual'!L252+parametros_recargas!$M$95*'Plan mensual'!L254</f>
        <v>412.228491482257</v>
      </c>
      <c r="K245" s="26" t="n">
        <f aca="false">parametros_recargas!$E$95*'Plan mensual'!M245+parametros_recargas!$F$95*'Plan mensual'!M246+parametros_recargas!$G$95*'Plan mensual'!M247+parametros_recargas!$H$95*'Plan mensual'!M248+parametros_recargas!$I$95*'Plan mensual'!M249+parametros_recargas!$J$95*'Plan mensual'!M250+parametros_recargas!$K$95*'Plan mensual'!M251+parametros_recargas!$L$95*'Plan mensual'!M252+parametros_recargas!$M$95*'Plan mensual'!M254</f>
        <v>412.228491482257</v>
      </c>
      <c r="L245" s="26" t="n">
        <f aca="false">parametros_recargas!$E$95*'Plan mensual'!N245+parametros_recargas!$F$95*'Plan mensual'!N246+parametros_recargas!$G$95*'Plan mensual'!N247+parametros_recargas!$H$95*'Plan mensual'!N248+parametros_recargas!$I$95*'Plan mensual'!N249+parametros_recargas!$J$95*'Plan mensual'!N250+parametros_recargas!$K$95*'Plan mensual'!N251+parametros_recargas!$L$95*'Plan mensual'!N252+parametros_recargas!$M$95*'Plan mensual'!N254</f>
        <v>412.228491482257</v>
      </c>
      <c r="M245" s="26" t="n">
        <f aca="false">parametros_recargas!$E$95*'Plan mensual'!O245+parametros_recargas!$F$95*'Plan mensual'!O246+parametros_recargas!$G$95*'Plan mensual'!O247+parametros_recargas!$H$95*'Plan mensual'!O248+parametros_recargas!$I$95*'Plan mensual'!O249+parametros_recargas!$J$95*'Plan mensual'!O250+parametros_recargas!$K$95*'Plan mensual'!O251+parametros_recargas!$L$95*'Plan mensual'!O252+parametros_recargas!$M$95*'Plan mensual'!O254</f>
        <v>412.228491482257</v>
      </c>
      <c r="N245" s="8" t="n">
        <f aca="false">SUM(B245:M245)</f>
        <v>5179.17718951383</v>
      </c>
      <c r="O245" s="27" t="n">
        <f aca="false">MAX(B245:M245)</f>
        <v>644.663783208998</v>
      </c>
      <c r="P245" s="13" t="n">
        <f aca="false">O245/parametros_recargas!$B$6</f>
        <v>4.29775855472665</v>
      </c>
    </row>
    <row r="246" customFormat="false" ht="15" hidden="false" customHeight="false" outlineLevel="0" collapsed="false">
      <c r="A246" s="10" t="str">
        <f aca="false">parametros_recargas!$B$96</f>
        <v>Ensamblaje y marbete — recinto</v>
      </c>
      <c r="B246" s="26" t="n">
        <f aca="false">parametros_recargas!$E$96*'Plan mensual'!D245+parametros_recargas!$F$96*'Plan mensual'!D246+parametros_recargas!$G$96*'Plan mensual'!D247+parametros_recargas!$H$96*'Plan mensual'!D248+parametros_recargas!$I$96*'Plan mensual'!D249+parametros_recargas!$J$96*'Plan mensual'!D250+parametros_recargas!$K$96*'Plan mensual'!D251+parametros_recargas!$L$96*'Plan mensual'!D252+parametros_recargas!$M$96*'Plan mensual'!D254</f>
        <v>6388.31839052755</v>
      </c>
      <c r="C246" s="26" t="n">
        <f aca="false">parametros_recargas!$E$96*'Plan mensual'!E245+parametros_recargas!$F$96*'Plan mensual'!E246+parametros_recargas!$G$96*'Plan mensual'!E247+parametros_recargas!$H$96*'Plan mensual'!E248+parametros_recargas!$I$96*'Plan mensual'!E249+parametros_recargas!$J$96*'Plan mensual'!E250+parametros_recargas!$K$96*'Plan mensual'!E251+parametros_recargas!$L$96*'Plan mensual'!E252+parametros_recargas!$M$96*'Plan mensual'!E254</f>
        <v>17777.5513859378</v>
      </c>
      <c r="D246" s="26" t="n">
        <f aca="false">parametros_recargas!$E$96*'Plan mensual'!F245+parametros_recargas!$F$96*'Plan mensual'!F246+parametros_recargas!$G$96*'Plan mensual'!F247+parametros_recargas!$H$96*'Plan mensual'!F248+parametros_recargas!$I$96*'Plan mensual'!F249+parametros_recargas!$J$96*'Plan mensual'!F250+parametros_recargas!$K$96*'Plan mensual'!F251+parametros_recargas!$L$96*'Plan mensual'!F252+parametros_recargas!$M$96*'Plan mensual'!F254</f>
        <v>15349.980765199</v>
      </c>
      <c r="E246" s="26" t="n">
        <f aca="false">parametros_recargas!$E$96*'Plan mensual'!G245+parametros_recargas!$F$96*'Plan mensual'!G246+parametros_recargas!$G$96*'Plan mensual'!G247+parametros_recargas!$H$96*'Plan mensual'!G248+parametros_recargas!$I$96*'Plan mensual'!G249+parametros_recargas!$J$96*'Plan mensual'!G250+parametros_recargas!$K$96*'Plan mensual'!G251+parametros_recargas!$L$96*'Plan mensual'!G252+parametros_recargas!$M$96*'Plan mensual'!G254</f>
        <v>15419.3086398236</v>
      </c>
      <c r="F246" s="26" t="n">
        <f aca="false">parametros_recargas!$E$96*'Plan mensual'!H245+parametros_recargas!$F$96*'Plan mensual'!H246+parametros_recargas!$G$96*'Plan mensual'!H247+parametros_recargas!$H$96*'Plan mensual'!H248+parametros_recargas!$I$96*'Plan mensual'!H249+parametros_recargas!$J$96*'Plan mensual'!H250+parametros_recargas!$K$96*'Plan mensual'!H251+parametros_recargas!$L$96*'Plan mensual'!H252+parametros_recargas!$M$96*'Plan mensual'!H254</f>
        <v>15421.9963473402</v>
      </c>
      <c r="G246" s="26" t="n">
        <f aca="false">parametros_recargas!$E$96*'Plan mensual'!I245+parametros_recargas!$F$96*'Plan mensual'!I246+parametros_recargas!$G$96*'Plan mensual'!I247+parametros_recargas!$H$96*'Plan mensual'!I248+parametros_recargas!$I$96*'Plan mensual'!I249+parametros_recargas!$J$96*'Plan mensual'!I250+parametros_recargas!$K$96*'Plan mensual'!I251+parametros_recargas!$L$96*'Plan mensual'!I252+parametros_recargas!$M$96*'Plan mensual'!I254</f>
        <v>15387.7573905107</v>
      </c>
      <c r="H246" s="26" t="n">
        <f aca="false">parametros_recargas!$E$96*'Plan mensual'!J245+parametros_recargas!$F$96*'Plan mensual'!J246+parametros_recargas!$G$96*'Plan mensual'!J247+parametros_recargas!$H$96*'Plan mensual'!J248+parametros_recargas!$I$96*'Plan mensual'!J249+parametros_recargas!$J$96*'Plan mensual'!J250+parametros_recargas!$K$96*'Plan mensual'!J251+parametros_recargas!$L$96*'Plan mensual'!J252+parametros_recargas!$M$96*'Plan mensual'!J254</f>
        <v>15492.7049219423</v>
      </c>
      <c r="I246" s="26" t="n">
        <f aca="false">parametros_recargas!$E$96*'Plan mensual'!K245+parametros_recargas!$F$96*'Plan mensual'!K246+parametros_recargas!$G$96*'Plan mensual'!K247+parametros_recargas!$H$96*'Plan mensual'!K248+parametros_recargas!$I$96*'Plan mensual'!K249+parametros_recargas!$J$96*'Plan mensual'!K250+parametros_recargas!$K$96*'Plan mensual'!K251+parametros_recargas!$L$96*'Plan mensual'!K252+parametros_recargas!$M$96*'Plan mensual'!K254</f>
        <v>15414.6849133688</v>
      </c>
      <c r="J246" s="26" t="n">
        <f aca="false">parametros_recargas!$E$96*'Plan mensual'!L245+parametros_recargas!$F$96*'Plan mensual'!L246+parametros_recargas!$G$96*'Plan mensual'!L247+parametros_recargas!$H$96*'Plan mensual'!L248+parametros_recargas!$I$96*'Plan mensual'!L249+parametros_recargas!$J$96*'Plan mensual'!L250+parametros_recargas!$K$96*'Plan mensual'!L251+parametros_recargas!$L$96*'Plan mensual'!L252+parametros_recargas!$M$96*'Plan mensual'!L254</f>
        <v>15426.6754295617</v>
      </c>
      <c r="K246" s="26" t="n">
        <f aca="false">parametros_recargas!$E$96*'Plan mensual'!M245+parametros_recargas!$F$96*'Plan mensual'!M246+parametros_recargas!$G$96*'Plan mensual'!M247+parametros_recargas!$H$96*'Plan mensual'!M248+parametros_recargas!$I$96*'Plan mensual'!M249+parametros_recargas!$J$96*'Plan mensual'!M250+parametros_recargas!$K$96*'Plan mensual'!M251+parametros_recargas!$L$96*'Plan mensual'!M252+parametros_recargas!$M$96*'Plan mensual'!M254</f>
        <v>15385.1773380024</v>
      </c>
      <c r="L246" s="26" t="n">
        <f aca="false">parametros_recargas!$E$96*'Plan mensual'!N245+parametros_recargas!$F$96*'Plan mensual'!N246+parametros_recargas!$G$96*'Plan mensual'!N247+parametros_recargas!$H$96*'Plan mensual'!N248+parametros_recargas!$I$96*'Plan mensual'!N249+parametros_recargas!$J$96*'Plan mensual'!N250+parametros_recargas!$K$96*'Plan mensual'!N251+parametros_recargas!$L$96*'Plan mensual'!N252+parametros_recargas!$M$96*'Plan mensual'!N254</f>
        <v>15210.8774822245</v>
      </c>
      <c r="M246" s="26" t="n">
        <f aca="false">parametros_recargas!$E$96*'Plan mensual'!O245+parametros_recargas!$F$96*'Plan mensual'!O246+parametros_recargas!$G$96*'Plan mensual'!O247+parametros_recargas!$H$96*'Plan mensual'!O248+parametros_recargas!$I$96*'Plan mensual'!O249+parametros_recargas!$J$96*'Plan mensual'!O250+parametros_recargas!$K$96*'Plan mensual'!O251+parametros_recargas!$L$96*'Plan mensual'!O252+parametros_recargas!$M$96*'Plan mensual'!O254</f>
        <v>5919.40786764028</v>
      </c>
      <c r="N246" s="8" t="n">
        <f aca="false">SUM(B246:M246)</f>
        <v>168594.440872079</v>
      </c>
      <c r="O246" s="27" t="n">
        <f aca="false">MAX(B246:M246)</f>
        <v>17777.5513859378</v>
      </c>
      <c r="P246" s="13" t="n">
        <f aca="false">O246/parametros_recargas!$B$6</f>
        <v>118.517009239586</v>
      </c>
    </row>
    <row r="247" customFormat="false" ht="15" hidden="false" customHeight="false" outlineLevel="0" collapsed="false">
      <c r="A247" s="10" t="str">
        <f aca="false">parametros_recargas!$B$97</f>
        <v>Presurización — recinto</v>
      </c>
      <c r="B247" s="26" t="n">
        <f aca="false">parametros_recargas!$E$97*'Plan mensual'!D245+parametros_recargas!$F$97*'Plan mensual'!D246+parametros_recargas!$G$97*'Plan mensual'!D247+parametros_recargas!$H$97*'Plan mensual'!D248+parametros_recargas!$I$97*'Plan mensual'!D249+parametros_recargas!$J$97*'Plan mensual'!D250+parametros_recargas!$K$97*'Plan mensual'!D251+parametros_recargas!$L$97*'Plan mensual'!D252+parametros_recargas!$M$97*'Plan mensual'!D254</f>
        <v>6388.31839052755</v>
      </c>
      <c r="C247" s="26" t="n">
        <f aca="false">parametros_recargas!$E$97*'Plan mensual'!E245+parametros_recargas!$F$97*'Plan mensual'!E246+parametros_recargas!$G$97*'Plan mensual'!E247+parametros_recargas!$H$97*'Plan mensual'!E248+parametros_recargas!$I$97*'Plan mensual'!E249+parametros_recargas!$J$97*'Plan mensual'!E250+parametros_recargas!$K$97*'Plan mensual'!E251+parametros_recargas!$L$97*'Plan mensual'!E252+parametros_recargas!$M$97*'Plan mensual'!E254</f>
        <v>17777.5513859378</v>
      </c>
      <c r="D247" s="26" t="n">
        <f aca="false">parametros_recargas!$E$97*'Plan mensual'!F245+parametros_recargas!$F$97*'Plan mensual'!F246+parametros_recargas!$G$97*'Plan mensual'!F247+parametros_recargas!$H$97*'Plan mensual'!F248+parametros_recargas!$I$97*'Plan mensual'!F249+parametros_recargas!$J$97*'Plan mensual'!F250+parametros_recargas!$K$97*'Plan mensual'!F251+parametros_recargas!$L$97*'Plan mensual'!F252+parametros_recargas!$M$97*'Plan mensual'!F254</f>
        <v>15349.980765199</v>
      </c>
      <c r="E247" s="26" t="n">
        <f aca="false">parametros_recargas!$E$97*'Plan mensual'!G245+parametros_recargas!$F$97*'Plan mensual'!G246+parametros_recargas!$G$97*'Plan mensual'!G247+parametros_recargas!$H$97*'Plan mensual'!G248+parametros_recargas!$I$97*'Plan mensual'!G249+parametros_recargas!$J$97*'Plan mensual'!G250+parametros_recargas!$K$97*'Plan mensual'!G251+parametros_recargas!$L$97*'Plan mensual'!G252+parametros_recargas!$M$97*'Plan mensual'!G254</f>
        <v>15419.3086398236</v>
      </c>
      <c r="F247" s="26" t="n">
        <f aca="false">parametros_recargas!$E$97*'Plan mensual'!H245+parametros_recargas!$F$97*'Plan mensual'!H246+parametros_recargas!$G$97*'Plan mensual'!H247+parametros_recargas!$H$97*'Plan mensual'!H248+parametros_recargas!$I$97*'Plan mensual'!H249+parametros_recargas!$J$97*'Plan mensual'!H250+parametros_recargas!$K$97*'Plan mensual'!H251+parametros_recargas!$L$97*'Plan mensual'!H252+parametros_recargas!$M$97*'Plan mensual'!H254</f>
        <v>15421.9963473402</v>
      </c>
      <c r="G247" s="26" t="n">
        <f aca="false">parametros_recargas!$E$97*'Plan mensual'!I245+parametros_recargas!$F$97*'Plan mensual'!I246+parametros_recargas!$G$97*'Plan mensual'!I247+parametros_recargas!$H$97*'Plan mensual'!I248+parametros_recargas!$I$97*'Plan mensual'!I249+parametros_recargas!$J$97*'Plan mensual'!I250+parametros_recargas!$K$97*'Plan mensual'!I251+parametros_recargas!$L$97*'Plan mensual'!I252+parametros_recargas!$M$97*'Plan mensual'!I254</f>
        <v>15387.7573905107</v>
      </c>
      <c r="H247" s="26" t="n">
        <f aca="false">parametros_recargas!$E$97*'Plan mensual'!J245+parametros_recargas!$F$97*'Plan mensual'!J246+parametros_recargas!$G$97*'Plan mensual'!J247+parametros_recargas!$H$97*'Plan mensual'!J248+parametros_recargas!$I$97*'Plan mensual'!J249+parametros_recargas!$J$97*'Plan mensual'!J250+parametros_recargas!$K$97*'Plan mensual'!J251+parametros_recargas!$L$97*'Plan mensual'!J252+parametros_recargas!$M$97*'Plan mensual'!J254</f>
        <v>15492.7049219423</v>
      </c>
      <c r="I247" s="26" t="n">
        <f aca="false">parametros_recargas!$E$97*'Plan mensual'!K245+parametros_recargas!$F$97*'Plan mensual'!K246+parametros_recargas!$G$97*'Plan mensual'!K247+parametros_recargas!$H$97*'Plan mensual'!K248+parametros_recargas!$I$97*'Plan mensual'!K249+parametros_recargas!$J$97*'Plan mensual'!K250+parametros_recargas!$K$97*'Plan mensual'!K251+parametros_recargas!$L$97*'Plan mensual'!K252+parametros_recargas!$M$97*'Plan mensual'!K254</f>
        <v>15414.6849133688</v>
      </c>
      <c r="J247" s="26" t="n">
        <f aca="false">parametros_recargas!$E$97*'Plan mensual'!L245+parametros_recargas!$F$97*'Plan mensual'!L246+parametros_recargas!$G$97*'Plan mensual'!L247+parametros_recargas!$H$97*'Plan mensual'!L248+parametros_recargas!$I$97*'Plan mensual'!L249+parametros_recargas!$J$97*'Plan mensual'!L250+parametros_recargas!$K$97*'Plan mensual'!L251+parametros_recargas!$L$97*'Plan mensual'!L252+parametros_recargas!$M$97*'Plan mensual'!L254</f>
        <v>15426.6754295617</v>
      </c>
      <c r="K247" s="26" t="n">
        <f aca="false">parametros_recargas!$E$97*'Plan mensual'!M245+parametros_recargas!$F$97*'Plan mensual'!M246+parametros_recargas!$G$97*'Plan mensual'!M247+parametros_recargas!$H$97*'Plan mensual'!M248+parametros_recargas!$I$97*'Plan mensual'!M249+parametros_recargas!$J$97*'Plan mensual'!M250+parametros_recargas!$K$97*'Plan mensual'!M251+parametros_recargas!$L$97*'Plan mensual'!M252+parametros_recargas!$M$97*'Plan mensual'!M254</f>
        <v>15385.1773380024</v>
      </c>
      <c r="L247" s="26" t="n">
        <f aca="false">parametros_recargas!$E$97*'Plan mensual'!N245+parametros_recargas!$F$97*'Plan mensual'!N246+parametros_recargas!$G$97*'Plan mensual'!N247+parametros_recargas!$H$97*'Plan mensual'!N248+parametros_recargas!$I$97*'Plan mensual'!N249+parametros_recargas!$J$97*'Plan mensual'!N250+parametros_recargas!$K$97*'Plan mensual'!N251+parametros_recargas!$L$97*'Plan mensual'!N252+parametros_recargas!$M$97*'Plan mensual'!N254</f>
        <v>15210.8774822245</v>
      </c>
      <c r="M247" s="26" t="n">
        <f aca="false">parametros_recargas!$E$97*'Plan mensual'!O245+parametros_recargas!$F$97*'Plan mensual'!O246+parametros_recargas!$G$97*'Plan mensual'!O247+parametros_recargas!$H$97*'Plan mensual'!O248+parametros_recargas!$I$97*'Plan mensual'!O249+parametros_recargas!$J$97*'Plan mensual'!O250+parametros_recargas!$K$97*'Plan mensual'!O251+parametros_recargas!$L$97*'Plan mensual'!O252+parametros_recargas!$M$97*'Plan mensual'!O254</f>
        <v>5919.40786764028</v>
      </c>
      <c r="N247" s="8" t="n">
        <f aca="false">SUM(B247:M247)</f>
        <v>168594.440872079</v>
      </c>
      <c r="O247" s="27" t="n">
        <f aca="false">MAX(B247:M247)</f>
        <v>17777.5513859378</v>
      </c>
      <c r="P247" s="13" t="n">
        <f aca="false">O247/parametros_recargas!$B$6</f>
        <v>118.517009239586</v>
      </c>
    </row>
    <row r="248" customFormat="false" ht="15" hidden="false" customHeight="false" outlineLevel="0" collapsed="false">
      <c r="A248" s="10" t="str">
        <f aca="false">parametros_recargas!$B$98</f>
        <v>Ensamblaje y presurización — zona general</v>
      </c>
      <c r="B248" s="26" t="n">
        <f aca="false">parametros_recargas!$E$98*'Plan mensual'!D245+parametros_recargas!$F$98*'Plan mensual'!D246+parametros_recargas!$G$98*'Plan mensual'!D247+parametros_recargas!$H$98*'Plan mensual'!D248+parametros_recargas!$I$98*'Plan mensual'!D249+parametros_recargas!$J$98*'Plan mensual'!D250+parametros_recargas!$K$98*'Plan mensual'!D251+parametros_recargas!$L$98*'Plan mensual'!D252+parametros_recargas!$M$98*'Plan mensual'!D254</f>
        <v>1131.42064082539</v>
      </c>
      <c r="C248" s="26" t="n">
        <f aca="false">parametros_recargas!$E$98*'Plan mensual'!E245+parametros_recargas!$F$98*'Plan mensual'!E246+parametros_recargas!$G$98*'Plan mensual'!E247+parametros_recargas!$H$98*'Plan mensual'!E248+parametros_recargas!$I$98*'Plan mensual'!E249+parametros_recargas!$J$98*'Plan mensual'!E250+parametros_recargas!$K$98*'Plan mensual'!E251+parametros_recargas!$L$98*'Plan mensual'!E252+parametros_recargas!$M$98*'Plan mensual'!E254</f>
        <v>1642.69250073727</v>
      </c>
      <c r="D248" s="26" t="n">
        <f aca="false">parametros_recargas!$E$98*'Plan mensual'!F245+parametros_recargas!$F$98*'Plan mensual'!F246+parametros_recargas!$G$98*'Plan mensual'!F247+parametros_recargas!$H$98*'Plan mensual'!F248+parametros_recargas!$I$98*'Plan mensual'!F249+parametros_recargas!$J$98*'Plan mensual'!F250+parametros_recargas!$K$98*'Plan mensual'!F251+parametros_recargas!$L$98*'Plan mensual'!F252+parametros_recargas!$M$98*'Plan mensual'!F254</f>
        <v>1131.42064082539</v>
      </c>
      <c r="E248" s="26" t="n">
        <f aca="false">parametros_recargas!$E$98*'Plan mensual'!G245+parametros_recargas!$F$98*'Plan mensual'!G246+parametros_recargas!$G$98*'Plan mensual'!G247+parametros_recargas!$H$98*'Plan mensual'!G248+parametros_recargas!$I$98*'Plan mensual'!G249+parametros_recargas!$J$98*'Plan mensual'!G250+parametros_recargas!$K$98*'Plan mensual'!G251+parametros_recargas!$L$98*'Plan mensual'!G252+parametros_recargas!$M$98*'Plan mensual'!G254</f>
        <v>1131.42064082539</v>
      </c>
      <c r="F248" s="26" t="n">
        <f aca="false">parametros_recargas!$E$98*'Plan mensual'!H245+parametros_recargas!$F$98*'Plan mensual'!H246+parametros_recargas!$G$98*'Plan mensual'!H247+parametros_recargas!$H$98*'Plan mensual'!H248+parametros_recargas!$I$98*'Plan mensual'!H249+parametros_recargas!$J$98*'Plan mensual'!H250+parametros_recargas!$K$98*'Plan mensual'!H251+parametros_recargas!$L$98*'Plan mensual'!H252+parametros_recargas!$M$98*'Plan mensual'!H254</f>
        <v>1131.42064082539</v>
      </c>
      <c r="G248" s="26" t="n">
        <f aca="false">parametros_recargas!$E$98*'Plan mensual'!I245+parametros_recargas!$F$98*'Plan mensual'!I246+parametros_recargas!$G$98*'Plan mensual'!I247+parametros_recargas!$H$98*'Plan mensual'!I248+parametros_recargas!$I$98*'Plan mensual'!I249+parametros_recargas!$J$98*'Plan mensual'!I250+parametros_recargas!$K$98*'Plan mensual'!I251+parametros_recargas!$L$98*'Plan mensual'!I252+parametros_recargas!$M$98*'Plan mensual'!I254</f>
        <v>1131.42064082539</v>
      </c>
      <c r="H248" s="26" t="n">
        <f aca="false">parametros_recargas!$E$98*'Plan mensual'!J245+parametros_recargas!$F$98*'Plan mensual'!J246+parametros_recargas!$G$98*'Plan mensual'!J247+parametros_recargas!$H$98*'Plan mensual'!J248+parametros_recargas!$I$98*'Plan mensual'!J249+parametros_recargas!$J$98*'Plan mensual'!J250+parametros_recargas!$K$98*'Plan mensual'!J251+parametros_recargas!$L$98*'Plan mensual'!J252+parametros_recargas!$M$98*'Plan mensual'!J254</f>
        <v>1131.42064082539</v>
      </c>
      <c r="I248" s="26" t="n">
        <f aca="false">parametros_recargas!$E$98*'Plan mensual'!K245+parametros_recargas!$F$98*'Plan mensual'!K246+parametros_recargas!$G$98*'Plan mensual'!K247+parametros_recargas!$H$98*'Plan mensual'!K248+parametros_recargas!$I$98*'Plan mensual'!K249+parametros_recargas!$J$98*'Plan mensual'!K250+parametros_recargas!$K$98*'Plan mensual'!K251+parametros_recargas!$L$98*'Plan mensual'!K252+parametros_recargas!$M$98*'Plan mensual'!K254</f>
        <v>1131.42064082539</v>
      </c>
      <c r="J248" s="26" t="n">
        <f aca="false">parametros_recargas!$E$98*'Plan mensual'!L245+parametros_recargas!$F$98*'Plan mensual'!L246+parametros_recargas!$G$98*'Plan mensual'!L247+parametros_recargas!$H$98*'Plan mensual'!L248+parametros_recargas!$I$98*'Plan mensual'!L249+parametros_recargas!$J$98*'Plan mensual'!L250+parametros_recargas!$K$98*'Plan mensual'!L251+parametros_recargas!$L$98*'Plan mensual'!L252+parametros_recargas!$M$98*'Plan mensual'!L254</f>
        <v>1131.42064082539</v>
      </c>
      <c r="K248" s="26" t="n">
        <f aca="false">parametros_recargas!$E$98*'Plan mensual'!M245+parametros_recargas!$F$98*'Plan mensual'!M246+parametros_recargas!$G$98*'Plan mensual'!M247+parametros_recargas!$H$98*'Plan mensual'!M248+parametros_recargas!$I$98*'Plan mensual'!M249+parametros_recargas!$J$98*'Plan mensual'!M250+parametros_recargas!$K$98*'Plan mensual'!M251+parametros_recargas!$L$98*'Plan mensual'!M252+parametros_recargas!$M$98*'Plan mensual'!M254</f>
        <v>1131.42064082539</v>
      </c>
      <c r="L248" s="26" t="n">
        <f aca="false">parametros_recargas!$E$98*'Plan mensual'!N245+parametros_recargas!$F$98*'Plan mensual'!N246+parametros_recargas!$G$98*'Plan mensual'!N247+parametros_recargas!$H$98*'Plan mensual'!N248+parametros_recargas!$I$98*'Plan mensual'!N249+parametros_recargas!$J$98*'Plan mensual'!N250+parametros_recargas!$K$98*'Plan mensual'!N251+parametros_recargas!$L$98*'Plan mensual'!N252+parametros_recargas!$M$98*'Plan mensual'!N254</f>
        <v>1131.42064082539</v>
      </c>
      <c r="M248" s="26" t="n">
        <f aca="false">parametros_recargas!$E$98*'Plan mensual'!O245+parametros_recargas!$F$98*'Plan mensual'!O246+parametros_recargas!$G$98*'Plan mensual'!O247+parametros_recargas!$H$98*'Plan mensual'!O248+parametros_recargas!$I$98*'Plan mensual'!O249+parametros_recargas!$J$98*'Plan mensual'!O250+parametros_recargas!$K$98*'Plan mensual'!O251+parametros_recargas!$L$98*'Plan mensual'!O252+parametros_recargas!$M$98*'Plan mensual'!O254</f>
        <v>1131.42064082539</v>
      </c>
      <c r="N248" s="8" t="n">
        <f aca="false">SUM(B248:M248)</f>
        <v>14088.3195498166</v>
      </c>
      <c r="O248" s="27" t="n">
        <f aca="false">MAX(B248:M248)</f>
        <v>1642.69250073727</v>
      </c>
      <c r="P248" s="13" t="n">
        <f aca="false">O248/parametros_recargas!$B$6</f>
        <v>10.9512833382485</v>
      </c>
    </row>
    <row r="249" customFormat="false" ht="15" hidden="false" customHeight="false" outlineLevel="0" collapsed="false">
      <c r="A249" s="10" t="str">
        <f aca="false">parametros_recargas!$B$99</f>
        <v>Carga y presurización de halogenado</v>
      </c>
      <c r="B249" s="26" t="n">
        <f aca="false">parametros_recargas!$E$99*'Plan mensual'!D245+parametros_recargas!$F$99*'Plan mensual'!D246+parametros_recargas!$G$99*'Plan mensual'!D247+parametros_recargas!$H$99*'Plan mensual'!D248+parametros_recargas!$I$99*'Plan mensual'!D249+parametros_recargas!$J$99*'Plan mensual'!D250+parametros_recargas!$K$99*'Plan mensual'!D251+parametros_recargas!$L$99*'Plan mensual'!D252+parametros_recargas!$M$99*'Plan mensual'!D254</f>
        <v>17.6042792859047</v>
      </c>
      <c r="C249" s="26" t="n">
        <f aca="false">parametros_recargas!$E$99*'Plan mensual'!E245+parametros_recargas!$F$99*'Plan mensual'!E246+parametros_recargas!$G$99*'Plan mensual'!E247+parametros_recargas!$H$99*'Plan mensual'!E248+parametros_recargas!$I$99*'Plan mensual'!E249+parametros_recargas!$J$99*'Plan mensual'!E250+parametros_recargas!$K$99*'Plan mensual'!E251+parametros_recargas!$L$99*'Plan mensual'!E252+parametros_recargas!$M$99*'Plan mensual'!E254</f>
        <v>17.6042792859047</v>
      </c>
      <c r="D249" s="26" t="n">
        <f aca="false">parametros_recargas!$E$99*'Plan mensual'!F245+parametros_recargas!$F$99*'Plan mensual'!F246+parametros_recargas!$G$99*'Plan mensual'!F247+parametros_recargas!$H$99*'Plan mensual'!F248+parametros_recargas!$I$99*'Plan mensual'!F249+parametros_recargas!$J$99*'Plan mensual'!F250+parametros_recargas!$K$99*'Plan mensual'!F251+parametros_recargas!$L$99*'Plan mensual'!F252+parametros_recargas!$M$99*'Plan mensual'!F254</f>
        <v>17.6042792859047</v>
      </c>
      <c r="E249" s="26" t="n">
        <f aca="false">parametros_recargas!$E$99*'Plan mensual'!G245+parametros_recargas!$F$99*'Plan mensual'!G246+parametros_recargas!$G$99*'Plan mensual'!G247+parametros_recargas!$H$99*'Plan mensual'!G248+parametros_recargas!$I$99*'Plan mensual'!G249+parametros_recargas!$J$99*'Plan mensual'!G250+parametros_recargas!$K$99*'Plan mensual'!G251+parametros_recargas!$L$99*'Plan mensual'!G252+parametros_recargas!$M$99*'Plan mensual'!G254</f>
        <v>17.6042792859047</v>
      </c>
      <c r="F249" s="26" t="n">
        <f aca="false">parametros_recargas!$E$99*'Plan mensual'!H245+parametros_recargas!$F$99*'Plan mensual'!H246+parametros_recargas!$G$99*'Plan mensual'!H247+parametros_recargas!$H$99*'Plan mensual'!H248+parametros_recargas!$I$99*'Plan mensual'!H249+parametros_recargas!$J$99*'Plan mensual'!H250+parametros_recargas!$K$99*'Plan mensual'!H251+parametros_recargas!$L$99*'Plan mensual'!H252+parametros_recargas!$M$99*'Plan mensual'!H254</f>
        <v>17.6042792859047</v>
      </c>
      <c r="G249" s="26" t="n">
        <f aca="false">parametros_recargas!$E$99*'Plan mensual'!I245+parametros_recargas!$F$99*'Plan mensual'!I246+parametros_recargas!$G$99*'Plan mensual'!I247+parametros_recargas!$H$99*'Plan mensual'!I248+parametros_recargas!$I$99*'Plan mensual'!I249+parametros_recargas!$J$99*'Plan mensual'!I250+parametros_recargas!$K$99*'Plan mensual'!I251+parametros_recargas!$L$99*'Plan mensual'!I252+parametros_recargas!$M$99*'Plan mensual'!I254</f>
        <v>17.6042792859047</v>
      </c>
      <c r="H249" s="26" t="n">
        <f aca="false">parametros_recargas!$E$99*'Plan mensual'!J245+parametros_recargas!$F$99*'Plan mensual'!J246+parametros_recargas!$G$99*'Plan mensual'!J247+parametros_recargas!$H$99*'Plan mensual'!J248+parametros_recargas!$I$99*'Plan mensual'!J249+parametros_recargas!$J$99*'Plan mensual'!J250+parametros_recargas!$K$99*'Plan mensual'!J251+parametros_recargas!$L$99*'Plan mensual'!J252+parametros_recargas!$M$99*'Plan mensual'!J254</f>
        <v>17.6042792859047</v>
      </c>
      <c r="I249" s="26" t="n">
        <f aca="false">parametros_recargas!$E$99*'Plan mensual'!K245+parametros_recargas!$F$99*'Plan mensual'!K246+parametros_recargas!$G$99*'Plan mensual'!K247+parametros_recargas!$H$99*'Plan mensual'!K248+parametros_recargas!$I$99*'Plan mensual'!K249+parametros_recargas!$J$99*'Plan mensual'!K250+parametros_recargas!$K$99*'Plan mensual'!K251+parametros_recargas!$L$99*'Plan mensual'!K252+parametros_recargas!$M$99*'Plan mensual'!K254</f>
        <v>17.6042792859047</v>
      </c>
      <c r="J249" s="26" t="n">
        <f aca="false">parametros_recargas!$E$99*'Plan mensual'!L245+parametros_recargas!$F$99*'Plan mensual'!L246+parametros_recargas!$G$99*'Plan mensual'!L247+parametros_recargas!$H$99*'Plan mensual'!L248+parametros_recargas!$I$99*'Plan mensual'!L249+parametros_recargas!$J$99*'Plan mensual'!L250+parametros_recargas!$K$99*'Plan mensual'!L251+parametros_recargas!$L$99*'Plan mensual'!L252+parametros_recargas!$M$99*'Plan mensual'!L254</f>
        <v>17.6042792859047</v>
      </c>
      <c r="K249" s="26" t="n">
        <f aca="false">parametros_recargas!$E$99*'Plan mensual'!M245+parametros_recargas!$F$99*'Plan mensual'!M246+parametros_recargas!$G$99*'Plan mensual'!M247+parametros_recargas!$H$99*'Plan mensual'!M248+parametros_recargas!$I$99*'Plan mensual'!M249+parametros_recargas!$J$99*'Plan mensual'!M250+parametros_recargas!$K$99*'Plan mensual'!M251+parametros_recargas!$L$99*'Plan mensual'!M252+parametros_recargas!$M$99*'Plan mensual'!M254</f>
        <v>17.6042792859047</v>
      </c>
      <c r="L249" s="26" t="n">
        <f aca="false">parametros_recargas!$E$99*'Plan mensual'!N245+parametros_recargas!$F$99*'Plan mensual'!N246+parametros_recargas!$G$99*'Plan mensual'!N247+parametros_recargas!$H$99*'Plan mensual'!N248+parametros_recargas!$I$99*'Plan mensual'!N249+parametros_recargas!$J$99*'Plan mensual'!N250+parametros_recargas!$K$99*'Plan mensual'!N251+parametros_recargas!$L$99*'Plan mensual'!N252+parametros_recargas!$M$99*'Plan mensual'!N254</f>
        <v>17.6042792859047</v>
      </c>
      <c r="M249" s="26" t="n">
        <f aca="false">parametros_recargas!$E$99*'Plan mensual'!O245+parametros_recargas!$F$99*'Plan mensual'!O246+parametros_recargas!$G$99*'Plan mensual'!O247+parametros_recargas!$H$99*'Plan mensual'!O248+parametros_recargas!$I$99*'Plan mensual'!O249+parametros_recargas!$J$99*'Plan mensual'!O250+parametros_recargas!$K$99*'Plan mensual'!O251+parametros_recargas!$L$99*'Plan mensual'!O252+parametros_recargas!$M$99*'Plan mensual'!O254</f>
        <v>17.6042792859047</v>
      </c>
      <c r="N249" s="8" t="n">
        <f aca="false">SUM(B249:M249)</f>
        <v>211.251351430857</v>
      </c>
      <c r="O249" s="27" t="n">
        <f aca="false">MAX(B249:M249)</f>
        <v>17.6042792859047</v>
      </c>
      <c r="P249" s="13" t="n">
        <f aca="false">O249/parametros_recargas!$B$6</f>
        <v>0.117361861906031</v>
      </c>
    </row>
    <row r="250" customFormat="false" ht="15" hidden="false" customHeight="false" outlineLevel="0" collapsed="false">
      <c r="A250" s="10" t="str">
        <f aca="false">parametros_recargas!$B$100</f>
        <v>Control de peso (CO₂ y halogenados sin recarga)</v>
      </c>
      <c r="B250" s="26" t="n">
        <f aca="false">parametros_recargas!$E$100*'Plan mensual'!D245+parametros_recargas!$F$100*'Plan mensual'!D246+parametros_recargas!$G$100*'Plan mensual'!D247+parametros_recargas!$H$100*'Plan mensual'!D248+parametros_recargas!$I$100*'Plan mensual'!D249+parametros_recargas!$J$100*'Plan mensual'!D250+parametros_recargas!$K$100*'Plan mensual'!D251+parametros_recargas!$L$100*'Plan mensual'!D252+parametros_recargas!$M$100*'Plan mensual'!D254</f>
        <v>798.260859998015</v>
      </c>
      <c r="C250" s="26" t="n">
        <f aca="false">parametros_recargas!$E$100*'Plan mensual'!E245+parametros_recargas!$F$100*'Plan mensual'!E246+parametros_recargas!$G$100*'Plan mensual'!E247+parametros_recargas!$H$100*'Plan mensual'!E248+parametros_recargas!$I$100*'Plan mensual'!E249+parametros_recargas!$J$100*'Plan mensual'!E250+parametros_recargas!$K$100*'Plan mensual'!E251+parametros_recargas!$L$100*'Plan mensual'!E252+parametros_recargas!$M$100*'Plan mensual'!E254</f>
        <v>1229.92640177625</v>
      </c>
      <c r="D250" s="26" t="n">
        <f aca="false">parametros_recargas!$E$100*'Plan mensual'!F245+parametros_recargas!$F$100*'Plan mensual'!F246+parametros_recargas!$G$100*'Plan mensual'!F247+parametros_recargas!$H$100*'Plan mensual'!F248+parametros_recargas!$I$100*'Plan mensual'!F249+parametros_recargas!$J$100*'Plan mensual'!F250+parametros_recargas!$K$100*'Plan mensual'!F251+parametros_recargas!$L$100*'Plan mensual'!F252+parametros_recargas!$M$100*'Plan mensual'!F254</f>
        <v>798.260859998015</v>
      </c>
      <c r="E250" s="26" t="n">
        <f aca="false">parametros_recargas!$E$100*'Plan mensual'!G245+parametros_recargas!$F$100*'Plan mensual'!G246+parametros_recargas!$G$100*'Plan mensual'!G247+parametros_recargas!$H$100*'Plan mensual'!G248+parametros_recargas!$I$100*'Plan mensual'!G249+parametros_recargas!$J$100*'Plan mensual'!G250+parametros_recargas!$K$100*'Plan mensual'!G251+parametros_recargas!$L$100*'Plan mensual'!G252+parametros_recargas!$M$100*'Plan mensual'!G254</f>
        <v>798.260859998015</v>
      </c>
      <c r="F250" s="26" t="n">
        <f aca="false">parametros_recargas!$E$100*'Plan mensual'!H245+parametros_recargas!$F$100*'Plan mensual'!H246+parametros_recargas!$G$100*'Plan mensual'!H247+parametros_recargas!$H$100*'Plan mensual'!H248+parametros_recargas!$I$100*'Plan mensual'!H249+parametros_recargas!$J$100*'Plan mensual'!H250+parametros_recargas!$K$100*'Plan mensual'!H251+parametros_recargas!$L$100*'Plan mensual'!H252+parametros_recargas!$M$100*'Plan mensual'!H254</f>
        <v>798.260859998015</v>
      </c>
      <c r="G250" s="26" t="n">
        <f aca="false">parametros_recargas!$E$100*'Plan mensual'!I245+parametros_recargas!$F$100*'Plan mensual'!I246+parametros_recargas!$G$100*'Plan mensual'!I247+parametros_recargas!$H$100*'Plan mensual'!I248+parametros_recargas!$I$100*'Plan mensual'!I249+parametros_recargas!$J$100*'Plan mensual'!I250+parametros_recargas!$K$100*'Plan mensual'!I251+parametros_recargas!$L$100*'Plan mensual'!I252+parametros_recargas!$M$100*'Plan mensual'!I254</f>
        <v>798.260859998015</v>
      </c>
      <c r="H250" s="26" t="n">
        <f aca="false">parametros_recargas!$E$100*'Plan mensual'!J245+parametros_recargas!$F$100*'Plan mensual'!J246+parametros_recargas!$G$100*'Plan mensual'!J247+parametros_recargas!$H$100*'Plan mensual'!J248+parametros_recargas!$I$100*'Plan mensual'!J249+parametros_recargas!$J$100*'Plan mensual'!J250+parametros_recargas!$K$100*'Plan mensual'!J251+parametros_recargas!$L$100*'Plan mensual'!J252+parametros_recargas!$M$100*'Plan mensual'!J254</f>
        <v>798.260859998015</v>
      </c>
      <c r="I250" s="26" t="n">
        <f aca="false">parametros_recargas!$E$100*'Plan mensual'!K245+parametros_recargas!$F$100*'Plan mensual'!K246+parametros_recargas!$G$100*'Plan mensual'!K247+parametros_recargas!$H$100*'Plan mensual'!K248+parametros_recargas!$I$100*'Plan mensual'!K249+parametros_recargas!$J$100*'Plan mensual'!K250+parametros_recargas!$K$100*'Plan mensual'!K251+parametros_recargas!$L$100*'Plan mensual'!K252+parametros_recargas!$M$100*'Plan mensual'!K254</f>
        <v>798.260859998015</v>
      </c>
      <c r="J250" s="26" t="n">
        <f aca="false">parametros_recargas!$E$100*'Plan mensual'!L245+parametros_recargas!$F$100*'Plan mensual'!L246+parametros_recargas!$G$100*'Plan mensual'!L247+parametros_recargas!$H$100*'Plan mensual'!L248+parametros_recargas!$I$100*'Plan mensual'!L249+parametros_recargas!$J$100*'Plan mensual'!L250+parametros_recargas!$K$100*'Plan mensual'!L251+parametros_recargas!$L$100*'Plan mensual'!L252+parametros_recargas!$M$100*'Plan mensual'!L254</f>
        <v>798.260859998015</v>
      </c>
      <c r="K250" s="26" t="n">
        <f aca="false">parametros_recargas!$E$100*'Plan mensual'!M245+parametros_recargas!$F$100*'Plan mensual'!M246+parametros_recargas!$G$100*'Plan mensual'!M247+parametros_recargas!$H$100*'Plan mensual'!M248+parametros_recargas!$I$100*'Plan mensual'!M249+parametros_recargas!$J$100*'Plan mensual'!M250+parametros_recargas!$K$100*'Plan mensual'!M251+parametros_recargas!$L$100*'Plan mensual'!M252+parametros_recargas!$M$100*'Plan mensual'!M254</f>
        <v>798.260859998015</v>
      </c>
      <c r="L250" s="26" t="n">
        <f aca="false">parametros_recargas!$E$100*'Plan mensual'!N245+parametros_recargas!$F$100*'Plan mensual'!N246+parametros_recargas!$G$100*'Plan mensual'!N247+parametros_recargas!$H$100*'Plan mensual'!N248+parametros_recargas!$I$100*'Plan mensual'!N249+parametros_recargas!$J$100*'Plan mensual'!N250+parametros_recargas!$K$100*'Plan mensual'!N251+parametros_recargas!$L$100*'Plan mensual'!N252+parametros_recargas!$M$100*'Plan mensual'!N254</f>
        <v>798.260859998015</v>
      </c>
      <c r="M250" s="26" t="n">
        <f aca="false">parametros_recargas!$E$100*'Plan mensual'!O245+parametros_recargas!$F$100*'Plan mensual'!O246+parametros_recargas!$G$100*'Plan mensual'!O247+parametros_recargas!$H$100*'Plan mensual'!O248+parametros_recargas!$I$100*'Plan mensual'!O249+parametros_recargas!$J$100*'Plan mensual'!O250+parametros_recargas!$K$100*'Plan mensual'!O251+parametros_recargas!$L$100*'Plan mensual'!O252+parametros_recargas!$M$100*'Plan mensual'!O254</f>
        <v>798.260859998015</v>
      </c>
      <c r="N250" s="8" t="n">
        <f aca="false">SUM(B250:M250)</f>
        <v>10010.7958617544</v>
      </c>
      <c r="O250" s="27" t="n">
        <f aca="false">MAX(B250:M250)</f>
        <v>1229.92640177625</v>
      </c>
      <c r="P250" s="13" t="n">
        <f aca="false">O250/parametros_recargas!$B$6</f>
        <v>8.19950934517499</v>
      </c>
    </row>
    <row r="251" customFormat="false" ht="15" hidden="false" customHeight="false" outlineLevel="0" collapsed="false">
      <c r="A251" s="10" t="str">
        <f aca="false">parametros_recargas!$B$101</f>
        <v>Ensayo de pérdidas</v>
      </c>
      <c r="B251" s="26" t="n">
        <f aca="false">parametros_recargas!$E$101*'Plan mensual'!D245+parametros_recargas!$F$101*'Plan mensual'!D246+parametros_recargas!$G$101*'Plan mensual'!D247+parametros_recargas!$H$101*'Plan mensual'!D248+parametros_recargas!$I$101*'Plan mensual'!D249+parametros_recargas!$J$101*'Plan mensual'!D250+parametros_recargas!$K$101*'Plan mensual'!D251+parametros_recargas!$L$101*'Plan mensual'!D252+parametros_recargas!$M$101*'Plan mensual'!D254</f>
        <v>8376.88967584842</v>
      </c>
      <c r="C251" s="26" t="n">
        <f aca="false">parametros_recargas!$E$101*'Plan mensual'!E245+parametros_recargas!$F$101*'Plan mensual'!E246+parametros_recargas!$G$101*'Plan mensual'!E247+parametros_recargas!$H$101*'Plan mensual'!E248+parametros_recargas!$I$101*'Plan mensual'!E249+parametros_recargas!$J$101*'Plan mensual'!E250+parametros_recargas!$K$101*'Plan mensual'!E251+parametros_recargas!$L$101*'Plan mensual'!E252+parametros_recargas!$M$101*'Plan mensual'!E254</f>
        <v>20742.2651146241</v>
      </c>
      <c r="D251" s="26" t="n">
        <f aca="false">parametros_recargas!$E$101*'Plan mensual'!F245+parametros_recargas!$F$101*'Plan mensual'!F246+parametros_recargas!$G$101*'Plan mensual'!F247+parametros_recargas!$H$101*'Plan mensual'!F248+parametros_recargas!$I$101*'Plan mensual'!F249+parametros_recargas!$J$101*'Plan mensual'!F250+parametros_recargas!$K$101*'Plan mensual'!F251+parametros_recargas!$L$101*'Plan mensual'!F252+parametros_recargas!$M$101*'Plan mensual'!F254</f>
        <v>17338.5520505199</v>
      </c>
      <c r="E251" s="26" t="n">
        <f aca="false">parametros_recargas!$E$101*'Plan mensual'!G245+parametros_recargas!$F$101*'Plan mensual'!G246+parametros_recargas!$G$101*'Plan mensual'!G247+parametros_recargas!$H$101*'Plan mensual'!G248+parametros_recargas!$I$101*'Plan mensual'!G249+parametros_recargas!$J$101*'Plan mensual'!G250+parametros_recargas!$K$101*'Plan mensual'!G251+parametros_recargas!$L$101*'Plan mensual'!G252+parametros_recargas!$M$101*'Plan mensual'!G254</f>
        <v>17407.8799251445</v>
      </c>
      <c r="F251" s="26" t="n">
        <f aca="false">parametros_recargas!$E$101*'Plan mensual'!H245+parametros_recargas!$F$101*'Plan mensual'!H246+parametros_recargas!$G$101*'Plan mensual'!H247+parametros_recargas!$H$101*'Plan mensual'!H248+parametros_recargas!$I$101*'Plan mensual'!H249+parametros_recargas!$J$101*'Plan mensual'!H250+parametros_recargas!$K$101*'Plan mensual'!H251+parametros_recargas!$L$101*'Plan mensual'!H252+parametros_recargas!$M$101*'Plan mensual'!H254</f>
        <v>17410.5676326611</v>
      </c>
      <c r="G251" s="26" t="n">
        <f aca="false">parametros_recargas!$E$101*'Plan mensual'!I245+parametros_recargas!$F$101*'Plan mensual'!I246+parametros_recargas!$G$101*'Plan mensual'!I247+parametros_recargas!$H$101*'Plan mensual'!I248+parametros_recargas!$I$101*'Plan mensual'!I249+parametros_recargas!$J$101*'Plan mensual'!I250+parametros_recargas!$K$101*'Plan mensual'!I251+parametros_recargas!$L$101*'Plan mensual'!I252+parametros_recargas!$M$101*'Plan mensual'!I254</f>
        <v>17376.3286758316</v>
      </c>
      <c r="H251" s="26" t="n">
        <f aca="false">parametros_recargas!$E$101*'Plan mensual'!J245+parametros_recargas!$F$101*'Plan mensual'!J246+parametros_recargas!$G$101*'Plan mensual'!J247+parametros_recargas!$H$101*'Plan mensual'!J248+parametros_recargas!$I$101*'Plan mensual'!J249+parametros_recargas!$J$101*'Plan mensual'!J250+parametros_recargas!$K$101*'Plan mensual'!J251+parametros_recargas!$L$101*'Plan mensual'!J252+parametros_recargas!$M$101*'Plan mensual'!J254</f>
        <v>17481.2762072631</v>
      </c>
      <c r="I251" s="26" t="n">
        <f aca="false">parametros_recargas!$E$101*'Plan mensual'!K245+parametros_recargas!$F$101*'Plan mensual'!K246+parametros_recargas!$G$101*'Plan mensual'!K247+parametros_recargas!$H$101*'Plan mensual'!K248+parametros_recargas!$I$101*'Plan mensual'!K249+parametros_recargas!$J$101*'Plan mensual'!K250+parametros_recargas!$K$101*'Plan mensual'!K251+parametros_recargas!$L$101*'Plan mensual'!K252+parametros_recargas!$M$101*'Plan mensual'!K254</f>
        <v>17403.2561986897</v>
      </c>
      <c r="J251" s="26" t="n">
        <f aca="false">parametros_recargas!$E$101*'Plan mensual'!L245+parametros_recargas!$F$101*'Plan mensual'!L246+parametros_recargas!$G$101*'Plan mensual'!L247+parametros_recargas!$H$101*'Plan mensual'!L248+parametros_recargas!$I$101*'Plan mensual'!L249+parametros_recargas!$J$101*'Plan mensual'!L250+parametros_recargas!$K$101*'Plan mensual'!L251+parametros_recargas!$L$101*'Plan mensual'!L252+parametros_recargas!$M$101*'Plan mensual'!L254</f>
        <v>17415.2467148826</v>
      </c>
      <c r="K251" s="26" t="n">
        <f aca="false">parametros_recargas!$E$101*'Plan mensual'!M245+parametros_recargas!$F$101*'Plan mensual'!M246+parametros_recargas!$G$101*'Plan mensual'!M247+parametros_recargas!$H$101*'Plan mensual'!M248+parametros_recargas!$I$101*'Plan mensual'!M249+parametros_recargas!$J$101*'Plan mensual'!M250+parametros_recargas!$K$101*'Plan mensual'!M251+parametros_recargas!$L$101*'Plan mensual'!M252+parametros_recargas!$M$101*'Plan mensual'!M254</f>
        <v>17373.7486233233</v>
      </c>
      <c r="L251" s="26" t="n">
        <f aca="false">parametros_recargas!$E$101*'Plan mensual'!N245+parametros_recargas!$F$101*'Plan mensual'!N246+parametros_recargas!$G$101*'Plan mensual'!N247+parametros_recargas!$H$101*'Plan mensual'!N248+parametros_recargas!$I$101*'Plan mensual'!N249+parametros_recargas!$J$101*'Plan mensual'!N250+parametros_recargas!$K$101*'Plan mensual'!N251+parametros_recargas!$L$101*'Plan mensual'!N252+parametros_recargas!$M$101*'Plan mensual'!N254</f>
        <v>17199.4487675454</v>
      </c>
      <c r="M251" s="26" t="n">
        <f aca="false">parametros_recargas!$E$101*'Plan mensual'!O245+parametros_recargas!$F$101*'Plan mensual'!O246+parametros_recargas!$G$101*'Plan mensual'!O247+parametros_recargas!$H$101*'Plan mensual'!O248+parametros_recargas!$I$101*'Plan mensual'!O249+parametros_recargas!$J$101*'Plan mensual'!O250+parametros_recargas!$K$101*'Plan mensual'!O251+parametros_recargas!$L$101*'Plan mensual'!O252+parametros_recargas!$M$101*'Plan mensual'!O254</f>
        <v>7907.97915296115</v>
      </c>
      <c r="N251" s="8" t="n">
        <f aca="false">SUM(B251:M251)</f>
        <v>193433.438739295</v>
      </c>
      <c r="O251" s="27" t="n">
        <f aca="false">MAX(B251:M251)</f>
        <v>20742.2651146241</v>
      </c>
      <c r="P251" s="13" t="n">
        <f aca="false">O251/parametros_recargas!$B$6</f>
        <v>138.281767430827</v>
      </c>
    </row>
    <row r="252" customFormat="false" ht="15" hidden="false" customHeight="false" outlineLevel="0" collapsed="false">
      <c r="A252" s="10" t="str">
        <f aca="false">parametros_recargas!$B$102</f>
        <v>Precinto, etiqueta y despacho</v>
      </c>
      <c r="B252" s="26" t="n">
        <f aca="false">parametros_recargas!$E$102*'Plan mensual'!D245+parametros_recargas!$F$102*'Plan mensual'!D246+parametros_recargas!$G$102*'Plan mensual'!D247+parametros_recargas!$H$102*'Plan mensual'!D248+parametros_recargas!$I$102*'Plan mensual'!D249+parametros_recargas!$J$102*'Plan mensual'!D250+parametros_recargas!$K$102*'Plan mensual'!D251+parametros_recargas!$L$102*'Plan mensual'!D252+parametros_recargas!$M$102*'Plan mensual'!D254</f>
        <v>8376.88967584842</v>
      </c>
      <c r="C252" s="26" t="n">
        <f aca="false">parametros_recargas!$E$102*'Plan mensual'!E245+parametros_recargas!$F$102*'Plan mensual'!E246+parametros_recargas!$G$102*'Plan mensual'!E247+parametros_recargas!$H$102*'Plan mensual'!E248+parametros_recargas!$I$102*'Plan mensual'!E249+parametros_recargas!$J$102*'Plan mensual'!E250+parametros_recargas!$K$102*'Plan mensual'!E251+parametros_recargas!$L$102*'Plan mensual'!E252+parametros_recargas!$M$102*'Plan mensual'!E254</f>
        <v>20742.2651146241</v>
      </c>
      <c r="D252" s="26" t="n">
        <f aca="false">parametros_recargas!$E$102*'Plan mensual'!F245+parametros_recargas!$F$102*'Plan mensual'!F246+parametros_recargas!$G$102*'Plan mensual'!F247+parametros_recargas!$H$102*'Plan mensual'!F248+parametros_recargas!$I$102*'Plan mensual'!F249+parametros_recargas!$J$102*'Plan mensual'!F250+parametros_recargas!$K$102*'Plan mensual'!F251+parametros_recargas!$L$102*'Plan mensual'!F252+parametros_recargas!$M$102*'Plan mensual'!F254</f>
        <v>17338.5520505199</v>
      </c>
      <c r="E252" s="26" t="n">
        <f aca="false">parametros_recargas!$E$102*'Plan mensual'!G245+parametros_recargas!$F$102*'Plan mensual'!G246+parametros_recargas!$G$102*'Plan mensual'!G247+parametros_recargas!$H$102*'Plan mensual'!G248+parametros_recargas!$I$102*'Plan mensual'!G249+parametros_recargas!$J$102*'Plan mensual'!G250+parametros_recargas!$K$102*'Plan mensual'!G251+parametros_recargas!$L$102*'Plan mensual'!G252+parametros_recargas!$M$102*'Plan mensual'!G254</f>
        <v>17407.8799251445</v>
      </c>
      <c r="F252" s="26" t="n">
        <f aca="false">parametros_recargas!$E$102*'Plan mensual'!H245+parametros_recargas!$F$102*'Plan mensual'!H246+parametros_recargas!$G$102*'Plan mensual'!H247+parametros_recargas!$H$102*'Plan mensual'!H248+parametros_recargas!$I$102*'Plan mensual'!H249+parametros_recargas!$J$102*'Plan mensual'!H250+parametros_recargas!$K$102*'Plan mensual'!H251+parametros_recargas!$L$102*'Plan mensual'!H252+parametros_recargas!$M$102*'Plan mensual'!H254</f>
        <v>17410.5676326611</v>
      </c>
      <c r="G252" s="26" t="n">
        <f aca="false">parametros_recargas!$E$102*'Plan mensual'!I245+parametros_recargas!$F$102*'Plan mensual'!I246+parametros_recargas!$G$102*'Plan mensual'!I247+parametros_recargas!$H$102*'Plan mensual'!I248+parametros_recargas!$I$102*'Plan mensual'!I249+parametros_recargas!$J$102*'Plan mensual'!I250+parametros_recargas!$K$102*'Plan mensual'!I251+parametros_recargas!$L$102*'Plan mensual'!I252+parametros_recargas!$M$102*'Plan mensual'!I254</f>
        <v>17376.3286758316</v>
      </c>
      <c r="H252" s="26" t="n">
        <f aca="false">parametros_recargas!$E$102*'Plan mensual'!J245+parametros_recargas!$F$102*'Plan mensual'!J246+parametros_recargas!$G$102*'Plan mensual'!J247+parametros_recargas!$H$102*'Plan mensual'!J248+parametros_recargas!$I$102*'Plan mensual'!J249+parametros_recargas!$J$102*'Plan mensual'!J250+parametros_recargas!$K$102*'Plan mensual'!J251+parametros_recargas!$L$102*'Plan mensual'!J252+parametros_recargas!$M$102*'Plan mensual'!J254</f>
        <v>17481.2762072631</v>
      </c>
      <c r="I252" s="26" t="n">
        <f aca="false">parametros_recargas!$E$102*'Plan mensual'!K245+parametros_recargas!$F$102*'Plan mensual'!K246+parametros_recargas!$G$102*'Plan mensual'!K247+parametros_recargas!$H$102*'Plan mensual'!K248+parametros_recargas!$I$102*'Plan mensual'!K249+parametros_recargas!$J$102*'Plan mensual'!K250+parametros_recargas!$K$102*'Plan mensual'!K251+parametros_recargas!$L$102*'Plan mensual'!K252+parametros_recargas!$M$102*'Plan mensual'!K254</f>
        <v>17403.2561986897</v>
      </c>
      <c r="J252" s="26" t="n">
        <f aca="false">parametros_recargas!$E$102*'Plan mensual'!L245+parametros_recargas!$F$102*'Plan mensual'!L246+parametros_recargas!$G$102*'Plan mensual'!L247+parametros_recargas!$H$102*'Plan mensual'!L248+parametros_recargas!$I$102*'Plan mensual'!L249+parametros_recargas!$J$102*'Plan mensual'!L250+parametros_recargas!$K$102*'Plan mensual'!L251+parametros_recargas!$L$102*'Plan mensual'!L252+parametros_recargas!$M$102*'Plan mensual'!L254</f>
        <v>17415.2467148826</v>
      </c>
      <c r="K252" s="26" t="n">
        <f aca="false">parametros_recargas!$E$102*'Plan mensual'!M245+parametros_recargas!$F$102*'Plan mensual'!M246+parametros_recargas!$G$102*'Plan mensual'!M247+parametros_recargas!$H$102*'Plan mensual'!M248+parametros_recargas!$I$102*'Plan mensual'!M249+parametros_recargas!$J$102*'Plan mensual'!M250+parametros_recargas!$K$102*'Plan mensual'!M251+parametros_recargas!$L$102*'Plan mensual'!M252+parametros_recargas!$M$102*'Plan mensual'!M254</f>
        <v>17373.7486233233</v>
      </c>
      <c r="L252" s="26" t="n">
        <f aca="false">parametros_recargas!$E$102*'Plan mensual'!N245+parametros_recargas!$F$102*'Plan mensual'!N246+parametros_recargas!$G$102*'Plan mensual'!N247+parametros_recargas!$H$102*'Plan mensual'!N248+parametros_recargas!$I$102*'Plan mensual'!N249+parametros_recargas!$J$102*'Plan mensual'!N250+parametros_recargas!$K$102*'Plan mensual'!N251+parametros_recargas!$L$102*'Plan mensual'!N252+parametros_recargas!$M$102*'Plan mensual'!N254</f>
        <v>17199.4487675454</v>
      </c>
      <c r="M252" s="26" t="n">
        <f aca="false">parametros_recargas!$E$102*'Plan mensual'!O245+parametros_recargas!$F$102*'Plan mensual'!O246+parametros_recargas!$G$102*'Plan mensual'!O247+parametros_recargas!$H$102*'Plan mensual'!O248+parametros_recargas!$I$102*'Plan mensual'!O249+parametros_recargas!$J$102*'Plan mensual'!O250+parametros_recargas!$K$102*'Plan mensual'!O251+parametros_recargas!$L$102*'Plan mensual'!O252+parametros_recargas!$M$102*'Plan mensual'!O254</f>
        <v>7907.97915296115</v>
      </c>
      <c r="N252" s="8" t="n">
        <f aca="false">SUM(B252:M252)</f>
        <v>193433.438739295</v>
      </c>
      <c r="O252" s="27" t="n">
        <f aca="false">MAX(B252:M252)</f>
        <v>20742.2651146241</v>
      </c>
      <c r="P252" s="13" t="n">
        <f aca="false">O252/parametros_recargas!$B$6</f>
        <v>138.281767430827</v>
      </c>
    </row>
    <row r="253" customFormat="false" ht="15" hidden="false" customHeight="false" outlineLevel="0" collapsed="false">
      <c r="A253" s="10" t="str">
        <f aca="false">parametros_recargas!$B$103</f>
        <v>Inutilización y disposición final</v>
      </c>
      <c r="B253" s="26" t="n">
        <f aca="false">parametros_recargas!$E$103*'Plan mensual'!D245+parametros_recargas!$F$103*'Plan mensual'!D246+parametros_recargas!$G$103*'Plan mensual'!D247+parametros_recargas!$H$103*'Plan mensual'!D248+parametros_recargas!$I$103*'Plan mensual'!D249+parametros_recargas!$J$103*'Plan mensual'!D250+parametros_recargas!$K$103*'Plan mensual'!D251+parametros_recargas!$L$103*'Plan mensual'!D252+parametros_recargas!$M$103*'Plan mensual'!D254</f>
        <v>648.793975043254</v>
      </c>
      <c r="C253" s="26" t="n">
        <f aca="false">parametros_recargas!$E$103*'Plan mensual'!E245+parametros_recargas!$F$103*'Plan mensual'!E246+parametros_recargas!$G$103*'Plan mensual'!E247+parametros_recargas!$H$103*'Plan mensual'!E248+parametros_recargas!$I$103*'Plan mensual'!E249+parametros_recargas!$J$103*'Plan mensual'!E250+parametros_recargas!$K$103*'Plan mensual'!E251+parametros_recargas!$L$103*'Plan mensual'!E252+parametros_recargas!$M$103*'Plan mensual'!E254</f>
        <v>1627.28159690361</v>
      </c>
      <c r="D253" s="26" t="n">
        <f aca="false">parametros_recargas!$E$103*'Plan mensual'!F245+parametros_recargas!$F$103*'Plan mensual'!F246+parametros_recargas!$G$103*'Plan mensual'!F247+parametros_recargas!$H$103*'Plan mensual'!F248+parametros_recargas!$I$103*'Plan mensual'!F249+parametros_recargas!$J$103*'Plan mensual'!F250+parametros_recargas!$K$103*'Plan mensual'!F251+parametros_recargas!$L$103*'Plan mensual'!F252+parametros_recargas!$M$103*'Plan mensual'!F254</f>
        <v>1365.93655802528</v>
      </c>
      <c r="E253" s="26" t="n">
        <f aca="false">parametros_recargas!$E$103*'Plan mensual'!G245+parametros_recargas!$F$103*'Plan mensual'!G246+parametros_recargas!$G$103*'Plan mensual'!G247+parametros_recargas!$H$103*'Plan mensual'!G248+parametros_recargas!$I$103*'Plan mensual'!G249+parametros_recargas!$J$103*'Plan mensual'!G250+parametros_recargas!$K$103*'Plan mensual'!G251+parametros_recargas!$L$103*'Plan mensual'!G252+parametros_recargas!$M$103*'Plan mensual'!G254</f>
        <v>1371.48278799525</v>
      </c>
      <c r="F253" s="26" t="n">
        <f aca="false">parametros_recargas!$E$103*'Plan mensual'!H245+parametros_recargas!$F$103*'Plan mensual'!H246+parametros_recargas!$G$103*'Plan mensual'!H247+parametros_recargas!$H$103*'Plan mensual'!H248+parametros_recargas!$I$103*'Plan mensual'!H249+parametros_recargas!$J$103*'Plan mensual'!H250+parametros_recargas!$K$103*'Plan mensual'!H251+parametros_recargas!$L$103*'Plan mensual'!H252+parametros_recargas!$M$103*'Plan mensual'!H254</f>
        <v>1371.77231659657</v>
      </c>
      <c r="G253" s="26" t="n">
        <f aca="false">parametros_recargas!$E$103*'Plan mensual'!I245+parametros_recargas!$F$103*'Plan mensual'!I246+parametros_recargas!$G$103*'Plan mensual'!I247+parametros_recargas!$H$103*'Plan mensual'!I248+parametros_recargas!$I$103*'Plan mensual'!I249+parametros_recargas!$J$103*'Plan mensual'!I250+parametros_recargas!$K$103*'Plan mensual'!I251+parametros_recargas!$L$103*'Plan mensual'!I252+parametros_recargas!$M$103*'Plan mensual'!I254</f>
        <v>1369.1355980336</v>
      </c>
      <c r="H253" s="26" t="n">
        <f aca="false">parametros_recargas!$E$103*'Plan mensual'!J245+parametros_recargas!$F$103*'Plan mensual'!J246+parametros_recargas!$G$103*'Plan mensual'!J247+parametros_recargas!$H$103*'Plan mensual'!J248+parametros_recargas!$I$103*'Plan mensual'!J249+parametros_recargas!$J$103*'Plan mensual'!J250+parametros_recargas!$K$103*'Plan mensual'!J251+parametros_recargas!$L$103*'Plan mensual'!J252+parametros_recargas!$M$103*'Plan mensual'!J254</f>
        <v>1377.42900256474</v>
      </c>
      <c r="I253" s="26" t="n">
        <f aca="false">parametros_recargas!$E$103*'Plan mensual'!K245+parametros_recargas!$F$103*'Plan mensual'!K246+parametros_recargas!$G$103*'Plan mensual'!K247+parametros_recargas!$H$103*'Plan mensual'!K248+parametros_recargas!$I$103*'Plan mensual'!K249+parametros_recargas!$J$103*'Plan mensual'!K250+parametros_recargas!$K$103*'Plan mensual'!K251+parametros_recargas!$L$103*'Plan mensual'!K252+parametros_recargas!$M$103*'Plan mensual'!K254</f>
        <v>1371.18740187886</v>
      </c>
      <c r="J253" s="26" t="n">
        <f aca="false">parametros_recargas!$E$103*'Plan mensual'!L245+parametros_recargas!$F$103*'Plan mensual'!L246+parametros_recargas!$G$103*'Plan mensual'!L247+parametros_recargas!$H$103*'Plan mensual'!L248+parametros_recargas!$I$103*'Plan mensual'!L249+parametros_recargas!$J$103*'Plan mensual'!L250+parametros_recargas!$K$103*'Plan mensual'!L251+parametros_recargas!$L$103*'Plan mensual'!L252+parametros_recargas!$M$103*'Plan mensual'!L254</f>
        <v>1372.16058616599</v>
      </c>
      <c r="K253" s="26" t="n">
        <f aca="false">parametros_recargas!$E$103*'Plan mensual'!M245+parametros_recargas!$F$103*'Plan mensual'!M246+parametros_recargas!$G$103*'Plan mensual'!M247+parametros_recargas!$H$103*'Plan mensual'!M248+parametros_recargas!$I$103*'Plan mensual'!M249+parametros_recargas!$J$103*'Plan mensual'!M250+parametros_recargas!$K$103*'Plan mensual'!M251+parametros_recargas!$L$103*'Plan mensual'!M252+parametros_recargas!$M$103*'Plan mensual'!M254</f>
        <v>1368.94313682463</v>
      </c>
      <c r="L253" s="26" t="n">
        <f aca="false">parametros_recargas!$E$103*'Plan mensual'!N245+parametros_recargas!$F$103*'Plan mensual'!N246+parametros_recargas!$G$103*'Plan mensual'!N247+parametros_recargas!$H$103*'Plan mensual'!N248+parametros_recargas!$I$103*'Plan mensual'!N249+parametros_recargas!$J$103*'Plan mensual'!N250+parametros_recargas!$K$103*'Plan mensual'!N251+parametros_recargas!$L$103*'Plan mensual'!N252+parametros_recargas!$M$103*'Plan mensual'!N254</f>
        <v>1355.08760335409</v>
      </c>
      <c r="M253" s="26" t="n">
        <f aca="false">parametros_recargas!$E$103*'Plan mensual'!O245+parametros_recargas!$F$103*'Plan mensual'!O246+parametros_recargas!$G$103*'Plan mensual'!O247+parametros_recargas!$H$103*'Plan mensual'!O248+parametros_recargas!$I$103*'Plan mensual'!O249+parametros_recargas!$J$103*'Plan mensual'!O250+parametros_recargas!$K$103*'Plan mensual'!O251+parametros_recargas!$L$103*'Plan mensual'!O252+parametros_recargas!$M$103*'Plan mensual'!O254</f>
        <v>611.146052203967</v>
      </c>
      <c r="N253" s="8" t="n">
        <f aca="false">SUM(B253:M253)</f>
        <v>15210.3566155898</v>
      </c>
      <c r="O253" s="27" t="n">
        <f aca="false">MAX(B253:M253)</f>
        <v>1627.28159690361</v>
      </c>
      <c r="P253" s="13" t="n">
        <f aca="false">O253/parametros_recargas!$B$6</f>
        <v>10.8485439793574</v>
      </c>
    </row>
    <row r="254" customFormat="false" ht="15" hidden="false" customHeight="false" outlineLevel="0" collapsed="false">
      <c r="A254" s="10" t="str">
        <f aca="false">parametros_recargas!$B$104</f>
        <v>PH de mangueras (CO₂ y rodantes)</v>
      </c>
      <c r="B254" s="26" t="n">
        <f aca="false">'Plan mensual'!D253</f>
        <v>505.383115075006</v>
      </c>
      <c r="C254" s="26" t="n">
        <f aca="false">'Plan mensual'!E253</f>
        <v>561.044848233267</v>
      </c>
      <c r="D254" s="26" t="n">
        <f aca="false">'Plan mensual'!F253</f>
        <v>505.383115075006</v>
      </c>
      <c r="E254" s="26" t="n">
        <f aca="false">'Plan mensual'!G253</f>
        <v>505.383115075006</v>
      </c>
      <c r="F254" s="26" t="n">
        <f aca="false">'Plan mensual'!H253</f>
        <v>505.383115075006</v>
      </c>
      <c r="G254" s="26" t="n">
        <f aca="false">'Plan mensual'!I253</f>
        <v>505.383115075006</v>
      </c>
      <c r="H254" s="26" t="n">
        <f aca="false">'Plan mensual'!J253</f>
        <v>505.383115075006</v>
      </c>
      <c r="I254" s="26" t="n">
        <f aca="false">'Plan mensual'!K253</f>
        <v>505.383115075006</v>
      </c>
      <c r="J254" s="26" t="n">
        <f aca="false">'Plan mensual'!L253</f>
        <v>505.383115075006</v>
      </c>
      <c r="K254" s="26" t="n">
        <f aca="false">'Plan mensual'!M253</f>
        <v>505.383115075006</v>
      </c>
      <c r="L254" s="26" t="n">
        <f aca="false">'Plan mensual'!N253</f>
        <v>505.383115075006</v>
      </c>
      <c r="M254" s="26" t="n">
        <f aca="false">'Plan mensual'!O253</f>
        <v>505.383115075006</v>
      </c>
      <c r="N254" s="8" t="n">
        <f aca="false">SUM(B254:M254)</f>
        <v>6120.25911405834</v>
      </c>
      <c r="O254" s="27" t="n">
        <f aca="false">MAX(B254:M254)</f>
        <v>561.044848233267</v>
      </c>
      <c r="P254" s="13" t="n">
        <f aca="false">O254/parametros_recargas!$B$6</f>
        <v>3.74029898822178</v>
      </c>
    </row>
    <row r="257" customFormat="false" ht="23.85" hidden="false" customHeight="false" outlineLevel="0" collapsed="false">
      <c r="A257" s="6" t="s">
        <v>445</v>
      </c>
      <c r="B257" s="6" t="s">
        <v>175</v>
      </c>
      <c r="C257" s="6" t="s">
        <v>176</v>
      </c>
      <c r="D257" s="6" t="s">
        <v>177</v>
      </c>
      <c r="E257" s="6" t="s">
        <v>178</v>
      </c>
      <c r="F257" s="6" t="s">
        <v>179</v>
      </c>
      <c r="G257" s="6" t="s">
        <v>180</v>
      </c>
      <c r="H257" s="6" t="s">
        <v>181</v>
      </c>
      <c r="I257" s="6" t="s">
        <v>182</v>
      </c>
      <c r="J257" s="6" t="s">
        <v>183</v>
      </c>
      <c r="K257" s="6" t="s">
        <v>184</v>
      </c>
      <c r="L257" s="6" t="s">
        <v>185</v>
      </c>
      <c r="M257" s="6" t="s">
        <v>186</v>
      </c>
      <c r="N257" s="6" t="s">
        <v>435</v>
      </c>
      <c r="O257" s="6" t="s">
        <v>436</v>
      </c>
      <c r="P257" s="6" t="s">
        <v>437</v>
      </c>
    </row>
    <row r="258" customFormat="false" ht="15" hidden="false" customHeight="false" outlineLevel="0" collapsed="false">
      <c r="A258" s="10" t="str">
        <f aca="false">parametros_recargas!$B$76</f>
        <v>Recepción y registro</v>
      </c>
      <c r="B258" s="26" t="n">
        <f aca="false">parametros_recargas!$E$76*'Plan mensual'!D277+parametros_recargas!$F$76*'Plan mensual'!D278+parametros_recargas!$G$76*'Plan mensual'!D279+parametros_recargas!$H$76*'Plan mensual'!D280+parametros_recargas!$I$76*'Plan mensual'!D281+parametros_recargas!$J$76*'Plan mensual'!D282+parametros_recargas!$K$76*'Plan mensual'!D283+parametros_recargas!$L$76*'Plan mensual'!D284+parametros_recargas!$M$76*'Plan mensual'!D286</f>
        <v>9048.7047889874</v>
      </c>
      <c r="C258" s="26" t="n">
        <f aca="false">parametros_recargas!$E$76*'Plan mensual'!E277+parametros_recargas!$F$76*'Plan mensual'!E278+parametros_recargas!$G$76*'Plan mensual'!E279+parametros_recargas!$H$76*'Plan mensual'!E280+parametros_recargas!$I$76*'Plan mensual'!E281+parametros_recargas!$J$76*'Plan mensual'!E282+parametros_recargas!$K$76*'Plan mensual'!E283+parametros_recargas!$L$76*'Plan mensual'!E284+parametros_recargas!$M$76*'Plan mensual'!E286</f>
        <v>22330.9035745507</v>
      </c>
      <c r="D258" s="26" t="n">
        <f aca="false">parametros_recargas!$E$76*'Plan mensual'!F277+parametros_recargas!$F$76*'Plan mensual'!F278+parametros_recargas!$G$76*'Plan mensual'!F279+parametros_recargas!$H$76*'Plan mensual'!F280+parametros_recargas!$I$76*'Plan mensual'!F281+parametros_recargas!$J$76*'Plan mensual'!F282+parametros_recargas!$K$76*'Plan mensual'!F283+parametros_recargas!$L$76*'Plan mensual'!F284+parametros_recargas!$M$76*'Plan mensual'!F286</f>
        <v>18655.2038993009</v>
      </c>
      <c r="E258" s="26" t="n">
        <f aca="false">parametros_recargas!$E$76*'Plan mensual'!G277+parametros_recargas!$F$76*'Plan mensual'!G278+parametros_recargas!$G$76*'Plan mensual'!G279+parametros_recargas!$H$76*'Plan mensual'!G280+parametros_recargas!$I$76*'Plan mensual'!G281+parametros_recargas!$J$76*'Plan mensual'!G282+parametros_recargas!$K$76*'Plan mensual'!G283+parametros_recargas!$L$76*'Plan mensual'!G284+parametros_recargas!$M$76*'Plan mensual'!G286</f>
        <v>18729.5174195227</v>
      </c>
      <c r="F258" s="26" t="n">
        <f aca="false">parametros_recargas!$E$76*'Plan mensual'!H277+parametros_recargas!$F$76*'Plan mensual'!H278+parametros_recargas!$G$76*'Plan mensual'!H279+parametros_recargas!$H$76*'Plan mensual'!H280+parametros_recargas!$I$76*'Plan mensual'!H281+parametros_recargas!$J$76*'Plan mensual'!H282+parametros_recargas!$K$76*'Plan mensual'!H283+parametros_recargas!$L$76*'Plan mensual'!H284+parametros_recargas!$M$76*'Plan mensual'!H286</f>
        <v>18732.5225915801</v>
      </c>
      <c r="G258" s="26" t="n">
        <f aca="false">parametros_recargas!$E$76*'Plan mensual'!I277+parametros_recargas!$F$76*'Plan mensual'!I278+parametros_recargas!$G$76*'Plan mensual'!I279+parametros_recargas!$H$76*'Plan mensual'!I280+parametros_recargas!$I$76*'Plan mensual'!I281+parametros_recargas!$J$76*'Plan mensual'!I282+parametros_recargas!$K$76*'Plan mensual'!I283+parametros_recargas!$L$76*'Plan mensual'!I284+parametros_recargas!$M$76*'Plan mensual'!I286</f>
        <v>18695.9553560766</v>
      </c>
      <c r="H258" s="26" t="n">
        <f aca="false">parametros_recargas!$E$76*'Plan mensual'!J277+parametros_recargas!$F$76*'Plan mensual'!J278+parametros_recargas!$G$76*'Plan mensual'!J279+parametros_recargas!$H$76*'Plan mensual'!J280+parametros_recargas!$I$76*'Plan mensual'!J281+parametros_recargas!$J$76*'Plan mensual'!J282+parametros_recargas!$K$76*'Plan mensual'!J283+parametros_recargas!$L$76*'Plan mensual'!J284+parametros_recargas!$M$76*'Plan mensual'!J286</f>
        <v>18808.3161034538</v>
      </c>
      <c r="I258" s="26" t="n">
        <f aca="false">parametros_recargas!$E$76*'Plan mensual'!K277+parametros_recargas!$F$76*'Plan mensual'!K278+parametros_recargas!$G$76*'Plan mensual'!K279+parametros_recargas!$H$76*'Plan mensual'!K280+parametros_recargas!$I$76*'Plan mensual'!K281+parametros_recargas!$J$76*'Plan mensual'!K282+parametros_recargas!$K$76*'Plan mensual'!K283+parametros_recargas!$L$76*'Plan mensual'!K284+parametros_recargas!$M$76*'Plan mensual'!K286</f>
        <v>18724.6853630594</v>
      </c>
      <c r="J258" s="26" t="n">
        <f aca="false">parametros_recargas!$E$76*'Plan mensual'!L277+parametros_recargas!$F$76*'Plan mensual'!L278+parametros_recargas!$G$76*'Plan mensual'!L279+parametros_recargas!$H$76*'Plan mensual'!L280+parametros_recargas!$I$76*'Plan mensual'!L281+parametros_recargas!$J$76*'Plan mensual'!L282+parametros_recargas!$K$76*'Plan mensual'!L283+parametros_recargas!$L$76*'Plan mensual'!L284+parametros_recargas!$M$76*'Plan mensual'!L286</f>
        <v>18737.5430660571</v>
      </c>
      <c r="K258" s="26" t="n">
        <f aca="false">parametros_recargas!$E$76*'Plan mensual'!M277+parametros_recargas!$F$76*'Plan mensual'!M278+parametros_recargas!$G$76*'Plan mensual'!M279+parametros_recargas!$H$76*'Plan mensual'!M280+parametros_recargas!$I$76*'Plan mensual'!M281+parametros_recargas!$J$76*'Plan mensual'!M282+parametros_recargas!$K$76*'Plan mensual'!M283+parametros_recargas!$L$76*'Plan mensual'!M284+parametros_recargas!$M$76*'Plan mensual'!M286</f>
        <v>18693.1946623228</v>
      </c>
      <c r="L258" s="26" t="n">
        <f aca="false">parametros_recargas!$E$76*'Plan mensual'!N277+parametros_recargas!$F$76*'Plan mensual'!N278+parametros_recargas!$G$76*'Plan mensual'!N279+parametros_recargas!$H$76*'Plan mensual'!N280+parametros_recargas!$I$76*'Plan mensual'!N281+parametros_recargas!$J$76*'Plan mensual'!N282+parametros_recargas!$K$76*'Plan mensual'!N283+parametros_recargas!$L$76*'Plan mensual'!N284+parametros_recargas!$M$76*'Plan mensual'!N286</f>
        <v>18506.4892860432</v>
      </c>
      <c r="M258" s="26" t="n">
        <f aca="false">parametros_recargas!$E$76*'Plan mensual'!O277+parametros_recargas!$F$76*'Plan mensual'!O278+parametros_recargas!$G$76*'Plan mensual'!O279+parametros_recargas!$H$76*'Plan mensual'!O280+parametros_recargas!$I$76*'Plan mensual'!O281+parametros_recargas!$J$76*'Plan mensual'!O282+parametros_recargas!$K$76*'Plan mensual'!O283+parametros_recargas!$L$76*'Plan mensual'!O284+parametros_recargas!$M$76*'Plan mensual'!O286</f>
        <v>8545.82956846144</v>
      </c>
      <c r="N258" s="8" t="n">
        <f aca="false">SUM(B258:M258)</f>
        <v>208208.865679416</v>
      </c>
      <c r="O258" s="27" t="n">
        <f aca="false">MAX(B258:M258)</f>
        <v>22330.9035745507</v>
      </c>
      <c r="P258" s="13" t="n">
        <f aca="false">O258/parametros_recargas!$B$6</f>
        <v>148.872690497004</v>
      </c>
    </row>
    <row r="259" customFormat="false" ht="15" hidden="false" customHeight="false" outlineLevel="0" collapsed="false">
      <c r="A259" s="10" t="str">
        <f aca="false">parametros_recargas!$B$77</f>
        <v>Inspección visual</v>
      </c>
      <c r="B259" s="26" t="n">
        <f aca="false">parametros_recargas!$E$77*'Plan mensual'!D277+parametros_recargas!$F$77*'Plan mensual'!D278+parametros_recargas!$G$77*'Plan mensual'!D279+parametros_recargas!$H$77*'Plan mensual'!D280+parametros_recargas!$I$77*'Plan mensual'!D281+parametros_recargas!$J$77*'Plan mensual'!D282+parametros_recargas!$K$77*'Plan mensual'!D283+parametros_recargas!$L$77*'Plan mensual'!D284+parametros_recargas!$M$77*'Plan mensual'!D286</f>
        <v>9028.12814183337</v>
      </c>
      <c r="C259" s="26" t="n">
        <f aca="false">parametros_recargas!$E$77*'Plan mensual'!E277+parametros_recargas!$F$77*'Plan mensual'!E278+parametros_recargas!$G$77*'Plan mensual'!E279+parametros_recargas!$H$77*'Plan mensual'!E280+parametros_recargas!$I$77*'Plan mensual'!E281+parametros_recargas!$J$77*'Plan mensual'!E282+parametros_recargas!$K$77*'Plan mensual'!E283+parametros_recargas!$L$77*'Plan mensual'!E284+parametros_recargas!$M$77*'Plan mensual'!E286</f>
        <v>22314.1875682383</v>
      </c>
      <c r="D259" s="26" t="n">
        <f aca="false">parametros_recargas!$E$77*'Plan mensual'!F277+parametros_recargas!$F$77*'Plan mensual'!F278+parametros_recargas!$G$77*'Plan mensual'!F279+parametros_recargas!$H$77*'Plan mensual'!F280+parametros_recargas!$I$77*'Plan mensual'!F281+parametros_recargas!$J$77*'Plan mensual'!F282+parametros_recargas!$K$77*'Plan mensual'!F283+parametros_recargas!$L$77*'Plan mensual'!F284+parametros_recargas!$M$77*'Plan mensual'!F286</f>
        <v>18637.0679317261</v>
      </c>
      <c r="E259" s="26" t="n">
        <f aca="false">parametros_recargas!$E$77*'Plan mensual'!G277+parametros_recargas!$F$77*'Plan mensual'!G278+parametros_recargas!$G$77*'Plan mensual'!G279+parametros_recargas!$H$77*'Plan mensual'!G280+parametros_recargas!$I$77*'Plan mensual'!G281+parametros_recargas!$J$77*'Plan mensual'!G282+parametros_recargas!$K$77*'Plan mensual'!G283+parametros_recargas!$L$77*'Plan mensual'!G284+parametros_recargas!$M$77*'Plan mensual'!G286</f>
        <v>18711.3814519478</v>
      </c>
      <c r="F259" s="26" t="n">
        <f aca="false">parametros_recargas!$E$77*'Plan mensual'!H277+parametros_recargas!$F$77*'Plan mensual'!H278+parametros_recargas!$G$77*'Plan mensual'!H279+parametros_recargas!$H$77*'Plan mensual'!H280+parametros_recargas!$I$77*'Plan mensual'!H281+parametros_recargas!$J$77*'Plan mensual'!H282+parametros_recargas!$K$77*'Plan mensual'!H283+parametros_recargas!$L$77*'Plan mensual'!H284+parametros_recargas!$M$77*'Plan mensual'!H286</f>
        <v>18715.2608240052</v>
      </c>
      <c r="G259" s="26" t="n">
        <f aca="false">parametros_recargas!$E$77*'Plan mensual'!I277+parametros_recargas!$F$77*'Plan mensual'!I278+parametros_recargas!$G$77*'Plan mensual'!I279+parametros_recargas!$H$77*'Plan mensual'!I280+parametros_recargas!$I$77*'Plan mensual'!I281+parametros_recargas!$J$77*'Plan mensual'!I282+parametros_recargas!$K$77*'Plan mensual'!I283+parametros_recargas!$L$77*'Plan mensual'!I284+parametros_recargas!$M$77*'Plan mensual'!I286</f>
        <v>18679.9316293434</v>
      </c>
      <c r="H259" s="26" t="n">
        <f aca="false">parametros_recargas!$E$77*'Plan mensual'!J277+parametros_recargas!$F$77*'Plan mensual'!J278+parametros_recargas!$G$77*'Plan mensual'!J279+parametros_recargas!$H$77*'Plan mensual'!J280+parametros_recargas!$I$77*'Plan mensual'!J281+parametros_recargas!$J$77*'Plan mensual'!J282+parametros_recargas!$K$77*'Plan mensual'!J283+parametros_recargas!$L$77*'Plan mensual'!J284+parametros_recargas!$M$77*'Plan mensual'!J286</f>
        <v>18791.054335879</v>
      </c>
      <c r="I259" s="26" t="n">
        <f aca="false">parametros_recargas!$E$77*'Plan mensual'!K277+parametros_recargas!$F$77*'Plan mensual'!K278+parametros_recargas!$G$77*'Plan mensual'!K279+parametros_recargas!$H$77*'Plan mensual'!K280+parametros_recargas!$I$77*'Plan mensual'!K281+parametros_recargas!$J$77*'Plan mensual'!K282+parametros_recargas!$K$77*'Plan mensual'!K283+parametros_recargas!$L$77*'Plan mensual'!K284+parametros_recargas!$M$77*'Plan mensual'!K286</f>
        <v>18707.4235954846</v>
      </c>
      <c r="J259" s="26" t="n">
        <f aca="false">parametros_recargas!$E$77*'Plan mensual'!L277+parametros_recargas!$F$77*'Plan mensual'!L278+parametros_recargas!$G$77*'Plan mensual'!L279+parametros_recargas!$H$77*'Plan mensual'!L280+parametros_recargas!$I$77*'Plan mensual'!L281+parametros_recargas!$J$77*'Plan mensual'!L282+parametros_recargas!$K$77*'Plan mensual'!L283+parametros_recargas!$L$77*'Plan mensual'!L284+parametros_recargas!$M$77*'Plan mensual'!L286</f>
        <v>18720.4632189031</v>
      </c>
      <c r="K259" s="26" t="n">
        <f aca="false">parametros_recargas!$E$77*'Plan mensual'!M277+parametros_recargas!$F$77*'Plan mensual'!M278+parametros_recargas!$G$77*'Plan mensual'!M279+parametros_recargas!$H$77*'Plan mensual'!M280+parametros_recargas!$I$77*'Plan mensual'!M281+parametros_recargas!$J$77*'Plan mensual'!M282+parametros_recargas!$K$77*'Plan mensual'!M283+parametros_recargas!$L$77*'Plan mensual'!M284+parametros_recargas!$M$77*'Plan mensual'!M286</f>
        <v>18677.3528560104</v>
      </c>
      <c r="L259" s="26" t="n">
        <f aca="false">parametros_recargas!$E$77*'Plan mensual'!N277+parametros_recargas!$F$77*'Plan mensual'!N278+parametros_recargas!$G$77*'Plan mensual'!N279+parametros_recargas!$H$77*'Plan mensual'!N280+parametros_recargas!$I$77*'Plan mensual'!N281+parametros_recargas!$J$77*'Plan mensual'!N282+parametros_recargas!$K$77*'Plan mensual'!N283+parametros_recargas!$L$77*'Plan mensual'!N284+parametros_recargas!$M$77*'Plan mensual'!N286</f>
        <v>18491.7036001517</v>
      </c>
      <c r="M259" s="26" t="n">
        <f aca="false">parametros_recargas!$E$77*'Plan mensual'!O277+parametros_recargas!$F$77*'Plan mensual'!O278+parametros_recargas!$G$77*'Plan mensual'!O279+parametros_recargas!$H$77*'Plan mensual'!O280+parametros_recargas!$I$77*'Plan mensual'!O281+parametros_recargas!$J$77*'Plan mensual'!O282+parametros_recargas!$K$77*'Plan mensual'!O283+parametros_recargas!$L$77*'Plan mensual'!O284+parametros_recargas!$M$77*'Plan mensual'!O286</f>
        <v>8523.68644172824</v>
      </c>
      <c r="N259" s="8" t="n">
        <f aca="false">SUM(B259:M259)</f>
        <v>207997.641595251</v>
      </c>
      <c r="O259" s="27" t="n">
        <f aca="false">MAX(B259:M259)</f>
        <v>22314.1875682383</v>
      </c>
      <c r="P259" s="13" t="n">
        <f aca="false">O259/parametros_recargas!$B$6</f>
        <v>148.761250454922</v>
      </c>
    </row>
    <row r="260" customFormat="false" ht="15" hidden="false" customHeight="false" outlineLevel="0" collapsed="false">
      <c r="A260" s="10" t="str">
        <f aca="false">parametros_recargas!$B$78</f>
        <v>Descarga ABC — ruta recuperable</v>
      </c>
      <c r="B260" s="26" t="n">
        <f aca="false">parametros_recargas!$E$78*'Plan mensual'!D277+parametros_recargas!$F$78*'Plan mensual'!D278+parametros_recargas!$G$78*'Plan mensual'!D279+parametros_recargas!$H$78*'Plan mensual'!D280+parametros_recargas!$I$78*'Plan mensual'!D281+parametros_recargas!$J$78*'Plan mensual'!D282+parametros_recargas!$K$78*'Plan mensual'!D283+parametros_recargas!$L$78*'Plan mensual'!D284+parametros_recargas!$M$78*'Plan mensual'!D286</f>
        <v>5843.73690994711</v>
      </c>
      <c r="C260" s="26" t="n">
        <f aca="false">parametros_recargas!$E$78*'Plan mensual'!E277+parametros_recargas!$F$78*'Plan mensual'!E278+parametros_recargas!$G$78*'Plan mensual'!E279+parametros_recargas!$H$78*'Plan mensual'!E280+parametros_recargas!$I$78*'Plan mensual'!E281+parametros_recargas!$J$78*'Plan mensual'!E282+parametros_recargas!$K$78*'Plan mensual'!E283+parametros_recargas!$L$78*'Plan mensual'!E284+parametros_recargas!$M$78*'Plan mensual'!E286</f>
        <v>16302.1545658412</v>
      </c>
      <c r="D260" s="26" t="n">
        <f aca="false">parametros_recargas!$E$78*'Plan mensual'!F277+parametros_recargas!$F$78*'Plan mensual'!F278+parametros_recargas!$G$78*'Plan mensual'!F279+parametros_recargas!$H$78*'Plan mensual'!F280+parametros_recargas!$I$78*'Plan mensual'!F281+parametros_recargas!$J$78*'Plan mensual'!F282+parametros_recargas!$K$78*'Plan mensual'!F283+parametros_recargas!$L$78*'Plan mensual'!F284+parametros_recargas!$M$78*'Plan mensual'!F286</f>
        <v>14059.3804303054</v>
      </c>
      <c r="E260" s="26" t="n">
        <f aca="false">parametros_recargas!$E$78*'Plan mensual'!G277+parametros_recargas!$F$78*'Plan mensual'!G278+parametros_recargas!$G$78*'Plan mensual'!G279+parametros_recargas!$H$78*'Plan mensual'!G280+parametros_recargas!$I$78*'Plan mensual'!G281+parametros_recargas!$J$78*'Plan mensual'!G282+parametros_recargas!$K$78*'Plan mensual'!G283+parametros_recargas!$L$78*'Plan mensual'!G284+parametros_recargas!$M$78*'Plan mensual'!G286</f>
        <v>14122.9184900949</v>
      </c>
      <c r="F260" s="26" t="n">
        <f aca="false">parametros_recargas!$E$78*'Plan mensual'!H277+parametros_recargas!$F$78*'Plan mensual'!H278+parametros_recargas!$G$78*'Plan mensual'!H279+parametros_recargas!$H$78*'Plan mensual'!H280+parametros_recargas!$I$78*'Plan mensual'!H281+parametros_recargas!$J$78*'Plan mensual'!H282+parametros_recargas!$K$78*'Plan mensual'!H283+parametros_recargas!$L$78*'Plan mensual'!H284+parametros_recargas!$M$78*'Plan mensual'!H286</f>
        <v>14126.2353532041</v>
      </c>
      <c r="G260" s="26" t="n">
        <f aca="false">parametros_recargas!$E$78*'Plan mensual'!I277+parametros_recargas!$F$78*'Plan mensual'!I278+parametros_recargas!$G$78*'Plan mensual'!I279+parametros_recargas!$H$78*'Plan mensual'!I280+parametros_recargas!$I$78*'Plan mensual'!I281+parametros_recargas!$J$78*'Plan mensual'!I282+parametros_recargas!$K$78*'Plan mensual'!I283+parametros_recargas!$L$78*'Plan mensual'!I284+parametros_recargas!$M$78*'Plan mensual'!I286</f>
        <v>14096.0288917682</v>
      </c>
      <c r="H260" s="26" t="n">
        <f aca="false">parametros_recargas!$E$78*'Plan mensual'!J277+parametros_recargas!$F$78*'Plan mensual'!J278+parametros_recargas!$G$78*'Plan mensual'!J279+parametros_recargas!$H$78*'Plan mensual'!J280+parametros_recargas!$I$78*'Plan mensual'!J281+parametros_recargas!$J$78*'Plan mensual'!J282+parametros_recargas!$K$78*'Plan mensual'!J283+parametros_recargas!$L$78*'Plan mensual'!J284+parametros_recargas!$M$78*'Plan mensual'!J286</f>
        <v>14191.0388058561</v>
      </c>
      <c r="I260" s="26" t="n">
        <f aca="false">parametros_recargas!$E$78*'Plan mensual'!K277+parametros_recargas!$F$78*'Plan mensual'!K278+parametros_recargas!$G$78*'Plan mensual'!K279+parametros_recargas!$H$78*'Plan mensual'!K280+parametros_recargas!$I$78*'Plan mensual'!K281+parametros_recargas!$J$78*'Plan mensual'!K282+parametros_recargas!$K$78*'Plan mensual'!K283+parametros_recargas!$L$78*'Plan mensual'!K284+parametros_recargas!$M$78*'Plan mensual'!K286</f>
        <v>14119.5345228189</v>
      </c>
      <c r="J260" s="26" t="n">
        <f aca="false">parametros_recargas!$E$78*'Plan mensual'!L277+parametros_recargas!$F$78*'Plan mensual'!L278+parametros_recargas!$G$78*'Plan mensual'!L279+parametros_recargas!$H$78*'Plan mensual'!L280+parametros_recargas!$I$78*'Plan mensual'!L281+parametros_recargas!$J$78*'Plan mensual'!L282+parametros_recargas!$K$78*'Plan mensual'!L283+parametros_recargas!$L$78*'Plan mensual'!L284+parametros_recargas!$M$78*'Plan mensual'!L286</f>
        <v>14130.6834008417</v>
      </c>
      <c r="K260" s="26" t="n">
        <f aca="false">parametros_recargas!$E$78*'Plan mensual'!M277+parametros_recargas!$F$78*'Plan mensual'!M278+parametros_recargas!$G$78*'Plan mensual'!M279+parametros_recargas!$H$78*'Plan mensual'!M280+parametros_recargas!$I$78*'Plan mensual'!M281+parametros_recargas!$J$78*'Plan mensual'!M282+parametros_recargas!$K$78*'Plan mensual'!M283+parametros_recargas!$L$78*'Plan mensual'!M284+parametros_recargas!$M$78*'Plan mensual'!M286</f>
        <v>14093.8240405685</v>
      </c>
      <c r="L260" s="26" t="n">
        <f aca="false">parametros_recargas!$E$78*'Plan mensual'!N277+parametros_recargas!$F$78*'Plan mensual'!N278+parametros_recargas!$G$78*'Plan mensual'!N279+parametros_recargas!$H$78*'Plan mensual'!N280+parametros_recargas!$I$78*'Plan mensual'!N281+parametros_recargas!$J$78*'Plan mensual'!N282+parametros_recargas!$K$78*'Plan mensual'!N283+parametros_recargas!$L$78*'Plan mensual'!N284+parametros_recargas!$M$78*'Plan mensual'!N286</f>
        <v>13935.0939268093</v>
      </c>
      <c r="M260" s="26" t="n">
        <f aca="false">parametros_recargas!$E$78*'Plan mensual'!O277+parametros_recargas!$F$78*'Plan mensual'!O278+parametros_recargas!$G$78*'Plan mensual'!O279+parametros_recargas!$H$78*'Plan mensual'!O280+parametros_recargas!$I$78*'Plan mensual'!O281+parametros_recargas!$J$78*'Plan mensual'!O282+parametros_recargas!$K$78*'Plan mensual'!O283+parametros_recargas!$L$78*'Plan mensual'!O284+parametros_recargas!$M$78*'Plan mensual'!O286</f>
        <v>5412.43925635722</v>
      </c>
      <c r="N260" s="8" t="n">
        <f aca="false">SUM(B260:M260)</f>
        <v>154433.068594413</v>
      </c>
      <c r="O260" s="27" t="n">
        <f aca="false">MAX(B260:M260)</f>
        <v>16302.1545658412</v>
      </c>
      <c r="P260" s="13" t="n">
        <f aca="false">O260/parametros_recargas!$B$6</f>
        <v>108.681030438942</v>
      </c>
    </row>
    <row r="261" customFormat="false" ht="15" hidden="false" customHeight="false" outlineLevel="0" collapsed="false">
      <c r="A261" s="10" t="str">
        <f aca="false">parametros_recargas!$B$79</f>
        <v>Descarga ABC — ruta descarte</v>
      </c>
      <c r="B261" s="26" t="n">
        <f aca="false">parametros_recargas!$E$79*'Plan mensual'!D277+parametros_recargas!$F$79*'Plan mensual'!D278+parametros_recargas!$G$79*'Plan mensual'!D279+parametros_recargas!$H$79*'Plan mensual'!D280+parametros_recargas!$I$79*'Plan mensual'!D281+parametros_recargas!$J$79*'Plan mensual'!D282+parametros_recargas!$K$79*'Plan mensual'!D283+parametros_recargas!$L$79*'Plan mensual'!D284+parametros_recargas!$M$79*'Plan mensual'!D286</f>
        <v>649.304101105234</v>
      </c>
      <c r="C261" s="26" t="n">
        <f aca="false">parametros_recargas!$E$79*'Plan mensual'!E277+parametros_recargas!$F$79*'Plan mensual'!E278+parametros_recargas!$G$79*'Plan mensual'!E279+parametros_recargas!$H$79*'Plan mensual'!E280+parametros_recargas!$I$79*'Plan mensual'!E281+parametros_recargas!$J$79*'Plan mensual'!E282+parametros_recargas!$K$79*'Plan mensual'!E283+parametros_recargas!$L$79*'Plan mensual'!E284+parametros_recargas!$M$79*'Plan mensual'!E286</f>
        <v>1811.35050731569</v>
      </c>
      <c r="D261" s="26" t="n">
        <f aca="false">parametros_recargas!$E$79*'Plan mensual'!F277+parametros_recargas!$F$79*'Plan mensual'!F278+parametros_recargas!$G$79*'Plan mensual'!F279+parametros_recargas!$H$79*'Plan mensual'!F280+parametros_recargas!$I$79*'Plan mensual'!F281+parametros_recargas!$J$79*'Plan mensual'!F282+parametros_recargas!$K$79*'Plan mensual'!F283+parametros_recargas!$L$79*'Plan mensual'!F284+parametros_recargas!$M$79*'Plan mensual'!F286</f>
        <v>1562.15338114504</v>
      </c>
      <c r="E261" s="26" t="n">
        <f aca="false">parametros_recargas!$E$79*'Plan mensual'!G277+parametros_recargas!$F$79*'Plan mensual'!G278+parametros_recargas!$G$79*'Plan mensual'!G279+parametros_recargas!$H$79*'Plan mensual'!G280+parametros_recargas!$I$79*'Plan mensual'!G281+parametros_recargas!$J$79*'Plan mensual'!G282+parametros_recargas!$K$79*'Plan mensual'!G283+parametros_recargas!$L$79*'Plan mensual'!G284+parametros_recargas!$M$79*'Plan mensual'!G286</f>
        <v>1569.21316556611</v>
      </c>
      <c r="F261" s="26" t="n">
        <f aca="false">parametros_recargas!$E$79*'Plan mensual'!H277+parametros_recargas!$F$79*'Plan mensual'!H278+parametros_recargas!$G$79*'Plan mensual'!H279+parametros_recargas!$H$79*'Plan mensual'!H280+parametros_recargas!$I$79*'Plan mensual'!H281+parametros_recargas!$J$79*'Plan mensual'!H282+parametros_recargas!$K$79*'Plan mensual'!H283+parametros_recargas!$L$79*'Plan mensual'!H284+parametros_recargas!$M$79*'Plan mensual'!H286</f>
        <v>1569.58170591156</v>
      </c>
      <c r="G261" s="26" t="n">
        <f aca="false">parametros_recargas!$E$79*'Plan mensual'!I277+parametros_recargas!$F$79*'Plan mensual'!I278+parametros_recargas!$G$79*'Plan mensual'!I279+parametros_recargas!$H$79*'Plan mensual'!I280+parametros_recargas!$I$79*'Plan mensual'!I281+parametros_recargas!$J$79*'Plan mensual'!I282+parametros_recargas!$K$79*'Plan mensual'!I283+parametros_recargas!$L$79*'Plan mensual'!I284+parametros_recargas!$M$79*'Plan mensual'!I286</f>
        <v>1566.22543241869</v>
      </c>
      <c r="H261" s="26" t="n">
        <f aca="false">parametros_recargas!$E$79*'Plan mensual'!J277+parametros_recargas!$F$79*'Plan mensual'!J278+parametros_recargas!$G$79*'Plan mensual'!J279+parametros_recargas!$H$79*'Plan mensual'!J280+parametros_recargas!$I$79*'Plan mensual'!J281+parametros_recargas!$J$79*'Plan mensual'!J282+parametros_recargas!$K$79*'Plan mensual'!J283+parametros_recargas!$L$79*'Plan mensual'!J284+parametros_recargas!$M$79*'Plan mensual'!J286</f>
        <v>1576.78208953957</v>
      </c>
      <c r="I261" s="26" t="n">
        <f aca="false">parametros_recargas!$E$79*'Plan mensual'!K277+parametros_recargas!$F$79*'Plan mensual'!K278+parametros_recargas!$G$79*'Plan mensual'!K279+parametros_recargas!$H$79*'Plan mensual'!K280+parametros_recargas!$I$79*'Plan mensual'!K281+parametros_recargas!$J$79*'Plan mensual'!K282+parametros_recargas!$K$79*'Plan mensual'!K283+parametros_recargas!$L$79*'Plan mensual'!K284+parametros_recargas!$M$79*'Plan mensual'!K286</f>
        <v>1568.8371692021</v>
      </c>
      <c r="J261" s="26" t="n">
        <f aca="false">parametros_recargas!$E$79*'Plan mensual'!L277+parametros_recargas!$F$79*'Plan mensual'!L278+parametros_recargas!$G$79*'Plan mensual'!L279+parametros_recargas!$H$79*'Plan mensual'!L280+parametros_recargas!$I$79*'Plan mensual'!L281+parametros_recargas!$J$79*'Plan mensual'!L282+parametros_recargas!$K$79*'Plan mensual'!L283+parametros_recargas!$L$79*'Plan mensual'!L284+parametros_recargas!$M$79*'Plan mensual'!L286</f>
        <v>1570.07593342686</v>
      </c>
      <c r="K261" s="26" t="n">
        <f aca="false">parametros_recargas!$E$79*'Plan mensual'!M277+parametros_recargas!$F$79*'Plan mensual'!M278+parametros_recargas!$G$79*'Plan mensual'!M279+parametros_recargas!$H$79*'Plan mensual'!M280+parametros_recargas!$I$79*'Plan mensual'!M281+parametros_recargas!$J$79*'Plan mensual'!M282+parametros_recargas!$K$79*'Plan mensual'!M283+parametros_recargas!$L$79*'Plan mensual'!M284+parametros_recargas!$M$79*'Plan mensual'!M286</f>
        <v>1565.98044895205</v>
      </c>
      <c r="L261" s="26" t="n">
        <f aca="false">parametros_recargas!$E$79*'Plan mensual'!N277+parametros_recargas!$F$79*'Plan mensual'!N278+parametros_recargas!$G$79*'Plan mensual'!N279+parametros_recargas!$H$79*'Plan mensual'!N280+parametros_recargas!$I$79*'Plan mensual'!N281+parametros_recargas!$J$79*'Plan mensual'!N282+parametros_recargas!$K$79*'Plan mensual'!N283+parametros_recargas!$L$79*'Plan mensual'!N284+parametros_recargas!$M$79*'Plan mensual'!N286</f>
        <v>1548.34376964547</v>
      </c>
      <c r="M261" s="26" t="n">
        <f aca="false">parametros_recargas!$E$79*'Plan mensual'!O277+parametros_recargas!$F$79*'Plan mensual'!O278+parametros_recargas!$G$79*'Plan mensual'!O279+parametros_recargas!$H$79*'Plan mensual'!O280+parametros_recargas!$I$79*'Plan mensual'!O281+parametros_recargas!$J$79*'Plan mensual'!O282+parametros_recargas!$K$79*'Plan mensual'!O283+parametros_recargas!$L$79*'Plan mensual'!O284+parametros_recargas!$M$79*'Plan mensual'!O286</f>
        <v>601.382139595247</v>
      </c>
      <c r="N261" s="8" t="n">
        <f aca="false">SUM(B261:M261)</f>
        <v>17159.2298438236</v>
      </c>
      <c r="O261" s="27" t="n">
        <f aca="false">MAX(B261:M261)</f>
        <v>1811.35050731569</v>
      </c>
      <c r="P261" s="13" t="n">
        <f aca="false">O261/parametros_recargas!$B$6</f>
        <v>12.0756700487713</v>
      </c>
    </row>
    <row r="262" customFormat="false" ht="15" hidden="false" customHeight="false" outlineLevel="0" collapsed="false">
      <c r="A262" s="10" t="str">
        <f aca="false">parametros_recargas!$B$80</f>
        <v>Descarga BC</v>
      </c>
      <c r="B262" s="26" t="n">
        <f aca="false">parametros_recargas!$E$80*'Plan mensual'!D277+parametros_recargas!$F$80*'Plan mensual'!D278+parametros_recargas!$G$80*'Plan mensual'!D279+parametros_recargas!$H$80*'Plan mensual'!D280+parametros_recargas!$I$80*'Plan mensual'!D281+parametros_recargas!$J$80*'Plan mensual'!D282+parametros_recargas!$K$80*'Plan mensual'!D283+parametros_recargas!$L$80*'Plan mensual'!D284+parametros_recargas!$M$80*'Plan mensual'!D286</f>
        <v>19.8862619027961</v>
      </c>
      <c r="C262" s="26" t="n">
        <f aca="false">parametros_recargas!$E$80*'Plan mensual'!E277+parametros_recargas!$F$80*'Plan mensual'!E278+parametros_recargas!$G$80*'Plan mensual'!E279+parametros_recargas!$H$80*'Plan mensual'!E280+parametros_recargas!$I$80*'Plan mensual'!E281+parametros_recargas!$J$80*'Plan mensual'!E282+parametros_recargas!$K$80*'Plan mensual'!E283+parametros_recargas!$L$80*'Plan mensual'!E284+parametros_recargas!$M$80*'Plan mensual'!E286</f>
        <v>19.8862619027961</v>
      </c>
      <c r="D262" s="26" t="n">
        <f aca="false">parametros_recargas!$E$80*'Plan mensual'!F277+parametros_recargas!$F$80*'Plan mensual'!F278+parametros_recargas!$G$80*'Plan mensual'!F279+parametros_recargas!$H$80*'Plan mensual'!F280+parametros_recargas!$I$80*'Plan mensual'!F281+parametros_recargas!$J$80*'Plan mensual'!F282+parametros_recargas!$K$80*'Plan mensual'!F283+parametros_recargas!$L$80*'Plan mensual'!F284+parametros_recargas!$M$80*'Plan mensual'!F286</f>
        <v>19.8862619027961</v>
      </c>
      <c r="E262" s="26" t="n">
        <f aca="false">parametros_recargas!$E$80*'Plan mensual'!G277+parametros_recargas!$F$80*'Plan mensual'!G278+parametros_recargas!$G$80*'Plan mensual'!G279+parametros_recargas!$H$80*'Plan mensual'!G280+parametros_recargas!$I$80*'Plan mensual'!G281+parametros_recargas!$J$80*'Plan mensual'!G282+parametros_recargas!$K$80*'Plan mensual'!G283+parametros_recargas!$L$80*'Plan mensual'!G284+parametros_recargas!$M$80*'Plan mensual'!G286</f>
        <v>19.8862619027961</v>
      </c>
      <c r="F262" s="26" t="n">
        <f aca="false">parametros_recargas!$E$80*'Plan mensual'!H277+parametros_recargas!$F$80*'Plan mensual'!H278+parametros_recargas!$G$80*'Plan mensual'!H279+parametros_recargas!$H$80*'Plan mensual'!H280+parametros_recargas!$I$80*'Plan mensual'!H281+parametros_recargas!$J$80*'Plan mensual'!H282+parametros_recargas!$K$80*'Plan mensual'!H283+parametros_recargas!$L$80*'Plan mensual'!H284+parametros_recargas!$M$80*'Plan mensual'!H286</f>
        <v>19.8862619027961</v>
      </c>
      <c r="G262" s="26" t="n">
        <f aca="false">parametros_recargas!$E$80*'Plan mensual'!I277+parametros_recargas!$F$80*'Plan mensual'!I278+parametros_recargas!$G$80*'Plan mensual'!I279+parametros_recargas!$H$80*'Plan mensual'!I280+parametros_recargas!$I$80*'Plan mensual'!I281+parametros_recargas!$J$80*'Plan mensual'!I282+parametros_recargas!$K$80*'Plan mensual'!I283+parametros_recargas!$L$80*'Plan mensual'!I284+parametros_recargas!$M$80*'Plan mensual'!I286</f>
        <v>19.8862619027961</v>
      </c>
      <c r="H262" s="26" t="n">
        <f aca="false">parametros_recargas!$E$80*'Plan mensual'!J277+parametros_recargas!$F$80*'Plan mensual'!J278+parametros_recargas!$G$80*'Plan mensual'!J279+parametros_recargas!$H$80*'Plan mensual'!J280+parametros_recargas!$I$80*'Plan mensual'!J281+parametros_recargas!$J$80*'Plan mensual'!J282+parametros_recargas!$K$80*'Plan mensual'!J283+parametros_recargas!$L$80*'Plan mensual'!J284+parametros_recargas!$M$80*'Plan mensual'!J286</f>
        <v>19.8862619027961</v>
      </c>
      <c r="I262" s="26" t="n">
        <f aca="false">parametros_recargas!$E$80*'Plan mensual'!K277+parametros_recargas!$F$80*'Plan mensual'!K278+parametros_recargas!$G$80*'Plan mensual'!K279+parametros_recargas!$H$80*'Plan mensual'!K280+parametros_recargas!$I$80*'Plan mensual'!K281+parametros_recargas!$J$80*'Plan mensual'!K282+parametros_recargas!$K$80*'Plan mensual'!K283+parametros_recargas!$L$80*'Plan mensual'!K284+parametros_recargas!$M$80*'Plan mensual'!K286</f>
        <v>19.8862619027961</v>
      </c>
      <c r="J262" s="26" t="n">
        <f aca="false">parametros_recargas!$E$80*'Plan mensual'!L277+parametros_recargas!$F$80*'Plan mensual'!L278+parametros_recargas!$G$80*'Plan mensual'!L279+parametros_recargas!$H$80*'Plan mensual'!L280+parametros_recargas!$I$80*'Plan mensual'!L281+parametros_recargas!$J$80*'Plan mensual'!L282+parametros_recargas!$K$80*'Plan mensual'!L283+parametros_recargas!$L$80*'Plan mensual'!L284+parametros_recargas!$M$80*'Plan mensual'!L286</f>
        <v>19.8862619027961</v>
      </c>
      <c r="K262" s="26" t="n">
        <f aca="false">parametros_recargas!$E$80*'Plan mensual'!M277+parametros_recargas!$F$80*'Plan mensual'!M278+parametros_recargas!$G$80*'Plan mensual'!M279+parametros_recargas!$H$80*'Plan mensual'!M280+parametros_recargas!$I$80*'Plan mensual'!M281+parametros_recargas!$J$80*'Plan mensual'!M282+parametros_recargas!$K$80*'Plan mensual'!M283+parametros_recargas!$L$80*'Plan mensual'!M284+parametros_recargas!$M$80*'Plan mensual'!M286</f>
        <v>19.8862619027961</v>
      </c>
      <c r="L262" s="26" t="n">
        <f aca="false">parametros_recargas!$E$80*'Plan mensual'!N277+parametros_recargas!$F$80*'Plan mensual'!N278+parametros_recargas!$G$80*'Plan mensual'!N279+parametros_recargas!$H$80*'Plan mensual'!N280+parametros_recargas!$I$80*'Plan mensual'!N281+parametros_recargas!$J$80*'Plan mensual'!N282+parametros_recargas!$K$80*'Plan mensual'!N283+parametros_recargas!$L$80*'Plan mensual'!N284+parametros_recargas!$M$80*'Plan mensual'!N286</f>
        <v>19.8862619027961</v>
      </c>
      <c r="M262" s="26" t="n">
        <f aca="false">parametros_recargas!$E$80*'Plan mensual'!O277+parametros_recargas!$F$80*'Plan mensual'!O278+parametros_recargas!$G$80*'Plan mensual'!O279+parametros_recargas!$H$80*'Plan mensual'!O280+parametros_recargas!$I$80*'Plan mensual'!O281+parametros_recargas!$J$80*'Plan mensual'!O282+parametros_recargas!$K$80*'Plan mensual'!O283+parametros_recargas!$L$80*'Plan mensual'!O284+parametros_recargas!$M$80*'Plan mensual'!O286</f>
        <v>19.8862619027961</v>
      </c>
      <c r="N262" s="8" t="n">
        <f aca="false">SUM(B262:M262)</f>
        <v>238.635142833554</v>
      </c>
      <c r="O262" s="27" t="n">
        <f aca="false">MAX(B262:M262)</f>
        <v>19.8862619027961</v>
      </c>
      <c r="P262" s="13" t="n">
        <f aca="false">O262/parametros_recargas!$B$6</f>
        <v>0.132575079351974</v>
      </c>
    </row>
    <row r="263" customFormat="false" ht="15" hidden="false" customHeight="false" outlineLevel="0" collapsed="false">
      <c r="A263" s="10" t="str">
        <f aca="false">parametros_recargas!$B$81</f>
        <v>Descarga de agua / AFFF / sales K</v>
      </c>
      <c r="B263" s="26" t="n">
        <f aca="false">parametros_recargas!$E$81*'Plan mensual'!D277+parametros_recargas!$F$81*'Plan mensual'!D278+parametros_recargas!$G$81*'Plan mensual'!D279+parametros_recargas!$H$81*'Plan mensual'!D280+parametros_recargas!$I$81*'Plan mensual'!D281+parametros_recargas!$J$81*'Plan mensual'!D282+parametros_recargas!$K$81*'Plan mensual'!D283+parametros_recargas!$L$81*'Plan mensual'!D284+parametros_recargas!$M$81*'Plan mensual'!D286</f>
        <v>783.425508930794</v>
      </c>
      <c r="C263" s="26" t="n">
        <f aca="false">parametros_recargas!$E$81*'Plan mensual'!E277+parametros_recargas!$F$81*'Plan mensual'!E278+parametros_recargas!$G$81*'Plan mensual'!E279+parametros_recargas!$H$81*'Plan mensual'!E280+parametros_recargas!$I$81*'Plan mensual'!E281+parametros_recargas!$J$81*'Plan mensual'!E282+parametros_recargas!$K$81*'Plan mensual'!E283+parametros_recargas!$L$81*'Plan mensual'!E284+parametros_recargas!$M$81*'Plan mensual'!E286</f>
        <v>1103.90632129284</v>
      </c>
      <c r="D263" s="26" t="n">
        <f aca="false">parametros_recargas!$E$81*'Plan mensual'!F277+parametros_recargas!$F$81*'Plan mensual'!F278+parametros_recargas!$G$81*'Plan mensual'!F279+parametros_recargas!$H$81*'Plan mensual'!F280+parametros_recargas!$I$81*'Plan mensual'!F281+parametros_recargas!$J$81*'Plan mensual'!F282+parametros_recargas!$K$81*'Plan mensual'!F283+parametros_recargas!$L$81*'Plan mensual'!F284+parametros_recargas!$M$81*'Plan mensual'!F286</f>
        <v>783.425508930794</v>
      </c>
      <c r="E263" s="26" t="n">
        <f aca="false">parametros_recargas!$E$81*'Plan mensual'!G277+parametros_recargas!$F$81*'Plan mensual'!G278+parametros_recargas!$G$81*'Plan mensual'!G279+parametros_recargas!$H$81*'Plan mensual'!G280+parametros_recargas!$I$81*'Plan mensual'!G281+parametros_recargas!$J$81*'Plan mensual'!G282+parametros_recargas!$K$81*'Plan mensual'!G283+parametros_recargas!$L$81*'Plan mensual'!G284+parametros_recargas!$M$81*'Plan mensual'!G286</f>
        <v>783.425508930794</v>
      </c>
      <c r="F263" s="26" t="n">
        <f aca="false">parametros_recargas!$E$81*'Plan mensual'!H277+parametros_recargas!$F$81*'Plan mensual'!H278+parametros_recargas!$G$81*'Plan mensual'!H279+parametros_recargas!$H$81*'Plan mensual'!H280+parametros_recargas!$I$81*'Plan mensual'!H281+parametros_recargas!$J$81*'Plan mensual'!H282+parametros_recargas!$K$81*'Plan mensual'!H283+parametros_recargas!$L$81*'Plan mensual'!H284+parametros_recargas!$M$81*'Plan mensual'!H286</f>
        <v>783.425508930794</v>
      </c>
      <c r="G263" s="26" t="n">
        <f aca="false">parametros_recargas!$E$81*'Plan mensual'!I277+parametros_recargas!$F$81*'Plan mensual'!I278+parametros_recargas!$G$81*'Plan mensual'!I279+parametros_recargas!$H$81*'Plan mensual'!I280+parametros_recargas!$I$81*'Plan mensual'!I281+parametros_recargas!$J$81*'Plan mensual'!I282+parametros_recargas!$K$81*'Plan mensual'!I283+parametros_recargas!$L$81*'Plan mensual'!I284+parametros_recargas!$M$81*'Plan mensual'!I286</f>
        <v>783.425508930794</v>
      </c>
      <c r="H263" s="26" t="n">
        <f aca="false">parametros_recargas!$E$81*'Plan mensual'!J277+parametros_recargas!$F$81*'Plan mensual'!J278+parametros_recargas!$G$81*'Plan mensual'!J279+parametros_recargas!$H$81*'Plan mensual'!J280+parametros_recargas!$I$81*'Plan mensual'!J281+parametros_recargas!$J$81*'Plan mensual'!J282+parametros_recargas!$K$81*'Plan mensual'!J283+parametros_recargas!$L$81*'Plan mensual'!J284+parametros_recargas!$M$81*'Plan mensual'!J286</f>
        <v>783.425508930794</v>
      </c>
      <c r="I263" s="26" t="n">
        <f aca="false">parametros_recargas!$E$81*'Plan mensual'!K277+parametros_recargas!$F$81*'Plan mensual'!K278+parametros_recargas!$G$81*'Plan mensual'!K279+parametros_recargas!$H$81*'Plan mensual'!K280+parametros_recargas!$I$81*'Plan mensual'!K281+parametros_recargas!$J$81*'Plan mensual'!K282+parametros_recargas!$K$81*'Plan mensual'!K283+parametros_recargas!$L$81*'Plan mensual'!K284+parametros_recargas!$M$81*'Plan mensual'!K286</f>
        <v>783.425508930794</v>
      </c>
      <c r="J263" s="26" t="n">
        <f aca="false">parametros_recargas!$E$81*'Plan mensual'!L277+parametros_recargas!$F$81*'Plan mensual'!L278+parametros_recargas!$G$81*'Plan mensual'!L279+parametros_recargas!$H$81*'Plan mensual'!L280+parametros_recargas!$I$81*'Plan mensual'!L281+parametros_recargas!$J$81*'Plan mensual'!L282+parametros_recargas!$K$81*'Plan mensual'!L283+parametros_recargas!$L$81*'Plan mensual'!L284+parametros_recargas!$M$81*'Plan mensual'!L286</f>
        <v>783.425508930794</v>
      </c>
      <c r="K263" s="26" t="n">
        <f aca="false">parametros_recargas!$E$81*'Plan mensual'!M277+parametros_recargas!$F$81*'Plan mensual'!M278+parametros_recargas!$G$81*'Plan mensual'!M279+parametros_recargas!$H$81*'Plan mensual'!M280+parametros_recargas!$I$81*'Plan mensual'!M281+parametros_recargas!$J$81*'Plan mensual'!M282+parametros_recargas!$K$81*'Plan mensual'!M283+parametros_recargas!$L$81*'Plan mensual'!M284+parametros_recargas!$M$81*'Plan mensual'!M286</f>
        <v>783.425508930794</v>
      </c>
      <c r="L263" s="26" t="n">
        <f aca="false">parametros_recargas!$E$81*'Plan mensual'!N277+parametros_recargas!$F$81*'Plan mensual'!N278+parametros_recargas!$G$81*'Plan mensual'!N279+parametros_recargas!$H$81*'Plan mensual'!N280+parametros_recargas!$I$81*'Plan mensual'!N281+parametros_recargas!$J$81*'Plan mensual'!N282+parametros_recargas!$K$81*'Plan mensual'!N283+parametros_recargas!$L$81*'Plan mensual'!N284+parametros_recargas!$M$81*'Plan mensual'!N286</f>
        <v>783.425508930794</v>
      </c>
      <c r="M263" s="26" t="n">
        <f aca="false">parametros_recargas!$E$81*'Plan mensual'!O277+parametros_recargas!$F$81*'Plan mensual'!O278+parametros_recargas!$G$81*'Plan mensual'!O279+parametros_recargas!$H$81*'Plan mensual'!O280+parametros_recargas!$I$81*'Plan mensual'!O281+parametros_recargas!$J$81*'Plan mensual'!O282+parametros_recargas!$K$81*'Plan mensual'!O283+parametros_recargas!$L$81*'Plan mensual'!O284+parametros_recargas!$M$81*'Plan mensual'!O286</f>
        <v>783.425508930794</v>
      </c>
      <c r="N263" s="8" t="n">
        <f aca="false">SUM(B263:M263)</f>
        <v>9721.58691953158</v>
      </c>
      <c r="O263" s="27" t="n">
        <f aca="false">MAX(B263:M263)</f>
        <v>1103.90632129284</v>
      </c>
      <c r="P263" s="13" t="n">
        <f aca="false">O263/parametros_recargas!$B$6</f>
        <v>7.35937547528562</v>
      </c>
    </row>
    <row r="264" customFormat="false" ht="15" hidden="false" customHeight="false" outlineLevel="0" collapsed="false">
      <c r="A264" s="10" t="str">
        <f aca="false">parametros_recargas!$B$82</f>
        <v>Recuperación de CO₂</v>
      </c>
      <c r="B264" s="26" t="n">
        <f aca="false">parametros_recargas!$E$82*'Plan mensual'!D277+parametros_recargas!$F$82*'Plan mensual'!D278+parametros_recargas!$G$82*'Plan mensual'!D279+parametros_recargas!$H$82*'Plan mensual'!D280+parametros_recargas!$I$82*'Plan mensual'!D281+parametros_recargas!$J$82*'Plan mensual'!D282+parametros_recargas!$K$82*'Plan mensual'!D283+parametros_recargas!$L$82*'Plan mensual'!D284+parametros_recargas!$M$82*'Plan mensual'!D286</f>
        <v>382.165316286169</v>
      </c>
      <c r="C264" s="26" t="n">
        <f aca="false">parametros_recargas!$E$82*'Plan mensual'!E277+parametros_recargas!$F$82*'Plan mensual'!E278+parametros_recargas!$G$82*'Plan mensual'!E279+parametros_recargas!$H$82*'Plan mensual'!E280+parametros_recargas!$I$82*'Plan mensual'!E281+parametros_recargas!$J$82*'Plan mensual'!E282+parametros_recargas!$K$82*'Plan mensual'!E283+parametros_recargas!$L$82*'Plan mensual'!E284+parametros_recargas!$M$82*'Plan mensual'!E286</f>
        <v>597.158447007652</v>
      </c>
      <c r="D264" s="26" t="n">
        <f aca="false">parametros_recargas!$E$82*'Plan mensual'!F277+parametros_recargas!$F$82*'Plan mensual'!F278+parametros_recargas!$G$82*'Plan mensual'!F279+parametros_recargas!$H$82*'Plan mensual'!F280+parametros_recargas!$I$82*'Plan mensual'!F281+parametros_recargas!$J$82*'Plan mensual'!F282+parametros_recargas!$K$82*'Plan mensual'!F283+parametros_recargas!$L$82*'Plan mensual'!F284+parametros_recargas!$M$82*'Plan mensual'!F286</f>
        <v>382.165316286169</v>
      </c>
      <c r="E264" s="26" t="n">
        <f aca="false">parametros_recargas!$E$82*'Plan mensual'!G277+parametros_recargas!$F$82*'Plan mensual'!G278+parametros_recargas!$G$82*'Plan mensual'!G279+parametros_recargas!$H$82*'Plan mensual'!G280+parametros_recargas!$I$82*'Plan mensual'!G281+parametros_recargas!$J$82*'Plan mensual'!G282+parametros_recargas!$K$82*'Plan mensual'!G283+parametros_recargas!$L$82*'Plan mensual'!G284+parametros_recargas!$M$82*'Plan mensual'!G286</f>
        <v>382.165316286169</v>
      </c>
      <c r="F264" s="26" t="n">
        <f aca="false">parametros_recargas!$E$82*'Plan mensual'!H277+parametros_recargas!$F$82*'Plan mensual'!H278+parametros_recargas!$G$82*'Plan mensual'!H279+parametros_recargas!$H$82*'Plan mensual'!H280+parametros_recargas!$I$82*'Plan mensual'!H281+parametros_recargas!$J$82*'Plan mensual'!H282+parametros_recargas!$K$82*'Plan mensual'!H283+parametros_recargas!$L$82*'Plan mensual'!H284+parametros_recargas!$M$82*'Plan mensual'!H286</f>
        <v>382.165316286169</v>
      </c>
      <c r="G264" s="26" t="n">
        <f aca="false">parametros_recargas!$E$82*'Plan mensual'!I277+parametros_recargas!$F$82*'Plan mensual'!I278+parametros_recargas!$G$82*'Plan mensual'!I279+parametros_recargas!$H$82*'Plan mensual'!I280+parametros_recargas!$I$82*'Plan mensual'!I281+parametros_recargas!$J$82*'Plan mensual'!I282+parametros_recargas!$K$82*'Plan mensual'!I283+parametros_recargas!$L$82*'Plan mensual'!I284+parametros_recargas!$M$82*'Plan mensual'!I286</f>
        <v>382.165316286169</v>
      </c>
      <c r="H264" s="26" t="n">
        <f aca="false">parametros_recargas!$E$82*'Plan mensual'!J277+parametros_recargas!$F$82*'Plan mensual'!J278+parametros_recargas!$G$82*'Plan mensual'!J279+parametros_recargas!$H$82*'Plan mensual'!J280+parametros_recargas!$I$82*'Plan mensual'!J281+parametros_recargas!$J$82*'Plan mensual'!J282+parametros_recargas!$K$82*'Plan mensual'!J283+parametros_recargas!$L$82*'Plan mensual'!J284+parametros_recargas!$M$82*'Plan mensual'!J286</f>
        <v>382.165316286169</v>
      </c>
      <c r="I264" s="26" t="n">
        <f aca="false">parametros_recargas!$E$82*'Plan mensual'!K277+parametros_recargas!$F$82*'Plan mensual'!K278+parametros_recargas!$G$82*'Plan mensual'!K279+parametros_recargas!$H$82*'Plan mensual'!K280+parametros_recargas!$I$82*'Plan mensual'!K281+parametros_recargas!$J$82*'Plan mensual'!K282+parametros_recargas!$K$82*'Plan mensual'!K283+parametros_recargas!$L$82*'Plan mensual'!K284+parametros_recargas!$M$82*'Plan mensual'!K286</f>
        <v>382.165316286169</v>
      </c>
      <c r="J264" s="26" t="n">
        <f aca="false">parametros_recargas!$E$82*'Plan mensual'!L277+parametros_recargas!$F$82*'Plan mensual'!L278+parametros_recargas!$G$82*'Plan mensual'!L279+parametros_recargas!$H$82*'Plan mensual'!L280+parametros_recargas!$I$82*'Plan mensual'!L281+parametros_recargas!$J$82*'Plan mensual'!L282+parametros_recargas!$K$82*'Plan mensual'!L283+parametros_recargas!$L$82*'Plan mensual'!L284+parametros_recargas!$M$82*'Plan mensual'!L286</f>
        <v>382.165316286169</v>
      </c>
      <c r="K264" s="26" t="n">
        <f aca="false">parametros_recargas!$E$82*'Plan mensual'!M277+parametros_recargas!$F$82*'Plan mensual'!M278+parametros_recargas!$G$82*'Plan mensual'!M279+parametros_recargas!$H$82*'Plan mensual'!M280+parametros_recargas!$I$82*'Plan mensual'!M281+parametros_recargas!$J$82*'Plan mensual'!M282+parametros_recargas!$K$82*'Plan mensual'!M283+parametros_recargas!$L$82*'Plan mensual'!M284+parametros_recargas!$M$82*'Plan mensual'!M286</f>
        <v>382.165316286169</v>
      </c>
      <c r="L264" s="26" t="n">
        <f aca="false">parametros_recargas!$E$82*'Plan mensual'!N277+parametros_recargas!$F$82*'Plan mensual'!N278+parametros_recargas!$G$82*'Plan mensual'!N279+parametros_recargas!$H$82*'Plan mensual'!N280+parametros_recargas!$I$82*'Plan mensual'!N281+parametros_recargas!$J$82*'Plan mensual'!N282+parametros_recargas!$K$82*'Plan mensual'!N283+parametros_recargas!$L$82*'Plan mensual'!N284+parametros_recargas!$M$82*'Plan mensual'!N286</f>
        <v>382.165316286169</v>
      </c>
      <c r="M264" s="26" t="n">
        <f aca="false">parametros_recargas!$E$82*'Plan mensual'!O277+parametros_recargas!$F$82*'Plan mensual'!O278+parametros_recargas!$G$82*'Plan mensual'!O279+parametros_recargas!$H$82*'Plan mensual'!O280+parametros_recargas!$I$82*'Plan mensual'!O281+parametros_recargas!$J$82*'Plan mensual'!O282+parametros_recargas!$K$82*'Plan mensual'!O283+parametros_recargas!$L$82*'Plan mensual'!O284+parametros_recargas!$M$82*'Plan mensual'!O286</f>
        <v>382.165316286169</v>
      </c>
      <c r="N264" s="8" t="n">
        <f aca="false">SUM(B264:M264)</f>
        <v>4800.97692615551</v>
      </c>
      <c r="O264" s="27" t="n">
        <f aca="false">MAX(B264:M264)</f>
        <v>597.158447007652</v>
      </c>
      <c r="P264" s="13" t="n">
        <f aca="false">O264/parametros_recargas!$B$6</f>
        <v>3.98105631338434</v>
      </c>
    </row>
    <row r="265" customFormat="false" ht="15" hidden="false" customHeight="false" outlineLevel="0" collapsed="false">
      <c r="A265" s="10" t="str">
        <f aca="false">parametros_recargas!$B$83</f>
        <v>Recuperación de halogenado</v>
      </c>
      <c r="B265" s="26" t="n">
        <f aca="false">parametros_recargas!$E$83*'Plan mensual'!D277+parametros_recargas!$F$83*'Plan mensual'!D278+parametros_recargas!$G$83*'Plan mensual'!D279+parametros_recargas!$H$83*'Plan mensual'!D280+parametros_recargas!$I$83*'Plan mensual'!D281+parametros_recargas!$J$83*'Plan mensual'!D282+parametros_recargas!$K$83*'Plan mensual'!D283+parametros_recargas!$L$83*'Plan mensual'!D284+parametros_recargas!$M$83*'Plan mensual'!D286</f>
        <v>19.2420790048608</v>
      </c>
      <c r="C265" s="26" t="n">
        <f aca="false">parametros_recargas!$E$83*'Plan mensual'!E277+parametros_recargas!$F$83*'Plan mensual'!E278+parametros_recargas!$G$83*'Plan mensual'!E279+parametros_recargas!$H$83*'Plan mensual'!E280+parametros_recargas!$I$83*'Plan mensual'!E281+parametros_recargas!$J$83*'Plan mensual'!E282+parametros_recargas!$K$83*'Plan mensual'!E283+parametros_recargas!$L$83*'Plan mensual'!E284+parametros_recargas!$M$83*'Plan mensual'!E286</f>
        <v>19.2420790048608</v>
      </c>
      <c r="D265" s="26" t="n">
        <f aca="false">parametros_recargas!$E$83*'Plan mensual'!F277+parametros_recargas!$F$83*'Plan mensual'!F278+parametros_recargas!$G$83*'Plan mensual'!F279+parametros_recargas!$H$83*'Plan mensual'!F280+parametros_recargas!$I$83*'Plan mensual'!F281+parametros_recargas!$J$83*'Plan mensual'!F282+parametros_recargas!$K$83*'Plan mensual'!F283+parametros_recargas!$L$83*'Plan mensual'!F284+parametros_recargas!$M$83*'Plan mensual'!F286</f>
        <v>19.2420790048608</v>
      </c>
      <c r="E265" s="26" t="n">
        <f aca="false">parametros_recargas!$E$83*'Plan mensual'!G277+parametros_recargas!$F$83*'Plan mensual'!G278+parametros_recargas!$G$83*'Plan mensual'!G279+parametros_recargas!$H$83*'Plan mensual'!G280+parametros_recargas!$I$83*'Plan mensual'!G281+parametros_recargas!$J$83*'Plan mensual'!G282+parametros_recargas!$K$83*'Plan mensual'!G283+parametros_recargas!$L$83*'Plan mensual'!G284+parametros_recargas!$M$83*'Plan mensual'!G286</f>
        <v>19.2420790048608</v>
      </c>
      <c r="F265" s="26" t="n">
        <f aca="false">parametros_recargas!$E$83*'Plan mensual'!H277+parametros_recargas!$F$83*'Plan mensual'!H278+parametros_recargas!$G$83*'Plan mensual'!H279+parametros_recargas!$H$83*'Plan mensual'!H280+parametros_recargas!$I$83*'Plan mensual'!H281+parametros_recargas!$J$83*'Plan mensual'!H282+parametros_recargas!$K$83*'Plan mensual'!H283+parametros_recargas!$L$83*'Plan mensual'!H284+parametros_recargas!$M$83*'Plan mensual'!H286</f>
        <v>19.2420790048608</v>
      </c>
      <c r="G265" s="26" t="n">
        <f aca="false">parametros_recargas!$E$83*'Plan mensual'!I277+parametros_recargas!$F$83*'Plan mensual'!I278+parametros_recargas!$G$83*'Plan mensual'!I279+parametros_recargas!$H$83*'Plan mensual'!I280+parametros_recargas!$I$83*'Plan mensual'!I281+parametros_recargas!$J$83*'Plan mensual'!I282+parametros_recargas!$K$83*'Plan mensual'!I283+parametros_recargas!$L$83*'Plan mensual'!I284+parametros_recargas!$M$83*'Plan mensual'!I286</f>
        <v>19.2420790048608</v>
      </c>
      <c r="H265" s="26" t="n">
        <f aca="false">parametros_recargas!$E$83*'Plan mensual'!J277+parametros_recargas!$F$83*'Plan mensual'!J278+parametros_recargas!$G$83*'Plan mensual'!J279+parametros_recargas!$H$83*'Plan mensual'!J280+parametros_recargas!$I$83*'Plan mensual'!J281+parametros_recargas!$J$83*'Plan mensual'!J282+parametros_recargas!$K$83*'Plan mensual'!J283+parametros_recargas!$L$83*'Plan mensual'!J284+parametros_recargas!$M$83*'Plan mensual'!J286</f>
        <v>19.2420790048608</v>
      </c>
      <c r="I265" s="26" t="n">
        <f aca="false">parametros_recargas!$E$83*'Plan mensual'!K277+parametros_recargas!$F$83*'Plan mensual'!K278+parametros_recargas!$G$83*'Plan mensual'!K279+parametros_recargas!$H$83*'Plan mensual'!K280+parametros_recargas!$I$83*'Plan mensual'!K281+parametros_recargas!$J$83*'Plan mensual'!K282+parametros_recargas!$K$83*'Plan mensual'!K283+parametros_recargas!$L$83*'Plan mensual'!K284+parametros_recargas!$M$83*'Plan mensual'!K286</f>
        <v>19.2420790048608</v>
      </c>
      <c r="J265" s="26" t="n">
        <f aca="false">parametros_recargas!$E$83*'Plan mensual'!L277+parametros_recargas!$F$83*'Plan mensual'!L278+parametros_recargas!$G$83*'Plan mensual'!L279+parametros_recargas!$H$83*'Plan mensual'!L280+parametros_recargas!$I$83*'Plan mensual'!L281+parametros_recargas!$J$83*'Plan mensual'!L282+parametros_recargas!$K$83*'Plan mensual'!L283+parametros_recargas!$L$83*'Plan mensual'!L284+parametros_recargas!$M$83*'Plan mensual'!L286</f>
        <v>19.2420790048608</v>
      </c>
      <c r="K265" s="26" t="n">
        <f aca="false">parametros_recargas!$E$83*'Plan mensual'!M277+parametros_recargas!$F$83*'Plan mensual'!M278+parametros_recargas!$G$83*'Plan mensual'!M279+parametros_recargas!$H$83*'Plan mensual'!M280+parametros_recargas!$I$83*'Plan mensual'!M281+parametros_recargas!$J$83*'Plan mensual'!M282+parametros_recargas!$K$83*'Plan mensual'!M283+parametros_recargas!$L$83*'Plan mensual'!M284+parametros_recargas!$M$83*'Plan mensual'!M286</f>
        <v>19.2420790048608</v>
      </c>
      <c r="L265" s="26" t="n">
        <f aca="false">parametros_recargas!$E$83*'Plan mensual'!N277+parametros_recargas!$F$83*'Plan mensual'!N278+parametros_recargas!$G$83*'Plan mensual'!N279+parametros_recargas!$H$83*'Plan mensual'!N280+parametros_recargas!$I$83*'Plan mensual'!N281+parametros_recargas!$J$83*'Plan mensual'!N282+parametros_recargas!$K$83*'Plan mensual'!N283+parametros_recargas!$L$83*'Plan mensual'!N284+parametros_recargas!$M$83*'Plan mensual'!N286</f>
        <v>19.2420790048608</v>
      </c>
      <c r="M265" s="26" t="n">
        <f aca="false">parametros_recargas!$E$83*'Plan mensual'!O277+parametros_recargas!$F$83*'Plan mensual'!O278+parametros_recargas!$G$83*'Plan mensual'!O279+parametros_recargas!$H$83*'Plan mensual'!O280+parametros_recargas!$I$83*'Plan mensual'!O281+parametros_recargas!$J$83*'Plan mensual'!O282+parametros_recargas!$K$83*'Plan mensual'!O283+parametros_recargas!$L$83*'Plan mensual'!O284+parametros_recargas!$M$83*'Plan mensual'!O286</f>
        <v>19.2420790048608</v>
      </c>
      <c r="N265" s="8" t="n">
        <f aca="false">SUM(B265:M265)</f>
        <v>230.90494805833</v>
      </c>
      <c r="O265" s="27" t="n">
        <f aca="false">MAX(B265:M265)</f>
        <v>19.2420790048608</v>
      </c>
      <c r="P265" s="13" t="n">
        <f aca="false">O265/parametros_recargas!$B$6</f>
        <v>0.128280526699072</v>
      </c>
    </row>
    <row r="266" customFormat="false" ht="15" hidden="false" customHeight="false" outlineLevel="0" collapsed="false">
      <c r="A266" s="10" t="str">
        <f aca="false">parametros_recargas!$B$84</f>
        <v>Desarme y limpieza — recinto</v>
      </c>
      <c r="B266" s="26" t="n">
        <f aca="false">parametros_recargas!$E$84*'Plan mensual'!D277+parametros_recargas!$F$84*'Plan mensual'!D278+parametros_recargas!$G$84*'Plan mensual'!D279+parametros_recargas!$H$84*'Plan mensual'!D280+parametros_recargas!$I$84*'Plan mensual'!D281+parametros_recargas!$J$84*'Plan mensual'!D282+parametros_recargas!$K$84*'Plan mensual'!D283+parametros_recargas!$L$84*'Plan mensual'!D284+parametros_recargas!$M$84*'Plan mensual'!D286</f>
        <v>6874.60795517403</v>
      </c>
      <c r="C266" s="26" t="n">
        <f aca="false">parametros_recargas!$E$84*'Plan mensual'!E277+parametros_recargas!$F$84*'Plan mensual'!E278+parametros_recargas!$G$84*'Plan mensual'!E279+parametros_recargas!$H$84*'Plan mensual'!E280+parametros_recargas!$I$84*'Plan mensual'!E281+parametros_recargas!$J$84*'Plan mensual'!E282+parametros_recargas!$K$84*'Plan mensual'!E283+parametros_recargas!$L$84*'Plan mensual'!E284+parametros_recargas!$M$84*'Plan mensual'!E286</f>
        <v>19106.6753889683</v>
      </c>
      <c r="D266" s="26" t="n">
        <f aca="false">parametros_recargas!$E$84*'Plan mensual'!F277+parametros_recargas!$F$84*'Plan mensual'!F278+parametros_recargas!$G$84*'Plan mensual'!F279+parametros_recargas!$H$84*'Plan mensual'!F280+parametros_recargas!$I$84*'Plan mensual'!F281+parametros_recargas!$J$84*'Plan mensual'!F282+parametros_recargas!$K$84*'Plan mensual'!F283+parametros_recargas!$L$84*'Plan mensual'!F284+parametros_recargas!$M$84*'Plan mensual'!F286</f>
        <v>16483.5477450667</v>
      </c>
      <c r="E266" s="26" t="n">
        <f aca="false">parametros_recargas!$E$84*'Plan mensual'!G277+parametros_recargas!$F$84*'Plan mensual'!G278+parametros_recargas!$G$84*'Plan mensual'!G279+parametros_recargas!$H$84*'Plan mensual'!G280+parametros_recargas!$I$84*'Plan mensual'!G281+parametros_recargas!$J$84*'Plan mensual'!G282+parametros_recargas!$K$84*'Plan mensual'!G283+parametros_recargas!$L$84*'Plan mensual'!G284+parametros_recargas!$M$84*'Plan mensual'!G286</f>
        <v>16557.8612652885</v>
      </c>
      <c r="F266" s="26" t="n">
        <f aca="false">parametros_recargas!$E$84*'Plan mensual'!H277+parametros_recargas!$F$84*'Plan mensual'!H278+parametros_recargas!$G$84*'Plan mensual'!H279+parametros_recargas!$H$84*'Plan mensual'!H280+parametros_recargas!$I$84*'Plan mensual'!H281+parametros_recargas!$J$84*'Plan mensual'!H282+parametros_recargas!$K$84*'Plan mensual'!H283+parametros_recargas!$L$84*'Plan mensual'!H284+parametros_recargas!$M$84*'Plan mensual'!H286</f>
        <v>16561.7406373459</v>
      </c>
      <c r="G266" s="26" t="n">
        <f aca="false">parametros_recargas!$E$84*'Plan mensual'!I277+parametros_recargas!$F$84*'Plan mensual'!I278+parametros_recargas!$G$84*'Plan mensual'!I279+parametros_recargas!$H$84*'Plan mensual'!I280+parametros_recargas!$I$84*'Plan mensual'!I281+parametros_recargas!$J$84*'Plan mensual'!I282+parametros_recargas!$K$84*'Plan mensual'!I283+parametros_recargas!$L$84*'Plan mensual'!I284+parametros_recargas!$M$84*'Plan mensual'!I286</f>
        <v>16526.4114426841</v>
      </c>
      <c r="H266" s="26" t="n">
        <f aca="false">parametros_recargas!$E$84*'Plan mensual'!J277+parametros_recargas!$F$84*'Plan mensual'!J278+parametros_recargas!$G$84*'Plan mensual'!J279+parametros_recargas!$H$84*'Plan mensual'!J280+parametros_recargas!$I$84*'Plan mensual'!J281+parametros_recargas!$J$84*'Plan mensual'!J282+parametros_recargas!$K$84*'Plan mensual'!J283+parametros_recargas!$L$84*'Plan mensual'!J284+parametros_recargas!$M$84*'Plan mensual'!J286</f>
        <v>16637.5341492196</v>
      </c>
      <c r="I266" s="26" t="n">
        <f aca="false">parametros_recargas!$E$84*'Plan mensual'!K277+parametros_recargas!$F$84*'Plan mensual'!K278+parametros_recargas!$G$84*'Plan mensual'!K279+parametros_recargas!$H$84*'Plan mensual'!K280+parametros_recargas!$I$84*'Plan mensual'!K281+parametros_recargas!$J$84*'Plan mensual'!K282+parametros_recargas!$K$84*'Plan mensual'!K283+parametros_recargas!$L$84*'Plan mensual'!K284+parametros_recargas!$M$84*'Plan mensual'!K286</f>
        <v>16553.9034088252</v>
      </c>
      <c r="J266" s="26" t="n">
        <f aca="false">parametros_recargas!$E$84*'Plan mensual'!L277+parametros_recargas!$F$84*'Plan mensual'!L278+parametros_recargas!$G$84*'Plan mensual'!L279+parametros_recargas!$H$84*'Plan mensual'!L280+parametros_recargas!$I$84*'Plan mensual'!L281+parametros_recargas!$J$84*'Plan mensual'!L282+parametros_recargas!$K$84*'Plan mensual'!L283+parametros_recargas!$L$84*'Plan mensual'!L284+parametros_recargas!$M$84*'Plan mensual'!L286</f>
        <v>16566.9430322437</v>
      </c>
      <c r="K266" s="26" t="n">
        <f aca="false">parametros_recargas!$E$84*'Plan mensual'!M277+parametros_recargas!$F$84*'Plan mensual'!M278+parametros_recargas!$G$84*'Plan mensual'!M279+parametros_recargas!$H$84*'Plan mensual'!M280+parametros_recargas!$I$84*'Plan mensual'!M281+parametros_recargas!$J$84*'Plan mensual'!M282+parametros_recargas!$K$84*'Plan mensual'!M283+parametros_recargas!$L$84*'Plan mensual'!M284+parametros_recargas!$M$84*'Plan mensual'!M286</f>
        <v>16523.8326693511</v>
      </c>
      <c r="L266" s="26" t="n">
        <f aca="false">parametros_recargas!$E$84*'Plan mensual'!N277+parametros_recargas!$F$84*'Plan mensual'!N278+parametros_recargas!$G$84*'Plan mensual'!N279+parametros_recargas!$H$84*'Plan mensual'!N280+parametros_recargas!$I$84*'Plan mensual'!N281+parametros_recargas!$J$84*'Plan mensual'!N282+parametros_recargas!$K$84*'Plan mensual'!N283+parametros_recargas!$L$84*'Plan mensual'!N284+parametros_recargas!$M$84*'Plan mensual'!N286</f>
        <v>16338.1834134923</v>
      </c>
      <c r="M266" s="26" t="n">
        <f aca="false">parametros_recargas!$E$84*'Plan mensual'!O277+parametros_recargas!$F$84*'Plan mensual'!O278+parametros_recargas!$G$84*'Plan mensual'!O279+parametros_recargas!$H$84*'Plan mensual'!O280+parametros_recargas!$I$84*'Plan mensual'!O281+parametros_recargas!$J$84*'Plan mensual'!O282+parametros_recargas!$K$84*'Plan mensual'!O283+parametros_recargas!$L$84*'Plan mensual'!O284+parametros_recargas!$M$84*'Plan mensual'!O286</f>
        <v>6370.16625506889</v>
      </c>
      <c r="N266" s="8" t="n">
        <f aca="false">SUM(B266:M266)</f>
        <v>181101.407362728</v>
      </c>
      <c r="O266" s="27" t="n">
        <f aca="false">MAX(B266:M266)</f>
        <v>19106.6753889683</v>
      </c>
      <c r="P266" s="13" t="n">
        <f aca="false">O266/parametros_recargas!$B$6</f>
        <v>127.377835926455</v>
      </c>
    </row>
    <row r="267" customFormat="false" ht="15" hidden="false" customHeight="false" outlineLevel="0" collapsed="false">
      <c r="A267" s="10" t="str">
        <f aca="false">parametros_recargas!$B$85</f>
        <v>Desarme e inspección interior — zona general</v>
      </c>
      <c r="B267" s="26" t="n">
        <f aca="false">parametros_recargas!$E$85*'Plan mensual'!D277+parametros_recargas!$F$85*'Plan mensual'!D278+parametros_recargas!$G$85*'Plan mensual'!D279+parametros_recargas!$H$85*'Plan mensual'!D280+parametros_recargas!$I$85*'Plan mensual'!D281+parametros_recargas!$J$85*'Plan mensual'!D282+parametros_recargas!$K$85*'Plan mensual'!D283+parametros_recargas!$L$85*'Plan mensual'!D284+parametros_recargas!$M$85*'Plan mensual'!D286</f>
        <v>1226.0658257445</v>
      </c>
      <c r="C267" s="26" t="n">
        <f aca="false">parametros_recargas!$E$85*'Plan mensual'!E277+parametros_recargas!$F$85*'Plan mensual'!E278+parametros_recargas!$G$85*'Plan mensual'!E279+parametros_recargas!$H$85*'Plan mensual'!E280+parametros_recargas!$I$85*'Plan mensual'!E281+parametros_recargas!$J$85*'Plan mensual'!E282+parametros_recargas!$K$85*'Plan mensual'!E283+parametros_recargas!$L$85*'Plan mensual'!E284+parametros_recargas!$M$85*'Plan mensual'!E286</f>
        <v>1778.40718000498</v>
      </c>
      <c r="D267" s="26" t="n">
        <f aca="false">parametros_recargas!$E$85*'Plan mensual'!F277+parametros_recargas!$F$85*'Plan mensual'!F278+parametros_recargas!$G$85*'Plan mensual'!F279+parametros_recargas!$H$85*'Plan mensual'!F280+parametros_recargas!$I$85*'Plan mensual'!F281+parametros_recargas!$J$85*'Plan mensual'!F282+parametros_recargas!$K$85*'Plan mensual'!F283+parametros_recargas!$L$85*'Plan mensual'!F284+parametros_recargas!$M$85*'Plan mensual'!F286</f>
        <v>1226.0658257445</v>
      </c>
      <c r="E267" s="26" t="n">
        <f aca="false">parametros_recargas!$E$85*'Plan mensual'!G277+parametros_recargas!$F$85*'Plan mensual'!G278+parametros_recargas!$G$85*'Plan mensual'!G279+parametros_recargas!$H$85*'Plan mensual'!G280+parametros_recargas!$I$85*'Plan mensual'!G281+parametros_recargas!$J$85*'Plan mensual'!G282+parametros_recargas!$K$85*'Plan mensual'!G283+parametros_recargas!$L$85*'Plan mensual'!G284+parametros_recargas!$M$85*'Plan mensual'!G286</f>
        <v>1226.0658257445</v>
      </c>
      <c r="F267" s="26" t="n">
        <f aca="false">parametros_recargas!$E$85*'Plan mensual'!H277+parametros_recargas!$F$85*'Plan mensual'!H278+parametros_recargas!$G$85*'Plan mensual'!H279+parametros_recargas!$H$85*'Plan mensual'!H280+parametros_recargas!$I$85*'Plan mensual'!H281+parametros_recargas!$J$85*'Plan mensual'!H282+parametros_recargas!$K$85*'Plan mensual'!H283+parametros_recargas!$L$85*'Plan mensual'!H284+parametros_recargas!$M$85*'Plan mensual'!H286</f>
        <v>1226.0658257445</v>
      </c>
      <c r="G267" s="26" t="n">
        <f aca="false">parametros_recargas!$E$85*'Plan mensual'!I277+parametros_recargas!$F$85*'Plan mensual'!I278+parametros_recargas!$G$85*'Plan mensual'!I279+parametros_recargas!$H$85*'Plan mensual'!I280+parametros_recargas!$I$85*'Plan mensual'!I281+parametros_recargas!$J$85*'Plan mensual'!I282+parametros_recargas!$K$85*'Plan mensual'!I283+parametros_recargas!$L$85*'Plan mensual'!I284+parametros_recargas!$M$85*'Plan mensual'!I286</f>
        <v>1226.0658257445</v>
      </c>
      <c r="H267" s="26" t="n">
        <f aca="false">parametros_recargas!$E$85*'Plan mensual'!J277+parametros_recargas!$F$85*'Plan mensual'!J278+parametros_recargas!$G$85*'Plan mensual'!J279+parametros_recargas!$H$85*'Plan mensual'!J280+parametros_recargas!$I$85*'Plan mensual'!J281+parametros_recargas!$J$85*'Plan mensual'!J282+parametros_recargas!$K$85*'Plan mensual'!J283+parametros_recargas!$L$85*'Plan mensual'!J284+parametros_recargas!$M$85*'Plan mensual'!J286</f>
        <v>1226.0658257445</v>
      </c>
      <c r="I267" s="26" t="n">
        <f aca="false">parametros_recargas!$E$85*'Plan mensual'!K277+parametros_recargas!$F$85*'Plan mensual'!K278+parametros_recargas!$G$85*'Plan mensual'!K279+parametros_recargas!$H$85*'Plan mensual'!K280+parametros_recargas!$I$85*'Plan mensual'!K281+parametros_recargas!$J$85*'Plan mensual'!K282+parametros_recargas!$K$85*'Plan mensual'!K283+parametros_recargas!$L$85*'Plan mensual'!K284+parametros_recargas!$M$85*'Plan mensual'!K286</f>
        <v>1226.0658257445</v>
      </c>
      <c r="J267" s="26" t="n">
        <f aca="false">parametros_recargas!$E$85*'Plan mensual'!L277+parametros_recargas!$F$85*'Plan mensual'!L278+parametros_recargas!$G$85*'Plan mensual'!L279+parametros_recargas!$H$85*'Plan mensual'!L280+parametros_recargas!$I$85*'Plan mensual'!L281+parametros_recargas!$J$85*'Plan mensual'!L282+parametros_recargas!$K$85*'Plan mensual'!L283+parametros_recargas!$L$85*'Plan mensual'!L284+parametros_recargas!$M$85*'Plan mensual'!L286</f>
        <v>1226.0658257445</v>
      </c>
      <c r="K267" s="26" t="n">
        <f aca="false">parametros_recargas!$E$85*'Plan mensual'!M277+parametros_recargas!$F$85*'Plan mensual'!M278+parametros_recargas!$G$85*'Plan mensual'!M279+parametros_recargas!$H$85*'Plan mensual'!M280+parametros_recargas!$I$85*'Plan mensual'!M281+parametros_recargas!$J$85*'Plan mensual'!M282+parametros_recargas!$K$85*'Plan mensual'!M283+parametros_recargas!$L$85*'Plan mensual'!M284+parametros_recargas!$M$85*'Plan mensual'!M286</f>
        <v>1226.0658257445</v>
      </c>
      <c r="L267" s="26" t="n">
        <f aca="false">parametros_recargas!$E$85*'Plan mensual'!N277+parametros_recargas!$F$85*'Plan mensual'!N278+parametros_recargas!$G$85*'Plan mensual'!N279+parametros_recargas!$H$85*'Plan mensual'!N280+parametros_recargas!$I$85*'Plan mensual'!N281+parametros_recargas!$J$85*'Plan mensual'!N282+parametros_recargas!$K$85*'Plan mensual'!N283+parametros_recargas!$L$85*'Plan mensual'!N284+parametros_recargas!$M$85*'Plan mensual'!N286</f>
        <v>1226.0658257445</v>
      </c>
      <c r="M267" s="26" t="n">
        <f aca="false">parametros_recargas!$E$85*'Plan mensual'!O277+parametros_recargas!$F$85*'Plan mensual'!O278+parametros_recargas!$G$85*'Plan mensual'!O279+parametros_recargas!$H$85*'Plan mensual'!O280+parametros_recargas!$I$85*'Plan mensual'!O281+parametros_recargas!$J$85*'Plan mensual'!O282+parametros_recargas!$K$85*'Plan mensual'!O283+parametros_recargas!$L$85*'Plan mensual'!O284+parametros_recargas!$M$85*'Plan mensual'!O286</f>
        <v>1226.0658257445</v>
      </c>
      <c r="N267" s="8" t="n">
        <f aca="false">SUM(B267:M267)</f>
        <v>15265.1312631944</v>
      </c>
      <c r="O267" s="27" t="n">
        <f aca="false">MAX(B267:M267)</f>
        <v>1778.40718000498</v>
      </c>
      <c r="P267" s="13" t="n">
        <f aca="false">O267/parametros_recargas!$B$6</f>
        <v>11.8560478666999</v>
      </c>
    </row>
    <row r="268" customFormat="false" ht="15" hidden="false" customHeight="false" outlineLevel="0" collapsed="false">
      <c r="A268" s="10" t="str">
        <f aca="false">parametros_recargas!$B$86</f>
        <v>Laboratorio — Puffer y mufla</v>
      </c>
      <c r="B268" s="26" t="n">
        <f aca="false">parametros_recargas!$E$86*'Plan mensual'!D277+parametros_recargas!$F$86*'Plan mensual'!D278+parametros_recargas!$G$86*'Plan mensual'!D279+parametros_recargas!$H$86*'Plan mensual'!D280+parametros_recargas!$I$86*'Plan mensual'!D281+parametros_recargas!$J$86*'Plan mensual'!D282+parametros_recargas!$K$86*'Plan mensual'!D283+parametros_recargas!$L$86*'Plan mensual'!D284+parametros_recargas!$M$86*'Plan mensual'!D286</f>
        <v>9.12577200452134</v>
      </c>
      <c r="C268" s="26" t="n">
        <f aca="false">parametros_recargas!$E$86*'Plan mensual'!E277+parametros_recargas!$F$86*'Plan mensual'!E278+parametros_recargas!$G$86*'Plan mensual'!E279+parametros_recargas!$H$86*'Plan mensual'!E280+parametros_recargas!$I$86*'Plan mensual'!E281+parametros_recargas!$J$86*'Plan mensual'!E282+parametros_recargas!$K$86*'Plan mensual'!E283+parametros_recargas!$L$86*'Plan mensual'!E284+parametros_recargas!$M$86*'Plan mensual'!E286</f>
        <v>25.457981432583</v>
      </c>
      <c r="D268" s="26" t="n">
        <f aca="false">parametros_recargas!$E$86*'Plan mensual'!F277+parametros_recargas!$F$86*'Plan mensual'!F278+parametros_recargas!$G$86*'Plan mensual'!F279+parametros_recargas!$H$86*'Plan mensual'!F280+parametros_recargas!$I$86*'Plan mensual'!F281+parametros_recargas!$J$86*'Plan mensual'!F282+parametros_recargas!$K$86*'Plan mensual'!F283+parametros_recargas!$L$86*'Plan mensual'!F284+parametros_recargas!$M$86*'Plan mensual'!F286</f>
        <v>21.9555914834908</v>
      </c>
      <c r="E268" s="26" t="n">
        <f aca="false">parametros_recargas!$E$86*'Plan mensual'!G277+parametros_recargas!$F$86*'Plan mensual'!G278+parametros_recargas!$G$86*'Plan mensual'!G279+parametros_recargas!$H$86*'Plan mensual'!G280+parametros_recargas!$I$86*'Plan mensual'!G281+parametros_recargas!$J$86*'Plan mensual'!G282+parametros_recargas!$K$86*'Plan mensual'!G283+parametros_recargas!$L$86*'Plan mensual'!G284+parametros_recargas!$M$86*'Plan mensual'!G286</f>
        <v>22.0548146100937</v>
      </c>
      <c r="F268" s="26" t="n">
        <f aca="false">parametros_recargas!$E$86*'Plan mensual'!H277+parametros_recargas!$F$86*'Plan mensual'!H278+parametros_recargas!$G$86*'Plan mensual'!H279+parametros_recargas!$H$86*'Plan mensual'!H280+parametros_recargas!$I$86*'Plan mensual'!H281+parametros_recargas!$J$86*'Plan mensual'!H282+parametros_recargas!$K$86*'Plan mensual'!H283+parametros_recargas!$L$86*'Plan mensual'!H284+parametros_recargas!$M$86*'Plan mensual'!H286</f>
        <v>22.0599943327558</v>
      </c>
      <c r="G268" s="26" t="n">
        <f aca="false">parametros_recargas!$E$86*'Plan mensual'!I277+parametros_recargas!$F$86*'Plan mensual'!I278+parametros_recargas!$G$86*'Plan mensual'!I279+parametros_recargas!$H$86*'Plan mensual'!I280+parametros_recargas!$I$86*'Plan mensual'!I281+parametros_recargas!$J$86*'Plan mensual'!I282+parametros_recargas!$K$86*'Plan mensual'!I283+parametros_recargas!$L$86*'Plan mensual'!I284+parametros_recargas!$M$86*'Plan mensual'!I286</f>
        <v>22.0128229278183</v>
      </c>
      <c r="H268" s="26" t="n">
        <f aca="false">parametros_recargas!$E$86*'Plan mensual'!J277+parametros_recargas!$F$86*'Plan mensual'!J278+parametros_recargas!$G$86*'Plan mensual'!J279+parametros_recargas!$H$86*'Plan mensual'!J280+parametros_recargas!$I$86*'Plan mensual'!J281+parametros_recargas!$J$86*'Plan mensual'!J282+parametros_recargas!$K$86*'Plan mensual'!J283+parametros_recargas!$L$86*'Plan mensual'!J284+parametros_recargas!$M$86*'Plan mensual'!J286</f>
        <v>22.1611935385246</v>
      </c>
      <c r="I268" s="26" t="n">
        <f aca="false">parametros_recargas!$E$86*'Plan mensual'!K277+parametros_recargas!$F$86*'Plan mensual'!K278+parametros_recargas!$G$86*'Plan mensual'!K279+parametros_recargas!$H$86*'Plan mensual'!K280+parametros_recargas!$I$86*'Plan mensual'!K281+parametros_recargas!$J$86*'Plan mensual'!K282+parametros_recargas!$K$86*'Plan mensual'!K283+parametros_recargas!$L$86*'Plan mensual'!K284+parametros_recargas!$M$86*'Plan mensual'!K286</f>
        <v>22.0495300953546</v>
      </c>
      <c r="J268" s="26" t="n">
        <f aca="false">parametros_recargas!$E$86*'Plan mensual'!L277+parametros_recargas!$F$86*'Plan mensual'!L278+parametros_recargas!$G$86*'Plan mensual'!L279+parametros_recargas!$H$86*'Plan mensual'!L280+parametros_recargas!$I$86*'Plan mensual'!L281+parametros_recargas!$J$86*'Plan mensual'!L282+parametros_recargas!$K$86*'Plan mensual'!L283+parametros_recargas!$L$86*'Plan mensual'!L284+parametros_recargas!$M$86*'Plan mensual'!L286</f>
        <v>22.0669405504299</v>
      </c>
      <c r="K268" s="26" t="n">
        <f aca="false">parametros_recargas!$E$86*'Plan mensual'!M277+parametros_recargas!$F$86*'Plan mensual'!M278+parametros_recargas!$G$86*'Plan mensual'!M279+parametros_recargas!$H$86*'Plan mensual'!M280+parametros_recargas!$I$86*'Plan mensual'!M281+parametros_recargas!$J$86*'Plan mensual'!M282+parametros_recargas!$K$86*'Plan mensual'!M283+parametros_recargas!$L$86*'Plan mensual'!M284+parametros_recargas!$M$86*'Plan mensual'!M286</f>
        <v>22.0093797595747</v>
      </c>
      <c r="L268" s="26" t="n">
        <f aca="false">parametros_recargas!$E$86*'Plan mensual'!N277+parametros_recargas!$F$86*'Plan mensual'!N278+parametros_recargas!$G$86*'Plan mensual'!N279+parametros_recargas!$H$86*'Plan mensual'!N280+parametros_recargas!$I$86*'Plan mensual'!N281+parametros_recargas!$J$86*'Plan mensual'!N282+parametros_recargas!$K$86*'Plan mensual'!N283+parametros_recargas!$L$86*'Plan mensual'!N284+parametros_recargas!$M$86*'Plan mensual'!N286</f>
        <v>21.7615015866281</v>
      </c>
      <c r="M268" s="26" t="n">
        <f aca="false">parametros_recargas!$E$86*'Plan mensual'!O277+parametros_recargas!$F$86*'Plan mensual'!O278+parametros_recargas!$G$86*'Plan mensual'!O279+parametros_recargas!$H$86*'Plan mensual'!O280+parametros_recargas!$I$86*'Plan mensual'!O281+parametros_recargas!$J$86*'Plan mensual'!O282+parametros_recargas!$K$86*'Plan mensual'!O283+parametros_recargas!$L$86*'Plan mensual'!O284+parametros_recargas!$M$86*'Plan mensual'!O286</f>
        <v>8.45224338518074</v>
      </c>
      <c r="N268" s="8" t="n">
        <f aca="false">SUM(B268:M268)</f>
        <v>241.167765706956</v>
      </c>
      <c r="O268" s="27" t="n">
        <f aca="false">MAX(B268:M268)</f>
        <v>25.457981432583</v>
      </c>
      <c r="P268" s="13" t="n">
        <f aca="false">O268/parametros_recargas!$B$6</f>
        <v>0.16971987621722</v>
      </c>
    </row>
    <row r="269" customFormat="false" ht="15" hidden="false" customHeight="false" outlineLevel="0" collapsed="false">
      <c r="A269" s="10" t="str">
        <f aca="false">parametros_recargas!$B$87</f>
        <v>Prueba hidráulica</v>
      </c>
      <c r="B269" s="26" t="n">
        <f aca="false">parametros_recargas!$E$87*'Plan mensual'!D277+parametros_recargas!$F$87*'Plan mensual'!D278+parametros_recargas!$G$87*'Plan mensual'!D279+parametros_recargas!$H$87*'Plan mensual'!D280+parametros_recargas!$I$87*'Plan mensual'!D281+parametros_recargas!$J$87*'Plan mensual'!D282+parametros_recargas!$K$87*'Plan mensual'!D283+parametros_recargas!$L$87*'Plan mensual'!D284+parametros_recargas!$M$87*'Plan mensual'!D286</f>
        <v>2504.42956459438</v>
      </c>
      <c r="C269" s="26" t="n">
        <f aca="false">parametros_recargas!$E$87*'Plan mensual'!E277+parametros_recargas!$F$87*'Plan mensual'!E278+parametros_recargas!$G$87*'Plan mensual'!E279+parametros_recargas!$H$87*'Plan mensual'!E280+parametros_recargas!$I$87*'Plan mensual'!E281+parametros_recargas!$J$87*'Plan mensual'!E282+parametros_recargas!$K$87*'Plan mensual'!E283+parametros_recargas!$L$87*'Plan mensual'!E284+parametros_recargas!$M$87*'Plan mensual'!E286</f>
        <v>5927.14888825731</v>
      </c>
      <c r="D269" s="26" t="n">
        <f aca="false">parametros_recargas!$E$87*'Plan mensual'!F277+parametros_recargas!$F$87*'Plan mensual'!F278+parametros_recargas!$G$87*'Plan mensual'!F279+parametros_recargas!$H$87*'Plan mensual'!F280+parametros_recargas!$I$87*'Plan mensual'!F281+parametros_recargas!$J$87*'Plan mensual'!F282+parametros_recargas!$K$87*'Plan mensual'!F283+parametros_recargas!$L$87*'Plan mensual'!F284+parametros_recargas!$M$87*'Plan mensual'!F286</f>
        <v>4906.66451206755</v>
      </c>
      <c r="E269" s="26" t="n">
        <f aca="false">parametros_recargas!$E$87*'Plan mensual'!G277+parametros_recargas!$F$87*'Plan mensual'!G278+parametros_recargas!$G$87*'Plan mensual'!G279+parametros_recargas!$H$87*'Plan mensual'!G280+parametros_recargas!$I$87*'Plan mensual'!G281+parametros_recargas!$J$87*'Plan mensual'!G282+parametros_recargas!$K$87*'Plan mensual'!G283+parametros_recargas!$L$87*'Plan mensual'!G284+parametros_recargas!$M$87*'Plan mensual'!G286</f>
        <v>4925.24289212299</v>
      </c>
      <c r="F269" s="26" t="n">
        <f aca="false">parametros_recargas!$E$87*'Plan mensual'!H277+parametros_recargas!$F$87*'Plan mensual'!H278+parametros_recargas!$G$87*'Plan mensual'!H279+parametros_recargas!$H$87*'Plan mensual'!H280+parametros_recargas!$I$87*'Plan mensual'!H281+parametros_recargas!$J$87*'Plan mensual'!H282+parametros_recargas!$K$87*'Plan mensual'!H283+parametros_recargas!$L$87*'Plan mensual'!H284+parametros_recargas!$M$87*'Plan mensual'!H286</f>
        <v>4926.21273513735</v>
      </c>
      <c r="G269" s="26" t="n">
        <f aca="false">parametros_recargas!$E$87*'Plan mensual'!I277+parametros_recargas!$F$87*'Plan mensual'!I278+parametros_recargas!$G$87*'Plan mensual'!I279+parametros_recargas!$H$87*'Plan mensual'!I280+parametros_recargas!$I$87*'Plan mensual'!I281+parametros_recargas!$J$87*'Plan mensual'!I282+parametros_recargas!$K$87*'Plan mensual'!I283+parametros_recargas!$L$87*'Plan mensual'!I284+parametros_recargas!$M$87*'Plan mensual'!I286</f>
        <v>4917.38043647189</v>
      </c>
      <c r="H269" s="26" t="n">
        <f aca="false">parametros_recargas!$E$87*'Plan mensual'!J277+parametros_recargas!$F$87*'Plan mensual'!J278+parametros_recargas!$G$87*'Plan mensual'!J279+parametros_recargas!$H$87*'Plan mensual'!J280+parametros_recargas!$I$87*'Plan mensual'!J281+parametros_recargas!$J$87*'Plan mensual'!J282+parametros_recargas!$K$87*'Plan mensual'!J283+parametros_recargas!$L$87*'Plan mensual'!J284+parametros_recargas!$M$87*'Plan mensual'!J286</f>
        <v>4945.16111310578</v>
      </c>
      <c r="I269" s="26" t="n">
        <f aca="false">parametros_recargas!$E$87*'Plan mensual'!K277+parametros_recargas!$F$87*'Plan mensual'!K278+parametros_recargas!$G$87*'Plan mensual'!K279+parametros_recargas!$H$87*'Plan mensual'!K280+parametros_recargas!$I$87*'Plan mensual'!K281+parametros_recargas!$J$87*'Plan mensual'!K282+parametros_recargas!$K$87*'Plan mensual'!K283+parametros_recargas!$L$87*'Plan mensual'!K284+parametros_recargas!$M$87*'Plan mensual'!K286</f>
        <v>4924.25342800719</v>
      </c>
      <c r="J269" s="26" t="n">
        <f aca="false">parametros_recargas!$E$87*'Plan mensual'!L277+parametros_recargas!$F$87*'Plan mensual'!L278+parametros_recargas!$G$87*'Plan mensual'!L279+parametros_recargas!$H$87*'Plan mensual'!L280+parametros_recargas!$I$87*'Plan mensual'!L281+parametros_recargas!$J$87*'Plan mensual'!L282+parametros_recargas!$K$87*'Plan mensual'!L283+parametros_recargas!$L$87*'Plan mensual'!L284+parametros_recargas!$M$87*'Plan mensual'!L286</f>
        <v>4927.51333386181</v>
      </c>
      <c r="K269" s="26" t="n">
        <f aca="false">parametros_recargas!$E$87*'Plan mensual'!M277+parametros_recargas!$F$87*'Plan mensual'!M278+parametros_recargas!$G$87*'Plan mensual'!M279+parametros_recargas!$H$87*'Plan mensual'!M280+parametros_recargas!$I$87*'Plan mensual'!M281+parametros_recargas!$J$87*'Plan mensual'!M282+parametros_recargas!$K$87*'Plan mensual'!M283+parametros_recargas!$L$87*'Plan mensual'!M284+parametros_recargas!$M$87*'Plan mensual'!M286</f>
        <v>4916.73574313865</v>
      </c>
      <c r="L269" s="26" t="n">
        <f aca="false">parametros_recargas!$E$87*'Plan mensual'!N277+parametros_recargas!$F$87*'Plan mensual'!N278+parametros_recargas!$G$87*'Plan mensual'!N279+parametros_recargas!$H$87*'Plan mensual'!N280+parametros_recargas!$I$87*'Plan mensual'!N281+parametros_recargas!$J$87*'Plan mensual'!N282+parametros_recargas!$K$87*'Plan mensual'!N283+parametros_recargas!$L$87*'Plan mensual'!N284+parametros_recargas!$M$87*'Plan mensual'!N286</f>
        <v>4870.32342917396</v>
      </c>
      <c r="M269" s="26" t="n">
        <f aca="false">parametros_recargas!$E$87*'Plan mensual'!O277+parametros_recargas!$F$87*'Plan mensual'!O278+parametros_recargas!$G$87*'Plan mensual'!O279+parametros_recargas!$H$87*'Plan mensual'!O280+parametros_recargas!$I$87*'Plan mensual'!O281+parametros_recargas!$J$87*'Plan mensual'!O282+parametros_recargas!$K$87*'Plan mensual'!O283+parametros_recargas!$L$87*'Plan mensual'!O284+parametros_recargas!$M$87*'Plan mensual'!O286</f>
        <v>2378.3191395681</v>
      </c>
      <c r="N269" s="8" t="n">
        <f aca="false">SUM(B269:M269)</f>
        <v>55069.385215507</v>
      </c>
      <c r="O269" s="27" t="n">
        <f aca="false">MAX(B269:M269)</f>
        <v>5927.14888825731</v>
      </c>
      <c r="P269" s="13" t="n">
        <f aca="false">O269/parametros_recargas!$B$6</f>
        <v>39.5143259217154</v>
      </c>
    </row>
    <row r="270" customFormat="false" ht="15" hidden="false" customHeight="false" outlineLevel="0" collapsed="false">
      <c r="A270" s="10" t="str">
        <f aca="false">parametros_recargas!$B$88</f>
        <v>Secado</v>
      </c>
      <c r="B270" s="26" t="n">
        <f aca="false">parametros_recargas!$E$88*'Plan mensual'!D277+parametros_recargas!$F$88*'Plan mensual'!D278+parametros_recargas!$G$88*'Plan mensual'!D279+parametros_recargas!$H$88*'Plan mensual'!D280+parametros_recargas!$I$88*'Plan mensual'!D281+parametros_recargas!$J$88*'Plan mensual'!D282+parametros_recargas!$K$88*'Plan mensual'!D283+parametros_recargas!$L$88*'Plan mensual'!D284+parametros_recargas!$M$88*'Plan mensual'!D286</f>
        <v>2119.61350739672</v>
      </c>
      <c r="C270" s="26" t="n">
        <f aca="false">parametros_recargas!$E$88*'Plan mensual'!E277+parametros_recargas!$F$88*'Plan mensual'!E278+parametros_recargas!$G$88*'Plan mensual'!E279+parametros_recargas!$H$88*'Plan mensual'!E280+parametros_recargas!$I$88*'Plan mensual'!E281+parametros_recargas!$J$88*'Plan mensual'!E282+parametros_recargas!$K$88*'Plan mensual'!E283+parametros_recargas!$L$88*'Plan mensual'!E284+parametros_recargas!$M$88*'Plan mensual'!E286</f>
        <v>5479.11198245114</v>
      </c>
      <c r="D270" s="26" t="n">
        <f aca="false">parametros_recargas!$E$88*'Plan mensual'!F277+parametros_recargas!$F$88*'Plan mensual'!F278+parametros_recargas!$G$88*'Plan mensual'!F279+parametros_recargas!$H$88*'Plan mensual'!F280+parametros_recargas!$I$88*'Plan mensual'!F281+parametros_recargas!$J$88*'Plan mensual'!F282+parametros_recargas!$K$88*'Plan mensual'!F283+parametros_recargas!$L$88*'Plan mensual'!F284+parametros_recargas!$M$88*'Plan mensual'!F286</f>
        <v>4617.93785276881</v>
      </c>
      <c r="E270" s="26" t="n">
        <f aca="false">parametros_recargas!$E$88*'Plan mensual'!G277+parametros_recargas!$F$88*'Plan mensual'!G278+parametros_recargas!$G$88*'Plan mensual'!G279+parametros_recargas!$H$88*'Plan mensual'!G280+parametros_recargas!$I$88*'Plan mensual'!G281+parametros_recargas!$J$88*'Plan mensual'!G282+parametros_recargas!$K$88*'Plan mensual'!G283+parametros_recargas!$L$88*'Plan mensual'!G284+parametros_recargas!$M$88*'Plan mensual'!G286</f>
        <v>4637.25936802647</v>
      </c>
      <c r="F270" s="26" t="n">
        <f aca="false">parametros_recargas!$E$88*'Plan mensual'!H277+parametros_recargas!$F$88*'Plan mensual'!H278+parametros_recargas!$G$88*'Plan mensual'!H279+parametros_recargas!$H$88*'Plan mensual'!H280+parametros_recargas!$I$88*'Plan mensual'!H281+parametros_recargas!$J$88*'Plan mensual'!H282+parametros_recargas!$K$88*'Plan mensual'!H283+parametros_recargas!$L$88*'Plan mensual'!H284+parametros_recargas!$M$88*'Plan mensual'!H286</f>
        <v>4638.2680047614</v>
      </c>
      <c r="G270" s="26" t="n">
        <f aca="false">parametros_recargas!$E$88*'Plan mensual'!I277+parametros_recargas!$F$88*'Plan mensual'!I278+parametros_recargas!$G$88*'Plan mensual'!I279+parametros_recargas!$H$88*'Plan mensual'!I280+parametros_recargas!$I$88*'Plan mensual'!I281+parametros_recargas!$J$88*'Plan mensual'!I282+parametros_recargas!$K$88*'Plan mensual'!I283+parametros_recargas!$L$88*'Plan mensual'!I284+parametros_recargas!$M$88*'Plan mensual'!I286</f>
        <v>4629.08241414932</v>
      </c>
      <c r="H270" s="26" t="n">
        <f aca="false">parametros_recargas!$E$88*'Plan mensual'!J277+parametros_recargas!$F$88*'Plan mensual'!J278+parametros_recargas!$G$88*'Plan mensual'!J279+parametros_recargas!$H$88*'Plan mensual'!J280+parametros_recargas!$I$88*'Plan mensual'!J281+parametros_recargas!$J$88*'Plan mensual'!J282+parametros_recargas!$K$88*'Plan mensual'!J283+parametros_recargas!$L$88*'Plan mensual'!J284+parametros_recargas!$M$88*'Plan mensual'!J286</f>
        <v>4657.97431784857</v>
      </c>
      <c r="I270" s="26" t="n">
        <f aca="false">parametros_recargas!$E$88*'Plan mensual'!K277+parametros_recargas!$F$88*'Plan mensual'!K278+parametros_recargas!$G$88*'Plan mensual'!K279+parametros_recargas!$H$88*'Plan mensual'!K280+parametros_recargas!$I$88*'Plan mensual'!K281+parametros_recargas!$J$88*'Plan mensual'!K282+parametros_recargas!$K$88*'Plan mensual'!K283+parametros_recargas!$L$88*'Plan mensual'!K284+parametros_recargas!$M$88*'Plan mensual'!K286</f>
        <v>4636.23032534603</v>
      </c>
      <c r="J270" s="26" t="n">
        <f aca="false">parametros_recargas!$E$88*'Plan mensual'!L277+parametros_recargas!$F$88*'Plan mensual'!L278+parametros_recargas!$G$88*'Plan mensual'!L279+parametros_recargas!$H$88*'Plan mensual'!L280+parametros_recargas!$I$88*'Plan mensual'!L281+parametros_recargas!$J$88*'Plan mensual'!L282+parametros_recargas!$K$88*'Plan mensual'!L283+parametros_recargas!$L$88*'Plan mensual'!L284+parametros_recargas!$M$88*'Plan mensual'!L286</f>
        <v>4639.62062743484</v>
      </c>
      <c r="K270" s="26" t="n">
        <f aca="false">parametros_recargas!$E$88*'Plan mensual'!M277+parametros_recargas!$F$88*'Plan mensual'!M278+parametros_recargas!$G$88*'Plan mensual'!M279+parametros_recargas!$H$88*'Plan mensual'!M280+parametros_recargas!$I$88*'Plan mensual'!M281+parametros_recargas!$J$88*'Plan mensual'!M282+parametros_recargas!$K$88*'Plan mensual'!M283+parametros_recargas!$L$88*'Plan mensual'!M284+parametros_recargas!$M$88*'Plan mensual'!M286</f>
        <v>4628.41193308275</v>
      </c>
      <c r="L270" s="26" t="n">
        <f aca="false">parametros_recargas!$E$88*'Plan mensual'!N277+parametros_recargas!$F$88*'Plan mensual'!N278+parametros_recargas!$G$88*'Plan mensual'!N279+parametros_recargas!$H$88*'Plan mensual'!N280+parametros_recargas!$I$88*'Plan mensual'!N281+parametros_recargas!$J$88*'Plan mensual'!N282+parametros_recargas!$K$88*'Plan mensual'!N283+parametros_recargas!$L$88*'Plan mensual'!N284+parametros_recargas!$M$88*'Plan mensual'!N286</f>
        <v>4580.14312655947</v>
      </c>
      <c r="M270" s="26" t="n">
        <f aca="false">parametros_recargas!$E$88*'Plan mensual'!O277+parametros_recargas!$F$88*'Plan mensual'!O278+parametros_recargas!$G$88*'Plan mensual'!O279+parametros_recargas!$H$88*'Plan mensual'!O280+parametros_recargas!$I$88*'Plan mensual'!O281+parametros_recargas!$J$88*'Plan mensual'!O282+parametros_recargas!$K$88*'Plan mensual'!O283+parametros_recargas!$L$88*'Plan mensual'!O284+parametros_recargas!$M$88*'Plan mensual'!O286</f>
        <v>1988.45866536938</v>
      </c>
      <c r="N270" s="8" t="n">
        <f aca="false">SUM(B270:M270)</f>
        <v>51252.1121251949</v>
      </c>
      <c r="O270" s="27" t="n">
        <f aca="false">MAX(B270:M270)</f>
        <v>5479.11198245114</v>
      </c>
      <c r="P270" s="13" t="n">
        <f aca="false">O270/parametros_recargas!$B$6</f>
        <v>36.5274132163409</v>
      </c>
    </row>
    <row r="271" customFormat="false" ht="15" hidden="false" customHeight="false" outlineLevel="0" collapsed="false">
      <c r="A271" s="10" t="str">
        <f aca="false">parametros_recargas!$B$89</f>
        <v>Inspección interior con videoscopio</v>
      </c>
      <c r="B271" s="26" t="n">
        <f aca="false">parametros_recargas!$E$89*'Plan mensual'!D277+parametros_recargas!$F$89*'Plan mensual'!D278+parametros_recargas!$G$89*'Plan mensual'!D279+parametros_recargas!$H$89*'Plan mensual'!D280+parametros_recargas!$I$89*'Plan mensual'!D281+parametros_recargas!$J$89*'Plan mensual'!D282+parametros_recargas!$K$89*'Plan mensual'!D283+parametros_recargas!$L$89*'Plan mensual'!D284+parametros_recargas!$M$89*'Plan mensual'!D286</f>
        <v>2119.61350739672</v>
      </c>
      <c r="C271" s="26" t="n">
        <f aca="false">parametros_recargas!$E$89*'Plan mensual'!E277+parametros_recargas!$F$89*'Plan mensual'!E278+parametros_recargas!$G$89*'Plan mensual'!E279+parametros_recargas!$H$89*'Plan mensual'!E280+parametros_recargas!$I$89*'Plan mensual'!E281+parametros_recargas!$J$89*'Plan mensual'!E282+parametros_recargas!$K$89*'Plan mensual'!E283+parametros_recargas!$L$89*'Plan mensual'!E284+parametros_recargas!$M$89*'Plan mensual'!E286</f>
        <v>5479.11198245114</v>
      </c>
      <c r="D271" s="26" t="n">
        <f aca="false">parametros_recargas!$E$89*'Plan mensual'!F277+parametros_recargas!$F$89*'Plan mensual'!F278+parametros_recargas!$G$89*'Plan mensual'!F279+parametros_recargas!$H$89*'Plan mensual'!F280+parametros_recargas!$I$89*'Plan mensual'!F281+parametros_recargas!$J$89*'Plan mensual'!F282+parametros_recargas!$K$89*'Plan mensual'!F283+parametros_recargas!$L$89*'Plan mensual'!F284+parametros_recargas!$M$89*'Plan mensual'!F286</f>
        <v>4617.93785276881</v>
      </c>
      <c r="E271" s="26" t="n">
        <f aca="false">parametros_recargas!$E$89*'Plan mensual'!G277+parametros_recargas!$F$89*'Plan mensual'!G278+parametros_recargas!$G$89*'Plan mensual'!G279+parametros_recargas!$H$89*'Plan mensual'!G280+parametros_recargas!$I$89*'Plan mensual'!G281+parametros_recargas!$J$89*'Plan mensual'!G282+parametros_recargas!$K$89*'Plan mensual'!G283+parametros_recargas!$L$89*'Plan mensual'!G284+parametros_recargas!$M$89*'Plan mensual'!G286</f>
        <v>4637.25936802647</v>
      </c>
      <c r="F271" s="26" t="n">
        <f aca="false">parametros_recargas!$E$89*'Plan mensual'!H277+parametros_recargas!$F$89*'Plan mensual'!H278+parametros_recargas!$G$89*'Plan mensual'!H279+parametros_recargas!$H$89*'Plan mensual'!H280+parametros_recargas!$I$89*'Plan mensual'!H281+parametros_recargas!$J$89*'Plan mensual'!H282+parametros_recargas!$K$89*'Plan mensual'!H283+parametros_recargas!$L$89*'Plan mensual'!H284+parametros_recargas!$M$89*'Plan mensual'!H286</f>
        <v>4638.2680047614</v>
      </c>
      <c r="G271" s="26" t="n">
        <f aca="false">parametros_recargas!$E$89*'Plan mensual'!I277+parametros_recargas!$F$89*'Plan mensual'!I278+parametros_recargas!$G$89*'Plan mensual'!I279+parametros_recargas!$H$89*'Plan mensual'!I280+parametros_recargas!$I$89*'Plan mensual'!I281+parametros_recargas!$J$89*'Plan mensual'!I282+parametros_recargas!$K$89*'Plan mensual'!I283+parametros_recargas!$L$89*'Plan mensual'!I284+parametros_recargas!$M$89*'Plan mensual'!I286</f>
        <v>4629.08241414932</v>
      </c>
      <c r="H271" s="26" t="n">
        <f aca="false">parametros_recargas!$E$89*'Plan mensual'!J277+parametros_recargas!$F$89*'Plan mensual'!J278+parametros_recargas!$G$89*'Plan mensual'!J279+parametros_recargas!$H$89*'Plan mensual'!J280+parametros_recargas!$I$89*'Plan mensual'!J281+parametros_recargas!$J$89*'Plan mensual'!J282+parametros_recargas!$K$89*'Plan mensual'!J283+parametros_recargas!$L$89*'Plan mensual'!J284+parametros_recargas!$M$89*'Plan mensual'!J286</f>
        <v>4657.97431784857</v>
      </c>
      <c r="I271" s="26" t="n">
        <f aca="false">parametros_recargas!$E$89*'Plan mensual'!K277+parametros_recargas!$F$89*'Plan mensual'!K278+parametros_recargas!$G$89*'Plan mensual'!K279+parametros_recargas!$H$89*'Plan mensual'!K280+parametros_recargas!$I$89*'Plan mensual'!K281+parametros_recargas!$J$89*'Plan mensual'!K282+parametros_recargas!$K$89*'Plan mensual'!K283+parametros_recargas!$L$89*'Plan mensual'!K284+parametros_recargas!$M$89*'Plan mensual'!K286</f>
        <v>4636.23032534603</v>
      </c>
      <c r="J271" s="26" t="n">
        <f aca="false">parametros_recargas!$E$89*'Plan mensual'!L277+parametros_recargas!$F$89*'Plan mensual'!L278+parametros_recargas!$G$89*'Plan mensual'!L279+parametros_recargas!$H$89*'Plan mensual'!L280+parametros_recargas!$I$89*'Plan mensual'!L281+parametros_recargas!$J$89*'Plan mensual'!L282+parametros_recargas!$K$89*'Plan mensual'!L283+parametros_recargas!$L$89*'Plan mensual'!L284+parametros_recargas!$M$89*'Plan mensual'!L286</f>
        <v>4639.62062743484</v>
      </c>
      <c r="K271" s="26" t="n">
        <f aca="false">parametros_recargas!$E$89*'Plan mensual'!M277+parametros_recargas!$F$89*'Plan mensual'!M278+parametros_recargas!$G$89*'Plan mensual'!M279+parametros_recargas!$H$89*'Plan mensual'!M280+parametros_recargas!$I$89*'Plan mensual'!M281+parametros_recargas!$J$89*'Plan mensual'!M282+parametros_recargas!$K$89*'Plan mensual'!M283+parametros_recargas!$L$89*'Plan mensual'!M284+parametros_recargas!$M$89*'Plan mensual'!M286</f>
        <v>4628.41193308275</v>
      </c>
      <c r="L271" s="26" t="n">
        <f aca="false">parametros_recargas!$E$89*'Plan mensual'!N277+parametros_recargas!$F$89*'Plan mensual'!N278+parametros_recargas!$G$89*'Plan mensual'!N279+parametros_recargas!$H$89*'Plan mensual'!N280+parametros_recargas!$I$89*'Plan mensual'!N281+parametros_recargas!$J$89*'Plan mensual'!N282+parametros_recargas!$K$89*'Plan mensual'!N283+parametros_recargas!$L$89*'Plan mensual'!N284+parametros_recargas!$M$89*'Plan mensual'!N286</f>
        <v>4580.14312655947</v>
      </c>
      <c r="M271" s="26" t="n">
        <f aca="false">parametros_recargas!$E$89*'Plan mensual'!O277+parametros_recargas!$F$89*'Plan mensual'!O278+parametros_recargas!$G$89*'Plan mensual'!O279+parametros_recargas!$H$89*'Plan mensual'!O280+parametros_recargas!$I$89*'Plan mensual'!O281+parametros_recargas!$J$89*'Plan mensual'!O282+parametros_recargas!$K$89*'Plan mensual'!O283+parametros_recargas!$L$89*'Plan mensual'!O284+parametros_recargas!$M$89*'Plan mensual'!O286</f>
        <v>1988.45866536938</v>
      </c>
      <c r="N271" s="8" t="n">
        <f aca="false">SUM(B271:M271)</f>
        <v>51252.1121251949</v>
      </c>
      <c r="O271" s="27" t="n">
        <f aca="false">MAX(B271:M271)</f>
        <v>5479.11198245114</v>
      </c>
      <c r="P271" s="13" t="n">
        <f aca="false">O271/parametros_recargas!$B$6</f>
        <v>36.5274132163409</v>
      </c>
    </row>
    <row r="272" customFormat="false" ht="15" hidden="false" customHeight="false" outlineLevel="0" collapsed="false">
      <c r="A272" s="10" t="str">
        <f aca="false">parametros_recargas!$B$90</f>
        <v>Pintura</v>
      </c>
      <c r="B272" s="26" t="n">
        <f aca="false">parametros_recargas!$E$90*'Plan mensual'!D277+parametros_recargas!$F$90*'Plan mensual'!D278+parametros_recargas!$G$90*'Plan mensual'!D279+parametros_recargas!$H$90*'Plan mensual'!D280+parametros_recargas!$I$90*'Plan mensual'!D281+parametros_recargas!$J$90*'Plan mensual'!D282+parametros_recargas!$K$90*'Plan mensual'!D283+parametros_recargas!$L$90*'Plan mensual'!D284+parametros_recargas!$M$90*'Plan mensual'!D286</f>
        <v>1354.21922127501</v>
      </c>
      <c r="C272" s="26" t="n">
        <f aca="false">parametros_recargas!$E$90*'Plan mensual'!E277+parametros_recargas!$F$90*'Plan mensual'!E278+parametros_recargas!$G$90*'Plan mensual'!E279+parametros_recargas!$H$90*'Plan mensual'!E280+parametros_recargas!$I$90*'Plan mensual'!E281+parametros_recargas!$J$90*'Plan mensual'!E282+parametros_recargas!$K$90*'Plan mensual'!E283+parametros_recargas!$L$90*'Plan mensual'!E284+parametros_recargas!$M$90*'Plan mensual'!E286</f>
        <v>3347.12813523574</v>
      </c>
      <c r="D272" s="26" t="n">
        <f aca="false">parametros_recargas!$E$90*'Plan mensual'!F277+parametros_recargas!$F$90*'Plan mensual'!F278+parametros_recargas!$G$90*'Plan mensual'!F279+parametros_recargas!$H$90*'Plan mensual'!F280+parametros_recargas!$I$90*'Plan mensual'!F281+parametros_recargas!$J$90*'Plan mensual'!F282+parametros_recargas!$K$90*'Plan mensual'!F283+parametros_recargas!$L$90*'Plan mensual'!F284+parametros_recargas!$M$90*'Plan mensual'!F286</f>
        <v>2795.56018975891</v>
      </c>
      <c r="E272" s="26" t="n">
        <f aca="false">parametros_recargas!$E$90*'Plan mensual'!G277+parametros_recargas!$F$90*'Plan mensual'!G278+parametros_recargas!$G$90*'Plan mensual'!G279+parametros_recargas!$H$90*'Plan mensual'!G280+parametros_recargas!$I$90*'Plan mensual'!G281+parametros_recargas!$J$90*'Plan mensual'!G282+parametros_recargas!$K$90*'Plan mensual'!G283+parametros_recargas!$L$90*'Plan mensual'!G284+parametros_recargas!$M$90*'Plan mensual'!G286</f>
        <v>2806.70721779217</v>
      </c>
      <c r="F272" s="26" t="n">
        <f aca="false">parametros_recargas!$E$90*'Plan mensual'!H277+parametros_recargas!$F$90*'Plan mensual'!H278+parametros_recargas!$G$90*'Plan mensual'!H279+parametros_recargas!$H$90*'Plan mensual'!H280+parametros_recargas!$I$90*'Plan mensual'!H281+parametros_recargas!$J$90*'Plan mensual'!H282+parametros_recargas!$K$90*'Plan mensual'!H283+parametros_recargas!$L$90*'Plan mensual'!H284+parametros_recargas!$M$90*'Plan mensual'!H286</f>
        <v>2807.28912360079</v>
      </c>
      <c r="G272" s="26" t="n">
        <f aca="false">parametros_recargas!$E$90*'Plan mensual'!I277+parametros_recargas!$F$90*'Plan mensual'!I278+parametros_recargas!$G$90*'Plan mensual'!I279+parametros_recargas!$H$90*'Plan mensual'!I280+parametros_recargas!$I$90*'Plan mensual'!I281+parametros_recargas!$J$90*'Plan mensual'!I282+parametros_recargas!$K$90*'Plan mensual'!I283+parametros_recargas!$L$90*'Plan mensual'!I284+parametros_recargas!$M$90*'Plan mensual'!I286</f>
        <v>2801.98974440151</v>
      </c>
      <c r="H272" s="26" t="n">
        <f aca="false">parametros_recargas!$E$90*'Plan mensual'!J277+parametros_recargas!$F$90*'Plan mensual'!J278+parametros_recargas!$G$90*'Plan mensual'!J279+parametros_recargas!$H$90*'Plan mensual'!J280+parametros_recargas!$I$90*'Plan mensual'!J281+parametros_recargas!$J$90*'Plan mensual'!J282+parametros_recargas!$K$90*'Plan mensual'!J283+parametros_recargas!$L$90*'Plan mensual'!J284+parametros_recargas!$M$90*'Plan mensual'!J286</f>
        <v>2818.65815038185</v>
      </c>
      <c r="I272" s="26" t="n">
        <f aca="false">parametros_recargas!$E$90*'Plan mensual'!K277+parametros_recargas!$F$90*'Plan mensual'!K278+parametros_recargas!$G$90*'Plan mensual'!K279+parametros_recargas!$H$90*'Plan mensual'!K280+parametros_recargas!$I$90*'Plan mensual'!K281+parametros_recargas!$J$90*'Plan mensual'!K282+parametros_recargas!$K$90*'Plan mensual'!K283+parametros_recargas!$L$90*'Plan mensual'!K284+parametros_recargas!$M$90*'Plan mensual'!K286</f>
        <v>2806.11353932269</v>
      </c>
      <c r="J272" s="26" t="n">
        <f aca="false">parametros_recargas!$E$90*'Plan mensual'!L277+parametros_recargas!$F$90*'Plan mensual'!L278+parametros_recargas!$G$90*'Plan mensual'!L279+parametros_recargas!$H$90*'Plan mensual'!L280+parametros_recargas!$I$90*'Plan mensual'!L281+parametros_recargas!$J$90*'Plan mensual'!L282+parametros_recargas!$K$90*'Plan mensual'!L283+parametros_recargas!$L$90*'Plan mensual'!L284+parametros_recargas!$M$90*'Plan mensual'!L286</f>
        <v>2808.06948283546</v>
      </c>
      <c r="K272" s="26" t="n">
        <f aca="false">parametros_recargas!$E$90*'Plan mensual'!M277+parametros_recargas!$F$90*'Plan mensual'!M278+parametros_recargas!$G$90*'Plan mensual'!M279+parametros_recargas!$H$90*'Plan mensual'!M280+parametros_recargas!$I$90*'Plan mensual'!M281+parametros_recargas!$J$90*'Plan mensual'!M282+parametros_recargas!$K$90*'Plan mensual'!M283+parametros_recargas!$L$90*'Plan mensual'!M284+parametros_recargas!$M$90*'Plan mensual'!M286</f>
        <v>2801.60292840156</v>
      </c>
      <c r="L272" s="26" t="n">
        <f aca="false">parametros_recargas!$E$90*'Plan mensual'!N277+parametros_recargas!$F$90*'Plan mensual'!N278+parametros_recargas!$G$90*'Plan mensual'!N279+parametros_recargas!$H$90*'Plan mensual'!N280+parametros_recargas!$I$90*'Plan mensual'!N281+parametros_recargas!$J$90*'Plan mensual'!N282+parametros_recargas!$K$90*'Plan mensual'!N283+parametros_recargas!$L$90*'Plan mensual'!N284+parametros_recargas!$M$90*'Plan mensual'!N286</f>
        <v>2773.75554002275</v>
      </c>
      <c r="M272" s="26" t="n">
        <f aca="false">parametros_recargas!$E$90*'Plan mensual'!O277+parametros_recargas!$F$90*'Plan mensual'!O278+parametros_recargas!$G$90*'Plan mensual'!O279+parametros_recargas!$H$90*'Plan mensual'!O280+parametros_recargas!$I$90*'Plan mensual'!O281+parametros_recargas!$J$90*'Plan mensual'!O282+parametros_recargas!$K$90*'Plan mensual'!O283+parametros_recargas!$L$90*'Plan mensual'!O284+parametros_recargas!$M$90*'Plan mensual'!O286</f>
        <v>1278.55296625924</v>
      </c>
      <c r="N272" s="8" t="n">
        <f aca="false">SUM(B272:M272)</f>
        <v>31199.6462392877</v>
      </c>
      <c r="O272" s="27" t="n">
        <f aca="false">MAX(B272:M272)</f>
        <v>3347.12813523574</v>
      </c>
      <c r="P272" s="13" t="n">
        <f aca="false">O272/parametros_recargas!$B$6</f>
        <v>22.3141875682383</v>
      </c>
    </row>
    <row r="273" customFormat="false" ht="15" hidden="false" customHeight="false" outlineLevel="0" collapsed="false">
      <c r="A273" s="10" t="str">
        <f aca="false">parametros_recargas!$B$91</f>
        <v>Carga de polvo ABC</v>
      </c>
      <c r="B273" s="26" t="n">
        <f aca="false">parametros_recargas!$E$91*'Plan mensual'!D277+parametros_recargas!$F$91*'Plan mensual'!D278+parametros_recargas!$G$91*'Plan mensual'!D279+parametros_recargas!$H$91*'Plan mensual'!D280+parametros_recargas!$I$91*'Plan mensual'!D281+parametros_recargas!$J$91*'Plan mensual'!D282+parametros_recargas!$K$91*'Plan mensual'!D283+parametros_recargas!$L$91*'Plan mensual'!D284+parametros_recargas!$M$91*'Plan mensual'!D286</f>
        <v>6855.35665878807</v>
      </c>
      <c r="C273" s="26" t="n">
        <f aca="false">parametros_recargas!$E$91*'Plan mensual'!E277+parametros_recargas!$F$91*'Plan mensual'!E278+parametros_recargas!$G$91*'Plan mensual'!E279+parametros_recargas!$H$91*'Plan mensual'!E280+parametros_recargas!$I$91*'Plan mensual'!E281+parametros_recargas!$J$91*'Plan mensual'!E282+parametros_recargas!$K$91*'Plan mensual'!E283+parametros_recargas!$L$91*'Plan mensual'!E284+parametros_recargas!$M$91*'Plan mensual'!E286</f>
        <v>19083.5634517407</v>
      </c>
      <c r="D273" s="26" t="n">
        <f aca="false">parametros_recargas!$E$91*'Plan mensual'!F277+parametros_recargas!$F$91*'Plan mensual'!F278+parametros_recargas!$G$91*'Plan mensual'!F279+parametros_recargas!$H$91*'Plan mensual'!F280+parametros_recargas!$I$91*'Plan mensual'!F281+parametros_recargas!$J$91*'Plan mensual'!F282+parametros_recargas!$K$91*'Plan mensual'!F283+parametros_recargas!$L$91*'Plan mensual'!F284+parametros_recargas!$M$91*'Plan mensual'!F286</f>
        <v>16461.8557691016</v>
      </c>
      <c r="E273" s="26" t="n">
        <f aca="false">parametros_recargas!$E$91*'Plan mensual'!G277+parametros_recargas!$F$91*'Plan mensual'!G278+parametros_recargas!$G$91*'Plan mensual'!G279+parametros_recargas!$H$91*'Plan mensual'!G280+parametros_recargas!$I$91*'Plan mensual'!G281+parametros_recargas!$J$91*'Plan mensual'!G282+parametros_recargas!$K$91*'Plan mensual'!G283+parametros_recargas!$L$91*'Plan mensual'!G284+parametros_recargas!$M$91*'Plan mensual'!G286</f>
        <v>16536.1692893233</v>
      </c>
      <c r="F273" s="26" t="n">
        <f aca="false">parametros_recargas!$E$91*'Plan mensual'!H277+parametros_recargas!$F$91*'Plan mensual'!H278+parametros_recargas!$G$91*'Plan mensual'!H279+parametros_recargas!$H$91*'Plan mensual'!H280+parametros_recargas!$I$91*'Plan mensual'!H281+parametros_recargas!$J$91*'Plan mensual'!H282+parametros_recargas!$K$91*'Plan mensual'!H283+parametros_recargas!$L$91*'Plan mensual'!H284+parametros_recargas!$M$91*'Plan mensual'!H286</f>
        <v>16539.1744613808</v>
      </c>
      <c r="G273" s="26" t="n">
        <f aca="false">parametros_recargas!$E$91*'Plan mensual'!I277+parametros_recargas!$F$91*'Plan mensual'!I278+parametros_recargas!$G$91*'Plan mensual'!I279+parametros_recargas!$H$91*'Plan mensual'!I280+parametros_recargas!$I$91*'Plan mensual'!I281+parametros_recargas!$J$91*'Plan mensual'!I282+parametros_recargas!$K$91*'Plan mensual'!I283+parametros_recargas!$L$91*'Plan mensual'!I284+parametros_recargas!$M$91*'Plan mensual'!I286</f>
        <v>16502.6072258773</v>
      </c>
      <c r="H273" s="26" t="n">
        <f aca="false">parametros_recargas!$E$91*'Plan mensual'!J277+parametros_recargas!$F$91*'Plan mensual'!J278+parametros_recargas!$G$91*'Plan mensual'!J279+parametros_recargas!$H$91*'Plan mensual'!J280+parametros_recargas!$I$91*'Plan mensual'!J281+parametros_recargas!$J$91*'Plan mensual'!J282+parametros_recargas!$K$91*'Plan mensual'!J283+parametros_recargas!$L$91*'Plan mensual'!J284+parametros_recargas!$M$91*'Plan mensual'!J286</f>
        <v>16614.9679732545</v>
      </c>
      <c r="I273" s="26" t="n">
        <f aca="false">parametros_recargas!$E$91*'Plan mensual'!K277+parametros_recargas!$F$91*'Plan mensual'!K278+parametros_recargas!$G$91*'Plan mensual'!K279+parametros_recargas!$H$91*'Plan mensual'!K280+parametros_recargas!$I$91*'Plan mensual'!K281+parametros_recargas!$J$91*'Plan mensual'!K282+parametros_recargas!$K$91*'Plan mensual'!K283+parametros_recargas!$L$91*'Plan mensual'!K284+parametros_recargas!$M$91*'Plan mensual'!K286</f>
        <v>16531.3372328601</v>
      </c>
      <c r="J273" s="26" t="n">
        <f aca="false">parametros_recargas!$E$91*'Plan mensual'!L277+parametros_recargas!$F$91*'Plan mensual'!L278+parametros_recargas!$G$91*'Plan mensual'!L279+parametros_recargas!$H$91*'Plan mensual'!L280+parametros_recargas!$I$91*'Plan mensual'!L281+parametros_recargas!$J$91*'Plan mensual'!L282+parametros_recargas!$K$91*'Plan mensual'!L283+parametros_recargas!$L$91*'Plan mensual'!L284+parametros_recargas!$M$91*'Plan mensual'!L286</f>
        <v>16544.1949358578</v>
      </c>
      <c r="K273" s="26" t="n">
        <f aca="false">parametros_recargas!$E$91*'Plan mensual'!M277+parametros_recargas!$F$91*'Plan mensual'!M278+parametros_recargas!$G$91*'Plan mensual'!M279+parametros_recargas!$H$91*'Plan mensual'!M280+parametros_recargas!$I$91*'Plan mensual'!M281+parametros_recargas!$J$91*'Plan mensual'!M282+parametros_recargas!$K$91*'Plan mensual'!M283+parametros_recargas!$L$91*'Plan mensual'!M284+parametros_recargas!$M$91*'Plan mensual'!M286</f>
        <v>16499.8465321235</v>
      </c>
      <c r="L273" s="26" t="n">
        <f aca="false">parametros_recargas!$E$91*'Plan mensual'!N277+parametros_recargas!$F$91*'Plan mensual'!N278+parametros_recargas!$G$91*'Plan mensual'!N279+parametros_recargas!$H$91*'Plan mensual'!N280+parametros_recargas!$I$91*'Plan mensual'!N281+parametros_recargas!$J$91*'Plan mensual'!N282+parametros_recargas!$K$91*'Plan mensual'!N283+parametros_recargas!$L$91*'Plan mensual'!N284+parametros_recargas!$M$91*'Plan mensual'!N286</f>
        <v>16313.1411558439</v>
      </c>
      <c r="M273" s="26" t="n">
        <f aca="false">parametros_recargas!$E$91*'Plan mensual'!O277+parametros_recargas!$F$91*'Plan mensual'!O278+parametros_recargas!$G$91*'Plan mensual'!O279+parametros_recargas!$H$91*'Plan mensual'!O280+parametros_recargas!$I$91*'Plan mensual'!O281+parametros_recargas!$J$91*'Plan mensual'!O282+parametros_recargas!$K$91*'Plan mensual'!O283+parametros_recargas!$L$91*'Plan mensual'!O284+parametros_recargas!$M$91*'Plan mensual'!O286</f>
        <v>6352.48143826211</v>
      </c>
      <c r="N273" s="8" t="n">
        <f aca="false">SUM(B273:M273)</f>
        <v>180834.696124414</v>
      </c>
      <c r="O273" s="27" t="n">
        <f aca="false">MAX(B273:M273)</f>
        <v>19083.5634517407</v>
      </c>
      <c r="P273" s="13" t="n">
        <f aca="false">O273/parametros_recargas!$B$6</f>
        <v>127.223756344938</v>
      </c>
    </row>
    <row r="274" customFormat="false" ht="15" hidden="false" customHeight="false" outlineLevel="0" collapsed="false">
      <c r="A274" s="10" t="str">
        <f aca="false">parametros_recargas!$B$92</f>
        <v>Carga de polvo BC</v>
      </c>
      <c r="B274" s="26" t="n">
        <f aca="false">parametros_recargas!$E$92*'Plan mensual'!D277+parametros_recargas!$F$92*'Plan mensual'!D278+parametros_recargas!$G$92*'Plan mensual'!D279+parametros_recargas!$H$92*'Plan mensual'!D280+parametros_recargas!$I$92*'Plan mensual'!D281+parametros_recargas!$J$92*'Plan mensual'!D282+parametros_recargas!$K$92*'Plan mensual'!D283+parametros_recargas!$L$92*'Plan mensual'!D284+parametros_recargas!$M$92*'Plan mensual'!D286</f>
        <v>20.9329072661012</v>
      </c>
      <c r="C274" s="26" t="n">
        <f aca="false">parametros_recargas!$E$92*'Plan mensual'!E277+parametros_recargas!$F$92*'Plan mensual'!E278+parametros_recargas!$G$92*'Plan mensual'!E279+parametros_recargas!$H$92*'Plan mensual'!E280+parametros_recargas!$I$92*'Plan mensual'!E281+parametros_recargas!$J$92*'Plan mensual'!E282+parametros_recargas!$K$92*'Plan mensual'!E283+parametros_recargas!$L$92*'Plan mensual'!E284+parametros_recargas!$M$92*'Plan mensual'!E286</f>
        <v>20.9329072661012</v>
      </c>
      <c r="D274" s="26" t="n">
        <f aca="false">parametros_recargas!$E$92*'Plan mensual'!F277+parametros_recargas!$F$92*'Plan mensual'!F278+parametros_recargas!$G$92*'Plan mensual'!F279+parametros_recargas!$H$92*'Plan mensual'!F280+parametros_recargas!$I$92*'Plan mensual'!F281+parametros_recargas!$J$92*'Plan mensual'!F282+parametros_recargas!$K$92*'Plan mensual'!F283+parametros_recargas!$L$92*'Plan mensual'!F284+parametros_recargas!$M$92*'Plan mensual'!F286</f>
        <v>20.9329072661012</v>
      </c>
      <c r="E274" s="26" t="n">
        <f aca="false">parametros_recargas!$E$92*'Plan mensual'!G277+parametros_recargas!$F$92*'Plan mensual'!G278+parametros_recargas!$G$92*'Plan mensual'!G279+parametros_recargas!$H$92*'Plan mensual'!G280+parametros_recargas!$I$92*'Plan mensual'!G281+parametros_recargas!$J$92*'Plan mensual'!G282+parametros_recargas!$K$92*'Plan mensual'!G283+parametros_recargas!$L$92*'Plan mensual'!G284+parametros_recargas!$M$92*'Plan mensual'!G286</f>
        <v>20.9329072661012</v>
      </c>
      <c r="F274" s="26" t="n">
        <f aca="false">parametros_recargas!$E$92*'Plan mensual'!H277+parametros_recargas!$F$92*'Plan mensual'!H278+parametros_recargas!$G$92*'Plan mensual'!H279+parametros_recargas!$H$92*'Plan mensual'!H280+parametros_recargas!$I$92*'Plan mensual'!H281+parametros_recargas!$J$92*'Plan mensual'!H282+parametros_recargas!$K$92*'Plan mensual'!H283+parametros_recargas!$L$92*'Plan mensual'!H284+parametros_recargas!$M$92*'Plan mensual'!H286</f>
        <v>20.9329072661012</v>
      </c>
      <c r="G274" s="26" t="n">
        <f aca="false">parametros_recargas!$E$92*'Plan mensual'!I277+parametros_recargas!$F$92*'Plan mensual'!I278+parametros_recargas!$G$92*'Plan mensual'!I279+parametros_recargas!$H$92*'Plan mensual'!I280+parametros_recargas!$I$92*'Plan mensual'!I281+parametros_recargas!$J$92*'Plan mensual'!I282+parametros_recargas!$K$92*'Plan mensual'!I283+parametros_recargas!$L$92*'Plan mensual'!I284+parametros_recargas!$M$92*'Plan mensual'!I286</f>
        <v>20.9329072661012</v>
      </c>
      <c r="H274" s="26" t="n">
        <f aca="false">parametros_recargas!$E$92*'Plan mensual'!J277+parametros_recargas!$F$92*'Plan mensual'!J278+parametros_recargas!$G$92*'Plan mensual'!J279+parametros_recargas!$H$92*'Plan mensual'!J280+parametros_recargas!$I$92*'Plan mensual'!J281+parametros_recargas!$J$92*'Plan mensual'!J282+parametros_recargas!$K$92*'Plan mensual'!J283+parametros_recargas!$L$92*'Plan mensual'!J284+parametros_recargas!$M$92*'Plan mensual'!J286</f>
        <v>20.9329072661012</v>
      </c>
      <c r="I274" s="26" t="n">
        <f aca="false">parametros_recargas!$E$92*'Plan mensual'!K277+parametros_recargas!$F$92*'Plan mensual'!K278+parametros_recargas!$G$92*'Plan mensual'!K279+parametros_recargas!$H$92*'Plan mensual'!K280+parametros_recargas!$I$92*'Plan mensual'!K281+parametros_recargas!$J$92*'Plan mensual'!K282+parametros_recargas!$K$92*'Plan mensual'!K283+parametros_recargas!$L$92*'Plan mensual'!K284+parametros_recargas!$M$92*'Plan mensual'!K286</f>
        <v>20.9329072661012</v>
      </c>
      <c r="J274" s="26" t="n">
        <f aca="false">parametros_recargas!$E$92*'Plan mensual'!L277+parametros_recargas!$F$92*'Plan mensual'!L278+parametros_recargas!$G$92*'Plan mensual'!L279+parametros_recargas!$H$92*'Plan mensual'!L280+parametros_recargas!$I$92*'Plan mensual'!L281+parametros_recargas!$J$92*'Plan mensual'!L282+parametros_recargas!$K$92*'Plan mensual'!L283+parametros_recargas!$L$92*'Plan mensual'!L284+parametros_recargas!$M$92*'Plan mensual'!L286</f>
        <v>20.9329072661012</v>
      </c>
      <c r="K274" s="26" t="n">
        <f aca="false">parametros_recargas!$E$92*'Plan mensual'!M277+parametros_recargas!$F$92*'Plan mensual'!M278+parametros_recargas!$G$92*'Plan mensual'!M279+parametros_recargas!$H$92*'Plan mensual'!M280+parametros_recargas!$I$92*'Plan mensual'!M281+parametros_recargas!$J$92*'Plan mensual'!M282+parametros_recargas!$K$92*'Plan mensual'!M283+parametros_recargas!$L$92*'Plan mensual'!M284+parametros_recargas!$M$92*'Plan mensual'!M286</f>
        <v>20.9329072661012</v>
      </c>
      <c r="L274" s="26" t="n">
        <f aca="false">parametros_recargas!$E$92*'Plan mensual'!N277+parametros_recargas!$F$92*'Plan mensual'!N278+parametros_recargas!$G$92*'Plan mensual'!N279+parametros_recargas!$H$92*'Plan mensual'!N280+parametros_recargas!$I$92*'Plan mensual'!N281+parametros_recargas!$J$92*'Plan mensual'!N282+parametros_recargas!$K$92*'Plan mensual'!N283+parametros_recargas!$L$92*'Plan mensual'!N284+parametros_recargas!$M$92*'Plan mensual'!N286</f>
        <v>20.9329072661012</v>
      </c>
      <c r="M274" s="26" t="n">
        <f aca="false">parametros_recargas!$E$92*'Plan mensual'!O277+parametros_recargas!$F$92*'Plan mensual'!O278+parametros_recargas!$G$92*'Plan mensual'!O279+parametros_recargas!$H$92*'Plan mensual'!O280+parametros_recargas!$I$92*'Plan mensual'!O281+parametros_recargas!$J$92*'Plan mensual'!O282+parametros_recargas!$K$92*'Plan mensual'!O283+parametros_recargas!$L$92*'Plan mensual'!O284+parametros_recargas!$M$92*'Plan mensual'!O286</f>
        <v>20.9329072661012</v>
      </c>
      <c r="N274" s="8" t="n">
        <f aca="false">SUM(B274:M274)</f>
        <v>251.194887193214</v>
      </c>
      <c r="O274" s="27" t="n">
        <f aca="false">MAX(B274:M274)</f>
        <v>20.9329072661012</v>
      </c>
      <c r="P274" s="13" t="n">
        <f aca="false">O274/parametros_recargas!$B$6</f>
        <v>0.139552715107341</v>
      </c>
    </row>
    <row r="275" customFormat="false" ht="15" hidden="false" customHeight="false" outlineLevel="0" collapsed="false">
      <c r="A275" s="10" t="str">
        <f aca="false">parametros_recargas!$B$93</f>
        <v>Descarga y carga Clase D</v>
      </c>
      <c r="B275" s="26" t="n">
        <f aca="false">parametros_recargas!$E$93*'Plan mensual'!D277+parametros_recargas!$F$93*'Plan mensual'!D278+parametros_recargas!$G$93*'Plan mensual'!D279+parametros_recargas!$H$93*'Plan mensual'!D280+parametros_recargas!$I$93*'Plan mensual'!D281+parametros_recargas!$J$93*'Plan mensual'!D282+parametros_recargas!$K$93*'Plan mensual'!D283+parametros_recargas!$L$93*'Plan mensual'!D284+parametros_recargas!$M$93*'Plan mensual'!D286</f>
        <v>18.8950362738789</v>
      </c>
      <c r="C275" s="26" t="n">
        <f aca="false">parametros_recargas!$E$93*'Plan mensual'!E277+parametros_recargas!$F$93*'Plan mensual'!E278+parametros_recargas!$G$93*'Plan mensual'!E279+parametros_recargas!$H$93*'Plan mensual'!E280+parametros_recargas!$I$93*'Plan mensual'!E281+parametros_recargas!$J$93*'Plan mensual'!E282+parametros_recargas!$K$93*'Plan mensual'!E283+parametros_recargas!$L$93*'Plan mensual'!E284+parametros_recargas!$M$93*'Plan mensual'!E286</f>
        <v>18.8950362738789</v>
      </c>
      <c r="D275" s="26" t="n">
        <f aca="false">parametros_recargas!$E$93*'Plan mensual'!F277+parametros_recargas!$F$93*'Plan mensual'!F278+parametros_recargas!$G$93*'Plan mensual'!F279+parametros_recargas!$H$93*'Plan mensual'!F280+parametros_recargas!$I$93*'Plan mensual'!F281+parametros_recargas!$J$93*'Plan mensual'!F282+parametros_recargas!$K$93*'Plan mensual'!F283+parametros_recargas!$L$93*'Plan mensual'!F284+parametros_recargas!$M$93*'Plan mensual'!F286</f>
        <v>18.8950362738789</v>
      </c>
      <c r="E275" s="26" t="n">
        <f aca="false">parametros_recargas!$E$93*'Plan mensual'!G277+parametros_recargas!$F$93*'Plan mensual'!G278+parametros_recargas!$G$93*'Plan mensual'!G279+parametros_recargas!$H$93*'Plan mensual'!G280+parametros_recargas!$I$93*'Plan mensual'!G281+parametros_recargas!$J$93*'Plan mensual'!G282+parametros_recargas!$K$93*'Plan mensual'!G283+parametros_recargas!$L$93*'Plan mensual'!G284+parametros_recargas!$M$93*'Plan mensual'!G286</f>
        <v>18.8950362738789</v>
      </c>
      <c r="F275" s="26" t="n">
        <f aca="false">parametros_recargas!$E$93*'Plan mensual'!H277+parametros_recargas!$F$93*'Plan mensual'!H278+parametros_recargas!$G$93*'Plan mensual'!H279+parametros_recargas!$H$93*'Plan mensual'!H280+parametros_recargas!$I$93*'Plan mensual'!H281+parametros_recargas!$J$93*'Plan mensual'!H282+parametros_recargas!$K$93*'Plan mensual'!H283+parametros_recargas!$L$93*'Plan mensual'!H284+parametros_recargas!$M$93*'Plan mensual'!H286</f>
        <v>18.8950362738789</v>
      </c>
      <c r="G275" s="26" t="n">
        <f aca="false">parametros_recargas!$E$93*'Plan mensual'!I277+parametros_recargas!$F$93*'Plan mensual'!I278+parametros_recargas!$G$93*'Plan mensual'!I279+parametros_recargas!$H$93*'Plan mensual'!I280+parametros_recargas!$I$93*'Plan mensual'!I281+parametros_recargas!$J$93*'Plan mensual'!I282+parametros_recargas!$K$93*'Plan mensual'!I283+parametros_recargas!$L$93*'Plan mensual'!I284+parametros_recargas!$M$93*'Plan mensual'!I286</f>
        <v>18.8950362738789</v>
      </c>
      <c r="H275" s="26" t="n">
        <f aca="false">parametros_recargas!$E$93*'Plan mensual'!J277+parametros_recargas!$F$93*'Plan mensual'!J278+parametros_recargas!$G$93*'Plan mensual'!J279+parametros_recargas!$H$93*'Plan mensual'!J280+parametros_recargas!$I$93*'Plan mensual'!J281+parametros_recargas!$J$93*'Plan mensual'!J282+parametros_recargas!$K$93*'Plan mensual'!J283+parametros_recargas!$L$93*'Plan mensual'!J284+parametros_recargas!$M$93*'Plan mensual'!J286</f>
        <v>18.8950362738789</v>
      </c>
      <c r="I275" s="26" t="n">
        <f aca="false">parametros_recargas!$E$93*'Plan mensual'!K277+parametros_recargas!$F$93*'Plan mensual'!K278+parametros_recargas!$G$93*'Plan mensual'!K279+parametros_recargas!$H$93*'Plan mensual'!K280+parametros_recargas!$I$93*'Plan mensual'!K281+parametros_recargas!$J$93*'Plan mensual'!K282+parametros_recargas!$K$93*'Plan mensual'!K283+parametros_recargas!$L$93*'Plan mensual'!K284+parametros_recargas!$M$93*'Plan mensual'!K286</f>
        <v>18.8950362738789</v>
      </c>
      <c r="J275" s="26" t="n">
        <f aca="false">parametros_recargas!$E$93*'Plan mensual'!L277+parametros_recargas!$F$93*'Plan mensual'!L278+parametros_recargas!$G$93*'Plan mensual'!L279+parametros_recargas!$H$93*'Plan mensual'!L280+parametros_recargas!$I$93*'Plan mensual'!L281+parametros_recargas!$J$93*'Plan mensual'!L282+parametros_recargas!$K$93*'Plan mensual'!L283+parametros_recargas!$L$93*'Plan mensual'!L284+parametros_recargas!$M$93*'Plan mensual'!L286</f>
        <v>18.8950362738789</v>
      </c>
      <c r="K275" s="26" t="n">
        <f aca="false">parametros_recargas!$E$93*'Plan mensual'!M277+parametros_recargas!$F$93*'Plan mensual'!M278+parametros_recargas!$G$93*'Plan mensual'!M279+parametros_recargas!$H$93*'Plan mensual'!M280+parametros_recargas!$I$93*'Plan mensual'!M281+parametros_recargas!$J$93*'Plan mensual'!M282+parametros_recargas!$K$93*'Plan mensual'!M283+parametros_recargas!$L$93*'Plan mensual'!M284+parametros_recargas!$M$93*'Plan mensual'!M286</f>
        <v>18.8950362738789</v>
      </c>
      <c r="L275" s="26" t="n">
        <f aca="false">parametros_recargas!$E$93*'Plan mensual'!N277+parametros_recargas!$F$93*'Plan mensual'!N278+parametros_recargas!$G$93*'Plan mensual'!N279+parametros_recargas!$H$93*'Plan mensual'!N280+parametros_recargas!$I$93*'Plan mensual'!N281+parametros_recargas!$J$93*'Plan mensual'!N282+parametros_recargas!$K$93*'Plan mensual'!N283+parametros_recargas!$L$93*'Plan mensual'!N284+parametros_recargas!$M$93*'Plan mensual'!N286</f>
        <v>18.8950362738789</v>
      </c>
      <c r="M275" s="26" t="n">
        <f aca="false">parametros_recargas!$E$93*'Plan mensual'!O277+parametros_recargas!$F$93*'Plan mensual'!O278+parametros_recargas!$G$93*'Plan mensual'!O279+parametros_recargas!$H$93*'Plan mensual'!O280+parametros_recargas!$I$93*'Plan mensual'!O281+parametros_recargas!$J$93*'Plan mensual'!O282+parametros_recargas!$K$93*'Plan mensual'!O283+parametros_recargas!$L$93*'Plan mensual'!O284+parametros_recargas!$M$93*'Plan mensual'!O286</f>
        <v>18.8950362738789</v>
      </c>
      <c r="N275" s="8" t="n">
        <f aca="false">SUM(B275:M275)</f>
        <v>226.740435286546</v>
      </c>
      <c r="O275" s="27" t="n">
        <f aca="false">MAX(B275:M275)</f>
        <v>18.8950362738789</v>
      </c>
      <c r="P275" s="13" t="n">
        <f aca="false">O275/parametros_recargas!$B$6</f>
        <v>0.125966908492526</v>
      </c>
    </row>
    <row r="276" customFormat="false" ht="15" hidden="false" customHeight="false" outlineLevel="0" collapsed="false">
      <c r="A276" s="10" t="str">
        <f aca="false">parametros_recargas!$B$94</f>
        <v>Carga de agua / AFFF / sales K</v>
      </c>
      <c r="B276" s="26" t="n">
        <f aca="false">parametros_recargas!$E$94*'Plan mensual'!D277+parametros_recargas!$F$94*'Plan mensual'!D278+parametros_recargas!$G$94*'Plan mensual'!D279+parametros_recargas!$H$94*'Plan mensual'!D280+parametros_recargas!$I$94*'Plan mensual'!D281+parametros_recargas!$J$94*'Plan mensual'!D282+parametros_recargas!$K$94*'Plan mensual'!D283+parametros_recargas!$L$94*'Plan mensual'!D284+parametros_recargas!$M$94*'Plan mensual'!D286</f>
        <v>783.425508930794</v>
      </c>
      <c r="C276" s="26" t="n">
        <f aca="false">parametros_recargas!$E$94*'Plan mensual'!E277+parametros_recargas!$F$94*'Plan mensual'!E278+parametros_recargas!$G$94*'Plan mensual'!E279+parametros_recargas!$H$94*'Plan mensual'!E280+parametros_recargas!$I$94*'Plan mensual'!E281+parametros_recargas!$J$94*'Plan mensual'!E282+parametros_recargas!$K$94*'Plan mensual'!E283+parametros_recargas!$L$94*'Plan mensual'!E284+parametros_recargas!$M$94*'Plan mensual'!E286</f>
        <v>1103.90632129284</v>
      </c>
      <c r="D276" s="26" t="n">
        <f aca="false">parametros_recargas!$E$94*'Plan mensual'!F277+parametros_recargas!$F$94*'Plan mensual'!F278+parametros_recargas!$G$94*'Plan mensual'!F279+parametros_recargas!$H$94*'Plan mensual'!F280+parametros_recargas!$I$94*'Plan mensual'!F281+parametros_recargas!$J$94*'Plan mensual'!F282+parametros_recargas!$K$94*'Plan mensual'!F283+parametros_recargas!$L$94*'Plan mensual'!F284+parametros_recargas!$M$94*'Plan mensual'!F286</f>
        <v>783.425508930794</v>
      </c>
      <c r="E276" s="26" t="n">
        <f aca="false">parametros_recargas!$E$94*'Plan mensual'!G277+parametros_recargas!$F$94*'Plan mensual'!G278+parametros_recargas!$G$94*'Plan mensual'!G279+parametros_recargas!$H$94*'Plan mensual'!G280+parametros_recargas!$I$94*'Plan mensual'!G281+parametros_recargas!$J$94*'Plan mensual'!G282+parametros_recargas!$K$94*'Plan mensual'!G283+parametros_recargas!$L$94*'Plan mensual'!G284+parametros_recargas!$M$94*'Plan mensual'!G286</f>
        <v>783.425508930794</v>
      </c>
      <c r="F276" s="26" t="n">
        <f aca="false">parametros_recargas!$E$94*'Plan mensual'!H277+parametros_recargas!$F$94*'Plan mensual'!H278+parametros_recargas!$G$94*'Plan mensual'!H279+parametros_recargas!$H$94*'Plan mensual'!H280+parametros_recargas!$I$94*'Plan mensual'!H281+parametros_recargas!$J$94*'Plan mensual'!H282+parametros_recargas!$K$94*'Plan mensual'!H283+parametros_recargas!$L$94*'Plan mensual'!H284+parametros_recargas!$M$94*'Plan mensual'!H286</f>
        <v>783.425508930794</v>
      </c>
      <c r="G276" s="26" t="n">
        <f aca="false">parametros_recargas!$E$94*'Plan mensual'!I277+parametros_recargas!$F$94*'Plan mensual'!I278+parametros_recargas!$G$94*'Plan mensual'!I279+parametros_recargas!$H$94*'Plan mensual'!I280+parametros_recargas!$I$94*'Plan mensual'!I281+parametros_recargas!$J$94*'Plan mensual'!I282+parametros_recargas!$K$94*'Plan mensual'!I283+parametros_recargas!$L$94*'Plan mensual'!I284+parametros_recargas!$M$94*'Plan mensual'!I286</f>
        <v>783.425508930794</v>
      </c>
      <c r="H276" s="26" t="n">
        <f aca="false">parametros_recargas!$E$94*'Plan mensual'!J277+parametros_recargas!$F$94*'Plan mensual'!J278+parametros_recargas!$G$94*'Plan mensual'!J279+parametros_recargas!$H$94*'Plan mensual'!J280+parametros_recargas!$I$94*'Plan mensual'!J281+parametros_recargas!$J$94*'Plan mensual'!J282+parametros_recargas!$K$94*'Plan mensual'!J283+parametros_recargas!$L$94*'Plan mensual'!J284+parametros_recargas!$M$94*'Plan mensual'!J286</f>
        <v>783.425508930794</v>
      </c>
      <c r="I276" s="26" t="n">
        <f aca="false">parametros_recargas!$E$94*'Plan mensual'!K277+parametros_recargas!$F$94*'Plan mensual'!K278+parametros_recargas!$G$94*'Plan mensual'!K279+parametros_recargas!$H$94*'Plan mensual'!K280+parametros_recargas!$I$94*'Plan mensual'!K281+parametros_recargas!$J$94*'Plan mensual'!K282+parametros_recargas!$K$94*'Plan mensual'!K283+parametros_recargas!$L$94*'Plan mensual'!K284+parametros_recargas!$M$94*'Plan mensual'!K286</f>
        <v>783.425508930794</v>
      </c>
      <c r="J276" s="26" t="n">
        <f aca="false">parametros_recargas!$E$94*'Plan mensual'!L277+parametros_recargas!$F$94*'Plan mensual'!L278+parametros_recargas!$G$94*'Plan mensual'!L279+parametros_recargas!$H$94*'Plan mensual'!L280+parametros_recargas!$I$94*'Plan mensual'!L281+parametros_recargas!$J$94*'Plan mensual'!L282+parametros_recargas!$K$94*'Plan mensual'!L283+parametros_recargas!$L$94*'Plan mensual'!L284+parametros_recargas!$M$94*'Plan mensual'!L286</f>
        <v>783.425508930794</v>
      </c>
      <c r="K276" s="26" t="n">
        <f aca="false">parametros_recargas!$E$94*'Plan mensual'!M277+parametros_recargas!$F$94*'Plan mensual'!M278+parametros_recargas!$G$94*'Plan mensual'!M279+parametros_recargas!$H$94*'Plan mensual'!M280+parametros_recargas!$I$94*'Plan mensual'!M281+parametros_recargas!$J$94*'Plan mensual'!M282+parametros_recargas!$K$94*'Plan mensual'!M283+parametros_recargas!$L$94*'Plan mensual'!M284+parametros_recargas!$M$94*'Plan mensual'!M286</f>
        <v>783.425508930794</v>
      </c>
      <c r="L276" s="26" t="n">
        <f aca="false">parametros_recargas!$E$94*'Plan mensual'!N277+parametros_recargas!$F$94*'Plan mensual'!N278+parametros_recargas!$G$94*'Plan mensual'!N279+parametros_recargas!$H$94*'Plan mensual'!N280+parametros_recargas!$I$94*'Plan mensual'!N281+parametros_recargas!$J$94*'Plan mensual'!N282+parametros_recargas!$K$94*'Plan mensual'!N283+parametros_recargas!$L$94*'Plan mensual'!N284+parametros_recargas!$M$94*'Plan mensual'!N286</f>
        <v>783.425508930794</v>
      </c>
      <c r="M276" s="26" t="n">
        <f aca="false">parametros_recargas!$E$94*'Plan mensual'!O277+parametros_recargas!$F$94*'Plan mensual'!O278+parametros_recargas!$G$94*'Plan mensual'!O279+parametros_recargas!$H$94*'Plan mensual'!O280+parametros_recargas!$I$94*'Plan mensual'!O281+parametros_recargas!$J$94*'Plan mensual'!O282+parametros_recargas!$K$94*'Plan mensual'!O283+parametros_recargas!$L$94*'Plan mensual'!O284+parametros_recargas!$M$94*'Plan mensual'!O286</f>
        <v>783.425508930794</v>
      </c>
      <c r="N276" s="8" t="n">
        <f aca="false">SUM(B276:M276)</f>
        <v>9721.58691953158</v>
      </c>
      <c r="O276" s="27" t="n">
        <f aca="false">MAX(B276:M276)</f>
        <v>1103.90632129284</v>
      </c>
      <c r="P276" s="13" t="n">
        <f aca="false">O276/parametros_recargas!$B$6</f>
        <v>7.35937547528562</v>
      </c>
    </row>
    <row r="277" customFormat="false" ht="15" hidden="false" customHeight="false" outlineLevel="0" collapsed="false">
      <c r="A277" s="10" t="str">
        <f aca="false">parametros_recargas!$B$95</f>
        <v>Carga de CO₂</v>
      </c>
      <c r="B277" s="26" t="n">
        <f aca="false">parametros_recargas!$E$95*'Plan mensual'!D277+parametros_recargas!$F$95*'Plan mensual'!D278+parametros_recargas!$G$95*'Plan mensual'!D279+parametros_recargas!$H$95*'Plan mensual'!D280+parametros_recargas!$I$95*'Plan mensual'!D281+parametros_recargas!$J$95*'Plan mensual'!D282+parametros_recargas!$K$95*'Plan mensual'!D283+parametros_recargas!$L$95*'Plan mensual'!D284+parametros_recargas!$M$95*'Plan mensual'!D286</f>
        <v>445.859535667197</v>
      </c>
      <c r="C277" s="26" t="n">
        <f aca="false">parametros_recargas!$E$95*'Plan mensual'!E277+parametros_recargas!$F$95*'Plan mensual'!E278+parametros_recargas!$G$95*'Plan mensual'!E279+parametros_recargas!$H$95*'Plan mensual'!E280+parametros_recargas!$I$95*'Plan mensual'!E281+parametros_recargas!$J$95*'Plan mensual'!E282+parametros_recargas!$K$95*'Plan mensual'!E283+parametros_recargas!$L$95*'Plan mensual'!E284+parametros_recargas!$M$95*'Plan mensual'!E286</f>
        <v>696.68485484226</v>
      </c>
      <c r="D277" s="26" t="n">
        <f aca="false">parametros_recargas!$E$95*'Plan mensual'!F277+parametros_recargas!$F$95*'Plan mensual'!F278+parametros_recargas!$G$95*'Plan mensual'!F279+parametros_recargas!$H$95*'Plan mensual'!F280+parametros_recargas!$I$95*'Plan mensual'!F281+parametros_recargas!$J$95*'Plan mensual'!F282+parametros_recargas!$K$95*'Plan mensual'!F283+parametros_recargas!$L$95*'Plan mensual'!F284+parametros_recargas!$M$95*'Plan mensual'!F286</f>
        <v>445.859535667197</v>
      </c>
      <c r="E277" s="26" t="n">
        <f aca="false">parametros_recargas!$E$95*'Plan mensual'!G277+parametros_recargas!$F$95*'Plan mensual'!G278+parametros_recargas!$G$95*'Plan mensual'!G279+parametros_recargas!$H$95*'Plan mensual'!G280+parametros_recargas!$I$95*'Plan mensual'!G281+parametros_recargas!$J$95*'Plan mensual'!G282+parametros_recargas!$K$95*'Plan mensual'!G283+parametros_recargas!$L$95*'Plan mensual'!G284+parametros_recargas!$M$95*'Plan mensual'!G286</f>
        <v>445.859535667197</v>
      </c>
      <c r="F277" s="26" t="n">
        <f aca="false">parametros_recargas!$E$95*'Plan mensual'!H277+parametros_recargas!$F$95*'Plan mensual'!H278+parametros_recargas!$G$95*'Plan mensual'!H279+parametros_recargas!$H$95*'Plan mensual'!H280+parametros_recargas!$I$95*'Plan mensual'!H281+parametros_recargas!$J$95*'Plan mensual'!H282+parametros_recargas!$K$95*'Plan mensual'!H283+parametros_recargas!$L$95*'Plan mensual'!H284+parametros_recargas!$M$95*'Plan mensual'!H286</f>
        <v>445.859535667197</v>
      </c>
      <c r="G277" s="26" t="n">
        <f aca="false">parametros_recargas!$E$95*'Plan mensual'!I277+parametros_recargas!$F$95*'Plan mensual'!I278+parametros_recargas!$G$95*'Plan mensual'!I279+parametros_recargas!$H$95*'Plan mensual'!I280+parametros_recargas!$I$95*'Plan mensual'!I281+parametros_recargas!$J$95*'Plan mensual'!I282+parametros_recargas!$K$95*'Plan mensual'!I283+parametros_recargas!$L$95*'Plan mensual'!I284+parametros_recargas!$M$95*'Plan mensual'!I286</f>
        <v>445.859535667197</v>
      </c>
      <c r="H277" s="26" t="n">
        <f aca="false">parametros_recargas!$E$95*'Plan mensual'!J277+parametros_recargas!$F$95*'Plan mensual'!J278+parametros_recargas!$G$95*'Plan mensual'!J279+parametros_recargas!$H$95*'Plan mensual'!J280+parametros_recargas!$I$95*'Plan mensual'!J281+parametros_recargas!$J$95*'Plan mensual'!J282+parametros_recargas!$K$95*'Plan mensual'!J283+parametros_recargas!$L$95*'Plan mensual'!J284+parametros_recargas!$M$95*'Plan mensual'!J286</f>
        <v>445.859535667197</v>
      </c>
      <c r="I277" s="26" t="n">
        <f aca="false">parametros_recargas!$E$95*'Plan mensual'!K277+parametros_recargas!$F$95*'Plan mensual'!K278+parametros_recargas!$G$95*'Plan mensual'!K279+parametros_recargas!$H$95*'Plan mensual'!K280+parametros_recargas!$I$95*'Plan mensual'!K281+parametros_recargas!$J$95*'Plan mensual'!K282+parametros_recargas!$K$95*'Plan mensual'!K283+parametros_recargas!$L$95*'Plan mensual'!K284+parametros_recargas!$M$95*'Plan mensual'!K286</f>
        <v>445.859535667197</v>
      </c>
      <c r="J277" s="26" t="n">
        <f aca="false">parametros_recargas!$E$95*'Plan mensual'!L277+parametros_recargas!$F$95*'Plan mensual'!L278+parametros_recargas!$G$95*'Plan mensual'!L279+parametros_recargas!$H$95*'Plan mensual'!L280+parametros_recargas!$I$95*'Plan mensual'!L281+parametros_recargas!$J$95*'Plan mensual'!L282+parametros_recargas!$K$95*'Plan mensual'!L283+parametros_recargas!$L$95*'Plan mensual'!L284+parametros_recargas!$M$95*'Plan mensual'!L286</f>
        <v>445.859535667197</v>
      </c>
      <c r="K277" s="26" t="n">
        <f aca="false">parametros_recargas!$E$95*'Plan mensual'!M277+parametros_recargas!$F$95*'Plan mensual'!M278+parametros_recargas!$G$95*'Plan mensual'!M279+parametros_recargas!$H$95*'Plan mensual'!M280+parametros_recargas!$I$95*'Plan mensual'!M281+parametros_recargas!$J$95*'Plan mensual'!M282+parametros_recargas!$K$95*'Plan mensual'!M283+parametros_recargas!$L$95*'Plan mensual'!M284+parametros_recargas!$M$95*'Plan mensual'!M286</f>
        <v>445.859535667197</v>
      </c>
      <c r="L277" s="26" t="n">
        <f aca="false">parametros_recargas!$E$95*'Plan mensual'!N277+parametros_recargas!$F$95*'Plan mensual'!N278+parametros_recargas!$G$95*'Plan mensual'!N279+parametros_recargas!$H$95*'Plan mensual'!N280+parametros_recargas!$I$95*'Plan mensual'!N281+parametros_recargas!$J$95*'Plan mensual'!N282+parametros_recargas!$K$95*'Plan mensual'!N283+parametros_recargas!$L$95*'Plan mensual'!N284+parametros_recargas!$M$95*'Plan mensual'!N286</f>
        <v>445.859535667197</v>
      </c>
      <c r="M277" s="26" t="n">
        <f aca="false">parametros_recargas!$E$95*'Plan mensual'!O277+parametros_recargas!$F$95*'Plan mensual'!O278+parametros_recargas!$G$95*'Plan mensual'!O279+parametros_recargas!$H$95*'Plan mensual'!O280+parametros_recargas!$I$95*'Plan mensual'!O281+parametros_recargas!$J$95*'Plan mensual'!O282+parametros_recargas!$K$95*'Plan mensual'!O283+parametros_recargas!$L$95*'Plan mensual'!O284+parametros_recargas!$M$95*'Plan mensual'!O286</f>
        <v>445.859535667197</v>
      </c>
      <c r="N277" s="8" t="n">
        <f aca="false">SUM(B277:M277)</f>
        <v>5601.13974718143</v>
      </c>
      <c r="O277" s="27" t="n">
        <f aca="false">MAX(B277:M277)</f>
        <v>696.68485484226</v>
      </c>
      <c r="P277" s="13" t="n">
        <f aca="false">O277/parametros_recargas!$B$6</f>
        <v>4.6445656989484</v>
      </c>
    </row>
    <row r="278" customFormat="false" ht="15" hidden="false" customHeight="false" outlineLevel="0" collapsed="false">
      <c r="A278" s="10" t="str">
        <f aca="false">parametros_recargas!$B$96</f>
        <v>Ensamblaje y marbete — recinto</v>
      </c>
      <c r="B278" s="26" t="n">
        <f aca="false">parametros_recargas!$E$96*'Plan mensual'!D277+parametros_recargas!$F$96*'Plan mensual'!D278+parametros_recargas!$G$96*'Plan mensual'!D279+parametros_recargas!$H$96*'Plan mensual'!D280+parametros_recargas!$I$96*'Plan mensual'!D281+parametros_recargas!$J$96*'Plan mensual'!D282+parametros_recargas!$K$96*'Plan mensual'!D283+parametros_recargas!$L$96*'Plan mensual'!D284+parametros_recargas!$M$96*'Plan mensual'!D286</f>
        <v>6895.18460232805</v>
      </c>
      <c r="C278" s="26" t="n">
        <f aca="false">parametros_recargas!$E$96*'Plan mensual'!E277+parametros_recargas!$F$96*'Plan mensual'!E278+parametros_recargas!$G$96*'Plan mensual'!E279+parametros_recargas!$H$96*'Plan mensual'!E280+parametros_recargas!$I$96*'Plan mensual'!E281+parametros_recargas!$J$96*'Plan mensual'!E282+parametros_recargas!$K$96*'Plan mensual'!E283+parametros_recargas!$L$96*'Plan mensual'!E284+parametros_recargas!$M$96*'Plan mensual'!E286</f>
        <v>19123.3913952807</v>
      </c>
      <c r="D278" s="26" t="n">
        <f aca="false">parametros_recargas!$E$96*'Plan mensual'!F277+parametros_recargas!$F$96*'Plan mensual'!F278+parametros_recargas!$G$96*'Plan mensual'!F279+parametros_recargas!$H$96*'Plan mensual'!F280+parametros_recargas!$I$96*'Plan mensual'!F281+parametros_recargas!$J$96*'Plan mensual'!F282+parametros_recargas!$K$96*'Plan mensual'!F283+parametros_recargas!$L$96*'Plan mensual'!F284+parametros_recargas!$M$96*'Plan mensual'!F286</f>
        <v>16501.6837126416</v>
      </c>
      <c r="E278" s="26" t="n">
        <f aca="false">parametros_recargas!$E$96*'Plan mensual'!G277+parametros_recargas!$F$96*'Plan mensual'!G278+parametros_recargas!$G$96*'Plan mensual'!G279+parametros_recargas!$H$96*'Plan mensual'!G280+parametros_recargas!$I$96*'Plan mensual'!G281+parametros_recargas!$J$96*'Plan mensual'!G282+parametros_recargas!$K$96*'Plan mensual'!G283+parametros_recargas!$L$96*'Plan mensual'!G284+parametros_recargas!$M$96*'Plan mensual'!G286</f>
        <v>16575.9972328633</v>
      </c>
      <c r="F278" s="26" t="n">
        <f aca="false">parametros_recargas!$E$96*'Plan mensual'!H277+parametros_recargas!$F$96*'Plan mensual'!H278+parametros_recargas!$G$96*'Plan mensual'!H279+parametros_recargas!$H$96*'Plan mensual'!H280+parametros_recargas!$I$96*'Plan mensual'!H281+parametros_recargas!$J$96*'Plan mensual'!H282+parametros_recargas!$K$96*'Plan mensual'!H283+parametros_recargas!$L$96*'Plan mensual'!H284+parametros_recargas!$M$96*'Plan mensual'!H286</f>
        <v>16579.0024049208</v>
      </c>
      <c r="G278" s="26" t="n">
        <f aca="false">parametros_recargas!$E$96*'Plan mensual'!I277+parametros_recargas!$F$96*'Plan mensual'!I278+parametros_recargas!$G$96*'Plan mensual'!I279+parametros_recargas!$H$96*'Plan mensual'!I280+parametros_recargas!$I$96*'Plan mensual'!I281+parametros_recargas!$J$96*'Plan mensual'!I282+parametros_recargas!$K$96*'Plan mensual'!I283+parametros_recargas!$L$96*'Plan mensual'!I284+parametros_recargas!$M$96*'Plan mensual'!I286</f>
        <v>16542.4351694173</v>
      </c>
      <c r="H278" s="26" t="n">
        <f aca="false">parametros_recargas!$E$96*'Plan mensual'!J277+parametros_recargas!$F$96*'Plan mensual'!J278+parametros_recargas!$G$96*'Plan mensual'!J279+parametros_recargas!$H$96*'Plan mensual'!J280+parametros_recargas!$I$96*'Plan mensual'!J281+parametros_recargas!$J$96*'Plan mensual'!J282+parametros_recargas!$K$96*'Plan mensual'!J283+parametros_recargas!$L$96*'Plan mensual'!J284+parametros_recargas!$M$96*'Plan mensual'!J286</f>
        <v>16654.7959167945</v>
      </c>
      <c r="I278" s="26" t="n">
        <f aca="false">parametros_recargas!$E$96*'Plan mensual'!K277+parametros_recargas!$F$96*'Plan mensual'!K278+parametros_recargas!$G$96*'Plan mensual'!K279+parametros_recargas!$H$96*'Plan mensual'!K280+parametros_recargas!$I$96*'Plan mensual'!K281+parametros_recargas!$J$96*'Plan mensual'!K282+parametros_recargas!$K$96*'Plan mensual'!K283+parametros_recargas!$L$96*'Plan mensual'!K284+parametros_recargas!$M$96*'Plan mensual'!K286</f>
        <v>16571.1651764001</v>
      </c>
      <c r="J278" s="26" t="n">
        <f aca="false">parametros_recargas!$E$96*'Plan mensual'!L277+parametros_recargas!$F$96*'Plan mensual'!L278+parametros_recargas!$G$96*'Plan mensual'!L279+parametros_recargas!$H$96*'Plan mensual'!L280+parametros_recargas!$I$96*'Plan mensual'!L281+parametros_recargas!$J$96*'Plan mensual'!L282+parametros_recargas!$K$96*'Plan mensual'!L283+parametros_recargas!$L$96*'Plan mensual'!L284+parametros_recargas!$M$96*'Plan mensual'!L286</f>
        <v>16584.0228793978</v>
      </c>
      <c r="K278" s="26" t="n">
        <f aca="false">parametros_recargas!$E$96*'Plan mensual'!M277+parametros_recargas!$F$96*'Plan mensual'!M278+parametros_recargas!$G$96*'Plan mensual'!M279+parametros_recargas!$H$96*'Plan mensual'!M280+parametros_recargas!$I$96*'Plan mensual'!M281+parametros_recargas!$J$96*'Plan mensual'!M282+parametros_recargas!$K$96*'Plan mensual'!M283+parametros_recargas!$L$96*'Plan mensual'!M284+parametros_recargas!$M$96*'Plan mensual'!M286</f>
        <v>16539.6744756634</v>
      </c>
      <c r="L278" s="26" t="n">
        <f aca="false">parametros_recargas!$E$96*'Plan mensual'!N277+parametros_recargas!$F$96*'Plan mensual'!N278+parametros_recargas!$G$96*'Plan mensual'!N279+parametros_recargas!$H$96*'Plan mensual'!N280+parametros_recargas!$I$96*'Plan mensual'!N281+parametros_recargas!$J$96*'Plan mensual'!N282+parametros_recargas!$K$96*'Plan mensual'!N283+parametros_recargas!$L$96*'Plan mensual'!N284+parametros_recargas!$M$96*'Plan mensual'!N286</f>
        <v>16352.9690993839</v>
      </c>
      <c r="M278" s="26" t="n">
        <f aca="false">parametros_recargas!$E$96*'Plan mensual'!O277+parametros_recargas!$F$96*'Plan mensual'!O278+parametros_recargas!$G$96*'Plan mensual'!O279+parametros_recargas!$H$96*'Plan mensual'!O280+parametros_recargas!$I$96*'Plan mensual'!O281+parametros_recargas!$J$96*'Plan mensual'!O282+parametros_recargas!$K$96*'Plan mensual'!O283+parametros_recargas!$L$96*'Plan mensual'!O284+parametros_recargas!$M$96*'Plan mensual'!O286</f>
        <v>6392.30938180209</v>
      </c>
      <c r="N278" s="8" t="n">
        <f aca="false">SUM(B278:M278)</f>
        <v>181312.631446893</v>
      </c>
      <c r="O278" s="27" t="n">
        <f aca="false">MAX(B278:M278)</f>
        <v>19123.3913952807</v>
      </c>
      <c r="P278" s="13" t="n">
        <f aca="false">O278/parametros_recargas!$B$6</f>
        <v>127.489275968538</v>
      </c>
    </row>
    <row r="279" customFormat="false" ht="15" hidden="false" customHeight="false" outlineLevel="0" collapsed="false">
      <c r="A279" s="10" t="str">
        <f aca="false">parametros_recargas!$B$97</f>
        <v>Presurización — recinto</v>
      </c>
      <c r="B279" s="26" t="n">
        <f aca="false">parametros_recargas!$E$97*'Plan mensual'!D277+parametros_recargas!$F$97*'Plan mensual'!D278+parametros_recargas!$G$97*'Plan mensual'!D279+parametros_recargas!$H$97*'Plan mensual'!D280+parametros_recargas!$I$97*'Plan mensual'!D281+parametros_recargas!$J$97*'Plan mensual'!D282+parametros_recargas!$K$97*'Plan mensual'!D283+parametros_recargas!$L$97*'Plan mensual'!D284+parametros_recargas!$M$97*'Plan mensual'!D286</f>
        <v>6895.18460232805</v>
      </c>
      <c r="C279" s="26" t="n">
        <f aca="false">parametros_recargas!$E$97*'Plan mensual'!E277+parametros_recargas!$F$97*'Plan mensual'!E278+parametros_recargas!$G$97*'Plan mensual'!E279+parametros_recargas!$H$97*'Plan mensual'!E280+parametros_recargas!$I$97*'Plan mensual'!E281+parametros_recargas!$J$97*'Plan mensual'!E282+parametros_recargas!$K$97*'Plan mensual'!E283+parametros_recargas!$L$97*'Plan mensual'!E284+parametros_recargas!$M$97*'Plan mensual'!E286</f>
        <v>19123.3913952807</v>
      </c>
      <c r="D279" s="26" t="n">
        <f aca="false">parametros_recargas!$E$97*'Plan mensual'!F277+parametros_recargas!$F$97*'Plan mensual'!F278+parametros_recargas!$G$97*'Plan mensual'!F279+parametros_recargas!$H$97*'Plan mensual'!F280+parametros_recargas!$I$97*'Plan mensual'!F281+parametros_recargas!$J$97*'Plan mensual'!F282+parametros_recargas!$K$97*'Plan mensual'!F283+parametros_recargas!$L$97*'Plan mensual'!F284+parametros_recargas!$M$97*'Plan mensual'!F286</f>
        <v>16501.6837126416</v>
      </c>
      <c r="E279" s="26" t="n">
        <f aca="false">parametros_recargas!$E$97*'Plan mensual'!G277+parametros_recargas!$F$97*'Plan mensual'!G278+parametros_recargas!$G$97*'Plan mensual'!G279+parametros_recargas!$H$97*'Plan mensual'!G280+parametros_recargas!$I$97*'Plan mensual'!G281+parametros_recargas!$J$97*'Plan mensual'!G282+parametros_recargas!$K$97*'Plan mensual'!G283+parametros_recargas!$L$97*'Plan mensual'!G284+parametros_recargas!$M$97*'Plan mensual'!G286</f>
        <v>16575.9972328633</v>
      </c>
      <c r="F279" s="26" t="n">
        <f aca="false">parametros_recargas!$E$97*'Plan mensual'!H277+parametros_recargas!$F$97*'Plan mensual'!H278+parametros_recargas!$G$97*'Plan mensual'!H279+parametros_recargas!$H$97*'Plan mensual'!H280+parametros_recargas!$I$97*'Plan mensual'!H281+parametros_recargas!$J$97*'Plan mensual'!H282+parametros_recargas!$K$97*'Plan mensual'!H283+parametros_recargas!$L$97*'Plan mensual'!H284+parametros_recargas!$M$97*'Plan mensual'!H286</f>
        <v>16579.0024049208</v>
      </c>
      <c r="G279" s="26" t="n">
        <f aca="false">parametros_recargas!$E$97*'Plan mensual'!I277+parametros_recargas!$F$97*'Plan mensual'!I278+parametros_recargas!$G$97*'Plan mensual'!I279+parametros_recargas!$H$97*'Plan mensual'!I280+parametros_recargas!$I$97*'Plan mensual'!I281+parametros_recargas!$J$97*'Plan mensual'!I282+parametros_recargas!$K$97*'Plan mensual'!I283+parametros_recargas!$L$97*'Plan mensual'!I284+parametros_recargas!$M$97*'Plan mensual'!I286</f>
        <v>16542.4351694173</v>
      </c>
      <c r="H279" s="26" t="n">
        <f aca="false">parametros_recargas!$E$97*'Plan mensual'!J277+parametros_recargas!$F$97*'Plan mensual'!J278+parametros_recargas!$G$97*'Plan mensual'!J279+parametros_recargas!$H$97*'Plan mensual'!J280+parametros_recargas!$I$97*'Plan mensual'!J281+parametros_recargas!$J$97*'Plan mensual'!J282+parametros_recargas!$K$97*'Plan mensual'!J283+parametros_recargas!$L$97*'Plan mensual'!J284+parametros_recargas!$M$97*'Plan mensual'!J286</f>
        <v>16654.7959167945</v>
      </c>
      <c r="I279" s="26" t="n">
        <f aca="false">parametros_recargas!$E$97*'Plan mensual'!K277+parametros_recargas!$F$97*'Plan mensual'!K278+parametros_recargas!$G$97*'Plan mensual'!K279+parametros_recargas!$H$97*'Plan mensual'!K280+parametros_recargas!$I$97*'Plan mensual'!K281+parametros_recargas!$J$97*'Plan mensual'!K282+parametros_recargas!$K$97*'Plan mensual'!K283+parametros_recargas!$L$97*'Plan mensual'!K284+parametros_recargas!$M$97*'Plan mensual'!K286</f>
        <v>16571.1651764001</v>
      </c>
      <c r="J279" s="26" t="n">
        <f aca="false">parametros_recargas!$E$97*'Plan mensual'!L277+parametros_recargas!$F$97*'Plan mensual'!L278+parametros_recargas!$G$97*'Plan mensual'!L279+parametros_recargas!$H$97*'Plan mensual'!L280+parametros_recargas!$I$97*'Plan mensual'!L281+parametros_recargas!$J$97*'Plan mensual'!L282+parametros_recargas!$K$97*'Plan mensual'!L283+parametros_recargas!$L$97*'Plan mensual'!L284+parametros_recargas!$M$97*'Plan mensual'!L286</f>
        <v>16584.0228793978</v>
      </c>
      <c r="K279" s="26" t="n">
        <f aca="false">parametros_recargas!$E$97*'Plan mensual'!M277+parametros_recargas!$F$97*'Plan mensual'!M278+parametros_recargas!$G$97*'Plan mensual'!M279+parametros_recargas!$H$97*'Plan mensual'!M280+parametros_recargas!$I$97*'Plan mensual'!M281+parametros_recargas!$J$97*'Plan mensual'!M282+parametros_recargas!$K$97*'Plan mensual'!M283+parametros_recargas!$L$97*'Plan mensual'!M284+parametros_recargas!$M$97*'Plan mensual'!M286</f>
        <v>16539.6744756634</v>
      </c>
      <c r="L279" s="26" t="n">
        <f aca="false">parametros_recargas!$E$97*'Plan mensual'!N277+parametros_recargas!$F$97*'Plan mensual'!N278+parametros_recargas!$G$97*'Plan mensual'!N279+parametros_recargas!$H$97*'Plan mensual'!N280+parametros_recargas!$I$97*'Plan mensual'!N281+parametros_recargas!$J$97*'Plan mensual'!N282+parametros_recargas!$K$97*'Plan mensual'!N283+parametros_recargas!$L$97*'Plan mensual'!N284+parametros_recargas!$M$97*'Plan mensual'!N286</f>
        <v>16352.9690993839</v>
      </c>
      <c r="M279" s="26" t="n">
        <f aca="false">parametros_recargas!$E$97*'Plan mensual'!O277+parametros_recargas!$F$97*'Plan mensual'!O278+parametros_recargas!$G$97*'Plan mensual'!O279+parametros_recargas!$H$97*'Plan mensual'!O280+parametros_recargas!$I$97*'Plan mensual'!O281+parametros_recargas!$J$97*'Plan mensual'!O282+parametros_recargas!$K$97*'Plan mensual'!O283+parametros_recargas!$L$97*'Plan mensual'!O284+parametros_recargas!$M$97*'Plan mensual'!O286</f>
        <v>6392.30938180209</v>
      </c>
      <c r="N279" s="8" t="n">
        <f aca="false">SUM(B279:M279)</f>
        <v>181312.631446893</v>
      </c>
      <c r="O279" s="27" t="n">
        <f aca="false">MAX(B279:M279)</f>
        <v>19123.3913952807</v>
      </c>
      <c r="P279" s="13" t="n">
        <f aca="false">O279/parametros_recargas!$B$6</f>
        <v>127.489275968538</v>
      </c>
    </row>
    <row r="280" customFormat="false" ht="15" hidden="false" customHeight="false" outlineLevel="0" collapsed="false">
      <c r="A280" s="10" t="str">
        <f aca="false">parametros_recargas!$B$98</f>
        <v>Ensamblaje y presurización — zona general</v>
      </c>
      <c r="B280" s="26" t="n">
        <f aca="false">parametros_recargas!$E$98*'Plan mensual'!D277+parametros_recargas!$F$98*'Plan mensual'!D278+parametros_recargas!$G$98*'Plan mensual'!D279+parametros_recargas!$H$98*'Plan mensual'!D280+parametros_recargas!$I$98*'Plan mensual'!D281+parametros_recargas!$J$98*'Plan mensual'!D282+parametros_recargas!$K$98*'Plan mensual'!D283+parametros_recargas!$L$98*'Plan mensual'!D284+parametros_recargas!$M$98*'Plan mensual'!D286</f>
        <v>1226.0658257445</v>
      </c>
      <c r="C280" s="26" t="n">
        <f aca="false">parametros_recargas!$E$98*'Plan mensual'!E277+parametros_recargas!$F$98*'Plan mensual'!E278+parametros_recargas!$G$98*'Plan mensual'!E279+parametros_recargas!$H$98*'Plan mensual'!E280+parametros_recargas!$I$98*'Plan mensual'!E281+parametros_recargas!$J$98*'Plan mensual'!E282+parametros_recargas!$K$98*'Plan mensual'!E283+parametros_recargas!$L$98*'Plan mensual'!E284+parametros_recargas!$M$98*'Plan mensual'!E286</f>
        <v>1778.40718000498</v>
      </c>
      <c r="D280" s="26" t="n">
        <f aca="false">parametros_recargas!$E$98*'Plan mensual'!F277+parametros_recargas!$F$98*'Plan mensual'!F278+parametros_recargas!$G$98*'Plan mensual'!F279+parametros_recargas!$H$98*'Plan mensual'!F280+parametros_recargas!$I$98*'Plan mensual'!F281+parametros_recargas!$J$98*'Plan mensual'!F282+parametros_recargas!$K$98*'Plan mensual'!F283+parametros_recargas!$L$98*'Plan mensual'!F284+parametros_recargas!$M$98*'Plan mensual'!F286</f>
        <v>1226.0658257445</v>
      </c>
      <c r="E280" s="26" t="n">
        <f aca="false">parametros_recargas!$E$98*'Plan mensual'!G277+parametros_recargas!$F$98*'Plan mensual'!G278+parametros_recargas!$G$98*'Plan mensual'!G279+parametros_recargas!$H$98*'Plan mensual'!G280+parametros_recargas!$I$98*'Plan mensual'!G281+parametros_recargas!$J$98*'Plan mensual'!G282+parametros_recargas!$K$98*'Plan mensual'!G283+parametros_recargas!$L$98*'Plan mensual'!G284+parametros_recargas!$M$98*'Plan mensual'!G286</f>
        <v>1226.0658257445</v>
      </c>
      <c r="F280" s="26" t="n">
        <f aca="false">parametros_recargas!$E$98*'Plan mensual'!H277+parametros_recargas!$F$98*'Plan mensual'!H278+parametros_recargas!$G$98*'Plan mensual'!H279+parametros_recargas!$H$98*'Plan mensual'!H280+parametros_recargas!$I$98*'Plan mensual'!H281+parametros_recargas!$J$98*'Plan mensual'!H282+parametros_recargas!$K$98*'Plan mensual'!H283+parametros_recargas!$L$98*'Plan mensual'!H284+parametros_recargas!$M$98*'Plan mensual'!H286</f>
        <v>1226.0658257445</v>
      </c>
      <c r="G280" s="26" t="n">
        <f aca="false">parametros_recargas!$E$98*'Plan mensual'!I277+parametros_recargas!$F$98*'Plan mensual'!I278+parametros_recargas!$G$98*'Plan mensual'!I279+parametros_recargas!$H$98*'Plan mensual'!I280+parametros_recargas!$I$98*'Plan mensual'!I281+parametros_recargas!$J$98*'Plan mensual'!I282+parametros_recargas!$K$98*'Plan mensual'!I283+parametros_recargas!$L$98*'Plan mensual'!I284+parametros_recargas!$M$98*'Plan mensual'!I286</f>
        <v>1226.0658257445</v>
      </c>
      <c r="H280" s="26" t="n">
        <f aca="false">parametros_recargas!$E$98*'Plan mensual'!J277+parametros_recargas!$F$98*'Plan mensual'!J278+parametros_recargas!$G$98*'Plan mensual'!J279+parametros_recargas!$H$98*'Plan mensual'!J280+parametros_recargas!$I$98*'Plan mensual'!J281+parametros_recargas!$J$98*'Plan mensual'!J282+parametros_recargas!$K$98*'Plan mensual'!J283+parametros_recargas!$L$98*'Plan mensual'!J284+parametros_recargas!$M$98*'Plan mensual'!J286</f>
        <v>1226.0658257445</v>
      </c>
      <c r="I280" s="26" t="n">
        <f aca="false">parametros_recargas!$E$98*'Plan mensual'!K277+parametros_recargas!$F$98*'Plan mensual'!K278+parametros_recargas!$G$98*'Plan mensual'!K279+parametros_recargas!$H$98*'Plan mensual'!K280+parametros_recargas!$I$98*'Plan mensual'!K281+parametros_recargas!$J$98*'Plan mensual'!K282+parametros_recargas!$K$98*'Plan mensual'!K283+parametros_recargas!$L$98*'Plan mensual'!K284+parametros_recargas!$M$98*'Plan mensual'!K286</f>
        <v>1226.0658257445</v>
      </c>
      <c r="J280" s="26" t="n">
        <f aca="false">parametros_recargas!$E$98*'Plan mensual'!L277+parametros_recargas!$F$98*'Plan mensual'!L278+parametros_recargas!$G$98*'Plan mensual'!L279+parametros_recargas!$H$98*'Plan mensual'!L280+parametros_recargas!$I$98*'Plan mensual'!L281+parametros_recargas!$J$98*'Plan mensual'!L282+parametros_recargas!$K$98*'Plan mensual'!L283+parametros_recargas!$L$98*'Plan mensual'!L284+parametros_recargas!$M$98*'Plan mensual'!L286</f>
        <v>1226.0658257445</v>
      </c>
      <c r="K280" s="26" t="n">
        <f aca="false">parametros_recargas!$E$98*'Plan mensual'!M277+parametros_recargas!$F$98*'Plan mensual'!M278+parametros_recargas!$G$98*'Plan mensual'!M279+parametros_recargas!$H$98*'Plan mensual'!M280+parametros_recargas!$I$98*'Plan mensual'!M281+parametros_recargas!$J$98*'Plan mensual'!M282+parametros_recargas!$K$98*'Plan mensual'!M283+parametros_recargas!$L$98*'Plan mensual'!M284+parametros_recargas!$M$98*'Plan mensual'!M286</f>
        <v>1226.0658257445</v>
      </c>
      <c r="L280" s="26" t="n">
        <f aca="false">parametros_recargas!$E$98*'Plan mensual'!N277+parametros_recargas!$F$98*'Plan mensual'!N278+parametros_recargas!$G$98*'Plan mensual'!N279+parametros_recargas!$H$98*'Plan mensual'!N280+parametros_recargas!$I$98*'Plan mensual'!N281+parametros_recargas!$J$98*'Plan mensual'!N282+parametros_recargas!$K$98*'Plan mensual'!N283+parametros_recargas!$L$98*'Plan mensual'!N284+parametros_recargas!$M$98*'Plan mensual'!N286</f>
        <v>1226.0658257445</v>
      </c>
      <c r="M280" s="26" t="n">
        <f aca="false">parametros_recargas!$E$98*'Plan mensual'!O277+parametros_recargas!$F$98*'Plan mensual'!O278+parametros_recargas!$G$98*'Plan mensual'!O279+parametros_recargas!$H$98*'Plan mensual'!O280+parametros_recargas!$I$98*'Plan mensual'!O281+parametros_recargas!$J$98*'Plan mensual'!O282+parametros_recargas!$K$98*'Plan mensual'!O283+parametros_recargas!$L$98*'Plan mensual'!O284+parametros_recargas!$M$98*'Plan mensual'!O286</f>
        <v>1226.0658257445</v>
      </c>
      <c r="N280" s="8" t="n">
        <f aca="false">SUM(B280:M280)</f>
        <v>15265.1312631944</v>
      </c>
      <c r="O280" s="27" t="n">
        <f aca="false">MAX(B280:M280)</f>
        <v>1778.40718000498</v>
      </c>
      <c r="P280" s="13" t="n">
        <f aca="false">O280/parametros_recargas!$B$6</f>
        <v>11.8560478666999</v>
      </c>
    </row>
    <row r="281" customFormat="false" ht="15" hidden="false" customHeight="false" outlineLevel="0" collapsed="false">
      <c r="A281" s="10" t="str">
        <f aca="false">parametros_recargas!$B$99</f>
        <v>Carga y presurización de halogenado</v>
      </c>
      <c r="B281" s="26" t="n">
        <f aca="false">parametros_recargas!$E$99*'Plan mensual'!D277+parametros_recargas!$F$99*'Plan mensual'!D278+parametros_recargas!$G$99*'Plan mensual'!D279+parametros_recargas!$H$99*'Plan mensual'!D280+parametros_recargas!$I$99*'Plan mensual'!D281+parametros_recargas!$J$99*'Plan mensual'!D282+parametros_recargas!$K$99*'Plan mensual'!D283+parametros_recargas!$L$99*'Plan mensual'!D284+parametros_recargas!$M$99*'Plan mensual'!D286</f>
        <v>19.2420790048608</v>
      </c>
      <c r="C281" s="26" t="n">
        <f aca="false">parametros_recargas!$E$99*'Plan mensual'!E277+parametros_recargas!$F$99*'Plan mensual'!E278+parametros_recargas!$G$99*'Plan mensual'!E279+parametros_recargas!$H$99*'Plan mensual'!E280+parametros_recargas!$I$99*'Plan mensual'!E281+parametros_recargas!$J$99*'Plan mensual'!E282+parametros_recargas!$K$99*'Plan mensual'!E283+parametros_recargas!$L$99*'Plan mensual'!E284+parametros_recargas!$M$99*'Plan mensual'!E286</f>
        <v>19.2420790048608</v>
      </c>
      <c r="D281" s="26" t="n">
        <f aca="false">parametros_recargas!$E$99*'Plan mensual'!F277+parametros_recargas!$F$99*'Plan mensual'!F278+parametros_recargas!$G$99*'Plan mensual'!F279+parametros_recargas!$H$99*'Plan mensual'!F280+parametros_recargas!$I$99*'Plan mensual'!F281+parametros_recargas!$J$99*'Plan mensual'!F282+parametros_recargas!$K$99*'Plan mensual'!F283+parametros_recargas!$L$99*'Plan mensual'!F284+parametros_recargas!$M$99*'Plan mensual'!F286</f>
        <v>19.2420790048608</v>
      </c>
      <c r="E281" s="26" t="n">
        <f aca="false">parametros_recargas!$E$99*'Plan mensual'!G277+parametros_recargas!$F$99*'Plan mensual'!G278+parametros_recargas!$G$99*'Plan mensual'!G279+parametros_recargas!$H$99*'Plan mensual'!G280+parametros_recargas!$I$99*'Plan mensual'!G281+parametros_recargas!$J$99*'Plan mensual'!G282+parametros_recargas!$K$99*'Plan mensual'!G283+parametros_recargas!$L$99*'Plan mensual'!G284+parametros_recargas!$M$99*'Plan mensual'!G286</f>
        <v>19.2420790048608</v>
      </c>
      <c r="F281" s="26" t="n">
        <f aca="false">parametros_recargas!$E$99*'Plan mensual'!H277+parametros_recargas!$F$99*'Plan mensual'!H278+parametros_recargas!$G$99*'Plan mensual'!H279+parametros_recargas!$H$99*'Plan mensual'!H280+parametros_recargas!$I$99*'Plan mensual'!H281+parametros_recargas!$J$99*'Plan mensual'!H282+parametros_recargas!$K$99*'Plan mensual'!H283+parametros_recargas!$L$99*'Plan mensual'!H284+parametros_recargas!$M$99*'Plan mensual'!H286</f>
        <v>19.2420790048608</v>
      </c>
      <c r="G281" s="26" t="n">
        <f aca="false">parametros_recargas!$E$99*'Plan mensual'!I277+parametros_recargas!$F$99*'Plan mensual'!I278+parametros_recargas!$G$99*'Plan mensual'!I279+parametros_recargas!$H$99*'Plan mensual'!I280+parametros_recargas!$I$99*'Plan mensual'!I281+parametros_recargas!$J$99*'Plan mensual'!I282+parametros_recargas!$K$99*'Plan mensual'!I283+parametros_recargas!$L$99*'Plan mensual'!I284+parametros_recargas!$M$99*'Plan mensual'!I286</f>
        <v>19.2420790048608</v>
      </c>
      <c r="H281" s="26" t="n">
        <f aca="false">parametros_recargas!$E$99*'Plan mensual'!J277+parametros_recargas!$F$99*'Plan mensual'!J278+parametros_recargas!$G$99*'Plan mensual'!J279+parametros_recargas!$H$99*'Plan mensual'!J280+parametros_recargas!$I$99*'Plan mensual'!J281+parametros_recargas!$J$99*'Plan mensual'!J282+parametros_recargas!$K$99*'Plan mensual'!J283+parametros_recargas!$L$99*'Plan mensual'!J284+parametros_recargas!$M$99*'Plan mensual'!J286</f>
        <v>19.2420790048608</v>
      </c>
      <c r="I281" s="26" t="n">
        <f aca="false">parametros_recargas!$E$99*'Plan mensual'!K277+parametros_recargas!$F$99*'Plan mensual'!K278+parametros_recargas!$G$99*'Plan mensual'!K279+parametros_recargas!$H$99*'Plan mensual'!K280+parametros_recargas!$I$99*'Plan mensual'!K281+parametros_recargas!$J$99*'Plan mensual'!K282+parametros_recargas!$K$99*'Plan mensual'!K283+parametros_recargas!$L$99*'Plan mensual'!K284+parametros_recargas!$M$99*'Plan mensual'!K286</f>
        <v>19.2420790048608</v>
      </c>
      <c r="J281" s="26" t="n">
        <f aca="false">parametros_recargas!$E$99*'Plan mensual'!L277+parametros_recargas!$F$99*'Plan mensual'!L278+parametros_recargas!$G$99*'Plan mensual'!L279+parametros_recargas!$H$99*'Plan mensual'!L280+parametros_recargas!$I$99*'Plan mensual'!L281+parametros_recargas!$J$99*'Plan mensual'!L282+parametros_recargas!$K$99*'Plan mensual'!L283+parametros_recargas!$L$99*'Plan mensual'!L284+parametros_recargas!$M$99*'Plan mensual'!L286</f>
        <v>19.2420790048608</v>
      </c>
      <c r="K281" s="26" t="n">
        <f aca="false">parametros_recargas!$E$99*'Plan mensual'!M277+parametros_recargas!$F$99*'Plan mensual'!M278+parametros_recargas!$G$99*'Plan mensual'!M279+parametros_recargas!$H$99*'Plan mensual'!M280+parametros_recargas!$I$99*'Plan mensual'!M281+parametros_recargas!$J$99*'Plan mensual'!M282+parametros_recargas!$K$99*'Plan mensual'!M283+parametros_recargas!$L$99*'Plan mensual'!M284+parametros_recargas!$M$99*'Plan mensual'!M286</f>
        <v>19.2420790048608</v>
      </c>
      <c r="L281" s="26" t="n">
        <f aca="false">parametros_recargas!$E$99*'Plan mensual'!N277+parametros_recargas!$F$99*'Plan mensual'!N278+parametros_recargas!$G$99*'Plan mensual'!N279+parametros_recargas!$H$99*'Plan mensual'!N280+parametros_recargas!$I$99*'Plan mensual'!N281+parametros_recargas!$J$99*'Plan mensual'!N282+parametros_recargas!$K$99*'Plan mensual'!N283+parametros_recargas!$L$99*'Plan mensual'!N284+parametros_recargas!$M$99*'Plan mensual'!N286</f>
        <v>19.2420790048608</v>
      </c>
      <c r="M281" s="26" t="n">
        <f aca="false">parametros_recargas!$E$99*'Plan mensual'!O277+parametros_recargas!$F$99*'Plan mensual'!O278+parametros_recargas!$G$99*'Plan mensual'!O279+parametros_recargas!$H$99*'Plan mensual'!O280+parametros_recargas!$I$99*'Plan mensual'!O281+parametros_recargas!$J$99*'Plan mensual'!O282+parametros_recargas!$K$99*'Plan mensual'!O283+parametros_recargas!$L$99*'Plan mensual'!O284+parametros_recargas!$M$99*'Plan mensual'!O286</f>
        <v>19.2420790048608</v>
      </c>
      <c r="N281" s="8" t="n">
        <f aca="false">SUM(B281:M281)</f>
        <v>230.90494805833</v>
      </c>
      <c r="O281" s="27" t="n">
        <f aca="false">MAX(B281:M281)</f>
        <v>19.2420790048608</v>
      </c>
      <c r="P281" s="13" t="n">
        <f aca="false">O281/parametros_recargas!$B$6</f>
        <v>0.128280526699072</v>
      </c>
    </row>
    <row r="282" customFormat="false" ht="15" hidden="false" customHeight="false" outlineLevel="0" collapsed="false">
      <c r="A282" s="10" t="str">
        <f aca="false">parametros_recargas!$B$100</f>
        <v>Control de peso (CO₂ y halogenados sin recarga)</v>
      </c>
      <c r="B282" s="26" t="n">
        <f aca="false">parametros_recargas!$E$100*'Plan mensual'!D277+parametros_recargas!$F$100*'Plan mensual'!D278+parametros_recargas!$G$100*'Plan mensual'!D279+parametros_recargas!$H$100*'Plan mensual'!D280+parametros_recargas!$I$100*'Plan mensual'!D281+parametros_recargas!$J$100*'Plan mensual'!D282+parametros_recargas!$K$100*'Plan mensual'!D283+parametros_recargas!$L$100*'Plan mensual'!D284+parametros_recargas!$M$100*'Plan mensual'!D286</f>
        <v>863.760141533822</v>
      </c>
      <c r="C282" s="26" t="n">
        <f aca="false">parametros_recargas!$E$100*'Plan mensual'!E277+parametros_recargas!$F$100*'Plan mensual'!E278+parametros_recargas!$G$100*'Plan mensual'!E279+parametros_recargas!$H$100*'Plan mensual'!E280+parametros_recargas!$I$100*'Plan mensual'!E281+parametros_recargas!$J$100*'Plan mensual'!E282+parametros_recargas!$K$100*'Plan mensual'!E283+parametros_recargas!$L$100*'Plan mensual'!E284+parametros_recargas!$M$100*'Plan mensual'!E286</f>
        <v>1329.57859143037</v>
      </c>
      <c r="D282" s="26" t="n">
        <f aca="false">parametros_recargas!$E$100*'Plan mensual'!F277+parametros_recargas!$F$100*'Plan mensual'!F278+parametros_recargas!$G$100*'Plan mensual'!F279+parametros_recargas!$H$100*'Plan mensual'!F280+parametros_recargas!$I$100*'Plan mensual'!F281+parametros_recargas!$J$100*'Plan mensual'!F282+parametros_recargas!$K$100*'Plan mensual'!F283+parametros_recargas!$L$100*'Plan mensual'!F284+parametros_recargas!$M$100*'Plan mensual'!F286</f>
        <v>863.760141533822</v>
      </c>
      <c r="E282" s="26" t="n">
        <f aca="false">parametros_recargas!$E$100*'Plan mensual'!G277+parametros_recargas!$F$100*'Plan mensual'!G278+parametros_recargas!$G$100*'Plan mensual'!G279+parametros_recargas!$H$100*'Plan mensual'!G280+parametros_recargas!$I$100*'Plan mensual'!G281+parametros_recargas!$J$100*'Plan mensual'!G282+parametros_recargas!$K$100*'Plan mensual'!G283+parametros_recargas!$L$100*'Plan mensual'!G284+parametros_recargas!$M$100*'Plan mensual'!G286</f>
        <v>863.760141533822</v>
      </c>
      <c r="F282" s="26" t="n">
        <f aca="false">parametros_recargas!$E$100*'Plan mensual'!H277+parametros_recargas!$F$100*'Plan mensual'!H278+parametros_recargas!$G$100*'Plan mensual'!H279+parametros_recargas!$H$100*'Plan mensual'!H280+parametros_recargas!$I$100*'Plan mensual'!H281+parametros_recargas!$J$100*'Plan mensual'!H282+parametros_recargas!$K$100*'Plan mensual'!H283+parametros_recargas!$L$100*'Plan mensual'!H284+parametros_recargas!$M$100*'Plan mensual'!H286</f>
        <v>863.760141533822</v>
      </c>
      <c r="G282" s="26" t="n">
        <f aca="false">parametros_recargas!$E$100*'Plan mensual'!I277+parametros_recargas!$F$100*'Plan mensual'!I278+parametros_recargas!$G$100*'Plan mensual'!I279+parametros_recargas!$H$100*'Plan mensual'!I280+parametros_recargas!$I$100*'Plan mensual'!I281+parametros_recargas!$J$100*'Plan mensual'!I282+parametros_recargas!$K$100*'Plan mensual'!I283+parametros_recargas!$L$100*'Plan mensual'!I284+parametros_recargas!$M$100*'Plan mensual'!I286</f>
        <v>863.760141533822</v>
      </c>
      <c r="H282" s="26" t="n">
        <f aca="false">parametros_recargas!$E$100*'Plan mensual'!J277+parametros_recargas!$F$100*'Plan mensual'!J278+parametros_recargas!$G$100*'Plan mensual'!J279+parametros_recargas!$H$100*'Plan mensual'!J280+parametros_recargas!$I$100*'Plan mensual'!J281+parametros_recargas!$J$100*'Plan mensual'!J282+parametros_recargas!$K$100*'Plan mensual'!J283+parametros_recargas!$L$100*'Plan mensual'!J284+parametros_recargas!$M$100*'Plan mensual'!J286</f>
        <v>863.760141533822</v>
      </c>
      <c r="I282" s="26" t="n">
        <f aca="false">parametros_recargas!$E$100*'Plan mensual'!K277+parametros_recargas!$F$100*'Plan mensual'!K278+parametros_recargas!$G$100*'Plan mensual'!K279+parametros_recargas!$H$100*'Plan mensual'!K280+parametros_recargas!$I$100*'Plan mensual'!K281+parametros_recargas!$J$100*'Plan mensual'!K282+parametros_recargas!$K$100*'Plan mensual'!K283+parametros_recargas!$L$100*'Plan mensual'!K284+parametros_recargas!$M$100*'Plan mensual'!K286</f>
        <v>863.760141533822</v>
      </c>
      <c r="J282" s="26" t="n">
        <f aca="false">parametros_recargas!$E$100*'Plan mensual'!L277+parametros_recargas!$F$100*'Plan mensual'!L278+parametros_recargas!$G$100*'Plan mensual'!L279+parametros_recargas!$H$100*'Plan mensual'!L280+parametros_recargas!$I$100*'Plan mensual'!L281+parametros_recargas!$J$100*'Plan mensual'!L282+parametros_recargas!$K$100*'Plan mensual'!L283+parametros_recargas!$L$100*'Plan mensual'!L284+parametros_recargas!$M$100*'Plan mensual'!L286</f>
        <v>863.760141533822</v>
      </c>
      <c r="K282" s="26" t="n">
        <f aca="false">parametros_recargas!$E$100*'Plan mensual'!M277+parametros_recargas!$F$100*'Plan mensual'!M278+parametros_recargas!$G$100*'Plan mensual'!M279+parametros_recargas!$H$100*'Plan mensual'!M280+parametros_recargas!$I$100*'Plan mensual'!M281+parametros_recargas!$J$100*'Plan mensual'!M282+parametros_recargas!$K$100*'Plan mensual'!M283+parametros_recargas!$L$100*'Plan mensual'!M284+parametros_recargas!$M$100*'Plan mensual'!M286</f>
        <v>863.760141533822</v>
      </c>
      <c r="L282" s="26" t="n">
        <f aca="false">parametros_recargas!$E$100*'Plan mensual'!N277+parametros_recargas!$F$100*'Plan mensual'!N278+parametros_recargas!$G$100*'Plan mensual'!N279+parametros_recargas!$H$100*'Plan mensual'!N280+parametros_recargas!$I$100*'Plan mensual'!N281+parametros_recargas!$J$100*'Plan mensual'!N282+parametros_recargas!$K$100*'Plan mensual'!N283+parametros_recargas!$L$100*'Plan mensual'!N284+parametros_recargas!$M$100*'Plan mensual'!N286</f>
        <v>863.760141533822</v>
      </c>
      <c r="M282" s="26" t="n">
        <f aca="false">parametros_recargas!$E$100*'Plan mensual'!O277+parametros_recargas!$F$100*'Plan mensual'!O278+parametros_recargas!$G$100*'Plan mensual'!O279+parametros_recargas!$H$100*'Plan mensual'!O280+parametros_recargas!$I$100*'Plan mensual'!O281+parametros_recargas!$J$100*'Plan mensual'!O282+parametros_recargas!$K$100*'Plan mensual'!O283+parametros_recargas!$L$100*'Plan mensual'!O284+parametros_recargas!$M$100*'Plan mensual'!O286</f>
        <v>863.760141533822</v>
      </c>
      <c r="N282" s="8" t="n">
        <f aca="false">SUM(B282:M282)</f>
        <v>10830.9401483024</v>
      </c>
      <c r="O282" s="27" t="n">
        <f aca="false">MAX(B282:M282)</f>
        <v>1329.57859143037</v>
      </c>
      <c r="P282" s="13" t="n">
        <f aca="false">O282/parametros_recargas!$B$6</f>
        <v>8.86385727620245</v>
      </c>
    </row>
    <row r="283" customFormat="false" ht="15" hidden="false" customHeight="false" outlineLevel="0" collapsed="false">
      <c r="A283" s="10" t="str">
        <f aca="false">parametros_recargas!$B$101</f>
        <v>Ensayo de pérdidas</v>
      </c>
      <c r="B283" s="26" t="n">
        <f aca="false">parametros_recargas!$E$101*'Plan mensual'!D277+parametros_recargas!$F$101*'Plan mensual'!D278+parametros_recargas!$G$101*'Plan mensual'!D279+parametros_recargas!$H$101*'Plan mensual'!D280+parametros_recargas!$I$101*'Plan mensual'!D281+parametros_recargas!$J$101*'Plan mensual'!D282+parametros_recargas!$K$101*'Plan mensual'!D283+parametros_recargas!$L$101*'Plan mensual'!D284+parametros_recargas!$M$101*'Plan mensual'!D286</f>
        <v>9048.7047889874</v>
      </c>
      <c r="C283" s="26" t="n">
        <f aca="false">parametros_recargas!$E$101*'Plan mensual'!E277+parametros_recargas!$F$101*'Plan mensual'!E278+parametros_recargas!$G$101*'Plan mensual'!E279+parametros_recargas!$H$101*'Plan mensual'!E280+parametros_recargas!$I$101*'Plan mensual'!E281+parametros_recargas!$J$101*'Plan mensual'!E282+parametros_recargas!$K$101*'Plan mensual'!E283+parametros_recargas!$L$101*'Plan mensual'!E284+parametros_recargas!$M$101*'Plan mensual'!E286</f>
        <v>22330.9035745507</v>
      </c>
      <c r="D283" s="26" t="n">
        <f aca="false">parametros_recargas!$E$101*'Plan mensual'!F277+parametros_recargas!$F$101*'Plan mensual'!F278+parametros_recargas!$G$101*'Plan mensual'!F279+parametros_recargas!$H$101*'Plan mensual'!F280+parametros_recargas!$I$101*'Plan mensual'!F281+parametros_recargas!$J$101*'Plan mensual'!F282+parametros_recargas!$K$101*'Plan mensual'!F283+parametros_recargas!$L$101*'Plan mensual'!F284+parametros_recargas!$M$101*'Plan mensual'!F286</f>
        <v>18655.2038993009</v>
      </c>
      <c r="E283" s="26" t="n">
        <f aca="false">parametros_recargas!$E$101*'Plan mensual'!G277+parametros_recargas!$F$101*'Plan mensual'!G278+parametros_recargas!$G$101*'Plan mensual'!G279+parametros_recargas!$H$101*'Plan mensual'!G280+parametros_recargas!$I$101*'Plan mensual'!G281+parametros_recargas!$J$101*'Plan mensual'!G282+parametros_recargas!$K$101*'Plan mensual'!G283+parametros_recargas!$L$101*'Plan mensual'!G284+parametros_recargas!$M$101*'Plan mensual'!G286</f>
        <v>18729.5174195227</v>
      </c>
      <c r="F283" s="26" t="n">
        <f aca="false">parametros_recargas!$E$101*'Plan mensual'!H277+parametros_recargas!$F$101*'Plan mensual'!H278+parametros_recargas!$G$101*'Plan mensual'!H279+parametros_recargas!$H$101*'Plan mensual'!H280+parametros_recargas!$I$101*'Plan mensual'!H281+parametros_recargas!$J$101*'Plan mensual'!H282+parametros_recargas!$K$101*'Plan mensual'!H283+parametros_recargas!$L$101*'Plan mensual'!H284+parametros_recargas!$M$101*'Plan mensual'!H286</f>
        <v>18732.5225915801</v>
      </c>
      <c r="G283" s="26" t="n">
        <f aca="false">parametros_recargas!$E$101*'Plan mensual'!I277+parametros_recargas!$F$101*'Plan mensual'!I278+parametros_recargas!$G$101*'Plan mensual'!I279+parametros_recargas!$H$101*'Plan mensual'!I280+parametros_recargas!$I$101*'Plan mensual'!I281+parametros_recargas!$J$101*'Plan mensual'!I282+parametros_recargas!$K$101*'Plan mensual'!I283+parametros_recargas!$L$101*'Plan mensual'!I284+parametros_recargas!$M$101*'Plan mensual'!I286</f>
        <v>18695.9553560766</v>
      </c>
      <c r="H283" s="26" t="n">
        <f aca="false">parametros_recargas!$E$101*'Plan mensual'!J277+parametros_recargas!$F$101*'Plan mensual'!J278+parametros_recargas!$G$101*'Plan mensual'!J279+parametros_recargas!$H$101*'Plan mensual'!J280+parametros_recargas!$I$101*'Plan mensual'!J281+parametros_recargas!$J$101*'Plan mensual'!J282+parametros_recargas!$K$101*'Plan mensual'!J283+parametros_recargas!$L$101*'Plan mensual'!J284+parametros_recargas!$M$101*'Plan mensual'!J286</f>
        <v>18808.3161034538</v>
      </c>
      <c r="I283" s="26" t="n">
        <f aca="false">parametros_recargas!$E$101*'Plan mensual'!K277+parametros_recargas!$F$101*'Plan mensual'!K278+parametros_recargas!$G$101*'Plan mensual'!K279+parametros_recargas!$H$101*'Plan mensual'!K280+parametros_recargas!$I$101*'Plan mensual'!K281+parametros_recargas!$J$101*'Plan mensual'!K282+parametros_recargas!$K$101*'Plan mensual'!K283+parametros_recargas!$L$101*'Plan mensual'!K284+parametros_recargas!$M$101*'Plan mensual'!K286</f>
        <v>18724.6853630594</v>
      </c>
      <c r="J283" s="26" t="n">
        <f aca="false">parametros_recargas!$E$101*'Plan mensual'!L277+parametros_recargas!$F$101*'Plan mensual'!L278+parametros_recargas!$G$101*'Plan mensual'!L279+parametros_recargas!$H$101*'Plan mensual'!L280+parametros_recargas!$I$101*'Plan mensual'!L281+parametros_recargas!$J$101*'Plan mensual'!L282+parametros_recargas!$K$101*'Plan mensual'!L283+parametros_recargas!$L$101*'Plan mensual'!L284+parametros_recargas!$M$101*'Plan mensual'!L286</f>
        <v>18737.5430660571</v>
      </c>
      <c r="K283" s="26" t="n">
        <f aca="false">parametros_recargas!$E$101*'Plan mensual'!M277+parametros_recargas!$F$101*'Plan mensual'!M278+parametros_recargas!$G$101*'Plan mensual'!M279+parametros_recargas!$H$101*'Plan mensual'!M280+parametros_recargas!$I$101*'Plan mensual'!M281+parametros_recargas!$J$101*'Plan mensual'!M282+parametros_recargas!$K$101*'Plan mensual'!M283+parametros_recargas!$L$101*'Plan mensual'!M284+parametros_recargas!$M$101*'Plan mensual'!M286</f>
        <v>18693.1946623228</v>
      </c>
      <c r="L283" s="26" t="n">
        <f aca="false">parametros_recargas!$E$101*'Plan mensual'!N277+parametros_recargas!$F$101*'Plan mensual'!N278+parametros_recargas!$G$101*'Plan mensual'!N279+parametros_recargas!$H$101*'Plan mensual'!N280+parametros_recargas!$I$101*'Plan mensual'!N281+parametros_recargas!$J$101*'Plan mensual'!N282+parametros_recargas!$K$101*'Plan mensual'!N283+parametros_recargas!$L$101*'Plan mensual'!N284+parametros_recargas!$M$101*'Plan mensual'!N286</f>
        <v>18506.4892860432</v>
      </c>
      <c r="M283" s="26" t="n">
        <f aca="false">parametros_recargas!$E$101*'Plan mensual'!O277+parametros_recargas!$F$101*'Plan mensual'!O278+parametros_recargas!$G$101*'Plan mensual'!O279+parametros_recargas!$H$101*'Plan mensual'!O280+parametros_recargas!$I$101*'Plan mensual'!O281+parametros_recargas!$J$101*'Plan mensual'!O282+parametros_recargas!$K$101*'Plan mensual'!O283+parametros_recargas!$L$101*'Plan mensual'!O284+parametros_recargas!$M$101*'Plan mensual'!O286</f>
        <v>8545.82956846144</v>
      </c>
      <c r="N283" s="8" t="n">
        <f aca="false">SUM(B283:M283)</f>
        <v>208208.865679416</v>
      </c>
      <c r="O283" s="27" t="n">
        <f aca="false">MAX(B283:M283)</f>
        <v>22330.9035745507</v>
      </c>
      <c r="P283" s="13" t="n">
        <f aca="false">O283/parametros_recargas!$B$6</f>
        <v>148.872690497004</v>
      </c>
    </row>
    <row r="284" customFormat="false" ht="15" hidden="false" customHeight="false" outlineLevel="0" collapsed="false">
      <c r="A284" s="10" t="str">
        <f aca="false">parametros_recargas!$B$102</f>
        <v>Precinto, etiqueta y despacho</v>
      </c>
      <c r="B284" s="26" t="n">
        <f aca="false">parametros_recargas!$E$102*'Plan mensual'!D277+parametros_recargas!$F$102*'Plan mensual'!D278+parametros_recargas!$G$102*'Plan mensual'!D279+parametros_recargas!$H$102*'Plan mensual'!D280+parametros_recargas!$I$102*'Plan mensual'!D281+parametros_recargas!$J$102*'Plan mensual'!D282+parametros_recargas!$K$102*'Plan mensual'!D283+parametros_recargas!$L$102*'Plan mensual'!D284+parametros_recargas!$M$102*'Plan mensual'!D286</f>
        <v>9048.7047889874</v>
      </c>
      <c r="C284" s="26" t="n">
        <f aca="false">parametros_recargas!$E$102*'Plan mensual'!E277+parametros_recargas!$F$102*'Plan mensual'!E278+parametros_recargas!$G$102*'Plan mensual'!E279+parametros_recargas!$H$102*'Plan mensual'!E280+parametros_recargas!$I$102*'Plan mensual'!E281+parametros_recargas!$J$102*'Plan mensual'!E282+parametros_recargas!$K$102*'Plan mensual'!E283+parametros_recargas!$L$102*'Plan mensual'!E284+parametros_recargas!$M$102*'Plan mensual'!E286</f>
        <v>22330.9035745507</v>
      </c>
      <c r="D284" s="26" t="n">
        <f aca="false">parametros_recargas!$E$102*'Plan mensual'!F277+parametros_recargas!$F$102*'Plan mensual'!F278+parametros_recargas!$G$102*'Plan mensual'!F279+parametros_recargas!$H$102*'Plan mensual'!F280+parametros_recargas!$I$102*'Plan mensual'!F281+parametros_recargas!$J$102*'Plan mensual'!F282+parametros_recargas!$K$102*'Plan mensual'!F283+parametros_recargas!$L$102*'Plan mensual'!F284+parametros_recargas!$M$102*'Plan mensual'!F286</f>
        <v>18655.2038993009</v>
      </c>
      <c r="E284" s="26" t="n">
        <f aca="false">parametros_recargas!$E$102*'Plan mensual'!G277+parametros_recargas!$F$102*'Plan mensual'!G278+parametros_recargas!$G$102*'Plan mensual'!G279+parametros_recargas!$H$102*'Plan mensual'!G280+parametros_recargas!$I$102*'Plan mensual'!G281+parametros_recargas!$J$102*'Plan mensual'!G282+parametros_recargas!$K$102*'Plan mensual'!G283+parametros_recargas!$L$102*'Plan mensual'!G284+parametros_recargas!$M$102*'Plan mensual'!G286</f>
        <v>18729.5174195227</v>
      </c>
      <c r="F284" s="26" t="n">
        <f aca="false">parametros_recargas!$E$102*'Plan mensual'!H277+parametros_recargas!$F$102*'Plan mensual'!H278+parametros_recargas!$G$102*'Plan mensual'!H279+parametros_recargas!$H$102*'Plan mensual'!H280+parametros_recargas!$I$102*'Plan mensual'!H281+parametros_recargas!$J$102*'Plan mensual'!H282+parametros_recargas!$K$102*'Plan mensual'!H283+parametros_recargas!$L$102*'Plan mensual'!H284+parametros_recargas!$M$102*'Plan mensual'!H286</f>
        <v>18732.5225915801</v>
      </c>
      <c r="G284" s="26" t="n">
        <f aca="false">parametros_recargas!$E$102*'Plan mensual'!I277+parametros_recargas!$F$102*'Plan mensual'!I278+parametros_recargas!$G$102*'Plan mensual'!I279+parametros_recargas!$H$102*'Plan mensual'!I280+parametros_recargas!$I$102*'Plan mensual'!I281+parametros_recargas!$J$102*'Plan mensual'!I282+parametros_recargas!$K$102*'Plan mensual'!I283+parametros_recargas!$L$102*'Plan mensual'!I284+parametros_recargas!$M$102*'Plan mensual'!I286</f>
        <v>18695.9553560766</v>
      </c>
      <c r="H284" s="26" t="n">
        <f aca="false">parametros_recargas!$E$102*'Plan mensual'!J277+parametros_recargas!$F$102*'Plan mensual'!J278+parametros_recargas!$G$102*'Plan mensual'!J279+parametros_recargas!$H$102*'Plan mensual'!J280+parametros_recargas!$I$102*'Plan mensual'!J281+parametros_recargas!$J$102*'Plan mensual'!J282+parametros_recargas!$K$102*'Plan mensual'!J283+parametros_recargas!$L$102*'Plan mensual'!J284+parametros_recargas!$M$102*'Plan mensual'!J286</f>
        <v>18808.3161034538</v>
      </c>
      <c r="I284" s="26" t="n">
        <f aca="false">parametros_recargas!$E$102*'Plan mensual'!K277+parametros_recargas!$F$102*'Plan mensual'!K278+parametros_recargas!$G$102*'Plan mensual'!K279+parametros_recargas!$H$102*'Plan mensual'!K280+parametros_recargas!$I$102*'Plan mensual'!K281+parametros_recargas!$J$102*'Plan mensual'!K282+parametros_recargas!$K$102*'Plan mensual'!K283+parametros_recargas!$L$102*'Plan mensual'!K284+parametros_recargas!$M$102*'Plan mensual'!K286</f>
        <v>18724.6853630594</v>
      </c>
      <c r="J284" s="26" t="n">
        <f aca="false">parametros_recargas!$E$102*'Plan mensual'!L277+parametros_recargas!$F$102*'Plan mensual'!L278+parametros_recargas!$G$102*'Plan mensual'!L279+parametros_recargas!$H$102*'Plan mensual'!L280+parametros_recargas!$I$102*'Plan mensual'!L281+parametros_recargas!$J$102*'Plan mensual'!L282+parametros_recargas!$K$102*'Plan mensual'!L283+parametros_recargas!$L$102*'Plan mensual'!L284+parametros_recargas!$M$102*'Plan mensual'!L286</f>
        <v>18737.5430660571</v>
      </c>
      <c r="K284" s="26" t="n">
        <f aca="false">parametros_recargas!$E$102*'Plan mensual'!M277+parametros_recargas!$F$102*'Plan mensual'!M278+parametros_recargas!$G$102*'Plan mensual'!M279+parametros_recargas!$H$102*'Plan mensual'!M280+parametros_recargas!$I$102*'Plan mensual'!M281+parametros_recargas!$J$102*'Plan mensual'!M282+parametros_recargas!$K$102*'Plan mensual'!M283+parametros_recargas!$L$102*'Plan mensual'!M284+parametros_recargas!$M$102*'Plan mensual'!M286</f>
        <v>18693.1946623228</v>
      </c>
      <c r="L284" s="26" t="n">
        <f aca="false">parametros_recargas!$E$102*'Plan mensual'!N277+parametros_recargas!$F$102*'Plan mensual'!N278+parametros_recargas!$G$102*'Plan mensual'!N279+parametros_recargas!$H$102*'Plan mensual'!N280+parametros_recargas!$I$102*'Plan mensual'!N281+parametros_recargas!$J$102*'Plan mensual'!N282+parametros_recargas!$K$102*'Plan mensual'!N283+parametros_recargas!$L$102*'Plan mensual'!N284+parametros_recargas!$M$102*'Plan mensual'!N286</f>
        <v>18506.4892860432</v>
      </c>
      <c r="M284" s="26" t="n">
        <f aca="false">parametros_recargas!$E$102*'Plan mensual'!O277+parametros_recargas!$F$102*'Plan mensual'!O278+parametros_recargas!$G$102*'Plan mensual'!O279+parametros_recargas!$H$102*'Plan mensual'!O280+parametros_recargas!$I$102*'Plan mensual'!O281+parametros_recargas!$J$102*'Plan mensual'!O282+parametros_recargas!$K$102*'Plan mensual'!O283+parametros_recargas!$L$102*'Plan mensual'!O284+parametros_recargas!$M$102*'Plan mensual'!O286</f>
        <v>8545.82956846144</v>
      </c>
      <c r="N284" s="8" t="n">
        <f aca="false">SUM(B284:M284)</f>
        <v>208208.865679416</v>
      </c>
      <c r="O284" s="27" t="n">
        <f aca="false">MAX(B284:M284)</f>
        <v>22330.9035745507</v>
      </c>
      <c r="P284" s="13" t="n">
        <f aca="false">O284/parametros_recargas!$B$6</f>
        <v>148.872690497004</v>
      </c>
    </row>
    <row r="285" customFormat="false" ht="15" hidden="false" customHeight="false" outlineLevel="0" collapsed="false">
      <c r="A285" s="10" t="str">
        <f aca="false">parametros_recargas!$B$103</f>
        <v>Inutilización y disposición final</v>
      </c>
      <c r="B285" s="26" t="n">
        <f aca="false">parametros_recargas!$E$103*'Plan mensual'!D277+parametros_recargas!$F$103*'Plan mensual'!D278+parametros_recargas!$G$103*'Plan mensual'!D279+parametros_recargas!$H$103*'Plan mensual'!D280+parametros_recargas!$I$103*'Plan mensual'!D281+parametros_recargas!$J$103*'Plan mensual'!D282+parametros_recargas!$K$103*'Plan mensual'!D283+parametros_recargas!$L$103*'Plan mensual'!D284+parametros_recargas!$M$103*'Plan mensual'!D286</f>
        <v>701.018844886327</v>
      </c>
      <c r="C285" s="26" t="n">
        <f aca="false">parametros_recargas!$E$103*'Plan mensual'!E277+parametros_recargas!$F$103*'Plan mensual'!E278+parametros_recargas!$G$103*'Plan mensual'!E279+parametros_recargas!$H$103*'Plan mensual'!E280+parametros_recargas!$I$103*'Plan mensual'!E281+parametros_recargas!$J$103*'Plan mensual'!E282+parametros_recargas!$K$103*'Plan mensual'!E283+parametros_recargas!$L$103*'Plan mensual'!E284+parametros_recargas!$M$103*'Plan mensual'!E286</f>
        <v>1751.95953618086</v>
      </c>
      <c r="D285" s="26" t="n">
        <f aca="false">parametros_recargas!$E$103*'Plan mensual'!F277+parametros_recargas!$F$103*'Plan mensual'!F278+parametros_recargas!$G$103*'Plan mensual'!F279+parametros_recargas!$H$103*'Plan mensual'!F280+parametros_recargas!$I$103*'Plan mensual'!F281+parametros_recargas!$J$103*'Plan mensual'!F282+parametros_recargas!$K$103*'Plan mensual'!F283+parametros_recargas!$L$103*'Plan mensual'!F284+parametros_recargas!$M$103*'Plan mensual'!F286</f>
        <v>1469.73402807774</v>
      </c>
      <c r="E285" s="26" t="n">
        <f aca="false">parametros_recargas!$E$103*'Plan mensual'!G277+parametros_recargas!$F$103*'Plan mensual'!G278+parametros_recargas!$G$103*'Plan mensual'!G279+parametros_recargas!$H$103*'Plan mensual'!G280+parametros_recargas!$I$103*'Plan mensual'!G281+parametros_recargas!$J$103*'Plan mensual'!G282+parametros_recargas!$K$103*'Plan mensual'!G283+parametros_recargas!$L$103*'Plan mensual'!G284+parametros_recargas!$M$103*'Plan mensual'!G286</f>
        <v>1475.67910969548</v>
      </c>
      <c r="F285" s="26" t="n">
        <f aca="false">parametros_recargas!$E$103*'Plan mensual'!H277+parametros_recargas!$F$103*'Plan mensual'!H278+parametros_recargas!$G$103*'Plan mensual'!H279+parametros_recargas!$H$103*'Plan mensual'!H280+parametros_recargas!$I$103*'Plan mensual'!H281+parametros_recargas!$J$103*'Plan mensual'!H282+parametros_recargas!$K$103*'Plan mensual'!H283+parametros_recargas!$L$103*'Plan mensual'!H284+parametros_recargas!$M$103*'Plan mensual'!H286</f>
        <v>1475.98945946008</v>
      </c>
      <c r="G285" s="26" t="n">
        <f aca="false">parametros_recargas!$E$103*'Plan mensual'!I277+parametros_recargas!$F$103*'Plan mensual'!I278+parametros_recargas!$G$103*'Plan mensual'!I279+parametros_recargas!$H$103*'Plan mensual'!I280+parametros_recargas!$I$103*'Plan mensual'!I281+parametros_recargas!$J$103*'Plan mensual'!I282+parametros_recargas!$K$103*'Plan mensual'!I283+parametros_recargas!$L$103*'Plan mensual'!I284+parametros_recargas!$M$103*'Plan mensual'!I286</f>
        <v>1473.16312388713</v>
      </c>
      <c r="H285" s="26" t="n">
        <f aca="false">parametros_recargas!$E$103*'Plan mensual'!J277+parametros_recargas!$F$103*'Plan mensual'!J278+parametros_recargas!$G$103*'Plan mensual'!J279+parametros_recargas!$H$103*'Plan mensual'!J280+parametros_recargas!$I$103*'Plan mensual'!J281+parametros_recargas!$J$103*'Plan mensual'!J282+parametros_recargas!$K$103*'Plan mensual'!J283+parametros_recargas!$L$103*'Plan mensual'!J284+parametros_recargas!$M$103*'Plan mensual'!J286</f>
        <v>1482.05294040997</v>
      </c>
      <c r="I285" s="26" t="n">
        <f aca="false">parametros_recargas!$E$103*'Plan mensual'!K277+parametros_recargas!$F$103*'Plan mensual'!K278+parametros_recargas!$G$103*'Plan mensual'!K279+parametros_recargas!$H$103*'Plan mensual'!K280+parametros_recargas!$I$103*'Plan mensual'!K281+parametros_recargas!$J$103*'Plan mensual'!K282+parametros_recargas!$K$103*'Plan mensual'!K283+parametros_recargas!$L$103*'Plan mensual'!K284+parametros_recargas!$M$103*'Plan mensual'!K286</f>
        <v>1475.36248117842</v>
      </c>
      <c r="J285" s="26" t="n">
        <f aca="false">parametros_recargas!$E$103*'Plan mensual'!L277+parametros_recargas!$F$103*'Plan mensual'!L278+parametros_recargas!$G$103*'Plan mensual'!L279+parametros_recargas!$H$103*'Plan mensual'!L280+parametros_recargas!$I$103*'Plan mensual'!L281+parametros_recargas!$J$103*'Plan mensual'!L282+parametros_recargas!$K$103*'Plan mensual'!L283+parametros_recargas!$L$103*'Plan mensual'!L284+parametros_recargas!$M$103*'Plan mensual'!L286</f>
        <v>1476.4056510519</v>
      </c>
      <c r="K285" s="26" t="n">
        <f aca="false">parametros_recargas!$E$103*'Plan mensual'!M277+parametros_recargas!$F$103*'Plan mensual'!M278+parametros_recargas!$G$103*'Plan mensual'!M279+parametros_recargas!$H$103*'Plan mensual'!M280+parametros_recargas!$I$103*'Plan mensual'!M281+parametros_recargas!$J$103*'Plan mensual'!M282+parametros_recargas!$K$103*'Plan mensual'!M283+parametros_recargas!$L$103*'Plan mensual'!M284+parametros_recargas!$M$103*'Plan mensual'!M286</f>
        <v>1472.95682202049</v>
      </c>
      <c r="L285" s="26" t="n">
        <f aca="false">parametros_recargas!$E$103*'Plan mensual'!N277+parametros_recargas!$F$103*'Plan mensual'!N278+parametros_recargas!$G$103*'Plan mensual'!N279+parametros_recargas!$H$103*'Plan mensual'!N280+parametros_recargas!$I$103*'Plan mensual'!N281+parametros_recargas!$J$103*'Plan mensual'!N282+parametros_recargas!$K$103*'Plan mensual'!N283+parametros_recargas!$L$103*'Plan mensual'!N284+parametros_recargas!$M$103*'Plan mensual'!N286</f>
        <v>1458.10488155179</v>
      </c>
      <c r="M285" s="26" t="n">
        <f aca="false">parametros_recargas!$E$103*'Plan mensual'!O277+parametros_recargas!$F$103*'Plan mensual'!O278+parametros_recargas!$G$103*'Plan mensual'!O279+parametros_recargas!$H$103*'Plan mensual'!O280+parametros_recargas!$I$103*'Plan mensual'!O281+parametros_recargas!$J$103*'Plan mensual'!O282+parametros_recargas!$K$103*'Plan mensual'!O283+parametros_recargas!$L$103*'Plan mensual'!O284+parametros_recargas!$M$103*'Plan mensual'!O286</f>
        <v>660.663508877916</v>
      </c>
      <c r="N285" s="8" t="n">
        <f aca="false">SUM(B285:M285)</f>
        <v>16373.0903872781</v>
      </c>
      <c r="O285" s="27" t="n">
        <f aca="false">MAX(B285:M285)</f>
        <v>1751.95953618086</v>
      </c>
      <c r="P285" s="13" t="n">
        <f aca="false">O285/parametros_recargas!$B$6</f>
        <v>11.6797302412057</v>
      </c>
    </row>
    <row r="286" customFormat="false" ht="15" hidden="false" customHeight="false" outlineLevel="0" collapsed="false">
      <c r="A286" s="10" t="str">
        <f aca="false">parametros_recargas!$B$104</f>
        <v>PH de mangueras (CO₂ y rodantes)</v>
      </c>
      <c r="B286" s="26" t="n">
        <f aca="false">'Plan mensual'!D285</f>
        <v>549.43021390504</v>
      </c>
      <c r="C286" s="26" t="n">
        <f aca="false">'Plan mensual'!E285</f>
        <v>609.892703995888</v>
      </c>
      <c r="D286" s="26" t="n">
        <f aca="false">'Plan mensual'!F285</f>
        <v>549.43021390504</v>
      </c>
      <c r="E286" s="26" t="n">
        <f aca="false">'Plan mensual'!G285</f>
        <v>549.43021390504</v>
      </c>
      <c r="F286" s="26" t="n">
        <f aca="false">'Plan mensual'!H285</f>
        <v>549.43021390504</v>
      </c>
      <c r="G286" s="26" t="n">
        <f aca="false">'Plan mensual'!I285</f>
        <v>549.43021390504</v>
      </c>
      <c r="H286" s="26" t="n">
        <f aca="false">'Plan mensual'!J285</f>
        <v>549.43021390504</v>
      </c>
      <c r="I286" s="26" t="n">
        <f aca="false">'Plan mensual'!K285</f>
        <v>549.43021390504</v>
      </c>
      <c r="J286" s="26" t="n">
        <f aca="false">'Plan mensual'!L285</f>
        <v>549.43021390504</v>
      </c>
      <c r="K286" s="26" t="n">
        <f aca="false">'Plan mensual'!M285</f>
        <v>549.43021390504</v>
      </c>
      <c r="L286" s="26" t="n">
        <f aca="false">'Plan mensual'!N285</f>
        <v>549.43021390504</v>
      </c>
      <c r="M286" s="26" t="n">
        <f aca="false">'Plan mensual'!O285</f>
        <v>549.43021390504</v>
      </c>
      <c r="N286" s="8" t="n">
        <f aca="false">SUM(B286:M286)</f>
        <v>6653.62505695133</v>
      </c>
      <c r="O286" s="27" t="n">
        <f aca="false">MAX(B286:M286)</f>
        <v>609.892703995888</v>
      </c>
      <c r="P286" s="13" t="n">
        <f aca="false">O286/parametros_recargas!$B$6</f>
        <v>4.06595135997258</v>
      </c>
    </row>
    <row r="289" customFormat="false" ht="23.85" hidden="false" customHeight="false" outlineLevel="0" collapsed="false">
      <c r="A289" s="6" t="s">
        <v>446</v>
      </c>
      <c r="B289" s="6" t="s">
        <v>175</v>
      </c>
      <c r="C289" s="6" t="s">
        <v>176</v>
      </c>
      <c r="D289" s="6" t="s">
        <v>177</v>
      </c>
      <c r="E289" s="6" t="s">
        <v>178</v>
      </c>
      <c r="F289" s="6" t="s">
        <v>179</v>
      </c>
      <c r="G289" s="6" t="s">
        <v>180</v>
      </c>
      <c r="H289" s="6" t="s">
        <v>181</v>
      </c>
      <c r="I289" s="6" t="s">
        <v>182</v>
      </c>
      <c r="J289" s="6" t="s">
        <v>183</v>
      </c>
      <c r="K289" s="6" t="s">
        <v>184</v>
      </c>
      <c r="L289" s="6" t="s">
        <v>185</v>
      </c>
      <c r="M289" s="6" t="s">
        <v>186</v>
      </c>
      <c r="N289" s="6" t="s">
        <v>435</v>
      </c>
      <c r="O289" s="6" t="s">
        <v>436</v>
      </c>
      <c r="P289" s="6" t="s">
        <v>437</v>
      </c>
    </row>
    <row r="290" customFormat="false" ht="15" hidden="false" customHeight="false" outlineLevel="0" collapsed="false">
      <c r="A290" s="10" t="str">
        <f aca="false">parametros_recargas!$B$76</f>
        <v>Recepción y registro</v>
      </c>
      <c r="B290" s="26" t="n">
        <f aca="false">parametros_recargas!$E$76*'Plan mensual'!D309+parametros_recargas!$F$76*'Plan mensual'!D310+parametros_recargas!$G$76*'Plan mensual'!D311+parametros_recargas!$H$76*'Plan mensual'!D312+parametros_recargas!$I$76*'Plan mensual'!D313+parametros_recargas!$J$76*'Plan mensual'!D314+parametros_recargas!$K$76*'Plan mensual'!D315+parametros_recargas!$L$76*'Plan mensual'!D316+parametros_recargas!$M$76*'Plan mensual'!D318</f>
        <v>9730.89194105307</v>
      </c>
      <c r="C290" s="26" t="n">
        <f aca="false">parametros_recargas!$E$76*'Plan mensual'!E309+parametros_recargas!$F$76*'Plan mensual'!E310+parametros_recargas!$G$76*'Plan mensual'!E311+parametros_recargas!$H$76*'Plan mensual'!E312+parametros_recargas!$I$76*'Plan mensual'!E313+parametros_recargas!$J$76*'Plan mensual'!E314+parametros_recargas!$K$76*'Plan mensual'!E315+parametros_recargas!$L$76*'Plan mensual'!E316+parametros_recargas!$M$76*'Plan mensual'!E318</f>
        <v>23950.1688372527</v>
      </c>
      <c r="D290" s="26" t="n">
        <f aca="false">parametros_recargas!$E$76*'Plan mensual'!F309+parametros_recargas!$F$76*'Plan mensual'!F310+parametros_recargas!$G$76*'Plan mensual'!F311+parametros_recargas!$H$76*'Plan mensual'!F312+parametros_recargas!$I$76*'Plan mensual'!F313+parametros_recargas!$J$76*'Plan mensual'!F314+parametros_recargas!$K$76*'Plan mensual'!F315+parametros_recargas!$L$76*'Plan mensual'!F316+parametros_recargas!$M$76*'Plan mensual'!F318</f>
        <v>19997.7992978573</v>
      </c>
      <c r="E290" s="26" t="n">
        <f aca="false">parametros_recargas!$E$76*'Plan mensual'!G309+parametros_recargas!$F$76*'Plan mensual'!G310+parametros_recargas!$G$76*'Plan mensual'!G311+parametros_recargas!$H$76*'Plan mensual'!G312+parametros_recargas!$I$76*'Plan mensual'!G313+parametros_recargas!$J$76*'Plan mensual'!G314+parametros_recargas!$K$76*'Plan mensual'!G315+parametros_recargas!$L$76*'Plan mensual'!G316+parametros_recargas!$M$76*'Plan mensual'!G318</f>
        <v>20077.2213869679</v>
      </c>
      <c r="F290" s="26" t="n">
        <f aca="false">parametros_recargas!$E$76*'Plan mensual'!H309+parametros_recargas!$F$76*'Plan mensual'!H310+parametros_recargas!$G$76*'Plan mensual'!H311+parametros_recargas!$H$76*'Plan mensual'!H312+parametros_recargas!$I$76*'Plan mensual'!H313+parametros_recargas!$J$76*'Plan mensual'!H314+parametros_recargas!$K$76*'Plan mensual'!H315+parametros_recargas!$L$76*'Plan mensual'!H316+parametros_recargas!$M$76*'Plan mensual'!H318</f>
        <v>20080.4534405032</v>
      </c>
      <c r="G290" s="26" t="n">
        <f aca="false">parametros_recargas!$E$76*'Plan mensual'!I309+parametros_recargas!$F$76*'Plan mensual'!I310+parametros_recargas!$G$76*'Plan mensual'!I311+parametros_recargas!$H$76*'Plan mensual'!I312+parametros_recargas!$I$76*'Plan mensual'!I313+parametros_recargas!$J$76*'Plan mensual'!I314+parametros_recargas!$K$76*'Plan mensual'!I315+parametros_recargas!$L$76*'Plan mensual'!I316+parametros_recargas!$M$76*'Plan mensual'!I318</f>
        <v>20041.4660962266</v>
      </c>
      <c r="H290" s="26" t="n">
        <f aca="false">parametros_recargas!$E$76*'Plan mensual'!J309+parametros_recargas!$F$76*'Plan mensual'!J310+parametros_recargas!$G$76*'Plan mensual'!J311+parametros_recargas!$H$76*'Plan mensual'!J312+parametros_recargas!$I$76*'Plan mensual'!J313+parametros_recargas!$J$76*'Plan mensual'!J314+parametros_recargas!$K$76*'Plan mensual'!J315+parametros_recargas!$L$76*'Plan mensual'!J316+parametros_recargas!$M$76*'Plan mensual'!J318</f>
        <v>20161.4572610203</v>
      </c>
      <c r="I290" s="26" t="n">
        <f aca="false">parametros_recargas!$E$76*'Plan mensual'!K309+parametros_recargas!$F$76*'Plan mensual'!K310+parametros_recargas!$G$76*'Plan mensual'!K311+parametros_recargas!$H$76*'Plan mensual'!K312+parametros_recargas!$I$76*'Plan mensual'!K313+parametros_recargas!$J$76*'Plan mensual'!K314+parametros_recargas!$K$76*'Plan mensual'!K315+parametros_recargas!$L$76*'Plan mensual'!K316+parametros_recargas!$M$76*'Plan mensual'!K318</f>
        <v>20072.0774537367</v>
      </c>
      <c r="J290" s="26" t="n">
        <f aca="false">parametros_recargas!$E$76*'Plan mensual'!L309+parametros_recargas!$F$76*'Plan mensual'!L310+parametros_recargas!$G$76*'Plan mensual'!L311+parametros_recargas!$H$76*'Plan mensual'!L312+parametros_recargas!$I$76*'Plan mensual'!L313+parametros_recargas!$J$76*'Plan mensual'!L314+parametros_recargas!$K$76*'Plan mensual'!L315+parametros_recargas!$L$76*'Plan mensual'!L316+parametros_recargas!$M$76*'Plan mensual'!L318</f>
        <v>20085.8557168774</v>
      </c>
      <c r="K290" s="26" t="n">
        <f aca="false">parametros_recargas!$E$76*'Plan mensual'!M309+parametros_recargas!$F$76*'Plan mensual'!M310+parametros_recargas!$G$76*'Plan mensual'!M311+parametros_recargas!$H$76*'Plan mensual'!M312+parametros_recargas!$I$76*'Plan mensual'!M313+parametros_recargas!$J$76*'Plan mensual'!M314+parametros_recargas!$K$76*'Plan mensual'!M315+parametros_recargas!$L$76*'Plan mensual'!M316+parametros_recargas!$M$76*'Plan mensual'!M318</f>
        <v>20038.5522999027</v>
      </c>
      <c r="L290" s="26" t="n">
        <f aca="false">parametros_recargas!$E$76*'Plan mensual'!N309+parametros_recargas!$F$76*'Plan mensual'!N310+parametros_recargas!$G$76*'Plan mensual'!N311+parametros_recargas!$H$76*'Plan mensual'!N312+parametros_recargas!$I$76*'Plan mensual'!N313+parametros_recargas!$J$76*'Plan mensual'!N314+parametros_recargas!$K$76*'Plan mensual'!N315+parametros_recargas!$L$76*'Plan mensual'!N316+parametros_recargas!$M$76*'Plan mensual'!N318</f>
        <v>19839.0691217145</v>
      </c>
      <c r="M290" s="26" t="n">
        <f aca="false">parametros_recargas!$E$76*'Plan mensual'!O309+parametros_recargas!$F$76*'Plan mensual'!O310+parametros_recargas!$G$76*'Plan mensual'!O311+parametros_recargas!$H$76*'Plan mensual'!O312+parametros_recargas!$I$76*'Plan mensual'!O313+parametros_recargas!$J$76*'Plan mensual'!O314+parametros_recargas!$K$76*'Plan mensual'!O315+parametros_recargas!$L$76*'Plan mensual'!O316+parametros_recargas!$M$76*'Plan mensual'!O318</f>
        <v>9193.44342133202</v>
      </c>
      <c r="N290" s="8" t="n">
        <f aca="false">SUM(B290:M290)</f>
        <v>223268.456274444</v>
      </c>
      <c r="O290" s="27" t="n">
        <f aca="false">MAX(B290:M290)</f>
        <v>23950.1688372527</v>
      </c>
      <c r="P290" s="13" t="n">
        <f aca="false">O290/parametros_recargas!$B$6</f>
        <v>159.667792248351</v>
      </c>
    </row>
    <row r="291" customFormat="false" ht="15" hidden="false" customHeight="false" outlineLevel="0" collapsed="false">
      <c r="A291" s="10" t="str">
        <f aca="false">parametros_recargas!$B$77</f>
        <v>Inspección visual</v>
      </c>
      <c r="B291" s="26" t="n">
        <f aca="false">parametros_recargas!$E$77*'Plan mensual'!D309+parametros_recargas!$F$77*'Plan mensual'!D310+parametros_recargas!$G$77*'Plan mensual'!D311+parametros_recargas!$H$77*'Plan mensual'!D312+parametros_recargas!$I$77*'Plan mensual'!D313+parametros_recargas!$J$77*'Plan mensual'!D314+parametros_recargas!$K$77*'Plan mensual'!D315+parametros_recargas!$L$77*'Plan mensual'!D316+parametros_recargas!$M$77*'Plan mensual'!D318</f>
        <v>9709.93020505937</v>
      </c>
      <c r="C291" s="26" t="n">
        <f aca="false">parametros_recargas!$E$77*'Plan mensual'!E309+parametros_recargas!$F$77*'Plan mensual'!E310+parametros_recargas!$G$77*'Plan mensual'!E311+parametros_recargas!$H$77*'Plan mensual'!E312+parametros_recargas!$I$77*'Plan mensual'!E313+parametros_recargas!$J$77*'Plan mensual'!E314+parametros_recargas!$K$77*'Plan mensual'!E315+parametros_recargas!$L$77*'Plan mensual'!E316+parametros_recargas!$M$77*'Plan mensual'!E318</f>
        <v>23933.1785996112</v>
      </c>
      <c r="D291" s="26" t="n">
        <f aca="false">parametros_recargas!$E$77*'Plan mensual'!F309+parametros_recargas!$F$77*'Plan mensual'!F310+parametros_recargas!$G$77*'Plan mensual'!F311+parametros_recargas!$H$77*'Plan mensual'!F312+parametros_recargas!$I$77*'Plan mensual'!F313+parametros_recargas!$J$77*'Plan mensual'!F314+parametros_recargas!$K$77*'Plan mensual'!F315+parametros_recargas!$L$77*'Plan mensual'!F316+parametros_recargas!$M$77*'Plan mensual'!F318</f>
        <v>19979.4218126875</v>
      </c>
      <c r="E291" s="26" t="n">
        <f aca="false">parametros_recargas!$E$77*'Plan mensual'!G309+parametros_recargas!$F$77*'Plan mensual'!G310+parametros_recargas!$G$77*'Plan mensual'!G311+parametros_recargas!$H$77*'Plan mensual'!G312+parametros_recargas!$I$77*'Plan mensual'!G313+parametros_recargas!$J$77*'Plan mensual'!G314+parametros_recargas!$K$77*'Plan mensual'!G315+parametros_recargas!$L$77*'Plan mensual'!G316+parametros_recargas!$M$77*'Plan mensual'!G318</f>
        <v>20058.8439017981</v>
      </c>
      <c r="F291" s="26" t="n">
        <f aca="false">parametros_recargas!$E$77*'Plan mensual'!H309+parametros_recargas!$F$77*'Plan mensual'!H310+parametros_recargas!$G$77*'Plan mensual'!H311+parametros_recargas!$H$77*'Plan mensual'!H312+parametros_recargas!$I$77*'Plan mensual'!H313+parametros_recargas!$J$77*'Plan mensual'!H314+parametros_recargas!$K$77*'Plan mensual'!H315+parametros_recargas!$L$77*'Plan mensual'!H316+parametros_recargas!$M$77*'Plan mensual'!H318</f>
        <v>20062.9899553334</v>
      </c>
      <c r="G291" s="26" t="n">
        <f aca="false">parametros_recargas!$E$77*'Plan mensual'!I309+parametros_recargas!$F$77*'Plan mensual'!I310+parametros_recargas!$G$77*'Plan mensual'!I311+parametros_recargas!$H$77*'Plan mensual'!I312+parametros_recargas!$I$77*'Plan mensual'!I313+parametros_recargas!$J$77*'Plan mensual'!I314+parametros_recargas!$K$77*'Plan mensual'!I315+parametros_recargas!$L$77*'Plan mensual'!I316+parametros_recargas!$M$77*'Plan mensual'!I318</f>
        <v>20025.232109409</v>
      </c>
      <c r="H291" s="26" t="n">
        <f aca="false">parametros_recargas!$E$77*'Plan mensual'!J309+parametros_recargas!$F$77*'Plan mensual'!J310+parametros_recargas!$G$77*'Plan mensual'!J311+parametros_recargas!$H$77*'Plan mensual'!J312+parametros_recargas!$I$77*'Plan mensual'!J313+parametros_recargas!$J$77*'Plan mensual'!J314+parametros_recargas!$K$77*'Plan mensual'!J315+parametros_recargas!$L$77*'Plan mensual'!J316+parametros_recargas!$M$77*'Plan mensual'!J318</f>
        <v>20143.9937758505</v>
      </c>
      <c r="I291" s="26" t="n">
        <f aca="false">parametros_recargas!$E$77*'Plan mensual'!K309+parametros_recargas!$F$77*'Plan mensual'!K310+parametros_recargas!$G$77*'Plan mensual'!K311+parametros_recargas!$H$77*'Plan mensual'!K312+parametros_recargas!$I$77*'Plan mensual'!K313+parametros_recargas!$J$77*'Plan mensual'!K314+parametros_recargas!$K$77*'Plan mensual'!K315+parametros_recargas!$L$77*'Plan mensual'!K316+parametros_recargas!$M$77*'Plan mensual'!K318</f>
        <v>20054.6139685669</v>
      </c>
      <c r="J291" s="26" t="n">
        <f aca="false">parametros_recargas!$E$77*'Plan mensual'!L309+parametros_recargas!$F$77*'Plan mensual'!L310+parametros_recargas!$G$77*'Plan mensual'!L311+parametros_recargas!$H$77*'Plan mensual'!L312+parametros_recargas!$I$77*'Plan mensual'!L313+parametros_recargas!$J$77*'Plan mensual'!L314+parametros_recargas!$K$77*'Plan mensual'!L315+parametros_recargas!$L$77*'Plan mensual'!L316+parametros_recargas!$M$77*'Plan mensual'!L318</f>
        <v>20068.5499808837</v>
      </c>
      <c r="K291" s="26" t="n">
        <f aca="false">parametros_recargas!$E$77*'Plan mensual'!M309+parametros_recargas!$F$77*'Plan mensual'!M310+parametros_recargas!$G$77*'Plan mensual'!M311+parametros_recargas!$H$77*'Plan mensual'!M312+parametros_recargas!$I$77*'Plan mensual'!M313+parametros_recargas!$J$77*'Plan mensual'!M314+parametros_recargas!$K$77*'Plan mensual'!M315+parametros_recargas!$L$77*'Plan mensual'!M316+parametros_recargas!$M$77*'Plan mensual'!M318</f>
        <v>20022.4760622612</v>
      </c>
      <c r="L291" s="26" t="n">
        <f aca="false">parametros_recargas!$E$77*'Plan mensual'!N309+parametros_recargas!$F$77*'Plan mensual'!N310+parametros_recargas!$G$77*'Plan mensual'!N311+parametros_recargas!$H$77*'Plan mensual'!N312+parametros_recargas!$I$77*'Plan mensual'!N313+parametros_recargas!$J$77*'Plan mensual'!N314+parametros_recargas!$K$77*'Plan mensual'!N315+parametros_recargas!$L$77*'Plan mensual'!N316+parametros_recargas!$M$77*'Plan mensual'!N318</f>
        <v>19824.0646332491</v>
      </c>
      <c r="M291" s="26" t="n">
        <f aca="false">parametros_recargas!$E$77*'Plan mensual'!O309+parametros_recargas!$F$77*'Plan mensual'!O310+parametros_recargas!$G$77*'Plan mensual'!O311+parametros_recargas!$H$77*'Plan mensual'!O312+parametros_recargas!$I$77*'Plan mensual'!O313+parametros_recargas!$J$77*'Plan mensual'!O314+parametros_recargas!$K$77*'Plan mensual'!O315+parametros_recargas!$L$77*'Plan mensual'!O316+parametros_recargas!$M$77*'Plan mensual'!O318</f>
        <v>9170.81143451442</v>
      </c>
      <c r="N291" s="8" t="n">
        <f aca="false">SUM(B291:M291)</f>
        <v>223054.106439224</v>
      </c>
      <c r="O291" s="27" t="n">
        <f aca="false">MAX(B291:M291)</f>
        <v>23933.1785996112</v>
      </c>
      <c r="P291" s="13" t="n">
        <f aca="false">O291/parametros_recargas!$B$6</f>
        <v>159.554523997408</v>
      </c>
    </row>
    <row r="292" customFormat="false" ht="15" hidden="false" customHeight="false" outlineLevel="0" collapsed="false">
      <c r="A292" s="10" t="str">
        <f aca="false">parametros_recargas!$B$78</f>
        <v>Descarga ABC — ruta recuperable</v>
      </c>
      <c r="B292" s="26" t="n">
        <f aca="false">parametros_recargas!$E$78*'Plan mensual'!D309+parametros_recargas!$F$78*'Plan mensual'!D310+parametros_recargas!$G$78*'Plan mensual'!D311+parametros_recargas!$H$78*'Plan mensual'!D312+parametros_recargas!$I$78*'Plan mensual'!D313+parametros_recargas!$J$78*'Plan mensual'!D314+parametros_recargas!$K$78*'Plan mensual'!D315+parametros_recargas!$L$78*'Plan mensual'!D316+parametros_recargas!$M$78*'Plan mensual'!D318</f>
        <v>6281.18346749921</v>
      </c>
      <c r="C292" s="26" t="n">
        <f aca="false">parametros_recargas!$E$78*'Plan mensual'!E309+parametros_recargas!$F$78*'Plan mensual'!E310+parametros_recargas!$G$78*'Plan mensual'!E311+parametros_recargas!$H$78*'Plan mensual'!E312+parametros_recargas!$I$78*'Plan mensual'!E313+parametros_recargas!$J$78*'Plan mensual'!E314+parametros_recargas!$K$78*'Plan mensual'!E315+parametros_recargas!$L$78*'Plan mensual'!E316+parametros_recargas!$M$78*'Plan mensual'!E318</f>
        <v>17473.1833929357</v>
      </c>
      <c r="D292" s="26" t="n">
        <f aca="false">parametros_recargas!$E$78*'Plan mensual'!F309+parametros_recargas!$F$78*'Plan mensual'!F310+parametros_recargas!$G$78*'Plan mensual'!F311+parametros_recargas!$H$78*'Plan mensual'!F312+parametros_recargas!$I$78*'Plan mensual'!F313+parametros_recargas!$J$78*'Plan mensual'!F314+parametros_recargas!$K$78*'Plan mensual'!F315+parametros_recargas!$L$78*'Plan mensual'!F316+parametros_recargas!$M$78*'Plan mensual'!F318</f>
        <v>15061.5987920213</v>
      </c>
      <c r="E292" s="26" t="n">
        <f aca="false">parametros_recargas!$E$78*'Plan mensual'!G309+parametros_recargas!$F$78*'Plan mensual'!G310+parametros_recargas!$G$78*'Plan mensual'!G311+parametros_recargas!$H$78*'Plan mensual'!G312+parametros_recargas!$I$78*'Plan mensual'!G313+parametros_recargas!$J$78*'Plan mensual'!G314+parametros_recargas!$K$78*'Plan mensual'!G315+parametros_recargas!$L$78*'Plan mensual'!G316+parametros_recargas!$M$78*'Plan mensual'!G318</f>
        <v>15129.5046782108</v>
      </c>
      <c r="F292" s="26" t="n">
        <f aca="false">parametros_recargas!$E$78*'Plan mensual'!H309+parametros_recargas!$F$78*'Plan mensual'!H310+parametros_recargas!$G$78*'Plan mensual'!H311+parametros_recargas!$H$78*'Plan mensual'!H312+parametros_recargas!$I$78*'Plan mensual'!H313+parametros_recargas!$J$78*'Plan mensual'!H314+parametros_recargas!$K$78*'Plan mensual'!H315+parametros_recargas!$L$78*'Plan mensual'!H316+parametros_recargas!$M$78*'Plan mensual'!H318</f>
        <v>15133.0495539835</v>
      </c>
      <c r="G292" s="26" t="n">
        <f aca="false">parametros_recargas!$E$78*'Plan mensual'!I309+parametros_recargas!$F$78*'Plan mensual'!I310+parametros_recargas!$G$78*'Plan mensual'!I311+parametros_recargas!$H$78*'Plan mensual'!I312+parametros_recargas!$I$78*'Plan mensual'!I313+parametros_recargas!$J$78*'Plan mensual'!I314+parametros_recargas!$K$78*'Plan mensual'!I315+parametros_recargas!$L$78*'Plan mensual'!I316+parametros_recargas!$M$78*'Plan mensual'!I318</f>
        <v>15100.7665957181</v>
      </c>
      <c r="H292" s="26" t="n">
        <f aca="false">parametros_recargas!$E$78*'Plan mensual'!J309+parametros_recargas!$F$78*'Plan mensual'!J310+parametros_recargas!$G$78*'Plan mensual'!J311+parametros_recargas!$H$78*'Plan mensual'!J312+parametros_recargas!$I$78*'Plan mensual'!J313+parametros_recargas!$J$78*'Plan mensual'!J314+parametros_recargas!$K$78*'Plan mensual'!J315+parametros_recargas!$L$78*'Plan mensual'!J316+parametros_recargas!$M$78*'Plan mensual'!J318</f>
        <v>15202.3078205256</v>
      </c>
      <c r="I292" s="26" t="n">
        <f aca="false">parametros_recargas!$E$78*'Plan mensual'!K309+parametros_recargas!$F$78*'Plan mensual'!K310+parametros_recargas!$G$78*'Plan mensual'!K311+parametros_recargas!$H$78*'Plan mensual'!K312+parametros_recargas!$I$78*'Plan mensual'!K313+parametros_recargas!$J$78*'Plan mensual'!K314+parametros_recargas!$K$78*'Plan mensual'!K315+parametros_recargas!$L$78*'Plan mensual'!K316+parametros_recargas!$M$78*'Plan mensual'!K318</f>
        <v>15125.8880852982</v>
      </c>
      <c r="J292" s="26" t="n">
        <f aca="false">parametros_recargas!$E$78*'Plan mensual'!L309+parametros_recargas!$F$78*'Plan mensual'!L310+parametros_recargas!$G$78*'Plan mensual'!L311+parametros_recargas!$H$78*'Plan mensual'!L312+parametros_recargas!$I$78*'Plan mensual'!L313+parametros_recargas!$J$78*'Plan mensual'!L314+parametros_recargas!$K$78*'Plan mensual'!L315+parametros_recargas!$L$78*'Plan mensual'!L316+parametros_recargas!$M$78*'Plan mensual'!L318</f>
        <v>15137.803375829</v>
      </c>
      <c r="K292" s="26" t="n">
        <f aca="false">parametros_recargas!$E$78*'Plan mensual'!M309+parametros_recargas!$F$78*'Plan mensual'!M310+parametros_recargas!$G$78*'Plan mensual'!M311+parametros_recargas!$H$78*'Plan mensual'!M312+parametros_recargas!$I$78*'Plan mensual'!M313+parametros_recargas!$J$78*'Plan mensual'!M314+parametros_recargas!$K$78*'Plan mensual'!M315+parametros_recargas!$L$78*'Plan mensual'!M316+parametros_recargas!$M$78*'Plan mensual'!M318</f>
        <v>15098.4101754068</v>
      </c>
      <c r="L292" s="26" t="n">
        <f aca="false">parametros_recargas!$E$78*'Plan mensual'!N309+parametros_recargas!$F$78*'Plan mensual'!N310+parametros_recargas!$G$78*'Plan mensual'!N311+parametros_recargas!$H$78*'Plan mensual'!N312+parametros_recargas!$I$78*'Plan mensual'!N313+parametros_recargas!$J$78*'Plan mensual'!N314+parametros_recargas!$K$78*'Plan mensual'!N315+parametros_recargas!$L$78*'Plan mensual'!N316+parametros_recargas!$M$78*'Plan mensual'!N318</f>
        <v>14928.7684036014</v>
      </c>
      <c r="M292" s="26" t="n">
        <f aca="false">parametros_recargas!$E$78*'Plan mensual'!O309+parametros_recargas!$F$78*'Plan mensual'!O310+parametros_recargas!$G$78*'Plan mensual'!O311+parametros_recargas!$H$78*'Plan mensual'!O312+parametros_recargas!$I$78*'Plan mensual'!O313+parametros_recargas!$J$78*'Plan mensual'!O314+parametros_recargas!$K$78*'Plan mensual'!O315+parametros_recargas!$L$78*'Plan mensual'!O316+parametros_recargas!$M$78*'Plan mensual'!O318</f>
        <v>5820.23691868328</v>
      </c>
      <c r="N292" s="8" t="n">
        <f aca="false">SUM(B292:M292)</f>
        <v>165492.701259713</v>
      </c>
      <c r="O292" s="27" t="n">
        <f aca="false">MAX(B292:M292)</f>
        <v>17473.1833929357</v>
      </c>
      <c r="P292" s="13" t="n">
        <f aca="false">O292/parametros_recargas!$B$6</f>
        <v>116.487889286238</v>
      </c>
    </row>
    <row r="293" customFormat="false" ht="15" hidden="false" customHeight="false" outlineLevel="0" collapsed="false">
      <c r="A293" s="10" t="str">
        <f aca="false">parametros_recargas!$B$79</f>
        <v>Descarga ABC — ruta descarte</v>
      </c>
      <c r="B293" s="26" t="n">
        <f aca="false">parametros_recargas!$E$79*'Plan mensual'!D309+parametros_recargas!$F$79*'Plan mensual'!D310+parametros_recargas!$G$79*'Plan mensual'!D311+parametros_recargas!$H$79*'Plan mensual'!D312+parametros_recargas!$I$79*'Plan mensual'!D313+parametros_recargas!$J$79*'Plan mensual'!D314+parametros_recargas!$K$79*'Plan mensual'!D315+parametros_recargas!$L$79*'Plan mensual'!D316+parametros_recargas!$M$79*'Plan mensual'!D318</f>
        <v>697.909274166579</v>
      </c>
      <c r="C293" s="26" t="n">
        <f aca="false">parametros_recargas!$E$79*'Plan mensual'!E309+parametros_recargas!$F$79*'Plan mensual'!E310+parametros_recargas!$G$79*'Plan mensual'!E311+parametros_recargas!$H$79*'Plan mensual'!E312+parametros_recargas!$I$79*'Plan mensual'!E313+parametros_recargas!$J$79*'Plan mensual'!E314+parametros_recargas!$K$79*'Plan mensual'!E315+parametros_recargas!$L$79*'Plan mensual'!E316+parametros_recargas!$M$79*'Plan mensual'!E318</f>
        <v>1941.4648214373</v>
      </c>
      <c r="D293" s="26" t="n">
        <f aca="false">parametros_recargas!$E$79*'Plan mensual'!F309+parametros_recargas!$F$79*'Plan mensual'!F310+parametros_recargas!$G$79*'Plan mensual'!F311+parametros_recargas!$H$79*'Plan mensual'!F312+parametros_recargas!$I$79*'Plan mensual'!F313+parametros_recargas!$J$79*'Plan mensual'!F314+parametros_recargas!$K$79*'Plan mensual'!F315+parametros_recargas!$L$79*'Plan mensual'!F316+parametros_recargas!$M$79*'Plan mensual'!F318</f>
        <v>1673.51097689126</v>
      </c>
      <c r="E293" s="26" t="n">
        <f aca="false">parametros_recargas!$E$79*'Plan mensual'!G309+parametros_recargas!$F$79*'Plan mensual'!G310+parametros_recargas!$G$79*'Plan mensual'!G311+parametros_recargas!$H$79*'Plan mensual'!G312+parametros_recargas!$I$79*'Plan mensual'!G313+parametros_recargas!$J$79*'Plan mensual'!G314+parametros_recargas!$K$79*'Plan mensual'!G315+parametros_recargas!$L$79*'Plan mensual'!G316+parametros_recargas!$M$79*'Plan mensual'!G318</f>
        <v>1681.05607535676</v>
      </c>
      <c r="F293" s="26" t="n">
        <f aca="false">parametros_recargas!$E$79*'Plan mensual'!H309+parametros_recargas!$F$79*'Plan mensual'!H310+parametros_recargas!$G$79*'Plan mensual'!H311+parametros_recargas!$H$79*'Plan mensual'!H312+parametros_recargas!$I$79*'Plan mensual'!H313+parametros_recargas!$J$79*'Plan mensual'!H314+parametros_recargas!$K$79*'Plan mensual'!H315+parametros_recargas!$L$79*'Plan mensual'!H316+parametros_recargas!$M$79*'Plan mensual'!H318</f>
        <v>1681.44995044261</v>
      </c>
      <c r="G293" s="26" t="n">
        <f aca="false">parametros_recargas!$E$79*'Plan mensual'!I309+parametros_recargas!$F$79*'Plan mensual'!I310+parametros_recargas!$G$79*'Plan mensual'!I311+parametros_recargas!$H$79*'Plan mensual'!I312+parametros_recargas!$I$79*'Plan mensual'!I313+parametros_recargas!$J$79*'Plan mensual'!I314+parametros_recargas!$K$79*'Plan mensual'!I315+parametros_recargas!$L$79*'Plan mensual'!I316+parametros_recargas!$M$79*'Plan mensual'!I318</f>
        <v>1677.86295507979</v>
      </c>
      <c r="H293" s="26" t="n">
        <f aca="false">parametros_recargas!$E$79*'Plan mensual'!J309+parametros_recargas!$F$79*'Plan mensual'!J310+parametros_recargas!$G$79*'Plan mensual'!J311+parametros_recargas!$H$79*'Plan mensual'!J312+parametros_recargas!$I$79*'Plan mensual'!J313+parametros_recargas!$J$79*'Plan mensual'!J314+parametros_recargas!$K$79*'Plan mensual'!J315+parametros_recargas!$L$79*'Plan mensual'!J316+parametros_recargas!$M$79*'Plan mensual'!J318</f>
        <v>1689.14531339174</v>
      </c>
      <c r="I293" s="26" t="n">
        <f aca="false">parametros_recargas!$E$79*'Plan mensual'!K309+parametros_recargas!$F$79*'Plan mensual'!K310+parametros_recargas!$G$79*'Plan mensual'!K311+parametros_recargas!$H$79*'Plan mensual'!K312+parametros_recargas!$I$79*'Plan mensual'!K313+parametros_recargas!$J$79*'Plan mensual'!K314+parametros_recargas!$K$79*'Plan mensual'!K315+parametros_recargas!$L$79*'Plan mensual'!K316+parametros_recargas!$M$79*'Plan mensual'!K318</f>
        <v>1680.6542316998</v>
      </c>
      <c r="J293" s="26" t="n">
        <f aca="false">parametros_recargas!$E$79*'Plan mensual'!L309+parametros_recargas!$F$79*'Plan mensual'!L310+parametros_recargas!$G$79*'Plan mensual'!L311+parametros_recargas!$H$79*'Plan mensual'!L312+parametros_recargas!$I$79*'Plan mensual'!L313+parametros_recargas!$J$79*'Plan mensual'!L314+parametros_recargas!$K$79*'Plan mensual'!L315+parametros_recargas!$L$79*'Plan mensual'!L316+parametros_recargas!$M$79*'Plan mensual'!L318</f>
        <v>1681.97815286989</v>
      </c>
      <c r="K293" s="26" t="n">
        <f aca="false">parametros_recargas!$E$79*'Plan mensual'!M309+parametros_recargas!$F$79*'Plan mensual'!M310+parametros_recargas!$G$79*'Plan mensual'!M311+parametros_recargas!$H$79*'Plan mensual'!M312+parametros_recargas!$I$79*'Plan mensual'!M313+parametros_recargas!$J$79*'Plan mensual'!M314+parametros_recargas!$K$79*'Plan mensual'!M315+parametros_recargas!$L$79*'Plan mensual'!M316+parametros_recargas!$M$79*'Plan mensual'!M318</f>
        <v>1677.60113060075</v>
      </c>
      <c r="L293" s="26" t="n">
        <f aca="false">parametros_recargas!$E$79*'Plan mensual'!N309+parametros_recargas!$F$79*'Plan mensual'!N310+parametros_recargas!$G$79*'Plan mensual'!N311+parametros_recargas!$H$79*'Plan mensual'!N312+parametros_recargas!$I$79*'Plan mensual'!N313+parametros_recargas!$J$79*'Plan mensual'!N314+parametros_recargas!$K$79*'Plan mensual'!N315+parametros_recargas!$L$79*'Plan mensual'!N316+parametros_recargas!$M$79*'Plan mensual'!N318</f>
        <v>1658.7520448446</v>
      </c>
      <c r="M293" s="26" t="n">
        <f aca="false">parametros_recargas!$E$79*'Plan mensual'!O309+parametros_recargas!$F$79*'Plan mensual'!O310+parametros_recargas!$G$79*'Plan mensual'!O311+parametros_recargas!$H$79*'Plan mensual'!O312+parametros_recargas!$I$79*'Plan mensual'!O313+parametros_recargas!$J$79*'Plan mensual'!O314+parametros_recargas!$K$79*'Plan mensual'!O315+parametros_recargas!$L$79*'Plan mensual'!O316+parametros_recargas!$M$79*'Plan mensual'!O318</f>
        <v>646.692990964809</v>
      </c>
      <c r="N293" s="8" t="n">
        <f aca="false">SUM(B293:M293)</f>
        <v>18388.0779177459</v>
      </c>
      <c r="O293" s="27" t="n">
        <f aca="false">MAX(B293:M293)</f>
        <v>1941.4648214373</v>
      </c>
      <c r="P293" s="13" t="n">
        <f aca="false">O293/parametros_recargas!$B$6</f>
        <v>12.943098809582</v>
      </c>
    </row>
    <row r="294" customFormat="false" ht="15" hidden="false" customHeight="false" outlineLevel="0" collapsed="false">
      <c r="A294" s="10" t="str">
        <f aca="false">parametros_recargas!$B$80</f>
        <v>Descarga BC</v>
      </c>
      <c r="B294" s="26" t="n">
        <f aca="false">parametros_recargas!$E$80*'Plan mensual'!D309+parametros_recargas!$F$80*'Plan mensual'!D310+parametros_recargas!$G$80*'Plan mensual'!D311+parametros_recargas!$H$80*'Plan mensual'!D312+parametros_recargas!$I$80*'Plan mensual'!D313+parametros_recargas!$J$80*'Plan mensual'!D314+parametros_recargas!$K$80*'Plan mensual'!D315+parametros_recargas!$L$80*'Plan mensual'!D316+parametros_recargas!$M$80*'Plan mensual'!D318</f>
        <v>21.6203186117153</v>
      </c>
      <c r="C294" s="26" t="n">
        <f aca="false">parametros_recargas!$E$80*'Plan mensual'!E309+parametros_recargas!$F$80*'Plan mensual'!E310+parametros_recargas!$G$80*'Plan mensual'!E311+parametros_recargas!$H$80*'Plan mensual'!E312+parametros_recargas!$I$80*'Plan mensual'!E313+parametros_recargas!$J$80*'Plan mensual'!E314+parametros_recargas!$K$80*'Plan mensual'!E315+parametros_recargas!$L$80*'Plan mensual'!E316+parametros_recargas!$M$80*'Plan mensual'!E318</f>
        <v>21.6203186117153</v>
      </c>
      <c r="D294" s="26" t="n">
        <f aca="false">parametros_recargas!$E$80*'Plan mensual'!F309+parametros_recargas!$F$80*'Plan mensual'!F310+parametros_recargas!$G$80*'Plan mensual'!F311+parametros_recargas!$H$80*'Plan mensual'!F312+parametros_recargas!$I$80*'Plan mensual'!F313+parametros_recargas!$J$80*'Plan mensual'!F314+parametros_recargas!$K$80*'Plan mensual'!F315+parametros_recargas!$L$80*'Plan mensual'!F316+parametros_recargas!$M$80*'Plan mensual'!F318</f>
        <v>21.6203186117153</v>
      </c>
      <c r="E294" s="26" t="n">
        <f aca="false">parametros_recargas!$E$80*'Plan mensual'!G309+parametros_recargas!$F$80*'Plan mensual'!G310+parametros_recargas!$G$80*'Plan mensual'!G311+parametros_recargas!$H$80*'Plan mensual'!G312+parametros_recargas!$I$80*'Plan mensual'!G313+parametros_recargas!$J$80*'Plan mensual'!G314+parametros_recargas!$K$80*'Plan mensual'!G315+parametros_recargas!$L$80*'Plan mensual'!G316+parametros_recargas!$M$80*'Plan mensual'!G318</f>
        <v>21.6203186117153</v>
      </c>
      <c r="F294" s="26" t="n">
        <f aca="false">parametros_recargas!$E$80*'Plan mensual'!H309+parametros_recargas!$F$80*'Plan mensual'!H310+parametros_recargas!$G$80*'Plan mensual'!H311+parametros_recargas!$H$80*'Plan mensual'!H312+parametros_recargas!$I$80*'Plan mensual'!H313+parametros_recargas!$J$80*'Plan mensual'!H314+parametros_recargas!$K$80*'Plan mensual'!H315+parametros_recargas!$L$80*'Plan mensual'!H316+parametros_recargas!$M$80*'Plan mensual'!H318</f>
        <v>21.6203186117153</v>
      </c>
      <c r="G294" s="26" t="n">
        <f aca="false">parametros_recargas!$E$80*'Plan mensual'!I309+parametros_recargas!$F$80*'Plan mensual'!I310+parametros_recargas!$G$80*'Plan mensual'!I311+parametros_recargas!$H$80*'Plan mensual'!I312+parametros_recargas!$I$80*'Plan mensual'!I313+parametros_recargas!$J$80*'Plan mensual'!I314+parametros_recargas!$K$80*'Plan mensual'!I315+parametros_recargas!$L$80*'Plan mensual'!I316+parametros_recargas!$M$80*'Plan mensual'!I318</f>
        <v>21.6203186117153</v>
      </c>
      <c r="H294" s="26" t="n">
        <f aca="false">parametros_recargas!$E$80*'Plan mensual'!J309+parametros_recargas!$F$80*'Plan mensual'!J310+parametros_recargas!$G$80*'Plan mensual'!J311+parametros_recargas!$H$80*'Plan mensual'!J312+parametros_recargas!$I$80*'Plan mensual'!J313+parametros_recargas!$J$80*'Plan mensual'!J314+parametros_recargas!$K$80*'Plan mensual'!J315+parametros_recargas!$L$80*'Plan mensual'!J316+parametros_recargas!$M$80*'Plan mensual'!J318</f>
        <v>21.6203186117153</v>
      </c>
      <c r="I294" s="26" t="n">
        <f aca="false">parametros_recargas!$E$80*'Plan mensual'!K309+parametros_recargas!$F$80*'Plan mensual'!K310+parametros_recargas!$G$80*'Plan mensual'!K311+parametros_recargas!$H$80*'Plan mensual'!K312+parametros_recargas!$I$80*'Plan mensual'!K313+parametros_recargas!$J$80*'Plan mensual'!K314+parametros_recargas!$K$80*'Plan mensual'!K315+parametros_recargas!$L$80*'Plan mensual'!K316+parametros_recargas!$M$80*'Plan mensual'!K318</f>
        <v>21.6203186117153</v>
      </c>
      <c r="J294" s="26" t="n">
        <f aca="false">parametros_recargas!$E$80*'Plan mensual'!L309+parametros_recargas!$F$80*'Plan mensual'!L310+parametros_recargas!$G$80*'Plan mensual'!L311+parametros_recargas!$H$80*'Plan mensual'!L312+parametros_recargas!$I$80*'Plan mensual'!L313+parametros_recargas!$J$80*'Plan mensual'!L314+parametros_recargas!$K$80*'Plan mensual'!L315+parametros_recargas!$L$80*'Plan mensual'!L316+parametros_recargas!$M$80*'Plan mensual'!L318</f>
        <v>21.6203186117153</v>
      </c>
      <c r="K294" s="26" t="n">
        <f aca="false">parametros_recargas!$E$80*'Plan mensual'!M309+parametros_recargas!$F$80*'Plan mensual'!M310+parametros_recargas!$G$80*'Plan mensual'!M311+parametros_recargas!$H$80*'Plan mensual'!M312+parametros_recargas!$I$80*'Plan mensual'!M313+parametros_recargas!$J$80*'Plan mensual'!M314+parametros_recargas!$K$80*'Plan mensual'!M315+parametros_recargas!$L$80*'Plan mensual'!M316+parametros_recargas!$M$80*'Plan mensual'!M318</f>
        <v>21.6203186117153</v>
      </c>
      <c r="L294" s="26" t="n">
        <f aca="false">parametros_recargas!$E$80*'Plan mensual'!N309+parametros_recargas!$F$80*'Plan mensual'!N310+parametros_recargas!$G$80*'Plan mensual'!N311+parametros_recargas!$H$80*'Plan mensual'!N312+parametros_recargas!$I$80*'Plan mensual'!N313+parametros_recargas!$J$80*'Plan mensual'!N314+parametros_recargas!$K$80*'Plan mensual'!N315+parametros_recargas!$L$80*'Plan mensual'!N316+parametros_recargas!$M$80*'Plan mensual'!N318</f>
        <v>21.6203186117153</v>
      </c>
      <c r="M294" s="26" t="n">
        <f aca="false">parametros_recargas!$E$80*'Plan mensual'!O309+parametros_recargas!$F$80*'Plan mensual'!O310+parametros_recargas!$G$80*'Plan mensual'!O311+parametros_recargas!$H$80*'Plan mensual'!O312+parametros_recargas!$I$80*'Plan mensual'!O313+parametros_recargas!$J$80*'Plan mensual'!O314+parametros_recargas!$K$80*'Plan mensual'!O315+parametros_recargas!$L$80*'Plan mensual'!O316+parametros_recargas!$M$80*'Plan mensual'!O318</f>
        <v>21.6203186117153</v>
      </c>
      <c r="N294" s="8" t="n">
        <f aca="false">SUM(B294:M294)</f>
        <v>259.443823340583</v>
      </c>
      <c r="O294" s="27" t="n">
        <f aca="false">MAX(B294:M294)</f>
        <v>21.6203186117153</v>
      </c>
      <c r="P294" s="13" t="n">
        <f aca="false">O294/parametros_recargas!$B$6</f>
        <v>0.144135457411435</v>
      </c>
    </row>
    <row r="295" customFormat="false" ht="15" hidden="false" customHeight="false" outlineLevel="0" collapsed="false">
      <c r="A295" s="10" t="str">
        <f aca="false">parametros_recargas!$B$81</f>
        <v>Descarga de agua / AFFF / sales K</v>
      </c>
      <c r="B295" s="26" t="n">
        <f aca="false">parametros_recargas!$E$81*'Plan mensual'!D309+parametros_recargas!$F$81*'Plan mensual'!D310+parametros_recargas!$G$81*'Plan mensual'!D311+parametros_recargas!$H$81*'Plan mensual'!D312+parametros_recargas!$I$81*'Plan mensual'!D313+parametros_recargas!$J$81*'Plan mensual'!D314+parametros_recargas!$K$81*'Plan mensual'!D315+parametros_recargas!$L$81*'Plan mensual'!D316+parametros_recargas!$M$81*'Plan mensual'!D318</f>
        <v>845.076153915112</v>
      </c>
      <c r="C295" s="26" t="n">
        <f aca="false">parametros_recargas!$E$81*'Plan mensual'!E309+parametros_recargas!$F$81*'Plan mensual'!E310+parametros_recargas!$G$81*'Plan mensual'!E311+parametros_recargas!$H$81*'Plan mensual'!E312+parametros_recargas!$I$81*'Plan mensual'!E313+parametros_recargas!$J$81*'Plan mensual'!E314+parametros_recargas!$K$81*'Plan mensual'!E315+parametros_recargas!$L$81*'Plan mensual'!E316+parametros_recargas!$M$81*'Plan mensual'!E318</f>
        <v>1189.98779079621</v>
      </c>
      <c r="D295" s="26" t="n">
        <f aca="false">parametros_recargas!$E$81*'Plan mensual'!F309+parametros_recargas!$F$81*'Plan mensual'!F310+parametros_recargas!$G$81*'Plan mensual'!F311+parametros_recargas!$H$81*'Plan mensual'!F312+parametros_recargas!$I$81*'Plan mensual'!F313+parametros_recargas!$J$81*'Plan mensual'!F314+parametros_recargas!$K$81*'Plan mensual'!F315+parametros_recargas!$L$81*'Plan mensual'!F316+parametros_recargas!$M$81*'Plan mensual'!F318</f>
        <v>845.076153915112</v>
      </c>
      <c r="E295" s="26" t="n">
        <f aca="false">parametros_recargas!$E$81*'Plan mensual'!G309+parametros_recargas!$F$81*'Plan mensual'!G310+parametros_recargas!$G$81*'Plan mensual'!G311+parametros_recargas!$H$81*'Plan mensual'!G312+parametros_recargas!$I$81*'Plan mensual'!G313+parametros_recargas!$J$81*'Plan mensual'!G314+parametros_recargas!$K$81*'Plan mensual'!G315+parametros_recargas!$L$81*'Plan mensual'!G316+parametros_recargas!$M$81*'Plan mensual'!G318</f>
        <v>845.076153915112</v>
      </c>
      <c r="F295" s="26" t="n">
        <f aca="false">parametros_recargas!$E$81*'Plan mensual'!H309+parametros_recargas!$F$81*'Plan mensual'!H310+parametros_recargas!$G$81*'Plan mensual'!H311+parametros_recargas!$H$81*'Plan mensual'!H312+parametros_recargas!$I$81*'Plan mensual'!H313+parametros_recargas!$J$81*'Plan mensual'!H314+parametros_recargas!$K$81*'Plan mensual'!H315+parametros_recargas!$L$81*'Plan mensual'!H316+parametros_recargas!$M$81*'Plan mensual'!H318</f>
        <v>845.076153915112</v>
      </c>
      <c r="G295" s="26" t="n">
        <f aca="false">parametros_recargas!$E$81*'Plan mensual'!I309+parametros_recargas!$F$81*'Plan mensual'!I310+parametros_recargas!$G$81*'Plan mensual'!I311+parametros_recargas!$H$81*'Plan mensual'!I312+parametros_recargas!$I$81*'Plan mensual'!I313+parametros_recargas!$J$81*'Plan mensual'!I314+parametros_recargas!$K$81*'Plan mensual'!I315+parametros_recargas!$L$81*'Plan mensual'!I316+parametros_recargas!$M$81*'Plan mensual'!I318</f>
        <v>845.076153915112</v>
      </c>
      <c r="H295" s="26" t="n">
        <f aca="false">parametros_recargas!$E$81*'Plan mensual'!J309+parametros_recargas!$F$81*'Plan mensual'!J310+parametros_recargas!$G$81*'Plan mensual'!J311+parametros_recargas!$H$81*'Plan mensual'!J312+parametros_recargas!$I$81*'Plan mensual'!J313+parametros_recargas!$J$81*'Plan mensual'!J314+parametros_recargas!$K$81*'Plan mensual'!J315+parametros_recargas!$L$81*'Plan mensual'!J316+parametros_recargas!$M$81*'Plan mensual'!J318</f>
        <v>845.076153915112</v>
      </c>
      <c r="I295" s="26" t="n">
        <f aca="false">parametros_recargas!$E$81*'Plan mensual'!K309+parametros_recargas!$F$81*'Plan mensual'!K310+parametros_recargas!$G$81*'Plan mensual'!K311+parametros_recargas!$H$81*'Plan mensual'!K312+parametros_recargas!$I$81*'Plan mensual'!K313+parametros_recargas!$J$81*'Plan mensual'!K314+parametros_recargas!$K$81*'Plan mensual'!K315+parametros_recargas!$L$81*'Plan mensual'!K316+parametros_recargas!$M$81*'Plan mensual'!K318</f>
        <v>845.076153915112</v>
      </c>
      <c r="J295" s="26" t="n">
        <f aca="false">parametros_recargas!$E$81*'Plan mensual'!L309+parametros_recargas!$F$81*'Plan mensual'!L310+parametros_recargas!$G$81*'Plan mensual'!L311+parametros_recargas!$H$81*'Plan mensual'!L312+parametros_recargas!$I$81*'Plan mensual'!L313+parametros_recargas!$J$81*'Plan mensual'!L314+parametros_recargas!$K$81*'Plan mensual'!L315+parametros_recargas!$L$81*'Plan mensual'!L316+parametros_recargas!$M$81*'Plan mensual'!L318</f>
        <v>845.076153915112</v>
      </c>
      <c r="K295" s="26" t="n">
        <f aca="false">parametros_recargas!$E$81*'Plan mensual'!M309+parametros_recargas!$F$81*'Plan mensual'!M310+parametros_recargas!$G$81*'Plan mensual'!M311+parametros_recargas!$H$81*'Plan mensual'!M312+parametros_recargas!$I$81*'Plan mensual'!M313+parametros_recargas!$J$81*'Plan mensual'!M314+parametros_recargas!$K$81*'Plan mensual'!M315+parametros_recargas!$L$81*'Plan mensual'!M316+parametros_recargas!$M$81*'Plan mensual'!M318</f>
        <v>845.076153915112</v>
      </c>
      <c r="L295" s="26" t="n">
        <f aca="false">parametros_recargas!$E$81*'Plan mensual'!N309+parametros_recargas!$F$81*'Plan mensual'!N310+parametros_recargas!$G$81*'Plan mensual'!N311+parametros_recargas!$H$81*'Plan mensual'!N312+parametros_recargas!$I$81*'Plan mensual'!N313+parametros_recargas!$J$81*'Plan mensual'!N314+parametros_recargas!$K$81*'Plan mensual'!N315+parametros_recargas!$L$81*'Plan mensual'!N316+parametros_recargas!$M$81*'Plan mensual'!N318</f>
        <v>845.076153915112</v>
      </c>
      <c r="M295" s="26" t="n">
        <f aca="false">parametros_recargas!$E$81*'Plan mensual'!O309+parametros_recargas!$F$81*'Plan mensual'!O310+parametros_recargas!$G$81*'Plan mensual'!O311+parametros_recargas!$H$81*'Plan mensual'!O312+parametros_recargas!$I$81*'Plan mensual'!O313+parametros_recargas!$J$81*'Plan mensual'!O314+parametros_recargas!$K$81*'Plan mensual'!O315+parametros_recargas!$L$81*'Plan mensual'!O316+parametros_recargas!$M$81*'Plan mensual'!O318</f>
        <v>845.076153915112</v>
      </c>
      <c r="N295" s="8" t="n">
        <f aca="false">SUM(B295:M295)</f>
        <v>10485.8254838624</v>
      </c>
      <c r="O295" s="27" t="n">
        <f aca="false">MAX(B295:M295)</f>
        <v>1189.98779079621</v>
      </c>
      <c r="P295" s="13" t="n">
        <f aca="false">O295/parametros_recargas!$B$6</f>
        <v>7.93325193864138</v>
      </c>
    </row>
    <row r="296" customFormat="false" ht="15" hidden="false" customHeight="false" outlineLevel="0" collapsed="false">
      <c r="A296" s="10" t="str">
        <f aca="false">parametros_recargas!$B$82</f>
        <v>Recuperación de CO₂</v>
      </c>
      <c r="B296" s="26" t="n">
        <f aca="false">parametros_recargas!$E$82*'Plan mensual'!D309+parametros_recargas!$F$82*'Plan mensual'!D310+parametros_recargas!$G$82*'Plan mensual'!D311+parametros_recargas!$H$82*'Plan mensual'!D312+parametros_recargas!$I$82*'Plan mensual'!D313+parametros_recargas!$J$82*'Plan mensual'!D314+parametros_recargas!$K$82*'Plan mensual'!D315+parametros_recargas!$L$82*'Plan mensual'!D316+parametros_recargas!$M$82*'Plan mensual'!D318</f>
        <v>411.299717769432</v>
      </c>
      <c r="C296" s="26" t="n">
        <f aca="false">parametros_recargas!$E$82*'Plan mensual'!E309+parametros_recargas!$F$82*'Plan mensual'!E310+parametros_recargas!$G$82*'Plan mensual'!E311+parametros_recargas!$H$82*'Plan mensual'!E312+parametros_recargas!$I$82*'Plan mensual'!E313+parametros_recargas!$J$82*'Plan mensual'!E314+parametros_recargas!$K$82*'Plan mensual'!E315+parametros_recargas!$L$82*'Plan mensual'!E316+parametros_recargas!$M$82*'Plan mensual'!E318</f>
        <v>642.337254159721</v>
      </c>
      <c r="D296" s="26" t="n">
        <f aca="false">parametros_recargas!$E$82*'Plan mensual'!F309+parametros_recargas!$F$82*'Plan mensual'!F310+parametros_recargas!$G$82*'Plan mensual'!F311+parametros_recargas!$H$82*'Plan mensual'!F312+parametros_recargas!$I$82*'Plan mensual'!F313+parametros_recargas!$J$82*'Plan mensual'!F314+parametros_recargas!$K$82*'Plan mensual'!F315+parametros_recargas!$L$82*'Plan mensual'!F316+parametros_recargas!$M$82*'Plan mensual'!F318</f>
        <v>411.299717769432</v>
      </c>
      <c r="E296" s="26" t="n">
        <f aca="false">parametros_recargas!$E$82*'Plan mensual'!G309+parametros_recargas!$F$82*'Plan mensual'!G310+parametros_recargas!$G$82*'Plan mensual'!G311+parametros_recargas!$H$82*'Plan mensual'!G312+parametros_recargas!$I$82*'Plan mensual'!G313+parametros_recargas!$J$82*'Plan mensual'!G314+parametros_recargas!$K$82*'Plan mensual'!G315+parametros_recargas!$L$82*'Plan mensual'!G316+parametros_recargas!$M$82*'Plan mensual'!G318</f>
        <v>411.299717769432</v>
      </c>
      <c r="F296" s="26" t="n">
        <f aca="false">parametros_recargas!$E$82*'Plan mensual'!H309+parametros_recargas!$F$82*'Plan mensual'!H310+parametros_recargas!$G$82*'Plan mensual'!H311+parametros_recargas!$H$82*'Plan mensual'!H312+parametros_recargas!$I$82*'Plan mensual'!H313+parametros_recargas!$J$82*'Plan mensual'!H314+parametros_recargas!$K$82*'Plan mensual'!H315+parametros_recargas!$L$82*'Plan mensual'!H316+parametros_recargas!$M$82*'Plan mensual'!H318</f>
        <v>411.299717769432</v>
      </c>
      <c r="G296" s="26" t="n">
        <f aca="false">parametros_recargas!$E$82*'Plan mensual'!I309+parametros_recargas!$F$82*'Plan mensual'!I310+parametros_recargas!$G$82*'Plan mensual'!I311+parametros_recargas!$H$82*'Plan mensual'!I312+parametros_recargas!$I$82*'Plan mensual'!I313+parametros_recargas!$J$82*'Plan mensual'!I314+parametros_recargas!$K$82*'Plan mensual'!I315+parametros_recargas!$L$82*'Plan mensual'!I316+parametros_recargas!$M$82*'Plan mensual'!I318</f>
        <v>411.299717769432</v>
      </c>
      <c r="H296" s="26" t="n">
        <f aca="false">parametros_recargas!$E$82*'Plan mensual'!J309+parametros_recargas!$F$82*'Plan mensual'!J310+parametros_recargas!$G$82*'Plan mensual'!J311+parametros_recargas!$H$82*'Plan mensual'!J312+parametros_recargas!$I$82*'Plan mensual'!J313+parametros_recargas!$J$82*'Plan mensual'!J314+parametros_recargas!$K$82*'Plan mensual'!J315+parametros_recargas!$L$82*'Plan mensual'!J316+parametros_recargas!$M$82*'Plan mensual'!J318</f>
        <v>411.299717769432</v>
      </c>
      <c r="I296" s="26" t="n">
        <f aca="false">parametros_recargas!$E$82*'Plan mensual'!K309+parametros_recargas!$F$82*'Plan mensual'!K310+parametros_recargas!$G$82*'Plan mensual'!K311+parametros_recargas!$H$82*'Plan mensual'!K312+parametros_recargas!$I$82*'Plan mensual'!K313+parametros_recargas!$J$82*'Plan mensual'!K314+parametros_recargas!$K$82*'Plan mensual'!K315+parametros_recargas!$L$82*'Plan mensual'!K316+parametros_recargas!$M$82*'Plan mensual'!K318</f>
        <v>411.299717769432</v>
      </c>
      <c r="J296" s="26" t="n">
        <f aca="false">parametros_recargas!$E$82*'Plan mensual'!L309+parametros_recargas!$F$82*'Plan mensual'!L310+parametros_recargas!$G$82*'Plan mensual'!L311+parametros_recargas!$H$82*'Plan mensual'!L312+parametros_recargas!$I$82*'Plan mensual'!L313+parametros_recargas!$J$82*'Plan mensual'!L314+parametros_recargas!$K$82*'Plan mensual'!L315+parametros_recargas!$L$82*'Plan mensual'!L316+parametros_recargas!$M$82*'Plan mensual'!L318</f>
        <v>411.299717769432</v>
      </c>
      <c r="K296" s="26" t="n">
        <f aca="false">parametros_recargas!$E$82*'Plan mensual'!M309+parametros_recargas!$F$82*'Plan mensual'!M310+parametros_recargas!$G$82*'Plan mensual'!M311+parametros_recargas!$H$82*'Plan mensual'!M312+parametros_recargas!$I$82*'Plan mensual'!M313+parametros_recargas!$J$82*'Plan mensual'!M314+parametros_recargas!$K$82*'Plan mensual'!M315+parametros_recargas!$L$82*'Plan mensual'!M316+parametros_recargas!$M$82*'Plan mensual'!M318</f>
        <v>411.299717769432</v>
      </c>
      <c r="L296" s="26" t="n">
        <f aca="false">parametros_recargas!$E$82*'Plan mensual'!N309+parametros_recargas!$F$82*'Plan mensual'!N310+parametros_recargas!$G$82*'Plan mensual'!N311+parametros_recargas!$H$82*'Plan mensual'!N312+parametros_recargas!$I$82*'Plan mensual'!N313+parametros_recargas!$J$82*'Plan mensual'!N314+parametros_recargas!$K$82*'Plan mensual'!N315+parametros_recargas!$L$82*'Plan mensual'!N316+parametros_recargas!$M$82*'Plan mensual'!N318</f>
        <v>411.299717769432</v>
      </c>
      <c r="M296" s="26" t="n">
        <f aca="false">parametros_recargas!$E$82*'Plan mensual'!O309+parametros_recargas!$F$82*'Plan mensual'!O310+parametros_recargas!$G$82*'Plan mensual'!O311+parametros_recargas!$H$82*'Plan mensual'!O312+parametros_recargas!$I$82*'Plan mensual'!O313+parametros_recargas!$J$82*'Plan mensual'!O314+parametros_recargas!$K$82*'Plan mensual'!O315+parametros_recargas!$L$82*'Plan mensual'!O316+parametros_recargas!$M$82*'Plan mensual'!O318</f>
        <v>411.299717769432</v>
      </c>
      <c r="N296" s="8" t="n">
        <f aca="false">SUM(B296:M296)</f>
        <v>5166.63414962348</v>
      </c>
      <c r="O296" s="27" t="n">
        <f aca="false">MAX(B296:M296)</f>
        <v>642.337254159721</v>
      </c>
      <c r="P296" s="13" t="n">
        <f aca="false">O296/parametros_recargas!$B$6</f>
        <v>4.2822483610648</v>
      </c>
    </row>
    <row r="297" customFormat="false" ht="15" hidden="false" customHeight="false" outlineLevel="0" collapsed="false">
      <c r="A297" s="10" t="str">
        <f aca="false">parametros_recargas!$B$83</f>
        <v>Recuperación de halogenado</v>
      </c>
      <c r="B297" s="26" t="n">
        <f aca="false">parametros_recargas!$E$83*'Plan mensual'!D309+parametros_recargas!$F$83*'Plan mensual'!D310+parametros_recargas!$G$83*'Plan mensual'!D311+parametros_recargas!$H$83*'Plan mensual'!D312+parametros_recargas!$I$83*'Plan mensual'!D313+parametros_recargas!$J$83*'Plan mensual'!D314+parametros_recargas!$K$83*'Plan mensual'!D315+parametros_recargas!$L$83*'Plan mensual'!D316+parametros_recargas!$M$83*'Plan mensual'!D318</f>
        <v>20.8925630116484</v>
      </c>
      <c r="C297" s="26" t="n">
        <f aca="false">parametros_recargas!$E$83*'Plan mensual'!E309+parametros_recargas!$F$83*'Plan mensual'!E310+parametros_recargas!$G$83*'Plan mensual'!E311+parametros_recargas!$H$83*'Plan mensual'!E312+parametros_recargas!$I$83*'Plan mensual'!E313+parametros_recargas!$J$83*'Plan mensual'!E314+parametros_recargas!$K$83*'Plan mensual'!E315+parametros_recargas!$L$83*'Plan mensual'!E316+parametros_recargas!$M$83*'Plan mensual'!E318</f>
        <v>20.8925630116484</v>
      </c>
      <c r="D297" s="26" t="n">
        <f aca="false">parametros_recargas!$E$83*'Plan mensual'!F309+parametros_recargas!$F$83*'Plan mensual'!F310+parametros_recargas!$G$83*'Plan mensual'!F311+parametros_recargas!$H$83*'Plan mensual'!F312+parametros_recargas!$I$83*'Plan mensual'!F313+parametros_recargas!$J$83*'Plan mensual'!F314+parametros_recargas!$K$83*'Plan mensual'!F315+parametros_recargas!$L$83*'Plan mensual'!F316+parametros_recargas!$M$83*'Plan mensual'!F318</f>
        <v>20.8925630116484</v>
      </c>
      <c r="E297" s="26" t="n">
        <f aca="false">parametros_recargas!$E$83*'Plan mensual'!G309+parametros_recargas!$F$83*'Plan mensual'!G310+parametros_recargas!$G$83*'Plan mensual'!G311+parametros_recargas!$H$83*'Plan mensual'!G312+parametros_recargas!$I$83*'Plan mensual'!G313+parametros_recargas!$J$83*'Plan mensual'!G314+parametros_recargas!$K$83*'Plan mensual'!G315+parametros_recargas!$L$83*'Plan mensual'!G316+parametros_recargas!$M$83*'Plan mensual'!G318</f>
        <v>20.8925630116484</v>
      </c>
      <c r="F297" s="26" t="n">
        <f aca="false">parametros_recargas!$E$83*'Plan mensual'!H309+parametros_recargas!$F$83*'Plan mensual'!H310+parametros_recargas!$G$83*'Plan mensual'!H311+parametros_recargas!$H$83*'Plan mensual'!H312+parametros_recargas!$I$83*'Plan mensual'!H313+parametros_recargas!$J$83*'Plan mensual'!H314+parametros_recargas!$K$83*'Plan mensual'!H315+parametros_recargas!$L$83*'Plan mensual'!H316+parametros_recargas!$M$83*'Plan mensual'!H318</f>
        <v>20.8925630116484</v>
      </c>
      <c r="G297" s="26" t="n">
        <f aca="false">parametros_recargas!$E$83*'Plan mensual'!I309+parametros_recargas!$F$83*'Plan mensual'!I310+parametros_recargas!$G$83*'Plan mensual'!I311+parametros_recargas!$H$83*'Plan mensual'!I312+parametros_recargas!$I$83*'Plan mensual'!I313+parametros_recargas!$J$83*'Plan mensual'!I314+parametros_recargas!$K$83*'Plan mensual'!I315+parametros_recargas!$L$83*'Plan mensual'!I316+parametros_recargas!$M$83*'Plan mensual'!I318</f>
        <v>20.8925630116484</v>
      </c>
      <c r="H297" s="26" t="n">
        <f aca="false">parametros_recargas!$E$83*'Plan mensual'!J309+parametros_recargas!$F$83*'Plan mensual'!J310+parametros_recargas!$G$83*'Plan mensual'!J311+parametros_recargas!$H$83*'Plan mensual'!J312+parametros_recargas!$I$83*'Plan mensual'!J313+parametros_recargas!$J$83*'Plan mensual'!J314+parametros_recargas!$K$83*'Plan mensual'!J315+parametros_recargas!$L$83*'Plan mensual'!J316+parametros_recargas!$M$83*'Plan mensual'!J318</f>
        <v>20.8925630116484</v>
      </c>
      <c r="I297" s="26" t="n">
        <f aca="false">parametros_recargas!$E$83*'Plan mensual'!K309+parametros_recargas!$F$83*'Plan mensual'!K310+parametros_recargas!$G$83*'Plan mensual'!K311+parametros_recargas!$H$83*'Plan mensual'!K312+parametros_recargas!$I$83*'Plan mensual'!K313+parametros_recargas!$J$83*'Plan mensual'!K314+parametros_recargas!$K$83*'Plan mensual'!K315+parametros_recargas!$L$83*'Plan mensual'!K316+parametros_recargas!$M$83*'Plan mensual'!K318</f>
        <v>20.8925630116484</v>
      </c>
      <c r="J297" s="26" t="n">
        <f aca="false">parametros_recargas!$E$83*'Plan mensual'!L309+parametros_recargas!$F$83*'Plan mensual'!L310+parametros_recargas!$G$83*'Plan mensual'!L311+parametros_recargas!$H$83*'Plan mensual'!L312+parametros_recargas!$I$83*'Plan mensual'!L313+parametros_recargas!$J$83*'Plan mensual'!L314+parametros_recargas!$K$83*'Plan mensual'!L315+parametros_recargas!$L$83*'Plan mensual'!L316+parametros_recargas!$M$83*'Plan mensual'!L318</f>
        <v>20.8925630116484</v>
      </c>
      <c r="K297" s="26" t="n">
        <f aca="false">parametros_recargas!$E$83*'Plan mensual'!M309+parametros_recargas!$F$83*'Plan mensual'!M310+parametros_recargas!$G$83*'Plan mensual'!M311+parametros_recargas!$H$83*'Plan mensual'!M312+parametros_recargas!$I$83*'Plan mensual'!M313+parametros_recargas!$J$83*'Plan mensual'!M314+parametros_recargas!$K$83*'Plan mensual'!M315+parametros_recargas!$L$83*'Plan mensual'!M316+parametros_recargas!$M$83*'Plan mensual'!M318</f>
        <v>20.8925630116484</v>
      </c>
      <c r="L297" s="26" t="n">
        <f aca="false">parametros_recargas!$E$83*'Plan mensual'!N309+parametros_recargas!$F$83*'Plan mensual'!N310+parametros_recargas!$G$83*'Plan mensual'!N311+parametros_recargas!$H$83*'Plan mensual'!N312+parametros_recargas!$I$83*'Plan mensual'!N313+parametros_recargas!$J$83*'Plan mensual'!N314+parametros_recargas!$K$83*'Plan mensual'!N315+parametros_recargas!$L$83*'Plan mensual'!N316+parametros_recargas!$M$83*'Plan mensual'!N318</f>
        <v>20.8925630116484</v>
      </c>
      <c r="M297" s="26" t="n">
        <f aca="false">parametros_recargas!$E$83*'Plan mensual'!O309+parametros_recargas!$F$83*'Plan mensual'!O310+parametros_recargas!$G$83*'Plan mensual'!O311+parametros_recargas!$H$83*'Plan mensual'!O312+parametros_recargas!$I$83*'Plan mensual'!O313+parametros_recargas!$J$83*'Plan mensual'!O314+parametros_recargas!$K$83*'Plan mensual'!O315+parametros_recargas!$L$83*'Plan mensual'!O316+parametros_recargas!$M$83*'Plan mensual'!O318</f>
        <v>20.8925630116484</v>
      </c>
      <c r="N297" s="8" t="n">
        <f aca="false">SUM(B297:M297)</f>
        <v>250.710756139781</v>
      </c>
      <c r="O297" s="27" t="n">
        <f aca="false">MAX(B297:M297)</f>
        <v>20.8925630116484</v>
      </c>
      <c r="P297" s="13" t="n">
        <f aca="false">O297/parametros_recargas!$B$6</f>
        <v>0.139283753410989</v>
      </c>
    </row>
    <row r="298" customFormat="false" ht="15" hidden="false" customHeight="false" outlineLevel="0" collapsed="false">
      <c r="A298" s="10" t="str">
        <f aca="false">parametros_recargas!$B$84</f>
        <v>Desarme y limpieza — recinto</v>
      </c>
      <c r="B298" s="26" t="n">
        <f aca="false">parametros_recargas!$E$84*'Plan mensual'!D309+parametros_recargas!$F$84*'Plan mensual'!D310+parametros_recargas!$G$84*'Plan mensual'!D311+parametros_recargas!$H$84*'Plan mensual'!D312+parametros_recargas!$I$84*'Plan mensual'!D313+parametros_recargas!$J$84*'Plan mensual'!D314+parametros_recargas!$K$84*'Plan mensual'!D315+parametros_recargas!$L$84*'Plan mensual'!D316+parametros_recargas!$M$84*'Plan mensual'!D318</f>
        <v>7389.68426242535</v>
      </c>
      <c r="C298" s="26" t="n">
        <f aca="false">parametros_recargas!$E$84*'Plan mensual'!E309+parametros_recargas!$F$84*'Plan mensual'!E310+parametros_recargas!$G$84*'Plan mensual'!E311+parametros_recargas!$H$84*'Plan mensual'!E312+parametros_recargas!$I$84*'Plan mensual'!E313+parametros_recargas!$J$84*'Plan mensual'!E314+parametros_recargas!$K$84*'Plan mensual'!E315+parametros_recargas!$L$84*'Plan mensual'!E316+parametros_recargas!$M$84*'Plan mensual'!E318</f>
        <v>20479.7426547487</v>
      </c>
      <c r="D298" s="26" t="n">
        <f aca="false">parametros_recargas!$E$84*'Plan mensual'!F309+parametros_recargas!$F$84*'Plan mensual'!F310+parametros_recargas!$G$84*'Plan mensual'!F311+parametros_recargas!$H$84*'Plan mensual'!F312+parametros_recargas!$I$84*'Plan mensual'!F313+parametros_recargas!$J$84*'Plan mensual'!F314+parametros_recargas!$K$84*'Plan mensual'!F315+parametros_recargas!$L$84*'Plan mensual'!F316+parametros_recargas!$M$84*'Plan mensual'!F318</f>
        <v>17659.1758700535</v>
      </c>
      <c r="E298" s="26" t="n">
        <f aca="false">parametros_recargas!$E$84*'Plan mensual'!G309+parametros_recargas!$F$84*'Plan mensual'!G310+parametros_recargas!$G$84*'Plan mensual'!G311+parametros_recargas!$H$84*'Plan mensual'!G312+parametros_recargas!$I$84*'Plan mensual'!G313+parametros_recargas!$J$84*'Plan mensual'!G314+parametros_recargas!$K$84*'Plan mensual'!G315+parametros_recargas!$L$84*'Plan mensual'!G316+parametros_recargas!$M$84*'Plan mensual'!G318</f>
        <v>17738.5979591641</v>
      </c>
      <c r="F298" s="26" t="n">
        <f aca="false">parametros_recargas!$E$84*'Plan mensual'!H309+parametros_recargas!$F$84*'Plan mensual'!H310+parametros_recargas!$G$84*'Plan mensual'!H311+parametros_recargas!$H$84*'Plan mensual'!H312+parametros_recargas!$I$84*'Plan mensual'!H313+parametros_recargas!$J$84*'Plan mensual'!H314+parametros_recargas!$K$84*'Plan mensual'!H315+parametros_recargas!$L$84*'Plan mensual'!H316+parametros_recargas!$M$84*'Plan mensual'!H318</f>
        <v>17742.7440126994</v>
      </c>
      <c r="G298" s="26" t="n">
        <f aca="false">parametros_recargas!$E$84*'Plan mensual'!I309+parametros_recargas!$F$84*'Plan mensual'!I310+parametros_recargas!$G$84*'Plan mensual'!I311+parametros_recargas!$H$84*'Plan mensual'!I312+parametros_recargas!$I$84*'Plan mensual'!I313+parametros_recargas!$J$84*'Plan mensual'!I314+parametros_recargas!$K$84*'Plan mensual'!I315+parametros_recargas!$L$84*'Plan mensual'!I316+parametros_recargas!$M$84*'Plan mensual'!I318</f>
        <v>17704.9861667749</v>
      </c>
      <c r="H298" s="26" t="n">
        <f aca="false">parametros_recargas!$E$84*'Plan mensual'!J309+parametros_recargas!$F$84*'Plan mensual'!J310+parametros_recargas!$G$84*'Plan mensual'!J311+parametros_recargas!$H$84*'Plan mensual'!J312+parametros_recargas!$I$84*'Plan mensual'!J313+parametros_recargas!$J$84*'Plan mensual'!J314+parametros_recargas!$K$84*'Plan mensual'!J315+parametros_recargas!$L$84*'Plan mensual'!J316+parametros_recargas!$M$84*'Plan mensual'!J318</f>
        <v>17823.7478332165</v>
      </c>
      <c r="I298" s="26" t="n">
        <f aca="false">parametros_recargas!$E$84*'Plan mensual'!K309+parametros_recargas!$F$84*'Plan mensual'!K310+parametros_recargas!$G$84*'Plan mensual'!K311+parametros_recargas!$H$84*'Plan mensual'!K312+parametros_recargas!$I$84*'Plan mensual'!K313+parametros_recargas!$J$84*'Plan mensual'!K314+parametros_recargas!$K$84*'Plan mensual'!K315+parametros_recargas!$L$84*'Plan mensual'!K316+parametros_recargas!$M$84*'Plan mensual'!K318</f>
        <v>17734.3680259329</v>
      </c>
      <c r="J298" s="26" t="n">
        <f aca="false">parametros_recargas!$E$84*'Plan mensual'!L309+parametros_recargas!$F$84*'Plan mensual'!L310+parametros_recargas!$G$84*'Plan mensual'!L311+parametros_recargas!$H$84*'Plan mensual'!L312+parametros_recargas!$I$84*'Plan mensual'!L313+parametros_recargas!$J$84*'Plan mensual'!L314+parametros_recargas!$K$84*'Plan mensual'!L315+parametros_recargas!$L$84*'Plan mensual'!L316+parametros_recargas!$M$84*'Plan mensual'!L318</f>
        <v>17748.3040382497</v>
      </c>
      <c r="K298" s="26" t="n">
        <f aca="false">parametros_recargas!$E$84*'Plan mensual'!M309+parametros_recargas!$F$84*'Plan mensual'!M310+parametros_recargas!$G$84*'Plan mensual'!M311+parametros_recargas!$H$84*'Plan mensual'!M312+parametros_recargas!$I$84*'Plan mensual'!M313+parametros_recargas!$J$84*'Plan mensual'!M314+parametros_recargas!$K$84*'Plan mensual'!M315+parametros_recargas!$L$84*'Plan mensual'!M316+parametros_recargas!$M$84*'Plan mensual'!M318</f>
        <v>17702.2301196272</v>
      </c>
      <c r="L298" s="26" t="n">
        <f aca="false">parametros_recargas!$E$84*'Plan mensual'!N309+parametros_recargas!$F$84*'Plan mensual'!N310+parametros_recargas!$G$84*'Plan mensual'!N311+parametros_recargas!$H$84*'Plan mensual'!N312+parametros_recargas!$I$84*'Plan mensual'!N313+parametros_recargas!$J$84*'Plan mensual'!N314+parametros_recargas!$K$84*'Plan mensual'!N315+parametros_recargas!$L$84*'Plan mensual'!N316+parametros_recargas!$M$84*'Plan mensual'!N318</f>
        <v>17503.8186906151</v>
      </c>
      <c r="M298" s="26" t="n">
        <f aca="false">parametros_recargas!$E$84*'Plan mensual'!O309+parametros_recargas!$F$84*'Plan mensual'!O310+parametros_recargas!$G$84*'Plan mensual'!O311+parametros_recargas!$H$84*'Plan mensual'!O312+parametros_recargas!$I$84*'Plan mensual'!O313+parametros_recargas!$J$84*'Plan mensual'!O314+parametros_recargas!$K$84*'Plan mensual'!O315+parametros_recargas!$L$84*'Plan mensual'!O316+parametros_recargas!$M$84*'Plan mensual'!O318</f>
        <v>6850.56549188041</v>
      </c>
      <c r="N298" s="8" t="n">
        <f aca="false">SUM(B298:M298)</f>
        <v>194077.965125388</v>
      </c>
      <c r="O298" s="27" t="n">
        <f aca="false">MAX(B298:M298)</f>
        <v>20479.7426547487</v>
      </c>
      <c r="P298" s="13" t="n">
        <f aca="false">O298/parametros_recargas!$B$6</f>
        <v>136.531617698325</v>
      </c>
    </row>
    <row r="299" customFormat="false" ht="15" hidden="false" customHeight="false" outlineLevel="0" collapsed="false">
      <c r="A299" s="10" t="str">
        <f aca="false">parametros_recargas!$B$85</f>
        <v>Desarme e inspección interior — zona general</v>
      </c>
      <c r="B299" s="26" t="n">
        <f aca="false">parametros_recargas!$E$85*'Plan mensual'!D309+parametros_recargas!$F$85*'Plan mensual'!D310+parametros_recargas!$G$85*'Plan mensual'!D311+parametros_recargas!$H$85*'Plan mensual'!D312+parametros_recargas!$I$85*'Plan mensual'!D313+parametros_recargas!$J$85*'Plan mensual'!D314+parametros_recargas!$K$85*'Plan mensual'!D315+parametros_recargas!$L$85*'Plan mensual'!D316+parametros_recargas!$M$85*'Plan mensual'!D318</f>
        <v>1321.74612700751</v>
      </c>
      <c r="C299" s="26" t="n">
        <f aca="false">parametros_recargas!$E$85*'Plan mensual'!E309+parametros_recargas!$F$85*'Plan mensual'!E310+parametros_recargas!$G$85*'Plan mensual'!E311+parametros_recargas!$H$85*'Plan mensual'!E312+parametros_recargas!$I$85*'Plan mensual'!E313+parametros_recargas!$J$85*'Plan mensual'!E314+parametros_recargas!$K$85*'Plan mensual'!E315+parametros_recargas!$L$85*'Plan mensual'!E316+parametros_recargas!$M$85*'Plan mensual'!E318</f>
        <v>1915.84854432527</v>
      </c>
      <c r="D299" s="26" t="n">
        <f aca="false">parametros_recargas!$E$85*'Plan mensual'!F309+parametros_recargas!$F$85*'Plan mensual'!F310+parametros_recargas!$G$85*'Plan mensual'!F311+parametros_recargas!$H$85*'Plan mensual'!F312+parametros_recargas!$I$85*'Plan mensual'!F313+parametros_recargas!$J$85*'Plan mensual'!F314+parametros_recargas!$K$85*'Plan mensual'!F315+parametros_recargas!$L$85*'Plan mensual'!F316+parametros_recargas!$M$85*'Plan mensual'!F318</f>
        <v>1321.74612700751</v>
      </c>
      <c r="E299" s="26" t="n">
        <f aca="false">parametros_recargas!$E$85*'Plan mensual'!G309+parametros_recargas!$F$85*'Plan mensual'!G310+parametros_recargas!$G$85*'Plan mensual'!G311+parametros_recargas!$H$85*'Plan mensual'!G312+parametros_recargas!$I$85*'Plan mensual'!G313+parametros_recargas!$J$85*'Plan mensual'!G314+parametros_recargas!$K$85*'Plan mensual'!G315+parametros_recargas!$L$85*'Plan mensual'!G316+parametros_recargas!$M$85*'Plan mensual'!G318</f>
        <v>1321.74612700751</v>
      </c>
      <c r="F299" s="26" t="n">
        <f aca="false">parametros_recargas!$E$85*'Plan mensual'!H309+parametros_recargas!$F$85*'Plan mensual'!H310+parametros_recargas!$G$85*'Plan mensual'!H311+parametros_recargas!$H$85*'Plan mensual'!H312+parametros_recargas!$I$85*'Plan mensual'!H313+parametros_recargas!$J$85*'Plan mensual'!H314+parametros_recargas!$K$85*'Plan mensual'!H315+parametros_recargas!$L$85*'Plan mensual'!H316+parametros_recargas!$M$85*'Plan mensual'!H318</f>
        <v>1321.74612700751</v>
      </c>
      <c r="G299" s="26" t="n">
        <f aca="false">parametros_recargas!$E$85*'Plan mensual'!I309+parametros_recargas!$F$85*'Plan mensual'!I310+parametros_recargas!$G$85*'Plan mensual'!I311+parametros_recargas!$H$85*'Plan mensual'!I312+parametros_recargas!$I$85*'Plan mensual'!I313+parametros_recargas!$J$85*'Plan mensual'!I314+parametros_recargas!$K$85*'Plan mensual'!I315+parametros_recargas!$L$85*'Plan mensual'!I316+parametros_recargas!$M$85*'Plan mensual'!I318</f>
        <v>1321.74612700751</v>
      </c>
      <c r="H299" s="26" t="n">
        <f aca="false">parametros_recargas!$E$85*'Plan mensual'!J309+parametros_recargas!$F$85*'Plan mensual'!J310+parametros_recargas!$G$85*'Plan mensual'!J311+parametros_recargas!$H$85*'Plan mensual'!J312+parametros_recargas!$I$85*'Plan mensual'!J313+parametros_recargas!$J$85*'Plan mensual'!J314+parametros_recargas!$K$85*'Plan mensual'!J315+parametros_recargas!$L$85*'Plan mensual'!J316+parametros_recargas!$M$85*'Plan mensual'!J318</f>
        <v>1321.74612700751</v>
      </c>
      <c r="I299" s="26" t="n">
        <f aca="false">parametros_recargas!$E$85*'Plan mensual'!K309+parametros_recargas!$F$85*'Plan mensual'!K310+parametros_recargas!$G$85*'Plan mensual'!K311+parametros_recargas!$H$85*'Plan mensual'!K312+parametros_recargas!$I$85*'Plan mensual'!K313+parametros_recargas!$J$85*'Plan mensual'!K314+parametros_recargas!$K$85*'Plan mensual'!K315+parametros_recargas!$L$85*'Plan mensual'!K316+parametros_recargas!$M$85*'Plan mensual'!K318</f>
        <v>1321.74612700751</v>
      </c>
      <c r="J299" s="26" t="n">
        <f aca="false">parametros_recargas!$E$85*'Plan mensual'!L309+parametros_recargas!$F$85*'Plan mensual'!L310+parametros_recargas!$G$85*'Plan mensual'!L311+parametros_recargas!$H$85*'Plan mensual'!L312+parametros_recargas!$I$85*'Plan mensual'!L313+parametros_recargas!$J$85*'Plan mensual'!L314+parametros_recargas!$K$85*'Plan mensual'!L315+parametros_recargas!$L$85*'Plan mensual'!L316+parametros_recargas!$M$85*'Plan mensual'!L318</f>
        <v>1321.74612700751</v>
      </c>
      <c r="K299" s="26" t="n">
        <f aca="false">parametros_recargas!$E$85*'Plan mensual'!M309+parametros_recargas!$F$85*'Plan mensual'!M310+parametros_recargas!$G$85*'Plan mensual'!M311+parametros_recargas!$H$85*'Plan mensual'!M312+parametros_recargas!$I$85*'Plan mensual'!M313+parametros_recargas!$J$85*'Plan mensual'!M314+parametros_recargas!$K$85*'Plan mensual'!M315+parametros_recargas!$L$85*'Plan mensual'!M316+parametros_recargas!$M$85*'Plan mensual'!M318</f>
        <v>1321.74612700751</v>
      </c>
      <c r="L299" s="26" t="n">
        <f aca="false">parametros_recargas!$E$85*'Plan mensual'!N309+parametros_recargas!$F$85*'Plan mensual'!N310+parametros_recargas!$G$85*'Plan mensual'!N311+parametros_recargas!$H$85*'Plan mensual'!N312+parametros_recargas!$I$85*'Plan mensual'!N313+parametros_recargas!$J$85*'Plan mensual'!N314+parametros_recargas!$K$85*'Plan mensual'!N315+parametros_recargas!$L$85*'Plan mensual'!N316+parametros_recargas!$M$85*'Plan mensual'!N318</f>
        <v>1321.74612700751</v>
      </c>
      <c r="M299" s="26" t="n">
        <f aca="false">parametros_recargas!$E$85*'Plan mensual'!O309+parametros_recargas!$F$85*'Plan mensual'!O310+parametros_recargas!$G$85*'Plan mensual'!O311+parametros_recargas!$H$85*'Plan mensual'!O312+parametros_recargas!$I$85*'Plan mensual'!O313+parametros_recargas!$J$85*'Plan mensual'!O314+parametros_recargas!$K$85*'Plan mensual'!O315+parametros_recargas!$L$85*'Plan mensual'!O316+parametros_recargas!$M$85*'Plan mensual'!O318</f>
        <v>1321.74612700751</v>
      </c>
      <c r="N299" s="8" t="n">
        <f aca="false">SUM(B299:M299)</f>
        <v>16455.0559414079</v>
      </c>
      <c r="O299" s="27" t="n">
        <f aca="false">MAX(B299:M299)</f>
        <v>1915.84854432527</v>
      </c>
      <c r="P299" s="13" t="n">
        <f aca="false">O299/parametros_recargas!$B$6</f>
        <v>12.7723236288351</v>
      </c>
    </row>
    <row r="300" customFormat="false" ht="15" hidden="false" customHeight="false" outlineLevel="0" collapsed="false">
      <c r="A300" s="10" t="str">
        <f aca="false">parametros_recargas!$B$86</f>
        <v>Laboratorio — Puffer y mufla</v>
      </c>
      <c r="B300" s="26" t="n">
        <f aca="false">parametros_recargas!$E$86*'Plan mensual'!D309+parametros_recargas!$F$86*'Plan mensual'!D310+parametros_recargas!$G$86*'Plan mensual'!D311+parametros_recargas!$H$86*'Plan mensual'!D312+parametros_recargas!$I$86*'Plan mensual'!D313+parametros_recargas!$J$86*'Plan mensual'!D314+parametros_recargas!$K$86*'Plan mensual'!D315+parametros_recargas!$L$86*'Plan mensual'!D316+parametros_recargas!$M$86*'Plan mensual'!D318</f>
        <v>9.80890295478504</v>
      </c>
      <c r="C300" s="26" t="n">
        <f aca="false">parametros_recargas!$E$86*'Plan mensual'!E309+parametros_recargas!$F$86*'Plan mensual'!E310+parametros_recargas!$G$86*'Plan mensual'!E311+parametros_recargas!$H$86*'Plan mensual'!E312+parametros_recargas!$I$86*'Plan mensual'!E313+parametros_recargas!$J$86*'Plan mensual'!E314+parametros_recargas!$K$86*'Plan mensual'!E315+parametros_recargas!$L$86*'Plan mensual'!E316+parametros_recargas!$M$86*'Plan mensual'!E318</f>
        <v>27.2866986132959</v>
      </c>
      <c r="D300" s="26" t="n">
        <f aca="false">parametros_recargas!$E$86*'Plan mensual'!F309+parametros_recargas!$F$86*'Plan mensual'!F310+parametros_recargas!$G$86*'Plan mensual'!F311+parametros_recargas!$H$86*'Plan mensual'!F312+parametros_recargas!$I$86*'Plan mensual'!F313+parametros_recargas!$J$86*'Plan mensual'!F314+parametros_recargas!$K$86*'Plan mensual'!F315+parametros_recargas!$L$86*'Plan mensual'!F316+parametros_recargas!$M$86*'Plan mensual'!F318</f>
        <v>23.5206886822022</v>
      </c>
      <c r="E300" s="26" t="n">
        <f aca="false">parametros_recargas!$E$86*'Plan mensual'!G309+parametros_recargas!$F$86*'Plan mensual'!G310+parametros_recargas!$G$86*'Plan mensual'!G311+parametros_recargas!$H$86*'Plan mensual'!G312+parametros_recargas!$I$86*'Plan mensual'!G313+parametros_recargas!$J$86*'Plan mensual'!G314+parametros_recargas!$K$86*'Plan mensual'!G315+parametros_recargas!$L$86*'Plan mensual'!G316+parametros_recargas!$M$86*'Plan mensual'!G318</f>
        <v>23.6267327503524</v>
      </c>
      <c r="F300" s="26" t="n">
        <f aca="false">parametros_recargas!$E$86*'Plan mensual'!H309+parametros_recargas!$F$86*'Plan mensual'!H310+parametros_recargas!$G$86*'Plan mensual'!H311+parametros_recargas!$H$86*'Plan mensual'!H312+parametros_recargas!$I$86*'Plan mensual'!H313+parametros_recargas!$J$86*'Plan mensual'!H314+parametros_recargas!$K$86*'Plan mensual'!H315+parametros_recargas!$L$86*'Plan mensual'!H316+parametros_recargas!$M$86*'Plan mensual'!H318</f>
        <v>23.632268545099</v>
      </c>
      <c r="G300" s="26" t="n">
        <f aca="false">parametros_recargas!$E$86*'Plan mensual'!I309+parametros_recargas!$F$86*'Plan mensual'!I310+parametros_recargas!$G$86*'Plan mensual'!I311+parametros_recargas!$H$86*'Plan mensual'!I312+parametros_recargas!$I$86*'Plan mensual'!I313+parametros_recargas!$J$86*'Plan mensual'!I314+parametros_recargas!$K$86*'Plan mensual'!I315+parametros_recargas!$L$86*'Plan mensual'!I316+parametros_recargas!$M$86*'Plan mensual'!I318</f>
        <v>23.5818544143293</v>
      </c>
      <c r="H300" s="26" t="n">
        <f aca="false">parametros_recargas!$E$86*'Plan mensual'!J309+parametros_recargas!$F$86*'Plan mensual'!J310+parametros_recargas!$G$86*'Plan mensual'!J311+parametros_recargas!$H$86*'Plan mensual'!J312+parametros_recargas!$I$86*'Plan mensual'!J313+parametros_recargas!$J$86*'Plan mensual'!J314+parametros_recargas!$K$86*'Plan mensual'!J315+parametros_recargas!$L$86*'Plan mensual'!J316+parametros_recargas!$M$86*'Plan mensual'!J318</f>
        <v>23.7404245349444</v>
      </c>
      <c r="I300" s="26" t="n">
        <f aca="false">parametros_recargas!$E$86*'Plan mensual'!K309+parametros_recargas!$F$86*'Plan mensual'!K310+parametros_recargas!$G$86*'Plan mensual'!K311+parametros_recargas!$H$86*'Plan mensual'!K312+parametros_recargas!$I$86*'Plan mensual'!K313+parametros_recargas!$J$86*'Plan mensual'!K314+parametros_recargas!$K$86*'Plan mensual'!K315+parametros_recargas!$L$86*'Plan mensual'!K316+parametros_recargas!$M$86*'Plan mensual'!K318</f>
        <v>23.6210849597584</v>
      </c>
      <c r="J300" s="26" t="n">
        <f aca="false">parametros_recargas!$E$86*'Plan mensual'!L309+parametros_recargas!$F$86*'Plan mensual'!L310+parametros_recargas!$G$86*'Plan mensual'!L311+parametros_recargas!$H$86*'Plan mensual'!L312+parametros_recargas!$I$86*'Plan mensual'!L313+parametros_recargas!$J$86*'Plan mensual'!L314+parametros_recargas!$K$86*'Plan mensual'!L315+parametros_recargas!$L$86*'Plan mensual'!L316+parametros_recargas!$M$86*'Plan mensual'!L318</f>
        <v>23.6396922698458</v>
      </c>
      <c r="K300" s="26" t="n">
        <f aca="false">parametros_recargas!$E$86*'Plan mensual'!M309+parametros_recargas!$F$86*'Plan mensual'!M310+parametros_recargas!$G$86*'Plan mensual'!M311+parametros_recargas!$H$86*'Plan mensual'!M312+parametros_recargas!$I$86*'Plan mensual'!M313+parametros_recargas!$J$86*'Plan mensual'!M314+parametros_recargas!$K$86*'Plan mensual'!M315+parametros_recargas!$L$86*'Plan mensual'!M316+parametros_recargas!$M$86*'Plan mensual'!M318</f>
        <v>23.5781745507695</v>
      </c>
      <c r="L300" s="26" t="n">
        <f aca="false">parametros_recargas!$E$86*'Plan mensual'!N309+parametros_recargas!$F$86*'Plan mensual'!N310+parametros_recargas!$G$86*'Plan mensual'!N311+parametros_recargas!$H$86*'Plan mensual'!N312+parametros_recargas!$I$86*'Plan mensual'!N313+parametros_recargas!$J$86*'Plan mensual'!N314+parametros_recargas!$K$86*'Plan mensual'!N315+parametros_recargas!$L$86*'Plan mensual'!N316+parametros_recargas!$M$86*'Plan mensual'!N318</f>
        <v>23.3132563732753</v>
      </c>
      <c r="M300" s="26" t="n">
        <f aca="false">parametros_recargas!$E$86*'Plan mensual'!O309+parametros_recargas!$F$86*'Plan mensual'!O310+parametros_recargas!$G$86*'Plan mensual'!O311+parametros_recargas!$H$86*'Plan mensual'!O312+parametros_recargas!$I$86*'Plan mensual'!O313+parametros_recargas!$J$86*'Plan mensual'!O314+parametros_recargas!$K$86*'Plan mensual'!O315+parametros_recargas!$L$86*'Plan mensual'!O316+parametros_recargas!$M$86*'Plan mensual'!O318</f>
        <v>9.08907364426202</v>
      </c>
      <c r="N300" s="8" t="n">
        <f aca="false">SUM(B300:M300)</f>
        <v>258.438852292919</v>
      </c>
      <c r="O300" s="27" t="n">
        <f aca="false">MAX(B300:M300)</f>
        <v>27.2866986132959</v>
      </c>
      <c r="P300" s="13" t="n">
        <f aca="false">O300/parametros_recargas!$B$6</f>
        <v>0.181911324088639</v>
      </c>
    </row>
    <row r="301" customFormat="false" ht="15" hidden="false" customHeight="false" outlineLevel="0" collapsed="false">
      <c r="A301" s="10" t="str">
        <f aca="false">parametros_recargas!$B$87</f>
        <v>Prueba hidráulica</v>
      </c>
      <c r="B301" s="26" t="n">
        <f aca="false">parametros_recargas!$E$87*'Plan mensual'!D309+parametros_recargas!$F$87*'Plan mensual'!D310+parametros_recargas!$G$87*'Plan mensual'!D311+parametros_recargas!$H$87*'Plan mensual'!D312+parametros_recargas!$I$87*'Plan mensual'!D313+parametros_recargas!$J$87*'Plan mensual'!D314+parametros_recargas!$K$87*'Plan mensual'!D315+parametros_recargas!$L$87*'Plan mensual'!D316+parametros_recargas!$M$87*'Plan mensual'!D318</f>
        <v>2694.34870513277</v>
      </c>
      <c r="C301" s="26" t="n">
        <f aca="false">parametros_recargas!$E$87*'Plan mensual'!E309+parametros_recargas!$F$87*'Plan mensual'!E310+parametros_recargas!$G$87*'Plan mensual'!E311+parametros_recargas!$H$87*'Plan mensual'!E312+parametros_recargas!$I$87*'Plan mensual'!E313+parametros_recargas!$J$87*'Plan mensual'!E314+parametros_recargas!$K$87*'Plan mensual'!E315+parametros_recargas!$L$87*'Plan mensual'!E316+parametros_recargas!$M$87*'Plan mensual'!E318</f>
        <v>6359.08026804896</v>
      </c>
      <c r="D301" s="26" t="n">
        <f aca="false">parametros_recargas!$E$87*'Plan mensual'!F309+parametros_recargas!$F$87*'Plan mensual'!F310+parametros_recargas!$G$87*'Plan mensual'!F311+parametros_recargas!$H$87*'Plan mensual'!F312+parametros_recargas!$I$87*'Plan mensual'!F313+parametros_recargas!$J$87*'Plan mensual'!F314+parametros_recargas!$K$87*'Plan mensual'!F315+parametros_recargas!$L$87*'Plan mensual'!F316+parametros_recargas!$M$87*'Plan mensual'!F318</f>
        <v>5261.72160703981</v>
      </c>
      <c r="E301" s="26" t="n">
        <f aca="false">parametros_recargas!$E$87*'Plan mensual'!G309+parametros_recargas!$F$87*'Plan mensual'!G310+parametros_recargas!$G$87*'Plan mensual'!G311+parametros_recargas!$H$87*'Plan mensual'!G312+parametros_recargas!$I$87*'Plan mensual'!G313+parametros_recargas!$J$87*'Plan mensual'!G314+parametros_recargas!$K$87*'Plan mensual'!G315+parametros_recargas!$L$87*'Plan mensual'!G316+parametros_recargas!$M$87*'Plan mensual'!G318</f>
        <v>5281.57712931745</v>
      </c>
      <c r="F301" s="26" t="n">
        <f aca="false">parametros_recargas!$E$87*'Plan mensual'!H309+parametros_recargas!$F$87*'Plan mensual'!H310+parametros_recargas!$G$87*'Plan mensual'!H311+parametros_recargas!$H$87*'Plan mensual'!H312+parametros_recargas!$I$87*'Plan mensual'!H313+parametros_recargas!$J$87*'Plan mensual'!H314+parametros_recargas!$K$87*'Plan mensual'!H315+parametros_recargas!$L$87*'Plan mensual'!H316+parametros_recargas!$M$87*'Plan mensual'!H318</f>
        <v>5282.61364270128</v>
      </c>
      <c r="G301" s="26" t="n">
        <f aca="false">parametros_recargas!$E$87*'Plan mensual'!I309+parametros_recargas!$F$87*'Plan mensual'!I310+parametros_recargas!$G$87*'Plan mensual'!I311+parametros_recargas!$H$87*'Plan mensual'!I312+parametros_recargas!$I$87*'Plan mensual'!I313+parametros_recargas!$J$87*'Plan mensual'!I314+parametros_recargas!$K$87*'Plan mensual'!I315+parametros_recargas!$L$87*'Plan mensual'!I316+parametros_recargas!$M$87*'Plan mensual'!I318</f>
        <v>5273.17418122017</v>
      </c>
      <c r="H301" s="26" t="n">
        <f aca="false">parametros_recargas!$E$87*'Plan mensual'!J309+parametros_recargas!$F$87*'Plan mensual'!J310+parametros_recargas!$G$87*'Plan mensual'!J311+parametros_recargas!$H$87*'Plan mensual'!J312+parametros_recargas!$I$87*'Plan mensual'!J313+parametros_recargas!$J$87*'Plan mensual'!J314+parametros_recargas!$K$87*'Plan mensual'!J315+parametros_recargas!$L$87*'Plan mensual'!J316+parametros_recargas!$M$87*'Plan mensual'!J318</f>
        <v>5302.86459783055</v>
      </c>
      <c r="I301" s="26" t="n">
        <f aca="false">parametros_recargas!$E$87*'Plan mensual'!K309+parametros_recargas!$F$87*'Plan mensual'!K310+parametros_recargas!$G$87*'Plan mensual'!K311+parametros_recargas!$H$87*'Plan mensual'!K312+parametros_recargas!$I$87*'Plan mensual'!K313+parametros_recargas!$J$87*'Plan mensual'!K314+parametros_recargas!$K$87*'Plan mensual'!K315+parametros_recargas!$L$87*'Plan mensual'!K316+parametros_recargas!$M$87*'Plan mensual'!K318</f>
        <v>5280.51964600966</v>
      </c>
      <c r="J301" s="26" t="n">
        <f aca="false">parametros_recargas!$E$87*'Plan mensual'!L309+parametros_recargas!$F$87*'Plan mensual'!L310+parametros_recargas!$G$87*'Plan mensual'!L311+parametros_recargas!$H$87*'Plan mensual'!L312+parametros_recargas!$I$87*'Plan mensual'!L313+parametros_recargas!$J$87*'Plan mensual'!L314+parametros_recargas!$K$87*'Plan mensual'!L315+parametros_recargas!$L$87*'Plan mensual'!L316+parametros_recargas!$M$87*'Plan mensual'!L318</f>
        <v>5284.00364908885</v>
      </c>
      <c r="K301" s="26" t="n">
        <f aca="false">parametros_recargas!$E$87*'Plan mensual'!M309+parametros_recargas!$F$87*'Plan mensual'!M310+parametros_recargas!$G$87*'Plan mensual'!M311+parametros_recargas!$H$87*'Plan mensual'!M312+parametros_recargas!$I$87*'Plan mensual'!M313+parametros_recargas!$J$87*'Plan mensual'!M314+parametros_recargas!$K$87*'Plan mensual'!M315+parametros_recargas!$L$87*'Plan mensual'!M316+parametros_recargas!$M$87*'Plan mensual'!M318</f>
        <v>5272.48516943323</v>
      </c>
      <c r="L301" s="26" t="n">
        <f aca="false">parametros_recargas!$E$87*'Plan mensual'!N309+parametros_recargas!$F$87*'Plan mensual'!N310+parametros_recargas!$G$87*'Plan mensual'!N311+parametros_recargas!$H$87*'Plan mensual'!N312+parametros_recargas!$I$87*'Plan mensual'!N313+parametros_recargas!$J$87*'Plan mensual'!N314+parametros_recargas!$K$87*'Plan mensual'!N315+parametros_recargas!$L$87*'Plan mensual'!N316+parametros_recargas!$M$87*'Plan mensual'!N318</f>
        <v>5222.8823121802</v>
      </c>
      <c r="M301" s="26" t="n">
        <f aca="false">parametros_recargas!$E$87*'Plan mensual'!O309+parametros_recargas!$F$87*'Plan mensual'!O310+parametros_recargas!$G$87*'Plan mensual'!O311+parametros_recargas!$H$87*'Plan mensual'!O312+parametros_recargas!$I$87*'Plan mensual'!O313+parametros_recargas!$J$87*'Plan mensual'!O314+parametros_recargas!$K$87*'Plan mensual'!O315+parametros_recargas!$L$87*'Plan mensual'!O316+parametros_recargas!$M$87*'Plan mensual'!O318</f>
        <v>2559.56901249653</v>
      </c>
      <c r="N301" s="8" t="n">
        <f aca="false">SUM(B301:M301)</f>
        <v>59074.8399204995</v>
      </c>
      <c r="O301" s="27" t="n">
        <f aca="false">MAX(B301:M301)</f>
        <v>6359.08026804896</v>
      </c>
      <c r="P301" s="13" t="n">
        <f aca="false">O301/parametros_recargas!$B$6</f>
        <v>42.3938684536597</v>
      </c>
    </row>
    <row r="302" customFormat="false" ht="15" hidden="false" customHeight="false" outlineLevel="0" collapsed="false">
      <c r="A302" s="10" t="str">
        <f aca="false">parametros_recargas!$B$88</f>
        <v>Secado</v>
      </c>
      <c r="B302" s="26" t="n">
        <f aca="false">parametros_recargas!$E$88*'Plan mensual'!D309+parametros_recargas!$F$88*'Plan mensual'!D310+parametros_recargas!$G$88*'Plan mensual'!D311+parametros_recargas!$H$88*'Plan mensual'!D312+parametros_recargas!$I$88*'Plan mensual'!D313+parametros_recargas!$J$88*'Plan mensual'!D314+parametros_recargas!$K$88*'Plan mensual'!D315+parametros_recargas!$L$88*'Plan mensual'!D316+parametros_recargas!$M$88*'Plan mensual'!D318</f>
        <v>2278.99093233249</v>
      </c>
      <c r="C302" s="26" t="n">
        <f aca="false">parametros_recargas!$E$88*'Plan mensual'!E309+parametros_recargas!$F$88*'Plan mensual'!E310+parametros_recargas!$G$88*'Plan mensual'!E311+parametros_recargas!$H$88*'Plan mensual'!E312+parametros_recargas!$I$88*'Plan mensual'!E313+parametros_recargas!$J$88*'Plan mensual'!E314+parametros_recargas!$K$88*'Plan mensual'!E315+parametros_recargas!$L$88*'Plan mensual'!E316+parametros_recargas!$M$88*'Plan mensual'!E318</f>
        <v>5874.9373946618</v>
      </c>
      <c r="D302" s="26" t="n">
        <f aca="false">parametros_recargas!$E$88*'Plan mensual'!F309+parametros_recargas!$F$88*'Plan mensual'!F310+parametros_recargas!$G$88*'Plan mensual'!F311+parametros_recargas!$H$88*'Plan mensual'!F312+parametros_recargas!$I$88*'Plan mensual'!F313+parametros_recargas!$J$88*'Plan mensual'!F314+parametros_recargas!$K$88*'Plan mensual'!F315+parametros_recargas!$L$88*'Plan mensual'!F316+parametros_recargas!$M$88*'Plan mensual'!F318</f>
        <v>4949.05875031581</v>
      </c>
      <c r="E302" s="26" t="n">
        <f aca="false">parametros_recargas!$E$88*'Plan mensual'!G309+parametros_recargas!$F$88*'Plan mensual'!G310+parametros_recargas!$G$88*'Plan mensual'!G311+parametros_recargas!$H$88*'Plan mensual'!G312+parametros_recargas!$I$88*'Plan mensual'!G313+parametros_recargas!$J$88*'Plan mensual'!G314+parametros_recargas!$K$88*'Plan mensual'!G315+parametros_recargas!$L$88*'Plan mensual'!G316+parametros_recargas!$M$88*'Plan mensual'!G318</f>
        <v>4969.70849348455</v>
      </c>
      <c r="F302" s="26" t="n">
        <f aca="false">parametros_recargas!$E$88*'Plan mensual'!H309+parametros_recargas!$F$88*'Plan mensual'!H310+parametros_recargas!$G$88*'Plan mensual'!H311+parametros_recargas!$H$88*'Plan mensual'!H312+parametros_recargas!$I$88*'Plan mensual'!H313+parametros_recargas!$J$88*'Plan mensual'!H314+parametros_recargas!$K$88*'Plan mensual'!H315+parametros_recargas!$L$88*'Plan mensual'!H316+parametros_recargas!$M$88*'Plan mensual'!H318</f>
        <v>4970.78646740374</v>
      </c>
      <c r="G302" s="26" t="n">
        <f aca="false">parametros_recargas!$E$88*'Plan mensual'!I309+parametros_recargas!$F$88*'Plan mensual'!I310+parametros_recargas!$G$88*'Plan mensual'!I311+parametros_recargas!$H$88*'Plan mensual'!I312+parametros_recargas!$I$88*'Plan mensual'!I313+parametros_recargas!$J$88*'Plan mensual'!I314+parametros_recargas!$K$88*'Plan mensual'!I315+parametros_recargas!$L$88*'Plan mensual'!I316+parametros_recargas!$M$88*'Plan mensual'!I318</f>
        <v>4960.96942746338</v>
      </c>
      <c r="H302" s="26" t="n">
        <f aca="false">parametros_recargas!$E$88*'Plan mensual'!J309+parametros_recargas!$F$88*'Plan mensual'!J310+parametros_recargas!$G$88*'Plan mensual'!J311+parametros_recargas!$H$88*'Plan mensual'!J312+parametros_recargas!$I$88*'Plan mensual'!J313+parametros_recargas!$J$88*'Plan mensual'!J314+parametros_recargas!$K$88*'Plan mensual'!J315+parametros_recargas!$L$88*'Plan mensual'!J316+parametros_recargas!$M$88*'Plan mensual'!J318</f>
        <v>4991.84746073818</v>
      </c>
      <c r="I302" s="26" t="n">
        <f aca="false">parametros_recargas!$E$88*'Plan mensual'!K309+parametros_recargas!$F$88*'Plan mensual'!K310+parametros_recargas!$G$88*'Plan mensual'!K311+parametros_recargas!$H$88*'Plan mensual'!K312+parametros_recargas!$I$88*'Plan mensual'!K313+parametros_recargas!$J$88*'Plan mensual'!K314+parametros_recargas!$K$88*'Plan mensual'!K315+parametros_recargas!$L$88*'Plan mensual'!K316+parametros_recargas!$M$88*'Plan mensual'!K318</f>
        <v>4968.60871084445</v>
      </c>
      <c r="J302" s="26" t="n">
        <f aca="false">parametros_recargas!$E$88*'Plan mensual'!L309+parametros_recargas!$F$88*'Plan mensual'!L310+parametros_recargas!$G$88*'Plan mensual'!L311+parametros_recargas!$H$88*'Plan mensual'!L312+parametros_recargas!$I$88*'Plan mensual'!L313+parametros_recargas!$J$88*'Plan mensual'!L314+parametros_recargas!$K$88*'Plan mensual'!L315+parametros_recargas!$L$88*'Plan mensual'!L316+parametros_recargas!$M$88*'Plan mensual'!L318</f>
        <v>4972.23207404681</v>
      </c>
      <c r="K302" s="26" t="n">
        <f aca="false">parametros_recargas!$E$88*'Plan mensual'!M309+parametros_recargas!$F$88*'Plan mensual'!M310+parametros_recargas!$G$88*'Plan mensual'!M311+parametros_recargas!$H$88*'Plan mensual'!M312+parametros_recargas!$I$88*'Plan mensual'!M313+parametros_recargas!$J$88*'Plan mensual'!M314+parametros_recargas!$K$88*'Plan mensual'!M315+parametros_recargas!$L$88*'Plan mensual'!M316+parametros_recargas!$M$88*'Plan mensual'!M318</f>
        <v>4960.25285520496</v>
      </c>
      <c r="L302" s="26" t="n">
        <f aca="false">parametros_recargas!$E$88*'Plan mensual'!N309+parametros_recargas!$F$88*'Plan mensual'!N310+parametros_recargas!$G$88*'Plan mensual'!N311+parametros_recargas!$H$88*'Plan mensual'!N312+parametros_recargas!$I$88*'Plan mensual'!N313+parametros_recargas!$J$88*'Plan mensual'!N314+parametros_recargas!$K$88*'Plan mensual'!N315+parametros_recargas!$L$88*'Plan mensual'!N316+parametros_recargas!$M$88*'Plan mensual'!N318</f>
        <v>4908.66588366182</v>
      </c>
      <c r="M302" s="26" t="n">
        <f aca="false">parametros_recargas!$E$88*'Plan mensual'!O309+parametros_recargas!$F$88*'Plan mensual'!O310+parametros_recargas!$G$88*'Plan mensual'!O311+parametros_recargas!$H$88*'Plan mensual'!O312+parametros_recargas!$I$88*'Plan mensual'!O313+parametros_recargas!$J$88*'Plan mensual'!O314+parametros_recargas!$K$88*'Plan mensual'!O315+parametros_recargas!$L$88*'Plan mensual'!O316+parametros_recargas!$M$88*'Plan mensual'!O318</f>
        <v>2138.8200519908</v>
      </c>
      <c r="N302" s="8" t="n">
        <f aca="false">SUM(B302:M302)</f>
        <v>54944.8785021488</v>
      </c>
      <c r="O302" s="27" t="n">
        <f aca="false">MAX(B302:M302)</f>
        <v>5874.9373946618</v>
      </c>
      <c r="P302" s="13" t="n">
        <f aca="false">O302/parametros_recargas!$B$6</f>
        <v>39.1662492977453</v>
      </c>
    </row>
    <row r="303" customFormat="false" ht="15" hidden="false" customHeight="false" outlineLevel="0" collapsed="false">
      <c r="A303" s="10" t="str">
        <f aca="false">parametros_recargas!$B$89</f>
        <v>Inspección interior con videoscopio</v>
      </c>
      <c r="B303" s="26" t="n">
        <f aca="false">parametros_recargas!$E$89*'Plan mensual'!D309+parametros_recargas!$F$89*'Plan mensual'!D310+parametros_recargas!$G$89*'Plan mensual'!D311+parametros_recargas!$H$89*'Plan mensual'!D312+parametros_recargas!$I$89*'Plan mensual'!D313+parametros_recargas!$J$89*'Plan mensual'!D314+parametros_recargas!$K$89*'Plan mensual'!D315+parametros_recargas!$L$89*'Plan mensual'!D316+parametros_recargas!$M$89*'Plan mensual'!D318</f>
        <v>2278.99093233249</v>
      </c>
      <c r="C303" s="26" t="n">
        <f aca="false">parametros_recargas!$E$89*'Plan mensual'!E309+parametros_recargas!$F$89*'Plan mensual'!E310+parametros_recargas!$G$89*'Plan mensual'!E311+parametros_recargas!$H$89*'Plan mensual'!E312+parametros_recargas!$I$89*'Plan mensual'!E313+parametros_recargas!$J$89*'Plan mensual'!E314+parametros_recargas!$K$89*'Plan mensual'!E315+parametros_recargas!$L$89*'Plan mensual'!E316+parametros_recargas!$M$89*'Plan mensual'!E318</f>
        <v>5874.9373946618</v>
      </c>
      <c r="D303" s="26" t="n">
        <f aca="false">parametros_recargas!$E$89*'Plan mensual'!F309+parametros_recargas!$F$89*'Plan mensual'!F310+parametros_recargas!$G$89*'Plan mensual'!F311+parametros_recargas!$H$89*'Plan mensual'!F312+parametros_recargas!$I$89*'Plan mensual'!F313+parametros_recargas!$J$89*'Plan mensual'!F314+parametros_recargas!$K$89*'Plan mensual'!F315+parametros_recargas!$L$89*'Plan mensual'!F316+parametros_recargas!$M$89*'Plan mensual'!F318</f>
        <v>4949.05875031581</v>
      </c>
      <c r="E303" s="26" t="n">
        <f aca="false">parametros_recargas!$E$89*'Plan mensual'!G309+parametros_recargas!$F$89*'Plan mensual'!G310+parametros_recargas!$G$89*'Plan mensual'!G311+parametros_recargas!$H$89*'Plan mensual'!G312+parametros_recargas!$I$89*'Plan mensual'!G313+parametros_recargas!$J$89*'Plan mensual'!G314+parametros_recargas!$K$89*'Plan mensual'!G315+parametros_recargas!$L$89*'Plan mensual'!G316+parametros_recargas!$M$89*'Plan mensual'!G318</f>
        <v>4969.70849348455</v>
      </c>
      <c r="F303" s="26" t="n">
        <f aca="false">parametros_recargas!$E$89*'Plan mensual'!H309+parametros_recargas!$F$89*'Plan mensual'!H310+parametros_recargas!$G$89*'Plan mensual'!H311+parametros_recargas!$H$89*'Plan mensual'!H312+parametros_recargas!$I$89*'Plan mensual'!H313+parametros_recargas!$J$89*'Plan mensual'!H314+parametros_recargas!$K$89*'Plan mensual'!H315+parametros_recargas!$L$89*'Plan mensual'!H316+parametros_recargas!$M$89*'Plan mensual'!H318</f>
        <v>4970.78646740374</v>
      </c>
      <c r="G303" s="26" t="n">
        <f aca="false">parametros_recargas!$E$89*'Plan mensual'!I309+parametros_recargas!$F$89*'Plan mensual'!I310+parametros_recargas!$G$89*'Plan mensual'!I311+parametros_recargas!$H$89*'Plan mensual'!I312+parametros_recargas!$I$89*'Plan mensual'!I313+parametros_recargas!$J$89*'Plan mensual'!I314+parametros_recargas!$K$89*'Plan mensual'!I315+parametros_recargas!$L$89*'Plan mensual'!I316+parametros_recargas!$M$89*'Plan mensual'!I318</f>
        <v>4960.96942746338</v>
      </c>
      <c r="H303" s="26" t="n">
        <f aca="false">parametros_recargas!$E$89*'Plan mensual'!J309+parametros_recargas!$F$89*'Plan mensual'!J310+parametros_recargas!$G$89*'Plan mensual'!J311+parametros_recargas!$H$89*'Plan mensual'!J312+parametros_recargas!$I$89*'Plan mensual'!J313+parametros_recargas!$J$89*'Plan mensual'!J314+parametros_recargas!$K$89*'Plan mensual'!J315+parametros_recargas!$L$89*'Plan mensual'!J316+parametros_recargas!$M$89*'Plan mensual'!J318</f>
        <v>4991.84746073818</v>
      </c>
      <c r="I303" s="26" t="n">
        <f aca="false">parametros_recargas!$E$89*'Plan mensual'!K309+parametros_recargas!$F$89*'Plan mensual'!K310+parametros_recargas!$G$89*'Plan mensual'!K311+parametros_recargas!$H$89*'Plan mensual'!K312+parametros_recargas!$I$89*'Plan mensual'!K313+parametros_recargas!$J$89*'Plan mensual'!K314+parametros_recargas!$K$89*'Plan mensual'!K315+parametros_recargas!$L$89*'Plan mensual'!K316+parametros_recargas!$M$89*'Plan mensual'!K318</f>
        <v>4968.60871084445</v>
      </c>
      <c r="J303" s="26" t="n">
        <f aca="false">parametros_recargas!$E$89*'Plan mensual'!L309+parametros_recargas!$F$89*'Plan mensual'!L310+parametros_recargas!$G$89*'Plan mensual'!L311+parametros_recargas!$H$89*'Plan mensual'!L312+parametros_recargas!$I$89*'Plan mensual'!L313+parametros_recargas!$J$89*'Plan mensual'!L314+parametros_recargas!$K$89*'Plan mensual'!L315+parametros_recargas!$L$89*'Plan mensual'!L316+parametros_recargas!$M$89*'Plan mensual'!L318</f>
        <v>4972.23207404681</v>
      </c>
      <c r="K303" s="26" t="n">
        <f aca="false">parametros_recargas!$E$89*'Plan mensual'!M309+parametros_recargas!$F$89*'Plan mensual'!M310+parametros_recargas!$G$89*'Plan mensual'!M311+parametros_recargas!$H$89*'Plan mensual'!M312+parametros_recargas!$I$89*'Plan mensual'!M313+parametros_recargas!$J$89*'Plan mensual'!M314+parametros_recargas!$K$89*'Plan mensual'!M315+parametros_recargas!$L$89*'Plan mensual'!M316+parametros_recargas!$M$89*'Plan mensual'!M318</f>
        <v>4960.25285520496</v>
      </c>
      <c r="L303" s="26" t="n">
        <f aca="false">parametros_recargas!$E$89*'Plan mensual'!N309+parametros_recargas!$F$89*'Plan mensual'!N310+parametros_recargas!$G$89*'Plan mensual'!N311+parametros_recargas!$H$89*'Plan mensual'!N312+parametros_recargas!$I$89*'Plan mensual'!N313+parametros_recargas!$J$89*'Plan mensual'!N314+parametros_recargas!$K$89*'Plan mensual'!N315+parametros_recargas!$L$89*'Plan mensual'!N316+parametros_recargas!$M$89*'Plan mensual'!N318</f>
        <v>4908.66588366182</v>
      </c>
      <c r="M303" s="26" t="n">
        <f aca="false">parametros_recargas!$E$89*'Plan mensual'!O309+parametros_recargas!$F$89*'Plan mensual'!O310+parametros_recargas!$G$89*'Plan mensual'!O311+parametros_recargas!$H$89*'Plan mensual'!O312+parametros_recargas!$I$89*'Plan mensual'!O313+parametros_recargas!$J$89*'Plan mensual'!O314+parametros_recargas!$K$89*'Plan mensual'!O315+parametros_recargas!$L$89*'Plan mensual'!O316+parametros_recargas!$M$89*'Plan mensual'!O318</f>
        <v>2138.8200519908</v>
      </c>
      <c r="N303" s="8" t="n">
        <f aca="false">SUM(B303:M303)</f>
        <v>54944.8785021488</v>
      </c>
      <c r="O303" s="27" t="n">
        <f aca="false">MAX(B303:M303)</f>
        <v>5874.9373946618</v>
      </c>
      <c r="P303" s="13" t="n">
        <f aca="false">O303/parametros_recargas!$B$6</f>
        <v>39.1662492977453</v>
      </c>
    </row>
    <row r="304" customFormat="false" ht="15" hidden="false" customHeight="false" outlineLevel="0" collapsed="false">
      <c r="A304" s="10" t="str">
        <f aca="false">parametros_recargas!$B$90</f>
        <v>Pintura</v>
      </c>
      <c r="B304" s="26" t="n">
        <f aca="false">parametros_recargas!$E$90*'Plan mensual'!D309+parametros_recargas!$F$90*'Plan mensual'!D310+parametros_recargas!$G$90*'Plan mensual'!D311+parametros_recargas!$H$90*'Plan mensual'!D312+parametros_recargas!$I$90*'Plan mensual'!D313+parametros_recargas!$J$90*'Plan mensual'!D314+parametros_recargas!$K$90*'Plan mensual'!D315+parametros_recargas!$L$90*'Plan mensual'!D316+parametros_recargas!$M$90*'Plan mensual'!D318</f>
        <v>1456.4895307589</v>
      </c>
      <c r="C304" s="26" t="n">
        <f aca="false">parametros_recargas!$E$90*'Plan mensual'!E309+parametros_recargas!$F$90*'Plan mensual'!E310+parametros_recargas!$G$90*'Plan mensual'!E311+parametros_recargas!$H$90*'Plan mensual'!E312+parametros_recargas!$I$90*'Plan mensual'!E313+parametros_recargas!$J$90*'Plan mensual'!E314+parametros_recargas!$K$90*'Plan mensual'!E315+parametros_recargas!$L$90*'Plan mensual'!E316+parametros_recargas!$M$90*'Plan mensual'!E318</f>
        <v>3589.97678994167</v>
      </c>
      <c r="D304" s="26" t="n">
        <f aca="false">parametros_recargas!$E$90*'Plan mensual'!F309+parametros_recargas!$F$90*'Plan mensual'!F310+parametros_recargas!$G$90*'Plan mensual'!F311+parametros_recargas!$H$90*'Plan mensual'!F312+parametros_recargas!$I$90*'Plan mensual'!F313+parametros_recargas!$J$90*'Plan mensual'!F314+parametros_recargas!$K$90*'Plan mensual'!F315+parametros_recargas!$L$90*'Plan mensual'!F316+parametros_recargas!$M$90*'Plan mensual'!F318</f>
        <v>2996.91327190313</v>
      </c>
      <c r="E304" s="26" t="n">
        <f aca="false">parametros_recargas!$E$90*'Plan mensual'!G309+parametros_recargas!$F$90*'Plan mensual'!G310+parametros_recargas!$G$90*'Plan mensual'!G311+parametros_recargas!$H$90*'Plan mensual'!G312+parametros_recargas!$I$90*'Plan mensual'!G313+parametros_recargas!$J$90*'Plan mensual'!G314+parametros_recargas!$K$90*'Plan mensual'!G315+parametros_recargas!$L$90*'Plan mensual'!G316+parametros_recargas!$M$90*'Plan mensual'!G318</f>
        <v>3008.82658526971</v>
      </c>
      <c r="F304" s="26" t="n">
        <f aca="false">parametros_recargas!$E$90*'Plan mensual'!H309+parametros_recargas!$F$90*'Plan mensual'!H310+parametros_recargas!$G$90*'Plan mensual'!H311+parametros_recargas!$H$90*'Plan mensual'!H312+parametros_recargas!$I$90*'Plan mensual'!H313+parametros_recargas!$J$90*'Plan mensual'!H314+parametros_recargas!$K$90*'Plan mensual'!H315+parametros_recargas!$L$90*'Plan mensual'!H316+parametros_recargas!$M$90*'Plan mensual'!H318</f>
        <v>3009.44849330001</v>
      </c>
      <c r="G304" s="26" t="n">
        <f aca="false">parametros_recargas!$E$90*'Plan mensual'!I309+parametros_recargas!$F$90*'Plan mensual'!I310+parametros_recargas!$G$90*'Plan mensual'!I311+parametros_recargas!$H$90*'Plan mensual'!I312+parametros_recargas!$I$90*'Plan mensual'!I313+parametros_recargas!$J$90*'Plan mensual'!I314+parametros_recargas!$K$90*'Plan mensual'!I315+parametros_recargas!$L$90*'Plan mensual'!I316+parametros_recargas!$M$90*'Plan mensual'!I318</f>
        <v>3003.78481641134</v>
      </c>
      <c r="H304" s="26" t="n">
        <f aca="false">parametros_recargas!$E$90*'Plan mensual'!J309+parametros_recargas!$F$90*'Plan mensual'!J310+parametros_recargas!$G$90*'Plan mensual'!J311+parametros_recargas!$H$90*'Plan mensual'!J312+parametros_recargas!$I$90*'Plan mensual'!J313+parametros_recargas!$J$90*'Plan mensual'!J314+parametros_recargas!$K$90*'Plan mensual'!J315+parametros_recargas!$L$90*'Plan mensual'!J316+parametros_recargas!$M$90*'Plan mensual'!J318</f>
        <v>3021.59906637757</v>
      </c>
      <c r="I304" s="26" t="n">
        <f aca="false">parametros_recargas!$E$90*'Plan mensual'!K309+parametros_recargas!$F$90*'Plan mensual'!K310+parametros_recargas!$G$90*'Plan mensual'!K311+parametros_recargas!$H$90*'Plan mensual'!K312+parametros_recargas!$I$90*'Plan mensual'!K313+parametros_recargas!$J$90*'Plan mensual'!K314+parametros_recargas!$K$90*'Plan mensual'!K315+parametros_recargas!$L$90*'Plan mensual'!K316+parametros_recargas!$M$90*'Plan mensual'!K318</f>
        <v>3008.19209528504</v>
      </c>
      <c r="J304" s="26" t="n">
        <f aca="false">parametros_recargas!$E$90*'Plan mensual'!L309+parametros_recargas!$F$90*'Plan mensual'!L310+parametros_recargas!$G$90*'Plan mensual'!L311+parametros_recargas!$H$90*'Plan mensual'!L312+parametros_recargas!$I$90*'Plan mensual'!L313+parametros_recargas!$J$90*'Plan mensual'!L314+parametros_recargas!$K$90*'Plan mensual'!L315+parametros_recargas!$L$90*'Plan mensual'!L316+parametros_recargas!$M$90*'Plan mensual'!L318</f>
        <v>3010.28249713255</v>
      </c>
      <c r="K304" s="26" t="n">
        <f aca="false">parametros_recargas!$E$90*'Plan mensual'!M309+parametros_recargas!$F$90*'Plan mensual'!M310+parametros_recargas!$G$90*'Plan mensual'!M311+parametros_recargas!$H$90*'Plan mensual'!M312+parametros_recargas!$I$90*'Plan mensual'!M313+parametros_recargas!$J$90*'Plan mensual'!M314+parametros_recargas!$K$90*'Plan mensual'!M315+parametros_recargas!$L$90*'Plan mensual'!M316+parametros_recargas!$M$90*'Plan mensual'!M318</f>
        <v>3003.37140933918</v>
      </c>
      <c r="L304" s="26" t="n">
        <f aca="false">parametros_recargas!$E$90*'Plan mensual'!N309+parametros_recargas!$F$90*'Plan mensual'!N310+parametros_recargas!$G$90*'Plan mensual'!N311+parametros_recargas!$H$90*'Plan mensual'!N312+parametros_recargas!$I$90*'Plan mensual'!N313+parametros_recargas!$J$90*'Plan mensual'!N314+parametros_recargas!$K$90*'Plan mensual'!N315+parametros_recargas!$L$90*'Plan mensual'!N316+parametros_recargas!$M$90*'Plan mensual'!N318</f>
        <v>2973.60969498736</v>
      </c>
      <c r="M304" s="26" t="n">
        <f aca="false">parametros_recargas!$E$90*'Plan mensual'!O309+parametros_recargas!$F$90*'Plan mensual'!O310+parametros_recargas!$G$90*'Plan mensual'!O311+parametros_recargas!$H$90*'Plan mensual'!O312+parametros_recargas!$I$90*'Plan mensual'!O313+parametros_recargas!$J$90*'Plan mensual'!O314+parametros_recargas!$K$90*'Plan mensual'!O315+parametros_recargas!$L$90*'Plan mensual'!O316+parametros_recargas!$M$90*'Plan mensual'!O318</f>
        <v>1375.62171517716</v>
      </c>
      <c r="N304" s="8" t="n">
        <f aca="false">SUM(B304:M304)</f>
        <v>33458.1159658836</v>
      </c>
      <c r="O304" s="27" t="n">
        <f aca="false">MAX(B304:M304)</f>
        <v>3589.97678994167</v>
      </c>
      <c r="P304" s="13" t="n">
        <f aca="false">O304/parametros_recargas!$B$6</f>
        <v>23.9331785996112</v>
      </c>
    </row>
    <row r="305" customFormat="false" ht="15" hidden="false" customHeight="false" outlineLevel="0" collapsed="false">
      <c r="A305" s="10" t="str">
        <f aca="false">parametros_recargas!$B$91</f>
        <v>Carga de polvo ABC</v>
      </c>
      <c r="B305" s="26" t="n">
        <f aca="false">parametros_recargas!$E$91*'Plan mensual'!D309+parametros_recargas!$F$91*'Plan mensual'!D310+parametros_recargas!$G$91*'Plan mensual'!D311+parametros_recargas!$H$91*'Plan mensual'!D312+parametros_recargas!$I$91*'Plan mensual'!D313+parametros_recargas!$J$91*'Plan mensual'!D314+parametros_recargas!$K$91*'Plan mensual'!D315+parametros_recargas!$L$91*'Plan mensual'!D316+parametros_recargas!$M$91*'Plan mensual'!D318</f>
        <v>7367.37514827348</v>
      </c>
      <c r="C305" s="26" t="n">
        <f aca="false">parametros_recargas!$E$91*'Plan mensual'!E309+parametros_recargas!$F$91*'Plan mensual'!E310+parametros_recargas!$G$91*'Plan mensual'!E311+parametros_recargas!$H$91*'Plan mensual'!E312+parametros_recargas!$I$91*'Plan mensual'!E313+parametros_recargas!$J$91*'Plan mensual'!E314+parametros_recargas!$K$91*'Plan mensual'!E315+parametros_recargas!$L$91*'Plan mensual'!E316+parametros_recargas!$M$91*'Plan mensual'!E318</f>
        <v>20453.4620422446</v>
      </c>
      <c r="D305" s="26" t="n">
        <f aca="false">parametros_recargas!$E$91*'Plan mensual'!F309+parametros_recargas!$F$91*'Plan mensual'!F310+parametros_recargas!$G$91*'Plan mensual'!F311+parametros_recargas!$H$91*'Plan mensual'!F312+parametros_recargas!$I$91*'Plan mensual'!F313+parametros_recargas!$J$91*'Plan mensual'!F314+parametros_recargas!$K$91*'Plan mensual'!F315+parametros_recargas!$L$91*'Plan mensual'!F316+parametros_recargas!$M$91*'Plan mensual'!F318</f>
        <v>17634.2825050778</v>
      </c>
      <c r="E305" s="26" t="n">
        <f aca="false">parametros_recargas!$E$91*'Plan mensual'!G309+parametros_recargas!$F$91*'Plan mensual'!G310+parametros_recargas!$G$91*'Plan mensual'!G311+parametros_recargas!$H$91*'Plan mensual'!G312+parametros_recargas!$I$91*'Plan mensual'!G313+parametros_recargas!$J$91*'Plan mensual'!G314+parametros_recargas!$K$91*'Plan mensual'!G315+parametros_recargas!$L$91*'Plan mensual'!G316+parametros_recargas!$M$91*'Plan mensual'!G318</f>
        <v>17713.7045941883</v>
      </c>
      <c r="F305" s="26" t="n">
        <f aca="false">parametros_recargas!$E$91*'Plan mensual'!H309+parametros_recargas!$F$91*'Plan mensual'!H310+parametros_recargas!$G$91*'Plan mensual'!H311+parametros_recargas!$H$91*'Plan mensual'!H312+parametros_recargas!$I$91*'Plan mensual'!H313+parametros_recargas!$J$91*'Plan mensual'!H314+parametros_recargas!$K$91*'Plan mensual'!H315+parametros_recargas!$L$91*'Plan mensual'!H316+parametros_recargas!$M$91*'Plan mensual'!H318</f>
        <v>17716.9366477236</v>
      </c>
      <c r="G305" s="26" t="n">
        <f aca="false">parametros_recargas!$E$91*'Plan mensual'!I309+parametros_recargas!$F$91*'Plan mensual'!I310+parametros_recargas!$G$91*'Plan mensual'!I311+parametros_recargas!$H$91*'Plan mensual'!I312+parametros_recargas!$I$91*'Plan mensual'!I313+parametros_recargas!$J$91*'Plan mensual'!I314+parametros_recargas!$K$91*'Plan mensual'!I315+parametros_recargas!$L$91*'Plan mensual'!I316+parametros_recargas!$M$91*'Plan mensual'!I318</f>
        <v>17677.949303447</v>
      </c>
      <c r="H305" s="26" t="n">
        <f aca="false">parametros_recargas!$E$91*'Plan mensual'!J309+parametros_recargas!$F$91*'Plan mensual'!J310+parametros_recargas!$G$91*'Plan mensual'!J311+parametros_recargas!$H$91*'Plan mensual'!J312+parametros_recargas!$I$91*'Plan mensual'!J313+parametros_recargas!$J$91*'Plan mensual'!J314+parametros_recargas!$K$91*'Plan mensual'!J315+parametros_recargas!$L$91*'Plan mensual'!J316+parametros_recargas!$M$91*'Plan mensual'!J318</f>
        <v>17797.9404682407</v>
      </c>
      <c r="I305" s="26" t="n">
        <f aca="false">parametros_recargas!$E$91*'Plan mensual'!K309+parametros_recargas!$F$91*'Plan mensual'!K310+parametros_recargas!$G$91*'Plan mensual'!K311+parametros_recargas!$H$91*'Plan mensual'!K312+parametros_recargas!$I$91*'Plan mensual'!K313+parametros_recargas!$J$91*'Plan mensual'!K314+parametros_recargas!$K$91*'Plan mensual'!K315+parametros_recargas!$L$91*'Plan mensual'!K316+parametros_recargas!$M$91*'Plan mensual'!K318</f>
        <v>17708.5606609571</v>
      </c>
      <c r="J305" s="26" t="n">
        <f aca="false">parametros_recargas!$E$91*'Plan mensual'!L309+parametros_recargas!$F$91*'Plan mensual'!L310+parametros_recargas!$G$91*'Plan mensual'!L311+parametros_recargas!$H$91*'Plan mensual'!L312+parametros_recargas!$I$91*'Plan mensual'!L313+parametros_recargas!$J$91*'Plan mensual'!L314+parametros_recargas!$K$91*'Plan mensual'!L315+parametros_recargas!$L$91*'Plan mensual'!L316+parametros_recargas!$M$91*'Plan mensual'!L318</f>
        <v>17722.3389240978</v>
      </c>
      <c r="K305" s="26" t="n">
        <f aca="false">parametros_recargas!$E$91*'Plan mensual'!M309+parametros_recargas!$F$91*'Plan mensual'!M310+parametros_recargas!$G$91*'Plan mensual'!M311+parametros_recargas!$H$91*'Plan mensual'!M312+parametros_recargas!$I$91*'Plan mensual'!M313+parametros_recargas!$J$91*'Plan mensual'!M314+parametros_recargas!$K$91*'Plan mensual'!M315+parametros_recargas!$L$91*'Plan mensual'!M316+parametros_recargas!$M$91*'Plan mensual'!M318</f>
        <v>17675.0355071231</v>
      </c>
      <c r="L305" s="26" t="n">
        <f aca="false">parametros_recargas!$E$91*'Plan mensual'!N309+parametros_recargas!$F$91*'Plan mensual'!N310+parametros_recargas!$G$91*'Plan mensual'!N311+parametros_recargas!$H$91*'Plan mensual'!N312+parametros_recargas!$I$91*'Plan mensual'!N313+parametros_recargas!$J$91*'Plan mensual'!N314+parametros_recargas!$K$91*'Plan mensual'!N315+parametros_recargas!$L$91*'Plan mensual'!N316+parametros_recargas!$M$91*'Plan mensual'!N318</f>
        <v>17475.5523289349</v>
      </c>
      <c r="M305" s="26" t="n">
        <f aca="false">parametros_recargas!$E$91*'Plan mensual'!O309+parametros_recargas!$F$91*'Plan mensual'!O310+parametros_recargas!$G$91*'Plan mensual'!O311+parametros_recargas!$H$91*'Plan mensual'!O312+parametros_recargas!$I$91*'Plan mensual'!O313+parametros_recargas!$J$91*'Plan mensual'!O314+parametros_recargas!$K$91*'Plan mensual'!O315+parametros_recargas!$L$91*'Plan mensual'!O316+parametros_recargas!$M$91*'Plan mensual'!O318</f>
        <v>6829.92662855243</v>
      </c>
      <c r="N305" s="8" t="n">
        <f aca="false">SUM(B305:M305)</f>
        <v>193773.064758861</v>
      </c>
      <c r="O305" s="27" t="n">
        <f aca="false">MAX(B305:M305)</f>
        <v>20453.4620422446</v>
      </c>
      <c r="P305" s="13" t="n">
        <f aca="false">O305/parametros_recargas!$B$6</f>
        <v>136.356413614964</v>
      </c>
    </row>
    <row r="306" customFormat="false" ht="15" hidden="false" customHeight="false" outlineLevel="0" collapsed="false">
      <c r="A306" s="10" t="str">
        <f aca="false">parametros_recargas!$B$92</f>
        <v>Carga de polvo BC</v>
      </c>
      <c r="B306" s="26" t="n">
        <f aca="false">parametros_recargas!$E$92*'Plan mensual'!D309+parametros_recargas!$F$92*'Plan mensual'!D310+parametros_recargas!$G$92*'Plan mensual'!D311+parametros_recargas!$H$92*'Plan mensual'!D312+parametros_recargas!$I$92*'Plan mensual'!D313+parametros_recargas!$J$92*'Plan mensual'!D314+parametros_recargas!$K$92*'Plan mensual'!D315+parametros_recargas!$L$92*'Plan mensual'!D316+parametros_recargas!$M$92*'Plan mensual'!D318</f>
        <v>22.758230117595</v>
      </c>
      <c r="C306" s="26" t="n">
        <f aca="false">parametros_recargas!$E$92*'Plan mensual'!E309+parametros_recargas!$F$92*'Plan mensual'!E310+parametros_recargas!$G$92*'Plan mensual'!E311+parametros_recargas!$H$92*'Plan mensual'!E312+parametros_recargas!$I$92*'Plan mensual'!E313+parametros_recargas!$J$92*'Plan mensual'!E314+parametros_recargas!$K$92*'Plan mensual'!E315+parametros_recargas!$L$92*'Plan mensual'!E316+parametros_recargas!$M$92*'Plan mensual'!E318</f>
        <v>22.758230117595</v>
      </c>
      <c r="D306" s="26" t="n">
        <f aca="false">parametros_recargas!$E$92*'Plan mensual'!F309+parametros_recargas!$F$92*'Plan mensual'!F310+parametros_recargas!$G$92*'Plan mensual'!F311+parametros_recargas!$H$92*'Plan mensual'!F312+parametros_recargas!$I$92*'Plan mensual'!F313+parametros_recargas!$J$92*'Plan mensual'!F314+parametros_recargas!$K$92*'Plan mensual'!F315+parametros_recargas!$L$92*'Plan mensual'!F316+parametros_recargas!$M$92*'Plan mensual'!F318</f>
        <v>22.758230117595</v>
      </c>
      <c r="E306" s="26" t="n">
        <f aca="false">parametros_recargas!$E$92*'Plan mensual'!G309+parametros_recargas!$F$92*'Plan mensual'!G310+parametros_recargas!$G$92*'Plan mensual'!G311+parametros_recargas!$H$92*'Plan mensual'!G312+parametros_recargas!$I$92*'Plan mensual'!G313+parametros_recargas!$J$92*'Plan mensual'!G314+parametros_recargas!$K$92*'Plan mensual'!G315+parametros_recargas!$L$92*'Plan mensual'!G316+parametros_recargas!$M$92*'Plan mensual'!G318</f>
        <v>22.758230117595</v>
      </c>
      <c r="F306" s="26" t="n">
        <f aca="false">parametros_recargas!$E$92*'Plan mensual'!H309+parametros_recargas!$F$92*'Plan mensual'!H310+parametros_recargas!$G$92*'Plan mensual'!H311+parametros_recargas!$H$92*'Plan mensual'!H312+parametros_recargas!$I$92*'Plan mensual'!H313+parametros_recargas!$J$92*'Plan mensual'!H314+parametros_recargas!$K$92*'Plan mensual'!H315+parametros_recargas!$L$92*'Plan mensual'!H316+parametros_recargas!$M$92*'Plan mensual'!H318</f>
        <v>22.758230117595</v>
      </c>
      <c r="G306" s="26" t="n">
        <f aca="false">parametros_recargas!$E$92*'Plan mensual'!I309+parametros_recargas!$F$92*'Plan mensual'!I310+parametros_recargas!$G$92*'Plan mensual'!I311+parametros_recargas!$H$92*'Plan mensual'!I312+parametros_recargas!$I$92*'Plan mensual'!I313+parametros_recargas!$J$92*'Plan mensual'!I314+parametros_recargas!$K$92*'Plan mensual'!I315+parametros_recargas!$L$92*'Plan mensual'!I316+parametros_recargas!$M$92*'Plan mensual'!I318</f>
        <v>22.758230117595</v>
      </c>
      <c r="H306" s="26" t="n">
        <f aca="false">parametros_recargas!$E$92*'Plan mensual'!J309+parametros_recargas!$F$92*'Plan mensual'!J310+parametros_recargas!$G$92*'Plan mensual'!J311+parametros_recargas!$H$92*'Plan mensual'!J312+parametros_recargas!$I$92*'Plan mensual'!J313+parametros_recargas!$J$92*'Plan mensual'!J314+parametros_recargas!$K$92*'Plan mensual'!J315+parametros_recargas!$L$92*'Plan mensual'!J316+parametros_recargas!$M$92*'Plan mensual'!J318</f>
        <v>22.758230117595</v>
      </c>
      <c r="I306" s="26" t="n">
        <f aca="false">parametros_recargas!$E$92*'Plan mensual'!K309+parametros_recargas!$F$92*'Plan mensual'!K310+parametros_recargas!$G$92*'Plan mensual'!K311+parametros_recargas!$H$92*'Plan mensual'!K312+parametros_recargas!$I$92*'Plan mensual'!K313+parametros_recargas!$J$92*'Plan mensual'!K314+parametros_recargas!$K$92*'Plan mensual'!K315+parametros_recargas!$L$92*'Plan mensual'!K316+parametros_recargas!$M$92*'Plan mensual'!K318</f>
        <v>22.758230117595</v>
      </c>
      <c r="J306" s="26" t="n">
        <f aca="false">parametros_recargas!$E$92*'Plan mensual'!L309+parametros_recargas!$F$92*'Plan mensual'!L310+parametros_recargas!$G$92*'Plan mensual'!L311+parametros_recargas!$H$92*'Plan mensual'!L312+parametros_recargas!$I$92*'Plan mensual'!L313+parametros_recargas!$J$92*'Plan mensual'!L314+parametros_recargas!$K$92*'Plan mensual'!L315+parametros_recargas!$L$92*'Plan mensual'!L316+parametros_recargas!$M$92*'Plan mensual'!L318</f>
        <v>22.758230117595</v>
      </c>
      <c r="K306" s="26" t="n">
        <f aca="false">parametros_recargas!$E$92*'Plan mensual'!M309+parametros_recargas!$F$92*'Plan mensual'!M310+parametros_recargas!$G$92*'Plan mensual'!M311+parametros_recargas!$H$92*'Plan mensual'!M312+parametros_recargas!$I$92*'Plan mensual'!M313+parametros_recargas!$J$92*'Plan mensual'!M314+parametros_recargas!$K$92*'Plan mensual'!M315+parametros_recargas!$L$92*'Plan mensual'!M316+parametros_recargas!$M$92*'Plan mensual'!M318</f>
        <v>22.758230117595</v>
      </c>
      <c r="L306" s="26" t="n">
        <f aca="false">parametros_recargas!$E$92*'Plan mensual'!N309+parametros_recargas!$F$92*'Plan mensual'!N310+parametros_recargas!$G$92*'Plan mensual'!N311+parametros_recargas!$H$92*'Plan mensual'!N312+parametros_recargas!$I$92*'Plan mensual'!N313+parametros_recargas!$J$92*'Plan mensual'!N314+parametros_recargas!$K$92*'Plan mensual'!N315+parametros_recargas!$L$92*'Plan mensual'!N316+parametros_recargas!$M$92*'Plan mensual'!N318</f>
        <v>22.758230117595</v>
      </c>
      <c r="M306" s="26" t="n">
        <f aca="false">parametros_recargas!$E$92*'Plan mensual'!O309+parametros_recargas!$F$92*'Plan mensual'!O310+parametros_recargas!$G$92*'Plan mensual'!O311+parametros_recargas!$H$92*'Plan mensual'!O312+parametros_recargas!$I$92*'Plan mensual'!O313+parametros_recargas!$J$92*'Plan mensual'!O314+parametros_recargas!$K$92*'Plan mensual'!O315+parametros_recargas!$L$92*'Plan mensual'!O316+parametros_recargas!$M$92*'Plan mensual'!O318</f>
        <v>22.758230117595</v>
      </c>
      <c r="N306" s="8" t="n">
        <f aca="false">SUM(B306:M306)</f>
        <v>273.09876141114</v>
      </c>
      <c r="O306" s="27" t="n">
        <f aca="false">MAX(B306:M306)</f>
        <v>22.758230117595</v>
      </c>
      <c r="P306" s="13" t="n">
        <f aca="false">O306/parametros_recargas!$B$6</f>
        <v>0.1517215341173</v>
      </c>
    </row>
    <row r="307" customFormat="false" ht="15" hidden="false" customHeight="false" outlineLevel="0" collapsed="false">
      <c r="A307" s="10" t="str">
        <f aca="false">parametros_recargas!$B$93</f>
        <v>Descarga y carga Clase D</v>
      </c>
      <c r="B307" s="26" t="n">
        <f aca="false">parametros_recargas!$E$93*'Plan mensual'!D309+parametros_recargas!$F$93*'Plan mensual'!D310+parametros_recargas!$G$93*'Plan mensual'!D311+parametros_recargas!$H$93*'Plan mensual'!D312+parametros_recargas!$I$93*'Plan mensual'!D313+parametros_recargas!$J$93*'Plan mensual'!D314+parametros_recargas!$K$93*'Plan mensual'!D315+parametros_recargas!$L$93*'Plan mensual'!D316+parametros_recargas!$M$93*'Plan mensual'!D318</f>
        <v>20.5126200279768</v>
      </c>
      <c r="C307" s="26" t="n">
        <f aca="false">parametros_recargas!$E$93*'Plan mensual'!E309+parametros_recargas!$F$93*'Plan mensual'!E310+parametros_recargas!$G$93*'Plan mensual'!E311+parametros_recargas!$H$93*'Plan mensual'!E312+parametros_recargas!$I$93*'Plan mensual'!E313+parametros_recargas!$J$93*'Plan mensual'!E314+parametros_recargas!$K$93*'Plan mensual'!E315+parametros_recargas!$L$93*'Plan mensual'!E316+parametros_recargas!$M$93*'Plan mensual'!E318</f>
        <v>20.5126200279768</v>
      </c>
      <c r="D307" s="26" t="n">
        <f aca="false">parametros_recargas!$E$93*'Plan mensual'!F309+parametros_recargas!$F$93*'Plan mensual'!F310+parametros_recargas!$G$93*'Plan mensual'!F311+parametros_recargas!$H$93*'Plan mensual'!F312+parametros_recargas!$I$93*'Plan mensual'!F313+parametros_recargas!$J$93*'Plan mensual'!F314+parametros_recargas!$K$93*'Plan mensual'!F315+parametros_recargas!$L$93*'Plan mensual'!F316+parametros_recargas!$M$93*'Plan mensual'!F318</f>
        <v>20.5126200279768</v>
      </c>
      <c r="E307" s="26" t="n">
        <f aca="false">parametros_recargas!$E$93*'Plan mensual'!G309+parametros_recargas!$F$93*'Plan mensual'!G310+parametros_recargas!$G$93*'Plan mensual'!G311+parametros_recargas!$H$93*'Plan mensual'!G312+parametros_recargas!$I$93*'Plan mensual'!G313+parametros_recargas!$J$93*'Plan mensual'!G314+parametros_recargas!$K$93*'Plan mensual'!G315+parametros_recargas!$L$93*'Plan mensual'!G316+parametros_recargas!$M$93*'Plan mensual'!G318</f>
        <v>20.5126200279768</v>
      </c>
      <c r="F307" s="26" t="n">
        <f aca="false">parametros_recargas!$E$93*'Plan mensual'!H309+parametros_recargas!$F$93*'Plan mensual'!H310+parametros_recargas!$G$93*'Plan mensual'!H311+parametros_recargas!$H$93*'Plan mensual'!H312+parametros_recargas!$I$93*'Plan mensual'!H313+parametros_recargas!$J$93*'Plan mensual'!H314+parametros_recargas!$K$93*'Plan mensual'!H315+parametros_recargas!$L$93*'Plan mensual'!H316+parametros_recargas!$M$93*'Plan mensual'!H318</f>
        <v>20.5126200279768</v>
      </c>
      <c r="G307" s="26" t="n">
        <f aca="false">parametros_recargas!$E$93*'Plan mensual'!I309+parametros_recargas!$F$93*'Plan mensual'!I310+parametros_recargas!$G$93*'Plan mensual'!I311+parametros_recargas!$H$93*'Plan mensual'!I312+parametros_recargas!$I$93*'Plan mensual'!I313+parametros_recargas!$J$93*'Plan mensual'!I314+parametros_recargas!$K$93*'Plan mensual'!I315+parametros_recargas!$L$93*'Plan mensual'!I316+parametros_recargas!$M$93*'Plan mensual'!I318</f>
        <v>20.5126200279768</v>
      </c>
      <c r="H307" s="26" t="n">
        <f aca="false">parametros_recargas!$E$93*'Plan mensual'!J309+parametros_recargas!$F$93*'Plan mensual'!J310+parametros_recargas!$G$93*'Plan mensual'!J311+parametros_recargas!$H$93*'Plan mensual'!J312+parametros_recargas!$I$93*'Plan mensual'!J313+parametros_recargas!$J$93*'Plan mensual'!J314+parametros_recargas!$K$93*'Plan mensual'!J315+parametros_recargas!$L$93*'Plan mensual'!J316+parametros_recargas!$M$93*'Plan mensual'!J318</f>
        <v>20.5126200279768</v>
      </c>
      <c r="I307" s="26" t="n">
        <f aca="false">parametros_recargas!$E$93*'Plan mensual'!K309+parametros_recargas!$F$93*'Plan mensual'!K310+parametros_recargas!$G$93*'Plan mensual'!K311+parametros_recargas!$H$93*'Plan mensual'!K312+parametros_recargas!$I$93*'Plan mensual'!K313+parametros_recargas!$J$93*'Plan mensual'!K314+parametros_recargas!$K$93*'Plan mensual'!K315+parametros_recargas!$L$93*'Plan mensual'!K316+parametros_recargas!$M$93*'Plan mensual'!K318</f>
        <v>20.5126200279768</v>
      </c>
      <c r="J307" s="26" t="n">
        <f aca="false">parametros_recargas!$E$93*'Plan mensual'!L309+parametros_recargas!$F$93*'Plan mensual'!L310+parametros_recargas!$G$93*'Plan mensual'!L311+parametros_recargas!$H$93*'Plan mensual'!L312+parametros_recargas!$I$93*'Plan mensual'!L313+parametros_recargas!$J$93*'Plan mensual'!L314+parametros_recargas!$K$93*'Plan mensual'!L315+parametros_recargas!$L$93*'Plan mensual'!L316+parametros_recargas!$M$93*'Plan mensual'!L318</f>
        <v>20.5126200279768</v>
      </c>
      <c r="K307" s="26" t="n">
        <f aca="false">parametros_recargas!$E$93*'Plan mensual'!M309+parametros_recargas!$F$93*'Plan mensual'!M310+parametros_recargas!$G$93*'Plan mensual'!M311+parametros_recargas!$H$93*'Plan mensual'!M312+parametros_recargas!$I$93*'Plan mensual'!M313+parametros_recargas!$J$93*'Plan mensual'!M314+parametros_recargas!$K$93*'Plan mensual'!M315+parametros_recargas!$L$93*'Plan mensual'!M316+parametros_recargas!$M$93*'Plan mensual'!M318</f>
        <v>20.5126200279768</v>
      </c>
      <c r="L307" s="26" t="n">
        <f aca="false">parametros_recargas!$E$93*'Plan mensual'!N309+parametros_recargas!$F$93*'Plan mensual'!N310+parametros_recargas!$G$93*'Plan mensual'!N311+parametros_recargas!$H$93*'Plan mensual'!N312+parametros_recargas!$I$93*'Plan mensual'!N313+parametros_recargas!$J$93*'Plan mensual'!N314+parametros_recargas!$K$93*'Plan mensual'!N315+parametros_recargas!$L$93*'Plan mensual'!N316+parametros_recargas!$M$93*'Plan mensual'!N318</f>
        <v>20.5126200279768</v>
      </c>
      <c r="M307" s="26" t="n">
        <f aca="false">parametros_recargas!$E$93*'Plan mensual'!O309+parametros_recargas!$F$93*'Plan mensual'!O310+parametros_recargas!$G$93*'Plan mensual'!O311+parametros_recargas!$H$93*'Plan mensual'!O312+parametros_recargas!$I$93*'Plan mensual'!O313+parametros_recargas!$J$93*'Plan mensual'!O314+parametros_recargas!$K$93*'Plan mensual'!O315+parametros_recargas!$L$93*'Plan mensual'!O316+parametros_recargas!$M$93*'Plan mensual'!O318</f>
        <v>20.5126200279768</v>
      </c>
      <c r="N307" s="8" t="n">
        <f aca="false">SUM(B307:M307)</f>
        <v>246.151440335721</v>
      </c>
      <c r="O307" s="27" t="n">
        <f aca="false">MAX(B307:M307)</f>
        <v>20.5126200279768</v>
      </c>
      <c r="P307" s="13" t="n">
        <f aca="false">O307/parametros_recargas!$B$6</f>
        <v>0.136750800186512</v>
      </c>
    </row>
    <row r="308" customFormat="false" ht="15" hidden="false" customHeight="false" outlineLevel="0" collapsed="false">
      <c r="A308" s="10" t="str">
        <f aca="false">parametros_recargas!$B$94</f>
        <v>Carga de agua / AFFF / sales K</v>
      </c>
      <c r="B308" s="26" t="n">
        <f aca="false">parametros_recargas!$E$94*'Plan mensual'!D309+parametros_recargas!$F$94*'Plan mensual'!D310+parametros_recargas!$G$94*'Plan mensual'!D311+parametros_recargas!$H$94*'Plan mensual'!D312+parametros_recargas!$I$94*'Plan mensual'!D313+parametros_recargas!$J$94*'Plan mensual'!D314+parametros_recargas!$K$94*'Plan mensual'!D315+parametros_recargas!$L$94*'Plan mensual'!D316+parametros_recargas!$M$94*'Plan mensual'!D318</f>
        <v>845.076153915112</v>
      </c>
      <c r="C308" s="26" t="n">
        <f aca="false">parametros_recargas!$E$94*'Plan mensual'!E309+parametros_recargas!$F$94*'Plan mensual'!E310+parametros_recargas!$G$94*'Plan mensual'!E311+parametros_recargas!$H$94*'Plan mensual'!E312+parametros_recargas!$I$94*'Plan mensual'!E313+parametros_recargas!$J$94*'Plan mensual'!E314+parametros_recargas!$K$94*'Plan mensual'!E315+parametros_recargas!$L$94*'Plan mensual'!E316+parametros_recargas!$M$94*'Plan mensual'!E318</f>
        <v>1189.98779079621</v>
      </c>
      <c r="D308" s="26" t="n">
        <f aca="false">parametros_recargas!$E$94*'Plan mensual'!F309+parametros_recargas!$F$94*'Plan mensual'!F310+parametros_recargas!$G$94*'Plan mensual'!F311+parametros_recargas!$H$94*'Plan mensual'!F312+parametros_recargas!$I$94*'Plan mensual'!F313+parametros_recargas!$J$94*'Plan mensual'!F314+parametros_recargas!$K$94*'Plan mensual'!F315+parametros_recargas!$L$94*'Plan mensual'!F316+parametros_recargas!$M$94*'Plan mensual'!F318</f>
        <v>845.076153915112</v>
      </c>
      <c r="E308" s="26" t="n">
        <f aca="false">parametros_recargas!$E$94*'Plan mensual'!G309+parametros_recargas!$F$94*'Plan mensual'!G310+parametros_recargas!$G$94*'Plan mensual'!G311+parametros_recargas!$H$94*'Plan mensual'!G312+parametros_recargas!$I$94*'Plan mensual'!G313+parametros_recargas!$J$94*'Plan mensual'!G314+parametros_recargas!$K$94*'Plan mensual'!G315+parametros_recargas!$L$94*'Plan mensual'!G316+parametros_recargas!$M$94*'Plan mensual'!G318</f>
        <v>845.076153915112</v>
      </c>
      <c r="F308" s="26" t="n">
        <f aca="false">parametros_recargas!$E$94*'Plan mensual'!H309+parametros_recargas!$F$94*'Plan mensual'!H310+parametros_recargas!$G$94*'Plan mensual'!H311+parametros_recargas!$H$94*'Plan mensual'!H312+parametros_recargas!$I$94*'Plan mensual'!H313+parametros_recargas!$J$94*'Plan mensual'!H314+parametros_recargas!$K$94*'Plan mensual'!H315+parametros_recargas!$L$94*'Plan mensual'!H316+parametros_recargas!$M$94*'Plan mensual'!H318</f>
        <v>845.076153915112</v>
      </c>
      <c r="G308" s="26" t="n">
        <f aca="false">parametros_recargas!$E$94*'Plan mensual'!I309+parametros_recargas!$F$94*'Plan mensual'!I310+parametros_recargas!$G$94*'Plan mensual'!I311+parametros_recargas!$H$94*'Plan mensual'!I312+parametros_recargas!$I$94*'Plan mensual'!I313+parametros_recargas!$J$94*'Plan mensual'!I314+parametros_recargas!$K$94*'Plan mensual'!I315+parametros_recargas!$L$94*'Plan mensual'!I316+parametros_recargas!$M$94*'Plan mensual'!I318</f>
        <v>845.076153915112</v>
      </c>
      <c r="H308" s="26" t="n">
        <f aca="false">parametros_recargas!$E$94*'Plan mensual'!J309+parametros_recargas!$F$94*'Plan mensual'!J310+parametros_recargas!$G$94*'Plan mensual'!J311+parametros_recargas!$H$94*'Plan mensual'!J312+parametros_recargas!$I$94*'Plan mensual'!J313+parametros_recargas!$J$94*'Plan mensual'!J314+parametros_recargas!$K$94*'Plan mensual'!J315+parametros_recargas!$L$94*'Plan mensual'!J316+parametros_recargas!$M$94*'Plan mensual'!J318</f>
        <v>845.076153915112</v>
      </c>
      <c r="I308" s="26" t="n">
        <f aca="false">parametros_recargas!$E$94*'Plan mensual'!K309+parametros_recargas!$F$94*'Plan mensual'!K310+parametros_recargas!$G$94*'Plan mensual'!K311+parametros_recargas!$H$94*'Plan mensual'!K312+parametros_recargas!$I$94*'Plan mensual'!K313+parametros_recargas!$J$94*'Plan mensual'!K314+parametros_recargas!$K$94*'Plan mensual'!K315+parametros_recargas!$L$94*'Plan mensual'!K316+parametros_recargas!$M$94*'Plan mensual'!K318</f>
        <v>845.076153915112</v>
      </c>
      <c r="J308" s="26" t="n">
        <f aca="false">parametros_recargas!$E$94*'Plan mensual'!L309+parametros_recargas!$F$94*'Plan mensual'!L310+parametros_recargas!$G$94*'Plan mensual'!L311+parametros_recargas!$H$94*'Plan mensual'!L312+parametros_recargas!$I$94*'Plan mensual'!L313+parametros_recargas!$J$94*'Plan mensual'!L314+parametros_recargas!$K$94*'Plan mensual'!L315+parametros_recargas!$L$94*'Plan mensual'!L316+parametros_recargas!$M$94*'Plan mensual'!L318</f>
        <v>845.076153915112</v>
      </c>
      <c r="K308" s="26" t="n">
        <f aca="false">parametros_recargas!$E$94*'Plan mensual'!M309+parametros_recargas!$F$94*'Plan mensual'!M310+parametros_recargas!$G$94*'Plan mensual'!M311+parametros_recargas!$H$94*'Plan mensual'!M312+parametros_recargas!$I$94*'Plan mensual'!M313+parametros_recargas!$J$94*'Plan mensual'!M314+parametros_recargas!$K$94*'Plan mensual'!M315+parametros_recargas!$L$94*'Plan mensual'!M316+parametros_recargas!$M$94*'Plan mensual'!M318</f>
        <v>845.076153915112</v>
      </c>
      <c r="L308" s="26" t="n">
        <f aca="false">parametros_recargas!$E$94*'Plan mensual'!N309+parametros_recargas!$F$94*'Plan mensual'!N310+parametros_recargas!$G$94*'Plan mensual'!N311+parametros_recargas!$H$94*'Plan mensual'!N312+parametros_recargas!$I$94*'Plan mensual'!N313+parametros_recargas!$J$94*'Plan mensual'!N314+parametros_recargas!$K$94*'Plan mensual'!N315+parametros_recargas!$L$94*'Plan mensual'!N316+parametros_recargas!$M$94*'Plan mensual'!N318</f>
        <v>845.076153915112</v>
      </c>
      <c r="M308" s="26" t="n">
        <f aca="false">parametros_recargas!$E$94*'Plan mensual'!O309+parametros_recargas!$F$94*'Plan mensual'!O310+parametros_recargas!$G$94*'Plan mensual'!O311+parametros_recargas!$H$94*'Plan mensual'!O312+parametros_recargas!$I$94*'Plan mensual'!O313+parametros_recargas!$J$94*'Plan mensual'!O314+parametros_recargas!$K$94*'Plan mensual'!O315+parametros_recargas!$L$94*'Plan mensual'!O316+parametros_recargas!$M$94*'Plan mensual'!O318</f>
        <v>845.076153915112</v>
      </c>
      <c r="N308" s="8" t="n">
        <f aca="false">SUM(B308:M308)</f>
        <v>10485.8254838624</v>
      </c>
      <c r="O308" s="27" t="n">
        <f aca="false">MAX(B308:M308)</f>
        <v>1189.98779079621</v>
      </c>
      <c r="P308" s="13" t="n">
        <f aca="false">O308/parametros_recargas!$B$6</f>
        <v>7.93325193864138</v>
      </c>
    </row>
    <row r="309" customFormat="false" ht="15" hidden="false" customHeight="false" outlineLevel="0" collapsed="false">
      <c r="A309" s="10" t="str">
        <f aca="false">parametros_recargas!$B$95</f>
        <v>Carga de CO₂</v>
      </c>
      <c r="B309" s="26" t="n">
        <f aca="false">parametros_recargas!$E$95*'Plan mensual'!D309+parametros_recargas!$F$95*'Plan mensual'!D310+parametros_recargas!$G$95*'Plan mensual'!D311+parametros_recargas!$H$95*'Plan mensual'!D312+parametros_recargas!$I$95*'Plan mensual'!D313+parametros_recargas!$J$95*'Plan mensual'!D314+parametros_recargas!$K$95*'Plan mensual'!D315+parametros_recargas!$L$95*'Plan mensual'!D316+parametros_recargas!$M$95*'Plan mensual'!D318</f>
        <v>479.849670731004</v>
      </c>
      <c r="C309" s="26" t="n">
        <f aca="false">parametros_recargas!$E$95*'Plan mensual'!E309+parametros_recargas!$F$95*'Plan mensual'!E310+parametros_recargas!$G$95*'Plan mensual'!E311+parametros_recargas!$H$95*'Plan mensual'!E312+parametros_recargas!$I$95*'Plan mensual'!E313+parametros_recargas!$J$95*'Plan mensual'!E314+parametros_recargas!$K$95*'Plan mensual'!E315+parametros_recargas!$L$95*'Plan mensual'!E316+parametros_recargas!$M$95*'Plan mensual'!E318</f>
        <v>749.393463186341</v>
      </c>
      <c r="D309" s="26" t="n">
        <f aca="false">parametros_recargas!$E$95*'Plan mensual'!F309+parametros_recargas!$F$95*'Plan mensual'!F310+parametros_recargas!$G$95*'Plan mensual'!F311+parametros_recargas!$H$95*'Plan mensual'!F312+parametros_recargas!$I$95*'Plan mensual'!F313+parametros_recargas!$J$95*'Plan mensual'!F314+parametros_recargas!$K$95*'Plan mensual'!F315+parametros_recargas!$L$95*'Plan mensual'!F316+parametros_recargas!$M$95*'Plan mensual'!F318</f>
        <v>479.849670731004</v>
      </c>
      <c r="E309" s="26" t="n">
        <f aca="false">parametros_recargas!$E$95*'Plan mensual'!G309+parametros_recargas!$F$95*'Plan mensual'!G310+parametros_recargas!$G$95*'Plan mensual'!G311+parametros_recargas!$H$95*'Plan mensual'!G312+parametros_recargas!$I$95*'Plan mensual'!G313+parametros_recargas!$J$95*'Plan mensual'!G314+parametros_recargas!$K$95*'Plan mensual'!G315+parametros_recargas!$L$95*'Plan mensual'!G316+parametros_recargas!$M$95*'Plan mensual'!G318</f>
        <v>479.849670731004</v>
      </c>
      <c r="F309" s="26" t="n">
        <f aca="false">parametros_recargas!$E$95*'Plan mensual'!H309+parametros_recargas!$F$95*'Plan mensual'!H310+parametros_recargas!$G$95*'Plan mensual'!H311+parametros_recargas!$H$95*'Plan mensual'!H312+parametros_recargas!$I$95*'Plan mensual'!H313+parametros_recargas!$J$95*'Plan mensual'!H314+parametros_recargas!$K$95*'Plan mensual'!H315+parametros_recargas!$L$95*'Plan mensual'!H316+parametros_recargas!$M$95*'Plan mensual'!H318</f>
        <v>479.849670731004</v>
      </c>
      <c r="G309" s="26" t="n">
        <f aca="false">parametros_recargas!$E$95*'Plan mensual'!I309+parametros_recargas!$F$95*'Plan mensual'!I310+parametros_recargas!$G$95*'Plan mensual'!I311+parametros_recargas!$H$95*'Plan mensual'!I312+parametros_recargas!$I$95*'Plan mensual'!I313+parametros_recargas!$J$95*'Plan mensual'!I314+parametros_recargas!$K$95*'Plan mensual'!I315+parametros_recargas!$L$95*'Plan mensual'!I316+parametros_recargas!$M$95*'Plan mensual'!I318</f>
        <v>479.849670731004</v>
      </c>
      <c r="H309" s="26" t="n">
        <f aca="false">parametros_recargas!$E$95*'Plan mensual'!J309+parametros_recargas!$F$95*'Plan mensual'!J310+parametros_recargas!$G$95*'Plan mensual'!J311+parametros_recargas!$H$95*'Plan mensual'!J312+parametros_recargas!$I$95*'Plan mensual'!J313+parametros_recargas!$J$95*'Plan mensual'!J314+parametros_recargas!$K$95*'Plan mensual'!J315+parametros_recargas!$L$95*'Plan mensual'!J316+parametros_recargas!$M$95*'Plan mensual'!J318</f>
        <v>479.849670731004</v>
      </c>
      <c r="I309" s="26" t="n">
        <f aca="false">parametros_recargas!$E$95*'Plan mensual'!K309+parametros_recargas!$F$95*'Plan mensual'!K310+parametros_recargas!$G$95*'Plan mensual'!K311+parametros_recargas!$H$95*'Plan mensual'!K312+parametros_recargas!$I$95*'Plan mensual'!K313+parametros_recargas!$J$95*'Plan mensual'!K314+parametros_recargas!$K$95*'Plan mensual'!K315+parametros_recargas!$L$95*'Plan mensual'!K316+parametros_recargas!$M$95*'Plan mensual'!K318</f>
        <v>479.849670731004</v>
      </c>
      <c r="J309" s="26" t="n">
        <f aca="false">parametros_recargas!$E$95*'Plan mensual'!L309+parametros_recargas!$F$95*'Plan mensual'!L310+parametros_recargas!$G$95*'Plan mensual'!L311+parametros_recargas!$H$95*'Plan mensual'!L312+parametros_recargas!$I$95*'Plan mensual'!L313+parametros_recargas!$J$95*'Plan mensual'!L314+parametros_recargas!$K$95*'Plan mensual'!L315+parametros_recargas!$L$95*'Plan mensual'!L316+parametros_recargas!$M$95*'Plan mensual'!L318</f>
        <v>479.849670731004</v>
      </c>
      <c r="K309" s="26" t="n">
        <f aca="false">parametros_recargas!$E$95*'Plan mensual'!M309+parametros_recargas!$F$95*'Plan mensual'!M310+parametros_recargas!$G$95*'Plan mensual'!M311+parametros_recargas!$H$95*'Plan mensual'!M312+parametros_recargas!$I$95*'Plan mensual'!M313+parametros_recargas!$J$95*'Plan mensual'!M314+parametros_recargas!$K$95*'Plan mensual'!M315+parametros_recargas!$L$95*'Plan mensual'!M316+parametros_recargas!$M$95*'Plan mensual'!M318</f>
        <v>479.849670731004</v>
      </c>
      <c r="L309" s="26" t="n">
        <f aca="false">parametros_recargas!$E$95*'Plan mensual'!N309+parametros_recargas!$F$95*'Plan mensual'!N310+parametros_recargas!$G$95*'Plan mensual'!N311+parametros_recargas!$H$95*'Plan mensual'!N312+parametros_recargas!$I$95*'Plan mensual'!N313+parametros_recargas!$J$95*'Plan mensual'!N314+parametros_recargas!$K$95*'Plan mensual'!N315+parametros_recargas!$L$95*'Plan mensual'!N316+parametros_recargas!$M$95*'Plan mensual'!N318</f>
        <v>479.849670731004</v>
      </c>
      <c r="M309" s="26" t="n">
        <f aca="false">parametros_recargas!$E$95*'Plan mensual'!O309+parametros_recargas!$F$95*'Plan mensual'!O310+parametros_recargas!$G$95*'Plan mensual'!O311+parametros_recargas!$H$95*'Plan mensual'!O312+parametros_recargas!$I$95*'Plan mensual'!O313+parametros_recargas!$J$95*'Plan mensual'!O314+parametros_recargas!$K$95*'Plan mensual'!O315+parametros_recargas!$L$95*'Plan mensual'!O316+parametros_recargas!$M$95*'Plan mensual'!O318</f>
        <v>479.849670731004</v>
      </c>
      <c r="N309" s="8" t="n">
        <f aca="false">SUM(B309:M309)</f>
        <v>6027.73984122739</v>
      </c>
      <c r="O309" s="27" t="n">
        <f aca="false">MAX(B309:M309)</f>
        <v>749.393463186341</v>
      </c>
      <c r="P309" s="13" t="n">
        <f aca="false">O309/parametros_recargas!$B$6</f>
        <v>4.99595642124227</v>
      </c>
    </row>
    <row r="310" customFormat="false" ht="15" hidden="false" customHeight="false" outlineLevel="0" collapsed="false">
      <c r="A310" s="10" t="str">
        <f aca="false">parametros_recargas!$B$96</f>
        <v>Ensamblaje y marbete — recinto</v>
      </c>
      <c r="B310" s="26" t="n">
        <f aca="false">parametros_recargas!$E$96*'Plan mensual'!D309+parametros_recargas!$F$96*'Plan mensual'!D310+parametros_recargas!$G$96*'Plan mensual'!D311+parametros_recargas!$H$96*'Plan mensual'!D312+parametros_recargas!$I$96*'Plan mensual'!D313+parametros_recargas!$J$96*'Plan mensual'!D314+parametros_recargas!$K$96*'Plan mensual'!D315+parametros_recargas!$L$96*'Plan mensual'!D316+parametros_recargas!$M$96*'Plan mensual'!D318</f>
        <v>7410.64599841905</v>
      </c>
      <c r="C310" s="26" t="n">
        <f aca="false">parametros_recargas!$E$96*'Plan mensual'!E309+parametros_recargas!$F$96*'Plan mensual'!E310+parametros_recargas!$G$96*'Plan mensual'!E311+parametros_recargas!$H$96*'Plan mensual'!E312+parametros_recargas!$I$96*'Plan mensual'!E313+parametros_recargas!$J$96*'Plan mensual'!E314+parametros_recargas!$K$96*'Plan mensual'!E315+parametros_recargas!$L$96*'Plan mensual'!E316+parametros_recargas!$M$96*'Plan mensual'!E318</f>
        <v>20496.7328923902</v>
      </c>
      <c r="D310" s="26" t="n">
        <f aca="false">parametros_recargas!$E$96*'Plan mensual'!F309+parametros_recargas!$F$96*'Plan mensual'!F310+parametros_recargas!$G$96*'Plan mensual'!F311+parametros_recargas!$H$96*'Plan mensual'!F312+parametros_recargas!$I$96*'Plan mensual'!F313+parametros_recargas!$J$96*'Plan mensual'!F314+parametros_recargas!$K$96*'Plan mensual'!F315+parametros_recargas!$L$96*'Plan mensual'!F316+parametros_recargas!$M$96*'Plan mensual'!F318</f>
        <v>17677.5533552233</v>
      </c>
      <c r="E310" s="26" t="n">
        <f aca="false">parametros_recargas!$E$96*'Plan mensual'!G309+parametros_recargas!$F$96*'Plan mensual'!G310+parametros_recargas!$G$96*'Plan mensual'!G311+parametros_recargas!$H$96*'Plan mensual'!G312+parametros_recargas!$I$96*'Plan mensual'!G313+parametros_recargas!$J$96*'Plan mensual'!G314+parametros_recargas!$K$96*'Plan mensual'!G315+parametros_recargas!$L$96*'Plan mensual'!G316+parametros_recargas!$M$96*'Plan mensual'!G318</f>
        <v>17756.9754443339</v>
      </c>
      <c r="F310" s="26" t="n">
        <f aca="false">parametros_recargas!$E$96*'Plan mensual'!H309+parametros_recargas!$F$96*'Plan mensual'!H310+parametros_recargas!$G$96*'Plan mensual'!H311+parametros_recargas!$H$96*'Plan mensual'!H312+parametros_recargas!$I$96*'Plan mensual'!H313+parametros_recargas!$J$96*'Plan mensual'!H314+parametros_recargas!$K$96*'Plan mensual'!H315+parametros_recargas!$L$96*'Plan mensual'!H316+parametros_recargas!$M$96*'Plan mensual'!H318</f>
        <v>17760.2074978692</v>
      </c>
      <c r="G310" s="26" t="n">
        <f aca="false">parametros_recargas!$E$96*'Plan mensual'!I309+parametros_recargas!$F$96*'Plan mensual'!I310+parametros_recargas!$G$96*'Plan mensual'!I311+parametros_recargas!$H$96*'Plan mensual'!I312+parametros_recargas!$I$96*'Plan mensual'!I313+parametros_recargas!$J$96*'Plan mensual'!I314+parametros_recargas!$K$96*'Plan mensual'!I315+parametros_recargas!$L$96*'Plan mensual'!I316+parametros_recargas!$M$96*'Plan mensual'!I318</f>
        <v>17721.2201535925</v>
      </c>
      <c r="H310" s="26" t="n">
        <f aca="false">parametros_recargas!$E$96*'Plan mensual'!J309+parametros_recargas!$F$96*'Plan mensual'!J310+parametros_recargas!$G$96*'Plan mensual'!J311+parametros_recargas!$H$96*'Plan mensual'!J312+parametros_recargas!$I$96*'Plan mensual'!J313+parametros_recargas!$J$96*'Plan mensual'!J314+parametros_recargas!$K$96*'Plan mensual'!J315+parametros_recargas!$L$96*'Plan mensual'!J316+parametros_recargas!$M$96*'Plan mensual'!J318</f>
        <v>17841.2113183863</v>
      </c>
      <c r="I310" s="26" t="n">
        <f aca="false">parametros_recargas!$E$96*'Plan mensual'!K309+parametros_recargas!$F$96*'Plan mensual'!K310+parametros_recargas!$G$96*'Plan mensual'!K311+parametros_recargas!$H$96*'Plan mensual'!K312+parametros_recargas!$I$96*'Plan mensual'!K313+parametros_recargas!$J$96*'Plan mensual'!K314+parametros_recargas!$K$96*'Plan mensual'!K315+parametros_recargas!$L$96*'Plan mensual'!K316+parametros_recargas!$M$96*'Plan mensual'!K318</f>
        <v>17751.8315111027</v>
      </c>
      <c r="J310" s="26" t="n">
        <f aca="false">parametros_recargas!$E$96*'Plan mensual'!L309+parametros_recargas!$F$96*'Plan mensual'!L310+parametros_recargas!$G$96*'Plan mensual'!L311+parametros_recargas!$H$96*'Plan mensual'!L312+parametros_recargas!$I$96*'Plan mensual'!L313+parametros_recargas!$J$96*'Plan mensual'!L314+parametros_recargas!$K$96*'Plan mensual'!L315+parametros_recargas!$L$96*'Plan mensual'!L316+parametros_recargas!$M$96*'Plan mensual'!L318</f>
        <v>17765.6097742434</v>
      </c>
      <c r="K310" s="26" t="n">
        <f aca="false">parametros_recargas!$E$96*'Plan mensual'!M309+parametros_recargas!$F$96*'Plan mensual'!M310+parametros_recargas!$G$96*'Plan mensual'!M311+parametros_recargas!$H$96*'Plan mensual'!M312+parametros_recargas!$I$96*'Plan mensual'!M313+parametros_recargas!$J$96*'Plan mensual'!M314+parametros_recargas!$K$96*'Plan mensual'!M315+parametros_recargas!$L$96*'Plan mensual'!M316+parametros_recargas!$M$96*'Plan mensual'!M318</f>
        <v>17718.3063572687</v>
      </c>
      <c r="L310" s="26" t="n">
        <f aca="false">parametros_recargas!$E$96*'Plan mensual'!N309+parametros_recargas!$F$96*'Plan mensual'!N310+parametros_recargas!$G$96*'Plan mensual'!N311+parametros_recargas!$H$96*'Plan mensual'!N312+parametros_recargas!$I$96*'Plan mensual'!N313+parametros_recargas!$J$96*'Plan mensual'!N314+parametros_recargas!$K$96*'Plan mensual'!N315+parametros_recargas!$L$96*'Plan mensual'!N316+parametros_recargas!$M$96*'Plan mensual'!N318</f>
        <v>17518.8231790805</v>
      </c>
      <c r="M310" s="26" t="n">
        <f aca="false">parametros_recargas!$E$96*'Plan mensual'!O309+parametros_recargas!$F$96*'Plan mensual'!O310+parametros_recargas!$G$96*'Plan mensual'!O311+parametros_recargas!$H$96*'Plan mensual'!O312+parametros_recargas!$I$96*'Plan mensual'!O313+parametros_recargas!$J$96*'Plan mensual'!O314+parametros_recargas!$K$96*'Plan mensual'!O315+parametros_recargas!$L$96*'Plan mensual'!O316+parametros_recargas!$M$96*'Plan mensual'!O318</f>
        <v>6873.19747869801</v>
      </c>
      <c r="N310" s="8" t="n">
        <f aca="false">SUM(B310:M310)</f>
        <v>194292.314960608</v>
      </c>
      <c r="O310" s="27" t="n">
        <f aca="false">MAX(B310:M310)</f>
        <v>20496.7328923902</v>
      </c>
      <c r="P310" s="13" t="n">
        <f aca="false">O310/parametros_recargas!$B$6</f>
        <v>136.644885949268</v>
      </c>
    </row>
    <row r="311" customFormat="false" ht="15" hidden="false" customHeight="false" outlineLevel="0" collapsed="false">
      <c r="A311" s="10" t="str">
        <f aca="false">parametros_recargas!$B$97</f>
        <v>Presurización — recinto</v>
      </c>
      <c r="B311" s="26" t="n">
        <f aca="false">parametros_recargas!$E$97*'Plan mensual'!D309+parametros_recargas!$F$97*'Plan mensual'!D310+parametros_recargas!$G$97*'Plan mensual'!D311+parametros_recargas!$H$97*'Plan mensual'!D312+parametros_recargas!$I$97*'Plan mensual'!D313+parametros_recargas!$J$97*'Plan mensual'!D314+parametros_recargas!$K$97*'Plan mensual'!D315+parametros_recargas!$L$97*'Plan mensual'!D316+parametros_recargas!$M$97*'Plan mensual'!D318</f>
        <v>7410.64599841905</v>
      </c>
      <c r="C311" s="26" t="n">
        <f aca="false">parametros_recargas!$E$97*'Plan mensual'!E309+parametros_recargas!$F$97*'Plan mensual'!E310+parametros_recargas!$G$97*'Plan mensual'!E311+parametros_recargas!$H$97*'Plan mensual'!E312+parametros_recargas!$I$97*'Plan mensual'!E313+parametros_recargas!$J$97*'Plan mensual'!E314+parametros_recargas!$K$97*'Plan mensual'!E315+parametros_recargas!$L$97*'Plan mensual'!E316+parametros_recargas!$M$97*'Plan mensual'!E318</f>
        <v>20496.7328923902</v>
      </c>
      <c r="D311" s="26" t="n">
        <f aca="false">parametros_recargas!$E$97*'Plan mensual'!F309+parametros_recargas!$F$97*'Plan mensual'!F310+parametros_recargas!$G$97*'Plan mensual'!F311+parametros_recargas!$H$97*'Plan mensual'!F312+parametros_recargas!$I$97*'Plan mensual'!F313+parametros_recargas!$J$97*'Plan mensual'!F314+parametros_recargas!$K$97*'Plan mensual'!F315+parametros_recargas!$L$97*'Plan mensual'!F316+parametros_recargas!$M$97*'Plan mensual'!F318</f>
        <v>17677.5533552233</v>
      </c>
      <c r="E311" s="26" t="n">
        <f aca="false">parametros_recargas!$E$97*'Plan mensual'!G309+parametros_recargas!$F$97*'Plan mensual'!G310+parametros_recargas!$G$97*'Plan mensual'!G311+parametros_recargas!$H$97*'Plan mensual'!G312+parametros_recargas!$I$97*'Plan mensual'!G313+parametros_recargas!$J$97*'Plan mensual'!G314+parametros_recargas!$K$97*'Plan mensual'!G315+parametros_recargas!$L$97*'Plan mensual'!G316+parametros_recargas!$M$97*'Plan mensual'!G318</f>
        <v>17756.9754443339</v>
      </c>
      <c r="F311" s="26" t="n">
        <f aca="false">parametros_recargas!$E$97*'Plan mensual'!H309+parametros_recargas!$F$97*'Plan mensual'!H310+parametros_recargas!$G$97*'Plan mensual'!H311+parametros_recargas!$H$97*'Plan mensual'!H312+parametros_recargas!$I$97*'Plan mensual'!H313+parametros_recargas!$J$97*'Plan mensual'!H314+parametros_recargas!$K$97*'Plan mensual'!H315+parametros_recargas!$L$97*'Plan mensual'!H316+parametros_recargas!$M$97*'Plan mensual'!H318</f>
        <v>17760.2074978692</v>
      </c>
      <c r="G311" s="26" t="n">
        <f aca="false">parametros_recargas!$E$97*'Plan mensual'!I309+parametros_recargas!$F$97*'Plan mensual'!I310+parametros_recargas!$G$97*'Plan mensual'!I311+parametros_recargas!$H$97*'Plan mensual'!I312+parametros_recargas!$I$97*'Plan mensual'!I313+parametros_recargas!$J$97*'Plan mensual'!I314+parametros_recargas!$K$97*'Plan mensual'!I315+parametros_recargas!$L$97*'Plan mensual'!I316+parametros_recargas!$M$97*'Plan mensual'!I318</f>
        <v>17721.2201535925</v>
      </c>
      <c r="H311" s="26" t="n">
        <f aca="false">parametros_recargas!$E$97*'Plan mensual'!J309+parametros_recargas!$F$97*'Plan mensual'!J310+parametros_recargas!$G$97*'Plan mensual'!J311+parametros_recargas!$H$97*'Plan mensual'!J312+parametros_recargas!$I$97*'Plan mensual'!J313+parametros_recargas!$J$97*'Plan mensual'!J314+parametros_recargas!$K$97*'Plan mensual'!J315+parametros_recargas!$L$97*'Plan mensual'!J316+parametros_recargas!$M$97*'Plan mensual'!J318</f>
        <v>17841.2113183863</v>
      </c>
      <c r="I311" s="26" t="n">
        <f aca="false">parametros_recargas!$E$97*'Plan mensual'!K309+parametros_recargas!$F$97*'Plan mensual'!K310+parametros_recargas!$G$97*'Plan mensual'!K311+parametros_recargas!$H$97*'Plan mensual'!K312+parametros_recargas!$I$97*'Plan mensual'!K313+parametros_recargas!$J$97*'Plan mensual'!K314+parametros_recargas!$K$97*'Plan mensual'!K315+parametros_recargas!$L$97*'Plan mensual'!K316+parametros_recargas!$M$97*'Plan mensual'!K318</f>
        <v>17751.8315111027</v>
      </c>
      <c r="J311" s="26" t="n">
        <f aca="false">parametros_recargas!$E$97*'Plan mensual'!L309+parametros_recargas!$F$97*'Plan mensual'!L310+parametros_recargas!$G$97*'Plan mensual'!L311+parametros_recargas!$H$97*'Plan mensual'!L312+parametros_recargas!$I$97*'Plan mensual'!L313+parametros_recargas!$J$97*'Plan mensual'!L314+parametros_recargas!$K$97*'Plan mensual'!L315+parametros_recargas!$L$97*'Plan mensual'!L316+parametros_recargas!$M$97*'Plan mensual'!L318</f>
        <v>17765.6097742434</v>
      </c>
      <c r="K311" s="26" t="n">
        <f aca="false">parametros_recargas!$E$97*'Plan mensual'!M309+parametros_recargas!$F$97*'Plan mensual'!M310+parametros_recargas!$G$97*'Plan mensual'!M311+parametros_recargas!$H$97*'Plan mensual'!M312+parametros_recargas!$I$97*'Plan mensual'!M313+parametros_recargas!$J$97*'Plan mensual'!M314+parametros_recargas!$K$97*'Plan mensual'!M315+parametros_recargas!$L$97*'Plan mensual'!M316+parametros_recargas!$M$97*'Plan mensual'!M318</f>
        <v>17718.3063572687</v>
      </c>
      <c r="L311" s="26" t="n">
        <f aca="false">parametros_recargas!$E$97*'Plan mensual'!N309+parametros_recargas!$F$97*'Plan mensual'!N310+parametros_recargas!$G$97*'Plan mensual'!N311+parametros_recargas!$H$97*'Plan mensual'!N312+parametros_recargas!$I$97*'Plan mensual'!N313+parametros_recargas!$J$97*'Plan mensual'!N314+parametros_recargas!$K$97*'Plan mensual'!N315+parametros_recargas!$L$97*'Plan mensual'!N316+parametros_recargas!$M$97*'Plan mensual'!N318</f>
        <v>17518.8231790805</v>
      </c>
      <c r="M311" s="26" t="n">
        <f aca="false">parametros_recargas!$E$97*'Plan mensual'!O309+parametros_recargas!$F$97*'Plan mensual'!O310+parametros_recargas!$G$97*'Plan mensual'!O311+parametros_recargas!$H$97*'Plan mensual'!O312+parametros_recargas!$I$97*'Plan mensual'!O313+parametros_recargas!$J$97*'Plan mensual'!O314+parametros_recargas!$K$97*'Plan mensual'!O315+parametros_recargas!$L$97*'Plan mensual'!O316+parametros_recargas!$M$97*'Plan mensual'!O318</f>
        <v>6873.19747869801</v>
      </c>
      <c r="N311" s="8" t="n">
        <f aca="false">SUM(B311:M311)</f>
        <v>194292.314960608</v>
      </c>
      <c r="O311" s="27" t="n">
        <f aca="false">MAX(B311:M311)</f>
        <v>20496.7328923902</v>
      </c>
      <c r="P311" s="13" t="n">
        <f aca="false">O311/parametros_recargas!$B$6</f>
        <v>136.644885949268</v>
      </c>
    </row>
    <row r="312" customFormat="false" ht="15" hidden="false" customHeight="false" outlineLevel="0" collapsed="false">
      <c r="A312" s="10" t="str">
        <f aca="false">parametros_recargas!$B$98</f>
        <v>Ensamblaje y presurización — zona general</v>
      </c>
      <c r="B312" s="26" t="n">
        <f aca="false">parametros_recargas!$E$98*'Plan mensual'!D309+parametros_recargas!$F$98*'Plan mensual'!D310+parametros_recargas!$G$98*'Plan mensual'!D311+parametros_recargas!$H$98*'Plan mensual'!D312+parametros_recargas!$I$98*'Plan mensual'!D313+parametros_recargas!$J$98*'Plan mensual'!D314+parametros_recargas!$K$98*'Plan mensual'!D315+parametros_recargas!$L$98*'Plan mensual'!D316+parametros_recargas!$M$98*'Plan mensual'!D318</f>
        <v>1321.74612700751</v>
      </c>
      <c r="C312" s="26" t="n">
        <f aca="false">parametros_recargas!$E$98*'Plan mensual'!E309+parametros_recargas!$F$98*'Plan mensual'!E310+parametros_recargas!$G$98*'Plan mensual'!E311+parametros_recargas!$H$98*'Plan mensual'!E312+parametros_recargas!$I$98*'Plan mensual'!E313+parametros_recargas!$J$98*'Plan mensual'!E314+parametros_recargas!$K$98*'Plan mensual'!E315+parametros_recargas!$L$98*'Plan mensual'!E316+parametros_recargas!$M$98*'Plan mensual'!E318</f>
        <v>1915.84854432527</v>
      </c>
      <c r="D312" s="26" t="n">
        <f aca="false">parametros_recargas!$E$98*'Plan mensual'!F309+parametros_recargas!$F$98*'Plan mensual'!F310+parametros_recargas!$G$98*'Plan mensual'!F311+parametros_recargas!$H$98*'Plan mensual'!F312+parametros_recargas!$I$98*'Plan mensual'!F313+parametros_recargas!$J$98*'Plan mensual'!F314+parametros_recargas!$K$98*'Plan mensual'!F315+parametros_recargas!$L$98*'Plan mensual'!F316+parametros_recargas!$M$98*'Plan mensual'!F318</f>
        <v>1321.74612700751</v>
      </c>
      <c r="E312" s="26" t="n">
        <f aca="false">parametros_recargas!$E$98*'Plan mensual'!G309+parametros_recargas!$F$98*'Plan mensual'!G310+parametros_recargas!$G$98*'Plan mensual'!G311+parametros_recargas!$H$98*'Plan mensual'!G312+parametros_recargas!$I$98*'Plan mensual'!G313+parametros_recargas!$J$98*'Plan mensual'!G314+parametros_recargas!$K$98*'Plan mensual'!G315+parametros_recargas!$L$98*'Plan mensual'!G316+parametros_recargas!$M$98*'Plan mensual'!G318</f>
        <v>1321.74612700751</v>
      </c>
      <c r="F312" s="26" t="n">
        <f aca="false">parametros_recargas!$E$98*'Plan mensual'!H309+parametros_recargas!$F$98*'Plan mensual'!H310+parametros_recargas!$G$98*'Plan mensual'!H311+parametros_recargas!$H$98*'Plan mensual'!H312+parametros_recargas!$I$98*'Plan mensual'!H313+parametros_recargas!$J$98*'Plan mensual'!H314+parametros_recargas!$K$98*'Plan mensual'!H315+parametros_recargas!$L$98*'Plan mensual'!H316+parametros_recargas!$M$98*'Plan mensual'!H318</f>
        <v>1321.74612700751</v>
      </c>
      <c r="G312" s="26" t="n">
        <f aca="false">parametros_recargas!$E$98*'Plan mensual'!I309+parametros_recargas!$F$98*'Plan mensual'!I310+parametros_recargas!$G$98*'Plan mensual'!I311+parametros_recargas!$H$98*'Plan mensual'!I312+parametros_recargas!$I$98*'Plan mensual'!I313+parametros_recargas!$J$98*'Plan mensual'!I314+parametros_recargas!$K$98*'Plan mensual'!I315+parametros_recargas!$L$98*'Plan mensual'!I316+parametros_recargas!$M$98*'Plan mensual'!I318</f>
        <v>1321.74612700751</v>
      </c>
      <c r="H312" s="26" t="n">
        <f aca="false">parametros_recargas!$E$98*'Plan mensual'!J309+parametros_recargas!$F$98*'Plan mensual'!J310+parametros_recargas!$G$98*'Plan mensual'!J311+parametros_recargas!$H$98*'Plan mensual'!J312+parametros_recargas!$I$98*'Plan mensual'!J313+parametros_recargas!$J$98*'Plan mensual'!J314+parametros_recargas!$K$98*'Plan mensual'!J315+parametros_recargas!$L$98*'Plan mensual'!J316+parametros_recargas!$M$98*'Plan mensual'!J318</f>
        <v>1321.74612700751</v>
      </c>
      <c r="I312" s="26" t="n">
        <f aca="false">parametros_recargas!$E$98*'Plan mensual'!K309+parametros_recargas!$F$98*'Plan mensual'!K310+parametros_recargas!$G$98*'Plan mensual'!K311+parametros_recargas!$H$98*'Plan mensual'!K312+parametros_recargas!$I$98*'Plan mensual'!K313+parametros_recargas!$J$98*'Plan mensual'!K314+parametros_recargas!$K$98*'Plan mensual'!K315+parametros_recargas!$L$98*'Plan mensual'!K316+parametros_recargas!$M$98*'Plan mensual'!K318</f>
        <v>1321.74612700751</v>
      </c>
      <c r="J312" s="26" t="n">
        <f aca="false">parametros_recargas!$E$98*'Plan mensual'!L309+parametros_recargas!$F$98*'Plan mensual'!L310+parametros_recargas!$G$98*'Plan mensual'!L311+parametros_recargas!$H$98*'Plan mensual'!L312+parametros_recargas!$I$98*'Plan mensual'!L313+parametros_recargas!$J$98*'Plan mensual'!L314+parametros_recargas!$K$98*'Plan mensual'!L315+parametros_recargas!$L$98*'Plan mensual'!L316+parametros_recargas!$M$98*'Plan mensual'!L318</f>
        <v>1321.74612700751</v>
      </c>
      <c r="K312" s="26" t="n">
        <f aca="false">parametros_recargas!$E$98*'Plan mensual'!M309+parametros_recargas!$F$98*'Plan mensual'!M310+parametros_recargas!$G$98*'Plan mensual'!M311+parametros_recargas!$H$98*'Plan mensual'!M312+parametros_recargas!$I$98*'Plan mensual'!M313+parametros_recargas!$J$98*'Plan mensual'!M314+parametros_recargas!$K$98*'Plan mensual'!M315+parametros_recargas!$L$98*'Plan mensual'!M316+parametros_recargas!$M$98*'Plan mensual'!M318</f>
        <v>1321.74612700751</v>
      </c>
      <c r="L312" s="26" t="n">
        <f aca="false">parametros_recargas!$E$98*'Plan mensual'!N309+parametros_recargas!$F$98*'Plan mensual'!N310+parametros_recargas!$G$98*'Plan mensual'!N311+parametros_recargas!$H$98*'Plan mensual'!N312+parametros_recargas!$I$98*'Plan mensual'!N313+parametros_recargas!$J$98*'Plan mensual'!N314+parametros_recargas!$K$98*'Plan mensual'!N315+parametros_recargas!$L$98*'Plan mensual'!N316+parametros_recargas!$M$98*'Plan mensual'!N318</f>
        <v>1321.74612700751</v>
      </c>
      <c r="M312" s="26" t="n">
        <f aca="false">parametros_recargas!$E$98*'Plan mensual'!O309+parametros_recargas!$F$98*'Plan mensual'!O310+parametros_recargas!$G$98*'Plan mensual'!O311+parametros_recargas!$H$98*'Plan mensual'!O312+parametros_recargas!$I$98*'Plan mensual'!O313+parametros_recargas!$J$98*'Plan mensual'!O314+parametros_recargas!$K$98*'Plan mensual'!O315+parametros_recargas!$L$98*'Plan mensual'!O316+parametros_recargas!$M$98*'Plan mensual'!O318</f>
        <v>1321.74612700751</v>
      </c>
      <c r="N312" s="8" t="n">
        <f aca="false">SUM(B312:M312)</f>
        <v>16455.0559414079</v>
      </c>
      <c r="O312" s="27" t="n">
        <f aca="false">MAX(B312:M312)</f>
        <v>1915.84854432527</v>
      </c>
      <c r="P312" s="13" t="n">
        <f aca="false">O312/parametros_recargas!$B$6</f>
        <v>12.7723236288351</v>
      </c>
    </row>
    <row r="313" customFormat="false" ht="15" hidden="false" customHeight="false" outlineLevel="0" collapsed="false">
      <c r="A313" s="10" t="str">
        <f aca="false">parametros_recargas!$B$99</f>
        <v>Carga y presurización de halogenado</v>
      </c>
      <c r="B313" s="26" t="n">
        <f aca="false">parametros_recargas!$E$99*'Plan mensual'!D309+parametros_recargas!$F$99*'Plan mensual'!D310+parametros_recargas!$G$99*'Plan mensual'!D311+parametros_recargas!$H$99*'Plan mensual'!D312+parametros_recargas!$I$99*'Plan mensual'!D313+parametros_recargas!$J$99*'Plan mensual'!D314+parametros_recargas!$K$99*'Plan mensual'!D315+parametros_recargas!$L$99*'Plan mensual'!D316+parametros_recargas!$M$99*'Plan mensual'!D318</f>
        <v>20.8925630116484</v>
      </c>
      <c r="C313" s="26" t="n">
        <f aca="false">parametros_recargas!$E$99*'Plan mensual'!E309+parametros_recargas!$F$99*'Plan mensual'!E310+parametros_recargas!$G$99*'Plan mensual'!E311+parametros_recargas!$H$99*'Plan mensual'!E312+parametros_recargas!$I$99*'Plan mensual'!E313+parametros_recargas!$J$99*'Plan mensual'!E314+parametros_recargas!$K$99*'Plan mensual'!E315+parametros_recargas!$L$99*'Plan mensual'!E316+parametros_recargas!$M$99*'Plan mensual'!E318</f>
        <v>20.8925630116484</v>
      </c>
      <c r="D313" s="26" t="n">
        <f aca="false">parametros_recargas!$E$99*'Plan mensual'!F309+parametros_recargas!$F$99*'Plan mensual'!F310+parametros_recargas!$G$99*'Plan mensual'!F311+parametros_recargas!$H$99*'Plan mensual'!F312+parametros_recargas!$I$99*'Plan mensual'!F313+parametros_recargas!$J$99*'Plan mensual'!F314+parametros_recargas!$K$99*'Plan mensual'!F315+parametros_recargas!$L$99*'Plan mensual'!F316+parametros_recargas!$M$99*'Plan mensual'!F318</f>
        <v>20.8925630116484</v>
      </c>
      <c r="E313" s="26" t="n">
        <f aca="false">parametros_recargas!$E$99*'Plan mensual'!G309+parametros_recargas!$F$99*'Plan mensual'!G310+parametros_recargas!$G$99*'Plan mensual'!G311+parametros_recargas!$H$99*'Plan mensual'!G312+parametros_recargas!$I$99*'Plan mensual'!G313+parametros_recargas!$J$99*'Plan mensual'!G314+parametros_recargas!$K$99*'Plan mensual'!G315+parametros_recargas!$L$99*'Plan mensual'!G316+parametros_recargas!$M$99*'Plan mensual'!G318</f>
        <v>20.8925630116484</v>
      </c>
      <c r="F313" s="26" t="n">
        <f aca="false">parametros_recargas!$E$99*'Plan mensual'!H309+parametros_recargas!$F$99*'Plan mensual'!H310+parametros_recargas!$G$99*'Plan mensual'!H311+parametros_recargas!$H$99*'Plan mensual'!H312+parametros_recargas!$I$99*'Plan mensual'!H313+parametros_recargas!$J$99*'Plan mensual'!H314+parametros_recargas!$K$99*'Plan mensual'!H315+parametros_recargas!$L$99*'Plan mensual'!H316+parametros_recargas!$M$99*'Plan mensual'!H318</f>
        <v>20.8925630116484</v>
      </c>
      <c r="G313" s="26" t="n">
        <f aca="false">parametros_recargas!$E$99*'Plan mensual'!I309+parametros_recargas!$F$99*'Plan mensual'!I310+parametros_recargas!$G$99*'Plan mensual'!I311+parametros_recargas!$H$99*'Plan mensual'!I312+parametros_recargas!$I$99*'Plan mensual'!I313+parametros_recargas!$J$99*'Plan mensual'!I314+parametros_recargas!$K$99*'Plan mensual'!I315+parametros_recargas!$L$99*'Plan mensual'!I316+parametros_recargas!$M$99*'Plan mensual'!I318</f>
        <v>20.8925630116484</v>
      </c>
      <c r="H313" s="26" t="n">
        <f aca="false">parametros_recargas!$E$99*'Plan mensual'!J309+parametros_recargas!$F$99*'Plan mensual'!J310+parametros_recargas!$G$99*'Plan mensual'!J311+parametros_recargas!$H$99*'Plan mensual'!J312+parametros_recargas!$I$99*'Plan mensual'!J313+parametros_recargas!$J$99*'Plan mensual'!J314+parametros_recargas!$K$99*'Plan mensual'!J315+parametros_recargas!$L$99*'Plan mensual'!J316+parametros_recargas!$M$99*'Plan mensual'!J318</f>
        <v>20.8925630116484</v>
      </c>
      <c r="I313" s="26" t="n">
        <f aca="false">parametros_recargas!$E$99*'Plan mensual'!K309+parametros_recargas!$F$99*'Plan mensual'!K310+parametros_recargas!$G$99*'Plan mensual'!K311+parametros_recargas!$H$99*'Plan mensual'!K312+parametros_recargas!$I$99*'Plan mensual'!K313+parametros_recargas!$J$99*'Plan mensual'!K314+parametros_recargas!$K$99*'Plan mensual'!K315+parametros_recargas!$L$99*'Plan mensual'!K316+parametros_recargas!$M$99*'Plan mensual'!K318</f>
        <v>20.8925630116484</v>
      </c>
      <c r="J313" s="26" t="n">
        <f aca="false">parametros_recargas!$E$99*'Plan mensual'!L309+parametros_recargas!$F$99*'Plan mensual'!L310+parametros_recargas!$G$99*'Plan mensual'!L311+parametros_recargas!$H$99*'Plan mensual'!L312+parametros_recargas!$I$99*'Plan mensual'!L313+parametros_recargas!$J$99*'Plan mensual'!L314+parametros_recargas!$K$99*'Plan mensual'!L315+parametros_recargas!$L$99*'Plan mensual'!L316+parametros_recargas!$M$99*'Plan mensual'!L318</f>
        <v>20.8925630116484</v>
      </c>
      <c r="K313" s="26" t="n">
        <f aca="false">parametros_recargas!$E$99*'Plan mensual'!M309+parametros_recargas!$F$99*'Plan mensual'!M310+parametros_recargas!$G$99*'Plan mensual'!M311+parametros_recargas!$H$99*'Plan mensual'!M312+parametros_recargas!$I$99*'Plan mensual'!M313+parametros_recargas!$J$99*'Plan mensual'!M314+parametros_recargas!$K$99*'Plan mensual'!M315+parametros_recargas!$L$99*'Plan mensual'!M316+parametros_recargas!$M$99*'Plan mensual'!M318</f>
        <v>20.8925630116484</v>
      </c>
      <c r="L313" s="26" t="n">
        <f aca="false">parametros_recargas!$E$99*'Plan mensual'!N309+parametros_recargas!$F$99*'Plan mensual'!N310+parametros_recargas!$G$99*'Plan mensual'!N311+parametros_recargas!$H$99*'Plan mensual'!N312+parametros_recargas!$I$99*'Plan mensual'!N313+parametros_recargas!$J$99*'Plan mensual'!N314+parametros_recargas!$K$99*'Plan mensual'!N315+parametros_recargas!$L$99*'Plan mensual'!N316+parametros_recargas!$M$99*'Plan mensual'!N318</f>
        <v>20.8925630116484</v>
      </c>
      <c r="M313" s="26" t="n">
        <f aca="false">parametros_recargas!$E$99*'Plan mensual'!O309+parametros_recargas!$F$99*'Plan mensual'!O310+parametros_recargas!$G$99*'Plan mensual'!O311+parametros_recargas!$H$99*'Plan mensual'!O312+parametros_recargas!$I$99*'Plan mensual'!O313+parametros_recargas!$J$99*'Plan mensual'!O314+parametros_recargas!$K$99*'Plan mensual'!O315+parametros_recargas!$L$99*'Plan mensual'!O316+parametros_recargas!$M$99*'Plan mensual'!O318</f>
        <v>20.8925630116484</v>
      </c>
      <c r="N313" s="8" t="n">
        <f aca="false">SUM(B313:M313)</f>
        <v>250.710756139781</v>
      </c>
      <c r="O313" s="27" t="n">
        <f aca="false">MAX(B313:M313)</f>
        <v>20.8925630116484</v>
      </c>
      <c r="P313" s="13" t="n">
        <f aca="false">O313/parametros_recargas!$B$6</f>
        <v>0.139283753410989</v>
      </c>
    </row>
    <row r="314" customFormat="false" ht="15" hidden="false" customHeight="false" outlineLevel="0" collapsed="false">
      <c r="A314" s="10" t="str">
        <f aca="false">parametros_recargas!$B$100</f>
        <v>Control de peso (CO₂ y halogenados sin recarga)</v>
      </c>
      <c r="B314" s="26" t="n">
        <f aca="false">parametros_recargas!$E$100*'Plan mensual'!D309+parametros_recargas!$F$100*'Plan mensual'!D310+parametros_recargas!$G$100*'Plan mensual'!D311+parametros_recargas!$H$100*'Plan mensual'!D312+parametros_recargas!$I$100*'Plan mensual'!D313+parametros_recargas!$J$100*'Plan mensual'!D314+parametros_recargas!$K$100*'Plan mensual'!D315+parametros_recargas!$L$100*'Plan mensual'!D316+parametros_recargas!$M$100*'Plan mensual'!D318</f>
        <v>929.949862664927</v>
      </c>
      <c r="C314" s="26" t="n">
        <f aca="false">parametros_recargas!$E$100*'Plan mensual'!E309+parametros_recargas!$F$100*'Plan mensual'!E310+parametros_recargas!$G$100*'Plan mensual'!E311+parametros_recargas!$H$100*'Plan mensual'!E312+parametros_recargas!$I$100*'Plan mensual'!E313+parametros_recargas!$J$100*'Plan mensual'!E314+parametros_recargas!$K$100*'Plan mensual'!E315+parametros_recargas!$L$100*'Plan mensual'!E316+parametros_recargas!$M$100*'Plan mensual'!E318</f>
        <v>1430.53119151055</v>
      </c>
      <c r="D314" s="26" t="n">
        <f aca="false">parametros_recargas!$E$100*'Plan mensual'!F309+parametros_recargas!$F$100*'Plan mensual'!F310+parametros_recargas!$G$100*'Plan mensual'!F311+parametros_recargas!$H$100*'Plan mensual'!F312+parametros_recargas!$I$100*'Plan mensual'!F313+parametros_recargas!$J$100*'Plan mensual'!F314+parametros_recargas!$K$100*'Plan mensual'!F315+parametros_recargas!$L$100*'Plan mensual'!F316+parametros_recargas!$M$100*'Plan mensual'!F318</f>
        <v>929.949862664927</v>
      </c>
      <c r="E314" s="26" t="n">
        <f aca="false">parametros_recargas!$E$100*'Plan mensual'!G309+parametros_recargas!$F$100*'Plan mensual'!G310+parametros_recargas!$G$100*'Plan mensual'!G311+parametros_recargas!$H$100*'Plan mensual'!G312+parametros_recargas!$I$100*'Plan mensual'!G313+parametros_recargas!$J$100*'Plan mensual'!G314+parametros_recargas!$K$100*'Plan mensual'!G315+parametros_recargas!$L$100*'Plan mensual'!G316+parametros_recargas!$M$100*'Plan mensual'!G318</f>
        <v>929.949862664927</v>
      </c>
      <c r="F314" s="26" t="n">
        <f aca="false">parametros_recargas!$E$100*'Plan mensual'!H309+parametros_recargas!$F$100*'Plan mensual'!H310+parametros_recargas!$G$100*'Plan mensual'!H311+parametros_recargas!$H$100*'Plan mensual'!H312+parametros_recargas!$I$100*'Plan mensual'!H313+parametros_recargas!$J$100*'Plan mensual'!H314+parametros_recargas!$K$100*'Plan mensual'!H315+parametros_recargas!$L$100*'Plan mensual'!H316+parametros_recargas!$M$100*'Plan mensual'!H318</f>
        <v>929.949862664927</v>
      </c>
      <c r="G314" s="26" t="n">
        <f aca="false">parametros_recargas!$E$100*'Plan mensual'!I309+parametros_recargas!$F$100*'Plan mensual'!I310+parametros_recargas!$G$100*'Plan mensual'!I311+parametros_recargas!$H$100*'Plan mensual'!I312+parametros_recargas!$I$100*'Plan mensual'!I313+parametros_recargas!$J$100*'Plan mensual'!I314+parametros_recargas!$K$100*'Plan mensual'!I315+parametros_recargas!$L$100*'Plan mensual'!I316+parametros_recargas!$M$100*'Plan mensual'!I318</f>
        <v>929.949862664927</v>
      </c>
      <c r="H314" s="26" t="n">
        <f aca="false">parametros_recargas!$E$100*'Plan mensual'!J309+parametros_recargas!$F$100*'Plan mensual'!J310+parametros_recargas!$G$100*'Plan mensual'!J311+parametros_recargas!$H$100*'Plan mensual'!J312+parametros_recargas!$I$100*'Plan mensual'!J313+parametros_recargas!$J$100*'Plan mensual'!J314+parametros_recargas!$K$100*'Plan mensual'!J315+parametros_recargas!$L$100*'Plan mensual'!J316+parametros_recargas!$M$100*'Plan mensual'!J318</f>
        <v>929.949862664927</v>
      </c>
      <c r="I314" s="26" t="n">
        <f aca="false">parametros_recargas!$E$100*'Plan mensual'!K309+parametros_recargas!$F$100*'Plan mensual'!K310+parametros_recargas!$G$100*'Plan mensual'!K311+parametros_recargas!$H$100*'Plan mensual'!K312+parametros_recargas!$I$100*'Plan mensual'!K313+parametros_recargas!$J$100*'Plan mensual'!K314+parametros_recargas!$K$100*'Plan mensual'!K315+parametros_recargas!$L$100*'Plan mensual'!K316+parametros_recargas!$M$100*'Plan mensual'!K318</f>
        <v>929.949862664927</v>
      </c>
      <c r="J314" s="26" t="n">
        <f aca="false">parametros_recargas!$E$100*'Plan mensual'!L309+parametros_recargas!$F$100*'Plan mensual'!L310+parametros_recargas!$G$100*'Plan mensual'!L311+parametros_recargas!$H$100*'Plan mensual'!L312+parametros_recargas!$I$100*'Plan mensual'!L313+parametros_recargas!$J$100*'Plan mensual'!L314+parametros_recargas!$K$100*'Plan mensual'!L315+parametros_recargas!$L$100*'Plan mensual'!L316+parametros_recargas!$M$100*'Plan mensual'!L318</f>
        <v>929.949862664927</v>
      </c>
      <c r="K314" s="26" t="n">
        <f aca="false">parametros_recargas!$E$100*'Plan mensual'!M309+parametros_recargas!$F$100*'Plan mensual'!M310+parametros_recargas!$G$100*'Plan mensual'!M311+parametros_recargas!$H$100*'Plan mensual'!M312+parametros_recargas!$I$100*'Plan mensual'!M313+parametros_recargas!$J$100*'Plan mensual'!M314+parametros_recargas!$K$100*'Plan mensual'!M315+parametros_recargas!$L$100*'Plan mensual'!M316+parametros_recargas!$M$100*'Plan mensual'!M318</f>
        <v>929.949862664927</v>
      </c>
      <c r="L314" s="26" t="n">
        <f aca="false">parametros_recargas!$E$100*'Plan mensual'!N309+parametros_recargas!$F$100*'Plan mensual'!N310+parametros_recargas!$G$100*'Plan mensual'!N311+parametros_recargas!$H$100*'Plan mensual'!N312+parametros_recargas!$I$100*'Plan mensual'!N313+parametros_recargas!$J$100*'Plan mensual'!N314+parametros_recargas!$K$100*'Plan mensual'!N315+parametros_recargas!$L$100*'Plan mensual'!N316+parametros_recargas!$M$100*'Plan mensual'!N318</f>
        <v>929.949862664927</v>
      </c>
      <c r="M314" s="26" t="n">
        <f aca="false">parametros_recargas!$E$100*'Plan mensual'!O309+parametros_recargas!$F$100*'Plan mensual'!O310+parametros_recargas!$G$100*'Plan mensual'!O311+parametros_recargas!$H$100*'Plan mensual'!O312+parametros_recargas!$I$100*'Plan mensual'!O313+parametros_recargas!$J$100*'Plan mensual'!O314+parametros_recargas!$K$100*'Plan mensual'!O315+parametros_recargas!$L$100*'Plan mensual'!O316+parametros_recargas!$M$100*'Plan mensual'!O318</f>
        <v>929.949862664927</v>
      </c>
      <c r="N314" s="8" t="n">
        <f aca="false">SUM(B314:M314)</f>
        <v>11659.9796808247</v>
      </c>
      <c r="O314" s="27" t="n">
        <f aca="false">MAX(B314:M314)</f>
        <v>1430.53119151055</v>
      </c>
      <c r="P314" s="13" t="n">
        <f aca="false">O314/parametros_recargas!$B$6</f>
        <v>9.53687461007034</v>
      </c>
    </row>
    <row r="315" customFormat="false" ht="15" hidden="false" customHeight="false" outlineLevel="0" collapsed="false">
      <c r="A315" s="10" t="str">
        <f aca="false">parametros_recargas!$B$101</f>
        <v>Ensayo de pérdidas</v>
      </c>
      <c r="B315" s="26" t="n">
        <f aca="false">parametros_recargas!$E$101*'Plan mensual'!D309+parametros_recargas!$F$101*'Plan mensual'!D310+parametros_recargas!$G$101*'Plan mensual'!D311+parametros_recargas!$H$101*'Plan mensual'!D312+parametros_recargas!$I$101*'Plan mensual'!D313+parametros_recargas!$J$101*'Plan mensual'!D314+parametros_recargas!$K$101*'Plan mensual'!D315+parametros_recargas!$L$101*'Plan mensual'!D316+parametros_recargas!$M$101*'Plan mensual'!D318</f>
        <v>9730.89194105307</v>
      </c>
      <c r="C315" s="26" t="n">
        <f aca="false">parametros_recargas!$E$101*'Plan mensual'!E309+parametros_recargas!$F$101*'Plan mensual'!E310+parametros_recargas!$G$101*'Plan mensual'!E311+parametros_recargas!$H$101*'Plan mensual'!E312+parametros_recargas!$I$101*'Plan mensual'!E313+parametros_recargas!$J$101*'Plan mensual'!E314+parametros_recargas!$K$101*'Plan mensual'!E315+parametros_recargas!$L$101*'Plan mensual'!E316+parametros_recargas!$M$101*'Plan mensual'!E318</f>
        <v>23950.1688372527</v>
      </c>
      <c r="D315" s="26" t="n">
        <f aca="false">parametros_recargas!$E$101*'Plan mensual'!F309+parametros_recargas!$F$101*'Plan mensual'!F310+parametros_recargas!$G$101*'Plan mensual'!F311+parametros_recargas!$H$101*'Plan mensual'!F312+parametros_recargas!$I$101*'Plan mensual'!F313+parametros_recargas!$J$101*'Plan mensual'!F314+parametros_recargas!$K$101*'Plan mensual'!F315+parametros_recargas!$L$101*'Plan mensual'!F316+parametros_recargas!$M$101*'Plan mensual'!F318</f>
        <v>19997.7992978573</v>
      </c>
      <c r="E315" s="26" t="n">
        <f aca="false">parametros_recargas!$E$101*'Plan mensual'!G309+parametros_recargas!$F$101*'Plan mensual'!G310+parametros_recargas!$G$101*'Plan mensual'!G311+parametros_recargas!$H$101*'Plan mensual'!G312+parametros_recargas!$I$101*'Plan mensual'!G313+parametros_recargas!$J$101*'Plan mensual'!G314+parametros_recargas!$K$101*'Plan mensual'!G315+parametros_recargas!$L$101*'Plan mensual'!G316+parametros_recargas!$M$101*'Plan mensual'!G318</f>
        <v>20077.2213869679</v>
      </c>
      <c r="F315" s="26" t="n">
        <f aca="false">parametros_recargas!$E$101*'Plan mensual'!H309+parametros_recargas!$F$101*'Plan mensual'!H310+parametros_recargas!$G$101*'Plan mensual'!H311+parametros_recargas!$H$101*'Plan mensual'!H312+parametros_recargas!$I$101*'Plan mensual'!H313+parametros_recargas!$J$101*'Plan mensual'!H314+parametros_recargas!$K$101*'Plan mensual'!H315+parametros_recargas!$L$101*'Plan mensual'!H316+parametros_recargas!$M$101*'Plan mensual'!H318</f>
        <v>20080.4534405032</v>
      </c>
      <c r="G315" s="26" t="n">
        <f aca="false">parametros_recargas!$E$101*'Plan mensual'!I309+parametros_recargas!$F$101*'Plan mensual'!I310+parametros_recargas!$G$101*'Plan mensual'!I311+parametros_recargas!$H$101*'Plan mensual'!I312+parametros_recargas!$I$101*'Plan mensual'!I313+parametros_recargas!$J$101*'Plan mensual'!I314+parametros_recargas!$K$101*'Plan mensual'!I315+parametros_recargas!$L$101*'Plan mensual'!I316+parametros_recargas!$M$101*'Plan mensual'!I318</f>
        <v>20041.4660962266</v>
      </c>
      <c r="H315" s="26" t="n">
        <f aca="false">parametros_recargas!$E$101*'Plan mensual'!J309+parametros_recargas!$F$101*'Plan mensual'!J310+parametros_recargas!$G$101*'Plan mensual'!J311+parametros_recargas!$H$101*'Plan mensual'!J312+parametros_recargas!$I$101*'Plan mensual'!J313+parametros_recargas!$J$101*'Plan mensual'!J314+parametros_recargas!$K$101*'Plan mensual'!J315+parametros_recargas!$L$101*'Plan mensual'!J316+parametros_recargas!$M$101*'Plan mensual'!J318</f>
        <v>20161.4572610203</v>
      </c>
      <c r="I315" s="26" t="n">
        <f aca="false">parametros_recargas!$E$101*'Plan mensual'!K309+parametros_recargas!$F$101*'Plan mensual'!K310+parametros_recargas!$G$101*'Plan mensual'!K311+parametros_recargas!$H$101*'Plan mensual'!K312+parametros_recargas!$I$101*'Plan mensual'!K313+parametros_recargas!$J$101*'Plan mensual'!K314+parametros_recargas!$K$101*'Plan mensual'!K315+parametros_recargas!$L$101*'Plan mensual'!K316+parametros_recargas!$M$101*'Plan mensual'!K318</f>
        <v>20072.0774537367</v>
      </c>
      <c r="J315" s="26" t="n">
        <f aca="false">parametros_recargas!$E$101*'Plan mensual'!L309+parametros_recargas!$F$101*'Plan mensual'!L310+parametros_recargas!$G$101*'Plan mensual'!L311+parametros_recargas!$H$101*'Plan mensual'!L312+parametros_recargas!$I$101*'Plan mensual'!L313+parametros_recargas!$J$101*'Plan mensual'!L314+parametros_recargas!$K$101*'Plan mensual'!L315+parametros_recargas!$L$101*'Plan mensual'!L316+parametros_recargas!$M$101*'Plan mensual'!L318</f>
        <v>20085.8557168774</v>
      </c>
      <c r="K315" s="26" t="n">
        <f aca="false">parametros_recargas!$E$101*'Plan mensual'!M309+parametros_recargas!$F$101*'Plan mensual'!M310+parametros_recargas!$G$101*'Plan mensual'!M311+parametros_recargas!$H$101*'Plan mensual'!M312+parametros_recargas!$I$101*'Plan mensual'!M313+parametros_recargas!$J$101*'Plan mensual'!M314+parametros_recargas!$K$101*'Plan mensual'!M315+parametros_recargas!$L$101*'Plan mensual'!M316+parametros_recargas!$M$101*'Plan mensual'!M318</f>
        <v>20038.5522999027</v>
      </c>
      <c r="L315" s="26" t="n">
        <f aca="false">parametros_recargas!$E$101*'Plan mensual'!N309+parametros_recargas!$F$101*'Plan mensual'!N310+parametros_recargas!$G$101*'Plan mensual'!N311+parametros_recargas!$H$101*'Plan mensual'!N312+parametros_recargas!$I$101*'Plan mensual'!N313+parametros_recargas!$J$101*'Plan mensual'!N314+parametros_recargas!$K$101*'Plan mensual'!N315+parametros_recargas!$L$101*'Plan mensual'!N316+parametros_recargas!$M$101*'Plan mensual'!N318</f>
        <v>19839.0691217145</v>
      </c>
      <c r="M315" s="26" t="n">
        <f aca="false">parametros_recargas!$E$101*'Plan mensual'!O309+parametros_recargas!$F$101*'Plan mensual'!O310+parametros_recargas!$G$101*'Plan mensual'!O311+parametros_recargas!$H$101*'Plan mensual'!O312+parametros_recargas!$I$101*'Plan mensual'!O313+parametros_recargas!$J$101*'Plan mensual'!O314+parametros_recargas!$K$101*'Plan mensual'!O315+parametros_recargas!$L$101*'Plan mensual'!O316+parametros_recargas!$M$101*'Plan mensual'!O318</f>
        <v>9193.44342133202</v>
      </c>
      <c r="N315" s="8" t="n">
        <f aca="false">SUM(B315:M315)</f>
        <v>223268.456274444</v>
      </c>
      <c r="O315" s="27" t="n">
        <f aca="false">MAX(B315:M315)</f>
        <v>23950.1688372527</v>
      </c>
      <c r="P315" s="13" t="n">
        <f aca="false">O315/parametros_recargas!$B$6</f>
        <v>159.667792248351</v>
      </c>
    </row>
    <row r="316" customFormat="false" ht="15" hidden="false" customHeight="false" outlineLevel="0" collapsed="false">
      <c r="A316" s="10" t="str">
        <f aca="false">parametros_recargas!$B$102</f>
        <v>Precinto, etiqueta y despacho</v>
      </c>
      <c r="B316" s="26" t="n">
        <f aca="false">parametros_recargas!$E$102*'Plan mensual'!D309+parametros_recargas!$F$102*'Plan mensual'!D310+parametros_recargas!$G$102*'Plan mensual'!D311+parametros_recargas!$H$102*'Plan mensual'!D312+parametros_recargas!$I$102*'Plan mensual'!D313+parametros_recargas!$J$102*'Plan mensual'!D314+parametros_recargas!$K$102*'Plan mensual'!D315+parametros_recargas!$L$102*'Plan mensual'!D316+parametros_recargas!$M$102*'Plan mensual'!D318</f>
        <v>9730.89194105307</v>
      </c>
      <c r="C316" s="26" t="n">
        <f aca="false">parametros_recargas!$E$102*'Plan mensual'!E309+parametros_recargas!$F$102*'Plan mensual'!E310+parametros_recargas!$G$102*'Plan mensual'!E311+parametros_recargas!$H$102*'Plan mensual'!E312+parametros_recargas!$I$102*'Plan mensual'!E313+parametros_recargas!$J$102*'Plan mensual'!E314+parametros_recargas!$K$102*'Plan mensual'!E315+parametros_recargas!$L$102*'Plan mensual'!E316+parametros_recargas!$M$102*'Plan mensual'!E318</f>
        <v>23950.1688372527</v>
      </c>
      <c r="D316" s="26" t="n">
        <f aca="false">parametros_recargas!$E$102*'Plan mensual'!F309+parametros_recargas!$F$102*'Plan mensual'!F310+parametros_recargas!$G$102*'Plan mensual'!F311+parametros_recargas!$H$102*'Plan mensual'!F312+parametros_recargas!$I$102*'Plan mensual'!F313+parametros_recargas!$J$102*'Plan mensual'!F314+parametros_recargas!$K$102*'Plan mensual'!F315+parametros_recargas!$L$102*'Plan mensual'!F316+parametros_recargas!$M$102*'Plan mensual'!F318</f>
        <v>19997.7992978573</v>
      </c>
      <c r="E316" s="26" t="n">
        <f aca="false">parametros_recargas!$E$102*'Plan mensual'!G309+parametros_recargas!$F$102*'Plan mensual'!G310+parametros_recargas!$G$102*'Plan mensual'!G311+parametros_recargas!$H$102*'Plan mensual'!G312+parametros_recargas!$I$102*'Plan mensual'!G313+parametros_recargas!$J$102*'Plan mensual'!G314+parametros_recargas!$K$102*'Plan mensual'!G315+parametros_recargas!$L$102*'Plan mensual'!G316+parametros_recargas!$M$102*'Plan mensual'!G318</f>
        <v>20077.2213869679</v>
      </c>
      <c r="F316" s="26" t="n">
        <f aca="false">parametros_recargas!$E$102*'Plan mensual'!H309+parametros_recargas!$F$102*'Plan mensual'!H310+parametros_recargas!$G$102*'Plan mensual'!H311+parametros_recargas!$H$102*'Plan mensual'!H312+parametros_recargas!$I$102*'Plan mensual'!H313+parametros_recargas!$J$102*'Plan mensual'!H314+parametros_recargas!$K$102*'Plan mensual'!H315+parametros_recargas!$L$102*'Plan mensual'!H316+parametros_recargas!$M$102*'Plan mensual'!H318</f>
        <v>20080.4534405032</v>
      </c>
      <c r="G316" s="26" t="n">
        <f aca="false">parametros_recargas!$E$102*'Plan mensual'!I309+parametros_recargas!$F$102*'Plan mensual'!I310+parametros_recargas!$G$102*'Plan mensual'!I311+parametros_recargas!$H$102*'Plan mensual'!I312+parametros_recargas!$I$102*'Plan mensual'!I313+parametros_recargas!$J$102*'Plan mensual'!I314+parametros_recargas!$K$102*'Plan mensual'!I315+parametros_recargas!$L$102*'Plan mensual'!I316+parametros_recargas!$M$102*'Plan mensual'!I318</f>
        <v>20041.4660962266</v>
      </c>
      <c r="H316" s="26" t="n">
        <f aca="false">parametros_recargas!$E$102*'Plan mensual'!J309+parametros_recargas!$F$102*'Plan mensual'!J310+parametros_recargas!$G$102*'Plan mensual'!J311+parametros_recargas!$H$102*'Plan mensual'!J312+parametros_recargas!$I$102*'Plan mensual'!J313+parametros_recargas!$J$102*'Plan mensual'!J314+parametros_recargas!$K$102*'Plan mensual'!J315+parametros_recargas!$L$102*'Plan mensual'!J316+parametros_recargas!$M$102*'Plan mensual'!J318</f>
        <v>20161.4572610203</v>
      </c>
      <c r="I316" s="26" t="n">
        <f aca="false">parametros_recargas!$E$102*'Plan mensual'!K309+parametros_recargas!$F$102*'Plan mensual'!K310+parametros_recargas!$G$102*'Plan mensual'!K311+parametros_recargas!$H$102*'Plan mensual'!K312+parametros_recargas!$I$102*'Plan mensual'!K313+parametros_recargas!$J$102*'Plan mensual'!K314+parametros_recargas!$K$102*'Plan mensual'!K315+parametros_recargas!$L$102*'Plan mensual'!K316+parametros_recargas!$M$102*'Plan mensual'!K318</f>
        <v>20072.0774537367</v>
      </c>
      <c r="J316" s="26" t="n">
        <f aca="false">parametros_recargas!$E$102*'Plan mensual'!L309+parametros_recargas!$F$102*'Plan mensual'!L310+parametros_recargas!$G$102*'Plan mensual'!L311+parametros_recargas!$H$102*'Plan mensual'!L312+parametros_recargas!$I$102*'Plan mensual'!L313+parametros_recargas!$J$102*'Plan mensual'!L314+parametros_recargas!$K$102*'Plan mensual'!L315+parametros_recargas!$L$102*'Plan mensual'!L316+parametros_recargas!$M$102*'Plan mensual'!L318</f>
        <v>20085.8557168774</v>
      </c>
      <c r="K316" s="26" t="n">
        <f aca="false">parametros_recargas!$E$102*'Plan mensual'!M309+parametros_recargas!$F$102*'Plan mensual'!M310+parametros_recargas!$G$102*'Plan mensual'!M311+parametros_recargas!$H$102*'Plan mensual'!M312+parametros_recargas!$I$102*'Plan mensual'!M313+parametros_recargas!$J$102*'Plan mensual'!M314+parametros_recargas!$K$102*'Plan mensual'!M315+parametros_recargas!$L$102*'Plan mensual'!M316+parametros_recargas!$M$102*'Plan mensual'!M318</f>
        <v>20038.5522999027</v>
      </c>
      <c r="L316" s="26" t="n">
        <f aca="false">parametros_recargas!$E$102*'Plan mensual'!N309+parametros_recargas!$F$102*'Plan mensual'!N310+parametros_recargas!$G$102*'Plan mensual'!N311+parametros_recargas!$H$102*'Plan mensual'!N312+parametros_recargas!$I$102*'Plan mensual'!N313+parametros_recargas!$J$102*'Plan mensual'!N314+parametros_recargas!$K$102*'Plan mensual'!N315+parametros_recargas!$L$102*'Plan mensual'!N316+parametros_recargas!$M$102*'Plan mensual'!N318</f>
        <v>19839.0691217145</v>
      </c>
      <c r="M316" s="26" t="n">
        <f aca="false">parametros_recargas!$E$102*'Plan mensual'!O309+parametros_recargas!$F$102*'Plan mensual'!O310+parametros_recargas!$G$102*'Plan mensual'!O311+parametros_recargas!$H$102*'Plan mensual'!O312+parametros_recargas!$I$102*'Plan mensual'!O313+parametros_recargas!$J$102*'Plan mensual'!O314+parametros_recargas!$K$102*'Plan mensual'!O315+parametros_recargas!$L$102*'Plan mensual'!O316+parametros_recargas!$M$102*'Plan mensual'!O318</f>
        <v>9193.44342133202</v>
      </c>
      <c r="N316" s="8" t="n">
        <f aca="false">SUM(B316:M316)</f>
        <v>223268.456274444</v>
      </c>
      <c r="O316" s="27" t="n">
        <f aca="false">MAX(B316:M316)</f>
        <v>23950.1688372527</v>
      </c>
      <c r="P316" s="13" t="n">
        <f aca="false">O316/parametros_recargas!$B$6</f>
        <v>159.667792248351</v>
      </c>
    </row>
    <row r="317" customFormat="false" ht="15" hidden="false" customHeight="false" outlineLevel="0" collapsed="false">
      <c r="A317" s="10" t="str">
        <f aca="false">parametros_recargas!$B$103</f>
        <v>Inutilización y disposición final</v>
      </c>
      <c r="B317" s="26" t="n">
        <f aca="false">parametros_recargas!$E$103*'Plan mensual'!D309+parametros_recargas!$F$103*'Plan mensual'!D310+parametros_recargas!$G$103*'Plan mensual'!D311+parametros_recargas!$H$103*'Plan mensual'!D312+parametros_recargas!$I$103*'Plan mensual'!D313+parametros_recargas!$J$103*'Plan mensual'!D314+parametros_recargas!$K$103*'Plan mensual'!D315+parametros_recargas!$L$103*'Plan mensual'!D316+parametros_recargas!$M$103*'Plan mensual'!D318</f>
        <v>753.944432084225</v>
      </c>
      <c r="C317" s="26" t="n">
        <f aca="false">parametros_recargas!$E$103*'Plan mensual'!E309+parametros_recargas!$F$103*'Plan mensual'!E310+parametros_recargas!$G$103*'Plan mensual'!E311+parametros_recargas!$H$103*'Plan mensual'!E312+parametros_recargas!$I$103*'Plan mensual'!E313+parametros_recargas!$J$103*'Plan mensual'!E314+parametros_recargas!$K$103*'Plan mensual'!E315+parametros_recargas!$L$103*'Plan mensual'!E316+parametros_recargas!$M$103*'Plan mensual'!E318</f>
        <v>1878.96888496002</v>
      </c>
      <c r="D317" s="26" t="n">
        <f aca="false">parametros_recargas!$E$103*'Plan mensual'!F309+parametros_recargas!$F$103*'Plan mensual'!F310+parametros_recargas!$G$103*'Plan mensual'!F311+parametros_recargas!$H$103*'Plan mensual'!F312+parametros_recargas!$I$103*'Plan mensual'!F313+parametros_recargas!$J$103*'Plan mensual'!F314+parametros_recargas!$K$103*'Plan mensual'!F315+parametros_recargas!$L$103*'Plan mensual'!F316+parametros_recargas!$M$103*'Plan mensual'!F318</f>
        <v>1575.50376069448</v>
      </c>
      <c r="E317" s="26" t="n">
        <f aca="false">parametros_recargas!$E$103*'Plan mensual'!G309+parametros_recargas!$F$103*'Plan mensual'!G310+parametros_recargas!$G$103*'Plan mensual'!G311+parametros_recargas!$H$103*'Plan mensual'!G312+parametros_recargas!$I$103*'Plan mensual'!G313+parametros_recargas!$J$103*'Plan mensual'!G314+parametros_recargas!$K$103*'Plan mensual'!G315+parametros_recargas!$L$103*'Plan mensual'!G316+parametros_recargas!$M$103*'Plan mensual'!G318</f>
        <v>1581.85752782332</v>
      </c>
      <c r="F317" s="26" t="n">
        <f aca="false">parametros_recargas!$E$103*'Plan mensual'!H309+parametros_recargas!$F$103*'Plan mensual'!H310+parametros_recargas!$G$103*'Plan mensual'!H311+parametros_recargas!$H$103*'Plan mensual'!H312+parametros_recargas!$I$103*'Plan mensual'!H313+parametros_recargas!$J$103*'Plan mensual'!H314+parametros_recargas!$K$103*'Plan mensual'!H315+parametros_recargas!$L$103*'Plan mensual'!H316+parametros_recargas!$M$103*'Plan mensual'!H318</f>
        <v>1582.18921210615</v>
      </c>
      <c r="G317" s="26" t="n">
        <f aca="false">parametros_recargas!$E$103*'Plan mensual'!I309+parametros_recargas!$F$103*'Plan mensual'!I310+parametros_recargas!$G$103*'Plan mensual'!I311+parametros_recargas!$H$103*'Plan mensual'!I312+parametros_recargas!$I$103*'Plan mensual'!I313+parametros_recargas!$J$103*'Plan mensual'!I314+parametros_recargas!$K$103*'Plan mensual'!I315+parametros_recargas!$L$103*'Plan mensual'!I316+parametros_recargas!$M$103*'Plan mensual'!I318</f>
        <v>1579.16858443219</v>
      </c>
      <c r="H317" s="26" t="n">
        <f aca="false">parametros_recargas!$E$103*'Plan mensual'!J309+parametros_recargas!$F$103*'Plan mensual'!J310+parametros_recargas!$G$103*'Plan mensual'!J311+parametros_recargas!$H$103*'Plan mensual'!J312+parametros_recargas!$I$103*'Plan mensual'!J313+parametros_recargas!$J$103*'Plan mensual'!J314+parametros_recargas!$K$103*'Plan mensual'!J315+parametros_recargas!$L$103*'Plan mensual'!J316+parametros_recargas!$M$103*'Plan mensual'!J318</f>
        <v>1588.66951774752</v>
      </c>
      <c r="I317" s="26" t="n">
        <f aca="false">parametros_recargas!$E$103*'Plan mensual'!K309+parametros_recargas!$F$103*'Plan mensual'!K310+parametros_recargas!$G$103*'Plan mensual'!K311+parametros_recargas!$H$103*'Plan mensual'!K312+parametros_recargas!$I$103*'Plan mensual'!K313+parametros_recargas!$J$103*'Plan mensual'!K314+parametros_recargas!$K$103*'Plan mensual'!K315+parametros_recargas!$L$103*'Plan mensual'!K316+parametros_recargas!$M$103*'Plan mensual'!K318</f>
        <v>1581.51913316483</v>
      </c>
      <c r="J317" s="26" t="n">
        <f aca="false">parametros_recargas!$E$103*'Plan mensual'!L309+parametros_recargas!$F$103*'Plan mensual'!L310+parametros_recargas!$G$103*'Plan mensual'!L311+parametros_recargas!$H$103*'Plan mensual'!L312+parametros_recargas!$I$103*'Plan mensual'!L313+parametros_recargas!$J$103*'Plan mensual'!L314+parametros_recargas!$K$103*'Plan mensual'!L315+parametros_recargas!$L$103*'Plan mensual'!L316+parametros_recargas!$M$103*'Plan mensual'!L318</f>
        <v>1582.63401415017</v>
      </c>
      <c r="K317" s="26" t="n">
        <f aca="false">parametros_recargas!$E$103*'Plan mensual'!M309+parametros_recargas!$F$103*'Plan mensual'!M310+parametros_recargas!$G$103*'Plan mensual'!M311+parametros_recargas!$H$103*'Plan mensual'!M312+parametros_recargas!$I$103*'Plan mensual'!M313+parametros_recargas!$J$103*'Plan mensual'!M314+parametros_recargas!$K$103*'Plan mensual'!M315+parametros_recargas!$L$103*'Plan mensual'!M316+parametros_recargas!$M$103*'Plan mensual'!M318</f>
        <v>1578.94810066037</v>
      </c>
      <c r="L317" s="26" t="n">
        <f aca="false">parametros_recargas!$E$103*'Plan mensual'!N309+parametros_recargas!$F$103*'Plan mensual'!N310+parametros_recargas!$G$103*'Plan mensual'!N311+parametros_recargas!$H$103*'Plan mensual'!N312+parametros_recargas!$I$103*'Plan mensual'!N313+parametros_recargas!$J$103*'Plan mensual'!N314+parametros_recargas!$K$103*'Plan mensual'!N315+parametros_recargas!$L$103*'Plan mensual'!N316+parametros_recargas!$M$103*'Plan mensual'!N318</f>
        <v>1563.0751863394</v>
      </c>
      <c r="M317" s="26" t="n">
        <f aca="false">parametros_recargas!$E$103*'Plan mensual'!O309+parametros_recargas!$F$103*'Plan mensual'!O310+parametros_recargas!$G$103*'Plan mensual'!O311+parametros_recargas!$H$103*'Plan mensual'!O312+parametros_recargas!$I$103*'Plan mensual'!O313+parametros_recargas!$J$103*'Plan mensual'!O314+parametros_recargas!$K$103*'Plan mensual'!O315+parametros_recargas!$L$103*'Plan mensual'!O316+parametros_recargas!$M$103*'Plan mensual'!O318</f>
        <v>710.81493044063</v>
      </c>
      <c r="N317" s="8" t="n">
        <f aca="false">SUM(B317:M317)</f>
        <v>17557.2932846033</v>
      </c>
      <c r="O317" s="27" t="n">
        <f aca="false">MAX(B317:M317)</f>
        <v>1878.96888496002</v>
      </c>
      <c r="P317" s="13" t="n">
        <f aca="false">O317/parametros_recargas!$B$6</f>
        <v>12.5264592330668</v>
      </c>
    </row>
    <row r="318" customFormat="false" ht="15" hidden="false" customHeight="false" outlineLevel="0" collapsed="false">
      <c r="A318" s="10" t="str">
        <f aca="false">parametros_recargas!$B$104</f>
        <v>PH de mangueras (CO₂ y rodantes)</v>
      </c>
      <c r="B318" s="26" t="n">
        <f aca="false">'Plan mensual'!D317</f>
        <v>593.828280351618</v>
      </c>
      <c r="C318" s="26" t="n">
        <f aca="false">'Plan mensual'!E317</f>
        <v>659.15035087835</v>
      </c>
      <c r="D318" s="26" t="n">
        <f aca="false">'Plan mensual'!F317</f>
        <v>593.828280351618</v>
      </c>
      <c r="E318" s="26" t="n">
        <f aca="false">'Plan mensual'!G317</f>
        <v>593.828280351618</v>
      </c>
      <c r="F318" s="26" t="n">
        <f aca="false">'Plan mensual'!H317</f>
        <v>593.828280351618</v>
      </c>
      <c r="G318" s="26" t="n">
        <f aca="false">'Plan mensual'!I317</f>
        <v>593.828280351618</v>
      </c>
      <c r="H318" s="26" t="n">
        <f aca="false">'Plan mensual'!J317</f>
        <v>593.828280351618</v>
      </c>
      <c r="I318" s="26" t="n">
        <f aca="false">'Plan mensual'!K317</f>
        <v>593.828280351618</v>
      </c>
      <c r="J318" s="26" t="n">
        <f aca="false">'Plan mensual'!L317</f>
        <v>593.828280351618</v>
      </c>
      <c r="K318" s="26" t="n">
        <f aca="false">'Plan mensual'!M317</f>
        <v>593.828280351618</v>
      </c>
      <c r="L318" s="26" t="n">
        <f aca="false">'Plan mensual'!N317</f>
        <v>593.828280351618</v>
      </c>
      <c r="M318" s="26" t="n">
        <f aca="false">'Plan mensual'!O317</f>
        <v>593.828280351618</v>
      </c>
      <c r="N318" s="8" t="n">
        <f aca="false">SUM(B318:M318)</f>
        <v>7191.26143474615</v>
      </c>
      <c r="O318" s="27" t="n">
        <f aca="false">MAX(B318:M318)</f>
        <v>659.15035087835</v>
      </c>
      <c r="P318" s="13" t="n">
        <f aca="false">O318/parametros_recargas!$B$6</f>
        <v>4.39433567252234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11" min="2" style="0" width="10"/>
    <col collapsed="false" customWidth="true" hidden="false" outlineLevel="0" max="12" min="12" style="0" width="13"/>
    <col collapsed="false" customWidth="true" hidden="false" outlineLevel="0" max="13" min="13" style="0" width="3"/>
    <col collapsed="false" customWidth="true" hidden="false" outlineLevel="0" max="14" min="14" style="0" width="30"/>
    <col collapsed="false" customWidth="true" hidden="false" outlineLevel="0" max="15" min="15" style="0" width="60"/>
  </cols>
  <sheetData>
    <row r="1" customFormat="false" ht="23.85" hidden="false" customHeight="false" outlineLevel="0" collapsed="false">
      <c r="A1" s="6" t="s">
        <v>447</v>
      </c>
      <c r="B1" s="6" t="n">
        <v>2026</v>
      </c>
      <c r="C1" s="6" t="n">
        <v>2027</v>
      </c>
      <c r="D1" s="6" t="n">
        <v>2028</v>
      </c>
      <c r="E1" s="6" t="n">
        <v>2029</v>
      </c>
      <c r="F1" s="6" t="n">
        <v>2030</v>
      </c>
      <c r="G1" s="6" t="n">
        <v>2031</v>
      </c>
      <c r="H1" s="6" t="n">
        <v>2032</v>
      </c>
      <c r="I1" s="6" t="n">
        <v>2033</v>
      </c>
      <c r="J1" s="6" t="n">
        <v>2034</v>
      </c>
      <c r="K1" s="6" t="n">
        <v>2035</v>
      </c>
      <c r="L1" s="4" t="s">
        <v>225</v>
      </c>
      <c r="N1" s="6" t="s">
        <v>448</v>
      </c>
      <c r="O1" s="6" t="s">
        <v>449</v>
      </c>
    </row>
    <row r="2" customFormat="false" ht="15" hidden="false" customHeight="false" outlineLevel="0" collapsed="false">
      <c r="A2" s="10" t="str">
        <f aca="false">parametros_recargas!$B$76</f>
        <v>Recepción y registro</v>
      </c>
      <c r="B2" s="15" t="n">
        <f aca="false">IF(parametros_recargas!$O$76*B34*B66=0,0,'Demanda por puesto'!$P$2/(parametros_recargas!$O$76*B34*B66))</f>
        <v>0.0612253980763488</v>
      </c>
      <c r="C2" s="15" t="n">
        <f aca="false">IF(parametros_recargas!$O$76*C34*C66=0,0,'Demanda por puesto'!$P$34/(parametros_recargas!$O$76*C34*C66))</f>
        <v>0.272821430559011</v>
      </c>
      <c r="D2" s="15" t="n">
        <f aca="false">IF(parametros_recargas!$O$76*D34*D66=0,0,'Demanda por puesto'!$P$66/(parametros_recargas!$O$76*D34*D66))</f>
        <v>0.556344999808513</v>
      </c>
      <c r="E2" s="15" t="n">
        <f aca="false">IF(parametros_recargas!$O$76*E34*E66=0,0,'Demanda por puesto'!$P$98/(parametros_recargas!$O$76*E34*E66))</f>
        <v>0.515709557568565</v>
      </c>
      <c r="F2" s="15" t="n">
        <f aca="false">IF(parametros_recargas!$O$76*F34*F66=0,0,'Demanda por puesto'!$P$130/(parametros_recargas!$O$76*F34*F66))</f>
        <v>0.75667909423501</v>
      </c>
      <c r="G2" s="15" t="n">
        <f aca="false">IF(parametros_recargas!$O$76*G34*G66=0,0,'Demanda por puesto'!$P$162/(parametros_recargas!$O$76*G34*G66))</f>
        <v>0.683974250892807</v>
      </c>
      <c r="H2" s="15" t="n">
        <f aca="false">IF(parametros_recargas!$O$76*H34*H66=0,0,'Demanda por puesto'!$P$194/(parametros_recargas!$O$76*H34*H66))</f>
        <v>0.423737219797201</v>
      </c>
      <c r="I2" s="15" t="n">
        <f aca="false">IF(parametros_recargas!$O$76*I34*I66=0,0,'Demanda por puesto'!$P$226/(parametros_recargas!$O$76*I34*I66))</f>
        <v>0.480145025801483</v>
      </c>
      <c r="J2" s="15" t="n">
        <f aca="false">IF(parametros_recargas!$O$76*J34*J66=0,0,'Demanda por puesto'!$P$258/(parametros_recargas!$O$76*J34*J66))</f>
        <v>0.51691906422571</v>
      </c>
      <c r="K2" s="15" t="n">
        <f aca="false">IF(parametros_recargas!$O$76*K34*K66=0,0,'Demanda por puesto'!$P$290/(parametros_recargas!$O$76*K34*K66))</f>
        <v>0.554402056417886</v>
      </c>
      <c r="L2" s="10" t="str">
        <f aca="false">parametros_recargas!$D$76</f>
        <v>Manual</v>
      </c>
      <c r="N2" s="5" t="s">
        <v>450</v>
      </c>
      <c r="O2" s="5" t="s">
        <v>451</v>
      </c>
    </row>
    <row r="3" customFormat="false" ht="15" hidden="false" customHeight="false" outlineLevel="0" collapsed="false">
      <c r="A3" s="10" t="str">
        <f aca="false">parametros_recargas!$B$77</f>
        <v>Inspección visual</v>
      </c>
      <c r="B3" s="15" t="n">
        <f aca="false">IF(parametros_recargas!$O$77*B35*B67=0,0,'Demanda por puesto'!$P$3/(parametros_recargas!$O$77*B35*B67))</f>
        <v>0.0727791016645352</v>
      </c>
      <c r="C3" s="15" t="n">
        <f aca="false">IF(parametros_recargas!$O$77*C35*C67=0,0,'Demanda por puesto'!$P$35/(parametros_recargas!$O$77*C35*C67))</f>
        <v>0.326091385241772</v>
      </c>
      <c r="D3" s="15" t="n">
        <f aca="false">IF(parametros_recargas!$O$77*D35*D67=0,0,'Demanda por puesto'!$P$67/(parametros_recargas!$O$77*D35*D67))</f>
        <v>0.665248681279778</v>
      </c>
      <c r="E3" s="15" t="n">
        <f aca="false">IF(parametros_recargas!$O$77*E35*E67=0,0,'Demanda por puesto'!$P$99/(parametros_recargas!$O$77*E35*E67))</f>
        <v>0.617007285698986</v>
      </c>
      <c r="F3" s="15" t="n">
        <f aca="false">IF(parametros_recargas!$O$77*F35*F67=0,0,'Demanda por puesto'!$P$131/(parametros_recargas!$O$77*F35*F67))</f>
        <v>0.604060016755807</v>
      </c>
      <c r="G3" s="15" t="n">
        <f aca="false">IF(parametros_recargas!$O$77*G35*G67=0,0,'Demanda por puesto'!$P$163/(parametros_recargas!$O$77*G35*G67))</f>
        <v>0.819297119111202</v>
      </c>
      <c r="H3" s="15" t="n">
        <f aca="false">IF(parametros_recargas!$O$77*H35*H67=0,0,'Demanda por puesto'!$P$195/(parametros_recargas!$O$77*H35*H67))</f>
        <v>0.50805171698042</v>
      </c>
      <c r="I3" s="15" t="n">
        <f aca="false">IF(parametros_recargas!$O$77*I35*I67=0,0,'Demanda por puesto'!$P$227/(parametros_recargas!$O$77*I35*I67))</f>
        <v>0.575687455657818</v>
      </c>
      <c r="J3" s="15" t="n">
        <f aca="false">IF(parametros_recargas!$O$77*J35*J67=0,0,'Demanda por puesto'!$P$259/(parametros_recargas!$O$77*J35*J67))</f>
        <v>0.619838543562175</v>
      </c>
      <c r="K3" s="15" t="n">
        <f aca="false">IF(parametros_recargas!$O$77*K35*K67=0,0,'Demanda por puesto'!$P$291/(parametros_recargas!$O$77*K35*K67))</f>
        <v>0.664810516655865</v>
      </c>
      <c r="L3" s="10" t="str">
        <f aca="false">parametros_recargas!$D$77</f>
        <v>Manual</v>
      </c>
      <c r="N3" s="29" t="s">
        <v>452</v>
      </c>
      <c r="O3" s="5" t="s">
        <v>453</v>
      </c>
    </row>
    <row r="4" customFormat="false" ht="23.85" hidden="false" customHeight="false" outlineLevel="0" collapsed="false">
      <c r="A4" s="10" t="str">
        <f aca="false">parametros_recargas!$B$78</f>
        <v>Descarga ABC — ruta recuperable</v>
      </c>
      <c r="B4" s="15" t="n">
        <f aca="false">IF(parametros_recargas!$O$78*B36*B68=0,0,'Demanda por puesto'!$P$4/(parametros_recargas!$O$78*B36*B68))</f>
        <v>0.0501685319648478</v>
      </c>
      <c r="C4" s="15" t="n">
        <f aca="false">IF(parametros_recargas!$O$78*C36*C68=0,0,'Demanda por puesto'!$P$36/(parametros_recargas!$O$78*C36*C68))</f>
        <v>0.226210740640683</v>
      </c>
      <c r="D4" s="15" t="n">
        <f aca="false">IF(parametros_recargas!$O$78*D36*D68=0,0,'Demanda por puesto'!$P$68/(parametros_recargas!$O$78*D36*D68))</f>
        <v>0.454042882965713</v>
      </c>
      <c r="E4" s="15" t="n">
        <f aca="false">IF(parametros_recargas!$O$78*E36*E68=0,0,'Demanda por puesto'!$P$100/(parametros_recargas!$O$78*E36*E68))</f>
        <v>0.842102622495889</v>
      </c>
      <c r="F4" s="15" t="n">
        <f aca="false">IF(parametros_recargas!$O$78*F36*F68=0,0,'Demanda por puesto'!$P$132/(parametros_recargas!$O$78*F36*F68))</f>
        <v>0.62031613652083</v>
      </c>
      <c r="G4" s="15" t="n">
        <f aca="false">IF(parametros_recargas!$O$78*G36*G68=0,0,'Demanda por puesto'!$P$164/(parametros_recargas!$O$78*G36*G68))</f>
        <v>0.844586303258714</v>
      </c>
      <c r="H4" s="15" t="n">
        <f aca="false">IF(parametros_recargas!$O$78*H36*H68=0,0,'Demanda por puesto'!$P$196/(parametros_recargas!$O$78*H36*H68))</f>
        <v>0.524611509451225</v>
      </c>
      <c r="I4" s="15" t="n">
        <f aca="false">IF(parametros_recargas!$O$78*I36*I68=0,0,'Demanda por puesto'!$P$228/(parametros_recargas!$O$78*I36*I68))</f>
        <v>0.596323293962779</v>
      </c>
      <c r="J4" s="15" t="n">
        <f aca="false">IF(parametros_recargas!$O$78*J36*J68=0,0,'Demanda por puesto'!$P$260/(parametros_recargas!$O$78*J36*J68))</f>
        <v>0.641519971340974</v>
      </c>
      <c r="K4" s="15" t="n">
        <f aca="false">IF(parametros_recargas!$O$78*K36*K68=0,0,'Demanda por puesto'!$P$292/(parametros_recargas!$O$78*K36*K68))</f>
        <v>0.687602124259043</v>
      </c>
      <c r="L4" s="10" t="str">
        <f aca="false">parametros_recargas!$D$78</f>
        <v>Máquina</v>
      </c>
      <c r="N4" s="30" t="s">
        <v>454</v>
      </c>
      <c r="O4" s="5" t="s">
        <v>455</v>
      </c>
    </row>
    <row r="5" customFormat="false" ht="15" hidden="false" customHeight="false" outlineLevel="0" collapsed="false">
      <c r="A5" s="10" t="str">
        <f aca="false">parametros_recargas!$B$79</f>
        <v>Descarga ABC — ruta descarte</v>
      </c>
      <c r="B5" s="15" t="n">
        <f aca="false">IF(parametros_recargas!$O$79*B37*B69=0,0,'Demanda por puesto'!$P$5/(parametros_recargas!$O$79*B37*B69))</f>
        <v>0.00557428132942754</v>
      </c>
      <c r="C5" s="15" t="n">
        <f aca="false">IF(parametros_recargas!$O$79*C37*C69=0,0,'Demanda por puesto'!$P$37/(parametros_recargas!$O$79*C37*C69))</f>
        <v>0.0251345267378536</v>
      </c>
      <c r="D5" s="15" t="n">
        <f aca="false">IF(parametros_recargas!$O$79*D37*D69=0,0,'Demanda por puesto'!$P$69/(parametros_recargas!$O$79*D37*D69))</f>
        <v>0.0504492092184126</v>
      </c>
      <c r="E5" s="15" t="n">
        <f aca="false">IF(parametros_recargas!$O$79*E37*E69=0,0,'Demanda por puesto'!$P$101/(parametros_recargas!$O$79*E37*E69))</f>
        <v>0.0935669580550988</v>
      </c>
      <c r="F5" s="15" t="n">
        <f aca="false">IF(parametros_recargas!$O$79*F37*F69=0,0,'Demanda por puesto'!$P$133/(parametros_recargas!$O$79*F37*F69))</f>
        <v>0.137848030337962</v>
      </c>
      <c r="G5" s="15" t="n">
        <f aca="false">IF(parametros_recargas!$O$79*G37*G69=0,0,'Demanda por puesto'!$P$165/(parametros_recargas!$O$79*G37*G69))</f>
        <v>0.187685845168603</v>
      </c>
      <c r="H5" s="15" t="n">
        <f aca="false">IF(parametros_recargas!$O$79*H37*H69=0,0,'Demanda por puesto'!$P$197/(parametros_recargas!$O$79*H37*H69))</f>
        <v>0.233160670867211</v>
      </c>
      <c r="I5" s="15" t="n">
        <f aca="false">IF(parametros_recargas!$O$79*I37*I69=0,0,'Demanda por puesto'!$P$229/(parametros_recargas!$O$79*I37*I69))</f>
        <v>0.265032575094568</v>
      </c>
      <c r="J5" s="15" t="n">
        <f aca="false">IF(parametros_recargas!$O$79*J37*J69=0,0,'Demanda por puesto'!$P$261/(parametros_recargas!$O$79*J37*J69))</f>
        <v>0.285119987262655</v>
      </c>
      <c r="K5" s="15" t="n">
        <f aca="false">IF(parametros_recargas!$O$79*K37*K69=0,0,'Demanda por puesto'!$P$293/(parametros_recargas!$O$79*K37*K69))</f>
        <v>0.30560094411513</v>
      </c>
      <c r="L5" s="10" t="str">
        <f aca="false">parametros_recargas!$D$79</f>
        <v>Máquina</v>
      </c>
      <c r="N5" s="31" t="s">
        <v>456</v>
      </c>
      <c r="O5" s="5" t="s">
        <v>457</v>
      </c>
    </row>
    <row r="6" customFormat="false" ht="15" hidden="false" customHeight="false" outlineLevel="0" collapsed="false">
      <c r="A6" s="10" t="str">
        <f aca="false">parametros_recargas!$B$80</f>
        <v>Descarga BC</v>
      </c>
      <c r="B6" s="15" t="n">
        <f aca="false">IF(parametros_recargas!$O$80*B38*B70=0,0,'Demanda por puesto'!$P$6/(parametros_recargas!$O$80*B38*B70))</f>
        <v>4.7178847259592E-005</v>
      </c>
      <c r="C6" s="15" t="n">
        <f aca="false">IF(parametros_recargas!$O$80*C38*C70=0,0,'Demanda por puesto'!$P$38/(parametros_recargas!$O$80*C38*C70))</f>
        <v>0.000337741482927102</v>
      </c>
      <c r="D6" s="15" t="n">
        <f aca="false">IF(parametros_recargas!$O$80*D38*D70=0,0,'Demanda por puesto'!$P$70/(parametros_recargas!$O$80*D38*D70))</f>
        <v>0.000626698256799208</v>
      </c>
      <c r="E6" s="15" t="n">
        <f aca="false">IF(parametros_recargas!$O$80*E38*E70=0,0,'Demanda por puesto'!$P$102/(parametros_recargas!$O$80*E38*E70))</f>
        <v>0.00112710151740818</v>
      </c>
      <c r="F6" s="15" t="n">
        <f aca="false">IF(parametros_recargas!$O$80*F38*F70=0,0,'Demanda por puesto'!$P$134/(parametros_recargas!$O$80*F38*F70))</f>
        <v>0.00155619870415869</v>
      </c>
      <c r="G6" s="15" t="n">
        <f aca="false">IF(parametros_recargas!$O$80*G38*G70=0,0,'Demanda por puesto'!$P$166/(parametros_recargas!$O$80*G38*G70))</f>
        <v>0.00206669649232655</v>
      </c>
      <c r="H6" s="15" t="n">
        <f aca="false">IF(parametros_recargas!$O$80*H38*H70=0,0,'Demanda por puesto'!$P$198/(parametros_recargas!$O$80*H38*H70))</f>
        <v>0.00261105838152931</v>
      </c>
      <c r="I6" s="15" t="n">
        <f aca="false">IF(parametros_recargas!$O$80*I38*I70=0,0,'Demanda por puesto'!$P$230/(parametros_recargas!$O$80*I38*I70))</f>
        <v>0.00287199370340202</v>
      </c>
      <c r="J6" s="15" t="n">
        <f aca="false">IF(parametros_recargas!$O$80*J38*J70=0,0,'Demanda por puesto'!$P$262/(parametros_recargas!$O$80*J38*J70))</f>
        <v>0.00313024492914384</v>
      </c>
      <c r="K6" s="15" t="n">
        <f aca="false">IF(parametros_recargas!$O$80*K38*K70=0,0,'Demanda por puesto'!$P$294/(parametros_recargas!$O$80*K38*K70))</f>
        <v>0.00340319829999222</v>
      </c>
      <c r="L6" s="10" t="str">
        <f aca="false">parametros_recargas!$D$80</f>
        <v>Máquina</v>
      </c>
      <c r="N6" s="32" t="s">
        <v>458</v>
      </c>
      <c r="O6" s="5" t="s">
        <v>459</v>
      </c>
    </row>
    <row r="7" customFormat="false" ht="15" hidden="false" customHeight="false" outlineLevel="0" collapsed="false">
      <c r="A7" s="10" t="str">
        <f aca="false">parametros_recargas!$B$81</f>
        <v>Descarga de agua / AFFF / sales K</v>
      </c>
      <c r="B7" s="15" t="n">
        <f aca="false">IF(parametros_recargas!$O$81*B39*B71=0,0,'Demanda por puesto'!$P$7/(parametros_recargas!$O$81*B39*B71))</f>
        <v>0.00405486802941442</v>
      </c>
      <c r="C7" s="15" t="n">
        <f aca="false">IF(parametros_recargas!$O$81*C39*C71=0,0,'Demanda por puesto'!$P$39/(parametros_recargas!$O$81*C39*C71))</f>
        <v>0.0192388267201873</v>
      </c>
      <c r="D7" s="15" t="n">
        <f aca="false">IF(parametros_recargas!$O$81*D39*D71=0,0,'Demanda por puesto'!$P$71/(parametros_recargas!$O$81*D39*D71))</f>
        <v>0.0419162073624685</v>
      </c>
      <c r="E7" s="15" t="n">
        <f aca="false">IF(parametros_recargas!$O$81*E39*E71=0,0,'Demanda por puesto'!$P$103/(parametros_recargas!$O$81*E39*E71))</f>
        <v>0.0759099528165383</v>
      </c>
      <c r="F7" s="15" t="n">
        <f aca="false">IF(parametros_recargas!$O$81*F39*F71=0,0,'Demanda por puesto'!$P$135/(parametros_recargas!$O$81*F39*F71))</f>
        <v>0.109164290136851</v>
      </c>
      <c r="G7" s="15" t="n">
        <f aca="false">IF(parametros_recargas!$O$81*G39*G71=0,0,'Demanda por puesto'!$P$167/(parametros_recargas!$O$81*G39*G71))</f>
        <v>0.14443244678525</v>
      </c>
      <c r="H7" s="15" t="n">
        <f aca="false">IF(parametros_recargas!$O$81*H39*H71=0,0,'Demanda por puesto'!$P$199/(parametros_recargas!$O$81*H39*H71))</f>
        <v>0.177448003514883</v>
      </c>
      <c r="I7" s="15" t="n">
        <f aca="false">IF(parametros_recargas!$O$81*I39*I71=0,0,'Demanda por puesto'!$P$231/(parametros_recargas!$O$81*I39*I71))</f>
        <v>0.198118141898897</v>
      </c>
      <c r="J7" s="15" t="n">
        <f aca="false">IF(parametros_recargas!$O$81*J39*J71=0,0,'Demanda por puesto'!$P$263/(parametros_recargas!$O$81*J39*J71))</f>
        <v>0.214648451362497</v>
      </c>
      <c r="K7" s="15" t="n">
        <f aca="false">IF(parametros_recargas!$O$81*K39*K71=0,0,'Demanda por puesto'!$P$295/(parametros_recargas!$O$81*K39*K71))</f>
        <v>0.23138651487704</v>
      </c>
      <c r="L7" s="10" t="str">
        <f aca="false">parametros_recargas!$D$81</f>
        <v>Máquina</v>
      </c>
      <c r="N7" s="33" t="s">
        <v>460</v>
      </c>
      <c r="O7" s="5" t="s">
        <v>461</v>
      </c>
    </row>
    <row r="8" customFormat="false" ht="15" hidden="false" customHeight="false" outlineLevel="0" collapsed="false">
      <c r="A8" s="10" t="str">
        <f aca="false">parametros_recargas!$B$82</f>
        <v>Recuperación de CO₂</v>
      </c>
      <c r="B8" s="15" t="n">
        <f aca="false">IF(parametros_recargas!$O$82*B40*B72=0,0,'Demanda por puesto'!$P$8/(parametros_recargas!$O$82*B40*B72))</f>
        <v>0.00461043135891705</v>
      </c>
      <c r="C8" s="15" t="n">
        <f aca="false">IF(parametros_recargas!$O$82*C40*C72=0,0,'Demanda por puesto'!$P$40/(parametros_recargas!$O$82*C40*C72))</f>
        <v>0.0184267606849625</v>
      </c>
      <c r="D8" s="15" t="n">
        <f aca="false">IF(parametros_recargas!$O$82*D40*D72=0,0,'Demanda por puesto'!$P$72/(parametros_recargas!$O$82*D40*D72))</f>
        <v>0.0423288281458335</v>
      </c>
      <c r="E8" s="15" t="n">
        <f aca="false">IF(parametros_recargas!$O$82*E40*E72=0,0,'Demanda por puesto'!$P$104/(parametros_recargas!$O$82*E40*E72))</f>
        <v>0.0800313276573144</v>
      </c>
      <c r="F8" s="15" t="n">
        <f aca="false">IF(parametros_recargas!$O$82*F40*F72=0,0,'Demanda por puesto'!$P$136/(parametros_recargas!$O$82*F40*F72))</f>
        <v>0.115780260662028</v>
      </c>
      <c r="G8" s="15" t="n">
        <f aca="false">IF(parametros_recargas!$O$82*G40*G72=0,0,'Demanda por puesto'!$P$168/(parametros_recargas!$O$82*G40*G72))</f>
        <v>0.154082098166937</v>
      </c>
      <c r="H8" s="15" t="n">
        <f aca="false">IF(parametros_recargas!$O$82*H40*H72=0,0,'Demanda por puesto'!$P$200/(parametros_recargas!$O$82*H40*H72))</f>
        <v>0.189010808113475</v>
      </c>
      <c r="I8" s="15" t="n">
        <f aca="false">IF(parametros_recargas!$O$82*I40*I72=0,0,'Demanda por puesto'!$P$232/(parametros_recargas!$O$82*I40*I72))</f>
        <v>0.209771548504515</v>
      </c>
      <c r="J8" s="15" t="n">
        <f aca="false">IF(parametros_recargas!$O$82*J40*J72=0,0,'Demanda por puesto'!$P$264/(parametros_recargas!$O$82*J40*J72))</f>
        <v>0.22669904006772</v>
      </c>
      <c r="K8" s="15" t="n">
        <f aca="false">IF(parametros_recargas!$O$82*K40*K72=0,0,'Demanda por puesto'!$P$296/(parametros_recargas!$O$82*K40*K72))</f>
        <v>0.243850253893968</v>
      </c>
      <c r="L8" s="10" t="str">
        <f aca="false">parametros_recargas!$D$82</f>
        <v>Máquina</v>
      </c>
    </row>
    <row r="9" customFormat="false" ht="15" hidden="false" customHeight="false" outlineLevel="0" collapsed="false">
      <c r="A9" s="10" t="str">
        <f aca="false">parametros_recargas!$B$83</f>
        <v>Recuperación de halogenado</v>
      </c>
      <c r="B9" s="15" t="n">
        <f aca="false">IF(parametros_recargas!$O$83*B41*B73=0,0,'Demanda por puesto'!$P$9/(parametros_recargas!$O$83*B41*B73))</f>
        <v>0.000253568059879656</v>
      </c>
      <c r="C9" s="15" t="n">
        <f aca="false">IF(parametros_recargas!$O$83*C41*C73=0,0,'Demanda por puesto'!$P$41/(parametros_recargas!$O$83*C41*C73))</f>
        <v>0.0015860054656634</v>
      </c>
      <c r="D9" s="15" t="n">
        <f aca="false">IF(parametros_recargas!$O$83*D41*D73=0,0,'Demanda por puesto'!$P$73/(parametros_recargas!$O$83*D41*D73))</f>
        <v>0.00326537587859197</v>
      </c>
      <c r="E9" s="15" t="n">
        <f aca="false">IF(parametros_recargas!$O$83*E41*E73=0,0,'Demanda por puesto'!$P$105/(parametros_recargas!$O$83*E41*E73))</f>
        <v>0.00565617940244105</v>
      </c>
      <c r="F9" s="15" t="n">
        <f aca="false">IF(parametros_recargas!$O$83*F41*F73=0,0,'Demanda por puesto'!$P$137/(parametros_recargas!$O$83*F41*F73))</f>
        <v>0.00815196438495929</v>
      </c>
      <c r="G9" s="15" t="n">
        <f aca="false">IF(parametros_recargas!$O$83*G41*G73=0,0,'Demanda por puesto'!$P$169/(parametros_recargas!$O$83*G41*G73))</f>
        <v>0.0107068286719527</v>
      </c>
      <c r="H9" s="15" t="n">
        <f aca="false">IF(parametros_recargas!$O$83*H41*H73=0,0,'Demanda por puesto'!$P$201/(parametros_recargas!$O$83*H41*H73))</f>
        <v>0.0134102316037406</v>
      </c>
      <c r="I9" s="15" t="n">
        <f aca="false">IF(parametros_recargas!$O$83*I41*I73=0,0,'Demanda por puesto'!$P$233/(parametros_recargas!$O$83*I41*I73))</f>
        <v>0.0151592404961957</v>
      </c>
      <c r="J9" s="15" t="n">
        <f aca="false">IF(parametros_recargas!$O$83*J41*J73=0,0,'Demanda por puesto'!$P$265/(parametros_recargas!$O$83*J41*J73))</f>
        <v>0.0165695680319635</v>
      </c>
      <c r="K9" s="15" t="n">
        <f aca="false">IF(parametros_recargas!$O$83*K41*K73=0,0,'Demanda por puesto'!$P$297/(parametros_recargas!$O$83*K41*K73))</f>
        <v>0.0179908181489194</v>
      </c>
      <c r="L9" s="10" t="str">
        <f aca="false">parametros_recargas!$D$83</f>
        <v>Máquina</v>
      </c>
      <c r="N9" s="4" t="s">
        <v>97</v>
      </c>
      <c r="O9" s="20" t="n">
        <f aca="false">parametros_recargas!B7</f>
        <v>0.9</v>
      </c>
    </row>
    <row r="10" customFormat="false" ht="15" hidden="false" customHeight="false" outlineLevel="0" collapsed="false">
      <c r="A10" s="10" t="str">
        <f aca="false">parametros_recargas!$B$84</f>
        <v>Desarme y limpieza — recinto</v>
      </c>
      <c r="B10" s="15" t="n">
        <f aca="false">IF(parametros_recargas!$O$84*B42*B74=0,0,'Demanda por puesto'!$P$10/(parametros_recargas!$O$84*B42*B74))</f>
        <v>0.0726056093352747</v>
      </c>
      <c r="C10" s="15" t="n">
        <f aca="false">IF(parametros_recargas!$O$84*C42*C74=0,0,'Demanda por puesto'!$P$42/(parametros_recargas!$O$84*C42*C74))</f>
        <v>0.327705000447814</v>
      </c>
      <c r="D10" s="15" t="n">
        <f aca="false">IF(parametros_recargas!$O$84*D42*D74=0,0,'Demanda por puesto'!$P$74/(parametros_recargas!$O$84*D42*D74))</f>
        <v>0.657625712857722</v>
      </c>
      <c r="E10" s="15" t="n">
        <f aca="false">IF(parametros_recargas!$O$84*E42*E74=0,0,'Demanda por puesto'!$P$106/(parametros_recargas!$O$84*E42*E74))</f>
        <v>0.609745226520223</v>
      </c>
      <c r="F10" s="15" t="n">
        <f aca="false">IF(parametros_recargas!$O$84*F42*F74=0,0,'Demanda por puesto'!$P$138/(parametros_recargas!$O$84*F42*F74))</f>
        <v>0.898183665964099</v>
      </c>
      <c r="G10" s="15" t="n">
        <f aca="false">IF(parametros_recargas!$O$84*G42*G74=0,0,'Demanda por puesto'!$P$170/(parametros_recargas!$O$84*G42*G74))</f>
        <v>0.815177044702259</v>
      </c>
      <c r="H10" s="15" t="n">
        <f aca="false">IF(parametros_recargas!$O$84*H42*H74=0,0,'Demanda por puesto'!$P$202/(parametros_recargas!$O$84*H42*H74))</f>
        <v>0.50637025078518</v>
      </c>
      <c r="I10" s="15" t="n">
        <f aca="false">IF(parametros_recargas!$O$84*I42*I74=0,0,'Demanda por puesto'!$P$234/(parametros_recargas!$O$84*I42*I74))</f>
        <v>0.575556679282253</v>
      </c>
      <c r="J10" s="15" t="n">
        <f aca="false">IF(parametros_recargas!$O$84*J42*J74=0,0,'Demanda por puesto'!$P$266/(parametros_recargas!$O$84*J42*J74))</f>
        <v>0.619197813531381</v>
      </c>
      <c r="K10" s="15" t="n">
        <f aca="false">IF(parametros_recargas!$O$84*K42*K74=0,0,'Demanda por puesto'!$P$298/(parametros_recargas!$O$84*K42*K74))</f>
        <v>0.663695363811301</v>
      </c>
      <c r="L10" s="10" t="str">
        <f aca="false">parametros_recargas!$D$84</f>
        <v>Manual</v>
      </c>
      <c r="N10" s="4" t="s">
        <v>99</v>
      </c>
      <c r="O10" s="14" t="n">
        <f aca="false">parametros_recargas!B8</f>
        <v>2</v>
      </c>
    </row>
    <row r="11" customFormat="false" ht="15" hidden="false" customHeight="false" outlineLevel="0" collapsed="false">
      <c r="A11" s="10" t="str">
        <f aca="false">parametros_recargas!$B$85</f>
        <v>Desarme e inspección interior — zona general</v>
      </c>
      <c r="B11" s="15" t="n">
        <f aca="false">IF(parametros_recargas!$O$85*B43*B75=0,0,'Demanda por puesto'!$P$11/(parametros_recargas!$O$85*B43*B75))</f>
        <v>0.0112086520097791</v>
      </c>
      <c r="C11" s="15" t="n">
        <f aca="false">IF(parametros_recargas!$O$85*C43*C75=0,0,'Demanda por puesto'!$P$43/(parametros_recargas!$O$85*C43*C75))</f>
        <v>0.0503655407622501</v>
      </c>
      <c r="D11" s="15" t="n">
        <f aca="false">IF(parametros_recargas!$O$85*D43*D75=0,0,'Demanda por puesto'!$P$75/(parametros_recargas!$O$85*D43*D75))</f>
        <v>0.11153419329733</v>
      </c>
      <c r="E11" s="15" t="n">
        <f aca="false">IF(parametros_recargas!$O$85*E43*E75=0,0,'Demanda por puesto'!$P$107/(parametros_recargas!$O$85*E43*E75))</f>
        <v>0.204787014115201</v>
      </c>
      <c r="F11" s="15" t="n">
        <f aca="false">IF(parametros_recargas!$O$85*F43*F75=0,0,'Demanda por puesto'!$P$139/(parametros_recargas!$O$85*F43*F75))</f>
        <v>0.295097741667681</v>
      </c>
      <c r="G11" s="15" t="n">
        <f aca="false">IF(parametros_recargas!$O$85*G43*G75=0,0,'Demanda por puesto'!$P$171/(parametros_recargas!$O$85*G43*G75))</f>
        <v>0.391175797361644</v>
      </c>
      <c r="H11" s="15" t="n">
        <f aca="false">IF(parametros_recargas!$O$85*H43*H75=0,0,'Demanda por puesto'!$P$203/(parametros_recargas!$O$85*H43*H75))</f>
        <v>0.480439608580729</v>
      </c>
      <c r="I11" s="15" t="n">
        <f aca="false">IF(parametros_recargas!$O$85*I43*I75=0,0,'Demanda por puesto'!$P$235/(parametros_recargas!$O$85*I43*I75))</f>
        <v>0.53539607431437</v>
      </c>
      <c r="J11" s="15" t="n">
        <f aca="false">IF(parametros_recargas!$O$85*J43*J75=0,0,'Demanda por puesto'!$P$267/(parametros_recargas!$O$85*J43*J75))</f>
        <v>0.579629006816438</v>
      </c>
      <c r="K11" s="15" t="n">
        <f aca="false">IF(parametros_recargas!$O$85*K43*K75=0,0,'Demanda por puesto'!$P$299/(parametros_recargas!$O$85*K43*K75))</f>
        <v>0.624424710743051</v>
      </c>
      <c r="L11" s="10" t="str">
        <f aca="false">parametros_recargas!$D$85</f>
        <v>Manual</v>
      </c>
      <c r="N11" s="4" t="s">
        <v>462</v>
      </c>
      <c r="O11" s="14" t="n">
        <f aca="false">parametros_recargas!B10</f>
        <v>2032</v>
      </c>
    </row>
    <row r="12" customFormat="false" ht="15" hidden="false" customHeight="false" outlineLevel="0" collapsed="false">
      <c r="A12" s="10" t="str">
        <f aca="false">parametros_recargas!$B$86</f>
        <v>Laboratorio — Puffer y mufla</v>
      </c>
      <c r="B12" s="15" t="n">
        <f aca="false">IF(parametros_recargas!$O$86*B44*B76=0,0,'Demanda por puesto'!$P$12/(parametros_recargas!$O$86*B44*B76))</f>
        <v>0.00293101840822665</v>
      </c>
      <c r="C12" s="15" t="n">
        <f aca="false">IF(parametros_recargas!$O$86*C44*C76=0,0,'Demanda por puesto'!$P$44/(parametros_recargas!$O$86*C44*C76))</f>
        <v>0.0132160104948057</v>
      </c>
      <c r="D12" s="15" t="n">
        <f aca="false">IF(parametros_recargas!$O$86*D44*D76=0,0,'Demanda por puesto'!$P$76/(parametros_recargas!$O$86*D44*D76))</f>
        <v>0.0265267488598087</v>
      </c>
      <c r="E12" s="15" t="n">
        <f aca="false">IF(parametros_recargas!$O$86*E44*E76=0,0,'Demanda por puesto'!$P$108/(parametros_recargas!$O$86*E44*E76))</f>
        <v>0.0491985352467722</v>
      </c>
      <c r="F12" s="15" t="n">
        <f aca="false">IF(parametros_recargas!$O$86*F44*F76=0,0,'Demanda por puesto'!$P$140/(parametros_recargas!$O$86*F44*F76))</f>
        <v>0.0724820098916402</v>
      </c>
      <c r="G12" s="15" t="n">
        <f aca="false">IF(parametros_recargas!$O$86*G44*G76=0,0,'Demanda por puesto'!$P$172/(parametros_recargas!$O$86*G44*G76))</f>
        <v>0.098687280860517</v>
      </c>
      <c r="H12" s="15" t="n">
        <f aca="false">IF(parametros_recargas!$O$86*H44*H76=0,0,'Demanda por puesto'!$P$204/(parametros_recargas!$O$86*H44*H76))</f>
        <v>0.122598444175844</v>
      </c>
      <c r="I12" s="15" t="n">
        <f aca="false">IF(parametros_recargas!$O$86*I44*I76=0,0,'Demanda por puesto'!$P$236/(parametros_recargas!$O$86*I44*I76))</f>
        <v>0.13935704182725</v>
      </c>
      <c r="J12" s="15" t="n">
        <f aca="false">IF(parametros_recargas!$O$86*J44*J76=0,0,'Demanda por puesto'!$P$268/(parametros_recargas!$O$86*J44*J76))</f>
        <v>0.149919223991878</v>
      </c>
      <c r="K12" s="15" t="n">
        <f aca="false">IF(parametros_recargas!$O$86*K44*K76=0,0,'Demanda por puesto'!$P$300/(parametros_recargas!$O$86*K44*K76))</f>
        <v>0.160688336278298</v>
      </c>
      <c r="L12" s="10" t="str">
        <f aca="false">parametros_recargas!$D$86</f>
        <v>Máquina</v>
      </c>
    </row>
    <row r="13" customFormat="false" ht="15" hidden="false" customHeight="false" outlineLevel="0" collapsed="false">
      <c r="A13" s="10" t="str">
        <f aca="false">parametros_recargas!$B$87</f>
        <v>Prueba hidráulica</v>
      </c>
      <c r="B13" s="15" t="n">
        <f aca="false">IF(parametros_recargas!$O$87*B45*B77=0,0,'Demanda por puesto'!$P$13/(parametros_recargas!$O$87*B45*B77))</f>
        <v>0.0647364974586653</v>
      </c>
      <c r="C13" s="15" t="n">
        <f aca="false">IF(parametros_recargas!$O$87*C45*C77=0,0,'Demanda por puesto'!$P$45/(parametros_recargas!$O$87*C45*C77))</f>
        <v>0.291028502005608</v>
      </c>
      <c r="D13" s="15" t="n">
        <f aca="false">IF(parametros_recargas!$O$87*D45*D77=0,0,'Demanda por puesto'!$P$77/(parametros_recargas!$O$87*D45*D77))</f>
        <v>0.596140989099052</v>
      </c>
      <c r="E13" s="15" t="n">
        <f aca="false">IF(parametros_recargas!$O$87*E45*E77=0,0,'Demanda por puesto'!$P$109/(parametros_recargas!$O$87*E45*E77))</f>
        <v>0.552073948442529</v>
      </c>
      <c r="F13" s="15" t="n">
        <f aca="false">IF(parametros_recargas!$O$87*F45*F77=0,0,'Demanda por puesto'!$P$141/(parametros_recargas!$O$87*F45*F77))</f>
        <v>0.809684216254308</v>
      </c>
      <c r="G13" s="15" t="n">
        <f aca="false">IF(parametros_recargas!$O$87*G45*G77=0,0,'Demanda por puesto'!$P$173/(parametros_recargas!$O$87*G45*G77))</f>
        <v>0.731027168647024</v>
      </c>
      <c r="H13" s="15" t="n">
        <f aca="false">IF(parametros_recargas!$O$87*H45*H77=0,0,'Demanda por puesto'!$P$205/(parametros_recargas!$O$87*H45*H77))</f>
        <v>0.45306074339414</v>
      </c>
      <c r="I13" s="15" t="n">
        <f aca="false">IF(parametros_recargas!$O$87*I45*I77=0,0,'Demanda por puesto'!$P$237/(parametros_recargas!$O$87*I45*I77))</f>
        <v>0.512928626491962</v>
      </c>
      <c r="J13" s="15" t="n">
        <f aca="false">IF(parametros_recargas!$O$87*J45*J77=0,0,'Demanda por puesto'!$P$269/(parametros_recargas!$O$87*J45*J77))</f>
        <v>0.552468816127688</v>
      </c>
      <c r="K13" s="15" t="n">
        <f aca="false">IF(parametros_recargas!$O$87*K45*K77=0,0,'Demanda por puesto'!$P$301/(parametros_recargas!$O$87*K45*K77))</f>
        <v>0.592729086713206</v>
      </c>
      <c r="L13" s="10" t="str">
        <f aca="false">parametros_recargas!$D$87</f>
        <v>Máquina</v>
      </c>
      <c r="N13" s="2" t="s">
        <v>463</v>
      </c>
    </row>
    <row r="14" customFormat="false" ht="15" hidden="false" customHeight="false" outlineLevel="0" collapsed="false">
      <c r="A14" s="10" t="str">
        <f aca="false">parametros_recargas!$B$88</f>
        <v>Secado</v>
      </c>
      <c r="B14" s="15" t="n">
        <f aca="false">IF(parametros_recargas!$O$88*B46*B78=0,0,'Demanda por puesto'!$P$14/(parametros_recargas!$O$88*B46*B78))</f>
        <v>0.0358049546482041</v>
      </c>
      <c r="C14" s="15" t="n">
        <f aca="false">IF(parametros_recargas!$O$88*C46*C78=0,0,'Demanda por puesto'!$P$46/(parametros_recargas!$O$88*C46*C78))</f>
        <v>0.159984322679606</v>
      </c>
      <c r="D14" s="15" t="n">
        <f aca="false">IF(parametros_recargas!$O$88*D46*D78=0,0,'Demanda por puesto'!$P$78/(parametros_recargas!$O$88*D46*D78))</f>
        <v>0.32498835705769</v>
      </c>
      <c r="E14" s="15" t="n">
        <f aca="false">IF(parametros_recargas!$O$88*E46*E78=0,0,'Demanda por puesto'!$P$110/(parametros_recargas!$O$88*E46*E78))</f>
        <v>0.603667744826354</v>
      </c>
      <c r="F14" s="15" t="n">
        <f aca="false">IF(parametros_recargas!$O$88*F46*F78=0,0,'Demanda por puesto'!$P$142/(parametros_recargas!$O$88*F46*F78))</f>
        <v>0.887637845499012</v>
      </c>
      <c r="G14" s="15" t="n">
        <f aca="false">IF(parametros_recargas!$O$88*G46*G78=0,0,'Demanda por puesto'!$P$174/(parametros_recargas!$O$88*G46*G78))</f>
        <v>0.602855787373433</v>
      </c>
      <c r="H14" s="15" t="n">
        <f aca="false">IF(parametros_recargas!$O$88*H46*H78=0,0,'Demanda por puesto'!$P$206/(parametros_recargas!$O$88*H46*H78))</f>
        <v>0.374046804313977</v>
      </c>
      <c r="I14" s="15" t="n">
        <f aca="false">IF(parametros_recargas!$O$88*I46*I78=0,0,'Demanda por puesto'!$P$238/(parametros_recargas!$O$88*I46*I78))</f>
        <v>0.424221469297212</v>
      </c>
      <c r="J14" s="15" t="n">
        <f aca="false">IF(parametros_recargas!$O$88*J46*J78=0,0,'Demanda por puesto'!$P$270/(parametros_recargas!$O$88*J46*J78))</f>
        <v>0.456592665204261</v>
      </c>
      <c r="K14" s="15" t="n">
        <f aca="false">IF(parametros_recargas!$O$88*K46*K78=0,0,'Demanda por puesto'!$P$302/(parametros_recargas!$O$88*K46*K78))</f>
        <v>0.489578116221817</v>
      </c>
      <c r="L14" s="10" t="str">
        <f aca="false">parametros_recargas!$D$88</f>
        <v>Máquina</v>
      </c>
    </row>
    <row r="15" customFormat="false" ht="15" hidden="false" customHeight="false" outlineLevel="0" collapsed="false">
      <c r="A15" s="10" t="str">
        <f aca="false">parametros_recargas!$B$89</f>
        <v>Inspección interior con videoscopio</v>
      </c>
      <c r="B15" s="15" t="n">
        <f aca="false">IF(parametros_recargas!$O$89*B47*B79=0,0,'Demanda por puesto'!$P$15/(parametros_recargas!$O$89*B47*B79))</f>
        <v>0.0169078952505408</v>
      </c>
      <c r="C15" s="15" t="n">
        <f aca="false">IF(parametros_recargas!$O$89*C47*C79=0,0,'Demanda por puesto'!$P$47/(parametros_recargas!$O$89*C47*C79))</f>
        <v>0.0755481523764806</v>
      </c>
      <c r="D15" s="15" t="n">
        <f aca="false">IF(parametros_recargas!$O$89*D47*D79=0,0,'Demanda por puesto'!$P$79/(parametros_recargas!$O$89*D47*D79))</f>
        <v>0.153466724166131</v>
      </c>
      <c r="E15" s="15" t="n">
        <f aca="false">IF(parametros_recargas!$O$89*E47*E79=0,0,'Demanda por puesto'!$P$111/(parametros_recargas!$O$89*E47*E79))</f>
        <v>0.285065323945778</v>
      </c>
      <c r="F15" s="15" t="n">
        <f aca="false">IF(parametros_recargas!$O$89*F47*F79=0,0,'Demanda por puesto'!$P$143/(parametros_recargas!$O$89*F47*F79))</f>
        <v>0.419162315930089</v>
      </c>
      <c r="G15" s="15" t="n">
        <f aca="false">IF(parametros_recargas!$O$89*G47*G79=0,0,'Demanda por puesto'!$P$175/(parametros_recargas!$O$89*G47*G79))</f>
        <v>0.56936379918602</v>
      </c>
      <c r="H15" s="15" t="n">
        <f aca="false">IF(parametros_recargas!$O$89*H47*H79=0,0,'Demanda por puesto'!$P$207/(parametros_recargas!$O$89*H47*H79))</f>
        <v>0.353266426296534</v>
      </c>
      <c r="I15" s="15" t="n">
        <f aca="false">IF(parametros_recargas!$O$89*I47*I79=0,0,'Demanda por puesto'!$P$239/(parametros_recargas!$O$89*I47*I79))</f>
        <v>0.400653609891812</v>
      </c>
      <c r="J15" s="15" t="n">
        <f aca="false">IF(parametros_recargas!$O$89*J47*J79=0,0,'Demanda por puesto'!$P$271/(parametros_recargas!$O$89*J47*J79))</f>
        <v>0.431226406026247</v>
      </c>
      <c r="K15" s="15" t="n">
        <f aca="false">IF(parametros_recargas!$O$89*K47*K79=0,0,'Demanda por puesto'!$P$303/(parametros_recargas!$O$89*K47*K79))</f>
        <v>0.462379331987271</v>
      </c>
      <c r="L15" s="10" t="str">
        <f aca="false">parametros_recargas!$D$89</f>
        <v>Manual</v>
      </c>
    </row>
    <row r="16" customFormat="false" ht="15" hidden="false" customHeight="false" outlineLevel="0" collapsed="false">
      <c r="A16" s="10" t="str">
        <f aca="false">parametros_recargas!$B$90</f>
        <v>Pintura</v>
      </c>
      <c r="B16" s="15" t="n">
        <f aca="false">IF(parametros_recargas!$O$90*B48*B80=0,0,'Demanda por puesto'!$P$16/(parametros_recargas!$O$90*B48*B80))</f>
        <v>0.090973877080669</v>
      </c>
      <c r="C16" s="15" t="n">
        <f aca="false">IF(parametros_recargas!$O$90*C48*C80=0,0,'Demanda por puesto'!$P$48/(parametros_recargas!$O$90*C48*C80))</f>
        <v>0.407614231552214</v>
      </c>
      <c r="D16" s="15" t="n">
        <f aca="false">IF(parametros_recargas!$O$90*D48*D80=0,0,'Demanda por puesto'!$P$80/(parametros_recargas!$O$90*D48*D80))</f>
        <v>0.831560851599723</v>
      </c>
      <c r="E16" s="15" t="n">
        <f aca="false">IF(parametros_recargas!$O$90*E48*E80=0,0,'Demanda por puesto'!$P$112/(parametros_recargas!$O$90*E48*E80))</f>
        <v>0.771259107123733</v>
      </c>
      <c r="F16" s="15" t="n">
        <f aca="false">IF(parametros_recargas!$O$90*F48*F80=0,0,'Demanda por puesto'!$P$144/(parametros_recargas!$O$90*F48*F80))</f>
        <v>0.755075020944758</v>
      </c>
      <c r="G16" s="15" t="n">
        <f aca="false">IF(parametros_recargas!$O$90*G48*G80=0,0,'Demanda por puesto'!$P$176/(parametros_recargas!$O$90*G48*G80))</f>
        <v>0.768091049166752</v>
      </c>
      <c r="H16" s="15" t="n">
        <f aca="false">IF(parametros_recargas!$O$90*H48*H80=0,0,'Demanda por puesto'!$P$208/(parametros_recargas!$O$90*H48*H80))</f>
        <v>0.476298484669143</v>
      </c>
      <c r="I16" s="15" t="n">
        <f aca="false">IF(parametros_recargas!$O$90*I48*I80=0,0,'Demanda por puesto'!$P$240/(parametros_recargas!$O$90*I48*I80))</f>
        <v>0.539706989679204</v>
      </c>
      <c r="J16" s="15" t="n">
        <f aca="false">IF(parametros_recargas!$O$90*J48*J80=0,0,'Demanda por puesto'!$P$272/(parametros_recargas!$O$90*J48*J80))</f>
        <v>0.581098634589539</v>
      </c>
      <c r="K16" s="15" t="n">
        <f aca="false">IF(parametros_recargas!$O$90*K48*K80=0,0,'Demanda por puesto'!$P$304/(parametros_recargas!$O$90*K48*K80))</f>
        <v>0.623259859364874</v>
      </c>
      <c r="L16" s="10" t="str">
        <f aca="false">parametros_recargas!$D$90</f>
        <v>Máquina</v>
      </c>
    </row>
    <row r="17" customFormat="false" ht="15" hidden="false" customHeight="false" outlineLevel="0" collapsed="false">
      <c r="A17" s="10" t="str">
        <f aca="false">parametros_recargas!$B$91</f>
        <v>Carga de polvo ABC</v>
      </c>
      <c r="B17" s="15" t="n">
        <f aca="false">IF(parametros_recargas!$O$91*B49*B81=0,0,'Demanda por puesto'!$P$17/(parametros_recargas!$O$91*B49*B81))</f>
        <v>0.0739875159176067</v>
      </c>
      <c r="C17" s="15" t="n">
        <f aca="false">IF(parametros_recargas!$O$91*C49*C81=0,0,'Demanda por puesto'!$P$49/(parametros_recargas!$O$91*C49*C81))</f>
        <v>0.331463733148692</v>
      </c>
      <c r="D17" s="15" t="n">
        <f aca="false">IF(parametros_recargas!$O$91*D49*D81=0,0,'Demanda por puesto'!$P$81/(parametros_recargas!$O$91*D49*D81))</f>
        <v>0.665029308985959</v>
      </c>
      <c r="E17" s="15" t="n">
        <f aca="false">IF(parametros_recargas!$O$91*E49*E81=0,0,'Demanda por puesto'!$P$113/(parametros_recargas!$O$91*E49*E81))</f>
        <v>0.61629572575129</v>
      </c>
      <c r="F17" s="15" t="n">
        <f aca="false">IF(parametros_recargas!$O$91*F49*F81=0,0,'Demanda por puesto'!$P$145/(parametros_recargas!$O$91*F49*F81))</f>
        <v>0.604685437497011</v>
      </c>
      <c r="G17" s="15" t="n">
        <f aca="false">IF(parametros_recargas!$O$91*G49*G81=0,0,'Demanda por puesto'!$P$177/(parametros_recargas!$O$91*G49*G81))</f>
        <v>0.822980296656295</v>
      </c>
      <c r="H17" s="15" t="n">
        <f aca="false">IF(parametros_recargas!$O$91*H49*H81=0,0,'Demanda por puesto'!$P$209/(parametros_recargas!$O$91*H49*H81))</f>
        <v>0.510624076328824</v>
      </c>
      <c r="I17" s="15" t="n">
        <f aca="false">IF(parametros_recargas!$O$91*I49*I81=0,0,'Demanda por puesto'!$P$241/(parametros_recargas!$O$91*I49*I81))</f>
        <v>0.580417307921279</v>
      </c>
      <c r="J17" s="15" t="n">
        <f aca="false">IF(parametros_recargas!$O$91*J49*J81=0,0,'Demanda por puesto'!$P$273/(parametros_recargas!$O$91*J49*J81))</f>
        <v>0.624338804285344</v>
      </c>
      <c r="K17" s="15" t="n">
        <f aca="false">IF(parametros_recargas!$O$91*K49*K81=0,0,'Demanda por puesto'!$P$305/(parametros_recargas!$O$91*K49*K81))</f>
        <v>0.669156474221584</v>
      </c>
      <c r="L17" s="10" t="str">
        <f aca="false">parametros_recargas!$D$91</f>
        <v>Máquina</v>
      </c>
    </row>
    <row r="18" customFormat="false" ht="15" hidden="false" customHeight="false" outlineLevel="0" collapsed="false">
      <c r="A18" s="10" t="str">
        <f aca="false">parametros_recargas!$B$92</f>
        <v>Carga de polvo BC</v>
      </c>
      <c r="B18" s="15" t="n">
        <f aca="false">IF(parametros_recargas!$O$92*B50*B82=0,0,'Demanda por puesto'!$P$18/(parametros_recargas!$O$92*B50*B82))</f>
        <v>8.17961438556394E-005</v>
      </c>
      <c r="C18" s="15" t="n">
        <f aca="false">IF(parametros_recargas!$O$92*C50*C82=0,0,'Demanda por puesto'!$P$50/(parametros_recargas!$O$92*C50*C82))</f>
        <v>0.000585557988975781</v>
      </c>
      <c r="D18" s="15" t="n">
        <f aca="false">IF(parametros_recargas!$O$92*D50*D82=0,0,'Demanda por puesto'!$P$82/(parametros_recargas!$O$92*D50*D82))</f>
        <v>0.00108653567742277</v>
      </c>
      <c r="E18" s="15" t="n">
        <f aca="false">IF(parametros_recargas!$O$92*E50*E82=0,0,'Demanda por puesto'!$P$114/(parametros_recargas!$O$92*E50*E82))</f>
        <v>0.00195410789395845</v>
      </c>
      <c r="F18" s="15" t="n">
        <f aca="false">IF(parametros_recargas!$O$92*F50*F82=0,0,'Demanda por puesto'!$P$146/(parametros_recargas!$O$92*F50*F82))</f>
        <v>0.00269805348089433</v>
      </c>
      <c r="G18" s="15" t="n">
        <f aca="false">IF(parametros_recargas!$O$92*G50*G82=0,0,'Demanda por puesto'!$P$178/(parametros_recargas!$O$92*G50*G82))</f>
        <v>0.00358312704551972</v>
      </c>
      <c r="H18" s="15" t="n">
        <f aca="false">IF(parametros_recargas!$O$92*H50*H82=0,0,'Demanda por puesto'!$P$210/(parametros_recargas!$O$92*H50*H82))</f>
        <v>0.00452691236426133</v>
      </c>
      <c r="I18" s="15" t="n">
        <f aca="false">IF(parametros_recargas!$O$92*I50*I82=0,0,'Demanda por puesto'!$P$242/(parametros_recargas!$O$92*I50*I82))</f>
        <v>0.00497930796874653</v>
      </c>
      <c r="J18" s="15" t="n">
        <f aca="false">IF(parametros_recargas!$O$92*J50*J82=0,0,'Demanda por puesto'!$P$274/(parametros_recargas!$O$92*J50*J82))</f>
        <v>0.00542705003195216</v>
      </c>
      <c r="K18" s="15" t="n">
        <f aca="false">IF(parametros_recargas!$O$92*K50*K82=0,0,'Demanda por puesto'!$P$306/(parametros_recargas!$O$92*K50*K82))</f>
        <v>0.00590028188233945</v>
      </c>
      <c r="L18" s="10" t="str">
        <f aca="false">parametros_recargas!$D$92</f>
        <v>Máquina</v>
      </c>
    </row>
    <row r="19" customFormat="false" ht="15" hidden="false" customHeight="false" outlineLevel="0" collapsed="false">
      <c r="A19" s="10" t="str">
        <f aca="false">parametros_recargas!$B$93</f>
        <v>Descarga y carga Clase D</v>
      </c>
      <c r="B19" s="15" t="n">
        <f aca="false">IF(parametros_recargas!$O$93*B51*B83=0,0,'Demanda por puesto'!$P$19/(parametros_recargas!$O$93*B51*B83))</f>
        <v>0.000286286503494738</v>
      </c>
      <c r="C19" s="15" t="n">
        <f aca="false">IF(parametros_recargas!$O$93*C51*C83=0,0,'Demanda por puesto'!$P$51/(parametros_recargas!$O$93*C51*C83))</f>
        <v>0.00204945296141523</v>
      </c>
      <c r="D19" s="15" t="n">
        <f aca="false">IF(parametros_recargas!$O$93*D51*D83=0,0,'Demanda por puesto'!$P$83/(parametros_recargas!$O$93*D51*D83))</f>
        <v>0.00380287487097971</v>
      </c>
      <c r="E19" s="15" t="n">
        <f aca="false">IF(parametros_recargas!$O$93*E51*E83=0,0,'Demanda por puesto'!$P$115/(parametros_recargas!$O$93*E51*E83))</f>
        <v>0.00636876995534002</v>
      </c>
      <c r="F19" s="15" t="n">
        <f aca="false">IF(parametros_recargas!$O$93*F51*F83=0,0,'Demanda por puesto'!$P$147/(parametros_recargas!$O$93*F51*F83))</f>
        <v>0.00883224223599821</v>
      </c>
      <c r="G19" s="15" t="n">
        <f aca="false">IF(parametros_recargas!$O$93*G51*G83=0,0,'Demanda por puesto'!$P$179/(parametros_recargas!$O$93*G51*G83))</f>
        <v>0.0109514108793687</v>
      </c>
      <c r="H19" s="15" t="n">
        <f aca="false">IF(parametros_recargas!$O$93*H51*H83=0,0,'Demanda por puesto'!$P$211/(parametros_recargas!$O$93*H51*H83))</f>
        <v>0.0140734510093969</v>
      </c>
      <c r="I19" s="15" t="n">
        <f aca="false">IF(parametros_recargas!$O$93*I51*I83=0,0,'Demanda por puesto'!$P$243/(parametros_recargas!$O$93*I51*I83))</f>
        <v>0.0156873929302931</v>
      </c>
      <c r="J19" s="15" t="n">
        <f aca="false">IF(parametros_recargas!$O$93*J51*J83=0,0,'Demanda por puesto'!$P$275/(parametros_recargas!$O$93*J51*J83))</f>
        <v>0.0171454958781493</v>
      </c>
      <c r="K19" s="15" t="n">
        <f aca="false">IF(parametros_recargas!$O$93*K51*K83=0,0,'Demanda por puesto'!$P$307/(parametros_recargas!$O$93*K51*K83))</f>
        <v>0.0186133033587197</v>
      </c>
      <c r="L19" s="10" t="str">
        <f aca="false">parametros_recargas!$D$93</f>
        <v>Manual</v>
      </c>
    </row>
    <row r="20" customFormat="false" ht="15" hidden="false" customHeight="false" outlineLevel="0" collapsed="false">
      <c r="A20" s="10" t="str">
        <f aca="false">parametros_recargas!$B$94</f>
        <v>Carga de agua / AFFF / sales K</v>
      </c>
      <c r="B20" s="15" t="n">
        <f aca="false">IF(parametros_recargas!$O$94*B52*B84=0,0,'Demanda por puesto'!$P$20/(parametros_recargas!$O$94*B52*B84))</f>
        <v>0.00386177907563278</v>
      </c>
      <c r="C20" s="15" t="n">
        <f aca="false">IF(parametros_recargas!$O$94*C52*C84=0,0,'Demanda por puesto'!$P$52/(parametros_recargas!$O$94*C52*C84))</f>
        <v>0.0183226921144641</v>
      </c>
      <c r="D20" s="15" t="n">
        <f aca="false">IF(parametros_recargas!$O$94*D52*D84=0,0,'Demanda por puesto'!$P$84/(parametros_recargas!$O$94*D52*D84))</f>
        <v>0.0399201974880652</v>
      </c>
      <c r="E20" s="15" t="n">
        <f aca="false">IF(parametros_recargas!$O$94*E52*E84=0,0,'Demanda por puesto'!$P$116/(parametros_recargas!$O$94*E52*E84))</f>
        <v>0.0722951931586079</v>
      </c>
      <c r="F20" s="15" t="n">
        <f aca="false">IF(parametros_recargas!$O$94*F52*F84=0,0,'Demanda por puesto'!$P$148/(parametros_recargas!$O$94*F52*F84))</f>
        <v>0.103965990606525</v>
      </c>
      <c r="G20" s="15" t="n">
        <f aca="false">IF(parametros_recargas!$O$94*G52*G84=0,0,'Demanda por puesto'!$P$180/(parametros_recargas!$O$94*G52*G84))</f>
        <v>0.137554711224048</v>
      </c>
      <c r="H20" s="15" t="n">
        <f aca="false">IF(parametros_recargas!$O$94*H52*H84=0,0,'Demanda por puesto'!$P$212/(parametros_recargas!$O$94*H52*H84))</f>
        <v>0.168998098585603</v>
      </c>
      <c r="I20" s="15" t="n">
        <f aca="false">IF(parametros_recargas!$O$94*I52*I84=0,0,'Demanda por puesto'!$P$244/(parametros_recargas!$O$94*I52*I84))</f>
        <v>0.188683944665616</v>
      </c>
      <c r="J20" s="15" t="n">
        <f aca="false">IF(parametros_recargas!$O$94*J52*J84=0,0,'Demanda por puesto'!$P$276/(parametros_recargas!$O$94*J52*J84))</f>
        <v>0.204427096535712</v>
      </c>
      <c r="K20" s="15" t="n">
        <f aca="false">IF(parametros_recargas!$O$94*K52*K84=0,0,'Demanda por puesto'!$P$308/(parametros_recargas!$O$94*K52*K84))</f>
        <v>0.220368109406705</v>
      </c>
      <c r="L20" s="10" t="str">
        <f aca="false">parametros_recargas!$D$94</f>
        <v>Máquina</v>
      </c>
    </row>
    <row r="21" customFormat="false" ht="15" hidden="false" customHeight="false" outlineLevel="0" collapsed="false">
      <c r="A21" s="10" t="str">
        <f aca="false">parametros_recargas!$B$95</f>
        <v>Carga de CO₂</v>
      </c>
      <c r="B21" s="15" t="n">
        <f aca="false">IF(parametros_recargas!$O$95*B53*B85=0,0,'Demanda por puesto'!$P$21/(parametros_recargas!$O$95*B53*B85))</f>
        <v>0.00629717453900865</v>
      </c>
      <c r="C21" s="15" t="n">
        <f aca="false">IF(parametros_recargas!$O$95*C53*C85=0,0,'Demanda por puesto'!$P$53/(parametros_recargas!$O$95*C53*C85))</f>
        <v>0.0251682584965342</v>
      </c>
      <c r="D21" s="15" t="n">
        <f aca="false">IF(parametros_recargas!$O$95*D53*D85=0,0,'Demanda por puesto'!$P$85/(parametros_recargas!$O$95*D53*D85))</f>
        <v>0.057814984784553</v>
      </c>
      <c r="E21" s="15" t="n">
        <f aca="false">IF(parametros_recargas!$O$95*E53*E85=0,0,'Demanda por puesto'!$P$117/(parametros_recargas!$O$95*E53*E85))</f>
        <v>0.109311081678283</v>
      </c>
      <c r="F21" s="15" t="n">
        <f aca="false">IF(parametros_recargas!$O$95*F53*F85=0,0,'Demanda por puesto'!$P$149/(parametros_recargas!$O$95*F53*F85))</f>
        <v>0.15813889261155</v>
      </c>
      <c r="G21" s="15" t="n">
        <f aca="false">IF(parametros_recargas!$O$95*G53*G85=0,0,'Demanda por puesto'!$P$181/(parametros_recargas!$O$95*G53*G85))</f>
        <v>0.210453597496304</v>
      </c>
      <c r="H21" s="15" t="n">
        <f aca="false">IF(parametros_recargas!$O$95*H53*H85=0,0,'Demanda por puesto'!$P$213/(parametros_recargas!$O$95*H53*H85))</f>
        <v>0.258161103764747</v>
      </c>
      <c r="I21" s="15" t="n">
        <f aca="false">IF(parametros_recargas!$O$95*I53*I85=0,0,'Demanda por puesto'!$P$245/(parametros_recargas!$O$95*I53*I85))</f>
        <v>0.286517236981777</v>
      </c>
      <c r="J21" s="15" t="n">
        <f aca="false">IF(parametros_recargas!$O$95*J53*J85=0,0,'Demanda por puesto'!$P$277/(parametros_recargas!$O$95*J53*J85))</f>
        <v>0.309637713263227</v>
      </c>
      <c r="K21" s="15" t="n">
        <f aca="false">IF(parametros_recargas!$O$95*K53*K85=0,0,'Demanda por puesto'!$P$309/(parametros_recargas!$O$95*K53*K85))</f>
        <v>0.333063761416151</v>
      </c>
      <c r="L21" s="10" t="str">
        <f aca="false">parametros_recargas!$D$95</f>
        <v>Máquina</v>
      </c>
    </row>
    <row r="22" customFormat="false" ht="15" hidden="false" customHeight="false" outlineLevel="0" collapsed="false">
      <c r="A22" s="10" t="str">
        <f aca="false">parametros_recargas!$B$96</f>
        <v>Ensamblaje y marbete — recinto</v>
      </c>
      <c r="B22" s="15" t="n">
        <f aca="false">IF(parametros_recargas!$O$96*B54*B86=0,0,'Demanda por puesto'!$P$22/(parametros_recargas!$O$96*B54*B86))</f>
        <v>0.0838996739430917</v>
      </c>
      <c r="C22" s="15" t="n">
        <f aca="false">IF(parametros_recargas!$O$96*C54*C86=0,0,'Demanda por puesto'!$P$54/(parametros_recargas!$O$96*C54*C86))</f>
        <v>0.37624577575051</v>
      </c>
      <c r="D22" s="15" t="n">
        <f aca="false">IF(parametros_recargas!$O$96*D54*D86=0,0,'Demanda por puesto'!$P$86/(parametros_recargas!$O$96*D54*D86))</f>
        <v>0.754726001253218</v>
      </c>
      <c r="E22" s="15" t="n">
        <f aca="false">IF(parametros_recargas!$O$96*E54*E86=0,0,'Demanda por puesto'!$P$118/(parametros_recargas!$O$96*E54*E86))</f>
        <v>0.699310598629406</v>
      </c>
      <c r="F22" s="15" t="n">
        <f aca="false">IF(parametros_recargas!$O$96*F54*F86=0,0,'Demanda por puesto'!$P$150/(parametros_recargas!$O$96*F54*F86))</f>
        <v>0.686041423672725</v>
      </c>
      <c r="G22" s="15" t="n">
        <f aca="false">IF(parametros_recargas!$O$96*G54*G86=0,0,'Demanda por puesto'!$P$182/(parametros_recargas!$O$96*G54*G86))</f>
        <v>0.700195163133532</v>
      </c>
      <c r="H22" s="15" t="n">
        <f aca="false">IF(parametros_recargas!$O$96*H54*H86=0,0,'Demanda por puesto'!$P$214/(parametros_recargas!$O$96*H54*H86))</f>
        <v>0.434464590306376</v>
      </c>
      <c r="I22" s="15" t="n">
        <f aca="false">IF(parametros_recargas!$O$96*I54*I86=0,0,'Demanda por puesto'!$P$246/(parametros_recargas!$O$96*I54*I86))</f>
        <v>0.493820871831607</v>
      </c>
      <c r="J22" s="15" t="n">
        <f aca="false">IF(parametros_recargas!$O$96*J54*J86=0,0,'Demanda por puesto'!$P$278/(parametros_recargas!$O$96*J54*J86))</f>
        <v>0.531205316535575</v>
      </c>
      <c r="K22" s="15" t="n">
        <f aca="false">IF(parametros_recargas!$O$96*K54*K86=0,0,'Demanda por puesto'!$P$310/(parametros_recargas!$O$96*K54*K86))</f>
        <v>0.569353691455284</v>
      </c>
      <c r="L22" s="10" t="str">
        <f aca="false">parametros_recargas!$D$96</f>
        <v>Manual</v>
      </c>
    </row>
    <row r="23" customFormat="false" ht="15" hidden="false" customHeight="false" outlineLevel="0" collapsed="false">
      <c r="A23" s="10" t="str">
        <f aca="false">parametros_recargas!$B$97</f>
        <v>Presurización — recinto</v>
      </c>
      <c r="B23" s="15" t="n">
        <f aca="false">IF(parametros_recargas!$O$97*B55*B87=0,0,'Demanda por puesto'!$P$23/(parametros_recargas!$O$97*B55*B87))</f>
        <v>0.0510389683153808</v>
      </c>
      <c r="C23" s="15" t="n">
        <f aca="false">IF(parametros_recargas!$O$97*C55*C87=0,0,'Demanda por puesto'!$P$55/(parametros_recargas!$O$97*C55*C87))</f>
        <v>0.228882846914893</v>
      </c>
      <c r="D23" s="15" t="n">
        <f aca="false">IF(parametros_recargas!$O$97*D55*D87=0,0,'Demanda por puesto'!$P$87/(parametros_recargas!$O$97*D55*D87))</f>
        <v>0.459124984095708</v>
      </c>
      <c r="E23" s="15" t="n">
        <f aca="false">IF(parametros_recargas!$O$97*E55*E87=0,0,'Demanda por puesto'!$P$119/(parametros_recargas!$O$97*E55*E87))</f>
        <v>0.85082789499911</v>
      </c>
      <c r="F23" s="15" t="n">
        <f aca="false">IF(parametros_recargas!$O$97*F55*F87=0,0,'Demanda por puesto'!$P$151/(parametros_recargas!$O$97*F55*F87))</f>
        <v>0.626012799101362</v>
      </c>
      <c r="G23" s="15" t="n">
        <f aca="false">IF(parametros_recargas!$O$97*G55*G87=0,0,'Demanda por puesto'!$P$183/(parametros_recargas!$O$97*G55*G87))</f>
        <v>0.851904115145797</v>
      </c>
      <c r="H23" s="15" t="n">
        <f aca="false">IF(parametros_recargas!$O$97*H55*H87=0,0,'Demanda por puesto'!$P$215/(parametros_recargas!$O$97*H55*H87))</f>
        <v>0.528598584872758</v>
      </c>
      <c r="I23" s="15" t="n">
        <f aca="false">IF(parametros_recargas!$O$97*I55*I87=0,0,'Demanda por puesto'!$P$247/(parametros_recargas!$O$97*I55*I87))</f>
        <v>0.600815394061788</v>
      </c>
      <c r="J23" s="15" t="n">
        <f aca="false">IF(parametros_recargas!$O$97*J55*J87=0,0,'Demanda por puesto'!$P$279/(parametros_recargas!$O$97*J55*J87))</f>
        <v>0.64629980178495</v>
      </c>
      <c r="K23" s="15" t="n">
        <f aca="false">IF(parametros_recargas!$O$97*K55*K87=0,0,'Demanda por puesto'!$P$311/(parametros_recargas!$O$97*K55*K87))</f>
        <v>0.692713657937262</v>
      </c>
      <c r="L23" s="10" t="str">
        <f aca="false">parametros_recargas!$D$97</f>
        <v>Máquina</v>
      </c>
    </row>
    <row r="24" customFormat="false" ht="15" hidden="false" customHeight="false" outlineLevel="0" collapsed="false">
      <c r="A24" s="10" t="str">
        <f aca="false">parametros_recargas!$B$98</f>
        <v>Ensamblaje y presurización — zona general</v>
      </c>
      <c r="B24" s="15" t="n">
        <f aca="false">IF(parametros_recargas!$O$98*B56*B88=0,0,'Demanda por puesto'!$P$24/(parametros_recargas!$O$98*B56*B88))</f>
        <v>0.0108265388730821</v>
      </c>
      <c r="C24" s="15" t="n">
        <f aca="false">IF(parametros_recargas!$O$98*C56*C88=0,0,'Demanda por puesto'!$P$56/(parametros_recargas!$O$98*C56*C88))</f>
        <v>0.0486485336908097</v>
      </c>
      <c r="D24" s="15" t="n">
        <f aca="false">IF(parametros_recargas!$O$98*D56*D88=0,0,'Demanda por puesto'!$P$88/(parametros_recargas!$O$98*D56*D88))</f>
        <v>0.107731891253103</v>
      </c>
      <c r="E24" s="15" t="n">
        <f aca="false">IF(parametros_recargas!$O$98*E56*E88=0,0,'Demanda por puesto'!$P$120/(parametros_recargas!$O$98*E56*E88))</f>
        <v>0.197805638634001</v>
      </c>
      <c r="F24" s="15" t="n">
        <f aca="false">IF(parametros_recargas!$O$98*F56*F88=0,0,'Demanda por puesto'!$P$152/(parametros_recargas!$O$98*F56*F88))</f>
        <v>0.285037591383556</v>
      </c>
      <c r="G24" s="15" t="n">
        <f aca="false">IF(parametros_recargas!$O$98*G56*G88=0,0,'Demanda por puesto'!$P$184/(parametros_recargas!$O$98*G56*G88))</f>
        <v>0.377840258815225</v>
      </c>
      <c r="H24" s="15" t="n">
        <f aca="false">IF(parametros_recargas!$O$98*H56*H88=0,0,'Demanda por puesto'!$P$216/(parametros_recargas!$O$98*H56*H88))</f>
        <v>0.464060985560931</v>
      </c>
      <c r="I24" s="15" t="n">
        <f aca="false">IF(parametros_recargas!$O$98*I56*I88=0,0,'Demanda por puesto'!$P$248/(parametros_recargas!$O$98*I56*I88))</f>
        <v>0.517143935417289</v>
      </c>
      <c r="J24" s="15" t="n">
        <f aca="false">IF(parametros_recargas!$O$98*J56*J88=0,0,'Demanda por puesto'!$P$280/(parametros_recargas!$O$98*J56*J88))</f>
        <v>0.559868927038605</v>
      </c>
      <c r="K24" s="15" t="n">
        <f aca="false">IF(parametros_recargas!$O$98*K56*K88=0,0,'Demanda por puesto'!$P$312/(parametros_recargas!$O$98*K56*K88))</f>
        <v>0.603137504694993</v>
      </c>
      <c r="L24" s="10" t="str">
        <f aca="false">parametros_recargas!$D$98</f>
        <v>Manual</v>
      </c>
    </row>
    <row r="25" customFormat="false" ht="15" hidden="false" customHeight="false" outlineLevel="0" collapsed="false">
      <c r="A25" s="10" t="str">
        <f aca="false">parametros_recargas!$B$99</f>
        <v>Carga y presurización de halogenado</v>
      </c>
      <c r="B25" s="15" t="n">
        <f aca="false">IF(parametros_recargas!$O$99*B57*B89=0,0,'Demanda por puesto'!$P$25/(parametros_recargas!$O$99*B57*B89))</f>
        <v>0.000234482291931725</v>
      </c>
      <c r="C25" s="15" t="n">
        <f aca="false">IF(parametros_recargas!$O$99*C57*C89=0,0,'Demanda por puesto'!$P$57/(parametros_recargas!$O$99*C57*C89))</f>
        <v>0.00146662871018336</v>
      </c>
      <c r="D25" s="15" t="n">
        <f aca="false">IF(parametros_recargas!$O$99*D57*D89=0,0,'Demanda por puesto'!$P$89/(parametros_recargas!$O$99*D57*D89))</f>
        <v>0.00301959489848289</v>
      </c>
      <c r="E25" s="15" t="n">
        <f aca="false">IF(parametros_recargas!$O$99*E57*E89=0,0,'Demanda por puesto'!$P$121/(parametros_recargas!$O$99*E57*E89))</f>
        <v>0.00523044546892398</v>
      </c>
      <c r="F25" s="15" t="n">
        <f aca="false">IF(parametros_recargas!$O$99*F57*F89=0,0,'Demanda por puesto'!$P$153/(parametros_recargas!$O$99*F57*F89))</f>
        <v>0.00753837566781182</v>
      </c>
      <c r="G25" s="15" t="n">
        <f aca="false">IF(parametros_recargas!$O$99*G57*G89=0,0,'Demanda por puesto'!$P$185/(parametros_recargas!$O$99*G57*G89))</f>
        <v>0.00990093834180568</v>
      </c>
      <c r="H25" s="15" t="n">
        <f aca="false">IF(parametros_recargas!$O$99*H57*H89=0,0,'Demanda por puesto'!$P$217/(parametros_recargas!$O$99*H57*H89))</f>
        <v>0.0124008593324913</v>
      </c>
      <c r="I25" s="15" t="n">
        <f aca="false">IF(parametros_recargas!$O$99*I57*I89=0,0,'Demanda por puesto'!$P$249/(parametros_recargas!$O$99*I57*I89))</f>
        <v>0.0140182223943315</v>
      </c>
      <c r="J25" s="15" t="n">
        <f aca="false">IF(parametros_recargas!$O$99*J57*J89=0,0,'Demanda por puesto'!$P$281/(parametros_recargas!$O$99*J57*J89))</f>
        <v>0.0153223962446114</v>
      </c>
      <c r="K25" s="15" t="n">
        <f aca="false">IF(parametros_recargas!$O$99*K57*K89=0,0,'Demanda por puesto'!$P$313/(parametros_recargas!$O$99*K57*K89))</f>
        <v>0.0166366705463126</v>
      </c>
      <c r="L25" s="10" t="str">
        <f aca="false">parametros_recargas!$D$99</f>
        <v>Máquina</v>
      </c>
    </row>
    <row r="26" customFormat="false" ht="15" hidden="false" customHeight="false" outlineLevel="0" collapsed="false">
      <c r="A26" s="10" t="str">
        <f aca="false">parametros_recargas!$B$100</f>
        <v>Control de peso (CO₂ y halogenados sin recarga)</v>
      </c>
      <c r="B26" s="15" t="n">
        <f aca="false">IF(parametros_recargas!$O$100*B58*B90=0,0,'Demanda por puesto'!$P$26/(parametros_recargas!$O$100*B58*B90))</f>
        <v>0.00198963402125611</v>
      </c>
      <c r="C26" s="15" t="n">
        <f aca="false">IF(parametros_recargas!$O$100*C58*C90=0,0,'Demanda por puesto'!$P$58/(parametros_recargas!$O$100*C58*C90))</f>
        <v>0.00804354632178285</v>
      </c>
      <c r="D26" s="15" t="n">
        <f aca="false">IF(parametros_recargas!$O$100*D58*D90=0,0,'Demanda por puesto'!$P$90/(parametros_recargas!$O$100*D58*D90))</f>
        <v>0.0184167719285115</v>
      </c>
      <c r="E26" s="15" t="n">
        <f aca="false">IF(parametros_recargas!$O$100*E58*E90=0,0,'Demanda por puesto'!$P$122/(parametros_recargas!$O$100*E58*E90))</f>
        <v>0.0347379809770014</v>
      </c>
      <c r="F26" s="15" t="n">
        <f aca="false">IF(parametros_recargas!$O$100*F58*F90=0,0,'Demanda por puesto'!$P$154/(parametros_recargas!$O$100*F58*F90))</f>
        <v>0.0502500632216024</v>
      </c>
      <c r="G26" s="15" t="n">
        <f aca="false">IF(parametros_recargas!$O$100*G58*G90=0,0,'Demanda por puesto'!$P$186/(parametros_recargas!$O$100*G58*G90))</f>
        <v>0.06685086033393</v>
      </c>
      <c r="H26" s="15" t="n">
        <f aca="false">IF(parametros_recargas!$O$100*H58*H90=0,0,'Demanda por puesto'!$P$218/(parametros_recargas!$O$100*H58*H90))</f>
        <v>0.0820493494552773</v>
      </c>
      <c r="I26" s="15" t="n">
        <f aca="false">IF(parametros_recargas!$O$100*I58*I90=0,0,'Demanda por puesto'!$P$250/(parametros_recargas!$O$100*I58*I90))</f>
        <v>0.0911056593908332</v>
      </c>
      <c r="J26" s="15" t="n">
        <f aca="false">IF(parametros_recargas!$O$100*J58*J90=0,0,'Demanda por puesto'!$P$282/(parametros_recargas!$O$100*J58*J90))</f>
        <v>0.0984873030689161</v>
      </c>
      <c r="K26" s="15" t="n">
        <f aca="false">IF(parametros_recargas!$O$100*K58*K90=0,0,'Demanda por puesto'!$P$314/(parametros_recargas!$O$100*K58*K90))</f>
        <v>0.105965273445226</v>
      </c>
      <c r="L26" s="10" t="str">
        <f aca="false">parametros_recargas!$D$100</f>
        <v>Manual</v>
      </c>
    </row>
    <row r="27" customFormat="false" ht="15" hidden="false" customHeight="false" outlineLevel="0" collapsed="false">
      <c r="A27" s="10" t="str">
        <f aca="false">parametros_recargas!$B$101</f>
        <v>Ensayo de pérdidas</v>
      </c>
      <c r="B27" s="15" t="n">
        <f aca="false">IF(parametros_recargas!$O$101*B59*B91=0,0,'Demanda por puesto'!$P$27/(parametros_recargas!$O$101*B59*B91))</f>
        <v>0.0653070912814387</v>
      </c>
      <c r="C27" s="15" t="n">
        <f aca="false">IF(parametros_recargas!$O$101*C59*C91=0,0,'Demanda por puesto'!$P$59/(parametros_recargas!$O$101*C59*C91))</f>
        <v>0.291009525929612</v>
      </c>
      <c r="D27" s="15" t="n">
        <f aca="false">IF(parametros_recargas!$O$101*D59*D91=0,0,'Demanda por puesto'!$P$91/(parametros_recargas!$O$101*D59*D91))</f>
        <v>0.593434666462414</v>
      </c>
      <c r="E27" s="15" t="n">
        <f aca="false">IF(parametros_recargas!$O$101*E59*E91=0,0,'Demanda por puesto'!$P$123/(parametros_recargas!$O$101*E59*E91))</f>
        <v>0.550090194739803</v>
      </c>
      <c r="F27" s="15" t="n">
        <f aca="false">IF(parametros_recargas!$O$101*F59*F91=0,0,'Demanda por puesto'!$P$155/(parametros_recargas!$O$101*F59*F91))</f>
        <v>0.80712436718401</v>
      </c>
      <c r="G27" s="15" t="n">
        <f aca="false">IF(parametros_recargas!$O$101*G59*G91=0,0,'Demanda por puesto'!$P$187/(parametros_recargas!$O$101*G59*G91))</f>
        <v>0.729572534285661</v>
      </c>
      <c r="H27" s="15" t="n">
        <f aca="false">IF(parametros_recargas!$O$101*H59*H91=0,0,'Demanda por puesto'!$P$219/(parametros_recargas!$O$101*H59*H91))</f>
        <v>0.451986367783682</v>
      </c>
      <c r="I27" s="15" t="n">
        <f aca="false">IF(parametros_recargas!$O$101*I59*I91=0,0,'Demanda por puesto'!$P$251/(parametros_recargas!$O$101*I59*I91))</f>
        <v>0.512154694188249</v>
      </c>
      <c r="J27" s="15" t="n">
        <f aca="false">IF(parametros_recargas!$O$101*J59*J91=0,0,'Demanda por puesto'!$P$283/(parametros_recargas!$O$101*J59*J91))</f>
        <v>0.55138033517409</v>
      </c>
      <c r="K27" s="15" t="n">
        <f aca="false">IF(parametros_recargas!$O$101*K59*K91=0,0,'Demanda por puesto'!$P$315/(parametros_recargas!$O$101*K59*K91))</f>
        <v>0.591362193512411</v>
      </c>
      <c r="L27" s="10" t="str">
        <f aca="false">parametros_recargas!$D$101</f>
        <v>Máquina</v>
      </c>
    </row>
    <row r="28" customFormat="false" ht="15" hidden="false" customHeight="false" outlineLevel="0" collapsed="false">
      <c r="A28" s="10" t="str">
        <f aca="false">parametros_recargas!$B$102</f>
        <v>Precinto, etiqueta y despacho</v>
      </c>
      <c r="B28" s="15" t="n">
        <f aca="false">IF(parametros_recargas!$O$102*B60*B92=0,0,'Demanda por puesto'!$P$28/(parametros_recargas!$O$102*B60*B92))</f>
        <v>0.0702051231275466</v>
      </c>
      <c r="C28" s="15" t="n">
        <f aca="false">IF(parametros_recargas!$O$102*C60*C92=0,0,'Demanda por puesto'!$P$60/(parametros_recargas!$O$102*C60*C92))</f>
        <v>0.312835240374333</v>
      </c>
      <c r="D28" s="15" t="n">
        <f aca="false">IF(parametros_recargas!$O$102*D60*D92=0,0,'Demanda por puesto'!$P$92/(parametros_recargas!$O$102*D60*D92))</f>
        <v>0.637942266447095</v>
      </c>
      <c r="E28" s="15" t="n">
        <f aca="false">IF(parametros_recargas!$O$102*E60*E92=0,0,'Demanda por puesto'!$P$124/(parametros_recargas!$O$102*E60*E92))</f>
        <v>0.591346959345288</v>
      </c>
      <c r="F28" s="15" t="n">
        <f aca="false">IF(parametros_recargas!$O$102*F60*F92=0,0,'Demanda por puesto'!$P$156/(parametros_recargas!$O$102*F60*F92))</f>
        <v>0.867658694722811</v>
      </c>
      <c r="G28" s="15" t="n">
        <f aca="false">IF(parametros_recargas!$O$102*G60*G92=0,0,'Demanda por puesto'!$P$188/(parametros_recargas!$O$102*G60*G92))</f>
        <v>0.784290474357086</v>
      </c>
      <c r="H28" s="15" t="n">
        <f aca="false">IF(parametros_recargas!$O$102*H60*H92=0,0,'Demanda por puesto'!$P$220/(parametros_recargas!$O$102*H60*H92))</f>
        <v>0.485885345367458</v>
      </c>
      <c r="I28" s="15" t="n">
        <f aca="false">IF(parametros_recargas!$O$102*I60*I92=0,0,'Demanda por puesto'!$P$252/(parametros_recargas!$O$102*I60*I92))</f>
        <v>0.550566296252367</v>
      </c>
      <c r="J28" s="15" t="n">
        <f aca="false">IF(parametros_recargas!$O$102*J60*J92=0,0,'Demanda por puesto'!$P$284/(parametros_recargas!$O$102*J60*J92))</f>
        <v>0.592733860312147</v>
      </c>
      <c r="K28" s="15" t="n">
        <f aca="false">IF(parametros_recargas!$O$102*K60*K92=0,0,'Demanda por puesto'!$P$316/(parametros_recargas!$O$102*K60*K92))</f>
        <v>0.635714358025842</v>
      </c>
      <c r="L28" s="10" t="str">
        <f aca="false">parametros_recargas!$D$102</f>
        <v>Manual</v>
      </c>
    </row>
    <row r="29" customFormat="false" ht="15" hidden="false" customHeight="false" outlineLevel="0" collapsed="false">
      <c r="A29" s="10" t="str">
        <f aca="false">parametros_recargas!$B$103</f>
        <v>Inutilización y disposición final</v>
      </c>
      <c r="B29" s="15" t="n">
        <f aca="false">IF(parametros_recargas!$O$103*B61*B93=0,0,'Demanda por puesto'!$P$29/(parametros_recargas!$O$103*B61*B93))</f>
        <v>0.0247428072139013</v>
      </c>
      <c r="C29" s="15" t="n">
        <f aca="false">IF(parametros_recargas!$O$103*C61*C93=0,0,'Demanda por puesto'!$P$61/(parametros_recargas!$O$103*C61*C93))</f>
        <v>0.111097469738249</v>
      </c>
      <c r="D29" s="15" t="n">
        <f aca="false">IF(parametros_recargas!$O$103*D61*D93=0,0,'Demanda por puesto'!$P$93/(parametros_recargas!$O$103*D61*D93))</f>
        <v>0.226145764259137</v>
      </c>
      <c r="E29" s="15" t="n">
        <f aca="false">IF(parametros_recargas!$O$103*E61*E93=0,0,'Demanda por puesto'!$P$125/(parametros_recargas!$O$103*E61*E93))</f>
        <v>0.419333122478573</v>
      </c>
      <c r="F29" s="15" t="n">
        <f aca="false">IF(parametros_recargas!$O$103*F61*F93=0,0,'Demanda por puesto'!$P$157/(parametros_recargas!$O$103*F61*F93))</f>
        <v>0.615985479307288</v>
      </c>
      <c r="G29" s="15" t="n">
        <f aca="false">IF(parametros_recargas!$O$103*G61*G93=0,0,'Demanda por puesto'!$P$189/(parametros_recargas!$O$103*G61*G93))</f>
        <v>0.835783904069389</v>
      </c>
      <c r="H29" s="15" t="n">
        <f aca="false">IF(parametros_recargas!$O$103*H61*H93=0,0,'Demanda por puesto'!$P$221/(parametros_recargas!$O$103*H61*H93))</f>
        <v>0.518385409621119</v>
      </c>
      <c r="I29" s="15" t="n">
        <f aca="false">IF(parametros_recargas!$O$103*I61*I93=0,0,'Demanda por puesto'!$P$253/(parametros_recargas!$O$103*I61*I93))</f>
        <v>0.587629465548527</v>
      </c>
      <c r="J29" s="15" t="n">
        <f aca="false">IF(parametros_recargas!$O$103*J61*J93=0,0,'Demanda por puesto'!$P$285/(parametros_recargas!$O$103*J61*J93))</f>
        <v>0.632652054731977</v>
      </c>
      <c r="K29" s="15" t="n">
        <f aca="false">IF(parametros_recargas!$O$103*K61*K93=0,0,'Demanda por puesto'!$P$317/(parametros_recargas!$O$103*K61*K93))</f>
        <v>0.678516541791118</v>
      </c>
      <c r="L29" s="10" t="str">
        <f aca="false">parametros_recargas!$D$103</f>
        <v>Máquina</v>
      </c>
    </row>
    <row r="30" customFormat="false" ht="15" hidden="false" customHeight="false" outlineLevel="0" collapsed="false">
      <c r="A30" s="10" t="str">
        <f aca="false">parametros_recargas!$B$104</f>
        <v>PH de mangueras (CO₂ y rodantes)</v>
      </c>
      <c r="B30" s="15" t="n">
        <f aca="false">IF(parametros_recargas!$O$104*B62*B94=0,0,'Demanda por puesto'!$P$30/(parametros_recargas!$O$104*B62*B94))</f>
        <v>0.0059045608497811</v>
      </c>
      <c r="C30" s="15" t="n">
        <f aca="false">IF(parametros_recargas!$O$104*C62*C94=0,0,'Demanda por puesto'!$P$62/(parametros_recargas!$O$104*C62*C94))</f>
        <v>0.0307686171321662</v>
      </c>
      <c r="D30" s="15" t="n">
        <f aca="false">IF(parametros_recargas!$O$104*D62*D94=0,0,'Demanda por puesto'!$P$94/(parametros_recargas!$O$104*D62*D94))</f>
        <v>0.0658293481456451</v>
      </c>
      <c r="E30" s="15" t="n">
        <f aca="false">IF(parametros_recargas!$O$104*E62*E94=0,0,'Demanda por puesto'!$P$126/(parametros_recargas!$O$104*E62*E94))</f>
        <v>0.11774924552206</v>
      </c>
      <c r="F30" s="15" t="n">
        <f aca="false">IF(parametros_recargas!$O$104*F62*F94=0,0,'Demanda por puesto'!$P$158/(parametros_recargas!$O$104*F62*F94))</f>
        <v>0.169672210672856</v>
      </c>
      <c r="G30" s="15" t="n">
        <f aca="false">IF(parametros_recargas!$O$104*G62*G94=0,0,'Demanda por puesto'!$P$190/(parametros_recargas!$O$104*G62*G94))</f>
        <v>0.225627809723257</v>
      </c>
      <c r="H30" s="15" t="n">
        <f aca="false">IF(parametros_recargas!$O$104*H62*H94=0,0,'Demanda por puesto'!$P$222/(parametros_recargas!$O$104*H62*H94))</f>
        <v>0.279134982990077</v>
      </c>
      <c r="I30" s="15" t="n">
        <f aca="false">IF(parametros_recargas!$O$104*I62*I94=0,0,'Demanda por puesto'!$P$254/(parametros_recargas!$O$104*I62*I94))</f>
        <v>0.31376952623416</v>
      </c>
      <c r="J30" s="15" t="n">
        <f aca="false">IF(parametros_recargas!$O$104*J62*J94=0,0,'Demanda por puesto'!$P$286/(parametros_recargas!$O$104*J62*J94))</f>
        <v>0.341088141864367</v>
      </c>
      <c r="K30" s="15" t="n">
        <f aca="false">IF(parametros_recargas!$O$104*K62*K94=0,0,'Demanda por puesto'!$P$318/(parametros_recargas!$O$104*K62*K94))</f>
        <v>0.368635936972707</v>
      </c>
      <c r="L30" s="10" t="str">
        <f aca="false">parametros_recargas!$D$104</f>
        <v>Máquina</v>
      </c>
    </row>
    <row r="31" customFormat="false" ht="15" hidden="false" customHeight="false" outlineLevel="0" collapsed="false">
      <c r="A31" s="4" t="s">
        <v>464</v>
      </c>
      <c r="B31" s="20" t="n">
        <f aca="false">MAX(B2:B30)</f>
        <v>0.090973877080669</v>
      </c>
      <c r="C31" s="20" t="n">
        <f aca="false">MAX(C2:C30)</f>
        <v>0.407614231552214</v>
      </c>
      <c r="D31" s="20" t="n">
        <f aca="false">MAX(D2:D30)</f>
        <v>0.831560851599723</v>
      </c>
      <c r="E31" s="20" t="n">
        <f aca="false">MAX(E2:E30)</f>
        <v>0.85082789499911</v>
      </c>
      <c r="F31" s="20" t="n">
        <f aca="false">MAX(F2:F30)</f>
        <v>0.898183665964099</v>
      </c>
      <c r="G31" s="20" t="n">
        <f aca="false">MAX(G2:G30)</f>
        <v>0.851904115145797</v>
      </c>
      <c r="H31" s="20" t="n">
        <f aca="false">MAX(H2:H30)</f>
        <v>0.528598584872758</v>
      </c>
      <c r="I31" s="20" t="n">
        <f aca="false">MAX(I2:I30)</f>
        <v>0.600815394061788</v>
      </c>
      <c r="J31" s="20" t="n">
        <f aca="false">MAX(J2:J30)</f>
        <v>0.64629980178495</v>
      </c>
      <c r="K31" s="20" t="n">
        <f aca="false">MAX(K2:K30)</f>
        <v>0.692713657937262</v>
      </c>
    </row>
    <row r="33" customFormat="false" ht="15" hidden="false" customHeight="false" outlineLevel="0" collapsed="false">
      <c r="A33" s="6" t="s">
        <v>465</v>
      </c>
      <c r="B33" s="6" t="n">
        <v>2026</v>
      </c>
      <c r="C33" s="6" t="n">
        <v>2027</v>
      </c>
      <c r="D33" s="6" t="n">
        <v>2028</v>
      </c>
      <c r="E33" s="6" t="n">
        <v>2029</v>
      </c>
      <c r="F33" s="6" t="n">
        <v>2030</v>
      </c>
      <c r="G33" s="6" t="n">
        <v>2031</v>
      </c>
      <c r="H33" s="6" t="n">
        <v>2032</v>
      </c>
      <c r="I33" s="6" t="n">
        <v>2033</v>
      </c>
      <c r="J33" s="6" t="n">
        <v>2034</v>
      </c>
      <c r="K33" s="6" t="n">
        <v>2035</v>
      </c>
    </row>
    <row r="34" customFormat="false" ht="15" hidden="false" customHeight="false" outlineLevel="0" collapsed="false">
      <c r="A34" s="10" t="str">
        <f aca="false">parametros_recargas!$B$76</f>
        <v>Recepción y registro</v>
      </c>
      <c r="B34" s="12" t="n">
        <v>1</v>
      </c>
      <c r="C34" s="12" t="n">
        <v>1</v>
      </c>
      <c r="D34" s="12" t="n">
        <v>1</v>
      </c>
      <c r="E34" s="12" t="n">
        <v>2</v>
      </c>
      <c r="F34" s="12" t="n">
        <v>2</v>
      </c>
      <c r="G34" s="12" t="n">
        <v>3</v>
      </c>
      <c r="H34" s="12" t="n">
        <v>3</v>
      </c>
      <c r="I34" s="12" t="n">
        <v>3</v>
      </c>
      <c r="J34" s="12" t="n">
        <v>3</v>
      </c>
      <c r="K34" s="12" t="n">
        <v>3</v>
      </c>
    </row>
    <row r="35" customFormat="false" ht="15" hidden="false" customHeight="false" outlineLevel="0" collapsed="false">
      <c r="A35" s="10" t="str">
        <f aca="false">parametros_recargas!$B$77</f>
        <v>Inspección visual</v>
      </c>
      <c r="B35" s="12" t="n">
        <v>1</v>
      </c>
      <c r="C35" s="12" t="n">
        <v>1</v>
      </c>
      <c r="D35" s="12" t="n">
        <v>1</v>
      </c>
      <c r="E35" s="12" t="n">
        <v>2</v>
      </c>
      <c r="F35" s="12" t="n">
        <v>3</v>
      </c>
      <c r="G35" s="12" t="n">
        <v>3</v>
      </c>
      <c r="H35" s="12" t="n">
        <v>3</v>
      </c>
      <c r="I35" s="12" t="n">
        <v>3</v>
      </c>
      <c r="J35" s="12" t="n">
        <v>3</v>
      </c>
      <c r="K35" s="12" t="n">
        <v>3</v>
      </c>
    </row>
    <row r="36" customFormat="false" ht="15" hidden="false" customHeight="false" outlineLevel="0" collapsed="false">
      <c r="A36" s="10" t="str">
        <f aca="false">parametros_recargas!$B$78</f>
        <v>Descarga ABC — ruta recuperable</v>
      </c>
      <c r="B36" s="12" t="n">
        <v>1</v>
      </c>
      <c r="C36" s="12" t="n">
        <v>1</v>
      </c>
      <c r="D36" s="12" t="n">
        <v>1</v>
      </c>
      <c r="E36" s="12" t="n">
        <v>1</v>
      </c>
      <c r="F36" s="12" t="n">
        <v>2</v>
      </c>
      <c r="G36" s="12" t="n">
        <v>2</v>
      </c>
      <c r="H36" s="12" t="n">
        <v>2</v>
      </c>
      <c r="I36" s="12" t="n">
        <v>2</v>
      </c>
      <c r="J36" s="12" t="n">
        <v>2</v>
      </c>
      <c r="K36" s="12" t="n">
        <v>2</v>
      </c>
    </row>
    <row r="37" customFormat="false" ht="15" hidden="false" customHeight="false" outlineLevel="0" collapsed="false">
      <c r="A37" s="10" t="str">
        <f aca="false">parametros_recargas!$B$79</f>
        <v>Descarga ABC — ruta descarte</v>
      </c>
      <c r="B37" s="12" t="n">
        <v>1</v>
      </c>
      <c r="C37" s="12" t="n">
        <v>1</v>
      </c>
      <c r="D37" s="12" t="n">
        <v>1</v>
      </c>
      <c r="E37" s="12" t="n">
        <v>1</v>
      </c>
      <c r="F37" s="12" t="n">
        <v>1</v>
      </c>
      <c r="G37" s="12" t="n">
        <v>1</v>
      </c>
      <c r="H37" s="12" t="n">
        <v>1</v>
      </c>
      <c r="I37" s="12" t="n">
        <v>1</v>
      </c>
      <c r="J37" s="12" t="n">
        <v>1</v>
      </c>
      <c r="K37" s="12" t="n">
        <v>1</v>
      </c>
    </row>
    <row r="38" customFormat="false" ht="15" hidden="false" customHeight="false" outlineLevel="0" collapsed="false">
      <c r="A38" s="10" t="str">
        <f aca="false">parametros_recargas!$B$80</f>
        <v>Descarga BC</v>
      </c>
      <c r="B38" s="12" t="n">
        <v>1</v>
      </c>
      <c r="C38" s="12" t="n">
        <v>1</v>
      </c>
      <c r="D38" s="12" t="n">
        <v>1</v>
      </c>
      <c r="E38" s="12" t="n">
        <v>1</v>
      </c>
      <c r="F38" s="12" t="n">
        <v>1</v>
      </c>
      <c r="G38" s="12" t="n">
        <v>1</v>
      </c>
      <c r="H38" s="12" t="n">
        <v>1</v>
      </c>
      <c r="I38" s="12" t="n">
        <v>1</v>
      </c>
      <c r="J38" s="12" t="n">
        <v>1</v>
      </c>
      <c r="K38" s="12" t="n">
        <v>1</v>
      </c>
    </row>
    <row r="39" customFormat="false" ht="15" hidden="false" customHeight="false" outlineLevel="0" collapsed="false">
      <c r="A39" s="10" t="str">
        <f aca="false">parametros_recargas!$B$81</f>
        <v>Descarga de agua / AFFF / sales K</v>
      </c>
      <c r="B39" s="12" t="n">
        <v>1</v>
      </c>
      <c r="C39" s="12" t="n">
        <v>1</v>
      </c>
      <c r="D39" s="12" t="n">
        <v>1</v>
      </c>
      <c r="E39" s="12" t="n">
        <v>1</v>
      </c>
      <c r="F39" s="12" t="n">
        <v>1</v>
      </c>
      <c r="G39" s="12" t="n">
        <v>1</v>
      </c>
      <c r="H39" s="12" t="n">
        <v>1</v>
      </c>
      <c r="I39" s="12" t="n">
        <v>1</v>
      </c>
      <c r="J39" s="12" t="n">
        <v>1</v>
      </c>
      <c r="K39" s="12" t="n">
        <v>1</v>
      </c>
    </row>
    <row r="40" customFormat="false" ht="15" hidden="false" customHeight="false" outlineLevel="0" collapsed="false">
      <c r="A40" s="10" t="str">
        <f aca="false">parametros_recargas!$B$82</f>
        <v>Recuperación de CO₂</v>
      </c>
      <c r="B40" s="12" t="n">
        <v>1</v>
      </c>
      <c r="C40" s="12" t="n">
        <v>1</v>
      </c>
      <c r="D40" s="12" t="n">
        <v>1</v>
      </c>
      <c r="E40" s="12" t="n">
        <v>1</v>
      </c>
      <c r="F40" s="12" t="n">
        <v>1</v>
      </c>
      <c r="G40" s="12" t="n">
        <v>1</v>
      </c>
      <c r="H40" s="12" t="n">
        <v>1</v>
      </c>
      <c r="I40" s="12" t="n">
        <v>1</v>
      </c>
      <c r="J40" s="12" t="n">
        <v>1</v>
      </c>
      <c r="K40" s="12" t="n">
        <v>1</v>
      </c>
    </row>
    <row r="41" customFormat="false" ht="15" hidden="false" customHeight="false" outlineLevel="0" collapsed="false">
      <c r="A41" s="10" t="str">
        <f aca="false">parametros_recargas!$B$83</f>
        <v>Recuperación de halogenado</v>
      </c>
      <c r="B41" s="12" t="n">
        <v>1</v>
      </c>
      <c r="C41" s="12" t="n">
        <v>1</v>
      </c>
      <c r="D41" s="12" t="n">
        <v>1</v>
      </c>
      <c r="E41" s="12" t="n">
        <v>1</v>
      </c>
      <c r="F41" s="12" t="n">
        <v>1</v>
      </c>
      <c r="G41" s="12" t="n">
        <v>1</v>
      </c>
      <c r="H41" s="12" t="n">
        <v>1</v>
      </c>
      <c r="I41" s="12" t="n">
        <v>1</v>
      </c>
      <c r="J41" s="12" t="n">
        <v>1</v>
      </c>
      <c r="K41" s="12" t="n">
        <v>1</v>
      </c>
    </row>
    <row r="42" customFormat="false" ht="15" hidden="false" customHeight="false" outlineLevel="0" collapsed="false">
      <c r="A42" s="10" t="str">
        <f aca="false">parametros_recargas!$B$84</f>
        <v>Desarme y limpieza — recinto</v>
      </c>
      <c r="B42" s="12" t="n">
        <v>1</v>
      </c>
      <c r="C42" s="12" t="n">
        <v>1</v>
      </c>
      <c r="D42" s="12" t="n">
        <v>1</v>
      </c>
      <c r="E42" s="12" t="n">
        <v>2</v>
      </c>
      <c r="F42" s="12" t="n">
        <v>2</v>
      </c>
      <c r="G42" s="12" t="n">
        <v>3</v>
      </c>
      <c r="H42" s="12" t="n">
        <v>3</v>
      </c>
      <c r="I42" s="12" t="n">
        <v>3</v>
      </c>
      <c r="J42" s="12" t="n">
        <v>3</v>
      </c>
      <c r="K42" s="12" t="n">
        <v>3</v>
      </c>
    </row>
    <row r="43" customFormat="false" ht="15" hidden="false" customHeight="false" outlineLevel="0" collapsed="false">
      <c r="A43" s="10" t="str">
        <f aca="false">parametros_recargas!$B$85</f>
        <v>Desarme e inspección interior — zona general</v>
      </c>
      <c r="B43" s="12" t="n">
        <v>1</v>
      </c>
      <c r="C43" s="12" t="n">
        <v>1</v>
      </c>
      <c r="D43" s="12" t="n">
        <v>1</v>
      </c>
      <c r="E43" s="12" t="n">
        <v>1</v>
      </c>
      <c r="F43" s="12" t="n">
        <v>1</v>
      </c>
      <c r="G43" s="12" t="n">
        <v>1</v>
      </c>
      <c r="H43" s="12" t="n">
        <v>1</v>
      </c>
      <c r="I43" s="12" t="n">
        <v>1</v>
      </c>
      <c r="J43" s="12" t="n">
        <v>1</v>
      </c>
      <c r="K43" s="12" t="n">
        <v>1</v>
      </c>
    </row>
    <row r="44" customFormat="false" ht="15" hidden="false" customHeight="false" outlineLevel="0" collapsed="false">
      <c r="A44" s="10" t="str">
        <f aca="false">parametros_recargas!$B$86</f>
        <v>Laboratorio — Puffer y mufla</v>
      </c>
      <c r="B44" s="12" t="n">
        <v>1</v>
      </c>
      <c r="C44" s="12" t="n">
        <v>1</v>
      </c>
      <c r="D44" s="12" t="n">
        <v>1</v>
      </c>
      <c r="E44" s="12" t="n">
        <v>1</v>
      </c>
      <c r="F44" s="12" t="n">
        <v>1</v>
      </c>
      <c r="G44" s="12" t="n">
        <v>1</v>
      </c>
      <c r="H44" s="12" t="n">
        <v>1</v>
      </c>
      <c r="I44" s="12" t="n">
        <v>1</v>
      </c>
      <c r="J44" s="12" t="n">
        <v>1</v>
      </c>
      <c r="K44" s="12" t="n">
        <v>1</v>
      </c>
    </row>
    <row r="45" customFormat="false" ht="15" hidden="false" customHeight="false" outlineLevel="0" collapsed="false">
      <c r="A45" s="10" t="str">
        <f aca="false">parametros_recargas!$B$87</f>
        <v>Prueba hidráulica</v>
      </c>
      <c r="B45" s="12" t="n">
        <v>1</v>
      </c>
      <c r="C45" s="12" t="n">
        <v>1</v>
      </c>
      <c r="D45" s="12" t="n">
        <v>1</v>
      </c>
      <c r="E45" s="12" t="n">
        <v>2</v>
      </c>
      <c r="F45" s="12" t="n">
        <v>2</v>
      </c>
      <c r="G45" s="12" t="n">
        <v>3</v>
      </c>
      <c r="H45" s="12" t="n">
        <v>3</v>
      </c>
      <c r="I45" s="12" t="n">
        <v>3</v>
      </c>
      <c r="J45" s="12" t="n">
        <v>3</v>
      </c>
      <c r="K45" s="12" t="n">
        <v>3</v>
      </c>
    </row>
    <row r="46" customFormat="false" ht="15" hidden="false" customHeight="false" outlineLevel="0" collapsed="false">
      <c r="A46" s="10" t="str">
        <f aca="false">parametros_recargas!$B$88</f>
        <v>Secado</v>
      </c>
      <c r="B46" s="12" t="n">
        <v>1</v>
      </c>
      <c r="C46" s="12" t="n">
        <v>1</v>
      </c>
      <c r="D46" s="12" t="n">
        <v>1</v>
      </c>
      <c r="E46" s="12" t="n">
        <v>1</v>
      </c>
      <c r="F46" s="12" t="n">
        <v>1</v>
      </c>
      <c r="G46" s="12" t="n">
        <v>2</v>
      </c>
      <c r="H46" s="12" t="n">
        <v>2</v>
      </c>
      <c r="I46" s="12" t="n">
        <v>2</v>
      </c>
      <c r="J46" s="12" t="n">
        <v>2</v>
      </c>
      <c r="K46" s="12" t="n">
        <v>2</v>
      </c>
    </row>
    <row r="47" customFormat="false" ht="15" hidden="false" customHeight="false" outlineLevel="0" collapsed="false">
      <c r="A47" s="10" t="str">
        <f aca="false">parametros_recargas!$B$89</f>
        <v>Inspección interior con videoscopio</v>
      </c>
      <c r="B47" s="12" t="n">
        <v>1</v>
      </c>
      <c r="C47" s="12" t="n">
        <v>1</v>
      </c>
      <c r="D47" s="12" t="n">
        <v>1</v>
      </c>
      <c r="E47" s="12" t="n">
        <v>1</v>
      </c>
      <c r="F47" s="12" t="n">
        <v>1</v>
      </c>
      <c r="G47" s="12" t="n">
        <v>1</v>
      </c>
      <c r="H47" s="12" t="n">
        <v>1</v>
      </c>
      <c r="I47" s="12" t="n">
        <v>1</v>
      </c>
      <c r="J47" s="12" t="n">
        <v>1</v>
      </c>
      <c r="K47" s="12" t="n">
        <v>1</v>
      </c>
    </row>
    <row r="48" customFormat="false" ht="15" hidden="false" customHeight="false" outlineLevel="0" collapsed="false">
      <c r="A48" s="10" t="str">
        <f aca="false">parametros_recargas!$B$90</f>
        <v>Pintura</v>
      </c>
      <c r="B48" s="12" t="n">
        <v>1</v>
      </c>
      <c r="C48" s="12" t="n">
        <v>1</v>
      </c>
      <c r="D48" s="12" t="n">
        <v>1</v>
      </c>
      <c r="E48" s="12" t="n">
        <v>2</v>
      </c>
      <c r="F48" s="12" t="n">
        <v>3</v>
      </c>
      <c r="G48" s="12" t="n">
        <v>4</v>
      </c>
      <c r="H48" s="12" t="n">
        <v>4</v>
      </c>
      <c r="I48" s="12" t="n">
        <v>4</v>
      </c>
      <c r="J48" s="12" t="n">
        <v>4</v>
      </c>
      <c r="K48" s="12" t="n">
        <v>4</v>
      </c>
    </row>
    <row r="49" customFormat="false" ht="15" hidden="false" customHeight="false" outlineLevel="0" collapsed="false">
      <c r="A49" s="10" t="str">
        <f aca="false">parametros_recargas!$B$91</f>
        <v>Carga de polvo ABC</v>
      </c>
      <c r="B49" s="12" t="n">
        <v>1</v>
      </c>
      <c r="C49" s="12" t="n">
        <v>1</v>
      </c>
      <c r="D49" s="12" t="n">
        <v>1</v>
      </c>
      <c r="E49" s="12" t="n">
        <v>2</v>
      </c>
      <c r="F49" s="12" t="n">
        <v>3</v>
      </c>
      <c r="G49" s="12" t="n">
        <v>3</v>
      </c>
      <c r="H49" s="12" t="n">
        <v>3</v>
      </c>
      <c r="I49" s="12" t="n">
        <v>3</v>
      </c>
      <c r="J49" s="12" t="n">
        <v>3</v>
      </c>
      <c r="K49" s="12" t="n">
        <v>3</v>
      </c>
    </row>
    <row r="50" customFormat="false" ht="15" hidden="false" customHeight="false" outlineLevel="0" collapsed="false">
      <c r="A50" s="10" t="str">
        <f aca="false">parametros_recargas!$B$92</f>
        <v>Carga de polvo BC</v>
      </c>
      <c r="B50" s="12" t="n">
        <v>1</v>
      </c>
      <c r="C50" s="12" t="n">
        <v>1</v>
      </c>
      <c r="D50" s="12" t="n">
        <v>1</v>
      </c>
      <c r="E50" s="12" t="n">
        <v>1</v>
      </c>
      <c r="F50" s="12" t="n">
        <v>1</v>
      </c>
      <c r="G50" s="12" t="n">
        <v>1</v>
      </c>
      <c r="H50" s="12" t="n">
        <v>1</v>
      </c>
      <c r="I50" s="12" t="n">
        <v>1</v>
      </c>
      <c r="J50" s="12" t="n">
        <v>1</v>
      </c>
      <c r="K50" s="12" t="n">
        <v>1</v>
      </c>
    </row>
    <row r="51" customFormat="false" ht="15" hidden="false" customHeight="false" outlineLevel="0" collapsed="false">
      <c r="A51" s="10" t="str">
        <f aca="false">parametros_recargas!$B$93</f>
        <v>Descarga y carga Clase D</v>
      </c>
      <c r="B51" s="12" t="n">
        <v>1</v>
      </c>
      <c r="C51" s="12" t="n">
        <v>1</v>
      </c>
      <c r="D51" s="12" t="n">
        <v>1</v>
      </c>
      <c r="E51" s="12" t="n">
        <v>1</v>
      </c>
      <c r="F51" s="12" t="n">
        <v>1</v>
      </c>
      <c r="G51" s="12" t="n">
        <v>1</v>
      </c>
      <c r="H51" s="12" t="n">
        <v>1</v>
      </c>
      <c r="I51" s="12" t="n">
        <v>1</v>
      </c>
      <c r="J51" s="12" t="n">
        <v>1</v>
      </c>
      <c r="K51" s="12" t="n">
        <v>1</v>
      </c>
    </row>
    <row r="52" customFormat="false" ht="15" hidden="false" customHeight="false" outlineLevel="0" collapsed="false">
      <c r="A52" s="10" t="str">
        <f aca="false">parametros_recargas!$B$94</f>
        <v>Carga de agua / AFFF / sales K</v>
      </c>
      <c r="B52" s="12" t="n">
        <v>1</v>
      </c>
      <c r="C52" s="12" t="n">
        <v>1</v>
      </c>
      <c r="D52" s="12" t="n">
        <v>1</v>
      </c>
      <c r="E52" s="12" t="n">
        <v>1</v>
      </c>
      <c r="F52" s="12" t="n">
        <v>1</v>
      </c>
      <c r="G52" s="12" t="n">
        <v>1</v>
      </c>
      <c r="H52" s="12" t="n">
        <v>1</v>
      </c>
      <c r="I52" s="12" t="n">
        <v>1</v>
      </c>
      <c r="J52" s="12" t="n">
        <v>1</v>
      </c>
      <c r="K52" s="12" t="n">
        <v>1</v>
      </c>
    </row>
    <row r="53" customFormat="false" ht="15" hidden="false" customHeight="false" outlineLevel="0" collapsed="false">
      <c r="A53" s="10" t="str">
        <f aca="false">parametros_recargas!$B$95</f>
        <v>Carga de CO₂</v>
      </c>
      <c r="B53" s="12" t="n">
        <v>1</v>
      </c>
      <c r="C53" s="12" t="n">
        <v>1</v>
      </c>
      <c r="D53" s="12" t="n">
        <v>1</v>
      </c>
      <c r="E53" s="12" t="n">
        <v>1</v>
      </c>
      <c r="F53" s="12" t="n">
        <v>1</v>
      </c>
      <c r="G53" s="12" t="n">
        <v>1</v>
      </c>
      <c r="H53" s="12" t="n">
        <v>1</v>
      </c>
      <c r="I53" s="12" t="n">
        <v>1</v>
      </c>
      <c r="J53" s="12" t="n">
        <v>1</v>
      </c>
      <c r="K53" s="12" t="n">
        <v>1</v>
      </c>
    </row>
    <row r="54" customFormat="false" ht="15" hidden="false" customHeight="false" outlineLevel="0" collapsed="false">
      <c r="A54" s="10" t="str">
        <f aca="false">parametros_recargas!$B$96</f>
        <v>Ensamblaje y marbete — recinto</v>
      </c>
      <c r="B54" s="12" t="n">
        <v>1</v>
      </c>
      <c r="C54" s="12" t="n">
        <v>1</v>
      </c>
      <c r="D54" s="12" t="n">
        <v>1</v>
      </c>
      <c r="E54" s="12" t="n">
        <v>2</v>
      </c>
      <c r="F54" s="12" t="n">
        <v>3</v>
      </c>
      <c r="G54" s="12" t="n">
        <v>4</v>
      </c>
      <c r="H54" s="12" t="n">
        <v>4</v>
      </c>
      <c r="I54" s="12" t="n">
        <v>4</v>
      </c>
      <c r="J54" s="12" t="n">
        <v>4</v>
      </c>
      <c r="K54" s="12" t="n">
        <v>4</v>
      </c>
    </row>
    <row r="55" customFormat="false" ht="15" hidden="false" customHeight="false" outlineLevel="0" collapsed="false">
      <c r="A55" s="10" t="str">
        <f aca="false">parametros_recargas!$B$97</f>
        <v>Presurización — recinto</v>
      </c>
      <c r="B55" s="12" t="n">
        <v>1</v>
      </c>
      <c r="C55" s="12" t="n">
        <v>1</v>
      </c>
      <c r="D55" s="12" t="n">
        <v>1</v>
      </c>
      <c r="E55" s="12" t="n">
        <v>1</v>
      </c>
      <c r="F55" s="12" t="n">
        <v>2</v>
      </c>
      <c r="G55" s="12" t="n">
        <v>2</v>
      </c>
      <c r="H55" s="12" t="n">
        <v>2</v>
      </c>
      <c r="I55" s="12" t="n">
        <v>2</v>
      </c>
      <c r="J55" s="12" t="n">
        <v>2</v>
      </c>
      <c r="K55" s="12" t="n">
        <v>2</v>
      </c>
    </row>
    <row r="56" customFormat="false" ht="15" hidden="false" customHeight="false" outlineLevel="0" collapsed="false">
      <c r="A56" s="10" t="str">
        <f aca="false">parametros_recargas!$B$98</f>
        <v>Ensamblaje y presurización — zona general</v>
      </c>
      <c r="B56" s="12" t="n">
        <v>1</v>
      </c>
      <c r="C56" s="12" t="n">
        <v>1</v>
      </c>
      <c r="D56" s="12" t="n">
        <v>1</v>
      </c>
      <c r="E56" s="12" t="n">
        <v>1</v>
      </c>
      <c r="F56" s="12" t="n">
        <v>1</v>
      </c>
      <c r="G56" s="12" t="n">
        <v>1</v>
      </c>
      <c r="H56" s="12" t="n">
        <v>1</v>
      </c>
      <c r="I56" s="12" t="n">
        <v>1</v>
      </c>
      <c r="J56" s="12" t="n">
        <v>1</v>
      </c>
      <c r="K56" s="12" t="n">
        <v>1</v>
      </c>
    </row>
    <row r="57" customFormat="false" ht="15" hidden="false" customHeight="false" outlineLevel="0" collapsed="false">
      <c r="A57" s="10" t="str">
        <f aca="false">parametros_recargas!$B$99</f>
        <v>Carga y presurización de halogenado</v>
      </c>
      <c r="B57" s="12" t="n">
        <v>1</v>
      </c>
      <c r="C57" s="12" t="n">
        <v>1</v>
      </c>
      <c r="D57" s="12" t="n">
        <v>1</v>
      </c>
      <c r="E57" s="12" t="n">
        <v>1</v>
      </c>
      <c r="F57" s="12" t="n">
        <v>1</v>
      </c>
      <c r="G57" s="12" t="n">
        <v>1</v>
      </c>
      <c r="H57" s="12" t="n">
        <v>1</v>
      </c>
      <c r="I57" s="12" t="n">
        <v>1</v>
      </c>
      <c r="J57" s="12" t="n">
        <v>1</v>
      </c>
      <c r="K57" s="12" t="n">
        <v>1</v>
      </c>
    </row>
    <row r="58" customFormat="false" ht="15" hidden="false" customHeight="false" outlineLevel="0" collapsed="false">
      <c r="A58" s="10" t="str">
        <f aca="false">parametros_recargas!$B$100</f>
        <v>Control de peso (CO₂ y halogenados sin recarga)</v>
      </c>
      <c r="B58" s="12" t="n">
        <v>1</v>
      </c>
      <c r="C58" s="12" t="n">
        <v>1</v>
      </c>
      <c r="D58" s="12" t="n">
        <v>1</v>
      </c>
      <c r="E58" s="12" t="n">
        <v>1</v>
      </c>
      <c r="F58" s="12" t="n">
        <v>1</v>
      </c>
      <c r="G58" s="12" t="n">
        <v>1</v>
      </c>
      <c r="H58" s="12" t="n">
        <v>1</v>
      </c>
      <c r="I58" s="12" t="n">
        <v>1</v>
      </c>
      <c r="J58" s="12" t="n">
        <v>1</v>
      </c>
      <c r="K58" s="12" t="n">
        <v>1</v>
      </c>
    </row>
    <row r="59" customFormat="false" ht="15" hidden="false" customHeight="false" outlineLevel="0" collapsed="false">
      <c r="A59" s="10" t="str">
        <f aca="false">parametros_recargas!$B$101</f>
        <v>Ensayo de pérdidas</v>
      </c>
      <c r="B59" s="12" t="n">
        <v>1</v>
      </c>
      <c r="C59" s="12" t="n">
        <v>1</v>
      </c>
      <c r="D59" s="12" t="n">
        <v>1</v>
      </c>
      <c r="E59" s="12" t="n">
        <v>2</v>
      </c>
      <c r="F59" s="12" t="n">
        <v>2</v>
      </c>
      <c r="G59" s="12" t="n">
        <v>3</v>
      </c>
      <c r="H59" s="12" t="n">
        <v>3</v>
      </c>
      <c r="I59" s="12" t="n">
        <v>3</v>
      </c>
      <c r="J59" s="12" t="n">
        <v>3</v>
      </c>
      <c r="K59" s="12" t="n">
        <v>3</v>
      </c>
    </row>
    <row r="60" customFormat="false" ht="15" hidden="false" customHeight="false" outlineLevel="0" collapsed="false">
      <c r="A60" s="10" t="str">
        <f aca="false">parametros_recargas!$B$102</f>
        <v>Precinto, etiqueta y despacho</v>
      </c>
      <c r="B60" s="12" t="n">
        <v>1</v>
      </c>
      <c r="C60" s="12" t="n">
        <v>1</v>
      </c>
      <c r="D60" s="12" t="n">
        <v>1</v>
      </c>
      <c r="E60" s="12" t="n">
        <v>2</v>
      </c>
      <c r="F60" s="12" t="n">
        <v>2</v>
      </c>
      <c r="G60" s="12" t="n">
        <v>3</v>
      </c>
      <c r="H60" s="12" t="n">
        <v>3</v>
      </c>
      <c r="I60" s="12" t="n">
        <v>3</v>
      </c>
      <c r="J60" s="12" t="n">
        <v>3</v>
      </c>
      <c r="K60" s="12" t="n">
        <v>3</v>
      </c>
    </row>
    <row r="61" customFormat="false" ht="15" hidden="false" customHeight="false" outlineLevel="0" collapsed="false">
      <c r="A61" s="10" t="str">
        <f aca="false">parametros_recargas!$B$103</f>
        <v>Inutilización y disposición final</v>
      </c>
      <c r="B61" s="12" t="n">
        <v>1</v>
      </c>
      <c r="C61" s="12" t="n">
        <v>1</v>
      </c>
      <c r="D61" s="12" t="n">
        <v>1</v>
      </c>
      <c r="E61" s="12" t="n">
        <v>1</v>
      </c>
      <c r="F61" s="12" t="n">
        <v>1</v>
      </c>
      <c r="G61" s="12" t="n">
        <v>1</v>
      </c>
      <c r="H61" s="12" t="n">
        <v>1</v>
      </c>
      <c r="I61" s="12" t="n">
        <v>1</v>
      </c>
      <c r="J61" s="12" t="n">
        <v>1</v>
      </c>
      <c r="K61" s="12" t="n">
        <v>1</v>
      </c>
    </row>
    <row r="62" customFormat="false" ht="15" hidden="false" customHeight="false" outlineLevel="0" collapsed="false">
      <c r="A62" s="10" t="str">
        <f aca="false">parametros_recargas!$B$104</f>
        <v>PH de mangueras (CO₂ y rodantes)</v>
      </c>
      <c r="B62" s="12" t="n">
        <v>1</v>
      </c>
      <c r="C62" s="12" t="n">
        <v>1</v>
      </c>
      <c r="D62" s="12" t="n">
        <v>1</v>
      </c>
      <c r="E62" s="12" t="n">
        <v>1</v>
      </c>
      <c r="F62" s="12" t="n">
        <v>1</v>
      </c>
      <c r="G62" s="12" t="n">
        <v>1</v>
      </c>
      <c r="H62" s="12" t="n">
        <v>1</v>
      </c>
      <c r="I62" s="12" t="n">
        <v>1</v>
      </c>
      <c r="J62" s="12" t="n">
        <v>1</v>
      </c>
      <c r="K62" s="12" t="n">
        <v>1</v>
      </c>
    </row>
    <row r="63" customFormat="false" ht="15" hidden="false" customHeight="false" outlineLevel="0" collapsed="false">
      <c r="A63" s="4" t="s">
        <v>466</v>
      </c>
      <c r="B63" s="14" t="n">
        <f aca="false">SUM(B34:B62)</f>
        <v>29</v>
      </c>
      <c r="C63" s="14" t="n">
        <f aca="false">SUM(C34:C62)</f>
        <v>29</v>
      </c>
      <c r="D63" s="14" t="n">
        <f aca="false">SUM(D34:D62)</f>
        <v>29</v>
      </c>
      <c r="E63" s="14" t="n">
        <f aca="false">SUM(E34:E62)</f>
        <v>38</v>
      </c>
      <c r="F63" s="14" t="n">
        <f aca="false">SUM(F34:F62)</f>
        <v>44</v>
      </c>
      <c r="G63" s="14" t="n">
        <f aca="false">SUM(G34:G62)</f>
        <v>52</v>
      </c>
      <c r="H63" s="14" t="n">
        <f aca="false">SUM(H34:H62)</f>
        <v>52</v>
      </c>
      <c r="I63" s="14" t="n">
        <f aca="false">SUM(I34:I62)</f>
        <v>52</v>
      </c>
      <c r="J63" s="14" t="n">
        <f aca="false">SUM(J34:J62)</f>
        <v>52</v>
      </c>
      <c r="K63" s="14" t="n">
        <f aca="false">SUM(K34:K62)</f>
        <v>52</v>
      </c>
    </row>
    <row r="65" customFormat="false" ht="15" hidden="false" customHeight="false" outlineLevel="0" collapsed="false">
      <c r="A65" s="6" t="s">
        <v>467</v>
      </c>
      <c r="B65" s="6" t="n">
        <v>2026</v>
      </c>
      <c r="C65" s="6" t="n">
        <v>2027</v>
      </c>
      <c r="D65" s="6" t="n">
        <v>2028</v>
      </c>
      <c r="E65" s="6" t="n">
        <v>2029</v>
      </c>
      <c r="F65" s="6" t="n">
        <v>2030</v>
      </c>
      <c r="G65" s="6" t="n">
        <v>2031</v>
      </c>
      <c r="H65" s="6" t="n">
        <v>2032</v>
      </c>
      <c r="I65" s="6" t="n">
        <v>2033</v>
      </c>
      <c r="J65" s="6" t="n">
        <v>2034</v>
      </c>
      <c r="K65" s="6" t="n">
        <v>2035</v>
      </c>
    </row>
    <row r="66" customFormat="false" ht="15" hidden="false" customHeight="false" outlineLevel="0" collapsed="false">
      <c r="A66" s="10" t="str">
        <f aca="false">parametros_recargas!$B$76</f>
        <v>Recepción y registro</v>
      </c>
      <c r="B66" s="12" t="n">
        <v>1</v>
      </c>
      <c r="C66" s="12" t="n">
        <v>1</v>
      </c>
      <c r="D66" s="12" t="n">
        <v>1</v>
      </c>
      <c r="E66" s="12" t="n">
        <v>1</v>
      </c>
      <c r="F66" s="12" t="n">
        <v>1</v>
      </c>
      <c r="G66" s="12" t="n">
        <v>1</v>
      </c>
      <c r="H66" s="12" t="n">
        <v>2</v>
      </c>
      <c r="I66" s="12" t="n">
        <v>2</v>
      </c>
      <c r="J66" s="12" t="n">
        <v>2</v>
      </c>
      <c r="K66" s="12" t="n">
        <v>2</v>
      </c>
    </row>
    <row r="67" customFormat="false" ht="15" hidden="false" customHeight="false" outlineLevel="0" collapsed="false">
      <c r="A67" s="10" t="str">
        <f aca="false">parametros_recargas!$B$77</f>
        <v>Inspección visual</v>
      </c>
      <c r="B67" s="12" t="n">
        <v>1</v>
      </c>
      <c r="C67" s="12" t="n">
        <v>1</v>
      </c>
      <c r="D67" s="12" t="n">
        <v>1</v>
      </c>
      <c r="E67" s="12" t="n">
        <v>1</v>
      </c>
      <c r="F67" s="12" t="n">
        <v>1</v>
      </c>
      <c r="G67" s="12" t="n">
        <v>1</v>
      </c>
      <c r="H67" s="12" t="n">
        <v>2</v>
      </c>
      <c r="I67" s="12" t="n">
        <v>2</v>
      </c>
      <c r="J67" s="12" t="n">
        <v>2</v>
      </c>
      <c r="K67" s="12" t="n">
        <v>2</v>
      </c>
    </row>
    <row r="68" customFormat="false" ht="15" hidden="false" customHeight="false" outlineLevel="0" collapsed="false">
      <c r="A68" s="10" t="str">
        <f aca="false">parametros_recargas!$B$78</f>
        <v>Descarga ABC — ruta recuperable</v>
      </c>
      <c r="B68" s="12" t="n">
        <v>1</v>
      </c>
      <c r="C68" s="12" t="n">
        <v>1</v>
      </c>
      <c r="D68" s="12" t="n">
        <v>1</v>
      </c>
      <c r="E68" s="12" t="n">
        <v>1</v>
      </c>
      <c r="F68" s="12" t="n">
        <v>1</v>
      </c>
      <c r="G68" s="12" t="n">
        <v>1</v>
      </c>
      <c r="H68" s="12" t="n">
        <v>2</v>
      </c>
      <c r="I68" s="12" t="n">
        <v>2</v>
      </c>
      <c r="J68" s="12" t="n">
        <v>2</v>
      </c>
      <c r="K68" s="12" t="n">
        <v>2</v>
      </c>
    </row>
    <row r="69" customFormat="false" ht="15" hidden="false" customHeight="false" outlineLevel="0" collapsed="false">
      <c r="A69" s="10" t="str">
        <f aca="false">parametros_recargas!$B$79</f>
        <v>Descarga ABC — ruta descarte</v>
      </c>
      <c r="B69" s="12" t="n">
        <v>1</v>
      </c>
      <c r="C69" s="12" t="n">
        <v>1</v>
      </c>
      <c r="D69" s="12" t="n">
        <v>1</v>
      </c>
      <c r="E69" s="12" t="n">
        <v>1</v>
      </c>
      <c r="F69" s="12" t="n">
        <v>1</v>
      </c>
      <c r="G69" s="12" t="n">
        <v>1</v>
      </c>
      <c r="H69" s="12" t="n">
        <v>1</v>
      </c>
      <c r="I69" s="12" t="n">
        <v>1</v>
      </c>
      <c r="J69" s="12" t="n">
        <v>1</v>
      </c>
      <c r="K69" s="12" t="n">
        <v>1</v>
      </c>
    </row>
    <row r="70" customFormat="false" ht="15" hidden="false" customHeight="false" outlineLevel="0" collapsed="false">
      <c r="A70" s="10" t="str">
        <f aca="false">parametros_recargas!$B$80</f>
        <v>Descarga BC</v>
      </c>
      <c r="B70" s="12" t="n">
        <v>1</v>
      </c>
      <c r="C70" s="12" t="n">
        <v>1</v>
      </c>
      <c r="D70" s="12" t="n">
        <v>1</v>
      </c>
      <c r="E70" s="12" t="n">
        <v>1</v>
      </c>
      <c r="F70" s="12" t="n">
        <v>1</v>
      </c>
      <c r="G70" s="12" t="n">
        <v>1</v>
      </c>
      <c r="H70" s="12" t="n">
        <v>1</v>
      </c>
      <c r="I70" s="12" t="n">
        <v>1</v>
      </c>
      <c r="J70" s="12" t="n">
        <v>1</v>
      </c>
      <c r="K70" s="12" t="n">
        <v>1</v>
      </c>
    </row>
    <row r="71" customFormat="false" ht="15" hidden="false" customHeight="false" outlineLevel="0" collapsed="false">
      <c r="A71" s="10" t="str">
        <f aca="false">parametros_recargas!$B$81</f>
        <v>Descarga de agua / AFFF / sales K</v>
      </c>
      <c r="B71" s="12" t="n">
        <v>1</v>
      </c>
      <c r="C71" s="12" t="n">
        <v>1</v>
      </c>
      <c r="D71" s="12" t="n">
        <v>1</v>
      </c>
      <c r="E71" s="12" t="n">
        <v>1</v>
      </c>
      <c r="F71" s="12" t="n">
        <v>1</v>
      </c>
      <c r="G71" s="12" t="n">
        <v>1</v>
      </c>
      <c r="H71" s="12" t="n">
        <v>1</v>
      </c>
      <c r="I71" s="12" t="n">
        <v>1</v>
      </c>
      <c r="J71" s="12" t="n">
        <v>1</v>
      </c>
      <c r="K71" s="12" t="n">
        <v>1</v>
      </c>
    </row>
    <row r="72" customFormat="false" ht="15" hidden="false" customHeight="false" outlineLevel="0" collapsed="false">
      <c r="A72" s="10" t="str">
        <f aca="false">parametros_recargas!$B$82</f>
        <v>Recuperación de CO₂</v>
      </c>
      <c r="B72" s="12" t="n">
        <v>1</v>
      </c>
      <c r="C72" s="12" t="n">
        <v>1</v>
      </c>
      <c r="D72" s="12" t="n">
        <v>1</v>
      </c>
      <c r="E72" s="12" t="n">
        <v>1</v>
      </c>
      <c r="F72" s="12" t="n">
        <v>1</v>
      </c>
      <c r="G72" s="12" t="n">
        <v>1</v>
      </c>
      <c r="H72" s="12" t="n">
        <v>1</v>
      </c>
      <c r="I72" s="12" t="n">
        <v>1</v>
      </c>
      <c r="J72" s="12" t="n">
        <v>1</v>
      </c>
      <c r="K72" s="12" t="n">
        <v>1</v>
      </c>
    </row>
    <row r="73" customFormat="false" ht="15" hidden="false" customHeight="false" outlineLevel="0" collapsed="false">
      <c r="A73" s="10" t="str">
        <f aca="false">parametros_recargas!$B$83</f>
        <v>Recuperación de halogenado</v>
      </c>
      <c r="B73" s="12" t="n">
        <v>1</v>
      </c>
      <c r="C73" s="12" t="n">
        <v>1</v>
      </c>
      <c r="D73" s="12" t="n">
        <v>1</v>
      </c>
      <c r="E73" s="12" t="n">
        <v>1</v>
      </c>
      <c r="F73" s="12" t="n">
        <v>1</v>
      </c>
      <c r="G73" s="12" t="n">
        <v>1</v>
      </c>
      <c r="H73" s="12" t="n">
        <v>1</v>
      </c>
      <c r="I73" s="12" t="n">
        <v>1</v>
      </c>
      <c r="J73" s="12" t="n">
        <v>1</v>
      </c>
      <c r="K73" s="12" t="n">
        <v>1</v>
      </c>
    </row>
    <row r="74" customFormat="false" ht="15" hidden="false" customHeight="false" outlineLevel="0" collapsed="false">
      <c r="A74" s="10" t="str">
        <f aca="false">parametros_recargas!$B$84</f>
        <v>Desarme y limpieza — recinto</v>
      </c>
      <c r="B74" s="12" t="n">
        <v>1</v>
      </c>
      <c r="C74" s="12" t="n">
        <v>1</v>
      </c>
      <c r="D74" s="12" t="n">
        <v>1</v>
      </c>
      <c r="E74" s="12" t="n">
        <v>1</v>
      </c>
      <c r="F74" s="12" t="n">
        <v>1</v>
      </c>
      <c r="G74" s="12" t="n">
        <v>1</v>
      </c>
      <c r="H74" s="12" t="n">
        <v>2</v>
      </c>
      <c r="I74" s="12" t="n">
        <v>2</v>
      </c>
      <c r="J74" s="12" t="n">
        <v>2</v>
      </c>
      <c r="K74" s="12" t="n">
        <v>2</v>
      </c>
    </row>
    <row r="75" customFormat="false" ht="15" hidden="false" customHeight="false" outlineLevel="0" collapsed="false">
      <c r="A75" s="10" t="str">
        <f aca="false">parametros_recargas!$B$85</f>
        <v>Desarme e inspección interior — zona general</v>
      </c>
      <c r="B75" s="12" t="n">
        <v>1</v>
      </c>
      <c r="C75" s="12" t="n">
        <v>1</v>
      </c>
      <c r="D75" s="12" t="n">
        <v>1</v>
      </c>
      <c r="E75" s="12" t="n">
        <v>1</v>
      </c>
      <c r="F75" s="12" t="n">
        <v>1</v>
      </c>
      <c r="G75" s="12" t="n">
        <v>1</v>
      </c>
      <c r="H75" s="12" t="n">
        <v>1</v>
      </c>
      <c r="I75" s="12" t="n">
        <v>1</v>
      </c>
      <c r="J75" s="12" t="n">
        <v>1</v>
      </c>
      <c r="K75" s="12" t="n">
        <v>1</v>
      </c>
    </row>
    <row r="76" customFormat="false" ht="15" hidden="false" customHeight="false" outlineLevel="0" collapsed="false">
      <c r="A76" s="10" t="str">
        <f aca="false">parametros_recargas!$B$86</f>
        <v>Laboratorio — Puffer y mufla</v>
      </c>
      <c r="B76" s="12" t="n">
        <v>1</v>
      </c>
      <c r="C76" s="12" t="n">
        <v>1</v>
      </c>
      <c r="D76" s="12" t="n">
        <v>1</v>
      </c>
      <c r="E76" s="12" t="n">
        <v>1</v>
      </c>
      <c r="F76" s="12" t="n">
        <v>1</v>
      </c>
      <c r="G76" s="12" t="n">
        <v>1</v>
      </c>
      <c r="H76" s="12" t="n">
        <v>1</v>
      </c>
      <c r="I76" s="12" t="n">
        <v>1</v>
      </c>
      <c r="J76" s="12" t="n">
        <v>1</v>
      </c>
      <c r="K76" s="12" t="n">
        <v>1</v>
      </c>
    </row>
    <row r="77" customFormat="false" ht="15" hidden="false" customHeight="false" outlineLevel="0" collapsed="false">
      <c r="A77" s="10" t="str">
        <f aca="false">parametros_recargas!$B$87</f>
        <v>Prueba hidráulica</v>
      </c>
      <c r="B77" s="12" t="n">
        <v>1</v>
      </c>
      <c r="C77" s="12" t="n">
        <v>1</v>
      </c>
      <c r="D77" s="12" t="n">
        <v>1</v>
      </c>
      <c r="E77" s="12" t="n">
        <v>1</v>
      </c>
      <c r="F77" s="12" t="n">
        <v>1</v>
      </c>
      <c r="G77" s="12" t="n">
        <v>1</v>
      </c>
      <c r="H77" s="12" t="n">
        <v>2</v>
      </c>
      <c r="I77" s="12" t="n">
        <v>2</v>
      </c>
      <c r="J77" s="12" t="n">
        <v>2</v>
      </c>
      <c r="K77" s="12" t="n">
        <v>2</v>
      </c>
    </row>
    <row r="78" customFormat="false" ht="15" hidden="false" customHeight="false" outlineLevel="0" collapsed="false">
      <c r="A78" s="10" t="str">
        <f aca="false">parametros_recargas!$B$88</f>
        <v>Secado</v>
      </c>
      <c r="B78" s="12" t="n">
        <v>1</v>
      </c>
      <c r="C78" s="12" t="n">
        <v>1</v>
      </c>
      <c r="D78" s="12" t="n">
        <v>1</v>
      </c>
      <c r="E78" s="12" t="n">
        <v>1</v>
      </c>
      <c r="F78" s="12" t="n">
        <v>1</v>
      </c>
      <c r="G78" s="12" t="n">
        <v>1</v>
      </c>
      <c r="H78" s="12" t="n">
        <v>2</v>
      </c>
      <c r="I78" s="12" t="n">
        <v>2</v>
      </c>
      <c r="J78" s="12" t="n">
        <v>2</v>
      </c>
      <c r="K78" s="12" t="n">
        <v>2</v>
      </c>
    </row>
    <row r="79" customFormat="false" ht="15" hidden="false" customHeight="false" outlineLevel="0" collapsed="false">
      <c r="A79" s="10" t="str">
        <f aca="false">parametros_recargas!$B$89</f>
        <v>Inspección interior con videoscopio</v>
      </c>
      <c r="B79" s="12" t="n">
        <v>1</v>
      </c>
      <c r="C79" s="12" t="n">
        <v>1</v>
      </c>
      <c r="D79" s="12" t="n">
        <v>1</v>
      </c>
      <c r="E79" s="12" t="n">
        <v>1</v>
      </c>
      <c r="F79" s="12" t="n">
        <v>1</v>
      </c>
      <c r="G79" s="12" t="n">
        <v>1</v>
      </c>
      <c r="H79" s="12" t="n">
        <v>2</v>
      </c>
      <c r="I79" s="12" t="n">
        <v>2</v>
      </c>
      <c r="J79" s="12" t="n">
        <v>2</v>
      </c>
      <c r="K79" s="12" t="n">
        <v>2</v>
      </c>
    </row>
    <row r="80" customFormat="false" ht="15" hidden="false" customHeight="false" outlineLevel="0" collapsed="false">
      <c r="A80" s="10" t="str">
        <f aca="false">parametros_recargas!$B$90</f>
        <v>Pintura</v>
      </c>
      <c r="B80" s="12" t="n">
        <v>1</v>
      </c>
      <c r="C80" s="12" t="n">
        <v>1</v>
      </c>
      <c r="D80" s="12" t="n">
        <v>1</v>
      </c>
      <c r="E80" s="12" t="n">
        <v>1</v>
      </c>
      <c r="F80" s="12" t="n">
        <v>1</v>
      </c>
      <c r="G80" s="12" t="n">
        <v>1</v>
      </c>
      <c r="H80" s="12" t="n">
        <v>2</v>
      </c>
      <c r="I80" s="12" t="n">
        <v>2</v>
      </c>
      <c r="J80" s="12" t="n">
        <v>2</v>
      </c>
      <c r="K80" s="12" t="n">
        <v>2</v>
      </c>
    </row>
    <row r="81" customFormat="false" ht="15" hidden="false" customHeight="false" outlineLevel="0" collapsed="false">
      <c r="A81" s="10" t="str">
        <f aca="false">parametros_recargas!$B$91</f>
        <v>Carga de polvo ABC</v>
      </c>
      <c r="B81" s="12" t="n">
        <v>1</v>
      </c>
      <c r="C81" s="12" t="n">
        <v>1</v>
      </c>
      <c r="D81" s="12" t="n">
        <v>1</v>
      </c>
      <c r="E81" s="12" t="n">
        <v>1</v>
      </c>
      <c r="F81" s="12" t="n">
        <v>1</v>
      </c>
      <c r="G81" s="12" t="n">
        <v>1</v>
      </c>
      <c r="H81" s="12" t="n">
        <v>2</v>
      </c>
      <c r="I81" s="12" t="n">
        <v>2</v>
      </c>
      <c r="J81" s="12" t="n">
        <v>2</v>
      </c>
      <c r="K81" s="12" t="n">
        <v>2</v>
      </c>
    </row>
    <row r="82" customFormat="false" ht="15" hidden="false" customHeight="false" outlineLevel="0" collapsed="false">
      <c r="A82" s="10" t="str">
        <f aca="false">parametros_recargas!$B$92</f>
        <v>Carga de polvo BC</v>
      </c>
      <c r="B82" s="12" t="n">
        <v>1</v>
      </c>
      <c r="C82" s="12" t="n">
        <v>1</v>
      </c>
      <c r="D82" s="12" t="n">
        <v>1</v>
      </c>
      <c r="E82" s="12" t="n">
        <v>1</v>
      </c>
      <c r="F82" s="12" t="n">
        <v>1</v>
      </c>
      <c r="G82" s="12" t="n">
        <v>1</v>
      </c>
      <c r="H82" s="12" t="n">
        <v>1</v>
      </c>
      <c r="I82" s="12" t="n">
        <v>1</v>
      </c>
      <c r="J82" s="12" t="n">
        <v>1</v>
      </c>
      <c r="K82" s="12" t="n">
        <v>1</v>
      </c>
    </row>
    <row r="83" customFormat="false" ht="15" hidden="false" customHeight="false" outlineLevel="0" collapsed="false">
      <c r="A83" s="10" t="str">
        <f aca="false">parametros_recargas!$B$93</f>
        <v>Descarga y carga Clase D</v>
      </c>
      <c r="B83" s="12" t="n">
        <v>1</v>
      </c>
      <c r="C83" s="12" t="n">
        <v>1</v>
      </c>
      <c r="D83" s="12" t="n">
        <v>1</v>
      </c>
      <c r="E83" s="12" t="n">
        <v>1</v>
      </c>
      <c r="F83" s="12" t="n">
        <v>1</v>
      </c>
      <c r="G83" s="12" t="n">
        <v>1</v>
      </c>
      <c r="H83" s="12" t="n">
        <v>1</v>
      </c>
      <c r="I83" s="12" t="n">
        <v>1</v>
      </c>
      <c r="J83" s="12" t="n">
        <v>1</v>
      </c>
      <c r="K83" s="12" t="n">
        <v>1</v>
      </c>
    </row>
    <row r="84" customFormat="false" ht="15" hidden="false" customHeight="false" outlineLevel="0" collapsed="false">
      <c r="A84" s="10" t="str">
        <f aca="false">parametros_recargas!$B$94</f>
        <v>Carga de agua / AFFF / sales K</v>
      </c>
      <c r="B84" s="12" t="n">
        <v>1</v>
      </c>
      <c r="C84" s="12" t="n">
        <v>1</v>
      </c>
      <c r="D84" s="12" t="n">
        <v>1</v>
      </c>
      <c r="E84" s="12" t="n">
        <v>1</v>
      </c>
      <c r="F84" s="12" t="n">
        <v>1</v>
      </c>
      <c r="G84" s="12" t="n">
        <v>1</v>
      </c>
      <c r="H84" s="12" t="n">
        <v>1</v>
      </c>
      <c r="I84" s="12" t="n">
        <v>1</v>
      </c>
      <c r="J84" s="12" t="n">
        <v>1</v>
      </c>
      <c r="K84" s="12" t="n">
        <v>1</v>
      </c>
    </row>
    <row r="85" customFormat="false" ht="15" hidden="false" customHeight="false" outlineLevel="0" collapsed="false">
      <c r="A85" s="10" t="str">
        <f aca="false">parametros_recargas!$B$95</f>
        <v>Carga de CO₂</v>
      </c>
      <c r="B85" s="12" t="n">
        <v>1</v>
      </c>
      <c r="C85" s="12" t="n">
        <v>1</v>
      </c>
      <c r="D85" s="12" t="n">
        <v>1</v>
      </c>
      <c r="E85" s="12" t="n">
        <v>1</v>
      </c>
      <c r="F85" s="12" t="n">
        <v>1</v>
      </c>
      <c r="G85" s="12" t="n">
        <v>1</v>
      </c>
      <c r="H85" s="12" t="n">
        <v>1</v>
      </c>
      <c r="I85" s="12" t="n">
        <v>1</v>
      </c>
      <c r="J85" s="12" t="n">
        <v>1</v>
      </c>
      <c r="K85" s="12" t="n">
        <v>1</v>
      </c>
    </row>
    <row r="86" customFormat="false" ht="15" hidden="false" customHeight="false" outlineLevel="0" collapsed="false">
      <c r="A86" s="10" t="str">
        <f aca="false">parametros_recargas!$B$96</f>
        <v>Ensamblaje y marbete — recinto</v>
      </c>
      <c r="B86" s="12" t="n">
        <v>1</v>
      </c>
      <c r="C86" s="12" t="n">
        <v>1</v>
      </c>
      <c r="D86" s="12" t="n">
        <v>1</v>
      </c>
      <c r="E86" s="12" t="n">
        <v>1</v>
      </c>
      <c r="F86" s="12" t="n">
        <v>1</v>
      </c>
      <c r="G86" s="12" t="n">
        <v>1</v>
      </c>
      <c r="H86" s="12" t="n">
        <v>2</v>
      </c>
      <c r="I86" s="12" t="n">
        <v>2</v>
      </c>
      <c r="J86" s="12" t="n">
        <v>2</v>
      </c>
      <c r="K86" s="12" t="n">
        <v>2</v>
      </c>
    </row>
    <row r="87" customFormat="false" ht="15" hidden="false" customHeight="false" outlineLevel="0" collapsed="false">
      <c r="A87" s="10" t="str">
        <f aca="false">parametros_recargas!$B$97</f>
        <v>Presurización — recinto</v>
      </c>
      <c r="B87" s="12" t="n">
        <v>1</v>
      </c>
      <c r="C87" s="12" t="n">
        <v>1</v>
      </c>
      <c r="D87" s="12" t="n">
        <v>1</v>
      </c>
      <c r="E87" s="12" t="n">
        <v>1</v>
      </c>
      <c r="F87" s="12" t="n">
        <v>1</v>
      </c>
      <c r="G87" s="12" t="n">
        <v>1</v>
      </c>
      <c r="H87" s="12" t="n">
        <v>2</v>
      </c>
      <c r="I87" s="12" t="n">
        <v>2</v>
      </c>
      <c r="J87" s="12" t="n">
        <v>2</v>
      </c>
      <c r="K87" s="12" t="n">
        <v>2</v>
      </c>
    </row>
    <row r="88" customFormat="false" ht="15" hidden="false" customHeight="false" outlineLevel="0" collapsed="false">
      <c r="A88" s="10" t="str">
        <f aca="false">parametros_recargas!$B$98</f>
        <v>Ensamblaje y presurización — zona general</v>
      </c>
      <c r="B88" s="12" t="n">
        <v>1</v>
      </c>
      <c r="C88" s="12" t="n">
        <v>1</v>
      </c>
      <c r="D88" s="12" t="n">
        <v>1</v>
      </c>
      <c r="E88" s="12" t="n">
        <v>1</v>
      </c>
      <c r="F88" s="12" t="n">
        <v>1</v>
      </c>
      <c r="G88" s="12" t="n">
        <v>1</v>
      </c>
      <c r="H88" s="12" t="n">
        <v>1</v>
      </c>
      <c r="I88" s="12" t="n">
        <v>1</v>
      </c>
      <c r="J88" s="12" t="n">
        <v>1</v>
      </c>
      <c r="K88" s="12" t="n">
        <v>1</v>
      </c>
    </row>
    <row r="89" customFormat="false" ht="15" hidden="false" customHeight="false" outlineLevel="0" collapsed="false">
      <c r="A89" s="10" t="str">
        <f aca="false">parametros_recargas!$B$99</f>
        <v>Carga y presurización de halogenado</v>
      </c>
      <c r="B89" s="12" t="n">
        <v>1</v>
      </c>
      <c r="C89" s="12" t="n">
        <v>1</v>
      </c>
      <c r="D89" s="12" t="n">
        <v>1</v>
      </c>
      <c r="E89" s="12" t="n">
        <v>1</v>
      </c>
      <c r="F89" s="12" t="n">
        <v>1</v>
      </c>
      <c r="G89" s="12" t="n">
        <v>1</v>
      </c>
      <c r="H89" s="12" t="n">
        <v>1</v>
      </c>
      <c r="I89" s="12" t="n">
        <v>1</v>
      </c>
      <c r="J89" s="12" t="n">
        <v>1</v>
      </c>
      <c r="K89" s="12" t="n">
        <v>1</v>
      </c>
    </row>
    <row r="90" customFormat="false" ht="15" hidden="false" customHeight="false" outlineLevel="0" collapsed="false">
      <c r="A90" s="10" t="str">
        <f aca="false">parametros_recargas!$B$100</f>
        <v>Control de peso (CO₂ y halogenados sin recarga)</v>
      </c>
      <c r="B90" s="12" t="n">
        <v>1</v>
      </c>
      <c r="C90" s="12" t="n">
        <v>1</v>
      </c>
      <c r="D90" s="12" t="n">
        <v>1</v>
      </c>
      <c r="E90" s="12" t="n">
        <v>1</v>
      </c>
      <c r="F90" s="12" t="n">
        <v>1</v>
      </c>
      <c r="G90" s="12" t="n">
        <v>1</v>
      </c>
      <c r="H90" s="12" t="n">
        <v>1</v>
      </c>
      <c r="I90" s="12" t="n">
        <v>1</v>
      </c>
      <c r="J90" s="12" t="n">
        <v>1</v>
      </c>
      <c r="K90" s="12" t="n">
        <v>1</v>
      </c>
    </row>
    <row r="91" customFormat="false" ht="15" hidden="false" customHeight="false" outlineLevel="0" collapsed="false">
      <c r="A91" s="10" t="str">
        <f aca="false">parametros_recargas!$B$101</f>
        <v>Ensayo de pérdidas</v>
      </c>
      <c r="B91" s="12" t="n">
        <v>1</v>
      </c>
      <c r="C91" s="12" t="n">
        <v>1</v>
      </c>
      <c r="D91" s="12" t="n">
        <v>1</v>
      </c>
      <c r="E91" s="12" t="n">
        <v>1</v>
      </c>
      <c r="F91" s="12" t="n">
        <v>1</v>
      </c>
      <c r="G91" s="12" t="n">
        <v>1</v>
      </c>
      <c r="H91" s="12" t="n">
        <v>2</v>
      </c>
      <c r="I91" s="12" t="n">
        <v>2</v>
      </c>
      <c r="J91" s="12" t="n">
        <v>2</v>
      </c>
      <c r="K91" s="12" t="n">
        <v>2</v>
      </c>
    </row>
    <row r="92" customFormat="false" ht="15" hidden="false" customHeight="false" outlineLevel="0" collapsed="false">
      <c r="A92" s="10" t="str">
        <f aca="false">parametros_recargas!$B$102</f>
        <v>Precinto, etiqueta y despacho</v>
      </c>
      <c r="B92" s="12" t="n">
        <v>1</v>
      </c>
      <c r="C92" s="12" t="n">
        <v>1</v>
      </c>
      <c r="D92" s="12" t="n">
        <v>1</v>
      </c>
      <c r="E92" s="12" t="n">
        <v>1</v>
      </c>
      <c r="F92" s="12" t="n">
        <v>1</v>
      </c>
      <c r="G92" s="12" t="n">
        <v>1</v>
      </c>
      <c r="H92" s="12" t="n">
        <v>2</v>
      </c>
      <c r="I92" s="12" t="n">
        <v>2</v>
      </c>
      <c r="J92" s="12" t="n">
        <v>2</v>
      </c>
      <c r="K92" s="12" t="n">
        <v>2</v>
      </c>
    </row>
    <row r="93" customFormat="false" ht="15" hidden="false" customHeight="false" outlineLevel="0" collapsed="false">
      <c r="A93" s="10" t="str">
        <f aca="false">parametros_recargas!$B$103</f>
        <v>Inutilización y disposición final</v>
      </c>
      <c r="B93" s="12" t="n">
        <v>1</v>
      </c>
      <c r="C93" s="12" t="n">
        <v>1</v>
      </c>
      <c r="D93" s="12" t="n">
        <v>1</v>
      </c>
      <c r="E93" s="12" t="n">
        <v>1</v>
      </c>
      <c r="F93" s="12" t="n">
        <v>1</v>
      </c>
      <c r="G93" s="12" t="n">
        <v>1</v>
      </c>
      <c r="H93" s="12" t="n">
        <v>2</v>
      </c>
      <c r="I93" s="12" t="n">
        <v>2</v>
      </c>
      <c r="J93" s="12" t="n">
        <v>2</v>
      </c>
      <c r="K93" s="12" t="n">
        <v>2</v>
      </c>
    </row>
    <row r="94" customFormat="false" ht="15" hidden="false" customHeight="false" outlineLevel="0" collapsed="false">
      <c r="A94" s="10" t="str">
        <f aca="false">parametros_recargas!$B$104</f>
        <v>PH de mangueras (CO₂ y rodantes)</v>
      </c>
      <c r="B94" s="12" t="n">
        <v>1</v>
      </c>
      <c r="C94" s="12" t="n">
        <v>1</v>
      </c>
      <c r="D94" s="12" t="n">
        <v>1</v>
      </c>
      <c r="E94" s="12" t="n">
        <v>1</v>
      </c>
      <c r="F94" s="12" t="n">
        <v>1</v>
      </c>
      <c r="G94" s="12" t="n">
        <v>1</v>
      </c>
      <c r="H94" s="12" t="n">
        <v>1</v>
      </c>
      <c r="I94" s="12" t="n">
        <v>1</v>
      </c>
      <c r="J94" s="12" t="n">
        <v>1</v>
      </c>
      <c r="K94" s="12" t="n">
        <v>1</v>
      </c>
    </row>
    <row r="95" customFormat="false" ht="15" hidden="false" customHeight="false" outlineLevel="0" collapsed="false">
      <c r="A95" s="4" t="s">
        <v>468</v>
      </c>
      <c r="B95" s="14" t="n">
        <f aca="false">MAX(B66:B94)</f>
        <v>1</v>
      </c>
      <c r="C95" s="14" t="n">
        <f aca="false">MAX(C66:C94)</f>
        <v>1</v>
      </c>
      <c r="D95" s="14" t="n">
        <f aca="false">MAX(D66:D94)</f>
        <v>1</v>
      </c>
      <c r="E95" s="14" t="n">
        <f aca="false">MAX(E66:E94)</f>
        <v>1</v>
      </c>
      <c r="F95" s="14" t="n">
        <f aca="false">MAX(F66:F94)</f>
        <v>1</v>
      </c>
      <c r="G95" s="14" t="n">
        <f aca="false">MAX(G66:G94)</f>
        <v>1</v>
      </c>
      <c r="H95" s="14" t="n">
        <f aca="false">MAX(H66:H94)</f>
        <v>2</v>
      </c>
      <c r="I95" s="14" t="n">
        <f aca="false">MAX(I66:I94)</f>
        <v>2</v>
      </c>
      <c r="J95" s="14" t="n">
        <f aca="false">MAX(J66:J94)</f>
        <v>2</v>
      </c>
      <c r="K95" s="14" t="n">
        <f aca="false">MAX(K66:K94)</f>
        <v>2</v>
      </c>
    </row>
  </sheetData>
  <conditionalFormatting sqref="B2:B30">
    <cfRule type="expression" priority="2" aboveAverage="0" equalAverage="0" bottom="0" percent="0" rank="0" text="" dxfId="0">
      <formula>B2&gt;$O$9</formula>
    </cfRule>
    <cfRule type="expression" priority="3" aboveAverage="0" equalAverage="0" bottom="0" percent="0" rank="0" text="" dxfId="1">
      <formula>$L2="Tercerizado"</formula>
    </cfRule>
    <cfRule type="expression" priority="4" aboveAverage="0" equalAverage="0" bottom="0" percent="0" rank="0" text="" dxfId="2">
      <formula>B66&gt;1</formula>
    </cfRule>
    <cfRule type="expression" priority="5" aboveAverage="0" equalAverage="0" bottom="0" percent="0" rank="0" text="" dxfId="3">
      <formula>AND(B34&gt;1,$L2&lt;&gt;"Manual")</formula>
    </cfRule>
    <cfRule type="expression" priority="6" aboveAverage="0" equalAverage="0" bottom="0" percent="0" rank="0" text="" dxfId="4">
      <formula>AND(B34&gt;1,$L2="Manual")</formula>
    </cfRule>
  </conditionalFormatting>
  <conditionalFormatting sqref="C2:K30">
    <cfRule type="expression" priority="7" aboveAverage="0" equalAverage="0" bottom="0" percent="0" rank="0" text="" dxfId="0">
      <formula>C2&gt;$O$9</formula>
    </cfRule>
    <cfRule type="expression" priority="8" aboveAverage="0" equalAverage="0" bottom="0" percent="0" rank="0" text="" dxfId="1">
      <formula>$L2="Tercerizado"</formula>
    </cfRule>
    <cfRule type="expression" priority="9" aboveAverage="0" equalAverage="0" bottom="0" percent="0" rank="0" text="" dxfId="2">
      <formula>C66&gt;B66</formula>
    </cfRule>
    <cfRule type="expression" priority="10" aboveAverage="0" equalAverage="0" bottom="0" percent="0" rank="0" text="" dxfId="3">
      <formula>AND(C34&gt;B34,$L2&lt;&gt;"Manual")</formula>
    </cfRule>
    <cfRule type="expression" priority="11" aboveAverage="0" equalAverage="0" bottom="0" percent="0" rank="0" text="" dxfId="4">
      <formula>AND(C34&gt;B34,$L2="Manual")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2026-10-19T00:26:17Z</dcterms:created>
  <dc:creator>openpyxl</dc:creator>
  <dc:description/>
  <dc:language>en-US</dc:language>
  <cp:lastModifiedBy/>
  <dcterms:modified xsi:type="dcterms:W3CDTF">2026-10-19T00:26:18Z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