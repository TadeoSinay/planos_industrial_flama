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Links" sheetId="1" state="visible" r:id="rId3"/>
    <sheet name="Resumen" sheetId="2" state="visible" r:id="rId4"/>
    <sheet name="Datos" sheetId="3" state="visible" r:id="rId5"/>
    <sheet name="Demanda" sheetId="4" state="visible" r:id="rId6"/>
    <sheet name="Piezas" sheetId="5" state="visible" r:id="rId7"/>
    <sheet name="Corte" sheetId="6" state="visible" r:id="rId8"/>
    <sheet name="Nesting" sheetId="7" state="visible" r:id="rId9"/>
    <sheet name="Cálculo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<sst xmlns="http://schemas.openxmlformats.org/spreadsheetml/2006/main" count="1288" uniqueCount="662">
  <si>
    <t xml:space="preserve">Links e IMPORTRANGE</t>
  </si>
  <si>
    <t xml:space="preserve">Pegar en B el link de cada Google Sheet. La primera vez, tocar la primera celda de cada bloque y «Permitir acceso». Todos los IMPORTRANGE del libro están en esta hoja.</t>
  </si>
  <si>
    <t xml:space="preserve">Archivo</t>
  </si>
  <si>
    <t xml:space="preserve">Link</t>
  </si>
  <si>
    <t xml:space="preserve">Qué se importa</t>
  </si>
  <si>
    <t xml:space="preserve">Estado</t>
  </si>
  <si>
    <t xml:space="preserve">Proyecciones</t>
  </si>
  <si>
    <t xml:space="preserve">https://docs.google.com/spreadsheets/d/1xc4xDAwSYT3l-RulPYtcePxiCninrbQGzaBUsgO0YEs/edit?gid=1764491891#gid=1764491891</t>
  </si>
  <si>
    <t xml:space="preserve">Indexado Dim Técnico B3:K10 y B15:K22 → Demanda</t>
  </si>
  <si>
    <t xml:space="preserve">Aprovechamiento Recargas Planta Comercial</t>
  </si>
  <si>
    <t xml:space="preserve">PEGAR ACÁ EL LINK DEL GOOGLE SHEET</t>
  </si>
  <si>
    <t xml:space="preserve">sobrestock_sustitutos B73:K76 y B86:K89 → Demanda</t>
  </si>
  <si>
    <t xml:space="preserve">Aprovechamiento Recargas Planta Industrial</t>
  </si>
  <si>
    <t xml:space="preserve">Sin link, esa fuente suma 0 en Demanda (la columna Estado lo avisa).</t>
  </si>
  <si>
    <t xml:space="preserve">Proyecciones · Indexado Dim Técnico B3:K10: matafuegos terminados</t>
  </si>
  <si>
    <t xml:space="preserve">Formato</t>
  </si>
  <si>
    <t xml:space="preserve">Qué es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</si>
  <si>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</si>
  <si>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</si>
  <si>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</si>
  <si>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</si>
  <si>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</si>
  <si>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</si>
  <si>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</si>
  <si>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</si>
  <si>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</si>
  <si>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</si>
  <si>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1 kg</t>
  </si>
  <si>
    <t xml:space="preserve">Terminados</t>
  </si>
  <si>
    <t xml:space="preserve">2,5 kg</t>
  </si>
  <si>
    <t xml:space="preserve">5 kg</t>
  </si>
  <si>
    <t xml:space="preserve">10 kg</t>
  </si>
  <si>
    <t xml:space="preserve">25 kg</t>
  </si>
  <si>
    <t xml:space="preserve">50 kg</t>
  </si>
  <si>
    <t xml:space="preserve">70 kg</t>
  </si>
  <si>
    <t xml:space="preserve">100 kg</t>
  </si>
  <si>
    <t xml:space="preserve">Proyecciones · Indexado Dim Técnico B15:K22: cilindros vendidos vacíos</t>
  </si>
  <si>
    <t xml:space="preserve">Cilindros</t>
  </si>
  <si>
    <t xml:space="preserve">Recargas Planta Industrial · sobrestock_sustitutos B73:K76 y B86:K89: sustitutos ABC terminados</t>
  </si>
  <si>
    <t xml:space="preserve">Sustitutos</t>
  </si>
  <si>
    <t xml:space="preserve">Recargas Planta Comercial · sobrestock_sustitutos B73:K76 y B86:K89: sustitutos ABC cilindros vacíos</t>
  </si>
  <si>
    <t xml:space="preserve">Corte de chapa: comparación de alternativas 2026-2035</t>
  </si>
  <si>
    <t xml:space="preserve">Cuerpos de 1 a 100 kg, cúpulas y fondos de 1 a 10 kg. Valor actual = inversión + costos de 10 años descontados. Menor es mejor.</t>
  </si>
  <si>
    <t xml:space="preserve">Indicador</t>
  </si>
  <si>
    <t xml:space="preserve">A: bobina por formato + fleje</t>
  </si>
  <si>
    <t xml:space="preserve">B: hojas para todo</t>
  </si>
  <si>
    <t xml:space="preserve">C: bobina madre propia</t>
  </si>
  <si>
    <t xml:space="preserve">D: hojas + fleje</t>
  </si>
  <si>
    <t xml:space="preserve">Referencia: cuerpos a medida</t>
  </si>
  <si>
    <t xml:space="preserve">Cuerpos: se compra</t>
  </si>
  <si>
    <t xml:space="preserve">Bobina de ancho estándar por formato, línea de corte transversal</t>
  </si>
  <si>
    <t xml:space="preserve">Hojas estándar, dos guillotinas en serie</t>
  </si>
  <si>
    <t xml:space="preserve">Bobina madre por espesor, cortada en flejes propios</t>
  </si>
  <si>
    <t xml:space="preserve">Cuerpos comprados cortados a medida</t>
  </si>
  <si>
    <t xml:space="preserve">Cúpulas y fondos: se compra</t>
  </si>
  <si>
    <t xml:space="preserve">Fleje a medida por disco</t>
  </si>
  <si>
    <t xml:space="preserve">Tiras de hoja cargadas a mano</t>
  </si>
  <si>
    <t xml:space="preserve">Flejes propios de la bobina madre</t>
  </si>
  <si>
    <t xml:space="preserve">Inversión en equipos (USD)</t>
  </si>
  <si>
    <t xml:space="preserve">Acero comprado 2026-2035 (t)</t>
  </si>
  <si>
    <t xml:space="preserve">Aprovechamiento de chapa 2026-2035</t>
  </si>
  <si>
    <t xml:space="preserve">Horas-hombre de corte en el año de referencia</t>
  </si>
  <si>
    <t xml:space="preserve">Costo anual en el año de referencia (USD)</t>
  </si>
  <si>
    <t xml:space="preserve">Valor actual a 10 años (USD)</t>
  </si>
  <si>
    <t xml:space="preserve">Ranking (1 = conviene; la referencia no corta en planta)</t>
  </si>
  <si>
    <t xml:space="preserve">—</t>
  </si>
  <si>
    <t xml:space="preserve">Diferencia contra la que conviene (USD)</t>
  </si>
  <si>
    <t xml:space="preserve">Conviene (de las que cortan en planta)</t>
  </si>
  <si>
    <t xml:space="preserve">Margen de D: suba del precio de la hoja que la iguala con A</t>
  </si>
  <si>
    <t xml:space="preserve">Margen de D: suba del precio del fleje que la iguala con B</t>
  </si>
  <si>
    <t xml:space="preserve">Datos editables en la hoja Datos (gris claro). Demanda por IMPORTRANGE (hoja Links). Medidas de cuerpos y discos del plano (hoja Piezas).</t>
  </si>
  <si>
    <t xml:space="preserve">Datos</t>
  </si>
  <si>
    <t xml:space="preserve">Gris claro: dato editable. Todo lo demás del libro sale de acá, de Demanda y de Piezas.</t>
  </si>
  <si>
    <t xml:space="preserve">1. Generales</t>
  </si>
  <si>
    <t xml:space="preserve">Concepto</t>
  </si>
  <si>
    <t xml:space="preserve">Valor</t>
  </si>
  <si>
    <t xml:space="preserve">Unidad</t>
  </si>
  <si>
    <t xml:space="preserve">Fuente o criterio</t>
  </si>
  <si>
    <t xml:space="preserve">Año de referencia</t>
  </si>
  <si>
    <t xml:space="preserve">año</t>
  </si>
  <si>
    <t xml:space="preserve">Año de diseño del proyecto (Proyecciones).</t>
  </si>
  <si>
    <t xml:space="preserve">Tasa de descuento anual en USD</t>
  </si>
  <si>
    <t xml:space="preserve">%</t>
  </si>
  <si>
    <t xml:space="preserve">Evaluación económica del Excel V2 (12 % real).</t>
  </si>
  <si>
    <t xml:space="preserve">Mantenimiento anual de equipos</t>
  </si>
  <si>
    <t xml:space="preserve">% de la inversión</t>
  </si>
  <si>
    <t xml:space="preserve">Criterio del grupo.</t>
  </si>
  <si>
    <t xml:space="preserve">Precio de venta del scrap</t>
  </si>
  <si>
    <t xml:space="preserve">USD/t</t>
  </si>
  <si>
    <t xml:space="preserve">Reaquila (mar-2026): acero reciclado $300-1.200/kg con dólar ~$1.480.</t>
  </si>
  <si>
    <t xml:space="preserve">Densidad del acero SAE 1010</t>
  </si>
  <si>
    <t xml:space="preserve">g/cm³</t>
  </si>
  <si>
    <t xml:space="preserve">Planilla «Dimensiones de chapa».</t>
  </si>
  <si>
    <t xml:space="preserve">Costo mensual de un operario con cargas</t>
  </si>
  <si>
    <t xml:space="preserve">ARS/mes</t>
  </si>
  <si>
    <t xml:space="preserve">Planilla «Costo oportunidad operario-máquina», CCT 260/75, ago-2026.</t>
  </si>
  <si>
    <t xml:space="preserve">Horas por mes</t>
  </si>
  <si>
    <t xml:space="preserve">h/mes</t>
  </si>
  <si>
    <t xml:space="preserve">Excel V2.</t>
  </si>
  <si>
    <t xml:space="preserve">Horas productivas por operario y año</t>
  </si>
  <si>
    <t xml:space="preserve">h/año</t>
  </si>
  <si>
    <t xml:space="preserve">Excel V2 (150 h × 12).</t>
  </si>
  <si>
    <t xml:space="preserve">Tipo de cambio</t>
  </si>
  <si>
    <t xml:space="preserve">ARS/USD</t>
  </si>
  <si>
    <t xml:space="preserve">Valor fijo del proyecto (criterio del grupo).</t>
  </si>
  <si>
    <t xml:space="preserve">Costo hora de operario</t>
  </si>
  <si>
    <t xml:space="preserve">USD/h</t>
  </si>
  <si>
    <t xml:space="preserve">Cálculo.</t>
  </si>
  <si>
    <t xml:space="preserve">2. Corte y puentes</t>
  </si>
  <si>
    <t xml:space="preserve">Margen mínimo de borde a lo ancho de una bobina</t>
  </si>
  <si>
    <t xml:space="preserve">mm</t>
  </si>
  <si>
    <t xml:space="preserve">Criterio del grupo: bordes de laminación y tolerancia de ancho.</t>
  </si>
  <si>
    <t xml:space="preserve">Despunte de cabeza y cola de bobina</t>
  </si>
  <si>
    <t xml:space="preserve">Puente de avance entre discos</t>
  </si>
  <si>
    <t xml:space="preserve">× espesor</t>
  </si>
  <si>
    <t xml:space="preserve">MISUMI, Press Dies Tutorial: 1,5 veces el espesor, mínimo 0,7 mm.</t>
  </si>
  <si>
    <t xml:space="preserve">Puente mínimo entre discos</t>
  </si>
  <si>
    <t xml:space="preserve">MISUMI.</t>
  </si>
  <si>
    <t xml:space="preserve">Puente al borde del fleje</t>
  </si>
  <si>
    <t xml:space="preserve">× puente de avance</t>
  </si>
  <si>
    <t xml:space="preserve">MISUMI: 1,5 veces el de avance (la guía del fleje deja juego).</t>
  </si>
  <si>
    <t xml:space="preserve">¿Mezclar 70 y 100 kg en la misma hoja?</t>
  </si>
  <si>
    <t xml:space="preserve">SI</t>
  </si>
  <si>
    <t xml:space="preserve">SI/NO</t>
  </si>
  <si>
    <t xml:space="preserve">Proceso de carros: la hoja mixta lleva 1 cuerpo de 100 kg y 3 de 70 kg.</t>
  </si>
  <si>
    <t xml:space="preserve">Cuerpos de 100 kg por hoja mixta</t>
  </si>
  <si>
    <t xml:space="preserve">u</t>
  </si>
  <si>
    <t xml:space="preserve">Proceso de carros.</t>
  </si>
  <si>
    <t xml:space="preserve">Cuerpos de 70 kg por hoja mixta</t>
  </si>
  <si>
    <t xml:space="preserve">¿Combinar 25 y 50 kg en la hoja de 3,2 mm (corte en tres etapas)?</t>
  </si>
  <si>
    <t xml:space="preserve">Hoja Nesting: el aprovechamiento de la chapa de 3,2 mm sube del 85 % al 90 %.</t>
  </si>
  <si>
    <t xml:space="preserve">¿Discos en fleje de dos filas al tresbolillo?</t>
  </si>
  <si>
    <t xml:space="preserve">NO</t>
  </si>
  <si>
    <t xml:space="preserve">Corte, sección C: necesita matriz de dos discos o alimentador en zigzag (sin cotización).</t>
  </si>
  <si>
    <t xml:space="preserve">3. Máquinas</t>
  </si>
  <si>
    <t xml:space="preserve">Guillotina 1 (franjas) Ermaksan CNC HGS 2600-6: golpes por minuto</t>
  </si>
  <si>
    <t xml:space="preserve">golpes/min</t>
  </si>
  <si>
    <t xml:space="preserve">Aprovechamiento Manuales del grupo. La ficha de la máquina (resale.info, 2018) da 24.</t>
  </si>
  <si>
    <t xml:space="preserve">Guillotina 1: largo de corte</t>
  </si>
  <si>
    <t xml:space="preserve">Ficha Ermaksan CNC HGS 2600-6: 2.600 × 6 mm.</t>
  </si>
  <si>
    <t xml:space="preserve">Guillotina 1: recorrido del tope trasero</t>
  </si>
  <si>
    <t xml:space="preserve">Ficha Ermaksan CNC HGS 2600-6: tope trasero motorizado de 1.000 mm.</t>
  </si>
  <si>
    <t xml:space="preserve">Guillotina 2 (piezas) QC12Y 6 × 2500: golpes por minuto</t>
  </si>
  <si>
    <t xml:space="preserve">Confirmado por el grupo (igual que la HG 6 × 2500 de la ficha Molinari Panther).</t>
  </si>
  <si>
    <t xml:space="preserve">Guillotina 2: largo de corte para franjas en paralelo</t>
  </si>
  <si>
    <t xml:space="preserve">Publicación Alibaba 1600900259147: 6 × 2500, cuchilla de 2.550 mm.</t>
  </si>
  <si>
    <t xml:space="preserve">Guillotina 2: recorrido del tope trasero</t>
  </si>
  <si>
    <t xml:space="preserve">Publicación Alibaba 1600900259147: 20 a 800 mm.</t>
  </si>
  <si>
    <t xml:space="preserve">Hojas por ciclo como máximo (franjas de hojas enteras en paralelo en G2)</t>
  </si>
  <si>
    <t xml:space="preserve">hojas</t>
  </si>
  <si>
    <t xml:space="preserve">Criterio del grupo (comentarios del corte de 5 y 10 kg): sin franjas sueltas en el pulmón.</t>
  </si>
  <si>
    <t xml:space="preserve">Guillotina 1 Ermaksan CNC HGS 2600-6 usada (2018)</t>
  </si>
  <si>
    <t xml:space="preserve">EUR</t>
  </si>
  <si>
    <t xml:space="preserve">Anuncio resale.info N.° 165879844 (nov-2024), sin flete ni nacionalización.</t>
  </si>
  <si>
    <t xml:space="preserve">Tipo de cambio euro / dólar</t>
  </si>
  <si>
    <t xml:space="preserve">USD/EUR</t>
  </si>
  <si>
    <t xml:space="preserve">Pound Sterling Live: USD/EUR 0,8723 al cierre del 21/09/2026.</t>
  </si>
  <si>
    <t xml:space="preserve">Línea de corte transversal (A y C): golpes por hora</t>
  </si>
  <si>
    <t xml:space="preserve">golpes/h</t>
  </si>
  <si>
    <t xml:space="preserve">Criterio del grupo: 20 golpes por minuto.</t>
  </si>
  <si>
    <t xml:space="preserve">Cortadora longitudinal (C): velocidad efectiva</t>
  </si>
  <si>
    <t xml:space="preserve">m/min</t>
  </si>
  <si>
    <t xml:space="preserve">Criterio del grupo (máquinas de 60 a 120 m/min nominales).</t>
  </si>
  <si>
    <t xml:space="preserve">Cortadora: armado de cuchillas por bobina madre</t>
  </si>
  <si>
    <t xml:space="preserve">min</t>
  </si>
  <si>
    <t xml:space="preserve">Operarios en la cortadora</t>
  </si>
  <si>
    <t xml:space="preserve">personas</t>
  </si>
  <si>
    <t xml:space="preserve">Carga manual de una tira en el balancín (B)</t>
  </si>
  <si>
    <t xml:space="preserve">s/tira</t>
  </si>
  <si>
    <t xml:space="preserve">Cambio de fleje en el desbobinador de la prensa</t>
  </si>
  <si>
    <t xml:space="preserve">min/fleje</t>
  </si>
  <si>
    <t xml:space="preserve">4. Compras y stock</t>
  </si>
  <si>
    <t xml:space="preserve">Stock de seguridad</t>
  </si>
  <si>
    <t xml:space="preserve">semanas</t>
  </si>
  <si>
    <t xml:space="preserve">Lote de compra de hojas y de chapa a medida</t>
  </si>
  <si>
    <t xml:space="preserve">meses</t>
  </si>
  <si>
    <t xml:space="preserve">Criterio del grupo: compra mensual.</t>
  </si>
  <si>
    <t xml:space="preserve">Cobertura objetivo de un rollo o bobina</t>
  </si>
  <si>
    <t xml:space="preserve">Cobertura máxima de stock por rollo</t>
  </si>
  <si>
    <t xml:space="preserve">Peso mínimo de rollo</t>
  </si>
  <si>
    <t xml:space="preserve">t</t>
  </si>
  <si>
    <t xml:space="preserve">Diámetro exterior máximo de bobina</t>
  </si>
  <si>
    <t xml:space="preserve">Diámetro interior de bobina</t>
  </si>
  <si>
    <t xml:space="preserve">Estándar de mercado.</t>
  </si>
  <si>
    <t xml:space="preserve">Peso máximo de bobina por mm de ancho</t>
  </si>
  <si>
    <t xml:space="preserve">t/mm</t>
  </si>
  <si>
    <t xml:space="preserve">Cálculo con el diámetro exterior máximo.</t>
  </si>
  <si>
    <t xml:space="preserve">Desbobinador de la línea de corte transversal</t>
  </si>
  <si>
    <t xml:space="preserve">A especificar al comprar.</t>
  </si>
  <si>
    <t xml:space="preserve">Desbobinador de fleje de la prensa</t>
  </si>
  <si>
    <t xml:space="preserve">Desbobinador de la cortadora longitudinal</t>
  </si>
  <si>
    <t xml:space="preserve">Pradecon: la bobina madre pesa 13-14 t.</t>
  </si>
  <si>
    <t xml:space="preserve">Precio de la bobina madre sobre la flejada</t>
  </si>
  <si>
    <t xml:space="preserve">Pradecon (mail 28/09/2026): no cobra el flejado.</t>
  </si>
  <si>
    <t xml:space="preserve">¿El puente grúa ya está en el layout por otro motivo?</t>
  </si>
  <si>
    <t xml:space="preserve">Si es SI, no se carga a A ni a C.</t>
  </si>
  <si>
    <t xml:space="preserve">5. Cotizaciones de acero recibidas (sin IVA)</t>
  </si>
  <si>
    <t xml:space="preserve">Cotización</t>
  </si>
  <si>
    <t xml:space="preserve">Id</t>
  </si>
  <si>
    <t xml:space="preserve">Espesor (mm)</t>
  </si>
  <si>
    <t xml:space="preserve">Moneda</t>
  </si>
  <si>
    <t xml:space="preserve">Precio por kg</t>
  </si>
  <si>
    <t xml:space="preserve">TC</t>
  </si>
  <si>
    <t xml:space="preserve">USD/kg</t>
  </si>
  <si>
    <t xml:space="preserve">Producto y nota</t>
  </si>
  <si>
    <t xml:space="preserve">Pradecon 173170</t>
  </si>
  <si>
    <t xml:space="preserve">Q1</t>
  </si>
  <si>
    <t xml:space="preserve">USD</t>
  </si>
  <si>
    <t xml:space="preserve">Ancho 1.220</t>
  </si>
  <si>
    <t xml:space="preserve">Bobina LAF flejada. Flejado sin cargo.</t>
  </si>
  <si>
    <t xml:space="preserve">Q2</t>
  </si>
  <si>
    <t xml:space="preserve">Bobina LAF flejada.</t>
  </si>
  <si>
    <t xml:space="preserve">Q3</t>
  </si>
  <si>
    <t xml:space="preserve">Ancho 1.220 o 1.000</t>
  </si>
  <si>
    <t xml:space="preserve">Q4</t>
  </si>
  <si>
    <t xml:space="preserve">Q5</t>
  </si>
  <si>
    <t xml:space="preserve">Ancho 1.245 o 1.500</t>
  </si>
  <si>
    <t xml:space="preserve">Bobina LAC flejada.</t>
  </si>
  <si>
    <t xml:space="preserve">Q6</t>
  </si>
  <si>
    <t xml:space="preserve">1500 × 3000</t>
  </si>
  <si>
    <t xml:space="preserve">Hoja LAC. Mismo producto que Q11.</t>
  </si>
  <si>
    <t xml:space="preserve">Pradecon 173195</t>
  </si>
  <si>
    <t xml:space="preserve">Q7</t>
  </si>
  <si>
    <t xml:space="preserve">ARS</t>
  </si>
  <si>
    <t xml:space="preserve">1000 × 2000</t>
  </si>
  <si>
    <t xml:space="preserve">Hoja LAF C16.</t>
  </si>
  <si>
    <t xml:space="preserve">Q8</t>
  </si>
  <si>
    <t xml:space="preserve">1220 × 2440</t>
  </si>
  <si>
    <t xml:space="preserve">Hoja LAF C18.</t>
  </si>
  <si>
    <t xml:space="preserve">Q9</t>
  </si>
  <si>
    <t xml:space="preserve">Hoja LAF C14.</t>
  </si>
  <si>
    <t xml:space="preserve">Q10</t>
  </si>
  <si>
    <t xml:space="preserve">Hoja LAC 1/8.</t>
  </si>
  <si>
    <t xml:space="preserve">Q11</t>
  </si>
  <si>
    <t xml:space="preserve">Hoja LAC 3/16.</t>
  </si>
  <si>
    <t xml:space="preserve">Hierros Parrotta 413329</t>
  </si>
  <si>
    <t xml:space="preserve">Q12</t>
  </si>
  <si>
    <t xml:space="preserve">Hoja doble decapada N.° 20. Neto con 6,84 % de descuento, contado.</t>
  </si>
  <si>
    <t xml:space="preserve">Q13</t>
  </si>
  <si>
    <t xml:space="preserve">Hoja doble decapada N.° 20.</t>
  </si>
  <si>
    <t xml:space="preserve">Q14</t>
  </si>
  <si>
    <t xml:space="preserve">Hoja doble decapada N.° 18 (1,2).</t>
  </si>
  <si>
    <t xml:space="preserve">Q15</t>
  </si>
  <si>
    <t xml:space="preserve">Hoja doble decapada N.° 16.</t>
  </si>
  <si>
    <t xml:space="preserve">Q16</t>
  </si>
  <si>
    <t xml:space="preserve">Hoja doble decapada N.° 14.</t>
  </si>
  <si>
    <t xml:space="preserve">Q17</t>
  </si>
  <si>
    <t xml:space="preserve">Q18</t>
  </si>
  <si>
    <t xml:space="preserve">Pacheco Chapas PR 42021</t>
  </si>
  <si>
    <t xml:space="preserve">Q19</t>
  </si>
  <si>
    <t xml:space="preserve">Ancho 200</t>
  </si>
  <si>
    <t xml:space="preserve">Rollo de fleje LAF.</t>
  </si>
  <si>
    <t xml:space="preserve">Q20</t>
  </si>
  <si>
    <t xml:space="preserve">Ancho 200 y 250</t>
  </si>
  <si>
    <t xml:space="preserve">Q21</t>
  </si>
  <si>
    <t xml:space="preserve">Ancho 249 y 300</t>
  </si>
  <si>
    <t xml:space="preserve">Q22</t>
  </si>
  <si>
    <t xml:space="preserve">1220 × 540</t>
  </si>
  <si>
    <t xml:space="preserve">Plancha a medida LAF.</t>
  </si>
  <si>
    <t xml:space="preserve">Q23</t>
  </si>
  <si>
    <t xml:space="preserve">1000 × 475</t>
  </si>
  <si>
    <t xml:space="preserve">Q24</t>
  </si>
  <si>
    <t xml:space="preserve">1500 × 563</t>
  </si>
  <si>
    <t xml:space="preserve">Q25</t>
  </si>
  <si>
    <t xml:space="preserve">1500 × 2584 / 1988</t>
  </si>
  <si>
    <t xml:space="preserve">Plancha a medida LAC.</t>
  </si>
  <si>
    <t xml:space="preserve">Pacheco Chapas PR 42024</t>
  </si>
  <si>
    <t xml:space="preserve">Q26</t>
  </si>
  <si>
    <t xml:space="preserve">1245 × 1360 / 1800</t>
  </si>
  <si>
    <t xml:space="preserve">6. Precio del acero por espesor y forma de compra (USD/kg)</t>
  </si>
  <si>
    <t xml:space="preserve">Bobina (A)</t>
  </si>
  <si>
    <t xml:space="preserve">Hoja (B y D)</t>
  </si>
  <si>
    <t xml:space="preserve">Fleje a medida</t>
  </si>
  <si>
    <t xml:space="preserve">Bobina madre (C)</t>
  </si>
  <si>
    <t xml:space="preserve">A medida (Ref.)</t>
  </si>
  <si>
    <t xml:space="preserve">Cotización usada</t>
  </si>
  <si>
    <t xml:space="preserve">Bobina Q1 · hoja Q12 · fleje Q1 · a medida Q12. A medida: sin cotización, se toma la hoja Q12.</t>
  </si>
  <si>
    <t xml:space="preserve">Bobina Q2 · hoja Q8 · fleje Q19 · a medida Q22.</t>
  </si>
  <si>
    <t xml:space="preserve">Bobina Q3 · hoja Q7 · fleje Q20 · a medida Q23.</t>
  </si>
  <si>
    <t xml:space="preserve">Bobina Q4 · hoja Q9 · fleje Q21 · a medida Q24.</t>
  </si>
  <si>
    <t xml:space="preserve">Bobina Q5 · hoja Q10 · fleje Q5 · a medida Q25. Fleje: la bobina flejada Q5.</t>
  </si>
  <si>
    <t xml:space="preserve">Bobina Q5 · hoja Q11 · fleje Q5 · a medida Q26. Bobina: sin cotización, se toma la de 3,2 (Q5).</t>
  </si>
  <si>
    <t xml:space="preserve">7. Equipos de corte y manejo (USD sin IVA)</t>
  </si>
  <si>
    <t xml:space="preserve">Equipo</t>
  </si>
  <si>
    <t xml:space="preserve">Precio (USD)</t>
  </si>
  <si>
    <t xml:space="preserve">A</t>
  </si>
  <si>
    <t xml:space="preserve">B</t>
  </si>
  <si>
    <t xml:space="preserve">C</t>
  </si>
  <si>
    <t xml:space="preserve">D</t>
  </si>
  <si>
    <t xml:space="preserve">Ref.</t>
  </si>
  <si>
    <t xml:space="preserve">Fuente</t>
  </si>
  <si>
    <t xml:space="preserve">Línea de corte transversal 1-6 mm × 1.600 (desbobinador, aplanadora, alimentador, cizalla)</t>
  </si>
  <si>
    <t xml:space="preserve">ESTIMADO del grupo: Hener da USD 45.000 para 0,2-3 mm × 1.250; para 4,75 mm, más pesada.</t>
  </si>
  <si>
    <t xml:space="preserve">Guillotina 1 (franjas) Ermaksan CNC HGS 2600-6, tope 1.000 mm</t>
  </si>
  <si>
    <t xml:space="preserve">Anuncio resale.info (usada, 2018), en EUR pasado a USD (sección 3).</t>
  </si>
  <si>
    <t xml:space="preserve">Guillotina 2 (piezas) QC12Y 6 × 2500, tope 800 mm</t>
  </si>
  <si>
    <t xml:space="preserve">Publicación Alibaba 1600900259147: FOB China, 1 a 2 unidades.</t>
  </si>
  <si>
    <t xml:space="preserve">Cortadora longitudinal 0,3-3,2 × 1.600</t>
  </si>
  <si>
    <t xml:space="preserve">ESTIMADO del grupo: Cangzhou Zunsheng USD 28.600-59.620 FOB.</t>
  </si>
  <si>
    <t xml:space="preserve">Puente grúa monoviga 10 t con carrilera</t>
  </si>
  <si>
    <t xml:space="preserve">Dongqi Crane: USD 10.000-50.000 (10 t básico).</t>
  </si>
  <si>
    <t xml:space="preserve">Pinza en C portabobinas y cunas</t>
  </si>
  <si>
    <t xml:space="preserve">ESTIMADO del grupo.</t>
  </si>
  <si>
    <t xml:space="preserve">Desbobinador, enderezador y alimentador servo de la prensa de discos</t>
  </si>
  <si>
    <t xml:space="preserve">ESTIMADO del grupo (en cotización).</t>
  </si>
  <si>
    <t xml:space="preserve">Estantería porta-flejes</t>
  </si>
  <si>
    <t xml:space="preserve">Autoelevador eléctrico 2,5 t</t>
  </si>
  <si>
    <t xml:space="preserve">Mercado Libre GBA, nuevos 2026: USD 13.700-26.700.</t>
  </si>
  <si>
    <t xml:space="preserve">Mesa elevadora de tijera 3 t</t>
  </si>
  <si>
    <t xml:space="preserve">Mesa de bolas entre la mesa elevadora y la guillotina</t>
  </si>
  <si>
    <t xml:space="preserve">Racks por espesor y carros porta-desarrollos (pulmón entre guillotinas)</t>
  </si>
  <si>
    <t xml:space="preserve">Mesa de alimentación de tiras al balancín</t>
  </si>
  <si>
    <t xml:space="preserve">Inversión por alternativa</t>
  </si>
  <si>
    <t xml:space="preserve">Prensa de discos y cilindradoras están en todas las alternativas y no entran. La guillotina 2 está a precio FOB.</t>
  </si>
  <si>
    <t xml:space="preserve">Demanda: cuerpos a fabricar por formato</t>
  </si>
  <si>
    <t xml:space="preserve">Terminados + cilindros vacíos + sustitutos de las dos plantas de recargas, todo desde la hoja Links. Cada unidad lleva un cuerpo; las de 1 a 10 kg, además, cúpula y fondo.</t>
  </si>
  <si>
    <t xml:space="preserve">Unidades a fabricar = terminados + cilindros + sustitutos</t>
  </si>
  <si>
    <t xml:space="preserve">Línea</t>
  </si>
  <si>
    <t xml:space="preserve">Manual</t>
  </si>
  <si>
    <t xml:space="preserve">Rodante</t>
  </si>
  <si>
    <t xml:space="preserve">Total</t>
  </si>
  <si>
    <t xml:space="preserve">Discos de rodantes (25 a 100 kg): se compran embutidos, no entran en este análisis.</t>
  </si>
  <si>
    <t xml:space="preserve">Piezas del plano: cuerpos y discos de cúpula y fondo</t>
  </si>
  <si>
    <t xml:space="preserve">Medidas de los planos de recipiente (modelo 3D). El disco sale de la pieza embutida por igualdad de superficie, con su relación de embutido.</t>
  </si>
  <si>
    <t xml:space="preserve">A) Cuerpos (desarrollo = π·(Ø − e), fibra media)</t>
  </si>
  <si>
    <t xml:space="preserve">Plano</t>
  </si>
  <si>
    <t xml:space="preserve">Ø ext. (mm)</t>
  </si>
  <si>
    <t xml:space="preserve">Alto (mm)</t>
  </si>
  <si>
    <t xml:space="preserve">Desarrollo (mm)</t>
  </si>
  <si>
    <t xml:space="preserve">Masa (kg)</t>
  </si>
  <si>
    <t xml:space="preserve">Acero</t>
  </si>
  <si>
    <t xml:space="preserve">Plano recipiente 1 kg 3" R1</t>
  </si>
  <si>
    <t xml:space="preserve">LAF</t>
  </si>
  <si>
    <t xml:space="preserve">Plano recipiente 2,5 kg R2</t>
  </si>
  <si>
    <t xml:space="preserve">Plano recipiente 5 kg R2</t>
  </si>
  <si>
    <t xml:space="preserve">Plano recipiente 10 kg R2</t>
  </si>
  <si>
    <t xml:space="preserve">Plano recipiente 25 kg R3</t>
  </si>
  <si>
    <t xml:space="preserve">LAC</t>
  </si>
  <si>
    <t xml:space="preserve">Plano recipiente 50 kg R2</t>
  </si>
  <si>
    <t xml:space="preserve">Plano extintor rodante 70 kg (Ø390)</t>
  </si>
  <si>
    <t xml:space="preserve">Plano extintor rodante 100 kg R1 (Ø390)</t>
  </si>
  <si>
    <t xml:space="preserve">Alto: cuerpo del modelo 3D del plano (incluye el labio del encastre). 1 kg en chapa de 0,9 mm por decisión del grupo.</t>
  </si>
  <si>
    <t xml:space="preserve">B) Discos: igual superficie que la pieza embutida (sin sobremedida de recorte)</t>
  </si>
  <si>
    <t xml:space="preserve">Pieza</t>
  </si>
  <si>
    <t xml:space="preserve">Perfil del plano</t>
  </si>
  <si>
    <t xml:space="preserve">Espesor e (mm)</t>
  </si>
  <si>
    <t xml:space="preserve">Altura h (mm)</t>
  </si>
  <si>
    <t xml:space="preserve">Pollera o pestaña p (mm)</t>
  </si>
  <si>
    <t xml:space="preserve">a = Ø/2 − e/2 (mm)</t>
  </si>
  <si>
    <t xml:space="preserve">b o profundidad (mm)</t>
  </si>
  <si>
    <t xml:space="preserve">Área media (mm²)</t>
  </si>
  <si>
    <t xml:space="preserve">D0 = √(4A/π) (mm)</t>
  </si>
  <si>
    <t xml:space="preserve">D0 adoptado (mm)</t>
  </si>
  <si>
    <t xml:space="preserve">d = 2a (mm)</t>
  </si>
  <si>
    <t xml:space="preserve">m = d/D0</t>
  </si>
  <si>
    <t xml:space="preserve">e/D0 × 100</t>
  </si>
  <si>
    <t xml:space="preserve">m1 mínimo</t>
  </si>
  <si>
    <t xml:space="preserve">¿Un solo embutido?</t>
  </si>
  <si>
    <t xml:space="preserve">h/d</t>
  </si>
  <si>
    <t xml:space="preserve">Masa del disco (kg)</t>
  </si>
  <si>
    <t xml:space="preserve">e/D0 × 100 desde</t>
  </si>
  <si>
    <t xml:space="preserve">hasta</t>
  </si>
  <si>
    <t xml:space="preserve">m1 (1.er embutido)</t>
  </si>
  <si>
    <t xml:space="preserve">Cúpula</t>
  </si>
  <si>
    <t xml:space="preserve">Semielipsoide + pollera</t>
  </si>
  <si>
    <t xml:space="preserve">Fondo</t>
  </si>
  <si>
    <t xml:space="preserve">Paraboloide + pestaña</t>
  </si>
  <si>
    <t xml:space="preserve">Plano recipiente 2,5 kg R2; Ø del fondo = Ø del cuerpo − 2 e</t>
  </si>
  <si>
    <t xml:space="preserve">Plano recipiente 5 kg R2; Ø del fondo = Ø del cuerpo − 2 e</t>
  </si>
  <si>
    <t xml:space="preserve">Valor alto de cada rango (lado seguro).</t>
  </si>
  <si>
    <t xml:space="preserve">Plano recipiente 10 kg R2; Ø del fondo = Ø del cuerpo − 2 e</t>
  </si>
  <si>
    <t xml:space="preserve">Fuentes</t>
  </si>
  <si>
    <t xml:space="preserve">Disco y pieza tienen la misma superficie (el espesor no cambia): Harsle, «How to Calculate Deep Drawing Parts» (harslepress.com).</t>
  </si>
  <si>
    <t xml:space="preserve">Superficie del semielipsoide achatado y del paraboloide de revolución: fórmulas de geometría (MathWorld, «Oblate Spheroid» y «Paraboloid»).</t>
  </si>
  <si>
    <t xml:space="preserve">m1: relación de embutido del primer paso, copa sin brida, con prensachapas (EasyChair, preprint Vxvp, tabla 2). Límite general D0/d ≤ 2 (Univ. Mustansiriyah, apunte de embutido).</t>
  </si>
  <si>
    <t xml:space="preserve">Sin sobremedida de recorte: la prensa corta y embute en el mismo golpe, sin recorte después (W-MAN, puesto 4), y la tabla de recorte de Harsle arranca en h/d = 0,5 (estas piezas tienen h/d de 0,12 a 0,36).</t>
  </si>
  <si>
    <t xml:space="preserve">Geometría (Ø, alturas, pollera de 6 mm, pestaña de 10 mm, espesores): planos de recipiente (modelo 3D).</t>
  </si>
  <si>
    <t xml:space="preserve">Corte: cómo sale cada pieza de la hoja, la bobina, el fleje y la bobina madre</t>
  </si>
  <si>
    <t xml:space="preserve">Medidas de la hoja Piezas. G1 corta franjas por el lado corto de la hoja; pasan por un pulmón y G2 apoya las franjas de hojas enteras una al lado de la otra y corta una pieza de cada una por golpe.</t>
  </si>
  <si>
    <t xml:space="preserve">A) Cuerpos en hoja estándar con dos guillotinas en serie (B y D)</t>
  </si>
  <si>
    <t xml:space="preserve">Hoja: lado corto (mm)</t>
  </si>
  <si>
    <t xml:space="preserve">Hoja: lado largo (mm)</t>
  </si>
  <si>
    <t xml:space="preserve">Orientación (1 alto, 2 desarrollo a lo largo)</t>
  </si>
  <si>
    <t xml:space="preserve">Franja = 1.er corte y tope de G1 (mm)</t>
  </si>
  <si>
    <t xml:space="preserve">Franjas por hoja</t>
  </si>
  <si>
    <t xml:space="preserve">Pieza = 2.º corte (mm)</t>
  </si>
  <si>
    <t xml:space="preserve">Piezas por franja</t>
  </si>
  <si>
    <t xml:space="preserve">Piezas por hoja</t>
  </si>
  <si>
    <t xml:space="preserve">Aprovech.</t>
  </si>
  <si>
    <t xml:space="preserve">Masa de la franja (kg)</t>
  </si>
  <si>
    <t xml:space="preserve">Tope de G2 (pieza u orilla, mm)</t>
  </si>
  <si>
    <t xml:space="preserve">Franjas que entran en G2</t>
  </si>
  <si>
    <t xml:space="preserve">Hojas por ciclo</t>
  </si>
  <si>
    <t xml:space="preserve">Tandas de G2 por ciclo</t>
  </si>
  <si>
    <t xml:space="preserve">Golpes G1 por hoja</t>
  </si>
  <si>
    <t xml:space="preserve">Golpes G2 por tanda</t>
  </si>
  <si>
    <t xml:space="preserve">Golpes G2 por hoja</t>
  </si>
  <si>
    <t xml:space="preserve">Min G1 por hoja</t>
  </si>
  <si>
    <t xml:space="preserve">Min G2 por hoja</t>
  </si>
  <si>
    <t xml:space="preserve">Manda</t>
  </si>
  <si>
    <t xml:space="preserve">Cuerpos por hora</t>
  </si>
  <si>
    <t xml:space="preserve">Masa de la hoja (kg)</t>
  </si>
  <si>
    <t xml:space="preserve">USD por hoja</t>
  </si>
  <si>
    <t xml:space="preserve">Control</t>
  </si>
  <si>
    <t xml:space="preserve">Tandas por hoja con ciclo de 1 hoja</t>
  </si>
  <si>
    <t xml:space="preserve">2 hojas</t>
  </si>
  <si>
    <t xml:space="preserve">3 hojas</t>
  </si>
  <si>
    <t xml:space="preserve">4 hojas</t>
  </si>
  <si>
    <t xml:space="preserve">Piezas por hoja, orientación 1</t>
  </si>
  <si>
    <t xml:space="preserve">orientación 2</t>
  </si>
  <si>
    <t xml:space="preserve">Hoja mixta 70 + 100 kg</t>
  </si>
  <si>
    <t xml:space="preserve">1.er corte por el lado corto (franjas de hasta 1.500 mm de largo). G1 hace solo el 1.er corte y G2 solo el 2.º: la pieza, o la orilla si la pieza supera el tope. Franjas en paralelo: hojas enteras, con el ciclo que da menos tandas por hoja (Datos, «Hojas por ciclo»).</t>
  </si>
  <si>
    <t xml:space="preserve">Para los Aprovechamientos de Manuales (1 a 10 kg) y Carros (25 a 100 kg): IMPORTRANGE</t>
  </si>
  <si>
    <t xml:space="preserve">Tandas de G2 por hoja</t>
  </si>
  <si>
    <t xml:space="preserve">Golpes por minuto G1</t>
  </si>
  <si>
    <t xml:space="preserve">Golpes por minuto G2</t>
  </si>
  <si>
    <t xml:space="preserve">B) Cuerpos en bobina de ancho estándar con línea de corte transversal (A) y a medida (Ref.)</t>
  </si>
  <si>
    <t xml:space="preserve">Ancho de bobina (mm)</t>
  </si>
  <si>
    <t xml:space="preserve">Piezas por golpe</t>
  </si>
  <si>
    <t xml:space="preserve">Avance por golpe (mm)</t>
  </si>
  <si>
    <t xml:space="preserve">kg comprados por cuerpo</t>
  </si>
  <si>
    <t xml:space="preserve">USD por cuerpo</t>
  </si>
  <si>
    <t xml:space="preserve">Peso de bobina (t)</t>
  </si>
  <si>
    <t xml:space="preserve">USD por cuerpo a medida (Ref.)</t>
  </si>
  <si>
    <t xml:space="preserve">C) Cúpulas y fondos: fleje a medida (A, D, Ref.) o tiras de hoja (B)</t>
  </si>
  <si>
    <t xml:space="preserve">Ø disco (mm)</t>
  </si>
  <si>
    <t xml:space="preserve">Puente de avance (mm)</t>
  </si>
  <si>
    <t xml:space="preserve">Puente al borde (mm)</t>
  </si>
  <si>
    <t xml:space="preserve">Ancho de fleje (mm)</t>
  </si>
  <si>
    <t xml:space="preserve">Paso (mm)</t>
  </si>
  <si>
    <t xml:space="preserve">Aprovech. del fleje</t>
  </si>
  <si>
    <t xml:space="preserve">kg de fleje por disco</t>
  </si>
  <si>
    <t xml:space="preserve">USD de fleje por disco</t>
  </si>
  <si>
    <t xml:space="preserve">Peso de rollo (t)</t>
  </si>
  <si>
    <t xml:space="preserve">Hoja: lado corto = largo de la tira</t>
  </si>
  <si>
    <t xml:space="preserve">lado largo</t>
  </si>
  <si>
    <t xml:space="preserve">Tiras por hoja</t>
  </si>
  <si>
    <t xml:space="preserve">Discos por tira</t>
  </si>
  <si>
    <t xml:space="preserve">Discos por hoja</t>
  </si>
  <si>
    <t xml:space="preserve">Aprovech. de la hoja</t>
  </si>
  <si>
    <t xml:space="preserve">kg de hoja por disco</t>
  </si>
  <si>
    <t xml:space="preserve">USD de hoja por disco</t>
  </si>
  <si>
    <t xml:space="preserve">Fleje 1 fila: ancho (mm)</t>
  </si>
  <si>
    <t xml:space="preserve">Aprovech. 1 fila</t>
  </si>
  <si>
    <t xml:space="preserve">Fleje 2 filas al tresbolillo: ancho (mm)</t>
  </si>
  <si>
    <t xml:space="preserve">Aprovech. 2 filas</t>
  </si>
  <si>
    <t xml:space="preserve">kg por disco, 1 fila</t>
  </si>
  <si>
    <t xml:space="preserve">kg por disco, 2 filas</t>
  </si>
  <si>
    <t xml:space="preserve">Cúpula 1 kg</t>
  </si>
  <si>
    <t xml:space="preserve">Fondo 1 kg</t>
  </si>
  <si>
    <t xml:space="preserve">Cúpula 2,5 kg</t>
  </si>
  <si>
    <t xml:space="preserve">Fondo 2,5 kg</t>
  </si>
  <si>
    <t xml:space="preserve">Cúpula 5 kg</t>
  </si>
  <si>
    <t xml:space="preserve">Fondo 5 kg</t>
  </si>
  <si>
    <t xml:space="preserve">Cúpula 10 kg</t>
  </si>
  <si>
    <t xml:space="preserve">Fondo 10 kg</t>
  </si>
  <si>
    <t xml:space="preserve">Por unidad de matafuego (cúpula + fondo)</t>
  </si>
  <si>
    <t xml:space="preserve">Masa neta (kg)</t>
  </si>
  <si>
    <t xml:space="preserve">kg de fleje</t>
  </si>
  <si>
    <t xml:space="preserve">USD de fleje</t>
  </si>
  <si>
    <t xml:space="preserve">kg de hoja</t>
  </si>
  <si>
    <t xml:space="preserve">USD de hoja</t>
  </si>
  <si>
    <t xml:space="preserve">Tiras de hoja</t>
  </si>
  <si>
    <t xml:space="preserve">D) Bobina madre por espesor con corte longitudinal propio (C): patrones de tiras</t>
  </si>
  <si>
    <t xml:space="preserve">Grupo</t>
  </si>
  <si>
    <t xml:space="preserve">Ancho de madre (mm)</t>
  </si>
  <si>
    <t xml:space="preserve">Cuerpo a lo ancho (1 alto, 2 desarrollo)</t>
  </si>
  <si>
    <t xml:space="preserve">kg por metro</t>
  </si>
  <si>
    <t xml:space="preserve">Tiras de disco por ancho</t>
  </si>
  <si>
    <t xml:space="preserve">Peso de madre (t)</t>
  </si>
  <si>
    <t xml:space="preserve">0,9 mm</t>
  </si>
  <si>
    <t xml:space="preserve">1,25 mm</t>
  </si>
  <si>
    <t xml:space="preserve">1,6 mm</t>
  </si>
  <si>
    <t xml:space="preserve">2,0 mm</t>
  </si>
  <si>
    <t xml:space="preserve">3,2 mm</t>
  </si>
  <si>
    <t xml:space="preserve">4,75 mm</t>
  </si>
  <si>
    <t xml:space="preserve">2 (fijo)</t>
  </si>
  <si>
    <t xml:space="preserve">Grupo 0,9 mm</t>
  </si>
  <si>
    <t xml:space="preserve">Tira</t>
  </si>
  <si>
    <t xml:space="preserve">Ancho (mm)</t>
  </si>
  <si>
    <t xml:space="preserve">Avance por pieza (mm)</t>
  </si>
  <si>
    <t xml:space="preserve">Patrón 1</t>
  </si>
  <si>
    <t xml:space="preserve">Patrón 2</t>
  </si>
  <si>
    <t xml:space="preserve">Patrón 3</t>
  </si>
  <si>
    <t xml:space="preserve">Tiras por metro de madre</t>
  </si>
  <si>
    <t xml:space="preserve">Cuerpo 1 kg</t>
  </si>
  <si>
    <t xml:space="preserve">Participación (% de los metros de madre)</t>
  </si>
  <si>
    <t xml:space="preserve">Ancho usado (mm)</t>
  </si>
  <si>
    <t xml:space="preserve">¿Entra en la madre? (orilla ≥ margen)</t>
  </si>
  <si>
    <t xml:space="preserve">Grupo 1,25 mm</t>
  </si>
  <si>
    <t xml:space="preserve">Cuerpo 2,5 kg</t>
  </si>
  <si>
    <t xml:space="preserve">Grupo 1,6 mm</t>
  </si>
  <si>
    <t xml:space="preserve">Cuerpo 5 kg</t>
  </si>
  <si>
    <t xml:space="preserve">Grupo 2,0 mm</t>
  </si>
  <si>
    <t xml:space="preserve">Cuerpo 10 kg</t>
  </si>
  <si>
    <t xml:space="preserve">Grupo 3,2 mm</t>
  </si>
  <si>
    <t xml:space="preserve">Cuerpo 25 kg</t>
  </si>
  <si>
    <t xml:space="preserve">Cuerpo 50 kg</t>
  </si>
  <si>
    <t xml:space="preserve">Grupo 4,75 mm</t>
  </si>
  <si>
    <t xml:space="preserve">Cuerpos 70 y 100 kg (franja compartida)</t>
  </si>
  <si>
    <t xml:space="preserve">70 y 100 kg</t>
  </si>
  <si>
    <t xml:space="preserve">alto de cada uno</t>
  </si>
  <si>
    <t xml:space="preserve">Patrones y participaciones por programación lineal sobre la demanda 2026-2035 (mínimo acero comprado); si cambia la demanda o una medida, hay que recalcularlos.</t>
  </si>
  <si>
    <t xml:space="preserve">Nesting: ¿es el mejor corte?</t>
  </si>
  <si>
    <t xml:space="preserve">Todas las hojas cotizadas y todos los patrones de guillotina con el 1.er corte por el lado corto (hasta tres etapas). Los patrones salen de enumerarlos todos; la mezcla, de programación lineal.</t>
  </si>
  <si>
    <t xml:space="preserve">A) La hoja que conviene para cada formato (corte en dos etapas)</t>
  </si>
  <si>
    <t xml:space="preserve">lado largo (mm)</t>
  </si>
  <si>
    <t xml:space="preserve">Franjas × piezas</t>
  </si>
  <si>
    <t xml:space="preserve">kg por cuerpo</t>
  </si>
  <si>
    <t xml:space="preserve">La más barata</t>
  </si>
  <si>
    <t xml:space="preserve">En Corte</t>
  </si>
  <si>
    <t xml:space="preserve">Cotizaciones de la hoja Datos (sección 5). 25 y 50 kg y 70 y 100 kg se pueden combinar en la misma hoja: secciones B y C.</t>
  </si>
  <si>
    <t xml:space="preserve">B) 3,2 mm: 25 y 50 kg en la misma hoja de 1.500 × 3.000 (corte en tres etapas)</t>
  </si>
  <si>
    <t xml:space="preserve">En una franja de 995,5 mm (desarrollo del 50 kg) entran, a lo largo, una pieza de 50 kg (640) y un tramo de 858,5 que se corta a lo largo en dos piezas de 25 kg (493 + 493).</t>
  </si>
  <si>
    <t xml:space="preserve">Patrón</t>
  </si>
  <si>
    <t xml:space="preserve">Franjas</t>
  </si>
  <si>
    <t xml:space="preserve">25 kg por hoja</t>
  </si>
  <si>
    <t xml:space="preserve">50 kg por hoja</t>
  </si>
  <si>
    <t xml:space="preserve">Etapas</t>
  </si>
  <si>
    <t xml:space="preserve">P1</t>
  </si>
  <si>
    <t xml:space="preserve">3 franjas de 995,5: 1 de 50 kg (640) + 2 de 25 kg (tramo de 858,5 cortado en 493 + 493)</t>
  </si>
  <si>
    <t xml:space="preserve">P2</t>
  </si>
  <si>
    <t xml:space="preserve">2 franjas de 995,5 con 2 de 50 kg + 1 franja como P1 (= ⅓ P1 + ⅔ P3)</t>
  </si>
  <si>
    <t xml:space="preserve">P3</t>
  </si>
  <si>
    <t xml:space="preserve">3 franjas de 995,5 con 2 de 50 kg</t>
  </si>
  <si>
    <t xml:space="preserve">P4</t>
  </si>
  <si>
    <t xml:space="preserve">3 franjas de 858,5 con 3 de 25 kg</t>
  </si>
  <si>
    <t xml:space="preserve">Golpes de G2 en P1: cada tanda de 2 franjas lleva 2 golpes (pieza de 50 kg y tramo) y cada tanda de 2 tramos girados, 2 más (493 y el recorte). El plan usa P1, P3 y P4: P2 da las mismas hojas.</t>
  </si>
  <si>
    <t xml:space="preserve">Controles de P1 (con las medidas del plano)</t>
  </si>
  <si>
    <t xml:space="preserve">Medida (mm)</t>
  </si>
  <si>
    <t xml:space="preserve">Límite (mm)</t>
  </si>
  <si>
    <t xml:space="preserve">Resultado</t>
  </si>
  <si>
    <t xml:space="preserve">Dos piezas de 25 kg a lo ancho de la franja de 50 kg</t>
  </si>
  <si>
    <t xml:space="preserve">Pieza de 50 kg + tramo de 25 kg a lo largo de la franja</t>
  </si>
  <si>
    <t xml:space="preserve">Tres franjas a lo largo de la hoja</t>
  </si>
  <si>
    <t xml:space="preserve">Franja dentro del tope de G1</t>
  </si>
  <si>
    <t xml:space="preserve">Corte a lo largo (493) dentro del tope de G2</t>
  </si>
  <si>
    <t xml:space="preserve">Sobran 1,5 mm a lo largo de la franja: la chapa laminada en caliente viene con tolerancia de ancho +0 (nunca más angosta), así que el recorte final siempre existe.</t>
  </si>
  <si>
    <t xml:space="preserve">Plan del año de referencia: cada formato en su hoja o combinados (mezcla de patrones)</t>
  </si>
  <si>
    <t xml:space="preserve">Separados (2 etapas)</t>
  </si>
  <si>
    <t xml:space="preserve">Combinados</t>
  </si>
  <si>
    <t xml:space="preserve">Diferencia</t>
  </si>
  <si>
    <t xml:space="preserve">Cuerpos de 25 kg</t>
  </si>
  <si>
    <t xml:space="preserve">Cuerpos de 50 kg</t>
  </si>
  <si>
    <t xml:space="preserve">Hojas de 3,2 mm</t>
  </si>
  <si>
    <t xml:space="preserve">Acero (t)</t>
  </si>
  <si>
    <t xml:space="preserve">Aprovechamiento</t>
  </si>
  <si>
    <t xml:space="preserve">Costo del acero (USD)</t>
  </si>
  <si>
    <t xml:space="preserve">Combinar conviene</t>
  </si>
  <si>
    <t xml:space="preserve">Plan: P1 hasta cubrir el 25 kg (o el 50 kg, si es menos de la mitad) y el resto en P3 o P4. Es el mínimo de hojas (Word «Esquema de corte en guillotina», 5.2).</t>
  </si>
  <si>
    <t xml:space="preserve">Promedio por hoja de 3,2 mm con el plan elegido (va a Corte, tabla para los Aprovechamientos)</t>
  </si>
  <si>
    <t xml:space="preserve">C) 4,75 mm: 70 y 100 kg en la hoja de 1.500 × 3.000</t>
  </si>
  <si>
    <t xml:space="preserve">70 kg por hoja</t>
  </si>
  <si>
    <t xml:space="preserve">100 kg por hoja</t>
  </si>
  <si>
    <t xml:space="preserve">3 de 70 kg + 1 de 100 kg (hoja mixta)</t>
  </si>
  <si>
    <t xml:space="preserve">4 de 70 kg</t>
  </si>
  <si>
    <t xml:space="preserve">3 de 100 kg</t>
  </si>
  <si>
    <t xml:space="preserve">1 de 70 kg + 2 de 100 kg</t>
  </si>
  <si>
    <t xml:space="preserve">La mezcla óptima es la del plan actual: hojas mixtas hasta agotar los 70 kg y el resto de 100 kg solos (77,5 % en 2035).</t>
  </si>
  <si>
    <t xml:space="preserve">D) Discos: fleje de una fila o de dos filas al tresbolillo (detalle en Corte, sección C)</t>
  </si>
  <si>
    <t xml:space="preserve">Ancho 1 fila (mm)</t>
  </si>
  <si>
    <t xml:space="preserve">Ancho 2 filas (mm)</t>
  </si>
  <si>
    <t xml:space="preserve">kg de fleje por año, 1 fila</t>
  </si>
  <si>
    <t xml:space="preserve">kg, 2 filas</t>
  </si>
  <si>
    <t xml:space="preserve">Ahorro (kg)</t>
  </si>
  <si>
    <t xml:space="preserve">Dos filas al tresbolillo: centros de una fila corridos medio paso y separados paso × √3/2, así entre discos de filas vecinas queda el mismo puente de avance.</t>
  </si>
  <si>
    <t xml:space="preserve">Cálculo año por año de cada alternativa</t>
  </si>
  <si>
    <t xml:space="preserve">No se edita: sale de Datos, Demanda, Piezas y Corte. Los costos van en USD sin IVA.</t>
  </si>
  <si>
    <t xml:space="preserve">Período k (para descontar)</t>
  </si>
  <si>
    <t xml:space="preserve">Factor de descuento 1/(1+i)^k</t>
  </si>
  <si>
    <t xml:space="preserve">Unidades a fabricar (cuerpos)</t>
  </si>
  <si>
    <t xml:space="preserve">Acero neto en piezas (cuerpos + cúpulas + fondos)</t>
  </si>
  <si>
    <t xml:space="preserve">A — Bobina por formato para cuerpos + fleje a medida para discos</t>
  </si>
  <si>
    <t xml:space="preserve">Acero de bobina para cuerpos</t>
  </si>
  <si>
    <t xml:space="preserve">Costo de la bobina para cuerpos</t>
  </si>
  <si>
    <t xml:space="preserve">Acero de fleje para discos</t>
  </si>
  <si>
    <t xml:space="preserve">Costo del fleje para discos</t>
  </si>
  <si>
    <t xml:space="preserve">Acero comprado</t>
  </si>
  <si>
    <t xml:space="preserve">Costo del acero</t>
  </si>
  <si>
    <t xml:space="preserve">Scrap</t>
  </si>
  <si>
    <t xml:space="preserve">Venta de scrap (resta)</t>
  </si>
  <si>
    <t xml:space="preserve">Stock de bobinas de cuerpo</t>
  </si>
  <si>
    <t xml:space="preserve">Stock de rollos de fleje</t>
  </si>
  <si>
    <t xml:space="preserve">Stock promedio</t>
  </si>
  <si>
    <t xml:space="preserve">Costo financiero del stock</t>
  </si>
  <si>
    <t xml:space="preserve">Rollos de fleje por año</t>
  </si>
  <si>
    <t xml:space="preserve">rollos</t>
  </si>
  <si>
    <t xml:space="preserve">Horas-hombre de corte: línea + guillotina 1 + cambios de fleje</t>
  </si>
  <si>
    <t xml:space="preserve">h</t>
  </si>
  <si>
    <t xml:space="preserve">Mano de obra de corte</t>
  </si>
  <si>
    <t xml:space="preserve">Mantenimiento de equipos</t>
  </si>
  <si>
    <t xml:space="preserve">COSTO ANUAL A</t>
  </si>
  <si>
    <t xml:space="preserve">B — Hojas para todo: cuerpos con dos guillotinas y discos de tiras de hoja</t>
  </si>
  <si>
    <t xml:space="preserve">Hojas mixtas 70 + 100 kg</t>
  </si>
  <si>
    <t xml:space="preserve">Hojas de 70 kg solas</t>
  </si>
  <si>
    <t xml:space="preserve">Hojas de 100 kg solas</t>
  </si>
  <si>
    <t xml:space="preserve">Hojas de 3,2 mm, patrón P1 (6 de 25 kg + 3 de 50 kg)</t>
  </si>
  <si>
    <t xml:space="preserve">Hojas de 3,2 mm, patrón P3 (6 de 50 kg)</t>
  </si>
  <si>
    <t xml:space="preserve">Hojas de 3,2 mm, patrón P4 (9 de 25 kg)</t>
  </si>
  <si>
    <t xml:space="preserve">Hojas para cuerpos</t>
  </si>
  <si>
    <t xml:space="preserve">Acero de hojas para cuerpos</t>
  </si>
  <si>
    <t xml:space="preserve">Costo de las hojas para cuerpos</t>
  </si>
  <si>
    <t xml:space="preserve">Horas de la guillotina 1 (1.er corte: franjas)</t>
  </si>
  <si>
    <t xml:space="preserve">Horas de la guillotina 2 (2.º corte, franjas en paralelo)</t>
  </si>
  <si>
    <t xml:space="preserve">Acero de hojas para discos</t>
  </si>
  <si>
    <t xml:space="preserve">Costo de las hojas para discos</t>
  </si>
  <si>
    <t xml:space="preserve">Tiras de hoja para discos</t>
  </si>
  <si>
    <t xml:space="preserve">tiras</t>
  </si>
  <si>
    <t xml:space="preserve">Stock promedio (hojas)</t>
  </si>
  <si>
    <t xml:space="preserve">Horas-hombre de corte: guillotinas + tiras + carga manual</t>
  </si>
  <si>
    <t xml:space="preserve">COSTO ANUAL B</t>
  </si>
  <si>
    <t xml:space="preserve">C — Bobina madre por espesor con corte longitudinal propio</t>
  </si>
  <si>
    <t xml:space="preserve">Metros de madre de 0,9 mm</t>
  </si>
  <si>
    <t xml:space="preserve">m</t>
  </si>
  <si>
    <t xml:space="preserve">Metros de madre de 1,25 mm</t>
  </si>
  <si>
    <t xml:space="preserve">Metros de madre de 1,6 mm</t>
  </si>
  <si>
    <t xml:space="preserve">Metros de madre de 2,0 mm</t>
  </si>
  <si>
    <t xml:space="preserve">Metros de madre de 3,2 mm</t>
  </si>
  <si>
    <t xml:space="preserve">Metros de madre de 4,75 mm</t>
  </si>
  <si>
    <t xml:space="preserve">Acero de madre de 0,9 mm</t>
  </si>
  <si>
    <t xml:space="preserve">Acero de madre de 1,25 mm</t>
  </si>
  <si>
    <t xml:space="preserve">Acero de madre de 1,6 mm</t>
  </si>
  <si>
    <t xml:space="preserve">Acero de madre de 2,0 mm</t>
  </si>
  <si>
    <t xml:space="preserve">Acero de madre de 3,2 mm</t>
  </si>
  <si>
    <t xml:space="preserve">Acero de madre de 4,75 mm</t>
  </si>
  <si>
    <t xml:space="preserve">Stock promedio (madres y flejes en proceso)</t>
  </si>
  <si>
    <t xml:space="preserve">Horas de la cortadora longitudinal (máquina)</t>
  </si>
  <si>
    <t xml:space="preserve">Flejes de disco generados</t>
  </si>
  <si>
    <t xml:space="preserve">flejes</t>
  </si>
  <si>
    <t xml:space="preserve">Horas-hombre de corte: cortadora + línea + cambios de fleje</t>
  </si>
  <si>
    <t xml:space="preserve">COSTO ANUAL C</t>
  </si>
  <si>
    <t xml:space="preserve">D — Hojas para cuerpos (dos guillotinas en serie) + fleje a medida para discos</t>
  </si>
  <si>
    <t xml:space="preserve">Acero comprado: hojas de cuerpo + fleje</t>
  </si>
  <si>
    <t xml:space="preserve">Stock promedio: hojas + rollos de fleje</t>
  </si>
  <si>
    <t xml:space="preserve">Horas-hombre de corte: guillotinas 1 y 2 + cambios de fleje</t>
  </si>
  <si>
    <t xml:space="preserve">COSTO ANUAL D</t>
  </si>
  <si>
    <t xml:space="preserve">Referencia — cuerpos comprados cortados a medida + fleje a medida para discos</t>
  </si>
  <si>
    <t xml:space="preserve">Cuerpos a medida</t>
  </si>
  <si>
    <t xml:space="preserve">Costo de los cuerpos a medida</t>
  </si>
  <si>
    <t xml:space="preserve">Scrap (esqueleto de los discos)</t>
  </si>
  <si>
    <t xml:space="preserve">Stock promedio: cuerpos + rollos de fleje</t>
  </si>
  <si>
    <t xml:space="preserve">Horas-hombre: cambios de fleje</t>
  </si>
  <si>
    <t xml:space="preserve">Mano de obra</t>
  </si>
  <si>
    <t xml:space="preserve">COSTO ANUAL REFERENCIA</t>
  </si>
  <si>
    <t xml:space="preserve">Opción D: compras por año</t>
  </si>
  <si>
    <t xml:space="preserve">Hojas para cuerpos de 1 kg</t>
  </si>
  <si>
    <t xml:space="preserve">Hojas para cuerpos de 2,5 kg</t>
  </si>
  <si>
    <t xml:space="preserve">Hojas para cuerpos de 5 kg</t>
  </si>
  <si>
    <t xml:space="preserve">Hojas para cuerpos de 10 kg</t>
  </si>
  <si>
    <t xml:space="preserve">Hojas para cuerpos de 25 kg solos</t>
  </si>
  <si>
    <t xml:space="preserve">Hojas para cuerpos de 50 kg solos</t>
  </si>
  <si>
    <t xml:space="preserve">Hojas para cuerpos de 70 kg solos</t>
  </si>
  <si>
    <t xml:space="preserve">Hojas para cuerpos de 100 kg solos</t>
  </si>
  <si>
    <t xml:space="preserve">Hojas combinadas 25 + 50 kg (patrón P1)</t>
  </si>
  <si>
    <t xml:space="preserve">Rollos de fleje: cúpula 1 kg</t>
  </si>
  <si>
    <t xml:space="preserve">Rollos de fleje: fondo 1 kg</t>
  </si>
  <si>
    <t xml:space="preserve">Rollos de fleje: cúpula 2,5 kg</t>
  </si>
  <si>
    <t xml:space="preserve">Rollos de fleje: fondo 2,5 kg</t>
  </si>
  <si>
    <t xml:space="preserve">Rollos de fleje: cúpula 5 kg</t>
  </si>
  <si>
    <t xml:space="preserve">Rollos de fleje: fondo 5 kg</t>
  </si>
  <si>
    <t xml:space="preserve">Rollos de fleje: cúpula 10 kg</t>
  </si>
  <si>
    <t xml:space="preserve">Rollos de fleje: fondo 10 kg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</si>
</sst>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"/>
    <numFmt numFmtId="166" formatCode="0.0%"/>
    <numFmt numFmtId="167" formatCode="0"/>
    <numFmt numFmtId="168" formatCode="0.00"/>
    <numFmt numFmtId="169" formatCode="#,##0.00"/>
    <numFmt numFmtId="170" formatCode="0.0"/>
    <numFmt numFmtId="171" formatCode="0.000"/>
    <numFmt numFmtId="172" formatCode="0.00000"/>
    <numFmt numFmtId="173" formatCode="0.0000"/>
    <numFmt numFmtId="174" formatCode="#,##0.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F2F2F2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808080"/>
      </left>
      <right/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87878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Valor actual a 10 años (USD): menor es mejor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Resumen!$B$4:$F$4</c:f>
              <c:strCache>
                <c:ptCount val="5"/>
                <c:pt idx="0">
                  <c:v>A: bobina por formato + fleje</c:v>
                </c:pt>
                <c:pt idx="1">
                  <c:v>B: hojas para todo</c:v>
                </c:pt>
                <c:pt idx="2">
                  <c:v>C: bobina madre propia</c:v>
                </c:pt>
                <c:pt idx="3">
                  <c:v>D: hojas + fleje</c:v>
                </c:pt>
                <c:pt idx="4">
                  <c:v>Referencia: cuerpos a medida</c:v>
                </c:pt>
              </c:strCache>
            </c:strRef>
          </c:cat>
          <c:val>
            <c:numRef>
              <c:f>Resumen!$B$12:$F$12</c:f>
              <c:numCache>
                <c:formatCode>#,##0</c:formatCode>
                <c:ptCount val="5"/>
                <c:pt idx="0">
                  <c:v>1139875.83132641</c:v>
                </c:pt>
                <c:pt idx="1">
                  <c:v>1140454.43915057</c:v>
                </c:pt>
                <c:pt idx="2">
                  <c:v>1202188.26797316</c:v>
                </c:pt>
                <c:pt idx="3">
                  <c:v>1107926.94786553</c:v>
                </c:pt>
                <c:pt idx="4">
                  <c:v>1028430.05119185</c:v>
                </c:pt>
              </c:numCache>
            </c:numRef>
          </c:val>
        </c:ser>
        <c:gapWidth val="150"/>
        <c:overlap val="0"/>
        <c:axId val="45722473"/>
        <c:axId val="80739218"/>
      </c:barChart>
      <c:catAx>
        <c:axId val="4572247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739218"/>
        <c:crosses val="autoZero"/>
        <c:auto val="1"/>
        <c:lblAlgn val="ctr"/>
        <c:lblOffset val="100"/>
        <c:noMultiLvlLbl val="0"/>
      </c:catAx>
      <c:valAx>
        <c:axId val="80739218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72247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21</xdr:row>
      <xdr:rowOff>0</xdr:rowOff>
    </xdr:from>
    <xdr:to>
      <xdr:col>2</xdr:col>
      <xdr:colOff>1696680</xdr:colOff>
      <xdr:row>35</xdr:row>
      <xdr:rowOff>32760</xdr:rowOff>
    </xdr:to>
    <xdr:graphicFrame>
      <xdr:nvGraphicFramePr>
        <xdr:cNvPr id="0" name="Chart 1"/>
        <xdr:cNvGraphicFramePr/>
      </xdr:nvGraphicFramePr>
      <xdr:xfrm>
        <a:off x="0" y="4457880"/>
        <a:ext cx="79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12" min="2" style="0" width="11"/>
    <col collapsed="false" customWidth="true" hidden="false" outlineLevel="0" max="13" min="13" style="0" width="3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  <c r="B3" s="3" t="s">
        <v>3</v>
      </c>
      <c r="C3" s="3"/>
      <c r="D3" s="3"/>
      <c r="E3" s="3"/>
      <c r="F3" s="3"/>
      <c r="G3" s="3" t="s">
        <v>4</v>
      </c>
      <c r="H3" s="3"/>
      <c r="I3" s="3"/>
      <c r="J3" s="3"/>
      <c r="K3" s="3"/>
      <c r="L3" s="3" t="s">
        <v>5</v>
      </c>
    </row>
    <row r="4" customFormat="false" ht="23.85" hidden="false" customHeight="true" outlineLevel="0" collapsed="false">
      <c r="A4" s="4" t="s">
        <v>6</v>
      </c>
      <c r="B4" s="5" t="s">
        <v>7</v>
      </c>
      <c r="C4" s="5"/>
      <c r="D4" s="5"/>
      <c r="E4" s="5"/>
      <c r="F4" s="5"/>
      <c r="G4" s="6" t="s">
        <v>8</v>
      </c>
      <c r="H4" s="6"/>
      <c r="I4" s="6"/>
      <c r="J4" s="6"/>
      <c r="K4" s="6"/>
      <c r="L4" s="7" t="str">
        <f aca="false">IF(ISERROR(C11),"Falta el link o «Permitir acceso»","OK")</f>
        <v>OK</v>
      </c>
    </row>
    <row r="5" customFormat="false" ht="15" hidden="false" customHeight="true" outlineLevel="0" collapsed="false">
      <c r="A5" s="4" t="s">
        <v>9</v>
      </c>
      <c r="B5" s="5" t="s">
        <v>10</v>
      </c>
      <c r="C5" s="5"/>
      <c r="D5" s="5"/>
      <c r="E5" s="5"/>
      <c r="F5" s="5"/>
      <c r="G5" s="6" t="s">
        <v>11</v>
      </c>
      <c r="H5" s="6"/>
      <c r="I5" s="6"/>
      <c r="J5" s="6"/>
      <c r="K5" s="6"/>
      <c r="L5" s="7" t="str">
        <f aca="false">IF(ISERROR(C44),"Falta el link o «Permitir acceso»","OK")</f>
        <v>OK</v>
      </c>
    </row>
    <row r="6" customFormat="false" ht="15" hidden="false" customHeight="true" outlineLevel="0" collapsed="false">
      <c r="A6" s="4" t="s">
        <v>12</v>
      </c>
      <c r="B6" s="5" t="s">
        <v>10</v>
      </c>
      <c r="C6" s="5"/>
      <c r="D6" s="5"/>
      <c r="E6" s="5"/>
      <c r="F6" s="5"/>
      <c r="G6" s="6" t="s">
        <v>11</v>
      </c>
      <c r="H6" s="6"/>
      <c r="I6" s="6"/>
      <c r="J6" s="6"/>
      <c r="K6" s="6"/>
      <c r="L6" s="7" t="str">
        <f aca="false">IF(ISERROR(C33),"Falta el link o «Permitir acceso»","OK")</f>
        <v>OK</v>
      </c>
    </row>
    <row r="7" customFormat="false" ht="15" hidden="false" customHeight="false" outlineLevel="0" collapsed="false">
      <c r="A7" s="2" t="s">
        <v>13</v>
      </c>
    </row>
    <row r="9" customFormat="false" ht="15" hidden="false" customHeight="false" outlineLevel="0" collapsed="false">
      <c r="A9" s="8" t="s">
        <v>14</v>
      </c>
    </row>
    <row r="10" customFormat="false" ht="15" hidden="false" customHeight="false" outlineLevel="0" collapsed="false">
      <c r="A10" s="3" t="s">
        <v>15</v>
      </c>
      <c r="B10" s="3" t="s">
        <v>16</v>
      </c>
      <c r="C10" s="3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3" t="s">
        <v>25</v>
      </c>
      <c r="L10" s="3" t="s">
        <v>26</v>
      </c>
    </row>
    <row r="11" customFormat="false" ht="15" hidden="false" customHeight="false" outlineLevel="0" collapsed="false">
      <c r="A11" s="6" t="s">
        <v>27</v>
      </c>
      <c r="B11" s="6" t="s">
        <v>28</v>
      </c>
      <c r="C11" s="9" t="n">
        <f aca="false">IFERROR(__xludf.DUMMYFUNCTION("IMPORTRANGE(Links!$B$4,""Indexado Dim Técnico!B3:K10"")"),4178.736543)</f>
        <v>4178.736543</v>
      </c>
      <c r="D11" s="9"/>
      <c r="E11" s="9"/>
      <c r="F11" s="9"/>
      <c r="G11" s="9"/>
      <c r="H11" s="9"/>
      <c r="I11" s="9"/>
      <c r="J11" s="9"/>
      <c r="K11" s="9"/>
      <c r="L11" s="9"/>
    </row>
    <row r="12" customFormat="false" ht="15" hidden="false" customHeight="false" outlineLevel="0" collapsed="false">
      <c r="A12" s="6" t="s">
        <v>29</v>
      </c>
      <c r="B12" s="6" t="s">
        <v>28</v>
      </c>
      <c r="C12" s="9"/>
      <c r="D12" s="9"/>
      <c r="E12" s="9"/>
      <c r="F12" s="9"/>
      <c r="G12" s="9"/>
      <c r="H12" s="9"/>
      <c r="I12" s="9"/>
      <c r="J12" s="9"/>
      <c r="K12" s="9"/>
      <c r="L12" s="9"/>
    </row>
    <row r="13" customFormat="false" ht="15" hidden="false" customHeight="false" outlineLevel="0" collapsed="false">
      <c r="A13" s="6" t="s">
        <v>30</v>
      </c>
      <c r="B13" s="6" t="s">
        <v>28</v>
      </c>
      <c r="C13" s="9"/>
      <c r="D13" s="9"/>
      <c r="E13" s="9"/>
      <c r="F13" s="9"/>
      <c r="G13" s="9"/>
      <c r="H13" s="9"/>
      <c r="I13" s="9"/>
      <c r="J13" s="9"/>
      <c r="K13" s="9"/>
      <c r="L13" s="9"/>
    </row>
    <row r="14" customFormat="false" ht="15" hidden="false" customHeight="false" outlineLevel="0" collapsed="false">
      <c r="A14" s="6" t="s">
        <v>31</v>
      </c>
      <c r="B14" s="6" t="s">
        <v>28</v>
      </c>
      <c r="C14" s="9"/>
      <c r="D14" s="9"/>
      <c r="E14" s="9"/>
      <c r="F14" s="9"/>
      <c r="G14" s="9"/>
      <c r="H14" s="9"/>
      <c r="I14" s="9"/>
      <c r="J14" s="9"/>
      <c r="K14" s="9"/>
      <c r="L14" s="9"/>
    </row>
    <row r="15" customFormat="false" ht="15" hidden="false" customHeight="false" outlineLevel="0" collapsed="false">
      <c r="A15" s="6" t="s">
        <v>32</v>
      </c>
      <c r="B15" s="6" t="s">
        <v>28</v>
      </c>
      <c r="C15" s="9"/>
      <c r="D15" s="9"/>
      <c r="E15" s="9"/>
      <c r="F15" s="9"/>
      <c r="G15" s="9"/>
      <c r="H15" s="9"/>
      <c r="I15" s="9"/>
      <c r="J15" s="9"/>
      <c r="K15" s="9"/>
      <c r="L15" s="9"/>
    </row>
    <row r="16" customFormat="false" ht="15" hidden="false" customHeight="false" outlineLevel="0" collapsed="false">
      <c r="A16" s="6" t="s">
        <v>33</v>
      </c>
      <c r="B16" s="6" t="s">
        <v>28</v>
      </c>
      <c r="C16" s="9"/>
      <c r="D16" s="9"/>
      <c r="E16" s="9"/>
      <c r="F16" s="9"/>
      <c r="G16" s="9"/>
      <c r="H16" s="9"/>
      <c r="I16" s="9"/>
      <c r="J16" s="9"/>
      <c r="K16" s="9"/>
      <c r="L16" s="9"/>
    </row>
    <row r="17" customFormat="false" ht="15" hidden="false" customHeight="false" outlineLevel="0" collapsed="false">
      <c r="A17" s="6" t="s">
        <v>34</v>
      </c>
      <c r="B17" s="6" t="s">
        <v>28</v>
      </c>
      <c r="C17" s="9"/>
      <c r="D17" s="9"/>
      <c r="E17" s="9"/>
      <c r="F17" s="9"/>
      <c r="G17" s="9"/>
      <c r="H17" s="9"/>
      <c r="I17" s="9"/>
      <c r="J17" s="9"/>
      <c r="K17" s="9"/>
      <c r="L17" s="9"/>
    </row>
    <row r="18" customFormat="false" ht="15" hidden="false" customHeight="false" outlineLevel="0" collapsed="false">
      <c r="A18" s="6" t="s">
        <v>35</v>
      </c>
      <c r="B18" s="6" t="s">
        <v>28</v>
      </c>
      <c r="C18" s="9"/>
      <c r="D18" s="9"/>
      <c r="E18" s="9"/>
      <c r="F18" s="9"/>
      <c r="G18" s="9"/>
      <c r="H18" s="9"/>
      <c r="I18" s="9"/>
      <c r="J18" s="9"/>
      <c r="K18" s="9"/>
      <c r="L18" s="9"/>
    </row>
    <row r="20" customFormat="false" ht="15" hidden="false" customHeight="false" outlineLevel="0" collapsed="false">
      <c r="A20" s="8" t="s">
        <v>36</v>
      </c>
    </row>
    <row r="21" customFormat="false" ht="15" hidden="false" customHeight="false" outlineLevel="0" collapsed="false">
      <c r="A21" s="3" t="s">
        <v>15</v>
      </c>
      <c r="B21" s="3" t="s">
        <v>16</v>
      </c>
      <c r="C21" s="3" t="s">
        <v>17</v>
      </c>
      <c r="D21" s="3" t="s">
        <v>18</v>
      </c>
      <c r="E21" s="3" t="s">
        <v>19</v>
      </c>
      <c r="F21" s="3" t="s">
        <v>20</v>
      </c>
      <c r="G21" s="3" t="s">
        <v>21</v>
      </c>
      <c r="H21" s="3" t="s">
        <v>22</v>
      </c>
      <c r="I21" s="3" t="s">
        <v>23</v>
      </c>
      <c r="J21" s="3" t="s">
        <v>24</v>
      </c>
      <c r="K21" s="3" t="s">
        <v>25</v>
      </c>
      <c r="L21" s="3" t="s">
        <v>26</v>
      </c>
    </row>
    <row r="22" customFormat="false" ht="15" hidden="false" customHeight="false" outlineLevel="0" collapsed="false">
      <c r="A22" s="6" t="s">
        <v>27</v>
      </c>
      <c r="B22" s="6" t="s">
        <v>37</v>
      </c>
      <c r="C22" s="9" t="n">
        <f aca="false">IFERROR(__xludf.DUMMYFUNCTION("IMPORTRANGE(Links!$B$4,""Indexado Dim Técnico!B15:K22"")"),0)</f>
        <v>0</v>
      </c>
      <c r="D22" s="9"/>
      <c r="E22" s="9"/>
      <c r="F22" s="9"/>
      <c r="G22" s="9"/>
      <c r="H22" s="9"/>
      <c r="I22" s="9"/>
      <c r="J22" s="9"/>
      <c r="K22" s="9"/>
      <c r="L22" s="9"/>
    </row>
    <row r="23" customFormat="false" ht="15" hidden="false" customHeight="false" outlineLevel="0" collapsed="false">
      <c r="A23" s="6" t="s">
        <v>29</v>
      </c>
      <c r="B23" s="6" t="s">
        <v>37</v>
      </c>
      <c r="C23" s="9"/>
      <c r="D23" s="9"/>
      <c r="E23" s="9"/>
      <c r="F23" s="9"/>
      <c r="G23" s="9"/>
      <c r="H23" s="9"/>
      <c r="I23" s="9"/>
      <c r="J23" s="9"/>
      <c r="K23" s="9"/>
      <c r="L23" s="9"/>
    </row>
    <row r="24" customFormat="false" ht="15" hidden="false" customHeight="false" outlineLevel="0" collapsed="false">
      <c r="A24" s="6" t="s">
        <v>30</v>
      </c>
      <c r="B24" s="6" t="s">
        <v>37</v>
      </c>
      <c r="C24" s="9"/>
      <c r="D24" s="9"/>
      <c r="E24" s="9"/>
      <c r="F24" s="9"/>
      <c r="G24" s="9"/>
      <c r="H24" s="9"/>
      <c r="I24" s="9"/>
      <c r="J24" s="9"/>
      <c r="K24" s="9"/>
      <c r="L24" s="9"/>
    </row>
    <row r="25" customFormat="false" ht="15" hidden="false" customHeight="false" outlineLevel="0" collapsed="false">
      <c r="A25" s="6" t="s">
        <v>31</v>
      </c>
      <c r="B25" s="6" t="s">
        <v>37</v>
      </c>
      <c r="C25" s="9"/>
      <c r="D25" s="9"/>
      <c r="E25" s="9"/>
      <c r="F25" s="9"/>
      <c r="G25" s="9"/>
      <c r="H25" s="9"/>
      <c r="I25" s="9"/>
      <c r="J25" s="9"/>
      <c r="K25" s="9"/>
      <c r="L25" s="9"/>
    </row>
    <row r="26" customFormat="false" ht="15" hidden="false" customHeight="false" outlineLevel="0" collapsed="false">
      <c r="A26" s="6" t="s">
        <v>32</v>
      </c>
      <c r="B26" s="6" t="s">
        <v>37</v>
      </c>
      <c r="C26" s="9"/>
      <c r="D26" s="9"/>
      <c r="E26" s="9"/>
      <c r="F26" s="9"/>
      <c r="G26" s="9"/>
      <c r="H26" s="9"/>
      <c r="I26" s="9"/>
      <c r="J26" s="9"/>
      <c r="K26" s="9"/>
      <c r="L26" s="9"/>
    </row>
    <row r="27" customFormat="false" ht="15" hidden="false" customHeight="false" outlineLevel="0" collapsed="false">
      <c r="A27" s="6" t="s">
        <v>33</v>
      </c>
      <c r="B27" s="6" t="s">
        <v>37</v>
      </c>
      <c r="C27" s="9"/>
      <c r="D27" s="9"/>
      <c r="E27" s="9"/>
      <c r="F27" s="9"/>
      <c r="G27" s="9"/>
      <c r="H27" s="9"/>
      <c r="I27" s="9"/>
      <c r="J27" s="9"/>
      <c r="K27" s="9"/>
      <c r="L27" s="9"/>
    </row>
    <row r="28" customFormat="false" ht="15" hidden="false" customHeight="false" outlineLevel="0" collapsed="false">
      <c r="A28" s="6" t="s">
        <v>34</v>
      </c>
      <c r="B28" s="6" t="s">
        <v>37</v>
      </c>
      <c r="C28" s="9"/>
      <c r="D28" s="9"/>
      <c r="E28" s="9"/>
      <c r="F28" s="9"/>
      <c r="G28" s="9"/>
      <c r="H28" s="9"/>
      <c r="I28" s="9"/>
      <c r="J28" s="9"/>
      <c r="K28" s="9"/>
      <c r="L28" s="9"/>
    </row>
    <row r="29" customFormat="false" ht="15" hidden="false" customHeight="false" outlineLevel="0" collapsed="false">
      <c r="A29" s="6" t="s">
        <v>35</v>
      </c>
      <c r="B29" s="6" t="s">
        <v>37</v>
      </c>
      <c r="C29" s="9"/>
      <c r="D29" s="9"/>
      <c r="E29" s="9"/>
      <c r="F29" s="9"/>
      <c r="G29" s="9"/>
      <c r="H29" s="9"/>
      <c r="I29" s="9"/>
      <c r="J29" s="9"/>
      <c r="K29" s="9"/>
      <c r="L29" s="9"/>
    </row>
    <row r="31" customFormat="false" ht="15" hidden="false" customHeight="false" outlineLevel="0" collapsed="false">
      <c r="A31" s="8" t="s">
        <v>38</v>
      </c>
    </row>
    <row r="32" customFormat="false" ht="15" hidden="false" customHeight="false" outlineLevel="0" collapsed="false">
      <c r="A32" s="3" t="s">
        <v>15</v>
      </c>
      <c r="B32" s="3" t="s">
        <v>16</v>
      </c>
      <c r="C32" s="3" t="s">
        <v>17</v>
      </c>
      <c r="D32" s="3" t="s">
        <v>18</v>
      </c>
      <c r="E32" s="3" t="s">
        <v>19</v>
      </c>
      <c r="F32" s="3" t="s">
        <v>20</v>
      </c>
      <c r="G32" s="3" t="s">
        <v>21</v>
      </c>
      <c r="H32" s="3" t="s">
        <v>22</v>
      </c>
      <c r="I32" s="3" t="s">
        <v>23</v>
      </c>
      <c r="J32" s="3" t="s">
        <v>24</v>
      </c>
      <c r="K32" s="3" t="s">
        <v>25</v>
      </c>
      <c r="L32" s="3" t="s">
        <v>26</v>
      </c>
    </row>
    <row r="33" customFormat="false" ht="15" hidden="false" customHeight="false" outlineLevel="0" collapsed="false">
      <c r="A33" s="6" t="s">
        <v>27</v>
      </c>
      <c r="B33" s="6" t="s">
        <v>39</v>
      </c>
      <c r="C33" s="9" t="n">
        <f aca="false">IFERROR(__xludf.DUMMYFUNCTION("IMPORTRANGE(Links!$B$6,""sobrestock_sustitutos!B73:K76"")"),0)</f>
        <v>0</v>
      </c>
      <c r="D33" s="9"/>
      <c r="E33" s="9"/>
      <c r="F33" s="9"/>
      <c r="G33" s="9"/>
      <c r="H33" s="9"/>
      <c r="I33" s="9"/>
      <c r="J33" s="9"/>
      <c r="K33" s="9"/>
      <c r="L33" s="9"/>
    </row>
    <row r="34" customFormat="false" ht="15" hidden="false" customHeight="false" outlineLevel="0" collapsed="false">
      <c r="A34" s="6" t="s">
        <v>29</v>
      </c>
      <c r="B34" s="6" t="s">
        <v>39</v>
      </c>
      <c r="C34" s="9"/>
      <c r="D34" s="9"/>
      <c r="E34" s="9"/>
      <c r="F34" s="9"/>
      <c r="G34" s="9"/>
      <c r="H34" s="9"/>
      <c r="I34" s="9"/>
      <c r="J34" s="9"/>
      <c r="K34" s="9"/>
      <c r="L34" s="9"/>
    </row>
    <row r="35" customFormat="false" ht="15" hidden="false" customHeight="false" outlineLevel="0" collapsed="false">
      <c r="A35" s="6" t="s">
        <v>30</v>
      </c>
      <c r="B35" s="6" t="s">
        <v>39</v>
      </c>
      <c r="C35" s="9"/>
      <c r="D35" s="9"/>
      <c r="E35" s="9"/>
      <c r="F35" s="9"/>
      <c r="G35" s="9"/>
      <c r="H35" s="9"/>
      <c r="I35" s="9"/>
      <c r="J35" s="9"/>
      <c r="K35" s="9"/>
      <c r="L35" s="9"/>
    </row>
    <row r="36" customFormat="false" ht="15" hidden="false" customHeight="false" outlineLevel="0" collapsed="false">
      <c r="A36" s="6" t="s">
        <v>31</v>
      </c>
      <c r="B36" s="6" t="s">
        <v>39</v>
      </c>
      <c r="C36" s="9"/>
      <c r="D36" s="9"/>
      <c r="E36" s="9"/>
      <c r="F36" s="9"/>
      <c r="G36" s="9"/>
      <c r="H36" s="9"/>
      <c r="I36" s="9"/>
      <c r="J36" s="9"/>
      <c r="K36" s="9"/>
      <c r="L36" s="9"/>
    </row>
    <row r="37" customFormat="false" ht="15" hidden="false" customHeight="false" outlineLevel="0" collapsed="false">
      <c r="A37" s="6" t="s">
        <v>32</v>
      </c>
      <c r="B37" s="6" t="s">
        <v>39</v>
      </c>
      <c r="C37" s="9" t="n">
        <f aca="false">IFERROR(__xludf.DUMMYFUNCTION("IMPORTRANGE(Links!$B$6,""sobrestock_sustitutos!B86:K89"")"),1)</f>
        <v>1</v>
      </c>
      <c r="D37" s="9"/>
      <c r="E37" s="9"/>
      <c r="F37" s="9"/>
      <c r="G37" s="9"/>
      <c r="H37" s="9"/>
      <c r="I37" s="9"/>
      <c r="J37" s="9"/>
      <c r="K37" s="9"/>
      <c r="L37" s="9"/>
    </row>
    <row r="38" customFormat="false" ht="15" hidden="false" customHeight="false" outlineLevel="0" collapsed="false">
      <c r="A38" s="6" t="s">
        <v>33</v>
      </c>
      <c r="B38" s="6" t="s">
        <v>39</v>
      </c>
      <c r="C38" s="9"/>
      <c r="D38" s="9"/>
      <c r="E38" s="9"/>
      <c r="F38" s="9"/>
      <c r="G38" s="9"/>
      <c r="H38" s="9"/>
      <c r="I38" s="9"/>
      <c r="J38" s="9"/>
      <c r="K38" s="9"/>
      <c r="L38" s="9"/>
    </row>
    <row r="39" customFormat="false" ht="15" hidden="false" customHeight="false" outlineLevel="0" collapsed="false">
      <c r="A39" s="6" t="s">
        <v>34</v>
      </c>
      <c r="B39" s="6" t="s">
        <v>39</v>
      </c>
      <c r="C39" s="9"/>
      <c r="D39" s="9"/>
      <c r="E39" s="9"/>
      <c r="F39" s="9"/>
      <c r="G39" s="9"/>
      <c r="H39" s="9"/>
      <c r="I39" s="9"/>
      <c r="J39" s="9"/>
      <c r="K39" s="9"/>
      <c r="L39" s="9"/>
    </row>
    <row r="40" customFormat="false" ht="15" hidden="false" customHeight="false" outlineLevel="0" collapsed="false">
      <c r="A40" s="6" t="s">
        <v>35</v>
      </c>
      <c r="B40" s="6" t="s">
        <v>39</v>
      </c>
      <c r="C40" s="9"/>
      <c r="D40" s="9"/>
      <c r="E40" s="9"/>
      <c r="F40" s="9"/>
      <c r="G40" s="9"/>
      <c r="H40" s="9"/>
      <c r="I40" s="9"/>
      <c r="J40" s="9"/>
      <c r="K40" s="9"/>
      <c r="L40" s="9"/>
    </row>
    <row r="42" customFormat="false" ht="15" hidden="false" customHeight="false" outlineLevel="0" collapsed="false">
      <c r="A42" s="8" t="s">
        <v>40</v>
      </c>
    </row>
    <row r="43" customFormat="false" ht="15" hidden="false" customHeight="false" outlineLevel="0" collapsed="false">
      <c r="A43" s="3" t="s">
        <v>15</v>
      </c>
      <c r="B43" s="3" t="s">
        <v>16</v>
      </c>
      <c r="C43" s="3" t="s">
        <v>17</v>
      </c>
      <c r="D43" s="3" t="s">
        <v>18</v>
      </c>
      <c r="E43" s="3" t="s">
        <v>19</v>
      </c>
      <c r="F43" s="3" t="s">
        <v>20</v>
      </c>
      <c r="G43" s="3" t="s">
        <v>21</v>
      </c>
      <c r="H43" s="3" t="s">
        <v>22</v>
      </c>
      <c r="I43" s="3" t="s">
        <v>23</v>
      </c>
      <c r="J43" s="3" t="s">
        <v>24</v>
      </c>
      <c r="K43" s="3" t="s">
        <v>25</v>
      </c>
      <c r="L43" s="3" t="s">
        <v>26</v>
      </c>
    </row>
    <row r="44" customFormat="false" ht="15" hidden="false" customHeight="false" outlineLevel="0" collapsed="false">
      <c r="A44" s="6" t="s">
        <v>27</v>
      </c>
      <c r="B44" s="6" t="s">
        <v>39</v>
      </c>
      <c r="C44" s="9" t="n">
        <f aca="false">IFERROR(__xludf.DUMMYFUNCTION("IMPORTRANGE(Links!$B$5,""sobrestock_sustitutos!B73:K76"")"),0)</f>
        <v>0</v>
      </c>
      <c r="D44" s="9"/>
      <c r="E44" s="9"/>
      <c r="F44" s="9"/>
      <c r="G44" s="9"/>
      <c r="H44" s="9"/>
      <c r="I44" s="9"/>
      <c r="J44" s="9"/>
      <c r="K44" s="9"/>
      <c r="L44" s="9"/>
    </row>
    <row r="45" customFormat="false" ht="15" hidden="false" customHeight="false" outlineLevel="0" collapsed="false">
      <c r="A45" s="6" t="s">
        <v>29</v>
      </c>
      <c r="B45" s="6" t="s">
        <v>39</v>
      </c>
      <c r="C45" s="9"/>
      <c r="D45" s="9"/>
      <c r="E45" s="9"/>
      <c r="F45" s="9"/>
      <c r="G45" s="9"/>
      <c r="H45" s="9"/>
      <c r="I45" s="9"/>
      <c r="J45" s="9"/>
      <c r="K45" s="9"/>
      <c r="L45" s="9"/>
    </row>
    <row r="46" customFormat="false" ht="15" hidden="false" customHeight="false" outlineLevel="0" collapsed="false">
      <c r="A46" s="6" t="s">
        <v>30</v>
      </c>
      <c r="B46" s="6" t="s">
        <v>39</v>
      </c>
      <c r="C46" s="9"/>
      <c r="D46" s="9"/>
      <c r="E46" s="9"/>
      <c r="F46" s="9"/>
      <c r="G46" s="9"/>
      <c r="H46" s="9"/>
      <c r="I46" s="9"/>
      <c r="J46" s="9"/>
      <c r="K46" s="9"/>
      <c r="L46" s="9"/>
    </row>
    <row r="47" customFormat="false" ht="15" hidden="false" customHeight="false" outlineLevel="0" collapsed="false">
      <c r="A47" s="6" t="s">
        <v>31</v>
      </c>
      <c r="B47" s="6" t="s">
        <v>39</v>
      </c>
      <c r="C47" s="9"/>
      <c r="D47" s="9"/>
      <c r="E47" s="9"/>
      <c r="F47" s="9"/>
      <c r="G47" s="9"/>
      <c r="H47" s="9"/>
      <c r="I47" s="9"/>
      <c r="J47" s="9"/>
      <c r="K47" s="9"/>
      <c r="L47" s="9"/>
    </row>
    <row r="48" customFormat="false" ht="15" hidden="false" customHeight="false" outlineLevel="0" collapsed="false">
      <c r="A48" s="6" t="s">
        <v>32</v>
      </c>
      <c r="B48" s="6" t="s">
        <v>39</v>
      </c>
      <c r="C48" s="9" t="n">
        <f aca="false">IFERROR(__xludf.DUMMYFUNCTION("IMPORTRANGE(Links!$B$5,""sobrestock_sustitutos!B86:K89"")"),1)</f>
        <v>1</v>
      </c>
      <c r="D48" s="9"/>
      <c r="E48" s="9"/>
      <c r="F48" s="9"/>
      <c r="G48" s="9"/>
      <c r="H48" s="9"/>
      <c r="I48" s="9"/>
      <c r="J48" s="9"/>
      <c r="K48" s="9"/>
      <c r="L48" s="9"/>
    </row>
    <row r="49" customFormat="false" ht="15" hidden="false" customHeight="false" outlineLevel="0" collapsed="false">
      <c r="A49" s="6" t="s">
        <v>33</v>
      </c>
      <c r="B49" s="6" t="s">
        <v>39</v>
      </c>
      <c r="C49" s="9"/>
      <c r="D49" s="9"/>
      <c r="E49" s="9"/>
      <c r="F49" s="9"/>
      <c r="G49" s="9"/>
      <c r="H49" s="9"/>
      <c r="I49" s="9"/>
      <c r="J49" s="9"/>
      <c r="K49" s="9"/>
      <c r="L49" s="9"/>
    </row>
    <row r="50" customFormat="false" ht="15" hidden="false" customHeight="false" outlineLevel="0" collapsed="false">
      <c r="A50" s="6" t="s">
        <v>34</v>
      </c>
      <c r="B50" s="6" t="s">
        <v>39</v>
      </c>
      <c r="C50" s="9"/>
      <c r="D50" s="9"/>
      <c r="E50" s="9"/>
      <c r="F50" s="9"/>
      <c r="G50" s="9"/>
      <c r="H50" s="9"/>
      <c r="I50" s="9"/>
      <c r="J50" s="9"/>
      <c r="K50" s="9"/>
      <c r="L50" s="9"/>
    </row>
    <row r="51" customFormat="false" ht="15" hidden="false" customHeight="false" outlineLevel="0" collapsed="false">
      <c r="A51" s="6" t="s">
        <v>35</v>
      </c>
      <c r="B51" s="6" t="s">
        <v>39</v>
      </c>
      <c r="C51" s="9"/>
      <c r="D51" s="9"/>
      <c r="E51" s="9"/>
      <c r="F51" s="9"/>
      <c r="G51" s="9"/>
      <c r="H51" s="9"/>
      <c r="I51" s="9"/>
      <c r="J51" s="9"/>
      <c r="K51" s="9"/>
      <c r="L51" s="9"/>
    </row>
  </sheetData>
  <mergeCells count="8">
    <mergeCell ref="B3:F3"/>
    <mergeCell ref="G3:K3"/>
    <mergeCell ref="B4:F4"/>
    <mergeCell ref="G4:K4"/>
    <mergeCell ref="B5:F5"/>
    <mergeCell ref="G5:K5"/>
    <mergeCell ref="B6:F6"/>
    <mergeCell ref="G6:K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6" min="2" style="0" width="24"/>
    <col collapsed="false" customWidth="true" hidden="false" outlineLevel="0" max="7" min="7" style="0" width="3"/>
    <col collapsed="false" customWidth="true" hidden="false" outlineLevel="0" max="8" min="8" style="0" width="40"/>
  </cols>
  <sheetData>
    <row r="1" customFormat="false" ht="15" hidden="false" customHeight="false" outlineLevel="0" collapsed="false">
      <c r="A1" s="1" t="s">
        <v>41</v>
      </c>
    </row>
    <row r="2" customFormat="false" ht="15" hidden="false" customHeight="false" outlineLevel="0" collapsed="false">
      <c r="A2" s="2" t="s">
        <v>42</v>
      </c>
    </row>
    <row r="4" customFormat="false" ht="15" hidden="false" customHeight="false" outlineLevel="0" collapsed="false">
      <c r="A4" s="3" t="s">
        <v>43</v>
      </c>
      <c r="B4" s="3" t="s">
        <v>44</v>
      </c>
      <c r="C4" s="3" t="s">
        <v>45</v>
      </c>
      <c r="D4" s="3" t="s">
        <v>46</v>
      </c>
      <c r="E4" s="3" t="s">
        <v>47</v>
      </c>
      <c r="F4" s="3" t="s">
        <v>48</v>
      </c>
    </row>
    <row r="5" customFormat="false" ht="30" hidden="false" customHeight="true" outlineLevel="0" collapsed="false">
      <c r="A5" s="6" t="s">
        <v>49</v>
      </c>
      <c r="B5" s="6" t="s">
        <v>50</v>
      </c>
      <c r="C5" s="6" t="s">
        <v>51</v>
      </c>
      <c r="D5" s="6" t="s">
        <v>52</v>
      </c>
      <c r="E5" s="6" t="s">
        <v>51</v>
      </c>
      <c r="F5" s="6" t="s">
        <v>53</v>
      </c>
    </row>
    <row r="6" customFormat="false" ht="30" hidden="false" customHeight="true" outlineLevel="0" collapsed="false">
      <c r="A6" s="6" t="s">
        <v>54</v>
      </c>
      <c r="B6" s="6" t="s">
        <v>55</v>
      </c>
      <c r="C6" s="6" t="s">
        <v>56</v>
      </c>
      <c r="D6" s="6" t="s">
        <v>57</v>
      </c>
      <c r="E6" s="6" t="s">
        <v>55</v>
      </c>
      <c r="F6" s="6" t="s">
        <v>55</v>
      </c>
    </row>
    <row r="7" customFormat="false" ht="15.75" hidden="false" customHeight="true" outlineLevel="0" collapsed="false">
      <c r="A7" s="6" t="s">
        <v>58</v>
      </c>
      <c r="B7" s="9" t="n">
        <f aca="false">Datos!$C$117</f>
        <v>160806.259314456</v>
      </c>
      <c r="C7" s="9" t="n">
        <f aca="false">Datos!$D$117</f>
        <v>72506.259314456</v>
      </c>
      <c r="D7" s="9" t="n">
        <f aca="false">Datos!$E$117</f>
        <v>191000</v>
      </c>
      <c r="E7" s="9" t="n">
        <f aca="false">Datos!$F$117</f>
        <v>86006.259314456</v>
      </c>
      <c r="F7" s="9" t="n">
        <f aca="false">Datos!$G$117</f>
        <v>15000</v>
      </c>
    </row>
    <row r="8" customFormat="false" ht="15.75" hidden="false" customHeight="true" outlineLevel="0" collapsed="false">
      <c r="A8" s="6" t="s">
        <v>59</v>
      </c>
      <c r="B8" s="9" t="n">
        <f aca="false">SUM(Cálculo!$C$32:$L$32)</f>
        <v>1817.54320540384</v>
      </c>
      <c r="C8" s="9" t="n">
        <f aca="false">SUM(Cálculo!$C$61:$L$61)</f>
        <v>1924.74727831533</v>
      </c>
      <c r="D8" s="9" t="n">
        <f aca="false">SUM(Cálculo!$C$85:$L$85)</f>
        <v>1833.93078164875</v>
      </c>
      <c r="E8" s="9" t="n">
        <f aca="false">SUM(Cálculo!$C$99:$L$99)</f>
        <v>1877.59001341101</v>
      </c>
      <c r="F8" s="9" t="n">
        <f aca="false">SUM(Cálculo!$C$113:$L$113)</f>
        <v>1760.21256110205</v>
      </c>
    </row>
    <row r="9" customFormat="false" ht="15.75" hidden="false" customHeight="true" outlineLevel="0" collapsed="false">
      <c r="A9" s="6" t="s">
        <v>60</v>
      </c>
      <c r="B9" s="10" t="n">
        <f aca="false">SUM(Cálculo!$C$25:$L$25)/B8</f>
        <v>0.905244967114225</v>
      </c>
      <c r="C9" s="10" t="n">
        <f aca="false">SUM(Cálculo!$C$25:$L$25)/C8</f>
        <v>0.854824868563825</v>
      </c>
      <c r="D9" s="10" t="n">
        <f aca="false">SUM(Cálculo!$C$25:$L$25)/D8</f>
        <v>0.897155909954955</v>
      </c>
      <c r="E9" s="10" t="n">
        <f aca="false">SUM(Cálculo!$C$25:$L$25)/E8</f>
        <v>0.876294519811295</v>
      </c>
      <c r="F9" s="10" t="n">
        <f aca="false">SUM(Cálculo!$C$25:$L$25)/F8</f>
        <v>0.934729063729875</v>
      </c>
    </row>
    <row r="10" customFormat="false" ht="15.75" hidden="false" customHeight="true" outlineLevel="0" collapsed="false">
      <c r="A10" s="6" t="s">
        <v>61</v>
      </c>
      <c r="B10" s="9" t="n">
        <f aca="false">INDEX(Cálculo!$C$41:$L$41,Datos!$B$6-2025)</f>
        <v>318.274511570836</v>
      </c>
      <c r="C10" s="9" t="n">
        <f aca="false">INDEX(Cálculo!$C$67:$L$67,Datos!$B$6-2025)</f>
        <v>399.386281854806</v>
      </c>
      <c r="D10" s="9" t="n">
        <f aca="false">INDEX(Cálculo!$C$93:$L$93,Datos!$B$6-2025)</f>
        <v>406.038524982844</v>
      </c>
      <c r="E10" s="9" t="n">
        <f aca="false">INDEX(Cálculo!$C$105:$L$105,Datos!$B$6-2025)</f>
        <v>113.606394245466</v>
      </c>
      <c r="F10" s="9" t="n">
        <f aca="false">INDEX(Cálculo!$C$119:$L$119,Datos!$B$6-2025)</f>
        <v>20.1466991122665</v>
      </c>
    </row>
    <row r="11" customFormat="false" ht="15.75" hidden="false" customHeight="true" outlineLevel="0" collapsed="false">
      <c r="A11" s="6" t="s">
        <v>62</v>
      </c>
      <c r="B11" s="9" t="n">
        <f aca="false">INDEX(Cálculo!$C$44:$L$44,Datos!$B$6-2025)</f>
        <v>510842.200866098</v>
      </c>
      <c r="C11" s="9" t="n">
        <f aca="false">INDEX(Cálculo!$C$70:$L$70,Datos!$B$6-2025)</f>
        <v>565521.545743233</v>
      </c>
      <c r="D11" s="9" t="n">
        <f aca="false">INDEX(Cálculo!$C$96:$L$96,Datos!$B$6-2025)</f>
        <v>523443.217467392</v>
      </c>
      <c r="E11" s="9" t="n">
        <f aca="false">INDEX(Cálculo!$C$108:$L$108,Datos!$B$6-2025)</f>
        <v>539731.104274726</v>
      </c>
      <c r="F11" s="9" t="n">
        <f aca="false">INDEX(Cálculo!$C$122:$L$122,Datos!$B$6-2025)</f>
        <v>539193.472175174</v>
      </c>
    </row>
    <row r="12" customFormat="false" ht="15.75" hidden="false" customHeight="true" outlineLevel="0" collapsed="false">
      <c r="A12" s="4" t="s">
        <v>63</v>
      </c>
      <c r="B12" s="11" t="n">
        <f aca="false">B7+SUMPRODUCT(Cálculo!$C$44:$L$44,Cálculo!$C$6:$L$6)</f>
        <v>1139875.83132641</v>
      </c>
      <c r="C12" s="11" t="n">
        <f aca="false">C7+SUMPRODUCT(Cálculo!$C$70:$L$70,Cálculo!$C$6:$L$6)</f>
        <v>1140454.43915057</v>
      </c>
      <c r="D12" s="11" t="n">
        <f aca="false">D7+SUMPRODUCT(Cálculo!$C$96:$L$96,Cálculo!$C$6:$L$6)</f>
        <v>1202188.26797316</v>
      </c>
      <c r="E12" s="11" t="n">
        <f aca="false">E7+SUMPRODUCT(Cálculo!$C$108:$L$108,Cálculo!$C$6:$L$6)</f>
        <v>1107926.94786553</v>
      </c>
      <c r="F12" s="11" t="n">
        <f aca="false">F7+SUMPRODUCT(Cálculo!$C$122:$L$122,Cálculo!$C$6:$L$6)</f>
        <v>1028430.05119185</v>
      </c>
    </row>
    <row r="13" customFormat="false" ht="15.75" hidden="false" customHeight="true" outlineLevel="0" collapsed="false">
      <c r="A13" s="6" t="s">
        <v>64</v>
      </c>
      <c r="B13" s="9" t="n">
        <f aca="false">RANK(B12,$B$12:$E$12,1)</f>
        <v>2</v>
      </c>
      <c r="C13" s="9" t="n">
        <f aca="false">RANK(C12,$B$12:$E$12,1)</f>
        <v>3</v>
      </c>
      <c r="D13" s="9" t="n">
        <f aca="false">RANK(D12,$B$12:$E$12,1)</f>
        <v>4</v>
      </c>
      <c r="E13" s="9" t="n">
        <f aca="false">RANK(E12,$B$12:$E$12,1)</f>
        <v>1</v>
      </c>
      <c r="F13" s="12" t="s">
        <v>65</v>
      </c>
    </row>
    <row r="14" customFormat="false" ht="15.75" hidden="false" customHeight="true" outlineLevel="0" collapsed="false">
      <c r="A14" s="6" t="s">
        <v>66</v>
      </c>
      <c r="B14" s="9" t="n">
        <f aca="false">B12-MIN($B$12:$E$12)</f>
        <v>31948.8834608789</v>
      </c>
      <c r="C14" s="9" t="n">
        <f aca="false">C12-MIN($B$12:$E$12)</f>
        <v>32527.4912850342</v>
      </c>
      <c r="D14" s="9" t="n">
        <f aca="false">D12-MIN($B$12:$E$12)</f>
        <v>94261.3201076263</v>
      </c>
      <c r="E14" s="9" t="n">
        <f aca="false">E12-MIN($B$12:$E$12)</f>
        <v>0</v>
      </c>
      <c r="F14" s="9" t="n">
        <f aca="false">F12-MIN($B$12:$E$12)</f>
        <v>-79496.8966736835</v>
      </c>
    </row>
    <row r="16" customFormat="false" ht="15" hidden="false" customHeight="false" outlineLevel="0" collapsed="false">
      <c r="A16" s="4" t="s">
        <v>67</v>
      </c>
      <c r="B16" s="13" t="str">
        <f aca="false">INDEX({"A: bobina por formato + fleje","B: hojas para todo","C: bobina madre propia","D: hojas + fleje"},MATCH(MIN($B$12:$E$12),$B$12:$E$12,0))</f>
        <v>D: hojas + fleje</v>
      </c>
      <c r="C16" s="13"/>
      <c r="D16" s="13"/>
      <c r="E16" s="13"/>
      <c r="F16" s="13"/>
    </row>
    <row r="17" customFormat="false" ht="15" hidden="false" customHeight="false" outlineLevel="0" collapsed="false">
      <c r="A17" s="6" t="s">
        <v>68</v>
      </c>
      <c r="B17" s="10" t="n">
        <f aca="false">($B$12-$E$12)/SUMPRODUCT(Cálculo!$C$55:$L$55,Cálculo!$C$6:$L$6)</f>
        <v>0.0401921184457539</v>
      </c>
    </row>
    <row r="18" customFormat="false" ht="15" hidden="false" customHeight="false" outlineLevel="0" collapsed="false">
      <c r="A18" s="6" t="s">
        <v>69</v>
      </c>
      <c r="B18" s="10" t="n">
        <f aca="false">($C$12-$E$12)/SUMPRODUCT(Cálculo!$C$31:$L$31,Cálculo!$C$6:$L$6)</f>
        <v>0.14427752929513</v>
      </c>
    </row>
    <row r="20" customFormat="false" ht="15" hidden="false" customHeight="false" outlineLevel="0" collapsed="false">
      <c r="A20" s="2" t="s">
        <v>70</v>
      </c>
    </row>
  </sheetData>
  <mergeCells count="1">
    <mergeCell ref="B16:F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7" min="4" style="0" width="12"/>
    <col collapsed="false" customWidth="true" hidden="false" outlineLevel="0" max="8" min="8" style="0" width="20"/>
    <col collapsed="false" customWidth="true" hidden="false" outlineLevel="0" max="9" min="9" style="0" width="70"/>
  </cols>
  <sheetData>
    <row r="1" customFormat="false" ht="15" hidden="false" customHeight="false" outlineLevel="0" collapsed="false">
      <c r="A1" s="1" t="s">
        <v>71</v>
      </c>
    </row>
    <row r="2" customFormat="false" ht="15" hidden="false" customHeight="false" outlineLevel="0" collapsed="false">
      <c r="A2" s="2" t="s">
        <v>72</v>
      </c>
    </row>
    <row r="4" customFormat="false" ht="15" hidden="false" customHeight="false" outlineLevel="0" collapsed="false">
      <c r="A4" s="8" t="s">
        <v>73</v>
      </c>
    </row>
    <row r="5" customFormat="false" ht="15" hidden="false" customHeight="true" outlineLevel="0" collapsed="false">
      <c r="A5" s="3" t="s">
        <v>74</v>
      </c>
      <c r="B5" s="3" t="s">
        <v>75</v>
      </c>
      <c r="C5" s="3" t="s">
        <v>76</v>
      </c>
      <c r="D5" s="14" t="s">
        <v>77</v>
      </c>
      <c r="E5" s="14"/>
      <c r="F5" s="14"/>
      <c r="G5" s="14"/>
      <c r="H5" s="14"/>
      <c r="I5" s="14"/>
    </row>
    <row r="6" customFormat="false" ht="15" hidden="false" customHeight="true" outlineLevel="0" collapsed="false">
      <c r="A6" s="6" t="s">
        <v>78</v>
      </c>
      <c r="B6" s="15" t="n">
        <v>2035</v>
      </c>
      <c r="C6" s="6" t="s">
        <v>79</v>
      </c>
      <c r="D6" s="16" t="s">
        <v>80</v>
      </c>
      <c r="E6" s="16"/>
      <c r="F6" s="16"/>
      <c r="G6" s="16"/>
      <c r="H6" s="16"/>
      <c r="I6" s="16"/>
    </row>
    <row r="7" customFormat="false" ht="15" hidden="false" customHeight="true" outlineLevel="0" collapsed="false">
      <c r="A7" s="6" t="s">
        <v>81</v>
      </c>
      <c r="B7" s="17" t="n">
        <v>0.12</v>
      </c>
      <c r="C7" s="6" t="s">
        <v>82</v>
      </c>
      <c r="D7" s="16" t="s">
        <v>83</v>
      </c>
      <c r="E7" s="16"/>
      <c r="F7" s="16"/>
      <c r="G7" s="16"/>
      <c r="H7" s="16"/>
      <c r="I7" s="16"/>
    </row>
    <row r="8" customFormat="false" ht="15" hidden="false" customHeight="true" outlineLevel="0" collapsed="false">
      <c r="A8" s="6" t="s">
        <v>84</v>
      </c>
      <c r="B8" s="17" t="n">
        <v>0.03</v>
      </c>
      <c r="C8" s="6" t="s">
        <v>85</v>
      </c>
      <c r="D8" s="16" t="s">
        <v>86</v>
      </c>
      <c r="E8" s="16"/>
      <c r="F8" s="16"/>
      <c r="G8" s="16"/>
      <c r="H8" s="16"/>
      <c r="I8" s="16"/>
    </row>
    <row r="9" customFormat="false" ht="15" hidden="false" customHeight="true" outlineLevel="0" collapsed="false">
      <c r="A9" s="6" t="s">
        <v>87</v>
      </c>
      <c r="B9" s="18" t="n">
        <v>250</v>
      </c>
      <c r="C9" s="6" t="s">
        <v>88</v>
      </c>
      <c r="D9" s="16" t="s">
        <v>89</v>
      </c>
      <c r="E9" s="16"/>
      <c r="F9" s="16"/>
      <c r="G9" s="16"/>
      <c r="H9" s="16"/>
      <c r="I9" s="16"/>
    </row>
    <row r="10" customFormat="false" ht="15" hidden="false" customHeight="true" outlineLevel="0" collapsed="false">
      <c r="A10" s="6" t="s">
        <v>90</v>
      </c>
      <c r="B10" s="19" t="n">
        <v>7.87</v>
      </c>
      <c r="C10" s="6" t="s">
        <v>91</v>
      </c>
      <c r="D10" s="16" t="s">
        <v>92</v>
      </c>
      <c r="E10" s="16"/>
      <c r="F10" s="16"/>
      <c r="G10" s="16"/>
      <c r="H10" s="16"/>
      <c r="I10" s="16"/>
    </row>
    <row r="11" customFormat="false" ht="15" hidden="false" customHeight="true" outlineLevel="0" collapsed="false">
      <c r="A11" s="6" t="s">
        <v>93</v>
      </c>
      <c r="B11" s="18" t="n">
        <v>1337922</v>
      </c>
      <c r="C11" s="6" t="s">
        <v>94</v>
      </c>
      <c r="D11" s="16" t="s">
        <v>95</v>
      </c>
      <c r="E11" s="16"/>
      <c r="F11" s="16"/>
      <c r="G11" s="16"/>
      <c r="H11" s="16"/>
      <c r="I11" s="16"/>
    </row>
    <row r="12" customFormat="false" ht="15" hidden="false" customHeight="true" outlineLevel="0" collapsed="false">
      <c r="A12" s="6" t="s">
        <v>96</v>
      </c>
      <c r="B12" s="18" t="n">
        <v>150</v>
      </c>
      <c r="C12" s="6" t="s">
        <v>97</v>
      </c>
      <c r="D12" s="16" t="s">
        <v>98</v>
      </c>
      <c r="E12" s="16"/>
      <c r="F12" s="16"/>
      <c r="G12" s="16"/>
      <c r="H12" s="16"/>
      <c r="I12" s="16"/>
    </row>
    <row r="13" customFormat="false" ht="15" hidden="false" customHeight="true" outlineLevel="0" collapsed="false">
      <c r="A13" s="6" t="s">
        <v>99</v>
      </c>
      <c r="B13" s="18" t="n">
        <v>1800</v>
      </c>
      <c r="C13" s="6" t="s">
        <v>100</v>
      </c>
      <c r="D13" s="16" t="s">
        <v>101</v>
      </c>
      <c r="E13" s="16"/>
      <c r="F13" s="16"/>
      <c r="G13" s="16"/>
      <c r="H13" s="16"/>
      <c r="I13" s="16"/>
    </row>
    <row r="14" customFormat="false" ht="15" hidden="false" customHeight="true" outlineLevel="0" collapsed="false">
      <c r="A14" s="6" t="s">
        <v>102</v>
      </c>
      <c r="B14" s="18" t="n">
        <v>1420</v>
      </c>
      <c r="C14" s="6" t="s">
        <v>103</v>
      </c>
      <c r="D14" s="16" t="s">
        <v>104</v>
      </c>
      <c r="E14" s="16"/>
      <c r="F14" s="16"/>
      <c r="G14" s="16"/>
      <c r="H14" s="16"/>
      <c r="I14" s="16"/>
    </row>
    <row r="15" customFormat="false" ht="15" hidden="false" customHeight="true" outlineLevel="0" collapsed="false">
      <c r="A15" s="6" t="s">
        <v>105</v>
      </c>
      <c r="B15" s="20" t="n">
        <f aca="false">Datos!$B$11/Datos!$B$12/Datos!$B$14</f>
        <v>6.28132394366197</v>
      </c>
      <c r="C15" s="6" t="s">
        <v>106</v>
      </c>
      <c r="D15" s="16" t="s">
        <v>107</v>
      </c>
      <c r="E15" s="16"/>
      <c r="F15" s="16"/>
      <c r="G15" s="16"/>
      <c r="H15" s="16"/>
      <c r="I15" s="16"/>
    </row>
    <row r="17" customFormat="false" ht="15" hidden="false" customHeight="false" outlineLevel="0" collapsed="false">
      <c r="A17" s="8" t="s">
        <v>108</v>
      </c>
    </row>
    <row r="18" customFormat="false" ht="15" hidden="false" customHeight="true" outlineLevel="0" collapsed="false">
      <c r="A18" s="3" t="s">
        <v>74</v>
      </c>
      <c r="B18" s="3" t="s">
        <v>75</v>
      </c>
      <c r="C18" s="3" t="s">
        <v>76</v>
      </c>
      <c r="D18" s="14" t="s">
        <v>77</v>
      </c>
      <c r="E18" s="14"/>
      <c r="F18" s="14"/>
      <c r="G18" s="14"/>
      <c r="H18" s="14"/>
      <c r="I18" s="14"/>
    </row>
    <row r="19" customFormat="false" ht="15" hidden="false" customHeight="true" outlineLevel="0" collapsed="false">
      <c r="A19" s="6" t="s">
        <v>109</v>
      </c>
      <c r="B19" s="18" t="n">
        <v>10</v>
      </c>
      <c r="C19" s="6" t="s">
        <v>110</v>
      </c>
      <c r="D19" s="16" t="s">
        <v>111</v>
      </c>
      <c r="E19" s="16"/>
      <c r="F19" s="16"/>
      <c r="G19" s="16"/>
      <c r="H19" s="16"/>
      <c r="I19" s="16"/>
    </row>
    <row r="20" customFormat="false" ht="15" hidden="false" customHeight="true" outlineLevel="0" collapsed="false">
      <c r="A20" s="6" t="s">
        <v>112</v>
      </c>
      <c r="B20" s="17" t="n">
        <v>0.005</v>
      </c>
      <c r="C20" s="6" t="s">
        <v>82</v>
      </c>
      <c r="D20" s="16" t="s">
        <v>86</v>
      </c>
      <c r="E20" s="16"/>
      <c r="F20" s="16"/>
      <c r="G20" s="16"/>
      <c r="H20" s="16"/>
      <c r="I20" s="16"/>
    </row>
    <row r="21" customFormat="false" ht="15" hidden="false" customHeight="true" outlineLevel="0" collapsed="false">
      <c r="A21" s="6" t="s">
        <v>113</v>
      </c>
      <c r="B21" s="21" t="n">
        <v>1.5</v>
      </c>
      <c r="C21" s="6" t="s">
        <v>114</v>
      </c>
      <c r="D21" s="16" t="s">
        <v>115</v>
      </c>
      <c r="E21" s="16"/>
      <c r="F21" s="16"/>
      <c r="G21" s="16"/>
      <c r="H21" s="16"/>
      <c r="I21" s="16"/>
    </row>
    <row r="22" customFormat="false" ht="15" hidden="false" customHeight="true" outlineLevel="0" collapsed="false">
      <c r="A22" s="6" t="s">
        <v>116</v>
      </c>
      <c r="B22" s="21" t="n">
        <v>0.7</v>
      </c>
      <c r="C22" s="6" t="s">
        <v>110</v>
      </c>
      <c r="D22" s="16" t="s">
        <v>117</v>
      </c>
      <c r="E22" s="16"/>
      <c r="F22" s="16"/>
      <c r="G22" s="16"/>
      <c r="H22" s="16"/>
      <c r="I22" s="16"/>
    </row>
    <row r="23" customFormat="false" ht="15" hidden="false" customHeight="true" outlineLevel="0" collapsed="false">
      <c r="A23" s="6" t="s">
        <v>118</v>
      </c>
      <c r="B23" s="21" t="n">
        <v>1.5</v>
      </c>
      <c r="C23" s="6" t="s">
        <v>119</v>
      </c>
      <c r="D23" s="16" t="s">
        <v>120</v>
      </c>
      <c r="E23" s="16"/>
      <c r="F23" s="16"/>
      <c r="G23" s="16"/>
      <c r="H23" s="16"/>
      <c r="I23" s="16"/>
    </row>
    <row r="24" customFormat="false" ht="15" hidden="false" customHeight="true" outlineLevel="0" collapsed="false">
      <c r="A24" s="6" t="s">
        <v>121</v>
      </c>
      <c r="B24" s="5" t="s">
        <v>122</v>
      </c>
      <c r="C24" s="6" t="s">
        <v>123</v>
      </c>
      <c r="D24" s="16" t="s">
        <v>124</v>
      </c>
      <c r="E24" s="16"/>
      <c r="F24" s="16"/>
      <c r="G24" s="16"/>
      <c r="H24" s="16"/>
      <c r="I24" s="16"/>
    </row>
    <row r="25" customFormat="false" ht="15" hidden="false" customHeight="true" outlineLevel="0" collapsed="false">
      <c r="A25" s="6" t="s">
        <v>125</v>
      </c>
      <c r="B25" s="18" t="n">
        <v>1</v>
      </c>
      <c r="C25" s="6" t="s">
        <v>126</v>
      </c>
      <c r="D25" s="16" t="s">
        <v>127</v>
      </c>
      <c r="E25" s="16"/>
      <c r="F25" s="16"/>
      <c r="G25" s="16"/>
      <c r="H25" s="16"/>
      <c r="I25" s="16"/>
    </row>
    <row r="26" customFormat="false" ht="15" hidden="false" customHeight="true" outlineLevel="0" collapsed="false">
      <c r="A26" s="6" t="s">
        <v>128</v>
      </c>
      <c r="B26" s="18" t="n">
        <v>3</v>
      </c>
      <c r="C26" s="6" t="s">
        <v>126</v>
      </c>
      <c r="D26" s="16" t="s">
        <v>127</v>
      </c>
      <c r="E26" s="16"/>
      <c r="F26" s="16"/>
      <c r="G26" s="16"/>
      <c r="H26" s="16"/>
      <c r="I26" s="16"/>
    </row>
    <row r="27" customFormat="false" ht="15" hidden="false" customHeight="true" outlineLevel="0" collapsed="false">
      <c r="A27" s="6" t="s">
        <v>129</v>
      </c>
      <c r="B27" s="5" t="s">
        <v>122</v>
      </c>
      <c r="C27" s="6" t="s">
        <v>123</v>
      </c>
      <c r="D27" s="16" t="s">
        <v>130</v>
      </c>
      <c r="E27" s="16"/>
      <c r="F27" s="16"/>
      <c r="G27" s="16"/>
      <c r="H27" s="16"/>
      <c r="I27" s="16"/>
    </row>
    <row r="28" customFormat="false" ht="15" hidden="false" customHeight="true" outlineLevel="0" collapsed="false">
      <c r="A28" s="6" t="s">
        <v>131</v>
      </c>
      <c r="B28" s="5" t="s">
        <v>132</v>
      </c>
      <c r="C28" s="6" t="s">
        <v>123</v>
      </c>
      <c r="D28" s="16" t="s">
        <v>133</v>
      </c>
      <c r="E28" s="16"/>
      <c r="F28" s="16"/>
      <c r="G28" s="16"/>
      <c r="H28" s="16"/>
      <c r="I28" s="16"/>
    </row>
    <row r="30" customFormat="false" ht="15" hidden="false" customHeight="false" outlineLevel="0" collapsed="false">
      <c r="A30" s="8" t="s">
        <v>134</v>
      </c>
    </row>
    <row r="31" customFormat="false" ht="15" hidden="false" customHeight="true" outlineLevel="0" collapsed="false">
      <c r="A31" s="3" t="s">
        <v>74</v>
      </c>
      <c r="B31" s="3" t="s">
        <v>75</v>
      </c>
      <c r="C31" s="3" t="s">
        <v>76</v>
      </c>
      <c r="D31" s="14" t="s">
        <v>77</v>
      </c>
      <c r="E31" s="14"/>
      <c r="F31" s="14"/>
      <c r="G31" s="14"/>
      <c r="H31" s="14"/>
      <c r="I31" s="14"/>
    </row>
    <row r="32" customFormat="false" ht="15" hidden="false" customHeight="true" outlineLevel="0" collapsed="false">
      <c r="A32" s="6" t="s">
        <v>135</v>
      </c>
      <c r="B32" s="18" t="n">
        <v>20</v>
      </c>
      <c r="C32" s="6" t="s">
        <v>136</v>
      </c>
      <c r="D32" s="16" t="s">
        <v>137</v>
      </c>
      <c r="E32" s="16"/>
      <c r="F32" s="16"/>
      <c r="G32" s="16"/>
      <c r="H32" s="16"/>
      <c r="I32" s="16"/>
    </row>
    <row r="33" customFormat="false" ht="15" hidden="false" customHeight="true" outlineLevel="0" collapsed="false">
      <c r="A33" s="6" t="s">
        <v>138</v>
      </c>
      <c r="B33" s="18" t="n">
        <v>2600</v>
      </c>
      <c r="C33" s="6" t="s">
        <v>110</v>
      </c>
      <c r="D33" s="16" t="s">
        <v>139</v>
      </c>
      <c r="E33" s="16"/>
      <c r="F33" s="16"/>
      <c r="G33" s="16"/>
      <c r="H33" s="16"/>
      <c r="I33" s="16"/>
    </row>
    <row r="34" customFormat="false" ht="15" hidden="false" customHeight="true" outlineLevel="0" collapsed="false">
      <c r="A34" s="6" t="s">
        <v>140</v>
      </c>
      <c r="B34" s="18" t="n">
        <v>1000</v>
      </c>
      <c r="C34" s="6" t="s">
        <v>110</v>
      </c>
      <c r="D34" s="16" t="s">
        <v>141</v>
      </c>
      <c r="E34" s="16"/>
      <c r="F34" s="16"/>
      <c r="G34" s="16"/>
      <c r="H34" s="16"/>
      <c r="I34" s="16"/>
    </row>
    <row r="35" customFormat="false" ht="15" hidden="false" customHeight="true" outlineLevel="0" collapsed="false">
      <c r="A35" s="6" t="s">
        <v>142</v>
      </c>
      <c r="B35" s="18" t="n">
        <v>20</v>
      </c>
      <c r="C35" s="6" t="s">
        <v>136</v>
      </c>
      <c r="D35" s="16" t="s">
        <v>143</v>
      </c>
      <c r="E35" s="16"/>
      <c r="F35" s="16"/>
      <c r="G35" s="16"/>
      <c r="H35" s="16"/>
      <c r="I35" s="16"/>
    </row>
    <row r="36" customFormat="false" ht="15" hidden="false" customHeight="true" outlineLevel="0" collapsed="false">
      <c r="A36" s="6" t="s">
        <v>144</v>
      </c>
      <c r="B36" s="18" t="n">
        <v>2500</v>
      </c>
      <c r="C36" s="6" t="s">
        <v>110</v>
      </c>
      <c r="D36" s="16" t="s">
        <v>145</v>
      </c>
      <c r="E36" s="16"/>
      <c r="F36" s="16"/>
      <c r="G36" s="16"/>
      <c r="H36" s="16"/>
      <c r="I36" s="16"/>
    </row>
    <row r="37" customFormat="false" ht="15" hidden="false" customHeight="true" outlineLevel="0" collapsed="false">
      <c r="A37" s="6" t="s">
        <v>146</v>
      </c>
      <c r="B37" s="18" t="n">
        <v>800</v>
      </c>
      <c r="C37" s="6" t="s">
        <v>110</v>
      </c>
      <c r="D37" s="16" t="s">
        <v>147</v>
      </c>
      <c r="E37" s="16"/>
      <c r="F37" s="16"/>
      <c r="G37" s="16"/>
      <c r="H37" s="16"/>
      <c r="I37" s="16"/>
    </row>
    <row r="38" customFormat="false" ht="15" hidden="false" customHeight="true" outlineLevel="0" collapsed="false">
      <c r="A38" s="6" t="s">
        <v>148</v>
      </c>
      <c r="B38" s="18" t="n">
        <v>4</v>
      </c>
      <c r="C38" s="6" t="s">
        <v>149</v>
      </c>
      <c r="D38" s="16" t="s">
        <v>150</v>
      </c>
      <c r="E38" s="16"/>
      <c r="F38" s="16"/>
      <c r="G38" s="16"/>
      <c r="H38" s="16"/>
      <c r="I38" s="16"/>
    </row>
    <row r="39" customFormat="false" ht="15" hidden="false" customHeight="true" outlineLevel="0" collapsed="false">
      <c r="A39" s="6" t="s">
        <v>151</v>
      </c>
      <c r="B39" s="18" t="n">
        <v>26000</v>
      </c>
      <c r="C39" s="6" t="s">
        <v>152</v>
      </c>
      <c r="D39" s="16" t="s">
        <v>153</v>
      </c>
      <c r="E39" s="16"/>
      <c r="F39" s="16"/>
      <c r="G39" s="16"/>
      <c r="H39" s="16"/>
      <c r="I39" s="16"/>
    </row>
    <row r="40" customFormat="false" ht="15" hidden="false" customHeight="true" outlineLevel="0" collapsed="false">
      <c r="A40" s="6" t="s">
        <v>154</v>
      </c>
      <c r="B40" s="22" t="n">
        <f aca="false">1/0.8723</f>
        <v>1.14639458901754</v>
      </c>
      <c r="C40" s="6" t="s">
        <v>155</v>
      </c>
      <c r="D40" s="16" t="s">
        <v>156</v>
      </c>
      <c r="E40" s="16"/>
      <c r="F40" s="16"/>
      <c r="G40" s="16"/>
      <c r="H40" s="16"/>
      <c r="I40" s="16"/>
    </row>
    <row r="41" customFormat="false" ht="15" hidden="false" customHeight="true" outlineLevel="0" collapsed="false">
      <c r="A41" s="6" t="s">
        <v>157</v>
      </c>
      <c r="B41" s="18" t="n">
        <v>1200</v>
      </c>
      <c r="C41" s="6" t="s">
        <v>158</v>
      </c>
      <c r="D41" s="16" t="s">
        <v>159</v>
      </c>
      <c r="E41" s="16"/>
      <c r="F41" s="16"/>
      <c r="G41" s="16"/>
      <c r="H41" s="16"/>
      <c r="I41" s="16"/>
    </row>
    <row r="42" customFormat="false" ht="15" hidden="false" customHeight="true" outlineLevel="0" collapsed="false">
      <c r="A42" s="6" t="s">
        <v>160</v>
      </c>
      <c r="B42" s="18" t="n">
        <v>40</v>
      </c>
      <c r="C42" s="6" t="s">
        <v>161</v>
      </c>
      <c r="D42" s="16" t="s">
        <v>162</v>
      </c>
      <c r="E42" s="16"/>
      <c r="F42" s="16"/>
      <c r="G42" s="16"/>
      <c r="H42" s="16"/>
      <c r="I42" s="16"/>
    </row>
    <row r="43" customFormat="false" ht="15" hidden="false" customHeight="true" outlineLevel="0" collapsed="false">
      <c r="A43" s="6" t="s">
        <v>163</v>
      </c>
      <c r="B43" s="18" t="n">
        <v>45</v>
      </c>
      <c r="C43" s="6" t="s">
        <v>164</v>
      </c>
      <c r="D43" s="16" t="s">
        <v>86</v>
      </c>
      <c r="E43" s="16"/>
      <c r="F43" s="16"/>
      <c r="G43" s="16"/>
      <c r="H43" s="16"/>
      <c r="I43" s="16"/>
    </row>
    <row r="44" customFormat="false" ht="15" hidden="false" customHeight="true" outlineLevel="0" collapsed="false">
      <c r="A44" s="6" t="s">
        <v>165</v>
      </c>
      <c r="B44" s="18" t="n">
        <v>2</v>
      </c>
      <c r="C44" s="6" t="s">
        <v>166</v>
      </c>
      <c r="D44" s="16" t="s">
        <v>86</v>
      </c>
      <c r="E44" s="16"/>
      <c r="F44" s="16"/>
      <c r="G44" s="16"/>
      <c r="H44" s="16"/>
      <c r="I44" s="16"/>
    </row>
    <row r="45" customFormat="false" ht="15" hidden="false" customHeight="true" outlineLevel="0" collapsed="false">
      <c r="A45" s="6" t="s">
        <v>167</v>
      </c>
      <c r="B45" s="18" t="n">
        <v>15</v>
      </c>
      <c r="C45" s="6" t="s">
        <v>168</v>
      </c>
      <c r="D45" s="16" t="s">
        <v>86</v>
      </c>
      <c r="E45" s="16"/>
      <c r="F45" s="16"/>
      <c r="G45" s="16"/>
      <c r="H45" s="16"/>
      <c r="I45" s="16"/>
    </row>
    <row r="46" customFormat="false" ht="15" hidden="false" customHeight="true" outlineLevel="0" collapsed="false">
      <c r="A46" s="6" t="s">
        <v>169</v>
      </c>
      <c r="B46" s="18" t="n">
        <v>15</v>
      </c>
      <c r="C46" s="6" t="s">
        <v>170</v>
      </c>
      <c r="D46" s="16" t="s">
        <v>86</v>
      </c>
      <c r="E46" s="16"/>
      <c r="F46" s="16"/>
      <c r="G46" s="16"/>
      <c r="H46" s="16"/>
      <c r="I46" s="16"/>
    </row>
    <row r="48" customFormat="false" ht="15" hidden="false" customHeight="false" outlineLevel="0" collapsed="false">
      <c r="A48" s="8" t="s">
        <v>171</v>
      </c>
    </row>
    <row r="49" customFormat="false" ht="15" hidden="false" customHeight="true" outlineLevel="0" collapsed="false">
      <c r="A49" s="3" t="s">
        <v>74</v>
      </c>
      <c r="B49" s="3" t="s">
        <v>75</v>
      </c>
      <c r="C49" s="3" t="s">
        <v>76</v>
      </c>
      <c r="D49" s="14" t="s">
        <v>77</v>
      </c>
      <c r="E49" s="14"/>
      <c r="F49" s="14"/>
      <c r="G49" s="14"/>
      <c r="H49" s="14"/>
      <c r="I49" s="14"/>
    </row>
    <row r="50" customFormat="false" ht="15" hidden="false" customHeight="true" outlineLevel="0" collapsed="false">
      <c r="A50" s="6" t="s">
        <v>172</v>
      </c>
      <c r="B50" s="18" t="n">
        <v>2</v>
      </c>
      <c r="C50" s="6" t="s">
        <v>173</v>
      </c>
      <c r="D50" s="16" t="s">
        <v>86</v>
      </c>
      <c r="E50" s="16"/>
      <c r="F50" s="16"/>
      <c r="G50" s="16"/>
      <c r="H50" s="16"/>
      <c r="I50" s="16"/>
    </row>
    <row r="51" customFormat="false" ht="15" hidden="false" customHeight="true" outlineLevel="0" collapsed="false">
      <c r="A51" s="6" t="s">
        <v>174</v>
      </c>
      <c r="B51" s="18" t="n">
        <v>1</v>
      </c>
      <c r="C51" s="6" t="s">
        <v>175</v>
      </c>
      <c r="D51" s="16" t="s">
        <v>176</v>
      </c>
      <c r="E51" s="16"/>
      <c r="F51" s="16"/>
      <c r="G51" s="16"/>
      <c r="H51" s="16"/>
      <c r="I51" s="16"/>
    </row>
    <row r="52" customFormat="false" ht="15" hidden="false" customHeight="true" outlineLevel="0" collapsed="false">
      <c r="A52" s="6" t="s">
        <v>177</v>
      </c>
      <c r="B52" s="18" t="n">
        <v>1</v>
      </c>
      <c r="C52" s="6" t="s">
        <v>175</v>
      </c>
      <c r="D52" s="16" t="s">
        <v>86</v>
      </c>
      <c r="E52" s="16"/>
      <c r="F52" s="16"/>
      <c r="G52" s="16"/>
      <c r="H52" s="16"/>
      <c r="I52" s="16"/>
    </row>
    <row r="53" customFormat="false" ht="15" hidden="false" customHeight="true" outlineLevel="0" collapsed="false">
      <c r="A53" s="6" t="s">
        <v>178</v>
      </c>
      <c r="B53" s="18" t="n">
        <v>3</v>
      </c>
      <c r="C53" s="6" t="s">
        <v>175</v>
      </c>
      <c r="D53" s="16" t="s">
        <v>86</v>
      </c>
      <c r="E53" s="16"/>
      <c r="F53" s="16"/>
      <c r="G53" s="16"/>
      <c r="H53" s="16"/>
      <c r="I53" s="16"/>
    </row>
    <row r="54" customFormat="false" ht="15" hidden="false" customHeight="true" outlineLevel="0" collapsed="false">
      <c r="A54" s="6" t="s">
        <v>179</v>
      </c>
      <c r="B54" s="21" t="n">
        <v>0.5</v>
      </c>
      <c r="C54" s="6" t="s">
        <v>180</v>
      </c>
      <c r="D54" s="16" t="s">
        <v>86</v>
      </c>
      <c r="E54" s="16"/>
      <c r="F54" s="16"/>
      <c r="G54" s="16"/>
      <c r="H54" s="16"/>
      <c r="I54" s="16"/>
    </row>
    <row r="55" customFormat="false" ht="15" hidden="false" customHeight="true" outlineLevel="0" collapsed="false">
      <c r="A55" s="6" t="s">
        <v>181</v>
      </c>
      <c r="B55" s="18" t="n">
        <v>1500</v>
      </c>
      <c r="C55" s="6" t="s">
        <v>110</v>
      </c>
      <c r="D55" s="16" t="s">
        <v>86</v>
      </c>
      <c r="E55" s="16"/>
      <c r="F55" s="16"/>
      <c r="G55" s="16"/>
      <c r="H55" s="16"/>
      <c r="I55" s="16"/>
    </row>
    <row r="56" customFormat="false" ht="15" hidden="false" customHeight="true" outlineLevel="0" collapsed="false">
      <c r="A56" s="6" t="s">
        <v>182</v>
      </c>
      <c r="B56" s="18" t="n">
        <v>508</v>
      </c>
      <c r="C56" s="6" t="s">
        <v>110</v>
      </c>
      <c r="D56" s="16" t="s">
        <v>183</v>
      </c>
      <c r="E56" s="16"/>
      <c r="F56" s="16"/>
      <c r="G56" s="16"/>
      <c r="H56" s="16"/>
      <c r="I56" s="16"/>
    </row>
    <row r="57" customFormat="false" ht="15" hidden="false" customHeight="true" outlineLevel="0" collapsed="false">
      <c r="A57" s="6" t="s">
        <v>184</v>
      </c>
      <c r="B57" s="23" t="n">
        <f aca="false">PI()/4*(Datos!$B$55^2-Datos!$B$56^2)*Datos!$B$10/1000000000</f>
        <v>0.0123123228341614</v>
      </c>
      <c r="C57" s="6" t="s">
        <v>185</v>
      </c>
      <c r="D57" s="16" t="s">
        <v>186</v>
      </c>
      <c r="E57" s="16"/>
      <c r="F57" s="16"/>
      <c r="G57" s="16"/>
      <c r="H57" s="16"/>
      <c r="I57" s="16"/>
    </row>
    <row r="58" customFormat="false" ht="15" hidden="false" customHeight="true" outlineLevel="0" collapsed="false">
      <c r="A58" s="6" t="s">
        <v>187</v>
      </c>
      <c r="B58" s="18" t="n">
        <v>10</v>
      </c>
      <c r="C58" s="6" t="s">
        <v>180</v>
      </c>
      <c r="D58" s="16" t="s">
        <v>188</v>
      </c>
      <c r="E58" s="16"/>
      <c r="F58" s="16"/>
      <c r="G58" s="16"/>
      <c r="H58" s="16"/>
      <c r="I58" s="16"/>
    </row>
    <row r="59" customFormat="false" ht="15" hidden="false" customHeight="true" outlineLevel="0" collapsed="false">
      <c r="A59" s="6" t="s">
        <v>189</v>
      </c>
      <c r="B59" s="18" t="n">
        <v>3</v>
      </c>
      <c r="C59" s="6" t="s">
        <v>180</v>
      </c>
      <c r="D59" s="16" t="s">
        <v>188</v>
      </c>
      <c r="E59" s="16"/>
      <c r="F59" s="16"/>
      <c r="G59" s="16"/>
      <c r="H59" s="16"/>
      <c r="I59" s="16"/>
    </row>
    <row r="60" customFormat="false" ht="15" hidden="false" customHeight="true" outlineLevel="0" collapsed="false">
      <c r="A60" s="6" t="s">
        <v>190</v>
      </c>
      <c r="B60" s="18" t="n">
        <v>14</v>
      </c>
      <c r="C60" s="6" t="s">
        <v>180</v>
      </c>
      <c r="D60" s="16" t="s">
        <v>191</v>
      </c>
      <c r="E60" s="16"/>
      <c r="F60" s="16"/>
      <c r="G60" s="16"/>
      <c r="H60" s="16"/>
      <c r="I60" s="16"/>
    </row>
    <row r="61" customFormat="false" ht="15" hidden="false" customHeight="true" outlineLevel="0" collapsed="false">
      <c r="A61" s="6" t="s">
        <v>192</v>
      </c>
      <c r="B61" s="17" t="n">
        <v>0</v>
      </c>
      <c r="C61" s="6" t="s">
        <v>82</v>
      </c>
      <c r="D61" s="16" t="s">
        <v>193</v>
      </c>
      <c r="E61" s="16"/>
      <c r="F61" s="16"/>
      <c r="G61" s="16"/>
      <c r="H61" s="16"/>
      <c r="I61" s="16"/>
    </row>
    <row r="62" customFormat="false" ht="15" hidden="false" customHeight="true" outlineLevel="0" collapsed="false">
      <c r="A62" s="6" t="s">
        <v>194</v>
      </c>
      <c r="B62" s="5" t="s">
        <v>132</v>
      </c>
      <c r="C62" s="6" t="s">
        <v>123</v>
      </c>
      <c r="D62" s="16" t="s">
        <v>195</v>
      </c>
      <c r="E62" s="16"/>
      <c r="F62" s="16"/>
      <c r="G62" s="16"/>
      <c r="H62" s="16"/>
      <c r="I62" s="16"/>
    </row>
    <row r="64" customFormat="false" ht="15" hidden="false" customHeight="false" outlineLevel="0" collapsed="false">
      <c r="A64" s="8" t="s">
        <v>196</v>
      </c>
    </row>
    <row r="65" customFormat="false" ht="15" hidden="false" customHeight="false" outlineLevel="0" collapsed="false">
      <c r="A65" s="3" t="s">
        <v>197</v>
      </c>
      <c r="B65" s="3" t="s">
        <v>198</v>
      </c>
      <c r="C65" s="3" t="s">
        <v>199</v>
      </c>
      <c r="D65" s="3" t="s">
        <v>200</v>
      </c>
      <c r="E65" s="3" t="s">
        <v>201</v>
      </c>
      <c r="F65" s="3" t="s">
        <v>202</v>
      </c>
      <c r="G65" s="3" t="s">
        <v>203</v>
      </c>
      <c r="H65" s="3" t="s">
        <v>15</v>
      </c>
      <c r="I65" s="3" t="s">
        <v>204</v>
      </c>
    </row>
    <row r="66" customFormat="false" ht="15" hidden="false" customHeight="false" outlineLevel="0" collapsed="false">
      <c r="A66" s="6" t="s">
        <v>205</v>
      </c>
      <c r="B66" s="6" t="s">
        <v>206</v>
      </c>
      <c r="C66" s="24" t="n">
        <v>0.9</v>
      </c>
      <c r="D66" s="6" t="s">
        <v>207</v>
      </c>
      <c r="E66" s="25" t="n">
        <v>1.26285</v>
      </c>
      <c r="F66" s="18" t="n">
        <v>1545</v>
      </c>
      <c r="G66" s="26" t="n">
        <f aca="false">IF(D66="USD",E66,E66/F66)</f>
        <v>1.26285</v>
      </c>
      <c r="H66" s="6" t="s">
        <v>208</v>
      </c>
      <c r="I66" s="6" t="s">
        <v>209</v>
      </c>
    </row>
    <row r="67" customFormat="false" ht="15" hidden="false" customHeight="false" outlineLevel="0" collapsed="false">
      <c r="A67" s="6" t="s">
        <v>205</v>
      </c>
      <c r="B67" s="6" t="s">
        <v>210</v>
      </c>
      <c r="C67" s="24" t="n">
        <v>1.25</v>
      </c>
      <c r="D67" s="6" t="s">
        <v>207</v>
      </c>
      <c r="E67" s="25" t="n">
        <v>1.25056</v>
      </c>
      <c r="F67" s="18" t="n">
        <v>1545</v>
      </c>
      <c r="G67" s="26" t="n">
        <f aca="false">IF(D67="USD",E67,E67/F67)</f>
        <v>1.25056</v>
      </c>
      <c r="H67" s="6" t="s">
        <v>208</v>
      </c>
      <c r="I67" s="6" t="s">
        <v>211</v>
      </c>
    </row>
    <row r="68" customFormat="false" ht="15" hidden="false" customHeight="false" outlineLevel="0" collapsed="false">
      <c r="A68" s="6" t="s">
        <v>205</v>
      </c>
      <c r="B68" s="6" t="s">
        <v>212</v>
      </c>
      <c r="C68" s="24" t="n">
        <v>1.6</v>
      </c>
      <c r="D68" s="6" t="s">
        <v>207</v>
      </c>
      <c r="E68" s="25" t="n">
        <v>1.25056</v>
      </c>
      <c r="F68" s="18" t="n">
        <v>1545</v>
      </c>
      <c r="G68" s="26" t="n">
        <f aca="false">IF(D68="USD",E68,E68/F68)</f>
        <v>1.25056</v>
      </c>
      <c r="H68" s="6" t="s">
        <v>213</v>
      </c>
      <c r="I68" s="6" t="s">
        <v>211</v>
      </c>
    </row>
    <row r="69" customFormat="false" ht="15" hidden="false" customHeight="false" outlineLevel="0" collapsed="false">
      <c r="A69" s="6" t="s">
        <v>205</v>
      </c>
      <c r="B69" s="6" t="s">
        <v>214</v>
      </c>
      <c r="C69" s="24" t="n">
        <v>2</v>
      </c>
      <c r="D69" s="6" t="s">
        <v>207</v>
      </c>
      <c r="E69" s="25" t="n">
        <v>1.26285</v>
      </c>
      <c r="F69" s="18" t="n">
        <v>1545</v>
      </c>
      <c r="G69" s="26" t="n">
        <f aca="false">IF(D69="USD",E69,E69/F69)</f>
        <v>1.26285</v>
      </c>
      <c r="H69" s="6" t="s">
        <v>213</v>
      </c>
      <c r="I69" s="6" t="s">
        <v>211</v>
      </c>
    </row>
    <row r="70" customFormat="false" ht="15" hidden="false" customHeight="false" outlineLevel="0" collapsed="false">
      <c r="A70" s="6" t="s">
        <v>205</v>
      </c>
      <c r="B70" s="6" t="s">
        <v>215</v>
      </c>
      <c r="C70" s="24" t="n">
        <v>3.2</v>
      </c>
      <c r="D70" s="6" t="s">
        <v>207</v>
      </c>
      <c r="E70" s="25" t="n">
        <v>1.11373</v>
      </c>
      <c r="F70" s="18" t="n">
        <v>1545</v>
      </c>
      <c r="G70" s="26" t="n">
        <f aca="false">IF(D70="USD",E70,E70/F70)</f>
        <v>1.11373</v>
      </c>
      <c r="H70" s="6" t="s">
        <v>216</v>
      </c>
      <c r="I70" s="6" t="s">
        <v>217</v>
      </c>
    </row>
    <row r="71" customFormat="false" ht="15" hidden="false" customHeight="false" outlineLevel="0" collapsed="false">
      <c r="A71" s="6" t="s">
        <v>205</v>
      </c>
      <c r="B71" s="6" t="s">
        <v>218</v>
      </c>
      <c r="C71" s="24" t="n">
        <v>4.75</v>
      </c>
      <c r="D71" s="6" t="s">
        <v>207</v>
      </c>
      <c r="E71" s="25" t="n">
        <v>1.05792</v>
      </c>
      <c r="F71" s="18" t="n">
        <v>1545</v>
      </c>
      <c r="G71" s="26" t="n">
        <f aca="false">IF(D71="USD",E71,E71/F71)</f>
        <v>1.05792</v>
      </c>
      <c r="H71" s="6" t="s">
        <v>219</v>
      </c>
      <c r="I71" s="6" t="s">
        <v>220</v>
      </c>
    </row>
    <row r="72" customFormat="false" ht="15" hidden="false" customHeight="false" outlineLevel="0" collapsed="false">
      <c r="A72" s="6" t="s">
        <v>221</v>
      </c>
      <c r="B72" s="6" t="s">
        <v>222</v>
      </c>
      <c r="C72" s="24" t="n">
        <v>1.6</v>
      </c>
      <c r="D72" s="6" t="s">
        <v>223</v>
      </c>
      <c r="E72" s="27" t="n">
        <v>2051.02</v>
      </c>
      <c r="F72" s="18" t="n">
        <v>1545</v>
      </c>
      <c r="G72" s="26" t="n">
        <f aca="false">IF(D72="USD",E72,E72/F72)</f>
        <v>1.32752103559871</v>
      </c>
      <c r="H72" s="6" t="s">
        <v>224</v>
      </c>
      <c r="I72" s="6" t="s">
        <v>225</v>
      </c>
    </row>
    <row r="73" customFormat="false" ht="15" hidden="false" customHeight="false" outlineLevel="0" collapsed="false">
      <c r="A73" s="6" t="s">
        <v>221</v>
      </c>
      <c r="B73" s="6" t="s">
        <v>226</v>
      </c>
      <c r="C73" s="24" t="n">
        <v>1.25</v>
      </c>
      <c r="D73" s="6" t="s">
        <v>223</v>
      </c>
      <c r="E73" s="27" t="n">
        <v>1993.51</v>
      </c>
      <c r="F73" s="18" t="n">
        <v>1545</v>
      </c>
      <c r="G73" s="26" t="n">
        <f aca="false">IF(D73="USD",E73,E73/F73)</f>
        <v>1.29029773462783</v>
      </c>
      <c r="H73" s="6" t="s">
        <v>227</v>
      </c>
      <c r="I73" s="6" t="s">
        <v>228</v>
      </c>
    </row>
    <row r="74" customFormat="false" ht="15" hidden="false" customHeight="false" outlineLevel="0" collapsed="false">
      <c r="A74" s="6" t="s">
        <v>221</v>
      </c>
      <c r="B74" s="6" t="s">
        <v>229</v>
      </c>
      <c r="C74" s="24" t="n">
        <v>2</v>
      </c>
      <c r="D74" s="6" t="s">
        <v>223</v>
      </c>
      <c r="E74" s="27" t="n">
        <v>1978.22</v>
      </c>
      <c r="F74" s="18" t="n">
        <v>1545</v>
      </c>
      <c r="G74" s="26" t="n">
        <f aca="false">IF(D74="USD",E74,E74/F74)</f>
        <v>1.28040129449838</v>
      </c>
      <c r="H74" s="6" t="s">
        <v>219</v>
      </c>
      <c r="I74" s="6" t="s">
        <v>230</v>
      </c>
    </row>
    <row r="75" customFormat="false" ht="15" hidden="false" customHeight="false" outlineLevel="0" collapsed="false">
      <c r="A75" s="6" t="s">
        <v>221</v>
      </c>
      <c r="B75" s="6" t="s">
        <v>231</v>
      </c>
      <c r="C75" s="24" t="n">
        <v>3.2</v>
      </c>
      <c r="D75" s="6" t="s">
        <v>223</v>
      </c>
      <c r="E75" s="27" t="n">
        <v>1702.49</v>
      </c>
      <c r="F75" s="18" t="n">
        <v>1545</v>
      </c>
      <c r="G75" s="26" t="n">
        <f aca="false">IF(D75="USD",E75,E75/F75)</f>
        <v>1.10193527508091</v>
      </c>
      <c r="H75" s="6" t="s">
        <v>219</v>
      </c>
      <c r="I75" s="6" t="s">
        <v>232</v>
      </c>
    </row>
    <row r="76" customFormat="false" ht="15" hidden="false" customHeight="false" outlineLevel="0" collapsed="false">
      <c r="A76" s="6" t="s">
        <v>221</v>
      </c>
      <c r="B76" s="6" t="s">
        <v>233</v>
      </c>
      <c r="C76" s="24" t="n">
        <v>4.75</v>
      </c>
      <c r="D76" s="6" t="s">
        <v>223</v>
      </c>
      <c r="E76" s="27" t="n">
        <v>1685.56</v>
      </c>
      <c r="F76" s="18" t="n">
        <v>1545</v>
      </c>
      <c r="G76" s="26" t="n">
        <f aca="false">IF(D76="USD",E76,E76/F76)</f>
        <v>1.09097734627832</v>
      </c>
      <c r="H76" s="6" t="s">
        <v>219</v>
      </c>
      <c r="I76" s="6" t="s">
        <v>234</v>
      </c>
    </row>
    <row r="77" customFormat="false" ht="15" hidden="false" customHeight="false" outlineLevel="0" collapsed="false">
      <c r="A77" s="6" t="s">
        <v>235</v>
      </c>
      <c r="B77" s="6" t="s">
        <v>236</v>
      </c>
      <c r="C77" s="24" t="n">
        <v>0.9</v>
      </c>
      <c r="D77" s="6" t="s">
        <v>207</v>
      </c>
      <c r="E77" s="25" t="n">
        <v>1.3561</v>
      </c>
      <c r="F77" s="18" t="n">
        <v>1</v>
      </c>
      <c r="G77" s="26" t="n">
        <f aca="false">IF(D77="USD",E77,E77/F77)</f>
        <v>1.3561</v>
      </c>
      <c r="H77" s="6" t="s">
        <v>227</v>
      </c>
      <c r="I77" s="6" t="s">
        <v>237</v>
      </c>
    </row>
    <row r="78" customFormat="false" ht="15" hidden="false" customHeight="false" outlineLevel="0" collapsed="false">
      <c r="A78" s="6" t="s">
        <v>235</v>
      </c>
      <c r="B78" s="6" t="s">
        <v>238</v>
      </c>
      <c r="C78" s="24" t="n">
        <v>0.9</v>
      </c>
      <c r="D78" s="6" t="s">
        <v>207</v>
      </c>
      <c r="E78" s="25" t="n">
        <v>1.3993</v>
      </c>
      <c r="F78" s="18" t="n">
        <v>1</v>
      </c>
      <c r="G78" s="26" t="n">
        <f aca="false">IF(D78="USD",E78,E78/F78)</f>
        <v>1.3993</v>
      </c>
      <c r="H78" s="6" t="s">
        <v>224</v>
      </c>
      <c r="I78" s="6" t="s">
        <v>239</v>
      </c>
    </row>
    <row r="79" customFormat="false" ht="15" hidden="false" customHeight="false" outlineLevel="0" collapsed="false">
      <c r="A79" s="6" t="s">
        <v>235</v>
      </c>
      <c r="B79" s="6" t="s">
        <v>240</v>
      </c>
      <c r="C79" s="24" t="n">
        <v>1.25</v>
      </c>
      <c r="D79" s="6" t="s">
        <v>207</v>
      </c>
      <c r="E79" s="25" t="n">
        <v>1.3464</v>
      </c>
      <c r="F79" s="18" t="n">
        <v>1</v>
      </c>
      <c r="G79" s="26" t="n">
        <f aca="false">IF(D79="USD",E79,E79/F79)</f>
        <v>1.3464</v>
      </c>
      <c r="H79" s="6" t="s">
        <v>227</v>
      </c>
      <c r="I79" s="6" t="s">
        <v>241</v>
      </c>
    </row>
    <row r="80" customFormat="false" ht="15" hidden="false" customHeight="false" outlineLevel="0" collapsed="false">
      <c r="A80" s="6" t="s">
        <v>235</v>
      </c>
      <c r="B80" s="6" t="s">
        <v>242</v>
      </c>
      <c r="C80" s="24" t="n">
        <v>1.6</v>
      </c>
      <c r="D80" s="6" t="s">
        <v>207</v>
      </c>
      <c r="E80" s="25" t="n">
        <v>1.3443</v>
      </c>
      <c r="F80" s="18" t="n">
        <v>1</v>
      </c>
      <c r="G80" s="26" t="n">
        <f aca="false">IF(D80="USD",E80,E80/F80)</f>
        <v>1.3443</v>
      </c>
      <c r="H80" s="6" t="s">
        <v>227</v>
      </c>
      <c r="I80" s="6" t="s">
        <v>243</v>
      </c>
    </row>
    <row r="81" customFormat="false" ht="15" hidden="false" customHeight="false" outlineLevel="0" collapsed="false">
      <c r="A81" s="6" t="s">
        <v>235</v>
      </c>
      <c r="B81" s="6" t="s">
        <v>244</v>
      </c>
      <c r="C81" s="24" t="n">
        <v>2</v>
      </c>
      <c r="D81" s="6" t="s">
        <v>207</v>
      </c>
      <c r="E81" s="25" t="n">
        <v>1.3605</v>
      </c>
      <c r="F81" s="18" t="n">
        <v>1</v>
      </c>
      <c r="G81" s="26" t="n">
        <f aca="false">IF(D81="USD",E81,E81/F81)</f>
        <v>1.3605</v>
      </c>
      <c r="H81" s="6" t="s">
        <v>227</v>
      </c>
      <c r="I81" s="6" t="s">
        <v>245</v>
      </c>
    </row>
    <row r="82" customFormat="false" ht="15" hidden="false" customHeight="false" outlineLevel="0" collapsed="false">
      <c r="A82" s="6" t="s">
        <v>235</v>
      </c>
      <c r="B82" s="6" t="s">
        <v>246</v>
      </c>
      <c r="C82" s="24" t="n">
        <v>3.2</v>
      </c>
      <c r="D82" s="6" t="s">
        <v>207</v>
      </c>
      <c r="E82" s="25" t="n">
        <v>1.1607</v>
      </c>
      <c r="F82" s="18" t="n">
        <v>1</v>
      </c>
      <c r="G82" s="26" t="n">
        <f aca="false">IF(D82="USD",E82,E82/F82)</f>
        <v>1.1607</v>
      </c>
      <c r="H82" s="6" t="s">
        <v>219</v>
      </c>
      <c r="I82" s="6" t="s">
        <v>232</v>
      </c>
    </row>
    <row r="83" customFormat="false" ht="15" hidden="false" customHeight="false" outlineLevel="0" collapsed="false">
      <c r="A83" s="6" t="s">
        <v>235</v>
      </c>
      <c r="B83" s="6" t="s">
        <v>247</v>
      </c>
      <c r="C83" s="24" t="n">
        <v>4.75</v>
      </c>
      <c r="D83" s="6" t="s">
        <v>207</v>
      </c>
      <c r="E83" s="25" t="n">
        <v>1.1678</v>
      </c>
      <c r="F83" s="18" t="n">
        <v>1</v>
      </c>
      <c r="G83" s="26" t="n">
        <f aca="false">IF(D83="USD",E83,E83/F83)</f>
        <v>1.1678</v>
      </c>
      <c r="H83" s="6" t="s">
        <v>219</v>
      </c>
      <c r="I83" s="6" t="s">
        <v>234</v>
      </c>
    </row>
    <row r="84" customFormat="false" ht="15" hidden="false" customHeight="false" outlineLevel="0" collapsed="false">
      <c r="A84" s="6" t="s">
        <v>248</v>
      </c>
      <c r="B84" s="6" t="s">
        <v>249</v>
      </c>
      <c r="C84" s="24" t="n">
        <v>1.25</v>
      </c>
      <c r="D84" s="6" t="s">
        <v>207</v>
      </c>
      <c r="E84" s="25" t="n">
        <v>1.186</v>
      </c>
      <c r="F84" s="18" t="n">
        <v>1530</v>
      </c>
      <c r="G84" s="26" t="n">
        <f aca="false">IF(D84="USD",E84,E84/F84)</f>
        <v>1.186</v>
      </c>
      <c r="H84" s="6" t="s">
        <v>250</v>
      </c>
      <c r="I84" s="6" t="s">
        <v>251</v>
      </c>
    </row>
    <row r="85" customFormat="false" ht="15" hidden="false" customHeight="false" outlineLevel="0" collapsed="false">
      <c r="A85" s="6" t="s">
        <v>248</v>
      </c>
      <c r="B85" s="6" t="s">
        <v>252</v>
      </c>
      <c r="C85" s="24" t="n">
        <v>1.6</v>
      </c>
      <c r="D85" s="6" t="s">
        <v>207</v>
      </c>
      <c r="E85" s="25" t="n">
        <v>1.186</v>
      </c>
      <c r="F85" s="18" t="n">
        <v>1530</v>
      </c>
      <c r="G85" s="26" t="n">
        <f aca="false">IF(D85="USD",E85,E85/F85)</f>
        <v>1.186</v>
      </c>
      <c r="H85" s="6" t="s">
        <v>253</v>
      </c>
      <c r="I85" s="6" t="s">
        <v>251</v>
      </c>
    </row>
    <row r="86" customFormat="false" ht="15" hidden="false" customHeight="false" outlineLevel="0" collapsed="false">
      <c r="A86" s="6" t="s">
        <v>248</v>
      </c>
      <c r="B86" s="6" t="s">
        <v>254</v>
      </c>
      <c r="C86" s="24" t="n">
        <v>2</v>
      </c>
      <c r="D86" s="6" t="s">
        <v>207</v>
      </c>
      <c r="E86" s="25" t="n">
        <v>1.198</v>
      </c>
      <c r="F86" s="18" t="n">
        <v>1530</v>
      </c>
      <c r="G86" s="26" t="n">
        <f aca="false">IF(D86="USD",E86,E86/F86)</f>
        <v>1.198</v>
      </c>
      <c r="H86" s="6" t="s">
        <v>255</v>
      </c>
      <c r="I86" s="6" t="s">
        <v>251</v>
      </c>
    </row>
    <row r="87" customFormat="false" ht="15" hidden="false" customHeight="false" outlineLevel="0" collapsed="false">
      <c r="A87" s="6" t="s">
        <v>248</v>
      </c>
      <c r="B87" s="6" t="s">
        <v>256</v>
      </c>
      <c r="C87" s="24" t="n">
        <v>1.25</v>
      </c>
      <c r="D87" s="6" t="s">
        <v>207</v>
      </c>
      <c r="E87" s="25" t="n">
        <v>1.426</v>
      </c>
      <c r="F87" s="18" t="n">
        <v>1530</v>
      </c>
      <c r="G87" s="26" t="n">
        <f aca="false">IF(D87="USD",E87,E87/F87)</f>
        <v>1.426</v>
      </c>
      <c r="H87" s="6" t="s">
        <v>257</v>
      </c>
      <c r="I87" s="6" t="s">
        <v>258</v>
      </c>
    </row>
    <row r="88" customFormat="false" ht="15" hidden="false" customHeight="false" outlineLevel="0" collapsed="false">
      <c r="A88" s="6" t="s">
        <v>248</v>
      </c>
      <c r="B88" s="6" t="s">
        <v>259</v>
      </c>
      <c r="C88" s="24" t="n">
        <v>1.6</v>
      </c>
      <c r="D88" s="6" t="s">
        <v>207</v>
      </c>
      <c r="E88" s="25" t="n">
        <v>1.453</v>
      </c>
      <c r="F88" s="18" t="n">
        <v>1530</v>
      </c>
      <c r="G88" s="26" t="n">
        <f aca="false">IF(D88="USD",E88,E88/F88)</f>
        <v>1.453</v>
      </c>
      <c r="H88" s="6" t="s">
        <v>260</v>
      </c>
      <c r="I88" s="6" t="s">
        <v>258</v>
      </c>
    </row>
    <row r="89" customFormat="false" ht="15" hidden="false" customHeight="false" outlineLevel="0" collapsed="false">
      <c r="A89" s="6" t="s">
        <v>248</v>
      </c>
      <c r="B89" s="6" t="s">
        <v>261</v>
      </c>
      <c r="C89" s="24" t="n">
        <v>2</v>
      </c>
      <c r="D89" s="6" t="s">
        <v>207</v>
      </c>
      <c r="E89" s="25" t="n">
        <v>1.429</v>
      </c>
      <c r="F89" s="18" t="n">
        <v>1530</v>
      </c>
      <c r="G89" s="26" t="n">
        <f aca="false">IF(D89="USD",E89,E89/F89)</f>
        <v>1.429</v>
      </c>
      <c r="H89" s="6" t="s">
        <v>262</v>
      </c>
      <c r="I89" s="6" t="s">
        <v>258</v>
      </c>
    </row>
    <row r="90" customFormat="false" ht="15" hidden="false" customHeight="false" outlineLevel="0" collapsed="false">
      <c r="A90" s="6" t="s">
        <v>248</v>
      </c>
      <c r="B90" s="6" t="s">
        <v>263</v>
      </c>
      <c r="C90" s="24" t="n">
        <v>3.2</v>
      </c>
      <c r="D90" s="6" t="s">
        <v>207</v>
      </c>
      <c r="E90" s="25" t="n">
        <v>1.256</v>
      </c>
      <c r="F90" s="18" t="n">
        <v>1530</v>
      </c>
      <c r="G90" s="26" t="n">
        <f aca="false">IF(D90="USD",E90,E90/F90)</f>
        <v>1.256</v>
      </c>
      <c r="H90" s="6" t="s">
        <v>264</v>
      </c>
      <c r="I90" s="6" t="s">
        <v>265</v>
      </c>
    </row>
    <row r="91" customFormat="false" ht="15" hidden="false" customHeight="false" outlineLevel="0" collapsed="false">
      <c r="A91" s="6" t="s">
        <v>266</v>
      </c>
      <c r="B91" s="6" t="s">
        <v>267</v>
      </c>
      <c r="C91" s="24" t="n">
        <v>4.75</v>
      </c>
      <c r="D91" s="6" t="s">
        <v>207</v>
      </c>
      <c r="E91" s="25" t="n">
        <v>1.236</v>
      </c>
      <c r="F91" s="18" t="n">
        <v>1530</v>
      </c>
      <c r="G91" s="26" t="n">
        <f aca="false">IF(D91="USD",E91,E91/F91)</f>
        <v>1.236</v>
      </c>
      <c r="H91" s="6" t="s">
        <v>268</v>
      </c>
      <c r="I91" s="6" t="s">
        <v>265</v>
      </c>
    </row>
    <row r="93" customFormat="false" ht="15" hidden="false" customHeight="false" outlineLevel="0" collapsed="false">
      <c r="A93" s="8" t="s">
        <v>269</v>
      </c>
    </row>
    <row r="94" customFormat="false" ht="23.85" hidden="false" customHeight="false" outlineLevel="0" collapsed="false">
      <c r="A94" s="3" t="s">
        <v>199</v>
      </c>
      <c r="B94" s="3" t="s">
        <v>270</v>
      </c>
      <c r="C94" s="3" t="s">
        <v>271</v>
      </c>
      <c r="D94" s="3" t="s">
        <v>272</v>
      </c>
      <c r="E94" s="3" t="s">
        <v>273</v>
      </c>
      <c r="F94" s="3" t="s">
        <v>274</v>
      </c>
      <c r="G94" s="3"/>
      <c r="H94" s="3"/>
      <c r="I94" s="3" t="s">
        <v>275</v>
      </c>
    </row>
    <row r="95" customFormat="false" ht="15" hidden="false" customHeight="false" outlineLevel="0" collapsed="false">
      <c r="A95" s="24" t="n">
        <v>0.9</v>
      </c>
      <c r="B95" s="26" t="n">
        <f aca="false">Datos!$G$66</f>
        <v>1.26285</v>
      </c>
      <c r="C95" s="26" t="n">
        <f aca="false">Datos!$G$77</f>
        <v>1.3561</v>
      </c>
      <c r="D95" s="26" t="n">
        <f aca="false">Datos!$G$66</f>
        <v>1.26285</v>
      </c>
      <c r="E95" s="26" t="n">
        <f aca="false">B95*(1+Datos!$B$61)</f>
        <v>1.26285</v>
      </c>
      <c r="F95" s="26" t="n">
        <f aca="false">Datos!$G$77</f>
        <v>1.3561</v>
      </c>
      <c r="I95" s="6" t="s">
        <v>276</v>
      </c>
    </row>
    <row r="96" customFormat="false" ht="15" hidden="false" customHeight="false" outlineLevel="0" collapsed="false">
      <c r="A96" s="24" t="n">
        <v>1.25</v>
      </c>
      <c r="B96" s="26" t="n">
        <f aca="false">Datos!$G$67</f>
        <v>1.25056</v>
      </c>
      <c r="C96" s="26" t="n">
        <f aca="false">Datos!$G$73</f>
        <v>1.29029773462783</v>
      </c>
      <c r="D96" s="26" t="n">
        <f aca="false">Datos!$G$84</f>
        <v>1.186</v>
      </c>
      <c r="E96" s="26" t="n">
        <f aca="false">B96*(1+Datos!$B$61)</f>
        <v>1.25056</v>
      </c>
      <c r="F96" s="26" t="n">
        <f aca="false">Datos!$G$87</f>
        <v>1.426</v>
      </c>
      <c r="I96" s="6" t="s">
        <v>277</v>
      </c>
    </row>
    <row r="97" customFormat="false" ht="15" hidden="false" customHeight="false" outlineLevel="0" collapsed="false">
      <c r="A97" s="24" t="n">
        <v>1.6</v>
      </c>
      <c r="B97" s="26" t="n">
        <f aca="false">Datos!$G$68</f>
        <v>1.25056</v>
      </c>
      <c r="C97" s="26" t="n">
        <f aca="false">Datos!$G$72</f>
        <v>1.32752103559871</v>
      </c>
      <c r="D97" s="26" t="n">
        <f aca="false">Datos!$G$85</f>
        <v>1.186</v>
      </c>
      <c r="E97" s="26" t="n">
        <f aca="false">B97*(1+Datos!$B$61)</f>
        <v>1.25056</v>
      </c>
      <c r="F97" s="26" t="n">
        <f aca="false">Datos!$G$88</f>
        <v>1.453</v>
      </c>
      <c r="I97" s="6" t="s">
        <v>278</v>
      </c>
    </row>
    <row r="98" customFormat="false" ht="15" hidden="false" customHeight="false" outlineLevel="0" collapsed="false">
      <c r="A98" s="24" t="n">
        <v>2</v>
      </c>
      <c r="B98" s="26" t="n">
        <f aca="false">Datos!$G$69</f>
        <v>1.26285</v>
      </c>
      <c r="C98" s="26" t="n">
        <f aca="false">Datos!$G$74</f>
        <v>1.28040129449838</v>
      </c>
      <c r="D98" s="26" t="n">
        <f aca="false">Datos!$G$86</f>
        <v>1.198</v>
      </c>
      <c r="E98" s="26" t="n">
        <f aca="false">B98*(1+Datos!$B$61)</f>
        <v>1.26285</v>
      </c>
      <c r="F98" s="26" t="n">
        <f aca="false">Datos!$G$89</f>
        <v>1.429</v>
      </c>
      <c r="I98" s="6" t="s">
        <v>279</v>
      </c>
    </row>
    <row r="99" customFormat="false" ht="15" hidden="false" customHeight="false" outlineLevel="0" collapsed="false">
      <c r="A99" s="24" t="n">
        <v>3.2</v>
      </c>
      <c r="B99" s="26" t="n">
        <f aca="false">Datos!$G$70</f>
        <v>1.11373</v>
      </c>
      <c r="C99" s="26" t="n">
        <f aca="false">Datos!$G$75</f>
        <v>1.10193527508091</v>
      </c>
      <c r="D99" s="26" t="n">
        <f aca="false">Datos!$G$70</f>
        <v>1.11373</v>
      </c>
      <c r="E99" s="26" t="n">
        <f aca="false">B99*(1+Datos!$B$61)</f>
        <v>1.11373</v>
      </c>
      <c r="F99" s="26" t="n">
        <f aca="false">Datos!$G$90</f>
        <v>1.256</v>
      </c>
      <c r="I99" s="6" t="s">
        <v>280</v>
      </c>
    </row>
    <row r="100" customFormat="false" ht="15" hidden="false" customHeight="false" outlineLevel="0" collapsed="false">
      <c r="A100" s="24" t="n">
        <v>4.75</v>
      </c>
      <c r="B100" s="26" t="n">
        <f aca="false">Datos!$G$70</f>
        <v>1.11373</v>
      </c>
      <c r="C100" s="26" t="n">
        <f aca="false">Datos!$G$76</f>
        <v>1.09097734627832</v>
      </c>
      <c r="D100" s="26" t="n">
        <f aca="false">Datos!$G$70</f>
        <v>1.11373</v>
      </c>
      <c r="E100" s="26" t="n">
        <f aca="false">B100*(1+Datos!$B$61)</f>
        <v>1.11373</v>
      </c>
      <c r="F100" s="26" t="n">
        <f aca="false">Datos!$G$91</f>
        <v>1.236</v>
      </c>
      <c r="I100" s="6" t="s">
        <v>281</v>
      </c>
    </row>
    <row r="102" customFormat="false" ht="15" hidden="false" customHeight="false" outlineLevel="0" collapsed="false">
      <c r="A102" s="8" t="s">
        <v>282</v>
      </c>
    </row>
    <row r="103" customFormat="false" ht="15" hidden="false" customHeight="false" outlineLevel="0" collapsed="false">
      <c r="A103" s="3" t="s">
        <v>283</v>
      </c>
      <c r="B103" s="3" t="s">
        <v>284</v>
      </c>
      <c r="C103" s="3" t="s">
        <v>285</v>
      </c>
      <c r="D103" s="3" t="s">
        <v>286</v>
      </c>
      <c r="E103" s="3" t="s">
        <v>287</v>
      </c>
      <c r="F103" s="3" t="s">
        <v>288</v>
      </c>
      <c r="G103" s="3" t="s">
        <v>289</v>
      </c>
      <c r="H103" s="3"/>
      <c r="I103" s="3" t="s">
        <v>290</v>
      </c>
    </row>
    <row r="104" customFormat="false" ht="23.85" hidden="false" customHeight="false" outlineLevel="0" collapsed="false">
      <c r="A104" s="6" t="s">
        <v>291</v>
      </c>
      <c r="B104" s="18" t="n">
        <v>80000</v>
      </c>
      <c r="C104" s="18" t="n">
        <v>1</v>
      </c>
      <c r="D104" s="18" t="n">
        <v>0</v>
      </c>
      <c r="E104" s="18" t="n">
        <v>1</v>
      </c>
      <c r="F104" s="18" t="n">
        <v>0</v>
      </c>
      <c r="G104" s="18" t="n">
        <v>0</v>
      </c>
      <c r="I104" s="6" t="s">
        <v>292</v>
      </c>
    </row>
    <row r="105" customFormat="false" ht="15" hidden="false" customHeight="false" outlineLevel="0" collapsed="false">
      <c r="A105" s="6" t="s">
        <v>293</v>
      </c>
      <c r="B105" s="9" t="n">
        <f aca="false">Datos!$B$39*Datos!$B$40</f>
        <v>29806.259314456</v>
      </c>
      <c r="C105" s="18" t="n">
        <v>1</v>
      </c>
      <c r="D105" s="18" t="n">
        <v>1</v>
      </c>
      <c r="E105" s="18" t="n">
        <v>0</v>
      </c>
      <c r="F105" s="18" t="n">
        <v>1</v>
      </c>
      <c r="G105" s="18" t="n">
        <v>0</v>
      </c>
      <c r="I105" s="6" t="s">
        <v>294</v>
      </c>
    </row>
    <row r="106" customFormat="false" ht="15" hidden="false" customHeight="false" outlineLevel="0" collapsed="false">
      <c r="A106" s="6" t="s">
        <v>295</v>
      </c>
      <c r="B106" s="18" t="n">
        <v>10700</v>
      </c>
      <c r="C106" s="18" t="n">
        <v>0</v>
      </c>
      <c r="D106" s="18" t="n">
        <v>1</v>
      </c>
      <c r="E106" s="18" t="n">
        <v>0</v>
      </c>
      <c r="F106" s="18" t="n">
        <v>1</v>
      </c>
      <c r="G106" s="18" t="n">
        <v>0</v>
      </c>
      <c r="I106" s="6" t="s">
        <v>296</v>
      </c>
    </row>
    <row r="107" customFormat="false" ht="15" hidden="false" customHeight="false" outlineLevel="0" collapsed="false">
      <c r="A107" s="6" t="s">
        <v>297</v>
      </c>
      <c r="B107" s="18" t="n">
        <v>60000</v>
      </c>
      <c r="C107" s="18" t="n">
        <v>0</v>
      </c>
      <c r="D107" s="18" t="n">
        <v>0</v>
      </c>
      <c r="E107" s="18" t="n">
        <v>1</v>
      </c>
      <c r="F107" s="18" t="n">
        <v>0</v>
      </c>
      <c r="G107" s="18" t="n">
        <v>0</v>
      </c>
      <c r="I107" s="6" t="s">
        <v>298</v>
      </c>
    </row>
    <row r="108" customFormat="false" ht="15" hidden="false" customHeight="false" outlineLevel="0" collapsed="false">
      <c r="A108" s="6" t="s">
        <v>299</v>
      </c>
      <c r="B108" s="18" t="n">
        <v>30000</v>
      </c>
      <c r="C108" s="9" t="n">
        <f aca="false">IF(Datos!$B$62="SI",0,1)</f>
        <v>1</v>
      </c>
      <c r="D108" s="18" t="n">
        <v>0</v>
      </c>
      <c r="E108" s="9" t="n">
        <f aca="false">IF(Datos!$B$62="SI",0,1)</f>
        <v>1</v>
      </c>
      <c r="F108" s="18" t="n">
        <v>0</v>
      </c>
      <c r="G108" s="18" t="n">
        <v>0</v>
      </c>
      <c r="I108" s="6" t="s">
        <v>300</v>
      </c>
    </row>
    <row r="109" customFormat="false" ht="15" hidden="false" customHeight="false" outlineLevel="0" collapsed="false">
      <c r="A109" s="6" t="s">
        <v>301</v>
      </c>
      <c r="B109" s="18" t="n">
        <v>6000</v>
      </c>
      <c r="C109" s="18" t="n">
        <v>1</v>
      </c>
      <c r="D109" s="18" t="n">
        <v>0</v>
      </c>
      <c r="E109" s="18" t="n">
        <v>1</v>
      </c>
      <c r="F109" s="18" t="n">
        <v>0</v>
      </c>
      <c r="G109" s="18" t="n">
        <v>0</v>
      </c>
      <c r="I109" s="6" t="s">
        <v>302</v>
      </c>
    </row>
    <row r="110" customFormat="false" ht="15" hidden="false" customHeight="false" outlineLevel="0" collapsed="false">
      <c r="A110" s="6" t="s">
        <v>303</v>
      </c>
      <c r="B110" s="18" t="n">
        <v>12000</v>
      </c>
      <c r="C110" s="18" t="n">
        <v>1</v>
      </c>
      <c r="D110" s="18" t="n">
        <v>0</v>
      </c>
      <c r="E110" s="18" t="n">
        <v>1</v>
      </c>
      <c r="F110" s="18" t="n">
        <v>1</v>
      </c>
      <c r="G110" s="18" t="n">
        <v>1</v>
      </c>
      <c r="I110" s="6" t="s">
        <v>304</v>
      </c>
    </row>
    <row r="111" customFormat="false" ht="15" hidden="false" customHeight="false" outlineLevel="0" collapsed="false">
      <c r="A111" s="6" t="s">
        <v>305</v>
      </c>
      <c r="B111" s="18" t="n">
        <v>3000</v>
      </c>
      <c r="C111" s="18" t="n">
        <v>1</v>
      </c>
      <c r="D111" s="18" t="n">
        <v>0</v>
      </c>
      <c r="E111" s="18" t="n">
        <v>1</v>
      </c>
      <c r="F111" s="18" t="n">
        <v>1</v>
      </c>
      <c r="G111" s="18" t="n">
        <v>1</v>
      </c>
      <c r="I111" s="6" t="s">
        <v>302</v>
      </c>
    </row>
    <row r="112" customFormat="false" ht="15" hidden="false" customHeight="false" outlineLevel="0" collapsed="false">
      <c r="A112" s="6" t="s">
        <v>306</v>
      </c>
      <c r="B112" s="18" t="n">
        <v>20000</v>
      </c>
      <c r="C112" s="18" t="n">
        <v>0</v>
      </c>
      <c r="D112" s="18" t="n">
        <v>1</v>
      </c>
      <c r="E112" s="18" t="n">
        <v>0</v>
      </c>
      <c r="F112" s="18" t="n">
        <v>1</v>
      </c>
      <c r="G112" s="18" t="n">
        <v>0</v>
      </c>
      <c r="I112" s="6" t="s">
        <v>307</v>
      </c>
    </row>
    <row r="113" customFormat="false" ht="15" hidden="false" customHeight="false" outlineLevel="0" collapsed="false">
      <c r="A113" s="6" t="s">
        <v>308</v>
      </c>
      <c r="B113" s="18" t="n">
        <v>7000</v>
      </c>
      <c r="C113" s="18" t="n">
        <v>0</v>
      </c>
      <c r="D113" s="18" t="n">
        <v>1</v>
      </c>
      <c r="E113" s="18" t="n">
        <v>0</v>
      </c>
      <c r="F113" s="18" t="n">
        <v>1</v>
      </c>
      <c r="G113" s="18" t="n">
        <v>0</v>
      </c>
      <c r="I113" s="6" t="s">
        <v>302</v>
      </c>
    </row>
    <row r="114" customFormat="false" ht="15" hidden="false" customHeight="false" outlineLevel="0" collapsed="false">
      <c r="A114" s="6" t="s">
        <v>309</v>
      </c>
      <c r="B114" s="18" t="n">
        <v>1500</v>
      </c>
      <c r="C114" s="18" t="n">
        <v>0</v>
      </c>
      <c r="D114" s="18" t="n">
        <v>1</v>
      </c>
      <c r="E114" s="18" t="n">
        <v>0</v>
      </c>
      <c r="F114" s="18" t="n">
        <v>1</v>
      </c>
      <c r="G114" s="18" t="n">
        <v>0</v>
      </c>
      <c r="I114" s="6" t="s">
        <v>302</v>
      </c>
    </row>
    <row r="115" customFormat="false" ht="15" hidden="false" customHeight="false" outlineLevel="0" collapsed="false">
      <c r="A115" s="6" t="s">
        <v>310</v>
      </c>
      <c r="B115" s="18" t="n">
        <v>2000</v>
      </c>
      <c r="C115" s="18" t="n">
        <v>0</v>
      </c>
      <c r="D115" s="18" t="n">
        <v>1</v>
      </c>
      <c r="E115" s="18" t="n">
        <v>0</v>
      </c>
      <c r="F115" s="18" t="n">
        <v>1</v>
      </c>
      <c r="G115" s="18" t="n">
        <v>0</v>
      </c>
      <c r="I115" s="6" t="s">
        <v>302</v>
      </c>
    </row>
    <row r="116" customFormat="false" ht="15" hidden="false" customHeight="false" outlineLevel="0" collapsed="false">
      <c r="A116" s="6" t="s">
        <v>311</v>
      </c>
      <c r="B116" s="18" t="n">
        <v>1500</v>
      </c>
      <c r="C116" s="18" t="n">
        <v>0</v>
      </c>
      <c r="D116" s="18" t="n">
        <v>1</v>
      </c>
      <c r="E116" s="18" t="n">
        <v>0</v>
      </c>
      <c r="F116" s="18" t="n">
        <v>0</v>
      </c>
      <c r="G116" s="18" t="n">
        <v>0</v>
      </c>
      <c r="I116" s="6" t="s">
        <v>302</v>
      </c>
    </row>
    <row r="117" customFormat="false" ht="15" hidden="false" customHeight="false" outlineLevel="0" collapsed="false">
      <c r="A117" s="4" t="s">
        <v>312</v>
      </c>
      <c r="C117" s="11" t="n">
        <f aca="false">SUMPRODUCT($B$104:$B$116,C104:C116)</f>
        <v>160806.259314456</v>
      </c>
      <c r="D117" s="11" t="n">
        <f aca="false">SUMPRODUCT($B$104:$B$116,D104:D116)</f>
        <v>72506.259314456</v>
      </c>
      <c r="E117" s="11" t="n">
        <f aca="false">SUMPRODUCT($B$104:$B$116,E104:E116)</f>
        <v>191000</v>
      </c>
      <c r="F117" s="11" t="n">
        <f aca="false">SUMPRODUCT($B$104:$B$116,F104:F116)</f>
        <v>86006.259314456</v>
      </c>
      <c r="G117" s="11" t="n">
        <f aca="false">SUMPRODUCT($B$104:$B$116,G104:G116)</f>
        <v>15000</v>
      </c>
    </row>
    <row r="118" customFormat="false" ht="15" hidden="false" customHeight="false" outlineLevel="0" collapsed="false">
      <c r="A118" s="2" t="s">
        <v>313</v>
      </c>
    </row>
  </sheetData>
  <mergeCells count="52">
    <mergeCell ref="D5:I5"/>
    <mergeCell ref="D6:I6"/>
    <mergeCell ref="D7:I7"/>
    <mergeCell ref="D8:I8"/>
    <mergeCell ref="D9:I9"/>
    <mergeCell ref="D10:I10"/>
    <mergeCell ref="D11:I11"/>
    <mergeCell ref="D12:I12"/>
    <mergeCell ref="D13:I13"/>
    <mergeCell ref="D14:I14"/>
    <mergeCell ref="D15:I15"/>
    <mergeCell ref="D18:I18"/>
    <mergeCell ref="D19:I19"/>
    <mergeCell ref="D20:I20"/>
    <mergeCell ref="D21:I21"/>
    <mergeCell ref="D22:I22"/>
    <mergeCell ref="D23:I23"/>
    <mergeCell ref="D24:I24"/>
    <mergeCell ref="D25:I25"/>
    <mergeCell ref="D26:I26"/>
    <mergeCell ref="D27:I27"/>
    <mergeCell ref="D28:I28"/>
    <mergeCell ref="D31:I31"/>
    <mergeCell ref="D32:I32"/>
    <mergeCell ref="D33:I33"/>
    <mergeCell ref="D34:I34"/>
    <mergeCell ref="D35:I35"/>
    <mergeCell ref="D36:I36"/>
    <mergeCell ref="D37:I37"/>
    <mergeCell ref="D38:I38"/>
    <mergeCell ref="D39:I39"/>
    <mergeCell ref="D40:I40"/>
    <mergeCell ref="D41:I41"/>
    <mergeCell ref="D42:I42"/>
    <mergeCell ref="D43:I43"/>
    <mergeCell ref="D44:I44"/>
    <mergeCell ref="D45:I45"/>
    <mergeCell ref="D46:I46"/>
    <mergeCell ref="D49:I49"/>
    <mergeCell ref="D50:I50"/>
    <mergeCell ref="D51:I51"/>
    <mergeCell ref="D52:I52"/>
    <mergeCell ref="D53:I53"/>
    <mergeCell ref="D54:I54"/>
    <mergeCell ref="D55:I55"/>
    <mergeCell ref="D56:I56"/>
    <mergeCell ref="D57:I57"/>
    <mergeCell ref="D58:I58"/>
    <mergeCell ref="D59:I59"/>
    <mergeCell ref="D60:I60"/>
    <mergeCell ref="D61:I61"/>
    <mergeCell ref="D62:I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0"/>
    <col collapsed="false" customWidth="true" hidden="false" outlineLevel="0" max="12" min="3" style="0" width="11"/>
  </cols>
  <sheetData>
    <row r="1" customFormat="false" ht="15" hidden="false" customHeight="false" outlineLevel="0" collapsed="false">
      <c r="A1" s="1" t="s">
        <v>314</v>
      </c>
    </row>
    <row r="2" customFormat="false" ht="15" hidden="false" customHeight="false" outlineLevel="0" collapsed="false">
      <c r="A2" s="2" t="s">
        <v>315</v>
      </c>
    </row>
    <row r="4" customFormat="false" ht="15" hidden="false" customHeight="false" outlineLevel="0" collapsed="false">
      <c r="A4" s="8" t="s">
        <v>316</v>
      </c>
    </row>
    <row r="5" customFormat="false" ht="15" hidden="false" customHeight="false" outlineLevel="0" collapsed="false">
      <c r="A5" s="3" t="s">
        <v>15</v>
      </c>
      <c r="B5" s="3" t="s">
        <v>317</v>
      </c>
      <c r="C5" s="3" t="s">
        <v>17</v>
      </c>
      <c r="D5" s="3" t="s">
        <v>18</v>
      </c>
      <c r="E5" s="3" t="s">
        <v>19</v>
      </c>
      <c r="F5" s="3" t="s">
        <v>20</v>
      </c>
      <c r="G5" s="3" t="s">
        <v>21</v>
      </c>
      <c r="H5" s="3" t="s">
        <v>22</v>
      </c>
      <c r="I5" s="3" t="s">
        <v>23</v>
      </c>
      <c r="J5" s="3" t="s">
        <v>24</v>
      </c>
      <c r="K5" s="3" t="s">
        <v>25</v>
      </c>
      <c r="L5" s="3" t="s">
        <v>26</v>
      </c>
    </row>
    <row r="6" customFormat="false" ht="15" hidden="false" customHeight="false" outlineLevel="0" collapsed="false">
      <c r="A6" s="6" t="s">
        <v>27</v>
      </c>
      <c r="B6" s="6" t="s">
        <v>318</v>
      </c>
      <c r="C6" s="11" t="n">
        <f aca="false">IFERROR(Links!C11,0)+IFERROR(Links!C22,0)+IFERROR(Links!C33,0)+IFERROR(Links!C44,0)</f>
        <v>4178.736543</v>
      </c>
      <c r="D6" s="11" t="n">
        <f aca="false">IFERROR(Links!D11,0)+IFERROR(Links!D22,0)+IFERROR(Links!D33,0)+IFERROR(Links!D44,0)</f>
        <v>5997.303977</v>
      </c>
      <c r="E6" s="11" t="n">
        <f aca="false">IFERROR(Links!E11,0)+IFERROR(Links!E22,0)+IFERROR(Links!E33,0)+IFERROR(Links!E44,0)</f>
        <v>14514.147758</v>
      </c>
      <c r="F6" s="11" t="n">
        <f aca="false">IFERROR(Links!F11,0)+IFERROR(Links!F22,0)+IFERROR(Links!F33,0)+IFERROR(Links!F44,0)</f>
        <v>35161.935549</v>
      </c>
      <c r="G6" s="11" t="n">
        <f aca="false">IFERROR(Links!G11,0)+IFERROR(Links!G22,0)+IFERROR(Links!G33,0)+IFERROR(Links!G44,0)</f>
        <v>62115.43271</v>
      </c>
      <c r="H6" s="11" t="n">
        <f aca="false">IFERROR(Links!H11,0)+IFERROR(Links!H22,0)+IFERROR(Links!H33,0)+IFERROR(Links!H44,0)</f>
        <v>87300.45307</v>
      </c>
      <c r="I6" s="11" t="n">
        <f aca="false">IFERROR(Links!I11,0)+IFERROR(Links!I22,0)+IFERROR(Links!I33,0)+IFERROR(Links!I44,0)</f>
        <v>121673.15326</v>
      </c>
      <c r="J6" s="11" t="n">
        <f aca="false">IFERROR(Links!J11,0)+IFERROR(Links!J22,0)+IFERROR(Links!J33,0)+IFERROR(Links!J44,0)</f>
        <v>156133.07848</v>
      </c>
      <c r="K6" s="11" t="n">
        <f aca="false">IFERROR(Links!K11,0)+IFERROR(Links!K22,0)+IFERROR(Links!K33,0)+IFERROR(Links!K44,0)</f>
        <v>175393.13614</v>
      </c>
      <c r="L6" s="11" t="n">
        <f aca="false">IFERROR(Links!L11,0)+IFERROR(Links!L22,0)+IFERROR(Links!L33,0)+IFERROR(Links!L44,0)</f>
        <v>202620.63913</v>
      </c>
    </row>
    <row r="7" customFormat="false" ht="15" hidden="false" customHeight="false" outlineLevel="0" collapsed="false">
      <c r="A7" s="6" t="s">
        <v>29</v>
      </c>
      <c r="B7" s="6" t="s">
        <v>318</v>
      </c>
      <c r="C7" s="11" t="n">
        <f aca="false">IFERROR(Links!C12,0)+IFERROR(Links!C23,0)+IFERROR(Links!C34,0)+IFERROR(Links!C45,0)</f>
        <v>300.0303572</v>
      </c>
      <c r="D7" s="11" t="n">
        <f aca="false">IFERROR(Links!D12,0)+IFERROR(Links!D23,0)+IFERROR(Links!D34,0)+IFERROR(Links!D45,0)</f>
        <v>724.1274503</v>
      </c>
      <c r="E7" s="11" t="n">
        <f aca="false">IFERROR(Links!E12,0)+IFERROR(Links!E23,0)+IFERROR(Links!E34,0)+IFERROR(Links!E45,0)</f>
        <v>1309.9880576</v>
      </c>
      <c r="F7" s="11" t="n">
        <f aca="false">IFERROR(Links!F12,0)+IFERROR(Links!F23,0)+IFERROR(Links!F34,0)+IFERROR(Links!F45,0)</f>
        <v>2581.718174</v>
      </c>
      <c r="G7" s="11" t="n">
        <f aca="false">IFERROR(Links!G12,0)+IFERROR(Links!G23,0)+IFERROR(Links!G34,0)+IFERROR(Links!G45,0)</f>
        <v>4284.627726</v>
      </c>
      <c r="H7" s="11" t="n">
        <f aca="false">IFERROR(Links!H12,0)+IFERROR(Links!H23,0)+IFERROR(Links!H34,0)+IFERROR(Links!H45,0)</f>
        <v>6099.509887</v>
      </c>
      <c r="I7" s="11" t="n">
        <f aca="false">IFERROR(Links!I12,0)+IFERROR(Links!I23,0)+IFERROR(Links!I34,0)+IFERROR(Links!I45,0)</f>
        <v>8105.755524</v>
      </c>
      <c r="J7" s="11" t="n">
        <f aca="false">IFERROR(Links!J12,0)+IFERROR(Links!J23,0)+IFERROR(Links!J34,0)+IFERROR(Links!J45,0)</f>
        <v>10259.066587</v>
      </c>
      <c r="K7" s="11" t="n">
        <f aca="false">IFERROR(Links!K12,0)+IFERROR(Links!K23,0)+IFERROR(Links!K34,0)+IFERROR(Links!K45,0)</f>
        <v>11967.786243</v>
      </c>
      <c r="L7" s="11" t="n">
        <f aca="false">IFERROR(Links!L12,0)+IFERROR(Links!L23,0)+IFERROR(Links!L34,0)+IFERROR(Links!L45,0)</f>
        <v>14126.338444</v>
      </c>
    </row>
    <row r="8" customFormat="false" ht="15" hidden="false" customHeight="false" outlineLevel="0" collapsed="false">
      <c r="A8" s="6" t="s">
        <v>30</v>
      </c>
      <c r="B8" s="6" t="s">
        <v>318</v>
      </c>
      <c r="C8" s="11" t="n">
        <f aca="false">IFERROR(Links!C13,0)+IFERROR(Links!C24,0)+IFERROR(Links!C35,0)+IFERROR(Links!C46,0)</f>
        <v>2281.773025</v>
      </c>
      <c r="D8" s="11" t="n">
        <f aca="false">IFERROR(Links!D13,0)+IFERROR(Links!D24,0)+IFERROR(Links!D35,0)+IFERROR(Links!D46,0)</f>
        <v>3928.058881</v>
      </c>
      <c r="E8" s="11" t="n">
        <f aca="false">IFERROR(Links!E13,0)+IFERROR(Links!E24,0)+IFERROR(Links!E35,0)+IFERROR(Links!E46,0)</f>
        <v>6711.737591</v>
      </c>
      <c r="F8" s="11" t="n">
        <f aca="false">IFERROR(Links!F13,0)+IFERROR(Links!F24,0)+IFERROR(Links!F35,0)+IFERROR(Links!F46,0)</f>
        <v>12203.995313</v>
      </c>
      <c r="G8" s="11" t="n">
        <f aca="false">IFERROR(Links!G13,0)+IFERROR(Links!G24,0)+IFERROR(Links!G35,0)+IFERROR(Links!G46,0)</f>
        <v>20592.78694</v>
      </c>
      <c r="H8" s="11" t="n">
        <f aca="false">IFERROR(Links!H13,0)+IFERROR(Links!H24,0)+IFERROR(Links!H35,0)+IFERROR(Links!H46,0)</f>
        <v>28701.60411</v>
      </c>
      <c r="I8" s="11" t="n">
        <f aca="false">IFERROR(Links!I13,0)+IFERROR(Links!I24,0)+IFERROR(Links!I35,0)+IFERROR(Links!I46,0)</f>
        <v>38664.59984</v>
      </c>
      <c r="J8" s="11" t="n">
        <f aca="false">IFERROR(Links!J13,0)+IFERROR(Links!J24,0)+IFERROR(Links!J35,0)+IFERROR(Links!J46,0)</f>
        <v>48842.22637</v>
      </c>
      <c r="K8" s="11" t="n">
        <f aca="false">IFERROR(Links!K13,0)+IFERROR(Links!K24,0)+IFERROR(Links!K35,0)+IFERROR(Links!K46,0)</f>
        <v>55481.36455</v>
      </c>
      <c r="L8" s="11" t="n">
        <f aca="false">IFERROR(Links!L13,0)+IFERROR(Links!L24,0)+IFERROR(Links!L35,0)+IFERROR(Links!L46,0)</f>
        <v>63852.65872</v>
      </c>
    </row>
    <row r="9" customFormat="false" ht="15" hidden="false" customHeight="false" outlineLevel="0" collapsed="false">
      <c r="A9" s="6" t="s">
        <v>31</v>
      </c>
      <c r="B9" s="6" t="s">
        <v>318</v>
      </c>
      <c r="C9" s="11" t="n">
        <f aca="false">IFERROR(Links!C14,0)+IFERROR(Links!C25,0)+IFERROR(Links!C36,0)+IFERROR(Links!C47,0)</f>
        <v>94.83318153</v>
      </c>
      <c r="D9" s="11" t="n">
        <f aca="false">IFERROR(Links!D14,0)+IFERROR(Links!D25,0)+IFERROR(Links!D36,0)+IFERROR(Links!D47,0)</f>
        <v>182.4872967</v>
      </c>
      <c r="E9" s="11" t="n">
        <f aca="false">IFERROR(Links!E14,0)+IFERROR(Links!E25,0)+IFERROR(Links!E36,0)+IFERROR(Links!E47,0)</f>
        <v>352.0187798</v>
      </c>
      <c r="F9" s="11" t="n">
        <f aca="false">IFERROR(Links!F14,0)+IFERROR(Links!F25,0)+IFERROR(Links!F36,0)+IFERROR(Links!F47,0)</f>
        <v>687.3004941</v>
      </c>
      <c r="G9" s="11" t="n">
        <f aca="false">IFERROR(Links!G14,0)+IFERROR(Links!G25,0)+IFERROR(Links!G36,0)+IFERROR(Links!G47,0)</f>
        <v>1200.4381519</v>
      </c>
      <c r="H9" s="11" t="n">
        <f aca="false">IFERROR(Links!H14,0)+IFERROR(Links!H25,0)+IFERROR(Links!H36,0)+IFERROR(Links!H47,0)</f>
        <v>1735.685032</v>
      </c>
      <c r="I9" s="11" t="n">
        <f aca="false">IFERROR(Links!I14,0)+IFERROR(Links!I25,0)+IFERROR(Links!I36,0)+IFERROR(Links!I47,0)</f>
        <v>2335.960545</v>
      </c>
      <c r="J9" s="11" t="n">
        <f aca="false">IFERROR(Links!J14,0)+IFERROR(Links!J25,0)+IFERROR(Links!J36,0)+IFERROR(Links!J47,0)</f>
        <v>2951.564812</v>
      </c>
      <c r="K9" s="11" t="n">
        <f aca="false">IFERROR(Links!K14,0)+IFERROR(Links!K25,0)+IFERROR(Links!K36,0)+IFERROR(Links!K47,0)</f>
        <v>3355.350054</v>
      </c>
      <c r="L9" s="11" t="n">
        <f aca="false">IFERROR(Links!L14,0)+IFERROR(Links!L25,0)+IFERROR(Links!L36,0)+IFERROR(Links!L47,0)</f>
        <v>3862.928079</v>
      </c>
    </row>
    <row r="10" customFormat="false" ht="15" hidden="false" customHeight="false" outlineLevel="0" collapsed="false">
      <c r="A10" s="6" t="s">
        <v>32</v>
      </c>
      <c r="B10" s="6" t="s">
        <v>319</v>
      </c>
      <c r="C10" s="11" t="n">
        <f aca="false">IFERROR(Links!C15,0)+IFERROR(Links!C26,0)+IFERROR(Links!C37,0)+IFERROR(Links!C48,0)</f>
        <v>36.05179136</v>
      </c>
      <c r="D10" s="11" t="n">
        <f aca="false">IFERROR(Links!D15,0)+IFERROR(Links!D26,0)+IFERROR(Links!D37,0)+IFERROR(Links!D48,0)</f>
        <v>58.62214745</v>
      </c>
      <c r="E10" s="11" t="n">
        <f aca="false">IFERROR(Links!E15,0)+IFERROR(Links!E26,0)+IFERROR(Links!E37,0)+IFERROR(Links!E48,0)</f>
        <v>90.76853998</v>
      </c>
      <c r="F10" s="11" t="n">
        <f aca="false">IFERROR(Links!F15,0)+IFERROR(Links!F26,0)+IFERROR(Links!F37,0)+IFERROR(Links!F48,0)</f>
        <v>152.9698529</v>
      </c>
      <c r="G10" s="11" t="n">
        <f aca="false">IFERROR(Links!G15,0)+IFERROR(Links!G26,0)+IFERROR(Links!G37,0)+IFERROR(Links!G48,0)</f>
        <v>252.2760035</v>
      </c>
      <c r="H10" s="11" t="n">
        <f aca="false">IFERROR(Links!H15,0)+IFERROR(Links!H26,0)+IFERROR(Links!H37,0)+IFERROR(Links!H48,0)</f>
        <v>349.5744827</v>
      </c>
      <c r="I10" s="11" t="n">
        <f aca="false">IFERROR(Links!I15,0)+IFERROR(Links!I26,0)+IFERROR(Links!I37,0)+IFERROR(Links!I48,0)</f>
        <v>465.4682332</v>
      </c>
      <c r="J10" s="11" t="n">
        <f aca="false">IFERROR(Links!J15,0)+IFERROR(Links!J26,0)+IFERROR(Links!J37,0)+IFERROR(Links!J48,0)</f>
        <v>586.7286707</v>
      </c>
      <c r="K10" s="11" t="n">
        <f aca="false">IFERROR(Links!K15,0)+IFERROR(Links!K26,0)+IFERROR(Links!K37,0)+IFERROR(Links!K48,0)</f>
        <v>672.5874156</v>
      </c>
      <c r="L10" s="11" t="n">
        <f aca="false">IFERROR(Links!L15,0)+IFERROR(Links!L26,0)+IFERROR(Links!L37,0)+IFERROR(Links!L48,0)</f>
        <v>777.3105332</v>
      </c>
    </row>
    <row r="11" customFormat="false" ht="15" hidden="false" customHeight="false" outlineLevel="0" collapsed="false">
      <c r="A11" s="6" t="s">
        <v>33</v>
      </c>
      <c r="B11" s="6" t="s">
        <v>319</v>
      </c>
      <c r="C11" s="11" t="n">
        <f aca="false">IFERROR(Links!C16,0)+IFERROR(Links!C27,0)+IFERROR(Links!C38,0)+IFERROR(Links!C49,0)</f>
        <v>76.913941</v>
      </c>
      <c r="D11" s="11" t="n">
        <f aca="false">IFERROR(Links!D16,0)+IFERROR(Links!D27,0)+IFERROR(Links!D38,0)+IFERROR(Links!D49,0)</f>
        <v>129.7767244</v>
      </c>
      <c r="E11" s="11" t="n">
        <f aca="false">IFERROR(Links!E16,0)+IFERROR(Links!E27,0)+IFERROR(Links!E38,0)+IFERROR(Links!E49,0)</f>
        <v>200.498788</v>
      </c>
      <c r="F11" s="11" t="n">
        <f aca="false">IFERROR(Links!F16,0)+IFERROR(Links!F27,0)+IFERROR(Links!F38,0)+IFERROR(Links!F49,0)</f>
        <v>337.4456765</v>
      </c>
      <c r="G11" s="11" t="n">
        <f aca="false">IFERROR(Links!G16,0)+IFERROR(Links!G27,0)+IFERROR(Links!G38,0)+IFERROR(Links!G49,0)</f>
        <v>554.0072077</v>
      </c>
      <c r="H11" s="11" t="n">
        <f aca="false">IFERROR(Links!H16,0)+IFERROR(Links!H27,0)+IFERROR(Links!H38,0)+IFERROR(Links!H49,0)</f>
        <v>769.135862</v>
      </c>
      <c r="I11" s="11" t="n">
        <f aca="false">IFERROR(Links!I16,0)+IFERROR(Links!I27,0)+IFERROR(Links!I38,0)+IFERROR(Links!I49,0)</f>
        <v>1025.2701129</v>
      </c>
      <c r="J11" s="11" t="n">
        <f aca="false">IFERROR(Links!J16,0)+IFERROR(Links!J27,0)+IFERROR(Links!J38,0)+IFERROR(Links!J49,0)</f>
        <v>1292.1070756</v>
      </c>
      <c r="K11" s="11" t="n">
        <f aca="false">IFERROR(Links!K16,0)+IFERROR(Links!K27,0)+IFERROR(Links!K38,0)+IFERROR(Links!K49,0)</f>
        <v>1479.6603143</v>
      </c>
      <c r="L11" s="11" t="n">
        <f aca="false">IFERROR(Links!L16,0)+IFERROR(Links!L27,0)+IFERROR(Links!L38,0)+IFERROR(Links!L49,0)</f>
        <v>1708.4351731</v>
      </c>
    </row>
    <row r="12" customFormat="false" ht="15" hidden="false" customHeight="false" outlineLevel="0" collapsed="false">
      <c r="A12" s="6" t="s">
        <v>34</v>
      </c>
      <c r="B12" s="6" t="s">
        <v>319</v>
      </c>
      <c r="C12" s="11" t="n">
        <f aca="false">IFERROR(Links!C17,0)+IFERROR(Links!C28,0)+IFERROR(Links!C39,0)+IFERROR(Links!C50,0)</f>
        <v>18.34485985</v>
      </c>
      <c r="D12" s="11" t="n">
        <f aca="false">IFERROR(Links!D17,0)+IFERROR(Links!D28,0)+IFERROR(Links!D39,0)+IFERROR(Links!D50,0)</f>
        <v>28.22183078</v>
      </c>
      <c r="E12" s="11" t="n">
        <f aca="false">IFERROR(Links!E17,0)+IFERROR(Links!E28,0)+IFERROR(Links!E39,0)+IFERROR(Links!E50,0)</f>
        <v>43.26009919</v>
      </c>
      <c r="F12" s="11" t="n">
        <f aca="false">IFERROR(Links!F17,0)+IFERROR(Links!F28,0)+IFERROR(Links!F39,0)+IFERROR(Links!F50,0)</f>
        <v>73.81432941</v>
      </c>
      <c r="G12" s="11" t="n">
        <f aca="false">IFERROR(Links!G17,0)+IFERROR(Links!G28,0)+IFERROR(Links!G39,0)+IFERROR(Links!G50,0)</f>
        <v>122.26048167</v>
      </c>
      <c r="H12" s="11" t="n">
        <f aca="false">IFERROR(Links!H17,0)+IFERROR(Links!H28,0)+IFERROR(Links!H39,0)+IFERROR(Links!H50,0)</f>
        <v>167.5285517</v>
      </c>
      <c r="I12" s="11" t="n">
        <f aca="false">IFERROR(Links!I17,0)+IFERROR(Links!I28,0)+IFERROR(Links!I39,0)+IFERROR(Links!I50,0)</f>
        <v>224.4807519</v>
      </c>
      <c r="J12" s="11" t="n">
        <f aca="false">IFERROR(Links!J17,0)+IFERROR(Links!J28,0)+IFERROR(Links!J39,0)+IFERROR(Links!J50,0)</f>
        <v>281.6473619</v>
      </c>
      <c r="K12" s="11" t="n">
        <f aca="false">IFERROR(Links!K17,0)+IFERROR(Links!K28,0)+IFERROR(Links!K39,0)+IFERROR(Links!K50,0)</f>
        <v>323.8211595</v>
      </c>
      <c r="L12" s="11" t="n">
        <f aca="false">IFERROR(Links!L17,0)+IFERROR(Links!L28,0)+IFERROR(Links!L39,0)+IFERROR(Links!L50,0)</f>
        <v>374.129856</v>
      </c>
    </row>
    <row r="13" customFormat="false" ht="15" hidden="false" customHeight="false" outlineLevel="0" collapsed="false">
      <c r="A13" s="6" t="s">
        <v>35</v>
      </c>
      <c r="B13" s="6" t="s">
        <v>319</v>
      </c>
      <c r="C13" s="11" t="n">
        <f aca="false">IFERROR(Links!C18,0)+IFERROR(Links!C29,0)+IFERROR(Links!C40,0)+IFERROR(Links!C51,0)</f>
        <v>12.89657324</v>
      </c>
      <c r="D13" s="11" t="n">
        <f aca="false">IFERROR(Links!D18,0)+IFERROR(Links!D29,0)+IFERROR(Links!D40,0)+IFERROR(Links!D51,0)</f>
        <v>18.86788719</v>
      </c>
      <c r="E13" s="11" t="n">
        <f aca="false">IFERROR(Links!E18,0)+IFERROR(Links!E29,0)+IFERROR(Links!E40,0)+IFERROR(Links!E51,0)</f>
        <v>28.82673279</v>
      </c>
      <c r="F13" s="11" t="n">
        <f aca="false">IFERROR(Links!F18,0)+IFERROR(Links!F29,0)+IFERROR(Links!F40,0)+IFERROR(Links!F51,0)</f>
        <v>48.32955294</v>
      </c>
      <c r="G13" s="11" t="n">
        <f aca="false">IFERROR(Links!G18,0)+IFERROR(Links!G29,0)+IFERROR(Links!G40,0)+IFERROR(Links!G51,0)</f>
        <v>80.64032112</v>
      </c>
      <c r="H13" s="11" t="n">
        <f aca="false">IFERROR(Links!H18,0)+IFERROR(Links!H29,0)+IFERROR(Links!H40,0)+IFERROR(Links!H51,0)</f>
        <v>110.85903447</v>
      </c>
      <c r="I13" s="11" t="n">
        <f aca="false">IFERROR(Links!I18,0)+IFERROR(Links!I29,0)+IFERROR(Links!I40,0)+IFERROR(Links!I51,0)</f>
        <v>149.89383461</v>
      </c>
      <c r="J13" s="11" t="n">
        <f aca="false">IFERROR(Links!J18,0)+IFERROR(Links!J29,0)+IFERROR(Links!J40,0)+IFERROR(Links!J51,0)</f>
        <v>186.5115746</v>
      </c>
      <c r="K13" s="11" t="n">
        <f aca="false">IFERROR(Links!K18,0)+IFERROR(Links!K29,0)+IFERROR(Links!K40,0)+IFERROR(Links!K51,0)</f>
        <v>213.960773</v>
      </c>
      <c r="L13" s="11" t="n">
        <f aca="false">IFERROR(Links!L18,0)+IFERROR(Links!L29,0)+IFERROR(Links!L40,0)+IFERROR(Links!L51,0)</f>
        <v>247.4465706</v>
      </c>
    </row>
    <row r="14" customFormat="false" ht="15" hidden="false" customHeight="false" outlineLevel="0" collapsed="false">
      <c r="A14" s="4" t="s">
        <v>320</v>
      </c>
      <c r="C14" s="11" t="n">
        <f aca="false">SUM(C6:C13)</f>
        <v>6999.58027218</v>
      </c>
      <c r="D14" s="11" t="n">
        <f aca="false">SUM(D6:D13)</f>
        <v>11067.46619482</v>
      </c>
      <c r="E14" s="11" t="n">
        <f aca="false">SUM(E6:E13)</f>
        <v>23251.24634636</v>
      </c>
      <c r="F14" s="11" t="n">
        <f aca="false">SUM(F6:F13)</f>
        <v>51247.50894185</v>
      </c>
      <c r="G14" s="11" t="n">
        <f aca="false">SUM(G6:G13)</f>
        <v>89202.46954189</v>
      </c>
      <c r="H14" s="11" t="n">
        <f aca="false">SUM(H6:H13)</f>
        <v>125234.35002987</v>
      </c>
      <c r="I14" s="11" t="n">
        <f aca="false">SUM(I6:I13)</f>
        <v>172644.58210161</v>
      </c>
      <c r="J14" s="11" t="n">
        <f aca="false">SUM(J6:J13)</f>
        <v>220532.9309318</v>
      </c>
      <c r="K14" s="11" t="n">
        <f aca="false">SUM(K6:K13)</f>
        <v>248887.6666494</v>
      </c>
      <c r="L14" s="11" t="n">
        <f aca="false">SUM(L6:L13)</f>
        <v>287569.8865059</v>
      </c>
    </row>
    <row r="16" customFormat="false" ht="15" hidden="false" customHeight="false" outlineLevel="0" collapsed="false">
      <c r="A16" s="2" t="s">
        <v>321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30"/>
    <col collapsed="false" customWidth="true" hidden="false" outlineLevel="0" max="7" min="4" style="0" width="10"/>
    <col collapsed="false" customWidth="true" hidden="false" outlineLevel="0" max="9" min="8" style="0" width="11"/>
    <col collapsed="false" customWidth="true" hidden="false" outlineLevel="0" max="10" min="10" style="0" width="12"/>
    <col collapsed="false" customWidth="true" hidden="false" outlineLevel="0" max="13" min="11" style="0" width="11"/>
    <col collapsed="false" customWidth="true" hidden="false" outlineLevel="0" max="14" min="14" style="0" width="9"/>
    <col collapsed="false" customWidth="true" hidden="false" outlineLevel="0" max="16" min="15" style="0" width="10"/>
    <col collapsed="false" customWidth="true" hidden="false" outlineLevel="0" max="17" min="17" style="0" width="13"/>
    <col collapsed="false" customWidth="true" hidden="false" outlineLevel="0" max="18" min="18" style="0" width="8"/>
    <col collapsed="false" customWidth="true" hidden="false" outlineLevel="0" max="19" min="19" style="0" width="11"/>
    <col collapsed="false" customWidth="true" hidden="false" outlineLevel="0" max="20" min="20" style="0" width="44"/>
    <col collapsed="false" customWidth="true" hidden="false" outlineLevel="0" max="21" min="21" style="0" width="3"/>
    <col collapsed="false" customWidth="true" hidden="false" outlineLevel="0" max="22" min="22" style="0" width="12"/>
    <col collapsed="false" customWidth="true" hidden="false" outlineLevel="0" max="23" min="23" style="0" width="10"/>
    <col collapsed="false" customWidth="true" hidden="false" outlineLevel="0" max="24" min="24" style="0" width="14"/>
  </cols>
  <sheetData>
    <row r="1" customFormat="false" ht="15" hidden="false" customHeight="false" outlineLevel="0" collapsed="false">
      <c r="A1" s="1" t="s">
        <v>322</v>
      </c>
    </row>
    <row r="2" customFormat="false" ht="15" hidden="false" customHeight="false" outlineLevel="0" collapsed="false">
      <c r="A2" s="2" t="s">
        <v>323</v>
      </c>
    </row>
    <row r="4" customFormat="false" ht="15" hidden="false" customHeight="false" outlineLevel="0" collapsed="false">
      <c r="A4" s="8" t="s">
        <v>324</v>
      </c>
    </row>
    <row r="5" customFormat="false" ht="23.85" hidden="false" customHeight="false" outlineLevel="0" collapsed="false">
      <c r="A5" s="3" t="s">
        <v>15</v>
      </c>
      <c r="B5" s="3" t="s">
        <v>317</v>
      </c>
      <c r="C5" s="3" t="s">
        <v>325</v>
      </c>
      <c r="D5" s="3" t="s">
        <v>326</v>
      </c>
      <c r="E5" s="3" t="s">
        <v>199</v>
      </c>
      <c r="F5" s="3" t="s">
        <v>327</v>
      </c>
      <c r="G5" s="3" t="s">
        <v>328</v>
      </c>
      <c r="H5" s="3" t="s">
        <v>329</v>
      </c>
      <c r="I5" s="3" t="s">
        <v>330</v>
      </c>
    </row>
    <row r="6" customFormat="false" ht="15" hidden="false" customHeight="false" outlineLevel="0" collapsed="false">
      <c r="A6" s="6" t="s">
        <v>27</v>
      </c>
      <c r="B6" s="6" t="s">
        <v>318</v>
      </c>
      <c r="C6" s="6" t="s">
        <v>331</v>
      </c>
      <c r="D6" s="21" t="n">
        <v>76.2</v>
      </c>
      <c r="E6" s="19" t="n">
        <v>0.9</v>
      </c>
      <c r="F6" s="21" t="n">
        <v>263.5</v>
      </c>
      <c r="G6" s="28" t="n">
        <f aca="false">ROUND(PI()*(D6-E6)*2,0)/2</f>
        <v>236.5</v>
      </c>
      <c r="H6" s="22" t="n">
        <f aca="false">F6*G6*E6*Datos!$B$10/1000000</f>
        <v>0.44139662325</v>
      </c>
      <c r="I6" s="6" t="s">
        <v>332</v>
      </c>
    </row>
    <row r="7" customFormat="false" ht="15" hidden="false" customHeight="false" outlineLevel="0" collapsed="false">
      <c r="A7" s="6" t="s">
        <v>29</v>
      </c>
      <c r="B7" s="6" t="s">
        <v>318</v>
      </c>
      <c r="C7" s="6" t="s">
        <v>333</v>
      </c>
      <c r="D7" s="21" t="n">
        <v>124</v>
      </c>
      <c r="E7" s="19" t="n">
        <v>1.25</v>
      </c>
      <c r="F7" s="21" t="n">
        <v>267.5</v>
      </c>
      <c r="G7" s="28" t="n">
        <f aca="false">ROUND(PI()*(D7-E7)*2,0)/2</f>
        <v>385.5</v>
      </c>
      <c r="H7" s="22" t="n">
        <f aca="false">F7*G7*E7*Datos!$B$10/1000000</f>
        <v>1.014455296875</v>
      </c>
      <c r="I7" s="6" t="s">
        <v>332</v>
      </c>
    </row>
    <row r="8" customFormat="false" ht="15" hidden="false" customHeight="false" outlineLevel="0" collapsed="false">
      <c r="A8" s="6" t="s">
        <v>30</v>
      </c>
      <c r="B8" s="6" t="s">
        <v>318</v>
      </c>
      <c r="C8" s="6" t="s">
        <v>334</v>
      </c>
      <c r="D8" s="21" t="n">
        <v>153</v>
      </c>
      <c r="E8" s="19" t="n">
        <v>1.6</v>
      </c>
      <c r="F8" s="21" t="n">
        <v>327.5</v>
      </c>
      <c r="G8" s="28" t="n">
        <f aca="false">ROUND(PI()*(D8-E8)*2,0)/2</f>
        <v>475.5</v>
      </c>
      <c r="H8" s="22" t="n">
        <f aca="false">F8*G8*E8*Datos!$B$10/1000000</f>
        <v>1.96090494</v>
      </c>
      <c r="I8" s="6" t="s">
        <v>332</v>
      </c>
    </row>
    <row r="9" customFormat="false" ht="15" hidden="false" customHeight="false" outlineLevel="0" collapsed="false">
      <c r="A9" s="6" t="s">
        <v>31</v>
      </c>
      <c r="B9" s="6" t="s">
        <v>318</v>
      </c>
      <c r="C9" s="6" t="s">
        <v>335</v>
      </c>
      <c r="D9" s="21" t="n">
        <v>181.5</v>
      </c>
      <c r="E9" s="19" t="n">
        <v>2</v>
      </c>
      <c r="F9" s="21" t="n">
        <v>493</v>
      </c>
      <c r="G9" s="28" t="n">
        <f aca="false">ROUND(PI()*(D9-E9)*2,0)/2</f>
        <v>564</v>
      </c>
      <c r="H9" s="22" t="n">
        <f aca="false">F9*G9*E9*Datos!$B$10/1000000</f>
        <v>4.37653848</v>
      </c>
      <c r="I9" s="6" t="s">
        <v>332</v>
      </c>
    </row>
    <row r="10" customFormat="false" ht="15" hidden="false" customHeight="false" outlineLevel="0" collapsed="false">
      <c r="A10" s="6" t="s">
        <v>32</v>
      </c>
      <c r="B10" s="6" t="s">
        <v>319</v>
      </c>
      <c r="C10" s="6" t="s">
        <v>336</v>
      </c>
      <c r="D10" s="21" t="n">
        <v>276.5</v>
      </c>
      <c r="E10" s="19" t="n">
        <v>3.2</v>
      </c>
      <c r="F10" s="21" t="n">
        <v>493</v>
      </c>
      <c r="G10" s="28" t="n">
        <f aca="false">ROUND(PI()*(D10-E10)*2,0)/2</f>
        <v>858.5</v>
      </c>
      <c r="H10" s="22" t="n">
        <f aca="false">F10*G10*E10*Datos!$B$10/1000000</f>
        <v>10.658888752</v>
      </c>
      <c r="I10" s="6" t="s">
        <v>337</v>
      </c>
    </row>
    <row r="11" customFormat="false" ht="15" hidden="false" customHeight="false" outlineLevel="0" collapsed="false">
      <c r="A11" s="6" t="s">
        <v>33</v>
      </c>
      <c r="B11" s="6" t="s">
        <v>319</v>
      </c>
      <c r="C11" s="6" t="s">
        <v>338</v>
      </c>
      <c r="D11" s="21" t="n">
        <v>320</v>
      </c>
      <c r="E11" s="19" t="n">
        <v>3.2</v>
      </c>
      <c r="F11" s="21" t="n">
        <v>640</v>
      </c>
      <c r="G11" s="28" t="n">
        <f aca="false">ROUND(PI()*(D11-E11)*2,0)/2</f>
        <v>995.5</v>
      </c>
      <c r="H11" s="22" t="n">
        <f aca="false">F11*G11*E11*Datos!$B$10/1000000</f>
        <v>16.04523008</v>
      </c>
      <c r="I11" s="6" t="s">
        <v>337</v>
      </c>
    </row>
    <row r="12" customFormat="false" ht="15" hidden="false" customHeight="false" outlineLevel="0" collapsed="false">
      <c r="A12" s="6" t="s">
        <v>34</v>
      </c>
      <c r="B12" s="6" t="s">
        <v>319</v>
      </c>
      <c r="C12" s="6" t="s">
        <v>339</v>
      </c>
      <c r="D12" s="21" t="n">
        <v>390</v>
      </c>
      <c r="E12" s="19" t="n">
        <v>4.75</v>
      </c>
      <c r="F12" s="21" t="n">
        <v>680</v>
      </c>
      <c r="G12" s="28" t="n">
        <f aca="false">ROUND(PI()*(D12-E12)*2,0)/2</f>
        <v>1210.5</v>
      </c>
      <c r="H12" s="22" t="n">
        <f aca="false">F12*G12*E12*Datos!$B$10/1000000</f>
        <v>30.77103105</v>
      </c>
      <c r="I12" s="6" t="s">
        <v>337</v>
      </c>
    </row>
    <row r="13" customFormat="false" ht="15" hidden="false" customHeight="false" outlineLevel="0" collapsed="false">
      <c r="A13" s="6" t="s">
        <v>35</v>
      </c>
      <c r="B13" s="6" t="s">
        <v>319</v>
      </c>
      <c r="C13" s="6" t="s">
        <v>340</v>
      </c>
      <c r="D13" s="21" t="n">
        <v>390</v>
      </c>
      <c r="E13" s="19" t="n">
        <v>4.75</v>
      </c>
      <c r="F13" s="21" t="n">
        <v>900</v>
      </c>
      <c r="G13" s="28" t="n">
        <f aca="false">ROUND(PI()*(D13-E13)*2,0)/2</f>
        <v>1210.5</v>
      </c>
      <c r="H13" s="22" t="n">
        <f aca="false">F13*G13*E13*Datos!$B$10/1000000</f>
        <v>40.726364625</v>
      </c>
      <c r="I13" s="6" t="s">
        <v>337</v>
      </c>
    </row>
    <row r="14" customFormat="false" ht="15" hidden="false" customHeight="false" outlineLevel="0" collapsed="false">
      <c r="A14" s="2" t="s">
        <v>341</v>
      </c>
    </row>
    <row r="16" customFormat="false" ht="15" hidden="false" customHeight="false" outlineLevel="0" collapsed="false">
      <c r="A16" s="8" t="s">
        <v>342</v>
      </c>
    </row>
    <row r="17" customFormat="false" ht="35.05" hidden="false" customHeight="false" outlineLevel="0" collapsed="false">
      <c r="A17" s="3" t="s">
        <v>15</v>
      </c>
      <c r="B17" s="3" t="s">
        <v>343</v>
      </c>
      <c r="C17" s="3" t="s">
        <v>344</v>
      </c>
      <c r="D17" s="3" t="s">
        <v>345</v>
      </c>
      <c r="E17" s="3" t="s">
        <v>326</v>
      </c>
      <c r="F17" s="3" t="s">
        <v>346</v>
      </c>
      <c r="G17" s="3" t="s">
        <v>347</v>
      </c>
      <c r="H17" s="3" t="s">
        <v>348</v>
      </c>
      <c r="I17" s="3" t="s">
        <v>349</v>
      </c>
      <c r="J17" s="3" t="s">
        <v>350</v>
      </c>
      <c r="K17" s="3" t="s">
        <v>351</v>
      </c>
      <c r="L17" s="3" t="s">
        <v>352</v>
      </c>
      <c r="M17" s="3" t="s">
        <v>353</v>
      </c>
      <c r="N17" s="3" t="s">
        <v>354</v>
      </c>
      <c r="O17" s="3" t="s">
        <v>355</v>
      </c>
      <c r="P17" s="3" t="s">
        <v>356</v>
      </c>
      <c r="Q17" s="3" t="s">
        <v>357</v>
      </c>
      <c r="R17" s="3" t="s">
        <v>358</v>
      </c>
      <c r="S17" s="3" t="s">
        <v>359</v>
      </c>
      <c r="T17" s="3" t="s">
        <v>325</v>
      </c>
      <c r="V17" s="3" t="s">
        <v>360</v>
      </c>
      <c r="W17" s="3" t="s">
        <v>361</v>
      </c>
      <c r="X17" s="3" t="s">
        <v>362</v>
      </c>
    </row>
    <row r="18" customFormat="false" ht="15" hidden="false" customHeight="false" outlineLevel="0" collapsed="false">
      <c r="A18" s="6" t="s">
        <v>27</v>
      </c>
      <c r="B18" s="6" t="s">
        <v>363</v>
      </c>
      <c r="C18" s="6" t="s">
        <v>364</v>
      </c>
      <c r="D18" s="19" t="n">
        <v>0.9</v>
      </c>
      <c r="E18" s="21" t="n">
        <v>76.2</v>
      </c>
      <c r="F18" s="21" t="n">
        <v>12.5</v>
      </c>
      <c r="G18" s="21" t="n">
        <v>6</v>
      </c>
      <c r="H18" s="20" t="n">
        <f aca="false">E18/2-D18/2</f>
        <v>37.65</v>
      </c>
      <c r="I18" s="20" t="n">
        <f aca="false">F18-G18-D18/2</f>
        <v>6.05</v>
      </c>
      <c r="J18" s="9" t="n">
        <f aca="false">PI()*H18^2+PI()*I18^2/(2*SQRT(1-(I18/H18)^2))*LN((1+SQRT(1-(I18/H18)^2))/(1-SQRT(1-(I18/H18)^2)))+2*PI()*H18*G18</f>
        <v>6165.64644293131</v>
      </c>
      <c r="K18" s="28" t="n">
        <f aca="false">SQRT(4*J18/PI())</f>
        <v>88.6021719259513</v>
      </c>
      <c r="L18" s="29" t="n">
        <f aca="false">CEILING(K18,0.5)</f>
        <v>89</v>
      </c>
      <c r="M18" s="28" t="n">
        <f aca="false">2*H18</f>
        <v>75.3</v>
      </c>
      <c r="N18" s="22" t="n">
        <f aca="false">M18/L18</f>
        <v>0.846067415730337</v>
      </c>
      <c r="O18" s="20" t="n">
        <f aca="false">D18/L18*100</f>
        <v>1.01123595505618</v>
      </c>
      <c r="P18" s="20" t="n">
        <f aca="false">INDEX($X$18:$X$23,MATCH(O18,$V$18:$V$23,1))</f>
        <v>0.53</v>
      </c>
      <c r="Q18" s="7" t="str">
        <f aca="false">IF(N18&gt;=P18,"Sí","No: dos embutidos")</f>
        <v>Sí</v>
      </c>
      <c r="R18" s="20" t="n">
        <f aca="false">F18/E18</f>
        <v>0.164041994750656</v>
      </c>
      <c r="S18" s="22" t="n">
        <f aca="false">PI()*L18^2/4*D18*Datos!$B$10/1000000</f>
        <v>0.0440643264906368</v>
      </c>
      <c r="T18" s="6" t="s">
        <v>331</v>
      </c>
      <c r="V18" s="27" t="n">
        <v>0.08</v>
      </c>
      <c r="W18" s="27" t="n">
        <v>0.15</v>
      </c>
      <c r="X18" s="27" t="n">
        <v>0.63</v>
      </c>
    </row>
    <row r="19" customFormat="false" ht="15" hidden="false" customHeight="false" outlineLevel="0" collapsed="false">
      <c r="A19" s="6" t="s">
        <v>27</v>
      </c>
      <c r="B19" s="6" t="s">
        <v>365</v>
      </c>
      <c r="C19" s="6" t="s">
        <v>364</v>
      </c>
      <c r="D19" s="19" t="n">
        <v>1.25</v>
      </c>
      <c r="E19" s="21" t="n">
        <v>76.2</v>
      </c>
      <c r="F19" s="21" t="n">
        <v>22</v>
      </c>
      <c r="G19" s="21" t="n">
        <v>6</v>
      </c>
      <c r="H19" s="20" t="n">
        <f aca="false">E19/2-D19/2</f>
        <v>37.475</v>
      </c>
      <c r="I19" s="20" t="n">
        <f aca="false">F19-G19-D19/2</f>
        <v>15.375</v>
      </c>
      <c r="J19" s="9" t="n">
        <f aca="false">PI()*H19^2+PI()*I19^2/(2*SQRT(1-(I19/H19)^2))*LN((1+SQRT(1-(I19/H19)^2))/(1-SQRT(1-(I19/H19)^2)))+2*PI()*H19*G19</f>
        <v>7078.06204795471</v>
      </c>
      <c r="K19" s="28" t="n">
        <f aca="false">SQRT(4*J19/PI())</f>
        <v>94.9319150736204</v>
      </c>
      <c r="L19" s="29" t="n">
        <f aca="false">CEILING(K19,0.5)</f>
        <v>95</v>
      </c>
      <c r="M19" s="28" t="n">
        <f aca="false">2*H19</f>
        <v>74.95</v>
      </c>
      <c r="N19" s="22" t="n">
        <f aca="false">M19/L19</f>
        <v>0.788947368421053</v>
      </c>
      <c r="O19" s="20" t="n">
        <f aca="false">D19/L19*100</f>
        <v>1.31578947368421</v>
      </c>
      <c r="P19" s="20" t="n">
        <f aca="false">INDEX($X$18:$X$23,MATCH(O19,$V$18:$V$23,1))</f>
        <v>0.53</v>
      </c>
      <c r="Q19" s="7" t="str">
        <f aca="false">IF(N19&gt;=P19,"Sí","No: dos embutidos")</f>
        <v>Sí</v>
      </c>
      <c r="R19" s="20" t="n">
        <f aca="false">F19/E19</f>
        <v>0.288713910761155</v>
      </c>
      <c r="S19" s="22" t="n">
        <f aca="false">PI()*L19^2/4*D19*Datos!$B$10/1000000</f>
        <v>0.0697303487526122</v>
      </c>
      <c r="T19" s="6" t="s">
        <v>331</v>
      </c>
      <c r="V19" s="27" t="n">
        <v>0.15</v>
      </c>
      <c r="W19" s="27" t="n">
        <v>0.3</v>
      </c>
      <c r="X19" s="27" t="n">
        <v>0.6</v>
      </c>
    </row>
    <row r="20" customFormat="false" ht="15" hidden="false" customHeight="false" outlineLevel="0" collapsed="false">
      <c r="A20" s="6" t="s">
        <v>29</v>
      </c>
      <c r="B20" s="6" t="s">
        <v>363</v>
      </c>
      <c r="C20" s="6" t="s">
        <v>364</v>
      </c>
      <c r="D20" s="19" t="n">
        <v>1.25</v>
      </c>
      <c r="E20" s="21" t="n">
        <v>124</v>
      </c>
      <c r="F20" s="21" t="n">
        <v>39.5</v>
      </c>
      <c r="G20" s="21" t="n">
        <v>6</v>
      </c>
      <c r="H20" s="20" t="n">
        <f aca="false">E20/2-D20/2</f>
        <v>61.375</v>
      </c>
      <c r="I20" s="20" t="n">
        <f aca="false">F20-G20-D20/2</f>
        <v>32.875</v>
      </c>
      <c r="J20" s="9" t="n">
        <f aca="false">PI()*H20^2+PI()*I20^2/(2*SQRT(1-(I20/H20)^2))*LN((1+SQRT(1-(I20/H20)^2))/(1-SQRT(1-(I20/H20)^2)))+2*PI()*H20*G20</f>
        <v>19119.3818297508</v>
      </c>
      <c r="K20" s="28" t="n">
        <f aca="false">SQRT(4*J20/PI())</f>
        <v>156.024206508252</v>
      </c>
      <c r="L20" s="29" t="n">
        <f aca="false">CEILING(K20,0.5)</f>
        <v>156.5</v>
      </c>
      <c r="M20" s="28" t="n">
        <f aca="false">2*H20</f>
        <v>122.75</v>
      </c>
      <c r="N20" s="22" t="n">
        <f aca="false">M20/L20</f>
        <v>0.784345047923323</v>
      </c>
      <c r="O20" s="20" t="n">
        <f aca="false">D20/L20*100</f>
        <v>0.798722044728434</v>
      </c>
      <c r="P20" s="20" t="n">
        <f aca="false">INDEX($X$18:$X$23,MATCH(O20,$V$18:$V$23,1))</f>
        <v>0.55</v>
      </c>
      <c r="Q20" s="7" t="str">
        <f aca="false">IF(N20&gt;=P20,"Sí","No: dos embutidos")</f>
        <v>Sí</v>
      </c>
      <c r="R20" s="20" t="n">
        <f aca="false">F20/E20</f>
        <v>0.318548387096774</v>
      </c>
      <c r="S20" s="22" t="n">
        <f aca="false">PI()*L20^2/4*D20*Datos!$B$10/1000000</f>
        <v>0.189235804347497</v>
      </c>
      <c r="T20" s="6" t="s">
        <v>333</v>
      </c>
      <c r="V20" s="27" t="n">
        <v>0.3</v>
      </c>
      <c r="W20" s="27" t="n">
        <v>0.6</v>
      </c>
      <c r="X20" s="27" t="n">
        <v>0.58</v>
      </c>
    </row>
    <row r="21" customFormat="false" ht="15" hidden="false" customHeight="false" outlineLevel="0" collapsed="false">
      <c r="A21" s="6" t="s">
        <v>29</v>
      </c>
      <c r="B21" s="6" t="s">
        <v>365</v>
      </c>
      <c r="C21" s="6" t="s">
        <v>366</v>
      </c>
      <c r="D21" s="19" t="n">
        <v>1.25</v>
      </c>
      <c r="E21" s="21" t="n">
        <v>121.5</v>
      </c>
      <c r="F21" s="21" t="n">
        <v>10.5</v>
      </c>
      <c r="G21" s="21" t="n">
        <v>10</v>
      </c>
      <c r="H21" s="20" t="n">
        <f aca="false">E21/2-D21/2</f>
        <v>60.125</v>
      </c>
      <c r="I21" s="20" t="n">
        <f aca="false">F21</f>
        <v>10.5</v>
      </c>
      <c r="J21" s="9" t="n">
        <f aca="false">PI()*H21^4/(6*I21^2)*((1+4*I21^2/H21^2)^1.5-1)+2*PI()*H21*G21</f>
        <v>15474.2939326693</v>
      </c>
      <c r="K21" s="28" t="n">
        <f aca="false">SQRT(4*J21/PI())</f>
        <v>140.365533383128</v>
      </c>
      <c r="L21" s="29" t="n">
        <f aca="false">CEILING(K21,0.5)</f>
        <v>140.5</v>
      </c>
      <c r="M21" s="28" t="n">
        <f aca="false">2*H21</f>
        <v>120.25</v>
      </c>
      <c r="N21" s="22" t="n">
        <f aca="false">M21/L21</f>
        <v>0.855871886120996</v>
      </c>
      <c r="O21" s="20" t="n">
        <f aca="false">D21/L21*100</f>
        <v>0.889679715302491</v>
      </c>
      <c r="P21" s="20" t="n">
        <f aca="false">INDEX($X$18:$X$23,MATCH(O21,$V$18:$V$23,1))</f>
        <v>0.55</v>
      </c>
      <c r="Q21" s="7" t="str">
        <f aca="false">IF(N21&gt;=P21,"Sí","No: dos embutidos")</f>
        <v>Sí</v>
      </c>
      <c r="R21" s="20" t="n">
        <f aca="false">(F21+G21)/E21</f>
        <v>0.168724279835391</v>
      </c>
      <c r="S21" s="22" t="n">
        <f aca="false">PI()*L21^2/4*D21*Datos!$B$10/1000000</f>
        <v>0.152520168084626</v>
      </c>
      <c r="T21" s="6" t="s">
        <v>367</v>
      </c>
      <c r="V21" s="27" t="n">
        <v>0.6</v>
      </c>
      <c r="W21" s="27" t="n">
        <v>1</v>
      </c>
      <c r="X21" s="27" t="n">
        <v>0.55</v>
      </c>
    </row>
    <row r="22" customFormat="false" ht="15" hidden="false" customHeight="false" outlineLevel="0" collapsed="false">
      <c r="A22" s="6" t="s">
        <v>30</v>
      </c>
      <c r="B22" s="6" t="s">
        <v>363</v>
      </c>
      <c r="C22" s="6" t="s">
        <v>364</v>
      </c>
      <c r="D22" s="19" t="n">
        <v>1.6</v>
      </c>
      <c r="E22" s="21" t="n">
        <v>153</v>
      </c>
      <c r="F22" s="21" t="n">
        <v>54.5</v>
      </c>
      <c r="G22" s="21" t="n">
        <v>6</v>
      </c>
      <c r="H22" s="20" t="n">
        <f aca="false">E22/2-D22/2</f>
        <v>75.7</v>
      </c>
      <c r="I22" s="20" t="n">
        <f aca="false">F22-G22-D22/2</f>
        <v>47.7</v>
      </c>
      <c r="J22" s="9" t="n">
        <f aca="false">PI()*H22^2+PI()*I22^2/(2*SQRT(1-(I22/H22)^2))*LN((1+SQRT(1-(I22/H22)^2))/(1-SQRT(1-(I22/H22)^2)))+2*PI()*H22*G22</f>
        <v>30398.0750923347</v>
      </c>
      <c r="K22" s="28" t="n">
        <f aca="false">SQRT(4*J22/PI())</f>
        <v>196.733401565137</v>
      </c>
      <c r="L22" s="29" t="n">
        <f aca="false">CEILING(K22,0.5)</f>
        <v>197</v>
      </c>
      <c r="M22" s="28" t="n">
        <f aca="false">2*H22</f>
        <v>151.4</v>
      </c>
      <c r="N22" s="22" t="n">
        <f aca="false">M22/L22</f>
        <v>0.768527918781726</v>
      </c>
      <c r="O22" s="20" t="n">
        <f aca="false">D22/L22*100</f>
        <v>0.812182741116751</v>
      </c>
      <c r="P22" s="20" t="n">
        <f aca="false">INDEX($X$18:$X$23,MATCH(O22,$V$18:$V$23,1))</f>
        <v>0.55</v>
      </c>
      <c r="Q22" s="7" t="str">
        <f aca="false">IF(N22&gt;=P22,"Sí","No: dos embutidos")</f>
        <v>Sí</v>
      </c>
      <c r="R22" s="20" t="n">
        <f aca="false">F22/E22</f>
        <v>0.356209150326797</v>
      </c>
      <c r="S22" s="22" t="n">
        <f aca="false">PI()*L22^2/4*D22*Datos!$B$10/1000000</f>
        <v>0.383810674134887</v>
      </c>
      <c r="T22" s="6" t="s">
        <v>334</v>
      </c>
      <c r="V22" s="27" t="n">
        <v>1</v>
      </c>
      <c r="W22" s="27" t="n">
        <v>1.5</v>
      </c>
      <c r="X22" s="27" t="n">
        <v>0.53</v>
      </c>
    </row>
    <row r="23" customFormat="false" ht="15" hidden="false" customHeight="false" outlineLevel="0" collapsed="false">
      <c r="A23" s="6" t="s">
        <v>30</v>
      </c>
      <c r="B23" s="6" t="s">
        <v>365</v>
      </c>
      <c r="C23" s="6" t="s">
        <v>366</v>
      </c>
      <c r="D23" s="19" t="n">
        <v>1.6</v>
      </c>
      <c r="E23" s="21" t="n">
        <v>149.8</v>
      </c>
      <c r="F23" s="21" t="n">
        <v>16</v>
      </c>
      <c r="G23" s="21" t="n">
        <v>10</v>
      </c>
      <c r="H23" s="20" t="n">
        <f aca="false">E23/2-D23/2</f>
        <v>74.1</v>
      </c>
      <c r="I23" s="20" t="n">
        <f aca="false">F23</f>
        <v>16</v>
      </c>
      <c r="J23" s="9" t="n">
        <f aca="false">PI()*H23^4/(6*I23^2)*((1+4*I23^2/H23^2)^1.5-1)+2*PI()*H23*G23</f>
        <v>22686.5796264245</v>
      </c>
      <c r="K23" s="28" t="n">
        <f aca="false">SQRT(4*J23/PI())</f>
        <v>169.957201421849</v>
      </c>
      <c r="L23" s="29" t="n">
        <f aca="false">CEILING(K23,0.5)</f>
        <v>170</v>
      </c>
      <c r="M23" s="28" t="n">
        <f aca="false">2*H23</f>
        <v>148.2</v>
      </c>
      <c r="N23" s="22" t="n">
        <f aca="false">M23/L23</f>
        <v>0.871764705882353</v>
      </c>
      <c r="O23" s="20" t="n">
        <f aca="false">D23/L23*100</f>
        <v>0.941176470588235</v>
      </c>
      <c r="P23" s="20" t="n">
        <f aca="false">INDEX($X$18:$X$23,MATCH(O23,$V$18:$V$23,1))</f>
        <v>0.55</v>
      </c>
      <c r="Q23" s="7" t="str">
        <f aca="false">IF(N23&gt;=P23,"Sí","No: dos embutidos")</f>
        <v>Sí</v>
      </c>
      <c r="R23" s="20" t="n">
        <f aca="false">(F23+G23)/E23</f>
        <v>0.173564753004005</v>
      </c>
      <c r="S23" s="22" t="n">
        <f aca="false">PI()*L23^2/4*D23*Datos!$B$10/1000000</f>
        <v>0.285813303164169</v>
      </c>
      <c r="T23" s="6" t="s">
        <v>368</v>
      </c>
      <c r="V23" s="27" t="n">
        <v>1.5</v>
      </c>
      <c r="W23" s="27" t="n">
        <v>2</v>
      </c>
      <c r="X23" s="27" t="n">
        <v>0.5</v>
      </c>
    </row>
    <row r="24" customFormat="false" ht="15" hidden="false" customHeight="false" outlineLevel="0" collapsed="false">
      <c r="A24" s="6" t="s">
        <v>31</v>
      </c>
      <c r="B24" s="6" t="s">
        <v>363</v>
      </c>
      <c r="C24" s="6" t="s">
        <v>364</v>
      </c>
      <c r="D24" s="19" t="n">
        <v>1.6</v>
      </c>
      <c r="E24" s="21" t="n">
        <v>181.5</v>
      </c>
      <c r="F24" s="21" t="n">
        <v>62.5</v>
      </c>
      <c r="G24" s="21" t="n">
        <v>6</v>
      </c>
      <c r="H24" s="20" t="n">
        <f aca="false">E24/2-D24/2</f>
        <v>89.95</v>
      </c>
      <c r="I24" s="20" t="n">
        <f aca="false">F24-G24-D24/2</f>
        <v>55.7</v>
      </c>
      <c r="J24" s="9" t="n">
        <f aca="false">PI()*H24^2+PI()*I24^2/(2*SQRT(1-(I24/H24)^2))*LN((1+SQRT(1-(I24/H24)^2))/(1-SQRT(1-(I24/H24)^2)))+2*PI()*H24*G24</f>
        <v>41952.6317701193</v>
      </c>
      <c r="K24" s="28" t="n">
        <f aca="false">SQRT(4*J24/PI())</f>
        <v>231.118475625443</v>
      </c>
      <c r="L24" s="29" t="n">
        <f aca="false">CEILING(K24,0.5)</f>
        <v>231.5</v>
      </c>
      <c r="M24" s="28" t="n">
        <f aca="false">2*H24</f>
        <v>179.9</v>
      </c>
      <c r="N24" s="22" t="n">
        <f aca="false">M24/L24</f>
        <v>0.777105831533477</v>
      </c>
      <c r="O24" s="20" t="n">
        <f aca="false">D24/L24*100</f>
        <v>0.691144708423326</v>
      </c>
      <c r="P24" s="20" t="n">
        <f aca="false">INDEX($X$18:$X$23,MATCH(O24,$V$18:$V$23,1))</f>
        <v>0.55</v>
      </c>
      <c r="Q24" s="7" t="str">
        <f aca="false">IF(N24&gt;=P24,"Sí","No: dos embutidos")</f>
        <v>Sí</v>
      </c>
      <c r="R24" s="20" t="n">
        <f aca="false">F24/E24</f>
        <v>0.34435261707989</v>
      </c>
      <c r="S24" s="22" t="n">
        <f aca="false">PI()*L24^2/4*D24*Datos!$B$10/1000000</f>
        <v>0.530013079463666</v>
      </c>
      <c r="T24" s="6" t="s">
        <v>335</v>
      </c>
      <c r="V24" s="2" t="s">
        <v>369</v>
      </c>
    </row>
    <row r="25" customFormat="false" ht="15" hidden="false" customHeight="false" outlineLevel="0" collapsed="false">
      <c r="A25" s="6" t="s">
        <v>31</v>
      </c>
      <c r="B25" s="6" t="s">
        <v>365</v>
      </c>
      <c r="C25" s="6" t="s">
        <v>366</v>
      </c>
      <c r="D25" s="19" t="n">
        <v>2</v>
      </c>
      <c r="E25" s="21" t="n">
        <v>177.5</v>
      </c>
      <c r="F25" s="21" t="n">
        <v>11.7</v>
      </c>
      <c r="G25" s="21" t="n">
        <v>10</v>
      </c>
      <c r="H25" s="20" t="n">
        <f aca="false">E25/2-D25/2</f>
        <v>87.75</v>
      </c>
      <c r="I25" s="20" t="n">
        <f aca="false">F25</f>
        <v>11.7</v>
      </c>
      <c r="J25" s="9" t="n">
        <f aca="false">PI()*H25^4/(6*I25^2)*((1+4*I25^2/H25^2)^1.5-1)+2*PI()*H25*G25</f>
        <v>30129.0418646174</v>
      </c>
      <c r="K25" s="28" t="n">
        <f aca="false">SQRT(4*J25/PI())</f>
        <v>195.860888252382</v>
      </c>
      <c r="L25" s="29" t="n">
        <f aca="false">CEILING(K25,0.5)</f>
        <v>196</v>
      </c>
      <c r="M25" s="28" t="n">
        <f aca="false">2*H25</f>
        <v>175.5</v>
      </c>
      <c r="N25" s="22" t="n">
        <f aca="false">M25/L25</f>
        <v>0.895408163265306</v>
      </c>
      <c r="O25" s="20" t="n">
        <f aca="false">D25/L25*100</f>
        <v>1.02040816326531</v>
      </c>
      <c r="P25" s="20" t="n">
        <f aca="false">INDEX($X$18:$X$23,MATCH(O25,$V$18:$V$23,1))</f>
        <v>0.53</v>
      </c>
      <c r="Q25" s="7" t="str">
        <f aca="false">IF(N25&gt;=P25,"Sí","No: dos embutidos")</f>
        <v>Sí</v>
      </c>
      <c r="R25" s="20" t="n">
        <f aca="false">(F25+G25)/E25</f>
        <v>0.122253521126761</v>
      </c>
      <c r="S25" s="22" t="n">
        <f aca="false">PI()*L25^2/4*D25*Datos!$B$10/1000000</f>
        <v>0.474905011001502</v>
      </c>
      <c r="T25" s="6" t="s">
        <v>370</v>
      </c>
    </row>
    <row r="27" customFormat="false" ht="15" hidden="false" customHeight="false" outlineLevel="0" collapsed="false">
      <c r="A27" s="8" t="s">
        <v>371</v>
      </c>
    </row>
    <row r="28" customFormat="false" ht="15" hidden="false" customHeight="false" outlineLevel="0" collapsed="false">
      <c r="A28" s="2" t="s">
        <v>372</v>
      </c>
    </row>
    <row r="29" customFormat="false" ht="15" hidden="false" customHeight="false" outlineLevel="0" collapsed="false">
      <c r="A29" s="2" t="s">
        <v>373</v>
      </c>
    </row>
    <row r="30" customFormat="false" ht="15" hidden="false" customHeight="false" outlineLevel="0" collapsed="false">
      <c r="A30" s="2" t="s">
        <v>374</v>
      </c>
    </row>
    <row r="31" customFormat="false" ht="15" hidden="false" customHeight="false" outlineLevel="0" collapsed="false">
      <c r="A31" s="2" t="s">
        <v>375</v>
      </c>
    </row>
    <row r="32" customFormat="false" ht="15" hidden="false" customHeight="false" outlineLevel="0" collapsed="false">
      <c r="A32" s="2" t="s">
        <v>376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F1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5" min="2" style="0" width="9"/>
    <col collapsed="false" customWidth="true" hidden="false" outlineLevel="0" max="6" min="6" style="0" width="8"/>
    <col collapsed="false" customWidth="true" hidden="false" outlineLevel="0" max="7" min="7" style="0" width="9"/>
    <col collapsed="false" customWidth="true" hidden="false" outlineLevel="0" max="10" min="8" style="0" width="8"/>
    <col collapsed="false" customWidth="true" hidden="false" outlineLevel="0" max="13" min="11" style="0" width="9"/>
    <col collapsed="false" customWidth="true" hidden="false" outlineLevel="0" max="20" min="14" style="0" width="8"/>
    <col collapsed="false" customWidth="true" hidden="false" outlineLevel="0" max="21" min="21" style="0" width="7"/>
    <col collapsed="false" customWidth="true" hidden="false" outlineLevel="0" max="24" min="22" style="0" width="9"/>
    <col collapsed="false" customWidth="true" hidden="false" outlineLevel="0" max="25" min="25" style="0" width="34"/>
    <col collapsed="false" customWidth="true" hidden="false" outlineLevel="0" max="26" min="26" style="0" width="2"/>
    <col collapsed="false" customWidth="true" hidden="false" outlineLevel="0" max="32" min="27" style="0" width="9"/>
  </cols>
  <sheetData>
    <row r="1" customFormat="false" ht="15" hidden="false" customHeight="false" outlineLevel="0" collapsed="false">
      <c r="A1" s="1" t="s">
        <v>377</v>
      </c>
    </row>
    <row r="2" customFormat="false" ht="15" hidden="false" customHeight="false" outlineLevel="0" collapsed="false">
      <c r="A2" s="2" t="s">
        <v>378</v>
      </c>
    </row>
    <row r="4" customFormat="false" ht="15" hidden="false" customHeight="false" outlineLevel="0" collapsed="false">
      <c r="A4" s="8" t="s">
        <v>379</v>
      </c>
    </row>
    <row r="5" customFormat="false" ht="46.25" hidden="false" customHeight="false" outlineLevel="0" collapsed="false">
      <c r="A5" s="3" t="s">
        <v>15</v>
      </c>
      <c r="B5" s="3" t="s">
        <v>380</v>
      </c>
      <c r="C5" s="3" t="s">
        <v>381</v>
      </c>
      <c r="D5" s="3" t="s">
        <v>382</v>
      </c>
      <c r="E5" s="3" t="s">
        <v>383</v>
      </c>
      <c r="F5" s="3" t="s">
        <v>384</v>
      </c>
      <c r="G5" s="3" t="s">
        <v>385</v>
      </c>
      <c r="H5" s="3" t="s">
        <v>386</v>
      </c>
      <c r="I5" s="3" t="s">
        <v>387</v>
      </c>
      <c r="J5" s="3" t="s">
        <v>388</v>
      </c>
      <c r="K5" s="3" t="s">
        <v>389</v>
      </c>
      <c r="L5" s="3" t="s">
        <v>390</v>
      </c>
      <c r="M5" s="3" t="s">
        <v>391</v>
      </c>
      <c r="N5" s="3" t="s">
        <v>392</v>
      </c>
      <c r="O5" s="3" t="s">
        <v>393</v>
      </c>
      <c r="P5" s="3" t="s">
        <v>394</v>
      </c>
      <c r="Q5" s="3" t="s">
        <v>395</v>
      </c>
      <c r="R5" s="3" t="s">
        <v>396</v>
      </c>
      <c r="S5" s="3" t="s">
        <v>397</v>
      </c>
      <c r="T5" s="3" t="s">
        <v>398</v>
      </c>
      <c r="U5" s="3" t="s">
        <v>399</v>
      </c>
      <c r="V5" s="3" t="s">
        <v>400</v>
      </c>
      <c r="W5" s="3" t="s">
        <v>401</v>
      </c>
      <c r="X5" s="3" t="s">
        <v>402</v>
      </c>
      <c r="Y5" s="3" t="s">
        <v>403</v>
      </c>
      <c r="AA5" s="3" t="s">
        <v>404</v>
      </c>
      <c r="AB5" s="3" t="s">
        <v>405</v>
      </c>
      <c r="AC5" s="3" t="s">
        <v>406</v>
      </c>
      <c r="AD5" s="3" t="s">
        <v>407</v>
      </c>
      <c r="AE5" s="3" t="s">
        <v>408</v>
      </c>
      <c r="AF5" s="3" t="s">
        <v>409</v>
      </c>
    </row>
    <row r="6" customFormat="false" ht="15" hidden="false" customHeight="false" outlineLevel="0" collapsed="false">
      <c r="A6" s="6" t="s">
        <v>27</v>
      </c>
      <c r="B6" s="18" t="n">
        <v>1220</v>
      </c>
      <c r="C6" s="18" t="n">
        <v>2440</v>
      </c>
      <c r="D6" s="9" t="n">
        <f aca="false">IF(AE6&gt;AF6,1,IF(AF6&gt;AE6,2,IF(INT(C6/Piezas!$F$6)&lt;=INT(C6/Piezas!$G$6),1,2)))</f>
        <v>1</v>
      </c>
      <c r="E6" s="28" t="n">
        <f aca="false">IF(D6=1,Piezas!$F$6,Piezas!$G$6)</f>
        <v>263.5</v>
      </c>
      <c r="F6" s="9" t="n">
        <f aca="false">INT(C6/E6)</f>
        <v>9</v>
      </c>
      <c r="G6" s="28" t="n">
        <f aca="false">IF(D6=1,Piezas!$G$6,Piezas!$F$6)</f>
        <v>236.5</v>
      </c>
      <c r="H6" s="9" t="n">
        <f aca="false">INT(B6/G6)</f>
        <v>5</v>
      </c>
      <c r="I6" s="11" t="n">
        <f aca="false">F6*H6</f>
        <v>45</v>
      </c>
      <c r="J6" s="10" t="n">
        <f aca="false">I6*Piezas!$F$6*Piezas!$G$6/(B6*C6)</f>
        <v>0.942051447863478</v>
      </c>
      <c r="K6" s="30" t="n">
        <f aca="false">E6*B6*Piezas!$E$6*Datos!$B$10/1000000</f>
        <v>2.27697201</v>
      </c>
      <c r="L6" s="28" t="n">
        <f aca="false">IF(G6&lt;=Datos!$B$37,G6,B6-H6*G6)</f>
        <v>236.5</v>
      </c>
      <c r="M6" s="9" t="n">
        <f aca="false">INT(Datos!$B$36/E6)</f>
        <v>9</v>
      </c>
      <c r="N6" s="9" t="n">
        <f aca="false">MATCH(MIN(AA6:AD6),AA6:AD6,0)</f>
        <v>1</v>
      </c>
      <c r="O6" s="9" t="n">
        <f aca="false">ROUND(INDEX(AA6:AD6,N6)*N6,0)</f>
        <v>1</v>
      </c>
      <c r="P6" s="9" t="n">
        <f aca="false">IF(C6-F6*E6&gt;0.001,F6,F6-1)</f>
        <v>9</v>
      </c>
      <c r="Q6" s="9" t="n">
        <f aca="false">IF(G6&lt;=Datos!$B$37,IF(B6-H6*G6&gt;0.001,H6,H6-1),1)</f>
        <v>5</v>
      </c>
      <c r="R6" s="20" t="n">
        <f aca="false">Q6*O6/N6</f>
        <v>5</v>
      </c>
      <c r="S6" s="20" t="n">
        <f aca="false">P6/Datos!$B$32</f>
        <v>0.45</v>
      </c>
      <c r="T6" s="20" t="n">
        <f aca="false">R6/Datos!$B$35</f>
        <v>0.25</v>
      </c>
      <c r="U6" s="31" t="str">
        <f aca="false">IF(S6&gt;=T6,"G1","G2")</f>
        <v>G1</v>
      </c>
      <c r="V6" s="9" t="n">
        <f aca="false">I6*60/MAX(S6,T6)</f>
        <v>6000</v>
      </c>
      <c r="W6" s="30" t="n">
        <f aca="false">B6*C6*Piezas!$E$6*Datos!$B$10/1000000</f>
        <v>21.0846744</v>
      </c>
      <c r="X6" s="20" t="n">
        <f aca="false">W6*INDEX(Datos!$C$95:$C$100,MATCH(Piezas!$E$6,Datos!$A$95:$A$100,0))</f>
        <v>28.59292695384</v>
      </c>
      <c r="Y6" s="7" t="str">
        <f aca="false">IF(I6=0,"No entra ninguna pieza",IF(B6&gt;Datos!$B$33,"Hoja más ancha que la cuchilla de G1",IF(E6&gt;Datos!$B$34,"Franja mayor que el tope de G1",IF(L6&gt;Datos!$B$37,"2.º corte mayor que el tope de G2",IF(M6&lt;1,"La franja no entra en G2","OK")))))</f>
        <v>OK</v>
      </c>
      <c r="AA6" s="20" t="n">
        <f aca="false">IFERROR(IF(1&gt;Datos!$B$38,1000000000,CEILING(1*F6/M6,1)/1),1000000000)</f>
        <v>1</v>
      </c>
      <c r="AB6" s="20" t="n">
        <f aca="false">IFERROR(IF(2&gt;Datos!$B$38,1000000000,CEILING(2*F6/M6,1)/2),1000000000)</f>
        <v>1</v>
      </c>
      <c r="AC6" s="20" t="n">
        <f aca="false">IFERROR(IF(3&gt;Datos!$B$38,1000000000,CEILING(3*F6/M6,1)/3),1000000000)</f>
        <v>1</v>
      </c>
      <c r="AD6" s="20" t="n">
        <f aca="false">IFERROR(IF(4&gt;Datos!$B$38,1000000000,CEILING(4*F6/M6,1)/4),1000000000)</f>
        <v>1</v>
      </c>
      <c r="AE6" s="9" t="n">
        <f aca="false">IF(AND(Piezas!$F$6&lt;=Datos!$B$34,Piezas!$F$6&lt;=Datos!$B$36,B6&lt;=Datos!$B$33,OR(Piezas!$G$6&lt;=Datos!$B$37,AND(INT(B6/Piezas!$G$6)=1,B6-Piezas!$G$6&lt;=Datos!$B$37))),INT(C6/Piezas!$F$6)*INT(B6/Piezas!$G$6),0)</f>
        <v>45</v>
      </c>
      <c r="AF6" s="9" t="n">
        <f aca="false">IF(AND(Piezas!$G$6&lt;=Datos!$B$34,Piezas!$G$6&lt;=Datos!$B$36,B6&lt;=Datos!$B$33,OR(Piezas!$F$6&lt;=Datos!$B$37,AND(INT(B6/Piezas!$F$6)=1,B6-Piezas!$F$6&lt;=Datos!$B$37))),INT(C6/Piezas!$G$6)*INT(B6/Piezas!$F$6),0)</f>
        <v>40</v>
      </c>
    </row>
    <row r="7" customFormat="false" ht="15" hidden="false" customHeight="false" outlineLevel="0" collapsed="false">
      <c r="A7" s="6" t="s">
        <v>29</v>
      </c>
      <c r="B7" s="18" t="n">
        <v>1220</v>
      </c>
      <c r="C7" s="18" t="n">
        <v>2440</v>
      </c>
      <c r="D7" s="9" t="n">
        <f aca="false">IF(AE7&gt;AF7,1,IF(AF7&gt;AE7,2,IF(INT(C7/Piezas!$F$7)&lt;=INT(C7/Piezas!$G$7),1,2)))</f>
        <v>1</v>
      </c>
      <c r="E7" s="28" t="n">
        <f aca="false">IF(D7=1,Piezas!$F$7,Piezas!$G$7)</f>
        <v>267.5</v>
      </c>
      <c r="F7" s="9" t="n">
        <f aca="false">INT(C7/E7)</f>
        <v>9</v>
      </c>
      <c r="G7" s="28" t="n">
        <f aca="false">IF(D7=1,Piezas!$G$7,Piezas!$F$7)</f>
        <v>385.5</v>
      </c>
      <c r="H7" s="9" t="n">
        <f aca="false">INT(B7/G7)</f>
        <v>3</v>
      </c>
      <c r="I7" s="11" t="n">
        <f aca="false">F7*H7</f>
        <v>27</v>
      </c>
      <c r="J7" s="10" t="n">
        <f aca="false">I7*Piezas!$F$7*Piezas!$G$7/(B7*C7)</f>
        <v>0.935324425557646</v>
      </c>
      <c r="K7" s="30" t="n">
        <f aca="false">E7*B7*Piezas!$E$7*Datos!$B$10/1000000</f>
        <v>3.210468125</v>
      </c>
      <c r="L7" s="28" t="n">
        <f aca="false">IF(G7&lt;=Datos!$B$37,G7,B7-H7*G7)</f>
        <v>385.5</v>
      </c>
      <c r="M7" s="9" t="n">
        <f aca="false">INT(Datos!$B$36/E7)</f>
        <v>9</v>
      </c>
      <c r="N7" s="9" t="n">
        <f aca="false">MATCH(MIN(AA7:AD7),AA7:AD7,0)</f>
        <v>1</v>
      </c>
      <c r="O7" s="9" t="n">
        <f aca="false">ROUND(INDEX(AA7:AD7,N7)*N7,0)</f>
        <v>1</v>
      </c>
      <c r="P7" s="9" t="n">
        <f aca="false">IF(C7-F7*E7&gt;0.001,F7,F7-1)</f>
        <v>9</v>
      </c>
      <c r="Q7" s="9" t="n">
        <f aca="false">IF(G7&lt;=Datos!$B$37,IF(B7-H7*G7&gt;0.001,H7,H7-1),1)</f>
        <v>3</v>
      </c>
      <c r="R7" s="20" t="n">
        <f aca="false">Q7*O7/N7</f>
        <v>3</v>
      </c>
      <c r="S7" s="20" t="n">
        <f aca="false">P7/Datos!$B$32</f>
        <v>0.45</v>
      </c>
      <c r="T7" s="20" t="n">
        <f aca="false">R7/Datos!$B$35</f>
        <v>0.15</v>
      </c>
      <c r="U7" s="31" t="str">
        <f aca="false">IF(S7&gt;=T7,"G1","G2")</f>
        <v>G1</v>
      </c>
      <c r="V7" s="9" t="n">
        <f aca="false">I7*60/MAX(S7,T7)</f>
        <v>3600</v>
      </c>
      <c r="W7" s="30" t="n">
        <f aca="false">B7*C7*Piezas!$E$7*Datos!$B$10/1000000</f>
        <v>29.28427</v>
      </c>
      <c r="X7" s="20" t="n">
        <f aca="false">W7*INDEX(Datos!$C$95:$C$100,MATCH(Piezas!$E$7,Datos!$A$95:$A$100,0))</f>
        <v>37.7854272412298</v>
      </c>
      <c r="Y7" s="7" t="str">
        <f aca="false">IF(I7=0,"No entra ninguna pieza",IF(B7&gt;Datos!$B$33,"Hoja más ancha que la cuchilla de G1",IF(E7&gt;Datos!$B$34,"Franja mayor que el tope de G1",IF(L7&gt;Datos!$B$37,"2.º corte mayor que el tope de G2",IF(M7&lt;1,"La franja no entra en G2","OK")))))</f>
        <v>OK</v>
      </c>
      <c r="AA7" s="20" t="n">
        <f aca="false">IFERROR(IF(1&gt;Datos!$B$38,1000000000,CEILING(1*F7/M7,1)/1),1000000000)</f>
        <v>1</v>
      </c>
      <c r="AB7" s="20" t="n">
        <f aca="false">IFERROR(IF(2&gt;Datos!$B$38,1000000000,CEILING(2*F7/M7,1)/2),1000000000)</f>
        <v>1</v>
      </c>
      <c r="AC7" s="20" t="n">
        <f aca="false">IFERROR(IF(3&gt;Datos!$B$38,1000000000,CEILING(3*F7/M7,1)/3),1000000000)</f>
        <v>1</v>
      </c>
      <c r="AD7" s="20" t="n">
        <f aca="false">IFERROR(IF(4&gt;Datos!$B$38,1000000000,CEILING(4*F7/M7,1)/4),1000000000)</f>
        <v>1</v>
      </c>
      <c r="AE7" s="9" t="n">
        <f aca="false">IF(AND(Piezas!$F$7&lt;=Datos!$B$34,Piezas!$F$7&lt;=Datos!$B$36,B7&lt;=Datos!$B$33,OR(Piezas!$G$7&lt;=Datos!$B$37,AND(INT(B7/Piezas!$G$7)=1,B7-Piezas!$G$7&lt;=Datos!$B$37))),INT(C7/Piezas!$F$7)*INT(B7/Piezas!$G$7),0)</f>
        <v>27</v>
      </c>
      <c r="AF7" s="9" t="n">
        <f aca="false">IF(AND(Piezas!$G$7&lt;=Datos!$B$34,Piezas!$G$7&lt;=Datos!$B$36,B7&lt;=Datos!$B$33,OR(Piezas!$F$7&lt;=Datos!$B$37,AND(INT(B7/Piezas!$F$7)=1,B7-Piezas!$F$7&lt;=Datos!$B$37))),INT(C7/Piezas!$G$7)*INT(B7/Piezas!$F$7),0)</f>
        <v>24</v>
      </c>
    </row>
    <row r="8" customFormat="false" ht="15" hidden="false" customHeight="false" outlineLevel="0" collapsed="false">
      <c r="A8" s="6" t="s">
        <v>30</v>
      </c>
      <c r="B8" s="18" t="n">
        <v>1000</v>
      </c>
      <c r="C8" s="18" t="n">
        <v>2000</v>
      </c>
      <c r="D8" s="9" t="n">
        <f aca="false">IF(AE8&gt;AF8,1,IF(AF8&gt;AE8,2,IF(INT(C8/Piezas!$F$8)&lt;=INT(C8/Piezas!$G$8),1,2)))</f>
        <v>2</v>
      </c>
      <c r="E8" s="28" t="n">
        <f aca="false">IF(D8=1,Piezas!$F$8,Piezas!$G$8)</f>
        <v>475.5</v>
      </c>
      <c r="F8" s="9" t="n">
        <f aca="false">INT(C8/E8)</f>
        <v>4</v>
      </c>
      <c r="G8" s="28" t="n">
        <f aca="false">IF(D8=1,Piezas!$G$8,Piezas!$F$8)</f>
        <v>327.5</v>
      </c>
      <c r="H8" s="9" t="n">
        <f aca="false">INT(B8/G8)</f>
        <v>3</v>
      </c>
      <c r="I8" s="11" t="n">
        <f aca="false">F8*H8</f>
        <v>12</v>
      </c>
      <c r="J8" s="10" t="n">
        <f aca="false">I8*Piezas!$F$8*Piezas!$G$8/(B8*C8)</f>
        <v>0.9343575</v>
      </c>
      <c r="K8" s="30" t="n">
        <f aca="false">E8*B8*Piezas!$E$8*Datos!$B$10/1000000</f>
        <v>5.987496</v>
      </c>
      <c r="L8" s="28" t="n">
        <f aca="false">IF(G8&lt;=Datos!$B$37,G8,B8-H8*G8)</f>
        <v>327.5</v>
      </c>
      <c r="M8" s="9" t="n">
        <f aca="false">INT(Datos!$B$36/E8)</f>
        <v>5</v>
      </c>
      <c r="N8" s="9" t="n">
        <f aca="false">MATCH(MIN(AA8:AD8),AA8:AD8,0)</f>
        <v>1</v>
      </c>
      <c r="O8" s="9" t="n">
        <f aca="false">ROUND(INDEX(AA8:AD8,N8)*N8,0)</f>
        <v>1</v>
      </c>
      <c r="P8" s="9" t="n">
        <f aca="false">IF(C8-F8*E8&gt;0.001,F8,F8-1)</f>
        <v>4</v>
      </c>
      <c r="Q8" s="9" t="n">
        <f aca="false">IF(G8&lt;=Datos!$B$37,IF(B8-H8*G8&gt;0.001,H8,H8-1),1)</f>
        <v>3</v>
      </c>
      <c r="R8" s="20" t="n">
        <f aca="false">Q8*O8/N8</f>
        <v>3</v>
      </c>
      <c r="S8" s="20" t="n">
        <f aca="false">P8/Datos!$B$32</f>
        <v>0.2</v>
      </c>
      <c r="T8" s="20" t="n">
        <f aca="false">R8/Datos!$B$35</f>
        <v>0.15</v>
      </c>
      <c r="U8" s="31" t="str">
        <f aca="false">IF(S8&gt;=T8,"G1","G2")</f>
        <v>G1</v>
      </c>
      <c r="V8" s="9" t="n">
        <f aca="false">I8*60/MAX(S8,T8)</f>
        <v>3600</v>
      </c>
      <c r="W8" s="30" t="n">
        <f aca="false">B8*C8*Piezas!$E$8*Datos!$B$10/1000000</f>
        <v>25.184</v>
      </c>
      <c r="X8" s="20" t="n">
        <f aca="false">W8*INDEX(Datos!$C$95:$C$100,MATCH(Piezas!$E$8,Datos!$A$95:$A$100,0))</f>
        <v>33.4322897605178</v>
      </c>
      <c r="Y8" s="7" t="str">
        <f aca="false">IF(I8=0,"No entra ninguna pieza",IF(B8&gt;Datos!$B$33,"Hoja más ancha que la cuchilla de G1",IF(E8&gt;Datos!$B$34,"Franja mayor que el tope de G1",IF(L8&gt;Datos!$B$37,"2.º corte mayor que el tope de G2",IF(M8&lt;1,"La franja no entra en G2","OK")))))</f>
        <v>OK</v>
      </c>
      <c r="AA8" s="20" t="n">
        <f aca="false">IFERROR(IF(1&gt;Datos!$B$38,1000000000,CEILING(1*F8/M8,1)/1),1000000000)</f>
        <v>1</v>
      </c>
      <c r="AB8" s="20" t="n">
        <f aca="false">IFERROR(IF(2&gt;Datos!$B$38,1000000000,CEILING(2*F8/M8,1)/2),1000000000)</f>
        <v>1</v>
      </c>
      <c r="AC8" s="20" t="n">
        <f aca="false">IFERROR(IF(3&gt;Datos!$B$38,1000000000,CEILING(3*F8/M8,1)/3),1000000000)</f>
        <v>1</v>
      </c>
      <c r="AD8" s="20" t="n">
        <f aca="false">IFERROR(IF(4&gt;Datos!$B$38,1000000000,CEILING(4*F8/M8,1)/4),1000000000)</f>
        <v>1</v>
      </c>
      <c r="AE8" s="9" t="n">
        <f aca="false">IF(AND(Piezas!$F$8&lt;=Datos!$B$34,Piezas!$F$8&lt;=Datos!$B$36,B8&lt;=Datos!$B$33,OR(Piezas!$G$8&lt;=Datos!$B$37,AND(INT(B8/Piezas!$G$8)=1,B8-Piezas!$G$8&lt;=Datos!$B$37))),INT(C8/Piezas!$F$8)*INT(B8/Piezas!$G$8),0)</f>
        <v>12</v>
      </c>
      <c r="AF8" s="9" t="n">
        <f aca="false">IF(AND(Piezas!$G$8&lt;=Datos!$B$34,Piezas!$G$8&lt;=Datos!$B$36,B8&lt;=Datos!$B$33,OR(Piezas!$F$8&lt;=Datos!$B$37,AND(INT(B8/Piezas!$F$8)=1,B8-Piezas!$F$8&lt;=Datos!$B$37))),INT(C8/Piezas!$G$8)*INT(B8/Piezas!$F$8),0)</f>
        <v>12</v>
      </c>
    </row>
    <row r="9" customFormat="false" ht="15" hidden="false" customHeight="false" outlineLevel="0" collapsed="false">
      <c r="A9" s="6" t="s">
        <v>31</v>
      </c>
      <c r="B9" s="18" t="n">
        <v>1500</v>
      </c>
      <c r="C9" s="18" t="n">
        <v>3000</v>
      </c>
      <c r="D9" s="9" t="n">
        <f aca="false">IF(AE9&gt;AF9,1,IF(AF9&gt;AE9,2,IF(INT(C9/Piezas!$F$9)&lt;=INT(C9/Piezas!$G$9),1,2)))</f>
        <v>2</v>
      </c>
      <c r="E9" s="28" t="n">
        <f aca="false">IF(D9=1,Piezas!$F$9,Piezas!$G$9)</f>
        <v>564</v>
      </c>
      <c r="F9" s="9" t="n">
        <f aca="false">INT(C9/E9)</f>
        <v>5</v>
      </c>
      <c r="G9" s="28" t="n">
        <f aca="false">IF(D9=1,Piezas!$G$9,Piezas!$F$9)</f>
        <v>493</v>
      </c>
      <c r="H9" s="9" t="n">
        <f aca="false">INT(B9/G9)</f>
        <v>3</v>
      </c>
      <c r="I9" s="11" t="n">
        <f aca="false">F9*H9</f>
        <v>15</v>
      </c>
      <c r="J9" s="10" t="n">
        <f aca="false">I9*Piezas!$F$9*Piezas!$G$9/(B9*C9)</f>
        <v>0.92684</v>
      </c>
      <c r="K9" s="30" t="n">
        <f aca="false">E9*B9*Piezas!$E$9*Datos!$B$10/1000000</f>
        <v>13.31604</v>
      </c>
      <c r="L9" s="28" t="n">
        <f aca="false">IF(G9&lt;=Datos!$B$37,G9,B9-H9*G9)</f>
        <v>493</v>
      </c>
      <c r="M9" s="9" t="n">
        <f aca="false">INT(Datos!$B$36/E9)</f>
        <v>4</v>
      </c>
      <c r="N9" s="9" t="n">
        <f aca="false">MATCH(MIN(AA9:AD9),AA9:AD9,0)</f>
        <v>4</v>
      </c>
      <c r="O9" s="9" t="n">
        <f aca="false">ROUND(INDEX(AA9:AD9,N9)*N9,0)</f>
        <v>5</v>
      </c>
      <c r="P9" s="9" t="n">
        <f aca="false">IF(C9-F9*E9&gt;0.001,F9,F9-1)</f>
        <v>5</v>
      </c>
      <c r="Q9" s="9" t="n">
        <f aca="false">IF(G9&lt;=Datos!$B$37,IF(B9-H9*G9&gt;0.001,H9,H9-1),1)</f>
        <v>3</v>
      </c>
      <c r="R9" s="20" t="n">
        <f aca="false">Q9*O9/N9</f>
        <v>3.75</v>
      </c>
      <c r="S9" s="20" t="n">
        <f aca="false">P9/Datos!$B$32</f>
        <v>0.25</v>
      </c>
      <c r="T9" s="20" t="n">
        <f aca="false">R9/Datos!$B$35</f>
        <v>0.1875</v>
      </c>
      <c r="U9" s="31" t="str">
        <f aca="false">IF(S9&gt;=T9,"G1","G2")</f>
        <v>G1</v>
      </c>
      <c r="V9" s="9" t="n">
        <f aca="false">I9*60/MAX(S9,T9)</f>
        <v>3600</v>
      </c>
      <c r="W9" s="30" t="n">
        <f aca="false">B9*C9*Piezas!$E$9*Datos!$B$10/1000000</f>
        <v>70.83</v>
      </c>
      <c r="X9" s="20" t="n">
        <f aca="false">W9*INDEX(Datos!$C$95:$C$100,MATCH(Piezas!$E$9,Datos!$A$95:$A$100,0))</f>
        <v>90.6908236893204</v>
      </c>
      <c r="Y9" s="7" t="str">
        <f aca="false">IF(I9=0,"No entra ninguna pieza",IF(B9&gt;Datos!$B$33,"Hoja más ancha que la cuchilla de G1",IF(E9&gt;Datos!$B$34,"Franja mayor que el tope de G1",IF(L9&gt;Datos!$B$37,"2.º corte mayor que el tope de G2",IF(M9&lt;1,"La franja no entra en G2","OK")))))</f>
        <v>OK</v>
      </c>
      <c r="AA9" s="20" t="n">
        <f aca="false">IFERROR(IF(1&gt;Datos!$B$38,1000000000,CEILING(1*F9/M9,1)/1),1000000000)</f>
        <v>2</v>
      </c>
      <c r="AB9" s="20" t="n">
        <f aca="false">IFERROR(IF(2&gt;Datos!$B$38,1000000000,CEILING(2*F9/M9,1)/2),1000000000)</f>
        <v>1.5</v>
      </c>
      <c r="AC9" s="20" t="n">
        <f aca="false">IFERROR(IF(3&gt;Datos!$B$38,1000000000,CEILING(3*F9/M9,1)/3),1000000000)</f>
        <v>1.33333333333333</v>
      </c>
      <c r="AD9" s="20" t="n">
        <f aca="false">IFERROR(IF(4&gt;Datos!$B$38,1000000000,CEILING(4*F9/M9,1)/4),1000000000)</f>
        <v>1.25</v>
      </c>
      <c r="AE9" s="9" t="n">
        <f aca="false">IF(AND(Piezas!$F$9&lt;=Datos!$B$34,Piezas!$F$9&lt;=Datos!$B$36,B9&lt;=Datos!$B$33,OR(Piezas!$G$9&lt;=Datos!$B$37,AND(INT(B9/Piezas!$G$9)=1,B9-Piezas!$G$9&lt;=Datos!$B$37))),INT(C9/Piezas!$F$9)*INT(B9/Piezas!$G$9),0)</f>
        <v>12</v>
      </c>
      <c r="AF9" s="9" t="n">
        <f aca="false">IF(AND(Piezas!$G$9&lt;=Datos!$B$34,Piezas!$G$9&lt;=Datos!$B$36,B9&lt;=Datos!$B$33,OR(Piezas!$F$9&lt;=Datos!$B$37,AND(INT(B9/Piezas!$F$9)=1,B9-Piezas!$F$9&lt;=Datos!$B$37))),INT(C9/Piezas!$G$9)*INT(B9/Piezas!$F$9),0)</f>
        <v>15</v>
      </c>
    </row>
    <row r="10" customFormat="false" ht="15" hidden="false" customHeight="false" outlineLevel="0" collapsed="false">
      <c r="A10" s="6" t="s">
        <v>32</v>
      </c>
      <c r="B10" s="18" t="n">
        <v>1500</v>
      </c>
      <c r="C10" s="18" t="n">
        <v>3000</v>
      </c>
      <c r="D10" s="9" t="n">
        <f aca="false">IF(AE10&gt;AF10,1,IF(AF10&gt;AE10,2,IF(INT(C10/Piezas!$F$10)&lt;=INT(C10/Piezas!$G$10),1,2)))</f>
        <v>2</v>
      </c>
      <c r="E10" s="28" t="n">
        <f aca="false">IF(D10=1,Piezas!$F$10,Piezas!$G$10)</f>
        <v>858.5</v>
      </c>
      <c r="F10" s="9" t="n">
        <f aca="false">INT(C10/E10)</f>
        <v>3</v>
      </c>
      <c r="G10" s="28" t="n">
        <f aca="false">IF(D10=1,Piezas!$G$10,Piezas!$F$10)</f>
        <v>493</v>
      </c>
      <c r="H10" s="9" t="n">
        <f aca="false">INT(B10/G10)</f>
        <v>3</v>
      </c>
      <c r="I10" s="11" t="n">
        <f aca="false">F10*H10</f>
        <v>9</v>
      </c>
      <c r="J10" s="10" t="n">
        <f aca="false">I10*Piezas!$F$10*Piezas!$G$10/(B10*C10)</f>
        <v>0.846481</v>
      </c>
      <c r="K10" s="30" t="n">
        <f aca="false">E10*B10*Piezas!$E$10*Datos!$B$10/1000000</f>
        <v>32.430696</v>
      </c>
      <c r="L10" s="28" t="n">
        <f aca="false">IF(G10&lt;=Datos!$B$37,G10,B10-H10*G10)</f>
        <v>493</v>
      </c>
      <c r="M10" s="9" t="n">
        <f aca="false">INT(Datos!$B$36/E10)</f>
        <v>2</v>
      </c>
      <c r="N10" s="9" t="n">
        <f aca="false">MATCH(MIN(AA10:AD10),AA10:AD10,0)</f>
        <v>2</v>
      </c>
      <c r="O10" s="9" t="n">
        <f aca="false">ROUND(INDEX(AA10:AD10,N10)*N10,0)</f>
        <v>3</v>
      </c>
      <c r="P10" s="9" t="n">
        <f aca="false">IF(C10-F10*E10&gt;0.001,F10,F10-1)</f>
        <v>3</v>
      </c>
      <c r="Q10" s="9" t="n">
        <f aca="false">IF(G10&lt;=Datos!$B$37,IF(B10-H10*G10&gt;0.001,H10,H10-1),1)</f>
        <v>3</v>
      </c>
      <c r="R10" s="20" t="n">
        <f aca="false">Q10*O10/N10</f>
        <v>4.5</v>
      </c>
      <c r="S10" s="20" t="n">
        <f aca="false">P10/Datos!$B$32</f>
        <v>0.15</v>
      </c>
      <c r="T10" s="20" t="n">
        <f aca="false">R10/Datos!$B$35</f>
        <v>0.225</v>
      </c>
      <c r="U10" s="31" t="str">
        <f aca="false">IF(S10&gt;=T10,"G1","G2")</f>
        <v>G2</v>
      </c>
      <c r="V10" s="9" t="n">
        <f aca="false">I10*60/MAX(S10,T10)</f>
        <v>2400</v>
      </c>
      <c r="W10" s="30" t="n">
        <f aca="false">B10*C10*Piezas!$E$10*Datos!$B$10/1000000</f>
        <v>113.328</v>
      </c>
      <c r="X10" s="20" t="n">
        <f aca="false">W10*INDEX(Datos!$C$95:$C$100,MATCH(Piezas!$E$10,Datos!$A$95:$A$100,0))</f>
        <v>124.880120854369</v>
      </c>
      <c r="Y10" s="7" t="str">
        <f aca="false">IF(I10=0,"No entra ninguna pieza",IF(B10&gt;Datos!$B$33,"Hoja más ancha que la cuchilla de G1",IF(E10&gt;Datos!$B$34,"Franja mayor que el tope de G1",IF(L10&gt;Datos!$B$37,"2.º corte mayor que el tope de G2",IF(M10&lt;1,"La franja no entra en G2","OK")))))</f>
        <v>OK</v>
      </c>
      <c r="AA10" s="20" t="n">
        <f aca="false">IFERROR(IF(1&gt;Datos!$B$38,1000000000,CEILING(1*F10/M10,1)/1),1000000000)</f>
        <v>2</v>
      </c>
      <c r="AB10" s="20" t="n">
        <f aca="false">IFERROR(IF(2&gt;Datos!$B$38,1000000000,CEILING(2*F10/M10,1)/2),1000000000)</f>
        <v>1.5</v>
      </c>
      <c r="AC10" s="20" t="n">
        <f aca="false">IFERROR(IF(3&gt;Datos!$B$38,1000000000,CEILING(3*F10/M10,1)/3),1000000000)</f>
        <v>1.66666666666667</v>
      </c>
      <c r="AD10" s="20" t="n">
        <f aca="false">IFERROR(IF(4&gt;Datos!$B$38,1000000000,CEILING(4*F10/M10,1)/4),1000000000)</f>
        <v>1.5</v>
      </c>
      <c r="AE10" s="9" t="n">
        <f aca="false">IF(AND(Piezas!$F$10&lt;=Datos!$B$34,Piezas!$F$10&lt;=Datos!$B$36,B10&lt;=Datos!$B$33,OR(Piezas!$G$10&lt;=Datos!$B$37,AND(INT(B10/Piezas!$G$10)=1,B10-Piezas!$G$10&lt;=Datos!$B$37))),INT(C10/Piezas!$F$10)*INT(B10/Piezas!$G$10),0)</f>
        <v>6</v>
      </c>
      <c r="AF10" s="9" t="n">
        <f aca="false">IF(AND(Piezas!$G$10&lt;=Datos!$B$34,Piezas!$G$10&lt;=Datos!$B$36,B10&lt;=Datos!$B$33,OR(Piezas!$F$10&lt;=Datos!$B$37,AND(INT(B10/Piezas!$F$10)=1,B10-Piezas!$F$10&lt;=Datos!$B$37))),INT(C10/Piezas!$G$10)*INT(B10/Piezas!$F$10),0)</f>
        <v>9</v>
      </c>
    </row>
    <row r="11" customFormat="false" ht="15" hidden="false" customHeight="false" outlineLevel="0" collapsed="false">
      <c r="A11" s="6" t="s">
        <v>33</v>
      </c>
      <c r="B11" s="18" t="n">
        <v>1500</v>
      </c>
      <c r="C11" s="18" t="n">
        <v>3000</v>
      </c>
      <c r="D11" s="9" t="n">
        <f aca="false">IF(AE11&gt;AF11,1,IF(AF11&gt;AE11,2,IF(INT(C11/Piezas!$F$11)&lt;=INT(C11/Piezas!$G$11),1,2)))</f>
        <v>2</v>
      </c>
      <c r="E11" s="28" t="n">
        <f aca="false">IF(D11=1,Piezas!$F$11,Piezas!$G$11)</f>
        <v>995.5</v>
      </c>
      <c r="F11" s="9" t="n">
        <f aca="false">INT(C11/E11)</f>
        <v>3</v>
      </c>
      <c r="G11" s="28" t="n">
        <f aca="false">IF(D11=1,Piezas!$G$11,Piezas!$F$11)</f>
        <v>640</v>
      </c>
      <c r="H11" s="9" t="n">
        <f aca="false">INT(B11/G11)</f>
        <v>2</v>
      </c>
      <c r="I11" s="11" t="n">
        <f aca="false">F11*H11</f>
        <v>6</v>
      </c>
      <c r="J11" s="10" t="n">
        <f aca="false">I11*Piezas!$F$11*Piezas!$G$11/(B11*C11)</f>
        <v>0.849493333333333</v>
      </c>
      <c r="K11" s="30" t="n">
        <f aca="false">E11*B11*Piezas!$E$11*Datos!$B$10/1000000</f>
        <v>37.606008</v>
      </c>
      <c r="L11" s="28" t="n">
        <f aca="false">IF(G11&lt;=Datos!$B$37,G11,B11-H11*G11)</f>
        <v>640</v>
      </c>
      <c r="M11" s="9" t="n">
        <f aca="false">INT(Datos!$B$36/E11)</f>
        <v>2</v>
      </c>
      <c r="N11" s="9" t="n">
        <f aca="false">MATCH(MIN(AA11:AD11),AA11:AD11,0)</f>
        <v>2</v>
      </c>
      <c r="O11" s="9" t="n">
        <f aca="false">ROUND(INDEX(AA11:AD11,N11)*N11,0)</f>
        <v>3</v>
      </c>
      <c r="P11" s="9" t="n">
        <f aca="false">IF(C11-F11*E11&gt;0.001,F11,F11-1)</f>
        <v>3</v>
      </c>
      <c r="Q11" s="9" t="n">
        <f aca="false">IF(G11&lt;=Datos!$B$37,IF(B11-H11*G11&gt;0.001,H11,H11-1),1)</f>
        <v>2</v>
      </c>
      <c r="R11" s="20" t="n">
        <f aca="false">Q11*O11/N11</f>
        <v>3</v>
      </c>
      <c r="S11" s="20" t="n">
        <f aca="false">P11/Datos!$B$32</f>
        <v>0.15</v>
      </c>
      <c r="T11" s="20" t="n">
        <f aca="false">R11/Datos!$B$35</f>
        <v>0.15</v>
      </c>
      <c r="U11" s="31" t="str">
        <f aca="false">IF(S11&gt;=T11,"G1","G2")</f>
        <v>G1</v>
      </c>
      <c r="V11" s="9" t="n">
        <f aca="false">I11*60/MAX(S11,T11)</f>
        <v>2400</v>
      </c>
      <c r="W11" s="30" t="n">
        <f aca="false">B11*C11*Piezas!$E$11*Datos!$B$10/1000000</f>
        <v>113.328</v>
      </c>
      <c r="X11" s="20" t="n">
        <f aca="false">W11*INDEX(Datos!$C$95:$C$100,MATCH(Piezas!$E$11,Datos!$A$95:$A$100,0))</f>
        <v>124.880120854369</v>
      </c>
      <c r="Y11" s="7" t="str">
        <f aca="false">IF(I11=0,"No entra ninguna pieza",IF(B11&gt;Datos!$B$33,"Hoja más ancha que la cuchilla de G1",IF(E11&gt;Datos!$B$34,"Franja mayor que el tope de G1",IF(L11&gt;Datos!$B$37,"2.º corte mayor que el tope de G2",IF(M11&lt;1,"La franja no entra en G2","OK")))))</f>
        <v>OK</v>
      </c>
      <c r="AA11" s="20" t="n">
        <f aca="false">IFERROR(IF(1&gt;Datos!$B$38,1000000000,CEILING(1*F11/M11,1)/1),1000000000)</f>
        <v>2</v>
      </c>
      <c r="AB11" s="20" t="n">
        <f aca="false">IFERROR(IF(2&gt;Datos!$B$38,1000000000,CEILING(2*F11/M11,1)/2),1000000000)</f>
        <v>1.5</v>
      </c>
      <c r="AC11" s="20" t="n">
        <f aca="false">IFERROR(IF(3&gt;Datos!$B$38,1000000000,CEILING(3*F11/M11,1)/3),1000000000)</f>
        <v>1.66666666666667</v>
      </c>
      <c r="AD11" s="20" t="n">
        <f aca="false">IFERROR(IF(4&gt;Datos!$B$38,1000000000,CEILING(4*F11/M11,1)/4),1000000000)</f>
        <v>1.5</v>
      </c>
      <c r="AE11" s="9" t="n">
        <f aca="false">IF(AND(Piezas!$F$11&lt;=Datos!$B$34,Piezas!$F$11&lt;=Datos!$B$36,B11&lt;=Datos!$B$33,OR(Piezas!$G$11&lt;=Datos!$B$37,AND(INT(B11/Piezas!$G$11)=1,B11-Piezas!$G$11&lt;=Datos!$B$37))),INT(C11/Piezas!$F$11)*INT(B11/Piezas!$G$11),0)</f>
        <v>4</v>
      </c>
      <c r="AF11" s="9" t="n">
        <f aca="false">IF(AND(Piezas!$G$11&lt;=Datos!$B$34,Piezas!$G$11&lt;=Datos!$B$36,B11&lt;=Datos!$B$33,OR(Piezas!$F$11&lt;=Datos!$B$37,AND(INT(B11/Piezas!$F$11)=1,B11-Piezas!$F$11&lt;=Datos!$B$37))),INT(C11/Piezas!$G$11)*INT(B11/Piezas!$F$11),0)</f>
        <v>6</v>
      </c>
    </row>
    <row r="12" customFormat="false" ht="15" hidden="false" customHeight="false" outlineLevel="0" collapsed="false">
      <c r="A12" s="6" t="s">
        <v>34</v>
      </c>
      <c r="B12" s="18" t="n">
        <v>1500</v>
      </c>
      <c r="C12" s="18" t="n">
        <v>3000</v>
      </c>
      <c r="D12" s="9" t="n">
        <f aca="false">IF(AE12&gt;AF12,1,IF(AF12&gt;AE12,2,IF(INT(C12/Piezas!$F$12)&lt;=INT(C12/Piezas!$G$12),1,2)))</f>
        <v>1</v>
      </c>
      <c r="E12" s="28" t="n">
        <f aca="false">IF(D12=1,Piezas!$F$12,Piezas!$G$12)</f>
        <v>680</v>
      </c>
      <c r="F12" s="9" t="n">
        <f aca="false">INT(C12/E12)</f>
        <v>4</v>
      </c>
      <c r="G12" s="28" t="n">
        <f aca="false">IF(D12=1,Piezas!$G$12,Piezas!$F$12)</f>
        <v>1210.5</v>
      </c>
      <c r="H12" s="9" t="n">
        <f aca="false">INT(B12/G12)</f>
        <v>1</v>
      </c>
      <c r="I12" s="11" t="n">
        <f aca="false">F12*H12</f>
        <v>4</v>
      </c>
      <c r="J12" s="10" t="n">
        <f aca="false">I12*Piezas!$F$12*Piezas!$G$12/(B12*C12)</f>
        <v>0.73168</v>
      </c>
      <c r="K12" s="30" t="n">
        <f aca="false">E12*B12*Piezas!$E$12*Datos!$B$10/1000000</f>
        <v>38.13015</v>
      </c>
      <c r="L12" s="28" t="n">
        <f aca="false">IF(G12&lt;=Datos!$B$37,G12,B12-H12*G12)</f>
        <v>289.5</v>
      </c>
      <c r="M12" s="9" t="n">
        <f aca="false">INT(Datos!$B$36/E12)</f>
        <v>3</v>
      </c>
      <c r="N12" s="9" t="n">
        <f aca="false">MATCH(MIN(AA12:AD12),AA12:AD12,0)</f>
        <v>3</v>
      </c>
      <c r="O12" s="9" t="n">
        <f aca="false">ROUND(INDEX(AA12:AD12,N12)*N12,0)</f>
        <v>4</v>
      </c>
      <c r="P12" s="9" t="n">
        <f aca="false">IF(C12-F12*E12&gt;0.001,F12,F12-1)</f>
        <v>4</v>
      </c>
      <c r="Q12" s="9" t="n">
        <f aca="false">IF(G12&lt;=Datos!$B$37,IF(B12-H12*G12&gt;0.001,H12,H12-1),1)</f>
        <v>1</v>
      </c>
      <c r="R12" s="20" t="n">
        <f aca="false">Q12*O12/N12</f>
        <v>1.33333333333333</v>
      </c>
      <c r="S12" s="20" t="n">
        <f aca="false">P12/Datos!$B$32</f>
        <v>0.2</v>
      </c>
      <c r="T12" s="20" t="n">
        <f aca="false">R12/Datos!$B$35</f>
        <v>0.0666666666666667</v>
      </c>
      <c r="U12" s="31" t="str">
        <f aca="false">IF(S12&gt;=T12,"G1","G2")</f>
        <v>G1</v>
      </c>
      <c r="V12" s="9" t="n">
        <f aca="false">I12*60/MAX(S12,T12)</f>
        <v>1200</v>
      </c>
      <c r="W12" s="30" t="n">
        <f aca="false">B12*C12*Piezas!$E$12*Datos!$B$10/1000000</f>
        <v>168.22125</v>
      </c>
      <c r="X12" s="20" t="n">
        <f aca="false">W12*INDEX(Datos!$C$95:$C$100,MATCH(Piezas!$E$12,Datos!$A$95:$A$100,0))</f>
        <v>183.525572912621</v>
      </c>
      <c r="Y12" s="7" t="str">
        <f aca="false">IF(IF(I12=0,"No entra ninguna pieza",IF(B12&gt;Datos!$B$33,"Hoja más ancha que la cuchilla de G1",IF(E12&gt;Datos!$B$34,"Franja mayor que el tope de G1",IF(L12&gt;Datos!$B$37,"2.º corte mayor que el tope de G2",IF(M12&lt;1,"La franja no entra en G2","OK")))))="OK",IF(Datos!$B$24="SI","OK; con mezcla va en la hoja mixta","OK"),IF(I12=0,"No entra ninguna pieza",IF(B12&gt;Datos!$B$33,"Hoja más ancha que la cuchilla de G1",IF(E12&gt;Datos!$B$34,"Franja mayor que el tope de G1",IF(L12&gt;Datos!$B$37,"2.º corte mayor que el tope de G2",IF(M12&lt;1,"La franja no entra en G2","OK"))))))</f>
        <v>OK; con mezcla va en la hoja mixta</v>
      </c>
      <c r="AA12" s="20" t="n">
        <f aca="false">IFERROR(IF(1&gt;Datos!$B$38,1000000000,CEILING(1*F12/M12,1)/1),1000000000)</f>
        <v>2</v>
      </c>
      <c r="AB12" s="20" t="n">
        <f aca="false">IFERROR(IF(2&gt;Datos!$B$38,1000000000,CEILING(2*F12/M12,1)/2),1000000000)</f>
        <v>1.5</v>
      </c>
      <c r="AC12" s="20" t="n">
        <f aca="false">IFERROR(IF(3&gt;Datos!$B$38,1000000000,CEILING(3*F12/M12,1)/3),1000000000)</f>
        <v>1.33333333333333</v>
      </c>
      <c r="AD12" s="20" t="n">
        <f aca="false">IFERROR(IF(4&gt;Datos!$B$38,1000000000,CEILING(4*F12/M12,1)/4),1000000000)</f>
        <v>1.5</v>
      </c>
      <c r="AE12" s="9" t="n">
        <f aca="false">IF(AND(Piezas!$F$12&lt;=Datos!$B$34,Piezas!$F$12&lt;=Datos!$B$36,B12&lt;=Datos!$B$33,OR(Piezas!$G$12&lt;=Datos!$B$37,AND(INT(B12/Piezas!$G$12)=1,B12-Piezas!$G$12&lt;=Datos!$B$37))),INT(C12/Piezas!$F$12)*INT(B12/Piezas!$G$12),0)</f>
        <v>4</v>
      </c>
      <c r="AF12" s="9" t="n">
        <f aca="false">IF(AND(Piezas!$G$12&lt;=Datos!$B$34,Piezas!$G$12&lt;=Datos!$B$36,B12&lt;=Datos!$B$33,OR(Piezas!$F$12&lt;=Datos!$B$37,AND(INT(B12/Piezas!$F$12)=1,B12-Piezas!$F$12&lt;=Datos!$B$37))),INT(C12/Piezas!$G$12)*INT(B12/Piezas!$F$12),0)</f>
        <v>0</v>
      </c>
    </row>
    <row r="13" customFormat="false" ht="15" hidden="false" customHeight="false" outlineLevel="0" collapsed="false">
      <c r="A13" s="6" t="s">
        <v>35</v>
      </c>
      <c r="B13" s="18" t="n">
        <v>1500</v>
      </c>
      <c r="C13" s="18" t="n">
        <v>3000</v>
      </c>
      <c r="D13" s="9" t="n">
        <f aca="false">IF(AE13&gt;AF13,1,IF(AF13&gt;AE13,2,IF(INT(C13/Piezas!$F$13)&lt;=INT(C13/Piezas!$G$13),1,2)))</f>
        <v>1</v>
      </c>
      <c r="E13" s="28" t="n">
        <f aca="false">IF(D13=1,Piezas!$F$13,Piezas!$G$13)</f>
        <v>900</v>
      </c>
      <c r="F13" s="9" t="n">
        <f aca="false">INT(C13/E13)</f>
        <v>3</v>
      </c>
      <c r="G13" s="28" t="n">
        <f aca="false">IF(D13=1,Piezas!$G$13,Piezas!$F$13)</f>
        <v>1210.5</v>
      </c>
      <c r="H13" s="9" t="n">
        <f aca="false">INT(B13/G13)</f>
        <v>1</v>
      </c>
      <c r="I13" s="11" t="n">
        <f aca="false">F13*H13</f>
        <v>3</v>
      </c>
      <c r="J13" s="10" t="n">
        <f aca="false">I13*Piezas!$F$13*Piezas!$G$13/(B13*C13)</f>
        <v>0.7263</v>
      </c>
      <c r="K13" s="30" t="n">
        <f aca="false">E13*B13*Piezas!$E$13*Datos!$B$10/1000000</f>
        <v>50.466375</v>
      </c>
      <c r="L13" s="28" t="n">
        <f aca="false">IF(G13&lt;=Datos!$B$37,G13,B13-H13*G13)</f>
        <v>289.5</v>
      </c>
      <c r="M13" s="9" t="n">
        <f aca="false">INT(Datos!$B$36/E13)</f>
        <v>2</v>
      </c>
      <c r="N13" s="9" t="n">
        <f aca="false">MATCH(MIN(AA13:AD13),AA13:AD13,0)</f>
        <v>2</v>
      </c>
      <c r="O13" s="9" t="n">
        <f aca="false">ROUND(INDEX(AA13:AD13,N13)*N13,0)</f>
        <v>3</v>
      </c>
      <c r="P13" s="9" t="n">
        <f aca="false">IF(C13-F13*E13&gt;0.001,F13,F13-1)</f>
        <v>3</v>
      </c>
      <c r="Q13" s="9" t="n">
        <f aca="false">IF(G13&lt;=Datos!$B$37,IF(B13-H13*G13&gt;0.001,H13,H13-1),1)</f>
        <v>1</v>
      </c>
      <c r="R13" s="20" t="n">
        <f aca="false">Q13*O13/N13</f>
        <v>1.5</v>
      </c>
      <c r="S13" s="20" t="n">
        <f aca="false">P13/Datos!$B$32</f>
        <v>0.15</v>
      </c>
      <c r="T13" s="20" t="n">
        <f aca="false">R13/Datos!$B$35</f>
        <v>0.075</v>
      </c>
      <c r="U13" s="31" t="str">
        <f aca="false">IF(S13&gt;=T13,"G1","G2")</f>
        <v>G1</v>
      </c>
      <c r="V13" s="9" t="n">
        <f aca="false">I13*60/MAX(S13,T13)</f>
        <v>1200</v>
      </c>
      <c r="W13" s="30" t="n">
        <f aca="false">B13*C13*Piezas!$E$13*Datos!$B$10/1000000</f>
        <v>168.22125</v>
      </c>
      <c r="X13" s="20" t="n">
        <f aca="false">W13*INDEX(Datos!$C$95:$C$100,MATCH(Piezas!$E$13,Datos!$A$95:$A$100,0))</f>
        <v>183.525572912621</v>
      </c>
      <c r="Y13" s="7" t="str">
        <f aca="false">IF(I13=0,"No entra ninguna pieza",IF(B13&gt;Datos!$B$33,"Hoja más ancha que la cuchilla de G1",IF(E13&gt;Datos!$B$34,"Franja mayor que el tope de G1",IF(L13&gt;Datos!$B$37,"2.º corte mayor que el tope de G2",IF(M13&lt;1,"La franja no entra en G2","OK")))))</f>
        <v>OK</v>
      </c>
      <c r="AA13" s="20" t="n">
        <f aca="false">IFERROR(IF(1&gt;Datos!$B$38,1000000000,CEILING(1*F13/M13,1)/1),1000000000)</f>
        <v>2</v>
      </c>
      <c r="AB13" s="20" t="n">
        <f aca="false">IFERROR(IF(2&gt;Datos!$B$38,1000000000,CEILING(2*F13/M13,1)/2),1000000000)</f>
        <v>1.5</v>
      </c>
      <c r="AC13" s="20" t="n">
        <f aca="false">IFERROR(IF(3&gt;Datos!$B$38,1000000000,CEILING(3*F13/M13,1)/3),1000000000)</f>
        <v>1.66666666666667</v>
      </c>
      <c r="AD13" s="20" t="n">
        <f aca="false">IFERROR(IF(4&gt;Datos!$B$38,1000000000,CEILING(4*F13/M13,1)/4),1000000000)</f>
        <v>1.5</v>
      </c>
      <c r="AE13" s="9" t="n">
        <f aca="false">IF(AND(Piezas!$F$13&lt;=Datos!$B$34,Piezas!$F$13&lt;=Datos!$B$36,B13&lt;=Datos!$B$33,OR(Piezas!$G$13&lt;=Datos!$B$37,AND(INT(B13/Piezas!$G$13)=1,B13-Piezas!$G$13&lt;=Datos!$B$37))),INT(C13/Piezas!$F$13)*INT(B13/Piezas!$G$13),0)</f>
        <v>3</v>
      </c>
      <c r="AF13" s="9" t="n">
        <f aca="false">IF(AND(Piezas!$G$13&lt;=Datos!$B$34,Piezas!$G$13&lt;=Datos!$B$36,B13&lt;=Datos!$B$33,OR(Piezas!$F$13&lt;=Datos!$B$37,AND(INT(B13/Piezas!$F$13)=1,B13-Piezas!$F$13&lt;=Datos!$B$37))),INT(C13/Piezas!$G$13)*INT(B13/Piezas!$F$13),0)</f>
        <v>0</v>
      </c>
    </row>
    <row r="14" customFormat="false" ht="15" hidden="false" customHeight="false" outlineLevel="0" collapsed="false">
      <c r="A14" s="4" t="s">
        <v>410</v>
      </c>
      <c r="B14" s="9" t="n">
        <f aca="false">B13</f>
        <v>1500</v>
      </c>
      <c r="C14" s="9" t="n">
        <f aca="false">C13</f>
        <v>3000</v>
      </c>
      <c r="D14" s="9" t="n">
        <v>1</v>
      </c>
      <c r="E14" s="28" t="n">
        <f aca="false">MAX(Piezas!$F$13,Piezas!$F$12)</f>
        <v>900</v>
      </c>
      <c r="F14" s="9" t="n">
        <f aca="false">Datos!$B$25+Datos!$B$26</f>
        <v>4</v>
      </c>
      <c r="G14" s="28" t="n">
        <f aca="false">MAX(Piezas!$G$13,Piezas!$G$12)</f>
        <v>1210.5</v>
      </c>
      <c r="H14" s="9" t="n">
        <f aca="false">INT(B14/G14)</f>
        <v>1</v>
      </c>
      <c r="I14" s="11" t="n">
        <f aca="false">F14*H14</f>
        <v>4</v>
      </c>
      <c r="J14" s="10" t="n">
        <f aca="false">(Datos!$B$25*Piezas!$F$13*Piezas!$G$13+Datos!$B$26*Piezas!$F$12*Piezas!$G$12)/(B14*C14)</f>
        <v>0.79086</v>
      </c>
      <c r="K14" s="30" t="n">
        <f aca="false">E14*B14*Piezas!$E$13*Datos!$B$10/1000000</f>
        <v>50.466375</v>
      </c>
      <c r="L14" s="28" t="n">
        <f aca="false">IF(G14&lt;=Datos!$B$37,G14,B14-H14*G14)</f>
        <v>289.5</v>
      </c>
      <c r="M14" s="9" t="n">
        <f aca="false">INT(Datos!$B$36/MIN(Piezas!$F$13,Piezas!$F$12))</f>
        <v>3</v>
      </c>
      <c r="N14" s="9" t="n">
        <f aca="false">MATCH(MIN(AA14:AD14),AA14:AD14,0)</f>
        <v>3</v>
      </c>
      <c r="O14" s="9" t="n">
        <f aca="false">ROUND(INDEX(AA14:AD14,N14)*N14,0)</f>
        <v>4</v>
      </c>
      <c r="P14" s="9" t="n">
        <f aca="false">IF(C14-(Datos!$B$25*Piezas!$F$13+Datos!$B$26*Piezas!$F$12)&gt;0.001,F14,F14-1)</f>
        <v>4</v>
      </c>
      <c r="Q14" s="9" t="n">
        <f aca="false">IF(G14&lt;=Datos!$B$37,IF(B14-H14*G14&gt;0.001,H14,H14-1),1)</f>
        <v>1</v>
      </c>
      <c r="R14" s="20" t="n">
        <f aca="false">Q14*O14/N14</f>
        <v>1.33333333333333</v>
      </c>
      <c r="S14" s="20" t="n">
        <f aca="false">P14/Datos!$B$32</f>
        <v>0.2</v>
      </c>
      <c r="T14" s="20" t="n">
        <f aca="false">R14/Datos!$B$35</f>
        <v>0.0666666666666667</v>
      </c>
      <c r="U14" s="31" t="str">
        <f aca="false">IF(S14&gt;=T14,"G1","G2")</f>
        <v>G1</v>
      </c>
      <c r="V14" s="9" t="n">
        <f aca="false">I14*60/MAX(S14,T14)</f>
        <v>1200</v>
      </c>
      <c r="W14" s="30" t="n">
        <f aca="false">B14*C14*Piezas!$E$13*Datos!$B$10/1000000</f>
        <v>168.22125</v>
      </c>
      <c r="X14" s="20" t="n">
        <f aca="false">W14*INDEX(Datos!$C$95:$C$100,MATCH(Piezas!$E$13,Datos!$A$95:$A$100,0))</f>
        <v>183.525572912621</v>
      </c>
      <c r="Y14" s="7" t="str">
        <f aca="false">IF(AND(Piezas!$G$12&lt;=B14,Piezas!$G$13&lt;=B14,(Datos!$B$25*Piezas!$F$13+Datos!$B$26*Piezas!$F$12)&lt;=C14,E14&lt;=Datos!$B$34,L14&lt;=Datos!$B$37),"OK: "&amp;Datos!$B$25&amp;" de 100 kg y "&amp;Datos!$B$26&amp;" de 70 kg","No entra")</f>
        <v>OK: 1 de 100 kg y 3 de 70 kg</v>
      </c>
      <c r="AA14" s="20" t="n">
        <f aca="false">IFERROR(IF(1&gt;Datos!$B$38,1000000000,MAX(CEILING(1*F14/M14,1),CEILING(1*(Datos!$B$25*Piezas!$F$13+Datos!$B$26*Piezas!$F$12)/Datos!$B$36,1))/1),1000000000)</f>
        <v>2</v>
      </c>
      <c r="AB14" s="20" t="n">
        <f aca="false">IFERROR(IF(2&gt;Datos!$B$38,1000000000,MAX(CEILING(2*F14/M14,1),CEILING(2*(Datos!$B$25*Piezas!$F$13+Datos!$B$26*Piezas!$F$12)/Datos!$B$36,1))/2),1000000000)</f>
        <v>1.5</v>
      </c>
      <c r="AC14" s="20" t="n">
        <f aca="false">IFERROR(IF(3&gt;Datos!$B$38,1000000000,MAX(CEILING(3*F14/M14,1),CEILING(3*(Datos!$B$25*Piezas!$F$13+Datos!$B$26*Piezas!$F$12)/Datos!$B$36,1))/3),1000000000)</f>
        <v>1.33333333333333</v>
      </c>
      <c r="AD14" s="20" t="n">
        <f aca="false">IFERROR(IF(4&gt;Datos!$B$38,1000000000,MAX(CEILING(4*F14/M14,1),CEILING(4*(Datos!$B$25*Piezas!$F$13+Datos!$B$26*Piezas!$F$12)/Datos!$B$36,1))/4),1000000000)</f>
        <v>1.5</v>
      </c>
    </row>
    <row r="15" customFormat="false" ht="15" hidden="false" customHeight="false" outlineLevel="0" collapsed="false">
      <c r="A15" s="2" t="s">
        <v>411</v>
      </c>
    </row>
    <row r="17" customFormat="false" ht="15" hidden="false" customHeight="false" outlineLevel="0" collapsed="false">
      <c r="A17" s="8" t="s">
        <v>412</v>
      </c>
    </row>
    <row r="18" customFormat="false" ht="23.85" hidden="false" customHeight="false" outlineLevel="0" collapsed="false">
      <c r="A18" s="3" t="s">
        <v>15</v>
      </c>
      <c r="B18" s="3" t="s">
        <v>387</v>
      </c>
      <c r="C18" s="3" t="s">
        <v>394</v>
      </c>
      <c r="D18" s="3" t="s">
        <v>396</v>
      </c>
      <c r="E18" s="3" t="s">
        <v>413</v>
      </c>
      <c r="F18" s="3" t="s">
        <v>414</v>
      </c>
      <c r="G18" s="3" t="s">
        <v>415</v>
      </c>
    </row>
    <row r="19" customFormat="false" ht="15" hidden="false" customHeight="false" outlineLevel="0" collapsed="false">
      <c r="A19" s="7" t="str">
        <f aca="false">A6</f>
        <v>1 kg</v>
      </c>
      <c r="B19" s="9" t="n">
        <f aca="false">I6</f>
        <v>45</v>
      </c>
      <c r="C19" s="20" t="n">
        <f aca="false">P6</f>
        <v>9</v>
      </c>
      <c r="D19" s="20" t="n">
        <f aca="false">R6</f>
        <v>5</v>
      </c>
      <c r="E19" s="20" t="n">
        <f aca="false">O6/N6</f>
        <v>1</v>
      </c>
      <c r="F19" s="9" t="n">
        <f aca="false">Datos!$B$32</f>
        <v>20</v>
      </c>
      <c r="G19" s="9" t="n">
        <f aca="false">Datos!$B$35</f>
        <v>20</v>
      </c>
    </row>
    <row r="20" customFormat="false" ht="15" hidden="false" customHeight="false" outlineLevel="0" collapsed="false">
      <c r="A20" s="7" t="str">
        <f aca="false">A7</f>
        <v>2,5 kg</v>
      </c>
      <c r="B20" s="9" t="n">
        <f aca="false">I7</f>
        <v>27</v>
      </c>
      <c r="C20" s="20" t="n">
        <f aca="false">P7</f>
        <v>9</v>
      </c>
      <c r="D20" s="20" t="n">
        <f aca="false">R7</f>
        <v>3</v>
      </c>
      <c r="E20" s="20" t="n">
        <f aca="false">O7/N7</f>
        <v>1</v>
      </c>
      <c r="F20" s="9" t="n">
        <f aca="false">Datos!$B$32</f>
        <v>20</v>
      </c>
      <c r="G20" s="9" t="n">
        <f aca="false">Datos!$B$35</f>
        <v>20</v>
      </c>
    </row>
    <row r="21" customFormat="false" ht="15" hidden="false" customHeight="false" outlineLevel="0" collapsed="false">
      <c r="A21" s="7" t="str">
        <f aca="false">A8</f>
        <v>5 kg</v>
      </c>
      <c r="B21" s="9" t="n">
        <f aca="false">I8</f>
        <v>12</v>
      </c>
      <c r="C21" s="20" t="n">
        <f aca="false">P8</f>
        <v>4</v>
      </c>
      <c r="D21" s="20" t="n">
        <f aca="false">R8</f>
        <v>3</v>
      </c>
      <c r="E21" s="20" t="n">
        <f aca="false">O8/N8</f>
        <v>1</v>
      </c>
      <c r="F21" s="9" t="n">
        <f aca="false">Datos!$B$32</f>
        <v>20</v>
      </c>
      <c r="G21" s="9" t="n">
        <f aca="false">Datos!$B$35</f>
        <v>20</v>
      </c>
    </row>
    <row r="22" customFormat="false" ht="15" hidden="false" customHeight="false" outlineLevel="0" collapsed="false">
      <c r="A22" s="7" t="str">
        <f aca="false">A9</f>
        <v>10 kg</v>
      </c>
      <c r="B22" s="9" t="n">
        <f aca="false">I9</f>
        <v>15</v>
      </c>
      <c r="C22" s="20" t="n">
        <f aca="false">P9</f>
        <v>5</v>
      </c>
      <c r="D22" s="20" t="n">
        <f aca="false">R9</f>
        <v>3.75</v>
      </c>
      <c r="E22" s="20" t="n">
        <f aca="false">O9/N9</f>
        <v>1.25</v>
      </c>
      <c r="F22" s="9" t="n">
        <f aca="false">Datos!$B$32</f>
        <v>20</v>
      </c>
      <c r="G22" s="9" t="n">
        <f aca="false">Datos!$B$35</f>
        <v>20</v>
      </c>
    </row>
    <row r="23" customFormat="false" ht="15" hidden="false" customHeight="false" outlineLevel="0" collapsed="false">
      <c r="A23" s="7" t="str">
        <f aca="false">A10</f>
        <v>25 kg</v>
      </c>
      <c r="B23" s="20" t="n">
        <f aca="false">IF(Datos!$B$27="SI",Nesting!$B$52,I10)</f>
        <v>7.11198427852906</v>
      </c>
      <c r="C23" s="20" t="n">
        <f aca="false">IF(Datos!$B$27="SI",Nesting!$B$53,P10)</f>
        <v>3</v>
      </c>
      <c r="D23" s="20" t="n">
        <f aca="false">IF(Datos!$B$27="SI",Nesting!$B$54,R10)</f>
        <v>4.11198427852906</v>
      </c>
      <c r="E23" s="20" t="n">
        <f aca="false">IF(Datos!$B$27="SI",Nesting!$B$55,O10/N10)</f>
        <v>2.05599213926453</v>
      </c>
      <c r="F23" s="9" t="n">
        <f aca="false">Datos!$B$32</f>
        <v>20</v>
      </c>
      <c r="G23" s="9" t="n">
        <f aca="false">Datos!$B$35</f>
        <v>20</v>
      </c>
    </row>
    <row r="24" customFormat="false" ht="15" hidden="false" customHeight="false" outlineLevel="0" collapsed="false">
      <c r="A24" s="7" t="str">
        <f aca="false">A11</f>
        <v>50 kg</v>
      </c>
      <c r="B24" s="20" t="n">
        <f aca="false">IF(Datos!$B$27="SI",Nesting!$B$52,I11)</f>
        <v>7.11198427852906</v>
      </c>
      <c r="C24" s="20" t="n">
        <f aca="false">IF(Datos!$B$27="SI",Nesting!$B$53,P11)</f>
        <v>3</v>
      </c>
      <c r="D24" s="20" t="n">
        <f aca="false">IF(Datos!$B$27="SI",Nesting!$B$54,R11)</f>
        <v>4.11198427852906</v>
      </c>
      <c r="E24" s="20" t="n">
        <f aca="false">IF(Datos!$B$27="SI",Nesting!$B$55,O11/N11)</f>
        <v>2.05599213926453</v>
      </c>
      <c r="F24" s="9" t="n">
        <f aca="false">Datos!$B$32</f>
        <v>20</v>
      </c>
      <c r="G24" s="9" t="n">
        <f aca="false">Datos!$B$35</f>
        <v>20</v>
      </c>
    </row>
    <row r="25" customFormat="false" ht="15" hidden="false" customHeight="false" outlineLevel="0" collapsed="false">
      <c r="A25" s="7" t="str">
        <f aca="false">A12</f>
        <v>70 kg</v>
      </c>
      <c r="B25" s="9" t="n">
        <f aca="false">I12</f>
        <v>4</v>
      </c>
      <c r="C25" s="20" t="n">
        <f aca="false">P12</f>
        <v>4</v>
      </c>
      <c r="D25" s="20" t="n">
        <f aca="false">R12</f>
        <v>1.33333333333333</v>
      </c>
      <c r="E25" s="20" t="n">
        <f aca="false">O12/N12</f>
        <v>1.33333333333333</v>
      </c>
      <c r="F25" s="9" t="n">
        <f aca="false">Datos!$B$32</f>
        <v>20</v>
      </c>
      <c r="G25" s="9" t="n">
        <f aca="false">Datos!$B$35</f>
        <v>20</v>
      </c>
    </row>
    <row r="26" customFormat="false" ht="15" hidden="false" customHeight="false" outlineLevel="0" collapsed="false">
      <c r="A26" s="7" t="str">
        <f aca="false">A13</f>
        <v>100 kg</v>
      </c>
      <c r="B26" s="9" t="n">
        <f aca="false">I13</f>
        <v>3</v>
      </c>
      <c r="C26" s="20" t="n">
        <f aca="false">P13</f>
        <v>3</v>
      </c>
      <c r="D26" s="20" t="n">
        <f aca="false">R13</f>
        <v>1.5</v>
      </c>
      <c r="E26" s="20" t="n">
        <f aca="false">O13/N13</f>
        <v>1.5</v>
      </c>
      <c r="F26" s="9" t="n">
        <f aca="false">Datos!$B$32</f>
        <v>20</v>
      </c>
      <c r="G26" s="9" t="n">
        <f aca="false">Datos!$B$35</f>
        <v>20</v>
      </c>
    </row>
    <row r="27" customFormat="false" ht="15" hidden="false" customHeight="false" outlineLevel="0" collapsed="false">
      <c r="A27" s="7" t="str">
        <f aca="false">A14</f>
        <v>Hoja mixta 70 + 100 kg</v>
      </c>
      <c r="B27" s="9" t="n">
        <f aca="false">I14</f>
        <v>4</v>
      </c>
      <c r="C27" s="20" t="n">
        <f aca="false">P14</f>
        <v>4</v>
      </c>
      <c r="D27" s="20" t="n">
        <f aca="false">R14</f>
        <v>1.33333333333333</v>
      </c>
      <c r="E27" s="20" t="n">
        <f aca="false">O14/N14</f>
        <v>1.33333333333333</v>
      </c>
      <c r="F27" s="9" t="n">
        <f aca="false">Datos!$B$32</f>
        <v>20</v>
      </c>
      <c r="G27" s="9" t="n">
        <f aca="false">Datos!$B$35</f>
        <v>20</v>
      </c>
    </row>
    <row r="30" customFormat="false" ht="15" hidden="false" customHeight="false" outlineLevel="0" collapsed="false">
      <c r="A30" s="8" t="s">
        <v>416</v>
      </c>
    </row>
    <row r="31" customFormat="false" ht="46.25" hidden="false" customHeight="false" outlineLevel="0" collapsed="false">
      <c r="A31" s="3" t="s">
        <v>15</v>
      </c>
      <c r="B31" s="3" t="s">
        <v>417</v>
      </c>
      <c r="C31" s="3" t="s">
        <v>418</v>
      </c>
      <c r="D31" s="3" t="s">
        <v>419</v>
      </c>
      <c r="E31" s="3" t="s">
        <v>388</v>
      </c>
      <c r="F31" s="3" t="s">
        <v>420</v>
      </c>
      <c r="G31" s="3" t="s">
        <v>421</v>
      </c>
      <c r="H31" s="3" t="s">
        <v>422</v>
      </c>
      <c r="I31" s="3" t="s">
        <v>423</v>
      </c>
    </row>
    <row r="32" customFormat="false" ht="15" hidden="false" customHeight="false" outlineLevel="0" collapsed="false">
      <c r="A32" s="6" t="s">
        <v>27</v>
      </c>
      <c r="B32" s="18" t="n">
        <v>1220</v>
      </c>
      <c r="C32" s="9" t="n">
        <f aca="false">IF(INT((B32-Datos!$B$19)/Piezas!$F$6)*Piezas!$F$6/B32&gt;=INT((B32-Datos!$B$19)/Piezas!$G$6)*Piezas!$G$6/B32,INT((B32-Datos!$B$19)/Piezas!$F$6),INT((B32-Datos!$B$19)/Piezas!$G$6))</f>
        <v>5</v>
      </c>
      <c r="D32" s="28" t="n">
        <f aca="false">IF(INT((B32-Datos!$B$19)/Piezas!$F$6)*Piezas!$F$6/B32&gt;=INT((B32-Datos!$B$19)/Piezas!$G$6)*Piezas!$G$6/B32,Piezas!$G$6,Piezas!$F$6)</f>
        <v>263.5</v>
      </c>
      <c r="E32" s="10" t="n">
        <f aca="false">MAX(INT((B32-Datos!$B$19)/Piezas!$F$6)*Piezas!$F$6/B32,INT((B32-Datos!$B$19)/Piezas!$G$6)*Piezas!$G$6/B32)*(1-Datos!$B$20)</f>
        <v>0.964415983606557</v>
      </c>
      <c r="F32" s="22" t="n">
        <f aca="false">Piezas!$H$6/E32</f>
        <v>0.457682816080402</v>
      </c>
      <c r="G32" s="20" t="n">
        <f aca="false">F32*INDEX(Datos!$B$95:$B$100,MATCH(Piezas!$E$6,Datos!$A$95:$A$100,0))</f>
        <v>0.577984744287136</v>
      </c>
      <c r="H32" s="28" t="n">
        <f aca="false">MIN(ROUNDDOWN(MIN(B32*Datos!$B$57,Datos!$B$58)*2,0)/2,MAX(Datos!$B$54,ROUNDUP(INDEX(Demanda!$C$6:$L$6,Datos!$B$6-2025)*F32/1000/12*Datos!$B$52*2,0)/2))</f>
        <v>8</v>
      </c>
      <c r="I32" s="20" t="n">
        <f aca="false">Piezas!$H$6*INDEX(Datos!$F$95:$F$100,MATCH(Piezas!$E$6,Datos!$A$95:$A$100,0))</f>
        <v>0.598577960789325</v>
      </c>
    </row>
    <row r="33" customFormat="false" ht="15" hidden="false" customHeight="false" outlineLevel="0" collapsed="false">
      <c r="A33" s="6" t="s">
        <v>29</v>
      </c>
      <c r="B33" s="18" t="n">
        <v>1220</v>
      </c>
      <c r="C33" s="9" t="n">
        <f aca="false">IF(INT((B33-Datos!$B$19)/Piezas!$F$7)*Piezas!$F$7/B33&gt;=INT((B33-Datos!$B$19)/Piezas!$G$7)*Piezas!$G$7/B33,INT((B33-Datos!$B$19)/Piezas!$F$7),INT((B33-Datos!$B$19)/Piezas!$G$7))</f>
        <v>3</v>
      </c>
      <c r="D33" s="28" t="n">
        <f aca="false">IF(INT((B33-Datos!$B$19)/Piezas!$F$7)*Piezas!$F$7/B33&gt;=INT((B33-Datos!$B$19)/Piezas!$G$7)*Piezas!$G$7/B33,Piezas!$G$7,Piezas!$F$7)</f>
        <v>267.5</v>
      </c>
      <c r="E33" s="10" t="n">
        <f aca="false">MAX(INT((B33-Datos!$B$19)/Piezas!$F$7)*Piezas!$F$7/B33,INT((B33-Datos!$B$19)/Piezas!$G$7)*Piezas!$G$7/B33)*(1-Datos!$B$20)</f>
        <v>0.94321106557377</v>
      </c>
      <c r="F33" s="22" t="n">
        <f aca="false">Piezas!$H$7/E33</f>
        <v>1.07553371021776</v>
      </c>
      <c r="G33" s="20" t="n">
        <f aca="false">F33*INDEX(Datos!$B$95:$B$100,MATCH(Piezas!$E$7,Datos!$A$95:$A$100,0))</f>
        <v>1.34501943664992</v>
      </c>
      <c r="H33" s="28" t="n">
        <f aca="false">MIN(ROUNDDOWN(MIN(B33*Datos!$B$57,Datos!$B$58)*2,0)/2,MAX(Datos!$B$54,ROUNDUP(INDEX(Demanda!$C$7:$L$7,Datos!$B$6-2025)*F33/1000/12*Datos!$B$52*2,0)/2))</f>
        <v>1.5</v>
      </c>
      <c r="I33" s="20" t="n">
        <f aca="false">Piezas!$H$7*INDEX(Datos!$F$95:$F$100,MATCH(Piezas!$E$7,Datos!$A$95:$A$100,0))</f>
        <v>1.44661325334375</v>
      </c>
    </row>
    <row r="34" customFormat="false" ht="15" hidden="false" customHeight="false" outlineLevel="0" collapsed="false">
      <c r="A34" s="6" t="s">
        <v>30</v>
      </c>
      <c r="B34" s="18" t="n">
        <v>1000</v>
      </c>
      <c r="C34" s="9" t="n">
        <f aca="false">IF(INT((B34-Datos!$B$19)/Piezas!$F$8)*Piezas!$F$8/B34&gt;=INT((B34-Datos!$B$19)/Piezas!$G$8)*Piezas!$G$8/B34,INT((B34-Datos!$B$19)/Piezas!$F$8),INT((B34-Datos!$B$19)/Piezas!$G$8))</f>
        <v>3</v>
      </c>
      <c r="D34" s="28" t="n">
        <f aca="false">IF(INT((B34-Datos!$B$19)/Piezas!$F$8)*Piezas!$F$8/B34&gt;=INT((B34-Datos!$B$19)/Piezas!$G$8)*Piezas!$G$8/B34,Piezas!$G$8,Piezas!$F$8)</f>
        <v>475.5</v>
      </c>
      <c r="E34" s="10" t="n">
        <f aca="false">MAX(INT((B34-Datos!$B$19)/Piezas!$F$8)*Piezas!$F$8/B34,INT((B34-Datos!$B$19)/Piezas!$G$8)*Piezas!$G$8/B34)*(1-Datos!$B$20)</f>
        <v>0.9775875</v>
      </c>
      <c r="F34" s="22" t="n">
        <f aca="false">Piezas!$H$8/E34</f>
        <v>2.00586130653266</v>
      </c>
      <c r="G34" s="20" t="n">
        <f aca="false">F34*INDEX(Datos!$B$95:$B$100,MATCH(Piezas!$E$8,Datos!$A$95:$A$100,0))</f>
        <v>2.50844991549749</v>
      </c>
      <c r="H34" s="28" t="n">
        <f aca="false">MIN(ROUNDDOWN(MIN(B34*Datos!$B$57,Datos!$B$58)*2,0)/2,MAX(Datos!$B$54,ROUNDUP(INDEX(Demanda!$C$8:$L$8,Datos!$B$6-2025)*F34/1000/12*Datos!$B$52*2,0)/2))</f>
        <v>10</v>
      </c>
      <c r="I34" s="20" t="n">
        <f aca="false">Piezas!$H$8*INDEX(Datos!$F$95:$F$100,MATCH(Piezas!$E$8,Datos!$A$95:$A$100,0))</f>
        <v>2.84919487782</v>
      </c>
    </row>
    <row r="35" customFormat="false" ht="15" hidden="false" customHeight="false" outlineLevel="0" collapsed="false">
      <c r="A35" s="6" t="s">
        <v>31</v>
      </c>
      <c r="B35" s="18" t="n">
        <v>1000</v>
      </c>
      <c r="C35" s="9" t="n">
        <f aca="false">IF(INT((B35-Datos!$B$19)/Piezas!$F$9)*Piezas!$F$9/B35&gt;=INT((B35-Datos!$B$19)/Piezas!$G$9)*Piezas!$G$9/B35,INT((B35-Datos!$B$19)/Piezas!$F$9),INT((B35-Datos!$B$19)/Piezas!$G$9))</f>
        <v>2</v>
      </c>
      <c r="D35" s="28" t="n">
        <f aca="false">IF(INT((B35-Datos!$B$19)/Piezas!$F$9)*Piezas!$F$9/B35&gt;=INT((B35-Datos!$B$19)/Piezas!$G$9)*Piezas!$G$9/B35,Piezas!$G$9,Piezas!$F$9)</f>
        <v>564</v>
      </c>
      <c r="E35" s="10" t="n">
        <f aca="false">MAX(INT((B35-Datos!$B$19)/Piezas!$F$9)*Piezas!$F$9/B35,INT((B35-Datos!$B$19)/Piezas!$G$9)*Piezas!$G$9/B35)*(1-Datos!$B$20)</f>
        <v>0.98107</v>
      </c>
      <c r="F35" s="22" t="n">
        <f aca="false">Piezas!$H$9/E35</f>
        <v>4.46098492462312</v>
      </c>
      <c r="G35" s="20" t="n">
        <f aca="false">F35*INDEX(Datos!$B$95:$B$100,MATCH(Piezas!$E$9,Datos!$A$95:$A$100,0))</f>
        <v>5.6335548120603</v>
      </c>
      <c r="H35" s="28" t="n">
        <f aca="false">MIN(ROUNDDOWN(MIN(B35*Datos!$B$57,Datos!$B$58)*2,0)/2,MAX(Datos!$B$54,ROUNDUP(INDEX(Demanda!$C$9:$L$9,Datos!$B$6-2025)*F35/1000/12*Datos!$B$52*2,0)/2))</f>
        <v>1.5</v>
      </c>
      <c r="I35" s="20" t="n">
        <f aca="false">Piezas!$H$9*INDEX(Datos!$F$95:$F$100,MATCH(Piezas!$E$9,Datos!$A$95:$A$100,0))</f>
        <v>6.25407348792</v>
      </c>
    </row>
    <row r="36" customFormat="false" ht="15" hidden="false" customHeight="false" outlineLevel="0" collapsed="false">
      <c r="A36" s="6" t="s">
        <v>32</v>
      </c>
      <c r="B36" s="18" t="n">
        <v>1500</v>
      </c>
      <c r="C36" s="9" t="n">
        <f aca="false">IF(INT((B36-Datos!$B$19)/Piezas!$F$10)*Piezas!$F$10/B36&gt;=INT((B36-Datos!$B$19)/Piezas!$G$10)*Piezas!$G$10/B36,INT((B36-Datos!$B$19)/Piezas!$F$10),INT((B36-Datos!$B$19)/Piezas!$G$10))</f>
        <v>3</v>
      </c>
      <c r="D36" s="28" t="n">
        <f aca="false">IF(INT((B36-Datos!$B$19)/Piezas!$F$10)*Piezas!$F$10/B36&gt;=INT((B36-Datos!$B$19)/Piezas!$G$10)*Piezas!$G$10/B36,Piezas!$G$10,Piezas!$F$10)</f>
        <v>858.5</v>
      </c>
      <c r="E36" s="10" t="n">
        <f aca="false">MAX(INT((B36-Datos!$B$19)/Piezas!$F$10)*Piezas!$F$10/B36,INT((B36-Datos!$B$19)/Piezas!$G$10)*Piezas!$G$10/B36)*(1-Datos!$B$20)</f>
        <v>0.98107</v>
      </c>
      <c r="F36" s="22" t="n">
        <f aca="false">Piezas!$H$10/E36</f>
        <v>10.8645547738693</v>
      </c>
      <c r="G36" s="20" t="n">
        <f aca="false">F36*INDEX(Datos!$B$95:$B$100,MATCH(Piezas!$E$10,Datos!$A$95:$A$100,0))</f>
        <v>12.1001805883015</v>
      </c>
      <c r="H36" s="28" t="n">
        <f aca="false">MIN(ROUNDDOWN(MIN(B36*Datos!$B$57,Datos!$B$58)*2,0)/2,MAX(Datos!$B$54,ROUNDUP(INDEX(Demanda!$C$10:$L$10,Datos!$B$6-2025)*F36/1000/12*Datos!$B$52*2,0)/2))</f>
        <v>1</v>
      </c>
      <c r="I36" s="20" t="n">
        <f aca="false">Piezas!$H$10*INDEX(Datos!$F$95:$F$100,MATCH(Piezas!$E$10,Datos!$A$95:$A$100,0))</f>
        <v>13.387564272512</v>
      </c>
    </row>
    <row r="37" customFormat="false" ht="15" hidden="false" customHeight="false" outlineLevel="0" collapsed="false">
      <c r="A37" s="6" t="s">
        <v>33</v>
      </c>
      <c r="B37" s="18" t="n">
        <v>1500</v>
      </c>
      <c r="C37" s="9" t="n">
        <f aca="false">IF(INT((B37-Datos!$B$19)/Piezas!$F$11)*Piezas!$F$11/B37&gt;=INT((B37-Datos!$B$19)/Piezas!$G$11)*Piezas!$G$11/B37,INT((B37-Datos!$B$19)/Piezas!$F$11),INT((B37-Datos!$B$19)/Piezas!$G$11))</f>
        <v>2</v>
      </c>
      <c r="D37" s="28" t="n">
        <f aca="false">IF(INT((B37-Datos!$B$19)/Piezas!$F$11)*Piezas!$F$11/B37&gt;=INT((B37-Datos!$B$19)/Piezas!$G$11)*Piezas!$G$11/B37,Piezas!$G$11,Piezas!$F$11)</f>
        <v>995.5</v>
      </c>
      <c r="E37" s="10" t="n">
        <f aca="false">MAX(INT((B37-Datos!$B$19)/Piezas!$F$11)*Piezas!$F$11/B37,INT((B37-Datos!$B$19)/Piezas!$G$11)*Piezas!$G$11/B37)*(1-Datos!$B$20)</f>
        <v>0.849066666666667</v>
      </c>
      <c r="F37" s="22" t="n">
        <f aca="false">Piezas!$H$11/E37</f>
        <v>18.8974914572864</v>
      </c>
      <c r="G37" s="20" t="n">
        <f aca="false">F37*INDEX(Datos!$B$95:$B$100,MATCH(Piezas!$E$11,Datos!$A$95:$A$100,0))</f>
        <v>21.0467031607236</v>
      </c>
      <c r="H37" s="28" t="n">
        <f aca="false">MIN(ROUNDDOWN(MIN(B37*Datos!$B$57,Datos!$B$58)*2,0)/2,MAX(Datos!$B$54,ROUNDUP(INDEX(Demanda!$C$11:$L$11,Datos!$B$6-2025)*F37/1000/12*Datos!$B$52*2,0)/2))</f>
        <v>3</v>
      </c>
      <c r="I37" s="20" t="n">
        <f aca="false">Piezas!$H$11*INDEX(Datos!$F$95:$F$100,MATCH(Piezas!$E$11,Datos!$A$95:$A$100,0))</f>
        <v>20.15280898048</v>
      </c>
    </row>
    <row r="38" customFormat="false" ht="15" hidden="false" customHeight="false" outlineLevel="0" collapsed="false">
      <c r="A38" s="6" t="s">
        <v>34</v>
      </c>
      <c r="B38" s="18" t="n">
        <v>1245</v>
      </c>
      <c r="C38" s="9" t="n">
        <f aca="false">IF(INT((B38-Datos!$B$19)/Piezas!$F$12)*Piezas!$F$12/B38&gt;=INT((B38-Datos!$B$19)/Piezas!$G$12)*Piezas!$G$12/B38,INT((B38-Datos!$B$19)/Piezas!$F$12),INT((B38-Datos!$B$19)/Piezas!$G$12))</f>
        <v>1</v>
      </c>
      <c r="D38" s="28" t="n">
        <f aca="false">IF(INT((B38-Datos!$B$19)/Piezas!$F$12)*Piezas!$F$12/B38&gt;=INT((B38-Datos!$B$19)/Piezas!$G$12)*Piezas!$G$12/B38,Piezas!$G$12,Piezas!$F$12)</f>
        <v>680</v>
      </c>
      <c r="E38" s="10" t="n">
        <f aca="false">MAX(INT((B38-Datos!$B$19)/Piezas!$F$12)*Piezas!$F$12/B38,INT((B38-Datos!$B$19)/Piezas!$G$12)*Piezas!$G$12/B38)*(1-Datos!$B$20)</f>
        <v>0.967427710843374</v>
      </c>
      <c r="F38" s="22" t="n">
        <f aca="false">Piezas!$H$12/E38</f>
        <v>31.807059798995</v>
      </c>
      <c r="G38" s="20" t="n">
        <f aca="false">F38*INDEX(Datos!$B$95:$B$100,MATCH(Piezas!$E$12,Datos!$A$95:$A$100,0))</f>
        <v>35.4244767099347</v>
      </c>
      <c r="H38" s="28" t="n">
        <f aca="false">MIN(ROUNDDOWN(MIN(B38*Datos!$B$57,Datos!$B$58)*2,0)/2,MAX(Datos!$B$54,ROUNDUP(INDEX(Demanda!$C$12:$L$12,Datos!$B$6-2025)*F38/1000/12*Datos!$B$52*2,0)/2))</f>
        <v>1</v>
      </c>
      <c r="I38" s="20" t="n">
        <f aca="false">Piezas!$H$12*INDEX(Datos!$F$95:$F$100,MATCH(Piezas!$E$12,Datos!$A$95:$A$100,0))</f>
        <v>38.0329943778</v>
      </c>
    </row>
    <row r="39" customFormat="false" ht="15" hidden="false" customHeight="false" outlineLevel="0" collapsed="false">
      <c r="A39" s="6" t="s">
        <v>35</v>
      </c>
      <c r="B39" s="18" t="n">
        <v>1245</v>
      </c>
      <c r="C39" s="9" t="n">
        <f aca="false">IF(INT((B39-Datos!$B$19)/Piezas!$F$13)*Piezas!$F$13/B39&gt;=INT((B39-Datos!$B$19)/Piezas!$G$13)*Piezas!$G$13/B39,INT((B39-Datos!$B$19)/Piezas!$F$13),INT((B39-Datos!$B$19)/Piezas!$G$13))</f>
        <v>1</v>
      </c>
      <c r="D39" s="28" t="n">
        <f aca="false">IF(INT((B39-Datos!$B$19)/Piezas!$F$13)*Piezas!$F$13/B39&gt;=INT((B39-Datos!$B$19)/Piezas!$G$13)*Piezas!$G$13/B39,Piezas!$G$13,Piezas!$F$13)</f>
        <v>900</v>
      </c>
      <c r="E39" s="10" t="n">
        <f aca="false">MAX(INT((B39-Datos!$B$19)/Piezas!$F$13)*Piezas!$F$13/B39,INT((B39-Datos!$B$19)/Piezas!$G$13)*Piezas!$G$13/B39)*(1-Datos!$B$20)</f>
        <v>0.967427710843374</v>
      </c>
      <c r="F39" s="22" t="n">
        <f aca="false">Piezas!$H$13/E39</f>
        <v>42.0975791457286</v>
      </c>
      <c r="G39" s="20" t="n">
        <f aca="false">F39*INDEX(Datos!$B$95:$B$100,MATCH(Piezas!$E$13,Datos!$A$95:$A$100,0))</f>
        <v>46.8853368219724</v>
      </c>
      <c r="H39" s="28" t="n">
        <f aca="false">MIN(ROUNDDOWN(MIN(B39*Datos!$B$57,Datos!$B$58)*2,0)/2,MAX(Datos!$B$54,ROUNDUP(INDEX(Demanda!$C$13:$L$13,Datos!$B$6-2025)*F39/1000/12*Datos!$B$52*2,0)/2))</f>
        <v>1</v>
      </c>
      <c r="I39" s="20" t="n">
        <f aca="false">Piezas!$H$13*INDEX(Datos!$F$95:$F$100,MATCH(Piezas!$E$13,Datos!$A$95:$A$100,0))</f>
        <v>50.3377866765</v>
      </c>
    </row>
    <row r="42" customFormat="false" ht="15" hidden="false" customHeight="false" outlineLevel="0" collapsed="false">
      <c r="A42" s="8" t="s">
        <v>424</v>
      </c>
    </row>
    <row r="43" customFormat="false" ht="46.25" hidden="false" customHeight="false" outlineLevel="0" collapsed="false">
      <c r="A43" s="3" t="s">
        <v>343</v>
      </c>
      <c r="B43" s="3" t="s">
        <v>425</v>
      </c>
      <c r="C43" s="3" t="s">
        <v>199</v>
      </c>
      <c r="D43" s="3" t="s">
        <v>426</v>
      </c>
      <c r="E43" s="3" t="s">
        <v>427</v>
      </c>
      <c r="F43" s="3" t="s">
        <v>428</v>
      </c>
      <c r="G43" s="3" t="s">
        <v>429</v>
      </c>
      <c r="H43" s="3" t="s">
        <v>430</v>
      </c>
      <c r="I43" s="3" t="s">
        <v>431</v>
      </c>
      <c r="J43" s="3" t="s">
        <v>432</v>
      </c>
      <c r="K43" s="3" t="s">
        <v>433</v>
      </c>
      <c r="L43" s="3" t="s">
        <v>434</v>
      </c>
      <c r="M43" s="3" t="s">
        <v>435</v>
      </c>
      <c r="N43" s="3" t="s">
        <v>436</v>
      </c>
      <c r="O43" s="3" t="s">
        <v>437</v>
      </c>
      <c r="P43" s="3" t="s">
        <v>438</v>
      </c>
      <c r="Q43" s="3" t="s">
        <v>439</v>
      </c>
      <c r="R43" s="3" t="s">
        <v>440</v>
      </c>
      <c r="S43" s="3" t="s">
        <v>441</v>
      </c>
      <c r="T43" s="3" t="s">
        <v>442</v>
      </c>
      <c r="U43" s="3" t="s">
        <v>443</v>
      </c>
      <c r="V43" s="3" t="s">
        <v>444</v>
      </c>
      <c r="W43" s="3" t="s">
        <v>445</v>
      </c>
      <c r="X43" s="3" t="s">
        <v>446</v>
      </c>
      <c r="Y43" s="3" t="s">
        <v>447</v>
      </c>
    </row>
    <row r="44" customFormat="false" ht="15" hidden="false" customHeight="false" outlineLevel="0" collapsed="false">
      <c r="A44" s="6" t="s">
        <v>448</v>
      </c>
      <c r="B44" s="28" t="n">
        <f aca="false">Piezas!$L$18</f>
        <v>89</v>
      </c>
      <c r="C44" s="24" t="n">
        <f aca="false">Piezas!$D$18</f>
        <v>0.9</v>
      </c>
      <c r="D44" s="20" t="n">
        <f aca="false">MAX(Datos!$B$21*C44,Datos!$B$22)</f>
        <v>1.35</v>
      </c>
      <c r="E44" s="20" t="n">
        <f aca="false">Datos!$B$23*D44</f>
        <v>2.025</v>
      </c>
      <c r="F44" s="28" t="n">
        <f aca="false">IF(Datos!$B$28="SI",V44,T44)</f>
        <v>93.05</v>
      </c>
      <c r="G44" s="28" t="n">
        <f aca="false">B44+D44</f>
        <v>90.35</v>
      </c>
      <c r="H44" s="10" t="n">
        <f aca="false">IF(Datos!$B$28="SI",W44,U44)</f>
        <v>0.736289218328488</v>
      </c>
      <c r="I44" s="22" t="n">
        <f aca="false">Piezas!$S$18/H44</f>
        <v>0.0598464915603015</v>
      </c>
      <c r="J44" s="22" t="n">
        <f aca="false">I44*INDEX(Datos!$D$95:$D$100,MATCH(C44,Datos!$A$95:$A$100,0))</f>
        <v>0.0755771418669268</v>
      </c>
      <c r="K44" s="28" t="n">
        <f aca="false">MIN(ROUNDDOWN(MIN(F44*Datos!$B$57,Datos!$B$59)*2,0)/2,MAX(Datos!$B$54,ROUNDUP(INDEX(Demanda!$C$6:$L$6,Datos!$B$6-2025)*I44/1000/12*Datos!$B$52*2,0)/2))</f>
        <v>1</v>
      </c>
      <c r="L44" s="18" t="n">
        <v>1220</v>
      </c>
      <c r="M44" s="18" t="n">
        <v>2440</v>
      </c>
      <c r="N44" s="9" t="n">
        <f aca="false">INT(M44/T44)</f>
        <v>26</v>
      </c>
      <c r="O44" s="9" t="n">
        <f aca="false">INT((L44-D44)/G44)</f>
        <v>13</v>
      </c>
      <c r="P44" s="9" t="n">
        <f aca="false">N44*O44</f>
        <v>338</v>
      </c>
      <c r="Q44" s="10" t="n">
        <f aca="false">P44*PI()*B44^2/4/(L44*M44)</f>
        <v>0.706377631035898</v>
      </c>
      <c r="R44" s="22" t="n">
        <f aca="false">L44*M44*C44*Datos!$B$10/1000000/P44</f>
        <v>0.0623806934911243</v>
      </c>
      <c r="S44" s="22" t="n">
        <f aca="false">R44*INDEX(Datos!$C$95:$C$100,MATCH(C44,Datos!$A$95:$A$100,0))</f>
        <v>0.0845944584433136</v>
      </c>
      <c r="T44" s="28" t="n">
        <f aca="false">B44+2*E44</f>
        <v>93.05</v>
      </c>
      <c r="U44" s="10" t="n">
        <f aca="false">PI()*B44^2/4/(T44*G44)*(1-Datos!$B$20)</f>
        <v>0.736289218328488</v>
      </c>
      <c r="V44" s="28" t="n">
        <f aca="false">B44+G44*SQRT(3)/2+2*E44</f>
        <v>171.295395231924</v>
      </c>
      <c r="W44" s="10" t="n">
        <f aca="false">2*PI()*B44^2/4/(V44*G44)*(1-Datos!$B$20)</f>
        <v>0.799924734377184</v>
      </c>
      <c r="X44" s="22" t="n">
        <f aca="false">Piezas!$S$18/U44</f>
        <v>0.0598464915603015</v>
      </c>
      <c r="Y44" s="22" t="n">
        <f aca="false">Piezas!$S$18/W44</f>
        <v>0.0550855906774092</v>
      </c>
    </row>
    <row r="45" customFormat="false" ht="15" hidden="false" customHeight="false" outlineLevel="0" collapsed="false">
      <c r="A45" s="6" t="s">
        <v>449</v>
      </c>
      <c r="B45" s="28" t="n">
        <f aca="false">Piezas!$L$19</f>
        <v>95</v>
      </c>
      <c r="C45" s="24" t="n">
        <f aca="false">Piezas!$D$19</f>
        <v>1.25</v>
      </c>
      <c r="D45" s="20" t="n">
        <f aca="false">MAX(Datos!$B$21*C45,Datos!$B$22)</f>
        <v>1.875</v>
      </c>
      <c r="E45" s="20" t="n">
        <f aca="false">Datos!$B$23*D45</f>
        <v>2.8125</v>
      </c>
      <c r="F45" s="28" t="n">
        <f aca="false">IF(Datos!$B$28="SI",V45,T45)</f>
        <v>100.625</v>
      </c>
      <c r="G45" s="28" t="n">
        <f aca="false">B45+D45</f>
        <v>96.875</v>
      </c>
      <c r="H45" s="10" t="n">
        <f aca="false">IF(Datos!$B$28="SI",W45,U45)</f>
        <v>0.723506710931636</v>
      </c>
      <c r="I45" s="22" t="n">
        <f aca="false">Piezas!$S$19/H45</f>
        <v>0.0963783026460428</v>
      </c>
      <c r="J45" s="22" t="n">
        <f aca="false">I45*INDEX(Datos!$D$95:$D$100,MATCH(C45,Datos!$A$95:$A$100,0))</f>
        <v>0.114304666938207</v>
      </c>
      <c r="K45" s="28" t="n">
        <f aca="false">MIN(ROUNDDOWN(MIN(F45*Datos!$B$57,Datos!$B$59)*2,0)/2,MAX(Datos!$B$54,ROUNDUP(INDEX(Demanda!$C$6:$L$6,Datos!$B$6-2025)*I45/1000/12*Datos!$B$52*2,0)/2))</f>
        <v>1</v>
      </c>
      <c r="L45" s="18" t="n">
        <v>1220</v>
      </c>
      <c r="M45" s="18" t="n">
        <v>2440</v>
      </c>
      <c r="N45" s="9" t="n">
        <f aca="false">INT(M45/T45)</f>
        <v>24</v>
      </c>
      <c r="O45" s="9" t="n">
        <f aca="false">INT((L45-D45)/G45)</f>
        <v>12</v>
      </c>
      <c r="P45" s="9" t="n">
        <f aca="false">N45*O45</f>
        <v>288</v>
      </c>
      <c r="Q45" s="10" t="n">
        <f aca="false">P45*PI()*B45^2/4/(L45*M45)</f>
        <v>0.685772274355902</v>
      </c>
      <c r="R45" s="22" t="n">
        <f aca="false">L45*M45*C45*Datos!$B$10/1000000/P45</f>
        <v>0.101681493055556</v>
      </c>
      <c r="S45" s="22" t="n">
        <f aca="false">R45*INDEX(Datos!$C$95:$C$100,MATCH(C45,Datos!$A$95:$A$100,0))</f>
        <v>0.131199400143159</v>
      </c>
      <c r="T45" s="28" t="n">
        <f aca="false">B45+2*E45</f>
        <v>100.625</v>
      </c>
      <c r="U45" s="10" t="n">
        <f aca="false">PI()*B45^2/4/(T45*G45)*(1-Datos!$B$20)</f>
        <v>0.723506710931636</v>
      </c>
      <c r="V45" s="28" t="n">
        <f aca="false">B45+G45*SQRT(3)/2+2*E45</f>
        <v>184.521210991618</v>
      </c>
      <c r="W45" s="10" t="n">
        <f aca="false">2*PI()*B45^2/4/(V45*G45)*(1-Datos!$B$20)</f>
        <v>0.789100205838159</v>
      </c>
      <c r="X45" s="22" t="n">
        <f aca="false">Piezas!$S$19/U45</f>
        <v>0.0963783026460428</v>
      </c>
      <c r="Y45" s="22" t="n">
        <f aca="false">Piezas!$S$19/W45</f>
        <v>0.0883669123854133</v>
      </c>
    </row>
    <row r="46" customFormat="false" ht="15" hidden="false" customHeight="false" outlineLevel="0" collapsed="false">
      <c r="A46" s="6" t="s">
        <v>450</v>
      </c>
      <c r="B46" s="28" t="n">
        <f aca="false">Piezas!$L$20</f>
        <v>156.5</v>
      </c>
      <c r="C46" s="24" t="n">
        <f aca="false">Piezas!$D$20</f>
        <v>1.25</v>
      </c>
      <c r="D46" s="20" t="n">
        <f aca="false">MAX(Datos!$B$21*C46,Datos!$B$22)</f>
        <v>1.875</v>
      </c>
      <c r="E46" s="20" t="n">
        <f aca="false">Datos!$B$23*D46</f>
        <v>2.8125</v>
      </c>
      <c r="F46" s="28" t="n">
        <f aca="false">IF(Datos!$B$28="SI",V46,T46)</f>
        <v>162.125</v>
      </c>
      <c r="G46" s="28" t="n">
        <f aca="false">B46+D46</f>
        <v>158.375</v>
      </c>
      <c r="H46" s="10" t="n">
        <f aca="false">IF(Datos!$B$28="SI",W46,U46)</f>
        <v>0.745426844965258</v>
      </c>
      <c r="I46" s="22" t="n">
        <f aca="false">Piezas!$S$20/H46</f>
        <v>0.253862341590766</v>
      </c>
      <c r="J46" s="22" t="n">
        <f aca="false">I46*INDEX(Datos!$D$95:$D$100,MATCH(C46,Datos!$A$95:$A$100,0))</f>
        <v>0.301080737126649</v>
      </c>
      <c r="K46" s="28" t="n">
        <f aca="false">MIN(ROUNDDOWN(MIN(F46*Datos!$B$57,Datos!$B$59)*2,0)/2,MAX(Datos!$B$54,ROUNDUP(INDEX(Demanda!$C$7:$L$7,Datos!$B$6-2025)*I46/1000/12*Datos!$B$52*2,0)/2))</f>
        <v>0.5</v>
      </c>
      <c r="L46" s="18" t="n">
        <v>1220</v>
      </c>
      <c r="M46" s="18" t="n">
        <v>2440</v>
      </c>
      <c r="N46" s="9" t="n">
        <f aca="false">INT(M46/T46)</f>
        <v>15</v>
      </c>
      <c r="O46" s="9" t="n">
        <f aca="false">INT((L46-D46)/G46)</f>
        <v>7</v>
      </c>
      <c r="P46" s="9" t="n">
        <f aca="false">N46*O46</f>
        <v>105</v>
      </c>
      <c r="Q46" s="10" t="n">
        <f aca="false">P46*PI()*B46^2/4/(L46*M46)</f>
        <v>0.678513053475031</v>
      </c>
      <c r="R46" s="22" t="n">
        <f aca="false">L46*M46*C46*Datos!$B$10/1000000/P46</f>
        <v>0.27889780952381</v>
      </c>
      <c r="S46" s="22" t="n">
        <f aca="false">R46*INDEX(Datos!$C$95:$C$100,MATCH(C46,Datos!$A$95:$A$100,0))</f>
        <v>0.359861211821236</v>
      </c>
      <c r="T46" s="28" t="n">
        <f aca="false">B46+2*E46</f>
        <v>162.125</v>
      </c>
      <c r="U46" s="10" t="n">
        <f aca="false">PI()*B46^2/4/(T46*G46)*(1-Datos!$B$20)</f>
        <v>0.745426844965258</v>
      </c>
      <c r="V46" s="28" t="n">
        <f aca="false">B46+G46*SQRT(3)/2+2*E46</f>
        <v>299.281773324361</v>
      </c>
      <c r="W46" s="10" t="n">
        <f aca="false">2*PI()*B46^2/4/(V46*G46)*(1-Datos!$B$20)</f>
        <v>0.807615685362925</v>
      </c>
      <c r="X46" s="22" t="n">
        <f aca="false">Piezas!$S$20/U46</f>
        <v>0.253862341590766</v>
      </c>
      <c r="Y46" s="22" t="n">
        <f aca="false">Piezas!$S$20/W46</f>
        <v>0.234314176627784</v>
      </c>
    </row>
    <row r="47" customFormat="false" ht="15" hidden="false" customHeight="false" outlineLevel="0" collapsed="false">
      <c r="A47" s="6" t="s">
        <v>451</v>
      </c>
      <c r="B47" s="28" t="n">
        <f aca="false">Piezas!$L$21</f>
        <v>140.5</v>
      </c>
      <c r="C47" s="24" t="n">
        <f aca="false">Piezas!$D$21</f>
        <v>1.25</v>
      </c>
      <c r="D47" s="20" t="n">
        <f aca="false">MAX(Datos!$B$21*C47,Datos!$B$22)</f>
        <v>1.875</v>
      </c>
      <c r="E47" s="20" t="n">
        <f aca="false">Datos!$B$23*D47</f>
        <v>2.8125</v>
      </c>
      <c r="F47" s="28" t="n">
        <f aca="false">IF(Datos!$B$28="SI",V47,T47)</f>
        <v>146.125</v>
      </c>
      <c r="G47" s="28" t="n">
        <f aca="false">B47+D47</f>
        <v>142.375</v>
      </c>
      <c r="H47" s="10" t="n">
        <f aca="false">IF(Datos!$B$28="SI",W47,U47)</f>
        <v>0.741493501743544</v>
      </c>
      <c r="I47" s="22" t="n">
        <f aca="false">Piezas!$S$21/H47</f>
        <v>0.205693195862123</v>
      </c>
      <c r="J47" s="22" t="n">
        <f aca="false">I47*INDEX(Datos!$D$95:$D$100,MATCH(C47,Datos!$A$95:$A$100,0))</f>
        <v>0.243952130292478</v>
      </c>
      <c r="K47" s="28" t="n">
        <f aca="false">MIN(ROUNDDOWN(MIN(F47*Datos!$B$57,Datos!$B$59)*2,0)/2,MAX(Datos!$B$54,ROUNDUP(INDEX(Demanda!$C$7:$L$7,Datos!$B$6-2025)*I47/1000/12*Datos!$B$52*2,0)/2))</f>
        <v>0.5</v>
      </c>
      <c r="L47" s="18" t="n">
        <v>1220</v>
      </c>
      <c r="M47" s="18" t="n">
        <v>2440</v>
      </c>
      <c r="N47" s="9" t="n">
        <f aca="false">INT(M47/T47)</f>
        <v>16</v>
      </c>
      <c r="O47" s="9" t="n">
        <f aca="false">INT((L47-D47)/G47)</f>
        <v>8</v>
      </c>
      <c r="P47" s="9" t="n">
        <f aca="false">N47*O47</f>
        <v>128</v>
      </c>
      <c r="Q47" s="10" t="n">
        <f aca="false">P47*PI()*B47^2/4/(L47*M47)</f>
        <v>0.666657612255049</v>
      </c>
      <c r="R47" s="22" t="n">
        <f aca="false">L47*M47*C47*Datos!$B$10/1000000/P47</f>
        <v>0.228783359375</v>
      </c>
      <c r="S47" s="22" t="n">
        <f aca="false">R47*INDEX(Datos!$C$95:$C$100,MATCH(C47,Datos!$A$95:$A$100,0))</f>
        <v>0.295198650322108</v>
      </c>
      <c r="T47" s="28" t="n">
        <f aca="false">B47+2*E47</f>
        <v>146.125</v>
      </c>
      <c r="U47" s="10" t="n">
        <f aca="false">PI()*B47^2/4/(T47*G47)*(1-Datos!$B$20)</f>
        <v>0.741493501743544</v>
      </c>
      <c r="V47" s="28" t="n">
        <f aca="false">B47+G47*SQRT(3)/2+2*E47</f>
        <v>269.42536686381</v>
      </c>
      <c r="W47" s="10" t="n">
        <f aca="false">2*PI()*B47^2/4/(V47*G47)*(1-Datos!$B$20)</f>
        <v>0.804309848055584</v>
      </c>
      <c r="X47" s="22" t="n">
        <f aca="false">Piezas!$S$21/U47</f>
        <v>0.205693195862123</v>
      </c>
      <c r="Y47" s="22" t="n">
        <f aca="false">Piezas!$S$21/W47</f>
        <v>0.189628621921444</v>
      </c>
    </row>
    <row r="48" customFormat="false" ht="15" hidden="false" customHeight="false" outlineLevel="0" collapsed="false">
      <c r="A48" s="6" t="s">
        <v>452</v>
      </c>
      <c r="B48" s="28" t="n">
        <f aca="false">Piezas!$L$22</f>
        <v>197</v>
      </c>
      <c r="C48" s="24" t="n">
        <f aca="false">Piezas!$D$22</f>
        <v>1.6</v>
      </c>
      <c r="D48" s="20" t="n">
        <f aca="false">MAX(Datos!$B$21*C48,Datos!$B$22)</f>
        <v>2.4</v>
      </c>
      <c r="E48" s="20" t="n">
        <f aca="false">Datos!$B$23*D48</f>
        <v>3.6</v>
      </c>
      <c r="F48" s="28" t="n">
        <f aca="false">IF(Datos!$B$28="SI",V48,T48)</f>
        <v>204.2</v>
      </c>
      <c r="G48" s="28" t="n">
        <f aca="false">B48+D48</f>
        <v>199.4</v>
      </c>
      <c r="H48" s="10" t="n">
        <f aca="false">IF(Datos!$B$28="SI",W48,U48)</f>
        <v>0.744842626230187</v>
      </c>
      <c r="I48" s="22" t="n">
        <f aca="false">Piezas!$S$22/H48</f>
        <v>0.515290962974874</v>
      </c>
      <c r="J48" s="22" t="n">
        <f aca="false">I48*INDEX(Datos!$D$95:$D$100,MATCH(C48,Datos!$A$95:$A$100,0))</f>
        <v>0.611135082088201</v>
      </c>
      <c r="K48" s="28" t="n">
        <f aca="false">MIN(ROUNDDOWN(MIN(F48*Datos!$B$57,Datos!$B$59)*2,0)/2,MAX(Datos!$B$54,ROUNDUP(INDEX(Demanda!$C$8:$L$8,Datos!$B$6-2025)*I48/1000/12*Datos!$B$52*2,0)/2))</f>
        <v>2.5</v>
      </c>
      <c r="L48" s="18" t="n">
        <v>1220</v>
      </c>
      <c r="M48" s="18" t="n">
        <v>2440</v>
      </c>
      <c r="N48" s="9" t="n">
        <f aca="false">INT(M48/T48)</f>
        <v>11</v>
      </c>
      <c r="O48" s="9" t="n">
        <f aca="false">INT((L48-D48)/G48)</f>
        <v>6</v>
      </c>
      <c r="P48" s="9" t="n">
        <f aca="false">N48*O48</f>
        <v>66</v>
      </c>
      <c r="Q48" s="10" t="n">
        <f aca="false">P48*PI()*B48^2/4/(L48*M48)</f>
        <v>0.675797548823315</v>
      </c>
      <c r="R48" s="22" t="n">
        <f aca="false">L48*M48*C48*Datos!$B$10/1000000/P48</f>
        <v>0.567937357575758</v>
      </c>
      <c r="S48" s="22" t="n">
        <f aca="false">R48*INDEX(Datos!$C$95:$C$100,MATCH(C48,Datos!$A$95:$A$100,0))</f>
        <v>0.753948789084162</v>
      </c>
      <c r="T48" s="28" t="n">
        <f aca="false">B48+2*E48</f>
        <v>204.2</v>
      </c>
      <c r="U48" s="10" t="n">
        <f aca="false">PI()*B48^2/4/(T48*G48)*(1-Datos!$B$20)</f>
        <v>0.744842626230187</v>
      </c>
      <c r="V48" s="28" t="n">
        <f aca="false">B48+G48*SQRT(3)/2+2*E48</f>
        <v>376.885465514617</v>
      </c>
      <c r="W48" s="10" t="n">
        <f aca="false">2*PI()*B48^2/4/(V48*G48)*(1-Datos!$B$20)</f>
        <v>0.807125125234129</v>
      </c>
      <c r="X48" s="22" t="n">
        <f aca="false">Piezas!$S$22/U48</f>
        <v>0.515290962974874</v>
      </c>
      <c r="Y48" s="22" t="n">
        <f aca="false">Piezas!$S$22/W48</f>
        <v>0.475528096122088</v>
      </c>
    </row>
    <row r="49" customFormat="false" ht="15" hidden="false" customHeight="false" outlineLevel="0" collapsed="false">
      <c r="A49" s="6" t="s">
        <v>453</v>
      </c>
      <c r="B49" s="28" t="n">
        <f aca="false">Piezas!$L$23</f>
        <v>170</v>
      </c>
      <c r="C49" s="24" t="n">
        <f aca="false">Piezas!$D$23</f>
        <v>1.6</v>
      </c>
      <c r="D49" s="20" t="n">
        <f aca="false">MAX(Datos!$B$21*C49,Datos!$B$22)</f>
        <v>2.4</v>
      </c>
      <c r="E49" s="20" t="n">
        <f aca="false">Datos!$B$23*D49</f>
        <v>3.6</v>
      </c>
      <c r="F49" s="28" t="n">
        <f aca="false">IF(Datos!$B$28="SI",V49,T49)</f>
        <v>177.2</v>
      </c>
      <c r="G49" s="28" t="n">
        <f aca="false">B49+D49</f>
        <v>172.4</v>
      </c>
      <c r="H49" s="10" t="n">
        <f aca="false">IF(Datos!$B$28="SI",W49,U49)</f>
        <v>0.739281478567591</v>
      </c>
      <c r="I49" s="22" t="n">
        <f aca="false">Piezas!$S$23/H49</f>
        <v>0.386609581668342</v>
      </c>
      <c r="J49" s="22" t="n">
        <f aca="false">I49*INDEX(Datos!$D$95:$D$100,MATCH(C49,Datos!$A$95:$A$100,0))</f>
        <v>0.458518963858653</v>
      </c>
      <c r="K49" s="28" t="n">
        <f aca="false">MIN(ROUNDDOWN(MIN(F49*Datos!$B$57,Datos!$B$59)*2,0)/2,MAX(Datos!$B$54,ROUNDUP(INDEX(Demanda!$C$8:$L$8,Datos!$B$6-2025)*I49/1000/12*Datos!$B$52*2,0)/2))</f>
        <v>2</v>
      </c>
      <c r="L49" s="18" t="n">
        <v>1000</v>
      </c>
      <c r="M49" s="18" t="n">
        <v>2000</v>
      </c>
      <c r="N49" s="9" t="n">
        <f aca="false">INT(M49/T49)</f>
        <v>11</v>
      </c>
      <c r="O49" s="9" t="n">
        <f aca="false">INT((L49-D49)/G49)</f>
        <v>5</v>
      </c>
      <c r="P49" s="9" t="n">
        <f aca="false">N49*O49</f>
        <v>55</v>
      </c>
      <c r="Q49" s="10" t="n">
        <f aca="false">P49*PI()*B49^2/4/(L49*M49)</f>
        <v>0.624195190360122</v>
      </c>
      <c r="R49" s="22" t="n">
        <f aca="false">L49*M49*C49*Datos!$B$10/1000000/P49</f>
        <v>0.457890909090909</v>
      </c>
      <c r="S49" s="22" t="n">
        <f aca="false">R49*INDEX(Datos!$C$95:$C$100,MATCH(C49,Datos!$A$95:$A$100,0))</f>
        <v>0.607859813827596</v>
      </c>
      <c r="T49" s="28" t="n">
        <f aca="false">B49+2*E49</f>
        <v>177.2</v>
      </c>
      <c r="U49" s="10" t="n">
        <f aca="false">PI()*B49^2/4/(T49*G49)*(1-Datos!$B$20)</f>
        <v>0.739281478567591</v>
      </c>
      <c r="V49" s="28" t="n">
        <f aca="false">B49+G49*SQRT(3)/2+2*E49</f>
        <v>326.502779612437</v>
      </c>
      <c r="W49" s="10" t="n">
        <f aca="false">2*PI()*B49^2/4/(V49*G49)*(1-Datos!$B$20)</f>
        <v>0.802447551335866</v>
      </c>
      <c r="X49" s="22" t="n">
        <f aca="false">Piezas!$S$23/U49</f>
        <v>0.386609581668342</v>
      </c>
      <c r="Y49" s="22" t="n">
        <f aca="false">Piezas!$S$23/W49</f>
        <v>0.356176927312402</v>
      </c>
    </row>
    <row r="50" customFormat="false" ht="15" hidden="false" customHeight="false" outlineLevel="0" collapsed="false">
      <c r="A50" s="6" t="s">
        <v>454</v>
      </c>
      <c r="B50" s="28" t="n">
        <f aca="false">Piezas!$L$24</f>
        <v>231.5</v>
      </c>
      <c r="C50" s="24" t="n">
        <f aca="false">Piezas!$D$24</f>
        <v>1.6</v>
      </c>
      <c r="D50" s="20" t="n">
        <f aca="false">MAX(Datos!$B$21*C50,Datos!$B$22)</f>
        <v>2.4</v>
      </c>
      <c r="E50" s="20" t="n">
        <f aca="false">Datos!$B$23*D50</f>
        <v>3.6</v>
      </c>
      <c r="F50" s="28" t="n">
        <f aca="false">IF(Datos!$B$28="SI",V50,T50)</f>
        <v>238.7</v>
      </c>
      <c r="G50" s="28" t="n">
        <f aca="false">B50+D50</f>
        <v>233.9</v>
      </c>
      <c r="H50" s="10" t="n">
        <f aca="false">IF(Datos!$B$28="SI",W50,U50)</f>
        <v>0.750122706643407</v>
      </c>
      <c r="I50" s="22" t="n">
        <f aca="false">Piezas!$S$24/H50</f>
        <v>0.706568505085427</v>
      </c>
      <c r="J50" s="22" t="n">
        <f aca="false">I50*INDEX(Datos!$D$95:$D$100,MATCH(C50,Datos!$A$95:$A$100,0))</f>
        <v>0.837990247031316</v>
      </c>
      <c r="K50" s="28" t="n">
        <f aca="false">MIN(ROUNDDOWN(MIN(F50*Datos!$B$57,Datos!$B$59)*2,0)/2,MAX(Datos!$B$54,ROUNDUP(INDEX(Demanda!$C$9:$L$9,Datos!$B$6-2025)*I50/1000/12*Datos!$B$52*2,0)/2))</f>
        <v>0.5</v>
      </c>
      <c r="L50" s="18" t="n">
        <v>1000</v>
      </c>
      <c r="M50" s="18" t="n">
        <v>2000</v>
      </c>
      <c r="N50" s="9" t="n">
        <f aca="false">INT(M50/T50)</f>
        <v>8</v>
      </c>
      <c r="O50" s="9" t="n">
        <f aca="false">INT((L50-D50)/G50)</f>
        <v>4</v>
      </c>
      <c r="P50" s="9" t="n">
        <f aca="false">N50*O50</f>
        <v>32</v>
      </c>
      <c r="Q50" s="10" t="n">
        <f aca="false">P50*PI()*B50^2/4/(L50*M50)</f>
        <v>0.67346007555739</v>
      </c>
      <c r="R50" s="22" t="n">
        <f aca="false">L50*M50*C50*Datos!$B$10/1000000/P50</f>
        <v>0.787</v>
      </c>
      <c r="S50" s="22" t="n">
        <f aca="false">R50*INDEX(Datos!$C$95:$C$100,MATCH(C50,Datos!$A$95:$A$100,0))</f>
        <v>1.04475905501618</v>
      </c>
      <c r="T50" s="28" t="n">
        <f aca="false">B50+2*E50</f>
        <v>238.7</v>
      </c>
      <c r="U50" s="10" t="n">
        <f aca="false">PI()*B50^2/4/(T50*G50)*(1-Datos!$B$20)</f>
        <v>0.750122706643407</v>
      </c>
      <c r="V50" s="28" t="n">
        <f aca="false">B50+G50*SQRT(3)/2+2*E50</f>
        <v>441.26334194518</v>
      </c>
      <c r="W50" s="10" t="n">
        <f aca="false">2*PI()*B50^2/4/(V50*G50)*(1-Datos!$B$20)</f>
        <v>0.811552980070689</v>
      </c>
      <c r="X50" s="22" t="n">
        <f aca="false">Piezas!$S$24/U50</f>
        <v>0.706568505085427</v>
      </c>
      <c r="Y50" s="22" t="n">
        <f aca="false">Piezas!$S$24/W50</f>
        <v>0.653085001816518</v>
      </c>
    </row>
    <row r="51" customFormat="false" ht="15" hidden="false" customHeight="false" outlineLevel="0" collapsed="false">
      <c r="A51" s="6" t="s">
        <v>455</v>
      </c>
      <c r="B51" s="28" t="n">
        <f aca="false">Piezas!$L$25</f>
        <v>196</v>
      </c>
      <c r="C51" s="24" t="n">
        <f aca="false">Piezas!$D$25</f>
        <v>2</v>
      </c>
      <c r="D51" s="20" t="n">
        <f aca="false">MAX(Datos!$B$21*C51,Datos!$B$22)</f>
        <v>3</v>
      </c>
      <c r="E51" s="20" t="n">
        <f aca="false">Datos!$B$23*D51</f>
        <v>4.5</v>
      </c>
      <c r="F51" s="28" t="n">
        <f aca="false">IF(Datos!$B$28="SI",V51,T51)</f>
        <v>205</v>
      </c>
      <c r="G51" s="28" t="n">
        <f aca="false">B51+D51</f>
        <v>199</v>
      </c>
      <c r="H51" s="10" t="n">
        <f aca="false">IF(Datos!$B$28="SI",W51,U51)</f>
        <v>0.735898923050643</v>
      </c>
      <c r="I51" s="22" t="n">
        <f aca="false">Piezas!$S$25/H51</f>
        <v>0.64534</v>
      </c>
      <c r="J51" s="22" t="n">
        <f aca="false">I51*INDEX(Datos!$D$95:$D$100,MATCH(C51,Datos!$A$95:$A$100,0))</f>
        <v>0.77311732</v>
      </c>
      <c r="K51" s="28" t="n">
        <f aca="false">MIN(ROUNDDOWN(MIN(F51*Datos!$B$57,Datos!$B$59)*2,0)/2,MAX(Datos!$B$54,ROUNDUP(INDEX(Demanda!$C$9:$L$9,Datos!$B$6-2025)*I51/1000/12*Datos!$B$52*2,0)/2))</f>
        <v>0.5</v>
      </c>
      <c r="L51" s="18" t="n">
        <v>1500</v>
      </c>
      <c r="M51" s="18" t="n">
        <v>3000</v>
      </c>
      <c r="N51" s="9" t="n">
        <f aca="false">INT(M51/T51)</f>
        <v>14</v>
      </c>
      <c r="O51" s="9" t="n">
        <f aca="false">INT((L51-D51)/G51)</f>
        <v>7</v>
      </c>
      <c r="P51" s="9" t="n">
        <f aca="false">N51*O51</f>
        <v>98</v>
      </c>
      <c r="Q51" s="10" t="n">
        <f aca="false">P51*PI()*B51^2/4/(L51*M51)</f>
        <v>0.657075971737219</v>
      </c>
      <c r="R51" s="22" t="n">
        <f aca="false">L51*M51*C51*Datos!$B$10/1000000/P51</f>
        <v>0.722755102040816</v>
      </c>
      <c r="S51" s="22" t="n">
        <f aca="false">R51*INDEX(Datos!$C$95:$C$100,MATCH(C51,Datos!$A$95:$A$100,0))</f>
        <v>0.925416568258371</v>
      </c>
      <c r="T51" s="28" t="n">
        <f aca="false">B51+2*E51</f>
        <v>205</v>
      </c>
      <c r="U51" s="10" t="n">
        <f aca="false">PI()*B51^2/4/(T51*G51)*(1-Datos!$B$20)</f>
        <v>0.735898923050643</v>
      </c>
      <c r="V51" s="28" t="n">
        <f aca="false">B51+G51*SQRT(3)/2+2*E51</f>
        <v>377.339055353103</v>
      </c>
      <c r="W51" s="10" t="n">
        <f aca="false">2*PI()*B51^2/4/(V51*G51)*(1-Datos!$B$20)</f>
        <v>0.799595361705732</v>
      </c>
      <c r="X51" s="22" t="n">
        <f aca="false">Piezas!$S$25/U51</f>
        <v>0.64534</v>
      </c>
      <c r="Y51" s="22" t="n">
        <f aca="false">Piezas!$S$25/W51</f>
        <v>0.593931673125785</v>
      </c>
    </row>
    <row r="53" customFormat="false" ht="15" hidden="false" customHeight="false" outlineLevel="0" collapsed="false">
      <c r="A53" s="8" t="s">
        <v>456</v>
      </c>
    </row>
    <row r="54" customFormat="false" ht="23.85" hidden="false" customHeight="false" outlineLevel="0" collapsed="false">
      <c r="A54" s="3" t="s">
        <v>15</v>
      </c>
      <c r="B54" s="3" t="s">
        <v>457</v>
      </c>
      <c r="C54" s="3" t="s">
        <v>458</v>
      </c>
      <c r="D54" s="3" t="s">
        <v>459</v>
      </c>
      <c r="E54" s="3" t="s">
        <v>460</v>
      </c>
      <c r="F54" s="3" t="s">
        <v>461</v>
      </c>
      <c r="G54" s="3" t="s">
        <v>462</v>
      </c>
    </row>
    <row r="55" customFormat="false" ht="15" hidden="false" customHeight="false" outlineLevel="0" collapsed="false">
      <c r="A55" s="6" t="s">
        <v>27</v>
      </c>
      <c r="B55" s="22" t="n">
        <f aca="false">Piezas!$S$18+Piezas!$S$19</f>
        <v>0.113794675243249</v>
      </c>
      <c r="C55" s="22" t="n">
        <f aca="false">I44+I45</f>
        <v>0.156224794206344</v>
      </c>
      <c r="D55" s="22" t="n">
        <f aca="false">J44+J45</f>
        <v>0.189881808805133</v>
      </c>
      <c r="E55" s="22" t="n">
        <f aca="false">R44+R45</f>
        <v>0.16406218654668</v>
      </c>
      <c r="F55" s="22" t="n">
        <f aca="false">S44+S45</f>
        <v>0.215793858586473</v>
      </c>
      <c r="G55" s="22" t="n">
        <f aca="false">1/O44+1/O45</f>
        <v>0.16025641025641</v>
      </c>
    </row>
    <row r="56" customFormat="false" ht="15" hidden="false" customHeight="false" outlineLevel="0" collapsed="false">
      <c r="A56" s="6" t="s">
        <v>29</v>
      </c>
      <c r="B56" s="22" t="n">
        <f aca="false">Piezas!$S$20+Piezas!$S$21</f>
        <v>0.341755972432124</v>
      </c>
      <c r="C56" s="22" t="n">
        <f aca="false">I46+I47</f>
        <v>0.45955553745289</v>
      </c>
      <c r="D56" s="22" t="n">
        <f aca="false">J46+J47</f>
        <v>0.545032867419127</v>
      </c>
      <c r="E56" s="22" t="n">
        <f aca="false">R46+R47</f>
        <v>0.507681168898809</v>
      </c>
      <c r="F56" s="22" t="n">
        <f aca="false">S46+S47</f>
        <v>0.655059862143343</v>
      </c>
      <c r="G56" s="22" t="n">
        <f aca="false">1/O46+1/O47</f>
        <v>0.267857142857143</v>
      </c>
    </row>
    <row r="57" customFormat="false" ht="15" hidden="false" customHeight="false" outlineLevel="0" collapsed="false">
      <c r="A57" s="6" t="s">
        <v>30</v>
      </c>
      <c r="B57" s="22" t="n">
        <f aca="false">Piezas!$S$22+Piezas!$S$23</f>
        <v>0.669623977299057</v>
      </c>
      <c r="C57" s="22" t="n">
        <f aca="false">I48+I49</f>
        <v>0.901900544643216</v>
      </c>
      <c r="D57" s="22" t="n">
        <f aca="false">J48+J49</f>
        <v>1.06965404594685</v>
      </c>
      <c r="E57" s="22" t="n">
        <f aca="false">R48+R49</f>
        <v>1.02582826666667</v>
      </c>
      <c r="F57" s="22" t="n">
        <f aca="false">S48+S49</f>
        <v>1.36180860291176</v>
      </c>
      <c r="G57" s="22" t="n">
        <f aca="false">1/O48+1/O49</f>
        <v>0.366666666666667</v>
      </c>
    </row>
    <row r="58" customFormat="false" ht="15" hidden="false" customHeight="false" outlineLevel="0" collapsed="false">
      <c r="A58" s="6" t="s">
        <v>31</v>
      </c>
      <c r="B58" s="22" t="n">
        <f aca="false">Piezas!$S$24+Piezas!$S$25</f>
        <v>1.00491809046517</v>
      </c>
      <c r="C58" s="22" t="n">
        <f aca="false">I50+I51</f>
        <v>1.35190850508543</v>
      </c>
      <c r="D58" s="22" t="n">
        <f aca="false">J50+J51</f>
        <v>1.61110756703132</v>
      </c>
      <c r="E58" s="22" t="n">
        <f aca="false">R50+R51</f>
        <v>1.50975510204082</v>
      </c>
      <c r="F58" s="22" t="n">
        <f aca="false">S50+S51</f>
        <v>1.97017562327455</v>
      </c>
      <c r="G58" s="22" t="n">
        <f aca="false">1/O50+1/O51</f>
        <v>0.392857142857143</v>
      </c>
    </row>
    <row r="61" customFormat="false" ht="15" hidden="false" customHeight="false" outlineLevel="0" collapsed="false">
      <c r="A61" s="8" t="s">
        <v>463</v>
      </c>
    </row>
    <row r="62" customFormat="false" ht="46.25" hidden="false" customHeight="false" outlineLevel="0" collapsed="false">
      <c r="A62" s="3" t="s">
        <v>464</v>
      </c>
      <c r="B62" s="3" t="s">
        <v>465</v>
      </c>
      <c r="C62" s="3" t="s">
        <v>466</v>
      </c>
      <c r="D62" s="3" t="s">
        <v>467</v>
      </c>
      <c r="E62" s="3" t="s">
        <v>203</v>
      </c>
      <c r="F62" s="3" t="s">
        <v>468</v>
      </c>
      <c r="G62" s="3" t="s">
        <v>469</v>
      </c>
      <c r="H62" s="3" t="s">
        <v>403</v>
      </c>
    </row>
    <row r="63" customFormat="false" ht="15" hidden="false" customHeight="false" outlineLevel="0" collapsed="false">
      <c r="A63" s="6" t="s">
        <v>470</v>
      </c>
      <c r="B63" s="18" t="n">
        <v>1220</v>
      </c>
      <c r="C63" s="18" t="n">
        <v>2</v>
      </c>
      <c r="D63" s="20" t="n">
        <f aca="false">B63*0.9*Datos!$B$10/1000</f>
        <v>8.64126</v>
      </c>
      <c r="E63" s="26" t="n">
        <f aca="false">INDEX(Datos!$E$95:$E$100,MATCH(0.9,Datos!$A$95:$A$100,0))</f>
        <v>1.26285</v>
      </c>
      <c r="F63" s="20" t="n">
        <f aca="false">H73</f>
        <v>1.5145</v>
      </c>
      <c r="G63" s="28" t="n">
        <f aca="false">MIN(ROUNDDOWN(MIN(B63*Datos!$B$57,Datos!$B$60)*2,0)/2,MAX(Datos!$B$54,ROUNDUP(INDEX(Cálculo!$C$79:$L$79,Datos!$B$6-2025)/12*Datos!$B$52*2,0)/2))</f>
        <v>9</v>
      </c>
      <c r="H63" s="7" t="str">
        <f aca="false">IF(AND(H75="Suma 100 %",COUNTIF(E77:G77,"No entra")=0),"OK","Revisar")</f>
        <v>OK</v>
      </c>
    </row>
    <row r="64" customFormat="false" ht="15" hidden="false" customHeight="false" outlineLevel="0" collapsed="false">
      <c r="A64" s="6" t="s">
        <v>471</v>
      </c>
      <c r="B64" s="18" t="n">
        <v>1000</v>
      </c>
      <c r="C64" s="18" t="n">
        <v>2</v>
      </c>
      <c r="D64" s="20" t="n">
        <f aca="false">B64*1.25*Datos!$B$10/1000</f>
        <v>9.8375</v>
      </c>
      <c r="E64" s="26" t="n">
        <f aca="false">INDEX(Datos!$E$95:$E$100,MATCH(1.25,Datos!$A$95:$A$100,0))</f>
        <v>1.25056</v>
      </c>
      <c r="F64" s="20" t="n">
        <f aca="false">H82+H83+H84</f>
        <v>5.7712</v>
      </c>
      <c r="G64" s="28" t="n">
        <f aca="false">MIN(ROUNDDOWN(MIN(B64*Datos!$B$57,Datos!$B$60)*2,0)/2,MAX(Datos!$B$54,ROUNDUP(INDEX(Cálculo!$C$80:$L$80,Datos!$B$6-2025)/12*Datos!$B$52*2,0)/2))</f>
        <v>3.5</v>
      </c>
      <c r="H64" s="7" t="str">
        <f aca="false">IF(AND(H85="Suma 100 %",COUNTIF(E87:G87,"No entra")=0),"OK","Revisar")</f>
        <v>OK</v>
      </c>
    </row>
    <row r="65" customFormat="false" ht="15" hidden="false" customHeight="false" outlineLevel="0" collapsed="false">
      <c r="A65" s="6" t="s">
        <v>472</v>
      </c>
      <c r="B65" s="18" t="n">
        <v>1000</v>
      </c>
      <c r="C65" s="18" t="n">
        <v>1</v>
      </c>
      <c r="D65" s="20" t="n">
        <f aca="false">B65*1.6*Datos!$B$10/1000</f>
        <v>12.592</v>
      </c>
      <c r="E65" s="26" t="n">
        <f aca="false">INDEX(Datos!$E$95:$E$100,MATCH(1.6,Datos!$A$95:$A$100,0))</f>
        <v>1.25056</v>
      </c>
      <c r="F65" s="20" t="n">
        <f aca="false">H92+H93+H94</f>
        <v>1.6455</v>
      </c>
      <c r="G65" s="28" t="n">
        <f aca="false">MIN(ROUNDDOWN(MIN(B65*Datos!$B$57,Datos!$B$60)*2,0)/2,MAX(Datos!$B$54,ROUNDUP(INDEX(Cálculo!$C$81:$L$81,Datos!$B$6-2025)/12*Datos!$B$52*2,0)/2))</f>
        <v>12</v>
      </c>
      <c r="H65" s="7" t="str">
        <f aca="false">IF(AND(H95="Suma 100 %",COUNTIF(E97:G97,"No entra")=0),"OK","Revisar")</f>
        <v>OK</v>
      </c>
    </row>
    <row r="66" customFormat="false" ht="15" hidden="false" customHeight="false" outlineLevel="0" collapsed="false">
      <c r="A66" s="6" t="s">
        <v>473</v>
      </c>
      <c r="B66" s="18" t="n">
        <v>1000</v>
      </c>
      <c r="C66" s="18" t="n">
        <v>1</v>
      </c>
      <c r="D66" s="20" t="n">
        <f aca="false">B66*2*Datos!$B$10/1000</f>
        <v>15.74</v>
      </c>
      <c r="E66" s="26" t="n">
        <f aca="false">INDEX(Datos!$E$95:$E$100,MATCH(2,Datos!$A$95:$A$100,0))</f>
        <v>1.26285</v>
      </c>
      <c r="F66" s="20" t="n">
        <f aca="false">H102</f>
        <v>0.5998</v>
      </c>
      <c r="G66" s="28" t="n">
        <f aca="false">MIN(ROUNDDOWN(MIN(B66*Datos!$B$57,Datos!$B$60)*2,0)/2,MAX(Datos!$B$54,ROUNDUP(INDEX(Cálculo!$C$82:$L$82,Datos!$B$6-2025)/12*Datos!$B$52*2,0)/2))</f>
        <v>2</v>
      </c>
      <c r="H66" s="7" t="str">
        <f aca="false">IF(AND(H103="Suma 100 %",COUNTIF(E105:G105,"No entra")=0),"OK","Revisar")</f>
        <v>OK</v>
      </c>
    </row>
    <row r="67" customFormat="false" ht="15" hidden="false" customHeight="false" outlineLevel="0" collapsed="false">
      <c r="A67" s="6" t="s">
        <v>474</v>
      </c>
      <c r="B67" s="18" t="n">
        <v>1500</v>
      </c>
      <c r="C67" s="18" t="n">
        <v>1</v>
      </c>
      <c r="D67" s="20" t="n">
        <f aca="false">B67*3.2*Datos!$B$10/1000</f>
        <v>37.776</v>
      </c>
      <c r="E67" s="26" t="n">
        <f aca="false">INDEX(Datos!$E$95:$E$100,MATCH(3.2,Datos!$A$95:$A$100,0))</f>
        <v>1.11373</v>
      </c>
      <c r="F67" s="20" t="n">
        <v>0</v>
      </c>
      <c r="G67" s="28" t="n">
        <f aca="false">MIN(ROUNDDOWN(MIN(B67*Datos!$B$57,Datos!$B$60)*2,0)/2,MAX(Datos!$B$54,ROUNDUP(INDEX(Cálculo!$C$83:$L$83,Datos!$B$6-2025)/12*Datos!$B$52*2,0)/2))</f>
        <v>3.5</v>
      </c>
      <c r="H67" s="7" t="str">
        <f aca="false">IF(AND(H111="Suma 100 %",COUNTIF(E113:G113,"No entra")=0),"OK","Revisar")</f>
        <v>OK</v>
      </c>
    </row>
    <row r="68" customFormat="false" ht="15" hidden="false" customHeight="false" outlineLevel="0" collapsed="false">
      <c r="A68" s="6" t="s">
        <v>475</v>
      </c>
      <c r="B68" s="18" t="n">
        <v>1245</v>
      </c>
      <c r="C68" s="12" t="s">
        <v>476</v>
      </c>
      <c r="D68" s="20" t="n">
        <f aca="false">B68*4.75*Datos!$B$10/1000</f>
        <v>46.5412125</v>
      </c>
      <c r="E68" s="26" t="n">
        <f aca="false">INDEX(Datos!$E$95:$E$100,MATCH(4.75,Datos!$A$95:$A$100,0))</f>
        <v>1.11373</v>
      </c>
      <c r="F68" s="20" t="n">
        <v>0</v>
      </c>
      <c r="G68" s="28" t="n">
        <f aca="false">MIN(ROUNDDOWN(MIN(B68*Datos!$B$57,Datos!$B$60)*2,0)/2,MAX(Datos!$B$54,ROUNDUP(INDEX(Cálculo!$C$84:$L$84,Datos!$B$6-2025)/12*Datos!$B$52*2,0)/2))</f>
        <v>2</v>
      </c>
      <c r="H68" s="7" t="str">
        <f aca="false">IF(AND(H118="Suma 100 %",COUNTIF(E120:G120,"No entra")=0),"OK","Revisar")</f>
        <v>OK</v>
      </c>
    </row>
    <row r="71" customFormat="false" ht="15" hidden="false" customHeight="false" outlineLevel="0" collapsed="false">
      <c r="A71" s="8" t="s">
        <v>477</v>
      </c>
    </row>
    <row r="72" customFormat="false" ht="35.05" hidden="false" customHeight="false" outlineLevel="0" collapsed="false">
      <c r="A72" s="3" t="s">
        <v>478</v>
      </c>
      <c r="B72" s="3" t="s">
        <v>15</v>
      </c>
      <c r="C72" s="3" t="s">
        <v>479</v>
      </c>
      <c r="D72" s="3" t="s">
        <v>480</v>
      </c>
      <c r="E72" s="3" t="s">
        <v>481</v>
      </c>
      <c r="F72" s="3" t="s">
        <v>482</v>
      </c>
      <c r="G72" s="3" t="s">
        <v>483</v>
      </c>
      <c r="H72" s="3" t="s">
        <v>484</v>
      </c>
    </row>
    <row r="73" customFormat="false" ht="15" hidden="false" customHeight="false" outlineLevel="0" collapsed="false">
      <c r="A73" s="6" t="s">
        <v>448</v>
      </c>
      <c r="B73" s="6" t="s">
        <v>27</v>
      </c>
      <c r="C73" s="28" t="n">
        <f aca="false">F44</f>
        <v>93.05</v>
      </c>
      <c r="D73" s="28" t="n">
        <f aca="false">G44</f>
        <v>90.35</v>
      </c>
      <c r="E73" s="18" t="n">
        <v>0</v>
      </c>
      <c r="F73" s="18" t="n">
        <v>13</v>
      </c>
      <c r="G73" s="18" t="n">
        <v>0</v>
      </c>
      <c r="H73" s="22" t="n">
        <f aca="false">E73*$E$75+F73*$F$75+G73*$G$75</f>
        <v>1.5145</v>
      </c>
    </row>
    <row r="74" customFormat="false" ht="15" hidden="false" customHeight="false" outlineLevel="0" collapsed="false">
      <c r="A74" s="6" t="s">
        <v>485</v>
      </c>
      <c r="B74" s="6" t="s">
        <v>27</v>
      </c>
      <c r="C74" s="28" t="n">
        <f aca="false">IF($C$63=1,Piezas!$F$6,Piezas!$G$6)</f>
        <v>236.5</v>
      </c>
      <c r="D74" s="28" t="n">
        <f aca="false">IF($C$63=1,Piezas!$G$6,Piezas!$F$6)</f>
        <v>263.5</v>
      </c>
      <c r="E74" s="18" t="n">
        <v>5</v>
      </c>
      <c r="F74" s="18" t="n">
        <v>0</v>
      </c>
      <c r="G74" s="18" t="n">
        <v>0</v>
      </c>
      <c r="H74" s="22" t="n">
        <f aca="false">E74*$E$75+F74*$F$75+G74*$G$75</f>
        <v>4.4175</v>
      </c>
    </row>
    <row r="75" customFormat="false" ht="23.85" hidden="false" customHeight="false" outlineLevel="0" collapsed="false">
      <c r="A75" s="6" t="s">
        <v>486</v>
      </c>
      <c r="E75" s="17" t="n">
        <v>0.8835</v>
      </c>
      <c r="F75" s="17" t="n">
        <v>0.1165</v>
      </c>
      <c r="G75" s="17" t="n">
        <v>0</v>
      </c>
      <c r="H75" s="7" t="str">
        <f aca="false">IF(ABS(SUM(E75:G75)-1)&lt;0.001,"Suma 100 %","Revisar: no suma 100 %")</f>
        <v>Suma 100 %</v>
      </c>
    </row>
    <row r="76" customFormat="false" ht="15" hidden="false" customHeight="false" outlineLevel="0" collapsed="false">
      <c r="A76" s="6" t="s">
        <v>487</v>
      </c>
      <c r="E76" s="28" t="n">
        <f aca="false">SUMPRODUCT($C$73:$C$74,E73:E74)</f>
        <v>1182.5</v>
      </c>
      <c r="F76" s="28" t="n">
        <f aca="false">SUMPRODUCT($C$73:$C$74,F73:F74)</f>
        <v>1209.65</v>
      </c>
      <c r="G76" s="28" t="n">
        <f aca="false">SUMPRODUCT($C$73:$C$74,G73:G74)</f>
        <v>0</v>
      </c>
    </row>
    <row r="77" customFormat="false" ht="23.85" hidden="false" customHeight="false" outlineLevel="0" collapsed="false">
      <c r="A77" s="6" t="s">
        <v>488</v>
      </c>
      <c r="E77" s="7" t="str">
        <f aca="false">IF(E76=0,"sin uso",IF($B$63-E76&gt;=Datos!$B$19,"OK","No entra"))</f>
        <v>OK</v>
      </c>
      <c r="F77" s="7" t="str">
        <f aca="false">IF(F76=0,"sin uso",IF($B$63-F76&gt;=Datos!$B$19,"OK","No entra"))</f>
        <v>OK</v>
      </c>
      <c r="G77" s="7" t="str">
        <f aca="false">IF(G76=0,"sin uso",IF($B$63-G76&gt;=Datos!$B$19,"OK","No entra"))</f>
        <v>sin uso</v>
      </c>
    </row>
    <row r="79" customFormat="false" ht="15" hidden="false" customHeight="false" outlineLevel="0" collapsed="false">
      <c r="A79" s="8" t="s">
        <v>489</v>
      </c>
    </row>
    <row r="80" customFormat="false" ht="35.05" hidden="false" customHeight="false" outlineLevel="0" collapsed="false">
      <c r="A80" s="3" t="s">
        <v>478</v>
      </c>
      <c r="B80" s="3" t="s">
        <v>15</v>
      </c>
      <c r="C80" s="3" t="s">
        <v>479</v>
      </c>
      <c r="D80" s="3" t="s">
        <v>480</v>
      </c>
      <c r="E80" s="3" t="s">
        <v>481</v>
      </c>
      <c r="F80" s="3" t="s">
        <v>482</v>
      </c>
      <c r="G80" s="3" t="s">
        <v>483</v>
      </c>
      <c r="H80" s="3" t="s">
        <v>484</v>
      </c>
    </row>
    <row r="81" customFormat="false" ht="15" hidden="false" customHeight="false" outlineLevel="0" collapsed="false">
      <c r="A81" s="6" t="s">
        <v>490</v>
      </c>
      <c r="B81" s="6" t="s">
        <v>29</v>
      </c>
      <c r="C81" s="28" t="n">
        <f aca="false">IF($C$64=1,Piezas!$F$7,Piezas!$G$7)</f>
        <v>385.5</v>
      </c>
      <c r="D81" s="28" t="n">
        <f aca="false">IF($C$64=1,Piezas!$G$7,Piezas!$F$7)</f>
        <v>267.5</v>
      </c>
      <c r="E81" s="18" t="n">
        <v>1</v>
      </c>
      <c r="F81" s="18" t="n">
        <v>1</v>
      </c>
      <c r="G81" s="18" t="n">
        <v>0</v>
      </c>
      <c r="H81" s="22" t="n">
        <f aca="false">E81*$E$85+F81*$F$85+G81*$G$85</f>
        <v>0.9062</v>
      </c>
    </row>
    <row r="82" customFormat="false" ht="15" hidden="false" customHeight="false" outlineLevel="0" collapsed="false">
      <c r="A82" s="6" t="s">
        <v>450</v>
      </c>
      <c r="B82" s="6" t="s">
        <v>29</v>
      </c>
      <c r="C82" s="28" t="n">
        <f aca="false">F46</f>
        <v>162.125</v>
      </c>
      <c r="D82" s="28" t="n">
        <f aca="false">G46</f>
        <v>158.375</v>
      </c>
      <c r="E82" s="18" t="n">
        <v>0</v>
      </c>
      <c r="F82" s="18" t="n">
        <v>1</v>
      </c>
      <c r="G82" s="18" t="n">
        <v>4</v>
      </c>
      <c r="H82" s="22" t="n">
        <f aca="false">E82*$E$85+F82*$F$85+G82*$G$85</f>
        <v>0.5365</v>
      </c>
    </row>
    <row r="83" customFormat="false" ht="15" hidden="false" customHeight="false" outlineLevel="0" collapsed="false">
      <c r="A83" s="6" t="s">
        <v>451</v>
      </c>
      <c r="B83" s="6" t="s">
        <v>29</v>
      </c>
      <c r="C83" s="28" t="n">
        <f aca="false">F47</f>
        <v>146.125</v>
      </c>
      <c r="D83" s="28" t="n">
        <f aca="false">G47</f>
        <v>142.375</v>
      </c>
      <c r="E83" s="18" t="n">
        <v>0</v>
      </c>
      <c r="F83" s="18" t="n">
        <v>3</v>
      </c>
      <c r="G83" s="18" t="n">
        <v>0</v>
      </c>
      <c r="H83" s="22" t="n">
        <f aca="false">E83*$E$85+F83*$F$85+G83*$G$85</f>
        <v>0.4839</v>
      </c>
    </row>
    <row r="84" customFormat="false" ht="15" hidden="false" customHeight="false" outlineLevel="0" collapsed="false">
      <c r="A84" s="6" t="s">
        <v>449</v>
      </c>
      <c r="B84" s="6" t="s">
        <v>27</v>
      </c>
      <c r="C84" s="28" t="n">
        <f aca="false">F45</f>
        <v>100.625</v>
      </c>
      <c r="D84" s="28" t="n">
        <f aca="false">G45</f>
        <v>96.875</v>
      </c>
      <c r="E84" s="18" t="n">
        <v>6</v>
      </c>
      <c r="F84" s="18" t="n">
        <v>0</v>
      </c>
      <c r="G84" s="18" t="n">
        <v>3</v>
      </c>
      <c r="H84" s="22" t="n">
        <f aca="false">E84*$E$85+F84*$F$85+G84*$G$85</f>
        <v>4.7508</v>
      </c>
    </row>
    <row r="85" customFormat="false" ht="23.85" hidden="false" customHeight="false" outlineLevel="0" collapsed="false">
      <c r="A85" s="6" t="s">
        <v>486</v>
      </c>
      <c r="E85" s="17" t="n">
        <v>0.7449</v>
      </c>
      <c r="F85" s="17" t="n">
        <v>0.1613</v>
      </c>
      <c r="G85" s="17" t="n">
        <v>0.0938</v>
      </c>
      <c r="H85" s="7" t="str">
        <f aca="false">IF(ABS(SUM(E85:G85)-1)&lt;0.001,"Suma 100 %","Revisar: no suma 100 %")</f>
        <v>Suma 100 %</v>
      </c>
    </row>
    <row r="86" customFormat="false" ht="15" hidden="false" customHeight="false" outlineLevel="0" collapsed="false">
      <c r="A86" s="6" t="s">
        <v>487</v>
      </c>
      <c r="E86" s="28" t="n">
        <f aca="false">SUMPRODUCT($C$81:$C$84,E81:E84)</f>
        <v>989.25</v>
      </c>
      <c r="F86" s="28" t="n">
        <f aca="false">SUMPRODUCT($C$81:$C$84,F81:F84)</f>
        <v>986</v>
      </c>
      <c r="G86" s="28" t="n">
        <f aca="false">SUMPRODUCT($C$81:$C$84,G81:G84)</f>
        <v>950.375</v>
      </c>
    </row>
    <row r="87" customFormat="false" ht="23.85" hidden="false" customHeight="false" outlineLevel="0" collapsed="false">
      <c r="A87" s="6" t="s">
        <v>488</v>
      </c>
      <c r="E87" s="7" t="str">
        <f aca="false">IF(E86=0,"sin uso",IF($B$64-E86&gt;=Datos!$B$19,"OK","No entra"))</f>
        <v>OK</v>
      </c>
      <c r="F87" s="7" t="str">
        <f aca="false">IF(F86=0,"sin uso",IF($B$64-F86&gt;=Datos!$B$19,"OK","No entra"))</f>
        <v>OK</v>
      </c>
      <c r="G87" s="7" t="str">
        <f aca="false">IF(G86=0,"sin uso",IF($B$64-G86&gt;=Datos!$B$19,"OK","No entra"))</f>
        <v>OK</v>
      </c>
    </row>
    <row r="89" customFormat="false" ht="15" hidden="false" customHeight="false" outlineLevel="0" collapsed="false">
      <c r="A89" s="8" t="s">
        <v>491</v>
      </c>
    </row>
    <row r="90" customFormat="false" ht="35.05" hidden="false" customHeight="false" outlineLevel="0" collapsed="false">
      <c r="A90" s="3" t="s">
        <v>478</v>
      </c>
      <c r="B90" s="3" t="s">
        <v>15</v>
      </c>
      <c r="C90" s="3" t="s">
        <v>479</v>
      </c>
      <c r="D90" s="3" t="s">
        <v>480</v>
      </c>
      <c r="E90" s="3" t="s">
        <v>481</v>
      </c>
      <c r="F90" s="3" t="s">
        <v>482</v>
      </c>
      <c r="G90" s="3" t="s">
        <v>483</v>
      </c>
      <c r="H90" s="3" t="s">
        <v>484</v>
      </c>
    </row>
    <row r="91" customFormat="false" ht="15" hidden="false" customHeight="false" outlineLevel="0" collapsed="false">
      <c r="A91" s="6" t="s">
        <v>492</v>
      </c>
      <c r="B91" s="6" t="s">
        <v>30</v>
      </c>
      <c r="C91" s="28" t="n">
        <f aca="false">IF($C$65=1,Piezas!$F$8,Piezas!$G$8)</f>
        <v>327.5</v>
      </c>
      <c r="D91" s="28" t="n">
        <f aca="false">IF($C$65=1,Piezas!$G$8,Piezas!$F$8)</f>
        <v>475.5</v>
      </c>
      <c r="E91" s="18" t="n">
        <v>3</v>
      </c>
      <c r="F91" s="18" t="n">
        <v>0</v>
      </c>
      <c r="G91" s="18" t="n">
        <v>0</v>
      </c>
      <c r="H91" s="22" t="n">
        <f aca="false">E91*$E$95+F91*$F$95+G91*$G$95</f>
        <v>2.0127</v>
      </c>
    </row>
    <row r="92" customFormat="false" ht="15" hidden="false" customHeight="false" outlineLevel="0" collapsed="false">
      <c r="A92" s="6" t="s">
        <v>452</v>
      </c>
      <c r="B92" s="6" t="s">
        <v>30</v>
      </c>
      <c r="C92" s="28" t="n">
        <f aca="false">F48</f>
        <v>204.2</v>
      </c>
      <c r="D92" s="28" t="n">
        <f aca="false">G48</f>
        <v>199.4</v>
      </c>
      <c r="E92" s="18" t="n">
        <v>0</v>
      </c>
      <c r="F92" s="18" t="n">
        <v>3</v>
      </c>
      <c r="G92" s="18" t="n">
        <v>1</v>
      </c>
      <c r="H92" s="22" t="n">
        <f aca="false">E92*$E$95+F92*$F$95+G92*$G$95</f>
        <v>0.8441</v>
      </c>
    </row>
    <row r="93" customFormat="false" ht="15" hidden="false" customHeight="false" outlineLevel="0" collapsed="false">
      <c r="A93" s="6" t="s">
        <v>453</v>
      </c>
      <c r="B93" s="6" t="s">
        <v>30</v>
      </c>
      <c r="C93" s="28" t="n">
        <f aca="false">F49</f>
        <v>177.2</v>
      </c>
      <c r="D93" s="28" t="n">
        <f aca="false">G49</f>
        <v>172.4</v>
      </c>
      <c r="E93" s="18" t="n">
        <v>0</v>
      </c>
      <c r="F93" s="18" t="n">
        <v>2</v>
      </c>
      <c r="G93" s="18" t="n">
        <v>3</v>
      </c>
      <c r="H93" s="22" t="n">
        <f aca="false">E93*$E$95+F93*$F$95+G93*$G$95</f>
        <v>0.7298</v>
      </c>
    </row>
    <row r="94" customFormat="false" ht="15" hidden="false" customHeight="false" outlineLevel="0" collapsed="false">
      <c r="A94" s="6" t="s">
        <v>454</v>
      </c>
      <c r="B94" s="6" t="s">
        <v>31</v>
      </c>
      <c r="C94" s="28" t="n">
        <f aca="false">F50</f>
        <v>238.7</v>
      </c>
      <c r="D94" s="28" t="n">
        <f aca="false">G50</f>
        <v>233.9</v>
      </c>
      <c r="E94" s="18" t="n">
        <v>0</v>
      </c>
      <c r="F94" s="18" t="n">
        <v>0</v>
      </c>
      <c r="G94" s="18" t="n">
        <v>1</v>
      </c>
      <c r="H94" s="22" t="n">
        <f aca="false">E94*$E$95+F94*$F$95+G94*$G$95</f>
        <v>0.0716</v>
      </c>
    </row>
    <row r="95" customFormat="false" ht="23.85" hidden="false" customHeight="false" outlineLevel="0" collapsed="false">
      <c r="A95" s="6" t="s">
        <v>486</v>
      </c>
      <c r="E95" s="17" t="n">
        <v>0.6709</v>
      </c>
      <c r="F95" s="17" t="n">
        <v>0.2575</v>
      </c>
      <c r="G95" s="17" t="n">
        <v>0.0716</v>
      </c>
      <c r="H95" s="7" t="str">
        <f aca="false">IF(ABS(SUM(E95:G95)-1)&lt;0.001,"Suma 100 %","Revisar: no suma 100 %")</f>
        <v>Suma 100 %</v>
      </c>
    </row>
    <row r="96" customFormat="false" ht="15" hidden="false" customHeight="false" outlineLevel="0" collapsed="false">
      <c r="A96" s="6" t="s">
        <v>487</v>
      </c>
      <c r="E96" s="28" t="n">
        <f aca="false">SUMPRODUCT($C$91:$C$94,E91:E94)</f>
        <v>982.5</v>
      </c>
      <c r="F96" s="28" t="n">
        <f aca="false">SUMPRODUCT($C$91:$C$94,F91:F94)</f>
        <v>967</v>
      </c>
      <c r="G96" s="28" t="n">
        <f aca="false">SUMPRODUCT($C$91:$C$94,G91:G94)</f>
        <v>974.5</v>
      </c>
    </row>
    <row r="97" customFormat="false" ht="23.85" hidden="false" customHeight="false" outlineLevel="0" collapsed="false">
      <c r="A97" s="6" t="s">
        <v>488</v>
      </c>
      <c r="E97" s="7" t="str">
        <f aca="false">IF(E96=0,"sin uso",IF($B$65-E96&gt;=Datos!$B$19,"OK","No entra"))</f>
        <v>OK</v>
      </c>
      <c r="F97" s="7" t="str">
        <f aca="false">IF(F96=0,"sin uso",IF($B$65-F96&gt;=Datos!$B$19,"OK","No entra"))</f>
        <v>OK</v>
      </c>
      <c r="G97" s="7" t="str">
        <f aca="false">IF(G96=0,"sin uso",IF($B$65-G96&gt;=Datos!$B$19,"OK","No entra"))</f>
        <v>OK</v>
      </c>
    </row>
    <row r="99" customFormat="false" ht="15" hidden="false" customHeight="false" outlineLevel="0" collapsed="false">
      <c r="A99" s="8" t="s">
        <v>493</v>
      </c>
    </row>
    <row r="100" customFormat="false" ht="35.05" hidden="false" customHeight="false" outlineLevel="0" collapsed="false">
      <c r="A100" s="3" t="s">
        <v>478</v>
      </c>
      <c r="B100" s="3" t="s">
        <v>15</v>
      </c>
      <c r="C100" s="3" t="s">
        <v>479</v>
      </c>
      <c r="D100" s="3" t="s">
        <v>480</v>
      </c>
      <c r="E100" s="3" t="s">
        <v>481</v>
      </c>
      <c r="F100" s="3" t="s">
        <v>482</v>
      </c>
      <c r="G100" s="3" t="s">
        <v>483</v>
      </c>
      <c r="H100" s="3" t="s">
        <v>484</v>
      </c>
    </row>
    <row r="101" customFormat="false" ht="15" hidden="false" customHeight="false" outlineLevel="0" collapsed="false">
      <c r="A101" s="6" t="s">
        <v>494</v>
      </c>
      <c r="B101" s="6" t="s">
        <v>31</v>
      </c>
      <c r="C101" s="28" t="n">
        <f aca="false">IF($C$66=1,Piezas!$F$9,Piezas!$G$9)</f>
        <v>493</v>
      </c>
      <c r="D101" s="28" t="n">
        <f aca="false">IF($C$66=1,Piezas!$G$9,Piezas!$F$9)</f>
        <v>564</v>
      </c>
      <c r="E101" s="18" t="n">
        <v>2</v>
      </c>
      <c r="F101" s="18" t="n">
        <v>1</v>
      </c>
      <c r="G101" s="18" t="n">
        <v>0</v>
      </c>
      <c r="H101" s="22" t="n">
        <f aca="false">E101*$E$103+F101*$F$103+G101*$G$103</f>
        <v>1.7001</v>
      </c>
    </row>
    <row r="102" customFormat="false" ht="15" hidden="false" customHeight="false" outlineLevel="0" collapsed="false">
      <c r="A102" s="6" t="s">
        <v>455</v>
      </c>
      <c r="B102" s="6" t="s">
        <v>31</v>
      </c>
      <c r="C102" s="28" t="n">
        <f aca="false">F51</f>
        <v>205</v>
      </c>
      <c r="D102" s="28" t="n">
        <f aca="false">G51</f>
        <v>199</v>
      </c>
      <c r="E102" s="18" t="n">
        <v>0</v>
      </c>
      <c r="F102" s="18" t="n">
        <v>2</v>
      </c>
      <c r="G102" s="18" t="n">
        <v>0</v>
      </c>
      <c r="H102" s="22" t="n">
        <f aca="false">E102*$E$103+F102*$F$103+G102*$G$103</f>
        <v>0.5998</v>
      </c>
    </row>
    <row r="103" customFormat="false" ht="23.85" hidden="false" customHeight="false" outlineLevel="0" collapsed="false">
      <c r="A103" s="6" t="s">
        <v>486</v>
      </c>
      <c r="E103" s="17" t="n">
        <v>0.7001</v>
      </c>
      <c r="F103" s="17" t="n">
        <v>0.2999</v>
      </c>
      <c r="G103" s="17" t="n">
        <v>0</v>
      </c>
      <c r="H103" s="7" t="str">
        <f aca="false">IF(ABS(SUM(E103:G103)-1)&lt;0.001,"Suma 100 %","Revisar: no suma 100 %")</f>
        <v>Suma 100 %</v>
      </c>
    </row>
    <row r="104" customFormat="false" ht="15" hidden="false" customHeight="false" outlineLevel="0" collapsed="false">
      <c r="A104" s="6" t="s">
        <v>487</v>
      </c>
      <c r="E104" s="28" t="n">
        <f aca="false">SUMPRODUCT($C$101:$C$102,E101:E102)</f>
        <v>986</v>
      </c>
      <c r="F104" s="28" t="n">
        <f aca="false">SUMPRODUCT($C$101:$C$102,F101:F102)</f>
        <v>903</v>
      </c>
      <c r="G104" s="28" t="n">
        <f aca="false">SUMPRODUCT($C$101:$C$102,G101:G102)</f>
        <v>0</v>
      </c>
    </row>
    <row r="105" customFormat="false" ht="23.85" hidden="false" customHeight="false" outlineLevel="0" collapsed="false">
      <c r="A105" s="6" t="s">
        <v>488</v>
      </c>
      <c r="E105" s="7" t="str">
        <f aca="false">IF(E104=0,"sin uso",IF($B$66-E104&gt;=Datos!$B$19,"OK","No entra"))</f>
        <v>OK</v>
      </c>
      <c r="F105" s="7" t="str">
        <f aca="false">IF(F104=0,"sin uso",IF($B$66-F104&gt;=Datos!$B$19,"OK","No entra"))</f>
        <v>OK</v>
      </c>
      <c r="G105" s="7" t="str">
        <f aca="false">IF(G104=0,"sin uso",IF($B$66-G104&gt;=Datos!$B$19,"OK","No entra"))</f>
        <v>sin uso</v>
      </c>
    </row>
    <row r="107" customFormat="false" ht="15" hidden="false" customHeight="false" outlineLevel="0" collapsed="false">
      <c r="A107" s="8" t="s">
        <v>495</v>
      </c>
    </row>
    <row r="108" customFormat="false" ht="35.05" hidden="false" customHeight="false" outlineLevel="0" collapsed="false">
      <c r="A108" s="3" t="s">
        <v>478</v>
      </c>
      <c r="B108" s="3" t="s">
        <v>15</v>
      </c>
      <c r="C108" s="3" t="s">
        <v>479</v>
      </c>
      <c r="D108" s="3" t="s">
        <v>480</v>
      </c>
      <c r="E108" s="3" t="s">
        <v>481</v>
      </c>
      <c r="F108" s="3" t="s">
        <v>482</v>
      </c>
      <c r="G108" s="3" t="s">
        <v>483</v>
      </c>
      <c r="H108" s="3" t="s">
        <v>484</v>
      </c>
    </row>
    <row r="109" customFormat="false" ht="15" hidden="false" customHeight="false" outlineLevel="0" collapsed="false">
      <c r="A109" s="6" t="s">
        <v>496</v>
      </c>
      <c r="B109" s="6" t="s">
        <v>32</v>
      </c>
      <c r="C109" s="28" t="n">
        <f aca="false">IF($C$67=1,Piezas!$F$10,Piezas!$G$10)</f>
        <v>493</v>
      </c>
      <c r="D109" s="28" t="n">
        <f aca="false">IF($C$67=1,Piezas!$G$10,Piezas!$F$10)</f>
        <v>858.5</v>
      </c>
      <c r="E109" s="18" t="n">
        <v>0</v>
      </c>
      <c r="F109" s="18" t="n">
        <v>3</v>
      </c>
      <c r="G109" s="18" t="n">
        <v>0</v>
      </c>
      <c r="H109" s="22" t="n">
        <f aca="false">E109*$E$111+F109*$F$111+G109*$G$111</f>
        <v>0.6216</v>
      </c>
    </row>
    <row r="110" customFormat="false" ht="15" hidden="false" customHeight="false" outlineLevel="0" collapsed="false">
      <c r="A110" s="6" t="s">
        <v>497</v>
      </c>
      <c r="B110" s="6" t="s">
        <v>33</v>
      </c>
      <c r="C110" s="28" t="n">
        <f aca="false">IF($C$67=1,Piezas!$F$11,Piezas!$G$11)</f>
        <v>640</v>
      </c>
      <c r="D110" s="28" t="n">
        <f aca="false">IF($C$67=1,Piezas!$G$11,Piezas!$F$11)</f>
        <v>995.5</v>
      </c>
      <c r="E110" s="18" t="n">
        <v>2</v>
      </c>
      <c r="F110" s="18" t="n">
        <v>0</v>
      </c>
      <c r="G110" s="18" t="n">
        <v>0</v>
      </c>
      <c r="H110" s="22" t="n">
        <f aca="false">E110*$E$111+F110*$F$111+G110*$G$111</f>
        <v>1.5856</v>
      </c>
    </row>
    <row r="111" customFormat="false" ht="23.85" hidden="false" customHeight="false" outlineLevel="0" collapsed="false">
      <c r="A111" s="6" t="s">
        <v>486</v>
      </c>
      <c r="E111" s="17" t="n">
        <v>0.7928</v>
      </c>
      <c r="F111" s="17" t="n">
        <v>0.2072</v>
      </c>
      <c r="G111" s="17" t="n">
        <v>0</v>
      </c>
      <c r="H111" s="7" t="str">
        <f aca="false">IF(ABS(SUM(E111:G111)-1)&lt;0.001,"Suma 100 %","Revisar: no suma 100 %")</f>
        <v>Suma 100 %</v>
      </c>
    </row>
    <row r="112" customFormat="false" ht="15" hidden="false" customHeight="false" outlineLevel="0" collapsed="false">
      <c r="A112" s="6" t="s">
        <v>487</v>
      </c>
      <c r="E112" s="28" t="n">
        <f aca="false">SUMPRODUCT($C$109:$C$110,E109:E110)</f>
        <v>1280</v>
      </c>
      <c r="F112" s="28" t="n">
        <f aca="false">SUMPRODUCT($C$109:$C$110,F109:F110)</f>
        <v>1479</v>
      </c>
      <c r="G112" s="28" t="n">
        <f aca="false">SUMPRODUCT($C$109:$C$110,G109:G110)</f>
        <v>0</v>
      </c>
    </row>
    <row r="113" customFormat="false" ht="23.85" hidden="false" customHeight="false" outlineLevel="0" collapsed="false">
      <c r="A113" s="6" t="s">
        <v>488</v>
      </c>
      <c r="E113" s="7" t="str">
        <f aca="false">IF(E112=0,"sin uso",IF($B$67-E112&gt;=Datos!$B$19,"OK","No entra"))</f>
        <v>OK</v>
      </c>
      <c r="F113" s="7" t="str">
        <f aca="false">IF(F112=0,"sin uso",IF($B$67-F112&gt;=Datos!$B$19,"OK","No entra"))</f>
        <v>OK</v>
      </c>
      <c r="G113" s="7" t="str">
        <f aca="false">IF(G112=0,"sin uso",IF($B$67-G112&gt;=Datos!$B$19,"OK","No entra"))</f>
        <v>sin uso</v>
      </c>
    </row>
    <row r="115" customFormat="false" ht="15" hidden="false" customHeight="false" outlineLevel="0" collapsed="false">
      <c r="A115" s="8" t="s">
        <v>498</v>
      </c>
    </row>
    <row r="116" customFormat="false" ht="35.05" hidden="false" customHeight="false" outlineLevel="0" collapsed="false">
      <c r="A116" s="3" t="s">
        <v>478</v>
      </c>
      <c r="B116" s="3" t="s">
        <v>15</v>
      </c>
      <c r="C116" s="3" t="s">
        <v>479</v>
      </c>
      <c r="D116" s="3" t="s">
        <v>480</v>
      </c>
      <c r="E116" s="3" t="s">
        <v>481</v>
      </c>
      <c r="F116" s="3" t="s">
        <v>482</v>
      </c>
      <c r="G116" s="3" t="s">
        <v>483</v>
      </c>
      <c r="H116" s="3" t="s">
        <v>484</v>
      </c>
    </row>
    <row r="117" customFormat="false" ht="23.85" hidden="false" customHeight="false" outlineLevel="0" collapsed="false">
      <c r="A117" s="6" t="s">
        <v>499</v>
      </c>
      <c r="B117" s="6" t="s">
        <v>500</v>
      </c>
      <c r="C117" s="28" t="n">
        <f aca="false">Piezas!$G$13</f>
        <v>1210.5</v>
      </c>
      <c r="D117" s="6" t="s">
        <v>501</v>
      </c>
      <c r="E117" s="18" t="n">
        <v>1</v>
      </c>
      <c r="F117" s="18" t="n">
        <v>0</v>
      </c>
      <c r="G117" s="18" t="n">
        <v>0</v>
      </c>
      <c r="H117" s="22" t="n">
        <f aca="false">E117*$E$118+F117*$F$118+G117*$G$118</f>
        <v>1</v>
      </c>
    </row>
    <row r="118" customFormat="false" ht="23.85" hidden="false" customHeight="false" outlineLevel="0" collapsed="false">
      <c r="A118" s="6" t="s">
        <v>486</v>
      </c>
      <c r="E118" s="17" t="n">
        <v>1</v>
      </c>
      <c r="F118" s="17" t="n">
        <v>0</v>
      </c>
      <c r="G118" s="17" t="n">
        <v>0</v>
      </c>
      <c r="H118" s="7" t="str">
        <f aca="false">IF(ABS(SUM(E118:G118)-1)&lt;0.001,"Suma 100 %","Revisar: no suma 100 %")</f>
        <v>Suma 100 %</v>
      </c>
    </row>
    <row r="119" customFormat="false" ht="15" hidden="false" customHeight="false" outlineLevel="0" collapsed="false">
      <c r="A119" s="6" t="s">
        <v>487</v>
      </c>
      <c r="E119" s="28" t="n">
        <f aca="false">SUMPRODUCT($C$117:$C$117,E117:E117)</f>
        <v>1210.5</v>
      </c>
      <c r="F119" s="28" t="n">
        <f aca="false">SUMPRODUCT($C$117:$C$117,F117:F117)</f>
        <v>0</v>
      </c>
      <c r="G119" s="28" t="n">
        <f aca="false">SUMPRODUCT($C$117:$C$117,G117:G117)</f>
        <v>0</v>
      </c>
    </row>
    <row r="120" customFormat="false" ht="23.85" hidden="false" customHeight="false" outlineLevel="0" collapsed="false">
      <c r="A120" s="6" t="s">
        <v>488</v>
      </c>
      <c r="E120" s="7" t="str">
        <f aca="false">IF(E119=0,"sin uso",IF($B$68-E119&gt;=Datos!$B$19,"OK","No entra"))</f>
        <v>OK</v>
      </c>
      <c r="F120" s="7" t="str">
        <f aca="false">IF(F119=0,"sin uso",IF($B$68-F119&gt;=Datos!$B$19,"OK","No entra"))</f>
        <v>sin uso</v>
      </c>
      <c r="G120" s="7" t="str">
        <f aca="false">IF(G119=0,"sin uso",IF($B$68-G119&gt;=Datos!$B$19,"OK","No entra"))</f>
        <v>sin uso</v>
      </c>
    </row>
    <row r="121" customFormat="false" ht="15" hidden="false" customHeight="false" outlineLevel="0" collapsed="false">
      <c r="A121" s="2" t="s">
        <v>502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1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8" min="7" style="0" width="12"/>
    <col collapsed="false" customWidth="true" hidden="false" outlineLevel="0" max="10" min="9" style="0" width="10"/>
    <col collapsed="false" customWidth="true" hidden="false" outlineLevel="0" max="11" min="11" style="0" width="11"/>
    <col collapsed="false" customWidth="true" hidden="false" outlineLevel="0" max="12" min="12" style="0" width="10"/>
    <col collapsed="false" customWidth="true" hidden="false" outlineLevel="0" max="13" min="13" style="0" width="11"/>
    <col collapsed="false" customWidth="true" hidden="false" outlineLevel="0" max="14" min="14" style="0" width="12"/>
    <col collapsed="false" customWidth="true" hidden="false" outlineLevel="0" max="15" min="15" style="0" width="30"/>
  </cols>
  <sheetData>
    <row r="1" customFormat="false" ht="15" hidden="false" customHeight="false" outlineLevel="0" collapsed="false">
      <c r="A1" s="1" t="s">
        <v>503</v>
      </c>
    </row>
    <row r="2" customFormat="false" ht="15" hidden="false" customHeight="false" outlineLevel="0" collapsed="false">
      <c r="A2" s="2" t="s">
        <v>504</v>
      </c>
    </row>
    <row r="4" customFormat="false" ht="15" hidden="false" customHeight="false" outlineLevel="0" collapsed="false">
      <c r="A4" s="8" t="s">
        <v>505</v>
      </c>
    </row>
    <row r="5" customFormat="false" ht="23.85" hidden="false" customHeight="false" outlineLevel="0" collapsed="false">
      <c r="A5" s="3" t="s">
        <v>15</v>
      </c>
      <c r="B5" s="3" t="s">
        <v>380</v>
      </c>
      <c r="C5" s="3" t="s">
        <v>506</v>
      </c>
      <c r="D5" s="3" t="s">
        <v>199</v>
      </c>
      <c r="E5" s="3" t="s">
        <v>197</v>
      </c>
      <c r="F5" s="3" t="s">
        <v>203</v>
      </c>
      <c r="G5" s="3" t="s">
        <v>507</v>
      </c>
      <c r="H5" s="3" t="s">
        <v>387</v>
      </c>
      <c r="I5" s="3" t="s">
        <v>388</v>
      </c>
      <c r="J5" s="3" t="s">
        <v>401</v>
      </c>
      <c r="K5" s="3" t="s">
        <v>508</v>
      </c>
      <c r="L5" s="3" t="s">
        <v>421</v>
      </c>
      <c r="M5" s="3" t="s">
        <v>509</v>
      </c>
      <c r="N5" s="3" t="s">
        <v>510</v>
      </c>
    </row>
    <row r="6" customFormat="false" ht="15" hidden="false" customHeight="false" outlineLevel="0" collapsed="false">
      <c r="A6" s="6" t="s">
        <v>27</v>
      </c>
      <c r="B6" s="18" t="n">
        <v>1220</v>
      </c>
      <c r="C6" s="18" t="n">
        <v>2440</v>
      </c>
      <c r="D6" s="24" t="n">
        <f aca="false">Piezas!$E$6</f>
        <v>0.9</v>
      </c>
      <c r="E6" s="6" t="s">
        <v>236</v>
      </c>
      <c r="F6" s="26" t="n">
        <f aca="false">Datos!$G$77</f>
        <v>1.3561</v>
      </c>
      <c r="G6" s="7" t="str">
        <f aca="false">IF(IF(AND(Piezas!$F$6&lt;=Datos!$B$34,Piezas!$F$6&lt;=Datos!$B$36,B6&lt;=Datos!$B$33,OR(Piezas!$G$6&lt;=Datos!$B$37,AND(INT(B6/Piezas!$G$6)=1,B6-Piezas!$G$6&lt;=Datos!$B$37))),INT(C6/Piezas!$F$6)*INT(B6/Piezas!$G$6),0)&gt;=IF(AND(Piezas!$G$6&lt;=Datos!$B$34,Piezas!$G$6&lt;=Datos!$B$36,B6&lt;=Datos!$B$33,OR(Piezas!$F$6&lt;=Datos!$B$37,AND(INT(B6/Piezas!$F$6)=1,B6-Piezas!$F$6&lt;=Datos!$B$37))),INT(C6/Piezas!$G$6)*INT(B6/Piezas!$F$6),0),INT(C6/Piezas!$F$6)&amp;" × "&amp;INT(B6/Piezas!$G$6),INT(C6/Piezas!$G$6)&amp;" × "&amp;INT(B6/Piezas!$F$6))</f>
        <v>9 × 5</v>
      </c>
      <c r="H6" s="9" t="n">
        <f aca="false">MAX(IF(AND(Piezas!$F$6&lt;=Datos!$B$34,Piezas!$F$6&lt;=Datos!$B$36,B6&lt;=Datos!$B$33,OR(Piezas!$G$6&lt;=Datos!$B$37,AND(INT(B6/Piezas!$G$6)=1,B6-Piezas!$G$6&lt;=Datos!$B$37))),INT(C6/Piezas!$F$6)*INT(B6/Piezas!$G$6),0),IF(AND(Piezas!$G$6&lt;=Datos!$B$34,Piezas!$G$6&lt;=Datos!$B$36,B6&lt;=Datos!$B$33,OR(Piezas!$F$6&lt;=Datos!$B$37,AND(INT(B6/Piezas!$F$6)=1,B6-Piezas!$F$6&lt;=Datos!$B$37))),INT(C6/Piezas!$G$6)*INT(B6/Piezas!$F$6),0))</f>
        <v>45</v>
      </c>
      <c r="I6" s="10" t="n">
        <f aca="false">IF(H6=0,0,H6*Piezas!$F$6*Piezas!$G$6/(B6*C6))</f>
        <v>0.942051447863478</v>
      </c>
      <c r="J6" s="30" t="n">
        <f aca="false">B6*C6*D6*Datos!$B$10/1000000</f>
        <v>21.0846744</v>
      </c>
      <c r="K6" s="22" t="n">
        <f aca="false">IF(H6=0,0,J6/H6)</f>
        <v>0.46854832</v>
      </c>
      <c r="L6" s="20" t="n">
        <f aca="false">IF(H6=0,0,K6*F6)</f>
        <v>0.635398376752</v>
      </c>
      <c r="M6" s="31" t="str">
        <f aca="false">IF(L6=MIN($L$6:$L$7),"Sí","")</f>
        <v>Sí</v>
      </c>
      <c r="N6" s="7" t="str">
        <f aca="false">IF(AND(B6=Corte!$B$6,C6=Corte!$C$6,F6=INDEX(Datos!$C$95:$C$100,MATCH(Piezas!$E$6,Datos!$A$95:$A$100,0))),"Sí","")</f>
        <v>Sí</v>
      </c>
    </row>
    <row r="7" customFormat="false" ht="15" hidden="false" customHeight="false" outlineLevel="0" collapsed="false">
      <c r="A7" s="6" t="s">
        <v>27</v>
      </c>
      <c r="B7" s="18" t="n">
        <v>1000</v>
      </c>
      <c r="C7" s="18" t="n">
        <v>2000</v>
      </c>
      <c r="D7" s="24" t="n">
        <f aca="false">Piezas!$E$6</f>
        <v>0.9</v>
      </c>
      <c r="E7" s="6" t="s">
        <v>238</v>
      </c>
      <c r="F7" s="26" t="n">
        <f aca="false">Datos!$G$78</f>
        <v>1.3993</v>
      </c>
      <c r="G7" s="7" t="str">
        <f aca="false">IF(IF(AND(Piezas!$F$6&lt;=Datos!$B$34,Piezas!$F$6&lt;=Datos!$B$36,B7&lt;=Datos!$B$33,OR(Piezas!$G$6&lt;=Datos!$B$37,AND(INT(B7/Piezas!$G$6)=1,B7-Piezas!$G$6&lt;=Datos!$B$37))),INT(C7/Piezas!$F$6)*INT(B7/Piezas!$G$6),0)&gt;=IF(AND(Piezas!$G$6&lt;=Datos!$B$34,Piezas!$G$6&lt;=Datos!$B$36,B7&lt;=Datos!$B$33,OR(Piezas!$F$6&lt;=Datos!$B$37,AND(INT(B7/Piezas!$F$6)=1,B7-Piezas!$F$6&lt;=Datos!$B$37))),INT(C7/Piezas!$G$6)*INT(B7/Piezas!$F$6),0),INT(C7/Piezas!$F$6)&amp;" × "&amp;INT(B7/Piezas!$G$6),INT(C7/Piezas!$G$6)&amp;" × "&amp;INT(B7/Piezas!$F$6))</f>
        <v>7 × 4</v>
      </c>
      <c r="H7" s="9" t="n">
        <f aca="false">MAX(IF(AND(Piezas!$F$6&lt;=Datos!$B$34,Piezas!$F$6&lt;=Datos!$B$36,B7&lt;=Datos!$B$33,OR(Piezas!$G$6&lt;=Datos!$B$37,AND(INT(B7/Piezas!$G$6)=1,B7-Piezas!$G$6&lt;=Datos!$B$37))),INT(C7/Piezas!$F$6)*INT(B7/Piezas!$G$6),0),IF(AND(Piezas!$G$6&lt;=Datos!$B$34,Piezas!$G$6&lt;=Datos!$B$36,B7&lt;=Datos!$B$33,OR(Piezas!$F$6&lt;=Datos!$B$37,AND(INT(B7/Piezas!$F$6)=1,B7-Piezas!$F$6&lt;=Datos!$B$37))),INT(C7/Piezas!$G$6)*INT(B7/Piezas!$F$6),0))</f>
        <v>28</v>
      </c>
      <c r="I7" s="10" t="n">
        <f aca="false">IF(H7=0,0,H7*Piezas!$F$6*Piezas!$G$6/(B7*C7))</f>
        <v>0.8724485</v>
      </c>
      <c r="J7" s="30" t="n">
        <f aca="false">B7*C7*D7*Datos!$B$10/1000000</f>
        <v>14.166</v>
      </c>
      <c r="K7" s="22" t="n">
        <f aca="false">IF(H7=0,0,J7/H7)</f>
        <v>0.505928571428571</v>
      </c>
      <c r="L7" s="20" t="n">
        <f aca="false">IF(H7=0,0,K7*F7)</f>
        <v>0.70794585</v>
      </c>
      <c r="M7" s="31" t="str">
        <f aca="false">IF(L7=MIN($L$6:$L$7),"Sí","")</f>
        <v/>
      </c>
      <c r="N7" s="7" t="str">
        <f aca="false">IF(AND(B7=Corte!$B$6,C7=Corte!$C$6,F7=INDEX(Datos!$C$95:$C$100,MATCH(Piezas!$E$6,Datos!$A$95:$A$100,0))),"Sí","")</f>
        <v/>
      </c>
    </row>
    <row r="8" customFormat="false" ht="15" hidden="false" customHeight="false" outlineLevel="0" collapsed="false">
      <c r="A8" s="6" t="s">
        <v>29</v>
      </c>
      <c r="B8" s="18" t="n">
        <v>1220</v>
      </c>
      <c r="C8" s="18" t="n">
        <v>2440</v>
      </c>
      <c r="D8" s="24" t="n">
        <f aca="false">Piezas!$E$7</f>
        <v>1.25</v>
      </c>
      <c r="E8" s="6" t="s">
        <v>226</v>
      </c>
      <c r="F8" s="26" t="n">
        <f aca="false">Datos!$G$73</f>
        <v>1.29029773462783</v>
      </c>
      <c r="G8" s="7" t="str">
        <f aca="false">IF(IF(AND(Piezas!$F$7&lt;=Datos!$B$34,Piezas!$F$7&lt;=Datos!$B$36,B8&lt;=Datos!$B$33,OR(Piezas!$G$7&lt;=Datos!$B$37,AND(INT(B8/Piezas!$G$7)=1,B8-Piezas!$G$7&lt;=Datos!$B$37))),INT(C8/Piezas!$F$7)*INT(B8/Piezas!$G$7),0)&gt;=IF(AND(Piezas!$G$7&lt;=Datos!$B$34,Piezas!$G$7&lt;=Datos!$B$36,B8&lt;=Datos!$B$33,OR(Piezas!$F$7&lt;=Datos!$B$37,AND(INT(B8/Piezas!$F$7)=1,B8-Piezas!$F$7&lt;=Datos!$B$37))),INT(C8/Piezas!$G$7)*INT(B8/Piezas!$F$7),0),INT(C8/Piezas!$F$7)&amp;" × "&amp;INT(B8/Piezas!$G$7),INT(C8/Piezas!$G$7)&amp;" × "&amp;INT(B8/Piezas!$F$7))</f>
        <v>9 × 3</v>
      </c>
      <c r="H8" s="9" t="n">
        <f aca="false">MAX(IF(AND(Piezas!$F$7&lt;=Datos!$B$34,Piezas!$F$7&lt;=Datos!$B$36,B8&lt;=Datos!$B$33,OR(Piezas!$G$7&lt;=Datos!$B$37,AND(INT(B8/Piezas!$G$7)=1,B8-Piezas!$G$7&lt;=Datos!$B$37))),INT(C8/Piezas!$F$7)*INT(B8/Piezas!$G$7),0),IF(AND(Piezas!$G$7&lt;=Datos!$B$34,Piezas!$G$7&lt;=Datos!$B$36,B8&lt;=Datos!$B$33,OR(Piezas!$F$7&lt;=Datos!$B$37,AND(INT(B8/Piezas!$F$7)=1,B8-Piezas!$F$7&lt;=Datos!$B$37))),INT(C8/Piezas!$G$7)*INT(B8/Piezas!$F$7),0))</f>
        <v>27</v>
      </c>
      <c r="I8" s="10" t="n">
        <f aca="false">IF(H8=0,0,H8*Piezas!$F$7*Piezas!$G$7/(B8*C8))</f>
        <v>0.935324425557646</v>
      </c>
      <c r="J8" s="30" t="n">
        <f aca="false">B8*C8*D8*Datos!$B$10/1000000</f>
        <v>29.28427</v>
      </c>
      <c r="K8" s="22" t="n">
        <f aca="false">IF(H8=0,0,J8/H8)</f>
        <v>1.08460259259259</v>
      </c>
      <c r="L8" s="20" t="n">
        <f aca="false">IF(H8=0,0,K8*F8)</f>
        <v>1.3994602681937</v>
      </c>
      <c r="M8" s="31" t="str">
        <f aca="false">IF(L8=MIN($L$8:$L$8),"Sí","")</f>
        <v>Sí</v>
      </c>
      <c r="N8" s="7" t="str">
        <f aca="false">IF(AND(B8=Corte!$B$7,C8=Corte!$C$7,F8=INDEX(Datos!$C$95:$C$100,MATCH(Piezas!$E$7,Datos!$A$95:$A$100,0))),"Sí","")</f>
        <v>Sí</v>
      </c>
    </row>
    <row r="9" customFormat="false" ht="15" hidden="false" customHeight="false" outlineLevel="0" collapsed="false">
      <c r="A9" s="6" t="s">
        <v>30</v>
      </c>
      <c r="B9" s="18" t="n">
        <v>1000</v>
      </c>
      <c r="C9" s="18" t="n">
        <v>2000</v>
      </c>
      <c r="D9" s="24" t="n">
        <f aca="false">Piezas!$E$8</f>
        <v>1.6</v>
      </c>
      <c r="E9" s="6" t="s">
        <v>222</v>
      </c>
      <c r="F9" s="26" t="n">
        <f aca="false">Datos!$G$72</f>
        <v>1.32752103559871</v>
      </c>
      <c r="G9" s="7" t="str">
        <f aca="false">IF(IF(AND(Piezas!$F$8&lt;=Datos!$B$34,Piezas!$F$8&lt;=Datos!$B$36,B9&lt;=Datos!$B$33,OR(Piezas!$G$8&lt;=Datos!$B$37,AND(INT(B9/Piezas!$G$8)=1,B9-Piezas!$G$8&lt;=Datos!$B$37))),INT(C9/Piezas!$F$8)*INT(B9/Piezas!$G$8),0)&gt;=IF(AND(Piezas!$G$8&lt;=Datos!$B$34,Piezas!$G$8&lt;=Datos!$B$36,B9&lt;=Datos!$B$33,OR(Piezas!$F$8&lt;=Datos!$B$37,AND(INT(B9/Piezas!$F$8)=1,B9-Piezas!$F$8&lt;=Datos!$B$37))),INT(C9/Piezas!$G$8)*INT(B9/Piezas!$F$8),0),INT(C9/Piezas!$F$8)&amp;" × "&amp;INT(B9/Piezas!$G$8),INT(C9/Piezas!$G$8)&amp;" × "&amp;INT(B9/Piezas!$F$8))</f>
        <v>6 × 2</v>
      </c>
      <c r="H9" s="9" t="n">
        <f aca="false">MAX(IF(AND(Piezas!$F$8&lt;=Datos!$B$34,Piezas!$F$8&lt;=Datos!$B$36,B9&lt;=Datos!$B$33,OR(Piezas!$G$8&lt;=Datos!$B$37,AND(INT(B9/Piezas!$G$8)=1,B9-Piezas!$G$8&lt;=Datos!$B$37))),INT(C9/Piezas!$F$8)*INT(B9/Piezas!$G$8),0),IF(AND(Piezas!$G$8&lt;=Datos!$B$34,Piezas!$G$8&lt;=Datos!$B$36,B9&lt;=Datos!$B$33,OR(Piezas!$F$8&lt;=Datos!$B$37,AND(INT(B9/Piezas!$F$8)=1,B9-Piezas!$F$8&lt;=Datos!$B$37))),INT(C9/Piezas!$G$8)*INT(B9/Piezas!$F$8),0))</f>
        <v>12</v>
      </c>
      <c r="I9" s="10" t="n">
        <f aca="false">IF(H9=0,0,H9*Piezas!$F$8*Piezas!$G$8/(B9*C9))</f>
        <v>0.9343575</v>
      </c>
      <c r="J9" s="30" t="n">
        <f aca="false">B9*C9*D9*Datos!$B$10/1000000</f>
        <v>25.184</v>
      </c>
      <c r="K9" s="22" t="n">
        <f aca="false">IF(H9=0,0,J9/H9)</f>
        <v>2.09866666666667</v>
      </c>
      <c r="L9" s="20" t="n">
        <f aca="false">IF(H9=0,0,K9*F9)</f>
        <v>2.78602414670982</v>
      </c>
      <c r="M9" s="31" t="str">
        <f aca="false">IF(L9=MIN($L$9:$L$10),"Sí","")</f>
        <v>Sí</v>
      </c>
      <c r="N9" s="7" t="str">
        <f aca="false">IF(AND(B9=Corte!$B$8,C9=Corte!$C$8,F9=INDEX(Datos!$C$95:$C$100,MATCH(Piezas!$E$8,Datos!$A$95:$A$100,0))),"Sí","")</f>
        <v>Sí</v>
      </c>
    </row>
    <row r="10" customFormat="false" ht="15" hidden="false" customHeight="false" outlineLevel="0" collapsed="false">
      <c r="A10" s="6" t="s">
        <v>30</v>
      </c>
      <c r="B10" s="18" t="n">
        <v>1220</v>
      </c>
      <c r="C10" s="18" t="n">
        <v>2440</v>
      </c>
      <c r="D10" s="24" t="n">
        <f aca="false">Piezas!$E$8</f>
        <v>1.6</v>
      </c>
      <c r="E10" s="6" t="s">
        <v>242</v>
      </c>
      <c r="F10" s="26" t="n">
        <f aca="false">Datos!$G$80</f>
        <v>1.3443</v>
      </c>
      <c r="G10" s="7" t="str">
        <f aca="false">IF(IF(AND(Piezas!$F$8&lt;=Datos!$B$34,Piezas!$F$8&lt;=Datos!$B$36,B10&lt;=Datos!$B$33,OR(Piezas!$G$8&lt;=Datos!$B$37,AND(INT(B10/Piezas!$G$8)=1,B10-Piezas!$G$8&lt;=Datos!$B$37))),INT(C10/Piezas!$F$8)*INT(B10/Piezas!$G$8),0)&gt;=IF(AND(Piezas!$G$8&lt;=Datos!$B$34,Piezas!$G$8&lt;=Datos!$B$36,B10&lt;=Datos!$B$33,OR(Piezas!$F$8&lt;=Datos!$B$37,AND(INT(B10/Piezas!$F$8)=1,B10-Piezas!$F$8&lt;=Datos!$B$37))),INT(C10/Piezas!$G$8)*INT(B10/Piezas!$F$8),0),INT(C10/Piezas!$F$8)&amp;" × "&amp;INT(B10/Piezas!$G$8),INT(C10/Piezas!$G$8)&amp;" × "&amp;INT(B10/Piezas!$F$8))</f>
        <v>5 × 3</v>
      </c>
      <c r="H10" s="9" t="n">
        <f aca="false">MAX(IF(AND(Piezas!$F$8&lt;=Datos!$B$34,Piezas!$F$8&lt;=Datos!$B$36,B10&lt;=Datos!$B$33,OR(Piezas!$G$8&lt;=Datos!$B$37,AND(INT(B10/Piezas!$G$8)=1,B10-Piezas!$G$8&lt;=Datos!$B$37))),INT(C10/Piezas!$F$8)*INT(B10/Piezas!$G$8),0),IF(AND(Piezas!$G$8&lt;=Datos!$B$34,Piezas!$G$8&lt;=Datos!$B$36,B10&lt;=Datos!$B$33,OR(Piezas!$F$8&lt;=Datos!$B$37,AND(INT(B10/Piezas!$F$8)=1,B10-Piezas!$F$8&lt;=Datos!$B$37))),INT(C10/Piezas!$G$8)*INT(B10/Piezas!$F$8),0))</f>
        <v>15</v>
      </c>
      <c r="I10" s="10" t="n">
        <f aca="false">IF(H10=0,0,H10*Piezas!$F$8*Piezas!$G$8/(B10*C10))</f>
        <v>0.784699593523247</v>
      </c>
      <c r="J10" s="30" t="n">
        <f aca="false">B10*C10*D10*Datos!$B$10/1000000</f>
        <v>37.4838656</v>
      </c>
      <c r="K10" s="22" t="n">
        <f aca="false">IF(H10=0,0,J10/H10)</f>
        <v>2.49892437333333</v>
      </c>
      <c r="L10" s="20" t="n">
        <f aca="false">IF(H10=0,0,K10*F10)</f>
        <v>3.359304035072</v>
      </c>
      <c r="M10" s="31" t="str">
        <f aca="false">IF(L10=MIN($L$9:$L$10),"Sí","")</f>
        <v/>
      </c>
      <c r="N10" s="7" t="str">
        <f aca="false">IF(AND(B10=Corte!$B$8,C10=Corte!$C$8,F10=INDEX(Datos!$C$95:$C$100,MATCH(Piezas!$E$8,Datos!$A$95:$A$100,0))),"Sí","")</f>
        <v/>
      </c>
    </row>
    <row r="11" customFormat="false" ht="15" hidden="false" customHeight="false" outlineLevel="0" collapsed="false">
      <c r="A11" s="6" t="s">
        <v>31</v>
      </c>
      <c r="B11" s="18" t="n">
        <v>1500</v>
      </c>
      <c r="C11" s="18" t="n">
        <v>3000</v>
      </c>
      <c r="D11" s="24" t="n">
        <f aca="false">Piezas!$E$9</f>
        <v>2</v>
      </c>
      <c r="E11" s="6" t="s">
        <v>229</v>
      </c>
      <c r="F11" s="26" t="n">
        <f aca="false">Datos!$G$74</f>
        <v>1.28040129449838</v>
      </c>
      <c r="G11" s="7" t="str">
        <f aca="false">IF(IF(AND(Piezas!$F$9&lt;=Datos!$B$34,Piezas!$F$9&lt;=Datos!$B$36,B11&lt;=Datos!$B$33,OR(Piezas!$G$9&lt;=Datos!$B$37,AND(INT(B11/Piezas!$G$9)=1,B11-Piezas!$G$9&lt;=Datos!$B$37))),INT(C11/Piezas!$F$9)*INT(B11/Piezas!$G$9),0)&gt;=IF(AND(Piezas!$G$9&lt;=Datos!$B$34,Piezas!$G$9&lt;=Datos!$B$36,B11&lt;=Datos!$B$33,OR(Piezas!$F$9&lt;=Datos!$B$37,AND(INT(B11/Piezas!$F$9)=1,B11-Piezas!$F$9&lt;=Datos!$B$37))),INT(C11/Piezas!$G$9)*INT(B11/Piezas!$F$9),0),INT(C11/Piezas!$F$9)&amp;" × "&amp;INT(B11/Piezas!$G$9),INT(C11/Piezas!$G$9)&amp;" × "&amp;INT(B11/Piezas!$F$9))</f>
        <v>5 × 3</v>
      </c>
      <c r="H11" s="9" t="n">
        <f aca="false">MAX(IF(AND(Piezas!$F$9&lt;=Datos!$B$34,Piezas!$F$9&lt;=Datos!$B$36,B11&lt;=Datos!$B$33,OR(Piezas!$G$9&lt;=Datos!$B$37,AND(INT(B11/Piezas!$G$9)=1,B11-Piezas!$G$9&lt;=Datos!$B$37))),INT(C11/Piezas!$F$9)*INT(B11/Piezas!$G$9),0),IF(AND(Piezas!$G$9&lt;=Datos!$B$34,Piezas!$G$9&lt;=Datos!$B$36,B11&lt;=Datos!$B$33,OR(Piezas!$F$9&lt;=Datos!$B$37,AND(INT(B11/Piezas!$F$9)=1,B11-Piezas!$F$9&lt;=Datos!$B$37))),INT(C11/Piezas!$G$9)*INT(B11/Piezas!$F$9),0))</f>
        <v>15</v>
      </c>
      <c r="I11" s="10" t="n">
        <f aca="false">IF(H11=0,0,H11*Piezas!$F$9*Piezas!$G$9/(B11*C11))</f>
        <v>0.92684</v>
      </c>
      <c r="J11" s="30" t="n">
        <f aca="false">B11*C11*D11*Datos!$B$10/1000000</f>
        <v>70.83</v>
      </c>
      <c r="K11" s="22" t="n">
        <f aca="false">IF(H11=0,0,J11/H11)</f>
        <v>4.722</v>
      </c>
      <c r="L11" s="20" t="n">
        <f aca="false">IF(H11=0,0,K11*F11)</f>
        <v>6.04605491262136</v>
      </c>
      <c r="M11" s="31" t="str">
        <f aca="false">IF(L11=MIN($L$11:$L$12),"Sí","")</f>
        <v>Sí</v>
      </c>
      <c r="N11" s="7" t="str">
        <f aca="false">IF(AND(B11=Corte!$B$9,C11=Corte!$C$9,F11=INDEX(Datos!$C$95:$C$100,MATCH(Piezas!$E$9,Datos!$A$95:$A$100,0))),"Sí","")</f>
        <v>Sí</v>
      </c>
    </row>
    <row r="12" customFormat="false" ht="15" hidden="false" customHeight="false" outlineLevel="0" collapsed="false">
      <c r="A12" s="6" t="s">
        <v>31</v>
      </c>
      <c r="B12" s="18" t="n">
        <v>1220</v>
      </c>
      <c r="C12" s="18" t="n">
        <v>2440</v>
      </c>
      <c r="D12" s="24" t="n">
        <f aca="false">Piezas!$E$9</f>
        <v>2</v>
      </c>
      <c r="E12" s="6" t="s">
        <v>244</v>
      </c>
      <c r="F12" s="26" t="n">
        <f aca="false">Datos!$G$81</f>
        <v>1.3605</v>
      </c>
      <c r="G12" s="7" t="str">
        <f aca="false">IF(IF(AND(Piezas!$F$9&lt;=Datos!$B$34,Piezas!$F$9&lt;=Datos!$B$36,B12&lt;=Datos!$B$33,OR(Piezas!$G$9&lt;=Datos!$B$37,AND(INT(B12/Piezas!$G$9)=1,B12-Piezas!$G$9&lt;=Datos!$B$37))),INT(C12/Piezas!$F$9)*INT(B12/Piezas!$G$9),0)&gt;=IF(AND(Piezas!$G$9&lt;=Datos!$B$34,Piezas!$G$9&lt;=Datos!$B$36,B12&lt;=Datos!$B$33,OR(Piezas!$F$9&lt;=Datos!$B$37,AND(INT(B12/Piezas!$F$9)=1,B12-Piezas!$F$9&lt;=Datos!$B$37))),INT(C12/Piezas!$G$9)*INT(B12/Piezas!$F$9),0),INT(C12/Piezas!$F$9)&amp;" × "&amp;INT(B12/Piezas!$G$9),INT(C12/Piezas!$G$9)&amp;" × "&amp;INT(B12/Piezas!$F$9))</f>
        <v>4 × 2</v>
      </c>
      <c r="H12" s="9" t="n">
        <f aca="false">MAX(IF(AND(Piezas!$F$9&lt;=Datos!$B$34,Piezas!$F$9&lt;=Datos!$B$36,B12&lt;=Datos!$B$33,OR(Piezas!$G$9&lt;=Datos!$B$37,AND(INT(B12/Piezas!$G$9)=1,B12-Piezas!$G$9&lt;=Datos!$B$37))),INT(C12/Piezas!$F$9)*INT(B12/Piezas!$G$9),0),IF(AND(Piezas!$G$9&lt;=Datos!$B$34,Piezas!$G$9&lt;=Datos!$B$36,B12&lt;=Datos!$B$33,OR(Piezas!$F$9&lt;=Datos!$B$37,AND(INT(B12/Piezas!$F$9)=1,B12-Piezas!$F$9&lt;=Datos!$B$37))),INT(C12/Piezas!$G$9)*INT(B12/Piezas!$F$9),0))</f>
        <v>8</v>
      </c>
      <c r="I12" s="10" t="n">
        <f aca="false">IF(H12=0,0,H12*Piezas!$F$9*Piezas!$G$9/(B12*C12))</f>
        <v>0.747250739048643</v>
      </c>
      <c r="J12" s="30" t="n">
        <f aca="false">B12*C12*D12*Datos!$B$10/1000000</f>
        <v>46.854832</v>
      </c>
      <c r="K12" s="22" t="n">
        <f aca="false">IF(H12=0,0,J12/H12)</f>
        <v>5.856854</v>
      </c>
      <c r="L12" s="20" t="n">
        <f aca="false">IF(H12=0,0,K12*F12)</f>
        <v>7.968249867</v>
      </c>
      <c r="M12" s="31" t="str">
        <f aca="false">IF(L12=MIN($L$11:$L$12),"Sí","")</f>
        <v/>
      </c>
      <c r="N12" s="7" t="str">
        <f aca="false">IF(AND(B12=Corte!$B$9,C12=Corte!$C$9,F12=INDEX(Datos!$C$95:$C$100,MATCH(Piezas!$E$9,Datos!$A$95:$A$100,0))),"Sí","")</f>
        <v/>
      </c>
    </row>
    <row r="13" customFormat="false" ht="15" hidden="false" customHeight="false" outlineLevel="0" collapsed="false">
      <c r="A13" s="6" t="s">
        <v>32</v>
      </c>
      <c r="B13" s="18" t="n">
        <v>1500</v>
      </c>
      <c r="C13" s="18" t="n">
        <v>3000</v>
      </c>
      <c r="D13" s="24" t="n">
        <f aca="false">Piezas!$E$10</f>
        <v>3.2</v>
      </c>
      <c r="E13" s="6" t="s">
        <v>231</v>
      </c>
      <c r="F13" s="26" t="n">
        <f aca="false">Datos!$G$75</f>
        <v>1.10193527508091</v>
      </c>
      <c r="G13" s="7" t="str">
        <f aca="false">IF(IF(AND(Piezas!$F$10&lt;=Datos!$B$34,Piezas!$F$10&lt;=Datos!$B$36,B13&lt;=Datos!$B$33,OR(Piezas!$G$10&lt;=Datos!$B$37,AND(INT(B13/Piezas!$G$10)=1,B13-Piezas!$G$10&lt;=Datos!$B$37))),INT(C13/Piezas!$F$10)*INT(B13/Piezas!$G$10),0)&gt;=IF(AND(Piezas!$G$10&lt;=Datos!$B$34,Piezas!$G$10&lt;=Datos!$B$36,B13&lt;=Datos!$B$33,OR(Piezas!$F$10&lt;=Datos!$B$37,AND(INT(B13/Piezas!$F$10)=1,B13-Piezas!$F$10&lt;=Datos!$B$37))),INT(C13/Piezas!$G$10)*INT(B13/Piezas!$F$10),0),INT(C13/Piezas!$F$10)&amp;" × "&amp;INT(B13/Piezas!$G$10),INT(C13/Piezas!$G$10)&amp;" × "&amp;INT(B13/Piezas!$F$10))</f>
        <v>3 × 3</v>
      </c>
      <c r="H13" s="9" t="n">
        <f aca="false">MAX(IF(AND(Piezas!$F$10&lt;=Datos!$B$34,Piezas!$F$10&lt;=Datos!$B$36,B13&lt;=Datos!$B$33,OR(Piezas!$G$10&lt;=Datos!$B$37,AND(INT(B13/Piezas!$G$10)=1,B13-Piezas!$G$10&lt;=Datos!$B$37))),INT(C13/Piezas!$F$10)*INT(B13/Piezas!$G$10),0),IF(AND(Piezas!$G$10&lt;=Datos!$B$34,Piezas!$G$10&lt;=Datos!$B$36,B13&lt;=Datos!$B$33,OR(Piezas!$F$10&lt;=Datos!$B$37,AND(INT(B13/Piezas!$F$10)=1,B13-Piezas!$F$10&lt;=Datos!$B$37))),INT(C13/Piezas!$G$10)*INT(B13/Piezas!$F$10),0))</f>
        <v>9</v>
      </c>
      <c r="I13" s="10" t="n">
        <f aca="false">IF(H13=0,0,H13*Piezas!$F$10*Piezas!$G$10/(B13*C13))</f>
        <v>0.846481</v>
      </c>
      <c r="J13" s="30" t="n">
        <f aca="false">B13*C13*D13*Datos!$B$10/1000000</f>
        <v>113.328</v>
      </c>
      <c r="K13" s="22" t="n">
        <f aca="false">IF(H13=0,0,J13/H13)</f>
        <v>12.592</v>
      </c>
      <c r="L13" s="20" t="n">
        <f aca="false">IF(H13=0,0,K13*F13)</f>
        <v>13.8755689838188</v>
      </c>
      <c r="M13" s="31" t="str">
        <f aca="false">IF(L13=MIN($L$13:$L$14),"Sí","")</f>
        <v>Sí</v>
      </c>
      <c r="N13" s="7" t="str">
        <f aca="false">IF(AND(B13=Corte!$B$10,C13=Corte!$C$10,F13=INDEX(Datos!$C$95:$C$100,MATCH(Piezas!$E$10,Datos!$A$95:$A$100,0))),"Sí","")</f>
        <v>Sí</v>
      </c>
    </row>
    <row r="14" customFormat="false" ht="15" hidden="false" customHeight="false" outlineLevel="0" collapsed="false">
      <c r="A14" s="6" t="s">
        <v>32</v>
      </c>
      <c r="B14" s="18" t="n">
        <v>1500</v>
      </c>
      <c r="C14" s="18" t="n">
        <v>3000</v>
      </c>
      <c r="D14" s="24" t="n">
        <f aca="false">Piezas!$E$10</f>
        <v>3.2</v>
      </c>
      <c r="E14" s="6" t="s">
        <v>246</v>
      </c>
      <c r="F14" s="26" t="n">
        <f aca="false">Datos!$G$82</f>
        <v>1.1607</v>
      </c>
      <c r="G14" s="7" t="str">
        <f aca="false">IF(IF(AND(Piezas!$F$10&lt;=Datos!$B$34,Piezas!$F$10&lt;=Datos!$B$36,B14&lt;=Datos!$B$33,OR(Piezas!$G$10&lt;=Datos!$B$37,AND(INT(B14/Piezas!$G$10)=1,B14-Piezas!$G$10&lt;=Datos!$B$37))),INT(C14/Piezas!$F$10)*INT(B14/Piezas!$G$10),0)&gt;=IF(AND(Piezas!$G$10&lt;=Datos!$B$34,Piezas!$G$10&lt;=Datos!$B$36,B14&lt;=Datos!$B$33,OR(Piezas!$F$10&lt;=Datos!$B$37,AND(INT(B14/Piezas!$F$10)=1,B14-Piezas!$F$10&lt;=Datos!$B$37))),INT(C14/Piezas!$G$10)*INT(B14/Piezas!$F$10),0),INT(C14/Piezas!$F$10)&amp;" × "&amp;INT(B14/Piezas!$G$10),INT(C14/Piezas!$G$10)&amp;" × "&amp;INT(B14/Piezas!$F$10))</f>
        <v>3 × 3</v>
      </c>
      <c r="H14" s="9" t="n">
        <f aca="false">MAX(IF(AND(Piezas!$F$10&lt;=Datos!$B$34,Piezas!$F$10&lt;=Datos!$B$36,B14&lt;=Datos!$B$33,OR(Piezas!$G$10&lt;=Datos!$B$37,AND(INT(B14/Piezas!$G$10)=1,B14-Piezas!$G$10&lt;=Datos!$B$37))),INT(C14/Piezas!$F$10)*INT(B14/Piezas!$G$10),0),IF(AND(Piezas!$G$10&lt;=Datos!$B$34,Piezas!$G$10&lt;=Datos!$B$36,B14&lt;=Datos!$B$33,OR(Piezas!$F$10&lt;=Datos!$B$37,AND(INT(B14/Piezas!$F$10)=1,B14-Piezas!$F$10&lt;=Datos!$B$37))),INT(C14/Piezas!$G$10)*INT(B14/Piezas!$F$10),0))</f>
        <v>9</v>
      </c>
      <c r="I14" s="10" t="n">
        <f aca="false">IF(H14=0,0,H14*Piezas!$F$10*Piezas!$G$10/(B14*C14))</f>
        <v>0.846481</v>
      </c>
      <c r="J14" s="30" t="n">
        <f aca="false">B14*C14*D14*Datos!$B$10/1000000</f>
        <v>113.328</v>
      </c>
      <c r="K14" s="22" t="n">
        <f aca="false">IF(H14=0,0,J14/H14)</f>
        <v>12.592</v>
      </c>
      <c r="L14" s="20" t="n">
        <f aca="false">IF(H14=0,0,K14*F14)</f>
        <v>14.6155344</v>
      </c>
      <c r="M14" s="31" t="str">
        <f aca="false">IF(L14=MIN($L$13:$L$14),"Sí","")</f>
        <v/>
      </c>
      <c r="N14" s="7" t="str">
        <f aca="false">IF(AND(B14=Corte!$B$10,C14=Corte!$C$10,F14=INDEX(Datos!$C$95:$C$100,MATCH(Piezas!$E$10,Datos!$A$95:$A$100,0))),"Sí","")</f>
        <v/>
      </c>
    </row>
    <row r="15" customFormat="false" ht="15" hidden="false" customHeight="false" outlineLevel="0" collapsed="false">
      <c r="A15" s="6" t="s">
        <v>33</v>
      </c>
      <c r="B15" s="18" t="n">
        <v>1500</v>
      </c>
      <c r="C15" s="18" t="n">
        <v>3000</v>
      </c>
      <c r="D15" s="24" t="n">
        <f aca="false">Piezas!$E$11</f>
        <v>3.2</v>
      </c>
      <c r="E15" s="6" t="s">
        <v>231</v>
      </c>
      <c r="F15" s="26" t="n">
        <f aca="false">Datos!$G$75</f>
        <v>1.10193527508091</v>
      </c>
      <c r="G15" s="7" t="str">
        <f aca="false">IF(IF(AND(Piezas!$F$11&lt;=Datos!$B$34,Piezas!$F$11&lt;=Datos!$B$36,B15&lt;=Datos!$B$33,OR(Piezas!$G$11&lt;=Datos!$B$37,AND(INT(B15/Piezas!$G$11)=1,B15-Piezas!$G$11&lt;=Datos!$B$37))),INT(C15/Piezas!$F$11)*INT(B15/Piezas!$G$11),0)&gt;=IF(AND(Piezas!$G$11&lt;=Datos!$B$34,Piezas!$G$11&lt;=Datos!$B$36,B15&lt;=Datos!$B$33,OR(Piezas!$F$11&lt;=Datos!$B$37,AND(INT(B15/Piezas!$F$11)=1,B15-Piezas!$F$11&lt;=Datos!$B$37))),INT(C15/Piezas!$G$11)*INT(B15/Piezas!$F$11),0),INT(C15/Piezas!$F$11)&amp;" × "&amp;INT(B15/Piezas!$G$11),INT(C15/Piezas!$G$11)&amp;" × "&amp;INT(B15/Piezas!$F$11))</f>
        <v>3 × 2</v>
      </c>
      <c r="H15" s="9" t="n">
        <f aca="false">MAX(IF(AND(Piezas!$F$11&lt;=Datos!$B$34,Piezas!$F$11&lt;=Datos!$B$36,B15&lt;=Datos!$B$33,OR(Piezas!$G$11&lt;=Datos!$B$37,AND(INT(B15/Piezas!$G$11)=1,B15-Piezas!$G$11&lt;=Datos!$B$37))),INT(C15/Piezas!$F$11)*INT(B15/Piezas!$G$11),0),IF(AND(Piezas!$G$11&lt;=Datos!$B$34,Piezas!$G$11&lt;=Datos!$B$36,B15&lt;=Datos!$B$33,OR(Piezas!$F$11&lt;=Datos!$B$37,AND(INT(B15/Piezas!$F$11)=1,B15-Piezas!$F$11&lt;=Datos!$B$37))),INT(C15/Piezas!$G$11)*INT(B15/Piezas!$F$11),0))</f>
        <v>6</v>
      </c>
      <c r="I15" s="10" t="n">
        <f aca="false">IF(H15=0,0,H15*Piezas!$F$11*Piezas!$G$11/(B15*C15))</f>
        <v>0.849493333333333</v>
      </c>
      <c r="J15" s="30" t="n">
        <f aca="false">B15*C15*D15*Datos!$B$10/1000000</f>
        <v>113.328</v>
      </c>
      <c r="K15" s="22" t="n">
        <f aca="false">IF(H15=0,0,J15/H15)</f>
        <v>18.888</v>
      </c>
      <c r="L15" s="20" t="n">
        <f aca="false">IF(H15=0,0,K15*F15)</f>
        <v>20.8133534757282</v>
      </c>
      <c r="M15" s="31" t="str">
        <f aca="false">IF(L15=MIN($L$15:$L$16),"Sí","")</f>
        <v>Sí</v>
      </c>
      <c r="N15" s="7" t="str">
        <f aca="false">IF(AND(B15=Corte!$B$11,C15=Corte!$C$11,F15=INDEX(Datos!$C$95:$C$100,MATCH(Piezas!$E$11,Datos!$A$95:$A$100,0))),"Sí","")</f>
        <v>Sí</v>
      </c>
    </row>
    <row r="16" customFormat="false" ht="15" hidden="false" customHeight="false" outlineLevel="0" collapsed="false">
      <c r="A16" s="6" t="s">
        <v>33</v>
      </c>
      <c r="B16" s="18" t="n">
        <v>1500</v>
      </c>
      <c r="C16" s="18" t="n">
        <v>3000</v>
      </c>
      <c r="D16" s="24" t="n">
        <f aca="false">Piezas!$E$11</f>
        <v>3.2</v>
      </c>
      <c r="E16" s="6" t="s">
        <v>246</v>
      </c>
      <c r="F16" s="26" t="n">
        <f aca="false">Datos!$G$82</f>
        <v>1.1607</v>
      </c>
      <c r="G16" s="7" t="str">
        <f aca="false">IF(IF(AND(Piezas!$F$11&lt;=Datos!$B$34,Piezas!$F$11&lt;=Datos!$B$36,B16&lt;=Datos!$B$33,OR(Piezas!$G$11&lt;=Datos!$B$37,AND(INT(B16/Piezas!$G$11)=1,B16-Piezas!$G$11&lt;=Datos!$B$37))),INT(C16/Piezas!$F$11)*INT(B16/Piezas!$G$11),0)&gt;=IF(AND(Piezas!$G$11&lt;=Datos!$B$34,Piezas!$G$11&lt;=Datos!$B$36,B16&lt;=Datos!$B$33,OR(Piezas!$F$11&lt;=Datos!$B$37,AND(INT(B16/Piezas!$F$11)=1,B16-Piezas!$F$11&lt;=Datos!$B$37))),INT(C16/Piezas!$G$11)*INT(B16/Piezas!$F$11),0),INT(C16/Piezas!$F$11)&amp;" × "&amp;INT(B16/Piezas!$G$11),INT(C16/Piezas!$G$11)&amp;" × "&amp;INT(B16/Piezas!$F$11))</f>
        <v>3 × 2</v>
      </c>
      <c r="H16" s="9" t="n">
        <f aca="false">MAX(IF(AND(Piezas!$F$11&lt;=Datos!$B$34,Piezas!$F$11&lt;=Datos!$B$36,B16&lt;=Datos!$B$33,OR(Piezas!$G$11&lt;=Datos!$B$37,AND(INT(B16/Piezas!$G$11)=1,B16-Piezas!$G$11&lt;=Datos!$B$37))),INT(C16/Piezas!$F$11)*INT(B16/Piezas!$G$11),0),IF(AND(Piezas!$G$11&lt;=Datos!$B$34,Piezas!$G$11&lt;=Datos!$B$36,B16&lt;=Datos!$B$33,OR(Piezas!$F$11&lt;=Datos!$B$37,AND(INT(B16/Piezas!$F$11)=1,B16-Piezas!$F$11&lt;=Datos!$B$37))),INT(C16/Piezas!$G$11)*INT(B16/Piezas!$F$11),0))</f>
        <v>6</v>
      </c>
      <c r="I16" s="10" t="n">
        <f aca="false">IF(H16=0,0,H16*Piezas!$F$11*Piezas!$G$11/(B16*C16))</f>
        <v>0.849493333333333</v>
      </c>
      <c r="J16" s="30" t="n">
        <f aca="false">B16*C16*D16*Datos!$B$10/1000000</f>
        <v>113.328</v>
      </c>
      <c r="K16" s="22" t="n">
        <f aca="false">IF(H16=0,0,J16/H16)</f>
        <v>18.888</v>
      </c>
      <c r="L16" s="20" t="n">
        <f aca="false">IF(H16=0,0,K16*F16)</f>
        <v>21.9233016</v>
      </c>
      <c r="M16" s="31" t="str">
        <f aca="false">IF(L16=MIN($L$15:$L$16),"Sí","")</f>
        <v/>
      </c>
      <c r="N16" s="7" t="str">
        <f aca="false">IF(AND(B16=Corte!$B$11,C16=Corte!$C$11,F16=INDEX(Datos!$C$95:$C$100,MATCH(Piezas!$E$11,Datos!$A$95:$A$100,0))),"Sí","")</f>
        <v/>
      </c>
    </row>
    <row r="17" customFormat="false" ht="15" hidden="false" customHeight="false" outlineLevel="0" collapsed="false">
      <c r="A17" s="6" t="s">
        <v>34</v>
      </c>
      <c r="B17" s="18" t="n">
        <v>1500</v>
      </c>
      <c r="C17" s="18" t="n">
        <v>3000</v>
      </c>
      <c r="D17" s="24" t="n">
        <f aca="false">Piezas!$E$12</f>
        <v>4.75</v>
      </c>
      <c r="E17" s="6" t="s">
        <v>233</v>
      </c>
      <c r="F17" s="26" t="n">
        <f aca="false">Datos!$G$76</f>
        <v>1.09097734627832</v>
      </c>
      <c r="G17" s="7" t="str">
        <f aca="false">IF(IF(AND(Piezas!$F$12&lt;=Datos!$B$34,Piezas!$F$12&lt;=Datos!$B$36,B17&lt;=Datos!$B$33,OR(Piezas!$G$12&lt;=Datos!$B$37,AND(INT(B17/Piezas!$G$12)=1,B17-Piezas!$G$12&lt;=Datos!$B$37))),INT(C17/Piezas!$F$12)*INT(B17/Piezas!$G$12),0)&gt;=IF(AND(Piezas!$G$12&lt;=Datos!$B$34,Piezas!$G$12&lt;=Datos!$B$36,B17&lt;=Datos!$B$33,OR(Piezas!$F$12&lt;=Datos!$B$37,AND(INT(B17/Piezas!$F$12)=1,B17-Piezas!$F$12&lt;=Datos!$B$37))),INT(C17/Piezas!$G$12)*INT(B17/Piezas!$F$12),0),INT(C17/Piezas!$F$12)&amp;" × "&amp;INT(B17/Piezas!$G$12),INT(C17/Piezas!$G$12)&amp;" × "&amp;INT(B17/Piezas!$F$12))</f>
        <v>4 × 1</v>
      </c>
      <c r="H17" s="9" t="n">
        <f aca="false">MAX(IF(AND(Piezas!$F$12&lt;=Datos!$B$34,Piezas!$F$12&lt;=Datos!$B$36,B17&lt;=Datos!$B$33,OR(Piezas!$G$12&lt;=Datos!$B$37,AND(INT(B17/Piezas!$G$12)=1,B17-Piezas!$G$12&lt;=Datos!$B$37))),INT(C17/Piezas!$F$12)*INT(B17/Piezas!$G$12),0),IF(AND(Piezas!$G$12&lt;=Datos!$B$34,Piezas!$G$12&lt;=Datos!$B$36,B17&lt;=Datos!$B$33,OR(Piezas!$F$12&lt;=Datos!$B$37,AND(INT(B17/Piezas!$F$12)=1,B17-Piezas!$F$12&lt;=Datos!$B$37))),INT(C17/Piezas!$G$12)*INT(B17/Piezas!$F$12),0))</f>
        <v>4</v>
      </c>
      <c r="I17" s="10" t="n">
        <f aca="false">IF(H17=0,0,H17*Piezas!$F$12*Piezas!$G$12/(B17*C17))</f>
        <v>0.73168</v>
      </c>
      <c r="J17" s="30" t="n">
        <f aca="false">B17*C17*D17*Datos!$B$10/1000000</f>
        <v>168.22125</v>
      </c>
      <c r="K17" s="22" t="n">
        <f aca="false">IF(H17=0,0,J17/H17)</f>
        <v>42.0553125</v>
      </c>
      <c r="L17" s="20" t="n">
        <f aca="false">IF(H17=0,0,K17*F17)</f>
        <v>45.8813932281553</v>
      </c>
      <c r="M17" s="31" t="str">
        <f aca="false">IF(L17=MIN($L$17:$L$18),"Sí","")</f>
        <v>Sí</v>
      </c>
      <c r="N17" s="7" t="str">
        <f aca="false">IF(AND(B17=Corte!$B$12,C17=Corte!$C$12,F17=INDEX(Datos!$C$95:$C$100,MATCH(Piezas!$E$12,Datos!$A$95:$A$100,0))),"Sí","")</f>
        <v>Sí</v>
      </c>
    </row>
    <row r="18" customFormat="false" ht="15" hidden="false" customHeight="false" outlineLevel="0" collapsed="false">
      <c r="A18" s="6" t="s">
        <v>34</v>
      </c>
      <c r="B18" s="18" t="n">
        <v>1500</v>
      </c>
      <c r="C18" s="18" t="n">
        <v>3000</v>
      </c>
      <c r="D18" s="24" t="n">
        <f aca="false">Piezas!$E$12</f>
        <v>4.75</v>
      </c>
      <c r="E18" s="6" t="s">
        <v>247</v>
      </c>
      <c r="F18" s="26" t="n">
        <f aca="false">Datos!$G$83</f>
        <v>1.1678</v>
      </c>
      <c r="G18" s="7" t="str">
        <f aca="false">IF(IF(AND(Piezas!$F$12&lt;=Datos!$B$34,Piezas!$F$12&lt;=Datos!$B$36,B18&lt;=Datos!$B$33,OR(Piezas!$G$12&lt;=Datos!$B$37,AND(INT(B18/Piezas!$G$12)=1,B18-Piezas!$G$12&lt;=Datos!$B$37))),INT(C18/Piezas!$F$12)*INT(B18/Piezas!$G$12),0)&gt;=IF(AND(Piezas!$G$12&lt;=Datos!$B$34,Piezas!$G$12&lt;=Datos!$B$36,B18&lt;=Datos!$B$33,OR(Piezas!$F$12&lt;=Datos!$B$37,AND(INT(B18/Piezas!$F$12)=1,B18-Piezas!$F$12&lt;=Datos!$B$37))),INT(C18/Piezas!$G$12)*INT(B18/Piezas!$F$12),0),INT(C18/Piezas!$F$12)&amp;" × "&amp;INT(B18/Piezas!$G$12),INT(C18/Piezas!$G$12)&amp;" × "&amp;INT(B18/Piezas!$F$12))</f>
        <v>4 × 1</v>
      </c>
      <c r="H18" s="9" t="n">
        <f aca="false">MAX(IF(AND(Piezas!$F$12&lt;=Datos!$B$34,Piezas!$F$12&lt;=Datos!$B$36,B18&lt;=Datos!$B$33,OR(Piezas!$G$12&lt;=Datos!$B$37,AND(INT(B18/Piezas!$G$12)=1,B18-Piezas!$G$12&lt;=Datos!$B$37))),INT(C18/Piezas!$F$12)*INT(B18/Piezas!$G$12),0),IF(AND(Piezas!$G$12&lt;=Datos!$B$34,Piezas!$G$12&lt;=Datos!$B$36,B18&lt;=Datos!$B$33,OR(Piezas!$F$12&lt;=Datos!$B$37,AND(INT(B18/Piezas!$F$12)=1,B18-Piezas!$F$12&lt;=Datos!$B$37))),INT(C18/Piezas!$G$12)*INT(B18/Piezas!$F$12),0))</f>
        <v>4</v>
      </c>
      <c r="I18" s="10" t="n">
        <f aca="false">IF(H18=0,0,H18*Piezas!$F$12*Piezas!$G$12/(B18*C18))</f>
        <v>0.73168</v>
      </c>
      <c r="J18" s="30" t="n">
        <f aca="false">B18*C18*D18*Datos!$B$10/1000000</f>
        <v>168.22125</v>
      </c>
      <c r="K18" s="22" t="n">
        <f aca="false">IF(H18=0,0,J18/H18)</f>
        <v>42.0553125</v>
      </c>
      <c r="L18" s="20" t="n">
        <f aca="false">IF(H18=0,0,K18*F18)</f>
        <v>49.1121939375</v>
      </c>
      <c r="M18" s="31" t="str">
        <f aca="false">IF(L18=MIN($L$17:$L$18),"Sí","")</f>
        <v/>
      </c>
      <c r="N18" s="7" t="str">
        <f aca="false">IF(AND(B18=Corte!$B$12,C18=Corte!$C$12,F18=INDEX(Datos!$C$95:$C$100,MATCH(Piezas!$E$12,Datos!$A$95:$A$100,0))),"Sí","")</f>
        <v/>
      </c>
    </row>
    <row r="19" customFormat="false" ht="15" hidden="false" customHeight="false" outlineLevel="0" collapsed="false">
      <c r="A19" s="6" t="s">
        <v>35</v>
      </c>
      <c r="B19" s="18" t="n">
        <v>1500</v>
      </c>
      <c r="C19" s="18" t="n">
        <v>3000</v>
      </c>
      <c r="D19" s="24" t="n">
        <f aca="false">Piezas!$E$13</f>
        <v>4.75</v>
      </c>
      <c r="E19" s="6" t="s">
        <v>233</v>
      </c>
      <c r="F19" s="26" t="n">
        <f aca="false">Datos!$G$76</f>
        <v>1.09097734627832</v>
      </c>
      <c r="G19" s="7" t="str">
        <f aca="false">IF(IF(AND(Piezas!$F$13&lt;=Datos!$B$34,Piezas!$F$13&lt;=Datos!$B$36,B19&lt;=Datos!$B$33,OR(Piezas!$G$13&lt;=Datos!$B$37,AND(INT(B19/Piezas!$G$13)=1,B19-Piezas!$G$13&lt;=Datos!$B$37))),INT(C19/Piezas!$F$13)*INT(B19/Piezas!$G$13),0)&gt;=IF(AND(Piezas!$G$13&lt;=Datos!$B$34,Piezas!$G$13&lt;=Datos!$B$36,B19&lt;=Datos!$B$33,OR(Piezas!$F$13&lt;=Datos!$B$37,AND(INT(B19/Piezas!$F$13)=1,B19-Piezas!$F$13&lt;=Datos!$B$37))),INT(C19/Piezas!$G$13)*INT(B19/Piezas!$F$13),0),INT(C19/Piezas!$F$13)&amp;" × "&amp;INT(B19/Piezas!$G$13),INT(C19/Piezas!$G$13)&amp;" × "&amp;INT(B19/Piezas!$F$13))</f>
        <v>3 × 1</v>
      </c>
      <c r="H19" s="9" t="n">
        <f aca="false">MAX(IF(AND(Piezas!$F$13&lt;=Datos!$B$34,Piezas!$F$13&lt;=Datos!$B$36,B19&lt;=Datos!$B$33,OR(Piezas!$G$13&lt;=Datos!$B$37,AND(INT(B19/Piezas!$G$13)=1,B19-Piezas!$G$13&lt;=Datos!$B$37))),INT(C19/Piezas!$F$13)*INT(B19/Piezas!$G$13),0),IF(AND(Piezas!$G$13&lt;=Datos!$B$34,Piezas!$G$13&lt;=Datos!$B$36,B19&lt;=Datos!$B$33,OR(Piezas!$F$13&lt;=Datos!$B$37,AND(INT(B19/Piezas!$F$13)=1,B19-Piezas!$F$13&lt;=Datos!$B$37))),INT(C19/Piezas!$G$13)*INT(B19/Piezas!$F$13),0))</f>
        <v>3</v>
      </c>
      <c r="I19" s="10" t="n">
        <f aca="false">IF(H19=0,0,H19*Piezas!$F$13*Piezas!$G$13/(B19*C19))</f>
        <v>0.7263</v>
      </c>
      <c r="J19" s="30" t="n">
        <f aca="false">B19*C19*D19*Datos!$B$10/1000000</f>
        <v>168.22125</v>
      </c>
      <c r="K19" s="22" t="n">
        <f aca="false">IF(H19=0,0,J19/H19)</f>
        <v>56.07375</v>
      </c>
      <c r="L19" s="20" t="n">
        <f aca="false">IF(H19=0,0,K19*F19)</f>
        <v>61.1751909708738</v>
      </c>
      <c r="M19" s="31" t="str">
        <f aca="false">IF(L19=MIN($L$19:$L$20),"Sí","")</f>
        <v>Sí</v>
      </c>
      <c r="N19" s="7" t="str">
        <f aca="false">IF(AND(B19=Corte!$B$13,C19=Corte!$C$13,F19=INDEX(Datos!$C$95:$C$100,MATCH(Piezas!$E$13,Datos!$A$95:$A$100,0))),"Sí","")</f>
        <v>Sí</v>
      </c>
    </row>
    <row r="20" customFormat="false" ht="15" hidden="false" customHeight="false" outlineLevel="0" collapsed="false">
      <c r="A20" s="6" t="s">
        <v>35</v>
      </c>
      <c r="B20" s="18" t="n">
        <v>1500</v>
      </c>
      <c r="C20" s="18" t="n">
        <v>3000</v>
      </c>
      <c r="D20" s="24" t="n">
        <f aca="false">Piezas!$E$13</f>
        <v>4.75</v>
      </c>
      <c r="E20" s="6" t="s">
        <v>247</v>
      </c>
      <c r="F20" s="26" t="n">
        <f aca="false">Datos!$G$83</f>
        <v>1.1678</v>
      </c>
      <c r="G20" s="7" t="str">
        <f aca="false">IF(IF(AND(Piezas!$F$13&lt;=Datos!$B$34,Piezas!$F$13&lt;=Datos!$B$36,B20&lt;=Datos!$B$33,OR(Piezas!$G$13&lt;=Datos!$B$37,AND(INT(B20/Piezas!$G$13)=1,B20-Piezas!$G$13&lt;=Datos!$B$37))),INT(C20/Piezas!$F$13)*INT(B20/Piezas!$G$13),0)&gt;=IF(AND(Piezas!$G$13&lt;=Datos!$B$34,Piezas!$G$13&lt;=Datos!$B$36,B20&lt;=Datos!$B$33,OR(Piezas!$F$13&lt;=Datos!$B$37,AND(INT(B20/Piezas!$F$13)=1,B20-Piezas!$F$13&lt;=Datos!$B$37))),INT(C20/Piezas!$G$13)*INT(B20/Piezas!$F$13),0),INT(C20/Piezas!$F$13)&amp;" × "&amp;INT(B20/Piezas!$G$13),INT(C20/Piezas!$G$13)&amp;" × "&amp;INT(B20/Piezas!$F$13))</f>
        <v>3 × 1</v>
      </c>
      <c r="H20" s="9" t="n">
        <f aca="false">MAX(IF(AND(Piezas!$F$13&lt;=Datos!$B$34,Piezas!$F$13&lt;=Datos!$B$36,B20&lt;=Datos!$B$33,OR(Piezas!$G$13&lt;=Datos!$B$37,AND(INT(B20/Piezas!$G$13)=1,B20-Piezas!$G$13&lt;=Datos!$B$37))),INT(C20/Piezas!$F$13)*INT(B20/Piezas!$G$13),0),IF(AND(Piezas!$G$13&lt;=Datos!$B$34,Piezas!$G$13&lt;=Datos!$B$36,B20&lt;=Datos!$B$33,OR(Piezas!$F$13&lt;=Datos!$B$37,AND(INT(B20/Piezas!$F$13)=1,B20-Piezas!$F$13&lt;=Datos!$B$37))),INT(C20/Piezas!$G$13)*INT(B20/Piezas!$F$13),0))</f>
        <v>3</v>
      </c>
      <c r="I20" s="10" t="n">
        <f aca="false">IF(H20=0,0,H20*Piezas!$F$13*Piezas!$G$13/(B20*C20))</f>
        <v>0.7263</v>
      </c>
      <c r="J20" s="30" t="n">
        <f aca="false">B20*C20*D20*Datos!$B$10/1000000</f>
        <v>168.22125</v>
      </c>
      <c r="K20" s="22" t="n">
        <f aca="false">IF(H20=0,0,J20/H20)</f>
        <v>56.07375</v>
      </c>
      <c r="L20" s="20" t="n">
        <f aca="false">IF(H20=0,0,K20*F20)</f>
        <v>65.48292525</v>
      </c>
      <c r="M20" s="31" t="str">
        <f aca="false">IF(L20=MIN($L$19:$L$20),"Sí","")</f>
        <v/>
      </c>
      <c r="N20" s="7" t="str">
        <f aca="false">IF(AND(B20=Corte!$B$13,C20=Corte!$C$13,F20=INDEX(Datos!$C$95:$C$100,MATCH(Piezas!$E$13,Datos!$A$95:$A$100,0))),"Sí","")</f>
        <v/>
      </c>
    </row>
    <row r="21" customFormat="false" ht="15" hidden="false" customHeight="false" outlineLevel="0" collapsed="false">
      <c r="A21" s="2" t="s">
        <v>511</v>
      </c>
    </row>
    <row r="23" customFormat="false" ht="15" hidden="false" customHeight="false" outlineLevel="0" collapsed="false">
      <c r="A23" s="8" t="s">
        <v>512</v>
      </c>
    </row>
    <row r="24" customFormat="false" ht="15" hidden="false" customHeight="false" outlineLevel="0" collapsed="false">
      <c r="A24" s="2" t="s">
        <v>513</v>
      </c>
    </row>
    <row r="25" customFormat="false" ht="23.85" hidden="false" customHeight="true" outlineLevel="0" collapsed="false">
      <c r="A25" s="3" t="s">
        <v>514</v>
      </c>
      <c r="B25" s="3" t="s">
        <v>515</v>
      </c>
      <c r="C25" s="3"/>
      <c r="D25" s="3"/>
      <c r="E25" s="3" t="s">
        <v>516</v>
      </c>
      <c r="F25" s="3" t="s">
        <v>517</v>
      </c>
      <c r="G25" s="3" t="s">
        <v>394</v>
      </c>
      <c r="H25" s="3" t="s">
        <v>396</v>
      </c>
      <c r="I25" s="3" t="s">
        <v>413</v>
      </c>
      <c r="J25" s="3" t="s">
        <v>518</v>
      </c>
      <c r="K25" s="3" t="s">
        <v>388</v>
      </c>
    </row>
    <row r="26" customFormat="false" ht="23.85" hidden="false" customHeight="true" outlineLevel="0" collapsed="false">
      <c r="A26" s="4" t="s">
        <v>519</v>
      </c>
      <c r="B26" s="6" t="s">
        <v>520</v>
      </c>
      <c r="C26" s="6"/>
      <c r="D26" s="6"/>
      <c r="E26" s="18" t="n">
        <v>6</v>
      </c>
      <c r="F26" s="18" t="n">
        <v>3</v>
      </c>
      <c r="G26" s="27" t="n">
        <v>3</v>
      </c>
      <c r="H26" s="27" t="n">
        <v>6</v>
      </c>
      <c r="I26" s="27" t="n">
        <v>3</v>
      </c>
      <c r="J26" s="18" t="n">
        <v>3</v>
      </c>
      <c r="K26" s="10" t="n">
        <f aca="false">(E26*Piezas!$F$10*Piezas!$G$10+F26*Piezas!$F$11*Piezas!$G$11)/(Corte!$B$10*Corte!$C$10)</f>
        <v>0.989067333333333</v>
      </c>
    </row>
    <row r="27" customFormat="false" ht="23.85" hidden="false" customHeight="true" outlineLevel="0" collapsed="false">
      <c r="A27" s="4" t="s">
        <v>521</v>
      </c>
      <c r="B27" s="6" t="s">
        <v>522</v>
      </c>
      <c r="C27" s="6"/>
      <c r="D27" s="6"/>
      <c r="E27" s="18" t="n">
        <v>2</v>
      </c>
      <c r="F27" s="18" t="n">
        <v>5</v>
      </c>
      <c r="G27" s="27" t="n">
        <v>3</v>
      </c>
      <c r="H27" s="27" t="n">
        <v>4</v>
      </c>
      <c r="I27" s="27" t="n">
        <v>2</v>
      </c>
      <c r="J27" s="18" t="n">
        <v>3</v>
      </c>
      <c r="K27" s="10" t="n">
        <f aca="false">(E27*Piezas!$F$10*Piezas!$G$10+F27*Piezas!$F$11*Piezas!$G$11)/(Corte!$B$10*Corte!$C$10)</f>
        <v>0.896018</v>
      </c>
    </row>
    <row r="28" customFormat="false" ht="15" hidden="false" customHeight="true" outlineLevel="0" collapsed="false">
      <c r="A28" s="4" t="s">
        <v>523</v>
      </c>
      <c r="B28" s="6" t="s">
        <v>524</v>
      </c>
      <c r="C28" s="6"/>
      <c r="D28" s="6"/>
      <c r="E28" s="18" t="n">
        <v>0</v>
      </c>
      <c r="F28" s="18" t="n">
        <v>6</v>
      </c>
      <c r="G28" s="27" t="n">
        <v>3</v>
      </c>
      <c r="H28" s="27" t="n">
        <v>3</v>
      </c>
      <c r="I28" s="27" t="n">
        <v>1.5</v>
      </c>
      <c r="J28" s="18" t="n">
        <v>2</v>
      </c>
      <c r="K28" s="10" t="n">
        <f aca="false">(E28*Piezas!$F$10*Piezas!$G$10+F28*Piezas!$F$11*Piezas!$G$11)/(Corte!$B$10*Corte!$C$10)</f>
        <v>0.849493333333333</v>
      </c>
    </row>
    <row r="29" customFormat="false" ht="15" hidden="false" customHeight="true" outlineLevel="0" collapsed="false">
      <c r="A29" s="4" t="s">
        <v>525</v>
      </c>
      <c r="B29" s="6" t="s">
        <v>526</v>
      </c>
      <c r="C29" s="6"/>
      <c r="D29" s="6"/>
      <c r="E29" s="18" t="n">
        <v>9</v>
      </c>
      <c r="F29" s="18" t="n">
        <v>0</v>
      </c>
      <c r="G29" s="27" t="n">
        <v>3</v>
      </c>
      <c r="H29" s="27" t="n">
        <v>4.5</v>
      </c>
      <c r="I29" s="27" t="n">
        <v>1.5</v>
      </c>
      <c r="J29" s="18" t="n">
        <v>2</v>
      </c>
      <c r="K29" s="10" t="n">
        <f aca="false">(E29*Piezas!$F$10*Piezas!$G$10+F29*Piezas!$F$11*Piezas!$G$11)/(Corte!$B$10*Corte!$C$10)</f>
        <v>0.846481</v>
      </c>
    </row>
    <row r="30" customFormat="false" ht="15" hidden="false" customHeight="false" outlineLevel="0" collapsed="false">
      <c r="A30" s="2" t="s">
        <v>527</v>
      </c>
    </row>
    <row r="32" customFormat="false" ht="15" hidden="false" customHeight="false" outlineLevel="0" collapsed="false">
      <c r="A32" s="8" t="s">
        <v>528</v>
      </c>
    </row>
    <row r="33" customFormat="false" ht="15" hidden="false" customHeight="false" outlineLevel="0" collapsed="false">
      <c r="A33" s="3" t="s">
        <v>403</v>
      </c>
      <c r="B33" s="3" t="s">
        <v>529</v>
      </c>
      <c r="C33" s="3" t="s">
        <v>530</v>
      </c>
      <c r="D33" s="3"/>
      <c r="E33" s="3" t="s">
        <v>531</v>
      </c>
    </row>
    <row r="34" customFormat="false" ht="23.85" hidden="false" customHeight="false" outlineLevel="0" collapsed="false">
      <c r="A34" s="6" t="s">
        <v>532</v>
      </c>
      <c r="B34" s="28" t="n">
        <f aca="false">2*Piezas!$F$10</f>
        <v>986</v>
      </c>
      <c r="C34" s="28" t="n">
        <f aca="false">Piezas!$G$11</f>
        <v>995.5</v>
      </c>
      <c r="E34" s="7" t="str">
        <f aca="false">IF(B34&lt;=C34,"OK (sobran "&amp;TEXT(C34-B34,"0.0")&amp;" mm)","No entra")</f>
        <v>OK (sobran 9.5 mm)</v>
      </c>
    </row>
    <row r="35" customFormat="false" ht="23.85" hidden="false" customHeight="false" outlineLevel="0" collapsed="false">
      <c r="A35" s="6" t="s">
        <v>533</v>
      </c>
      <c r="B35" s="28" t="n">
        <f aca="false">Piezas!$F$11+Piezas!$G$10</f>
        <v>1498.5</v>
      </c>
      <c r="C35" s="28" t="n">
        <f aca="false">Corte!$B$10</f>
        <v>1500</v>
      </c>
      <c r="E35" s="7" t="str">
        <f aca="false">IF(B35&lt;=C35,"OK (sobran "&amp;TEXT(C35-B35,"0.0")&amp;" mm)","No entra")</f>
        <v>OK (sobran 1.5 mm)</v>
      </c>
    </row>
    <row r="36" customFormat="false" ht="23.85" hidden="false" customHeight="false" outlineLevel="0" collapsed="false">
      <c r="A36" s="6" t="s">
        <v>534</v>
      </c>
      <c r="B36" s="28" t="n">
        <f aca="false">3*Piezas!$G$11</f>
        <v>2986.5</v>
      </c>
      <c r="C36" s="28" t="n">
        <f aca="false">Corte!$C$10</f>
        <v>3000</v>
      </c>
      <c r="E36" s="7" t="str">
        <f aca="false">IF(B36&lt;=C36,"OK (sobran "&amp;TEXT(C36-B36,"0.0")&amp;" mm)","No entra")</f>
        <v>OK (sobran 13.5 mm)</v>
      </c>
    </row>
    <row r="37" customFormat="false" ht="23.85" hidden="false" customHeight="false" outlineLevel="0" collapsed="false">
      <c r="A37" s="6" t="s">
        <v>535</v>
      </c>
      <c r="B37" s="28" t="n">
        <f aca="false">Piezas!$G$11</f>
        <v>995.5</v>
      </c>
      <c r="C37" s="28" t="n">
        <f aca="false">Datos!$B$34</f>
        <v>1000</v>
      </c>
      <c r="E37" s="7" t="str">
        <f aca="false">IF(B37&lt;=C37,"OK (sobran "&amp;TEXT(C37-B37,"0.0")&amp;" mm)","No entra")</f>
        <v>OK (sobran 4.5 mm)</v>
      </c>
    </row>
    <row r="38" customFormat="false" ht="23.85" hidden="false" customHeight="false" outlineLevel="0" collapsed="false">
      <c r="A38" s="6" t="s">
        <v>536</v>
      </c>
      <c r="B38" s="28" t="n">
        <f aca="false">Piezas!$F$10</f>
        <v>493</v>
      </c>
      <c r="C38" s="28" t="n">
        <f aca="false">Datos!$B$37</f>
        <v>800</v>
      </c>
      <c r="E38" s="7" t="str">
        <f aca="false">IF(B38&lt;=C38,"OK (sobran "&amp;TEXT(C38-B38,"0.0")&amp;" mm)","No entra")</f>
        <v>OK (sobran 307.0 mm)</v>
      </c>
    </row>
    <row r="39" customFormat="false" ht="15" hidden="false" customHeight="false" outlineLevel="0" collapsed="false">
      <c r="A39" s="2" t="s">
        <v>537</v>
      </c>
    </row>
    <row r="41" customFormat="false" ht="15" hidden="false" customHeight="false" outlineLevel="0" collapsed="false">
      <c r="A41" s="8" t="s">
        <v>538</v>
      </c>
    </row>
    <row r="42" customFormat="false" ht="23.85" hidden="false" customHeight="false" outlineLevel="0" collapsed="false">
      <c r="A42" s="3" t="s">
        <v>74</v>
      </c>
      <c r="B42" s="3" t="s">
        <v>539</v>
      </c>
      <c r="C42" s="3" t="s">
        <v>540</v>
      </c>
      <c r="D42" s="3" t="s">
        <v>541</v>
      </c>
    </row>
    <row r="43" customFormat="false" ht="15" hidden="false" customHeight="false" outlineLevel="0" collapsed="false">
      <c r="A43" s="6" t="s">
        <v>542</v>
      </c>
      <c r="B43" s="9" t="n">
        <f aca="false">INDEX(Cálculo!$C$12:$L$12,Datos!$B$6-2025)</f>
        <v>777.3105332</v>
      </c>
      <c r="C43" s="9" t="n">
        <f aca="false">INDEX(Cálculo!$C$12:$L$12,Datos!$B$6-2025)</f>
        <v>777.3105332</v>
      </c>
      <c r="D43" s="9" t="n">
        <f aca="false">C43-B43</f>
        <v>0</v>
      </c>
    </row>
    <row r="44" customFormat="false" ht="15" hidden="false" customHeight="false" outlineLevel="0" collapsed="false">
      <c r="A44" s="6" t="s">
        <v>543</v>
      </c>
      <c r="B44" s="9" t="n">
        <f aca="false">INDEX(Cálculo!$C$13:$L$13,Datos!$B$6-2025)</f>
        <v>1708.4351731</v>
      </c>
      <c r="C44" s="9" t="n">
        <f aca="false">INDEX(Cálculo!$C$13:$L$13,Datos!$B$6-2025)</f>
        <v>1708.4351731</v>
      </c>
      <c r="D44" s="9" t="n">
        <f aca="false">C44-B44</f>
        <v>0</v>
      </c>
    </row>
    <row r="45" customFormat="false" ht="15" hidden="false" customHeight="false" outlineLevel="0" collapsed="false">
      <c r="A45" s="6" t="s">
        <v>544</v>
      </c>
      <c r="B45" s="30" t="n">
        <f aca="false">INDEX(Cálculo!$C$12:$L$12,Datos!$B$6-2025)/Corte!$I$10+INDEX(Cálculo!$C$13:$L$13,Datos!$B$6-2025)/Corte!$I$11</f>
        <v>371.107032538889</v>
      </c>
      <c r="C45" s="30" t="n">
        <f aca="false">INDEX(Cálculo!$C$50:$L$50,Datos!$B$6-2025)+INDEX(Cálculo!$C$51:$L$51,Datos!$B$6-2025)+INDEX(Cálculo!$C$52:$L$52,Datos!$B$6-2025)</f>
        <v>349.515073283333</v>
      </c>
      <c r="D45" s="30" t="n">
        <f aca="false">C45-B45</f>
        <v>-21.5919592555555</v>
      </c>
    </row>
    <row r="46" customFormat="false" ht="15" hidden="false" customHeight="false" outlineLevel="0" collapsed="false">
      <c r="A46" s="6" t="s">
        <v>545</v>
      </c>
      <c r="B46" s="30" t="n">
        <f aca="false">B45*Corte!$W$10/1000</f>
        <v>42.0568177835672</v>
      </c>
      <c r="C46" s="30" t="n">
        <f aca="false">C45*Corte!$W$10/1000</f>
        <v>39.6098442250536</v>
      </c>
      <c r="D46" s="30" t="n">
        <f aca="false">C46-B46</f>
        <v>-2.4469735585136</v>
      </c>
    </row>
    <row r="47" customFormat="false" ht="15" hidden="false" customHeight="false" outlineLevel="0" collapsed="false">
      <c r="A47" s="6" t="s">
        <v>546</v>
      </c>
      <c r="B47" s="10" t="n">
        <f aca="false">(INDEX(Cálculo!$C$12:$L$12,Datos!$B$6-2025)*Piezas!$F$10*Piezas!$G$10+INDEX(Cálculo!$C$13:$L$13,Datos!$B$6-2025)*Piezas!$F$11*Piezas!$G$11)/(B45*Corte!$B$10*Corte!$C$10)</f>
        <v>0.848792272206547</v>
      </c>
      <c r="C47" s="10" t="n">
        <f aca="false">(INDEX(Cálculo!$C$12:$L$12,Datos!$B$6-2025)*Piezas!$F$10*Piezas!$G$10+INDEX(Cálculo!$C$13:$L$13,Datos!$B$6-2025)*Piezas!$F$11*Piezas!$G$11)/(C45*Corte!$B$10*Corte!$C$10)</f>
        <v>0.901228031230472</v>
      </c>
      <c r="D47" s="10" t="n">
        <f aca="false">C47-B47</f>
        <v>0.0524357590239243</v>
      </c>
    </row>
    <row r="48" customFormat="false" ht="15" hidden="false" customHeight="false" outlineLevel="0" collapsed="false">
      <c r="A48" s="6" t="s">
        <v>547</v>
      </c>
      <c r="B48" s="9" t="n">
        <f aca="false">B46*1000*INDEX(Datos!$C$95:$C$100,MATCH(Piezas!$E$10,Datos!$A$95:$A$100,0))</f>
        <v>46343.8910733627</v>
      </c>
      <c r="C48" s="9" t="n">
        <f aca="false">C46*1000*INDEX(Datos!$C$95:$C$100,MATCH(Piezas!$E$10,Datos!$A$95:$A$100,0))</f>
        <v>43647.4845920463</v>
      </c>
      <c r="D48" s="9" t="n">
        <f aca="false">C48-B48</f>
        <v>-2696.40648131638</v>
      </c>
    </row>
    <row r="49" customFormat="false" ht="15" hidden="false" customHeight="false" outlineLevel="0" collapsed="false">
      <c r="A49" s="4" t="s">
        <v>548</v>
      </c>
      <c r="B49" s="31" t="str">
        <f aca="false">IF(C46&lt;B46,"Sí: ahorra "&amp;TEXT(B45-C45,"0")&amp;" hojas y USD "&amp;TEXT(B48-C48,"#,##0")&amp;" en el año","No")</f>
        <v>Sí: ahorra 22 hojas y USD 2,696 en el año</v>
      </c>
      <c r="C49" s="31"/>
      <c r="D49" s="31"/>
      <c r="E49" s="31"/>
    </row>
    <row r="50" customFormat="false" ht="15" hidden="false" customHeight="false" outlineLevel="0" collapsed="false">
      <c r="A50" s="2" t="s">
        <v>549</v>
      </c>
    </row>
    <row r="51" customFormat="false" ht="15" hidden="false" customHeight="false" outlineLevel="0" collapsed="false">
      <c r="A51" s="8" t="s">
        <v>550</v>
      </c>
    </row>
    <row r="52" customFormat="false" ht="15" hidden="false" customHeight="false" outlineLevel="0" collapsed="false">
      <c r="A52" s="6" t="s">
        <v>387</v>
      </c>
      <c r="B52" s="20" t="n">
        <f aca="false">IF((INDEX(Cálculo!$C$50:$L$50,Datos!$B$6-2025)+INDEX(Cálculo!$C$51:$L$51,Datos!$B$6-2025)+INDEX(Cálculo!$C$52:$L$52,Datos!$B$6-2025))=0,0,(INDEX(Cálculo!$C$12:$L$12,Datos!$B$6-2025)+INDEX(Cálculo!$C$13:$L$13,Datos!$B$6-2025))/(INDEX(Cálculo!$C$50:$L$50,Datos!$B$6-2025)+INDEX(Cálculo!$C$51:$L$51,Datos!$B$6-2025)+INDEX(Cálculo!$C$52:$L$52,Datos!$B$6-2025)))</f>
        <v>7.11198427852906</v>
      </c>
    </row>
    <row r="53" customFormat="false" ht="15" hidden="false" customHeight="false" outlineLevel="0" collapsed="false">
      <c r="A53" s="6" t="s">
        <v>394</v>
      </c>
      <c r="B53" s="20" t="n">
        <f aca="false">IF((INDEX(Cálculo!$C$50:$L$50,Datos!$B$6-2025)+INDEX(Cálculo!$C$51:$L$51,Datos!$B$6-2025)+INDEX(Cálculo!$C$52:$L$52,Datos!$B$6-2025))=0,0,(INDEX(Cálculo!$C$50:$L$50,Datos!$B$6-2025)*G26+INDEX(Cálculo!$C$51:$L$51,Datos!$B$6-2025)*G28+INDEX(Cálculo!$C$52:$L$52,Datos!$B$6-2025)*G29)/(INDEX(Cálculo!$C$50:$L$50,Datos!$B$6-2025)+INDEX(Cálculo!$C$51:$L$51,Datos!$B$6-2025)+INDEX(Cálculo!$C$52:$L$52,Datos!$B$6-2025)))</f>
        <v>3</v>
      </c>
    </row>
    <row r="54" customFormat="false" ht="15" hidden="false" customHeight="false" outlineLevel="0" collapsed="false">
      <c r="A54" s="6" t="s">
        <v>396</v>
      </c>
      <c r="B54" s="20" t="n">
        <f aca="false">IF((INDEX(Cálculo!$C$50:$L$50,Datos!$B$6-2025)+INDEX(Cálculo!$C$51:$L$51,Datos!$B$6-2025)+INDEX(Cálculo!$C$52:$L$52,Datos!$B$6-2025))=0,0,(INDEX(Cálculo!$C$50:$L$50,Datos!$B$6-2025)*H26+INDEX(Cálculo!$C$51:$L$51,Datos!$B$6-2025)*H28+INDEX(Cálculo!$C$52:$L$52,Datos!$B$6-2025)*H29)/(INDEX(Cálculo!$C$50:$L$50,Datos!$B$6-2025)+INDEX(Cálculo!$C$51:$L$51,Datos!$B$6-2025)+INDEX(Cálculo!$C$52:$L$52,Datos!$B$6-2025)))</f>
        <v>4.11198427852906</v>
      </c>
    </row>
    <row r="55" customFormat="false" ht="15" hidden="false" customHeight="false" outlineLevel="0" collapsed="false">
      <c r="A55" s="6" t="s">
        <v>413</v>
      </c>
      <c r="B55" s="20" t="n">
        <f aca="false">IF((INDEX(Cálculo!$C$50:$L$50,Datos!$B$6-2025)+INDEX(Cálculo!$C$51:$L$51,Datos!$B$6-2025)+INDEX(Cálculo!$C$52:$L$52,Datos!$B$6-2025))=0,0,(INDEX(Cálculo!$C$50:$L$50,Datos!$B$6-2025)*I26+INDEX(Cálculo!$C$51:$L$51,Datos!$B$6-2025)*I28+INDEX(Cálculo!$C$52:$L$52,Datos!$B$6-2025)*I29)/(INDEX(Cálculo!$C$50:$L$50,Datos!$B$6-2025)+INDEX(Cálculo!$C$51:$L$51,Datos!$B$6-2025)+INDEX(Cálculo!$C$52:$L$52,Datos!$B$6-2025)))</f>
        <v>2.05599213926453</v>
      </c>
    </row>
    <row r="57" customFormat="false" ht="15" hidden="false" customHeight="false" outlineLevel="0" collapsed="false">
      <c r="A57" s="8" t="s">
        <v>551</v>
      </c>
    </row>
    <row r="58" customFormat="false" ht="15" hidden="false" customHeight="false" outlineLevel="0" collapsed="false">
      <c r="A58" s="3" t="s">
        <v>514</v>
      </c>
      <c r="B58" s="3" t="s">
        <v>552</v>
      </c>
      <c r="C58" s="3" t="s">
        <v>553</v>
      </c>
      <c r="D58" s="3"/>
      <c r="E58" s="3" t="s">
        <v>388</v>
      </c>
    </row>
    <row r="59" customFormat="false" ht="15" hidden="false" customHeight="false" outlineLevel="0" collapsed="false">
      <c r="A59" s="6" t="s">
        <v>554</v>
      </c>
      <c r="B59" s="18" t="n">
        <v>3</v>
      </c>
      <c r="C59" s="18" t="n">
        <v>1</v>
      </c>
      <c r="E59" s="10" t="n">
        <f aca="false">(B59*Piezas!$F$12*Piezas!$G$12+C59*Piezas!$F$13*Piezas!$G$13)/(Corte!$B$13*Corte!$C$13)</f>
        <v>0.79086</v>
      </c>
    </row>
    <row r="60" customFormat="false" ht="15" hidden="false" customHeight="false" outlineLevel="0" collapsed="false">
      <c r="A60" s="6" t="s">
        <v>555</v>
      </c>
      <c r="B60" s="18" t="n">
        <v>4</v>
      </c>
      <c r="C60" s="18" t="n">
        <v>0</v>
      </c>
      <c r="E60" s="10" t="n">
        <f aca="false">(B60*Piezas!$F$12*Piezas!$G$12+C60*Piezas!$F$13*Piezas!$G$13)/(Corte!$B$13*Corte!$C$13)</f>
        <v>0.73168</v>
      </c>
    </row>
    <row r="61" customFormat="false" ht="15" hidden="false" customHeight="false" outlineLevel="0" collapsed="false">
      <c r="A61" s="6" t="s">
        <v>556</v>
      </c>
      <c r="B61" s="18" t="n">
        <v>0</v>
      </c>
      <c r="C61" s="18" t="n">
        <v>3</v>
      </c>
      <c r="E61" s="10" t="n">
        <f aca="false">(B61*Piezas!$F$12*Piezas!$G$12+C61*Piezas!$F$13*Piezas!$G$13)/(Corte!$B$13*Corte!$C$13)</f>
        <v>0.7263</v>
      </c>
    </row>
    <row r="62" customFormat="false" ht="15" hidden="false" customHeight="false" outlineLevel="0" collapsed="false">
      <c r="A62" s="6" t="s">
        <v>557</v>
      </c>
      <c r="B62" s="18" t="n">
        <v>1</v>
      </c>
      <c r="C62" s="18" t="n">
        <v>2</v>
      </c>
      <c r="E62" s="10" t="n">
        <f aca="false">(B62*Piezas!$F$12*Piezas!$G$12+C62*Piezas!$F$13*Piezas!$G$13)/(Corte!$B$13*Corte!$C$13)</f>
        <v>0.66712</v>
      </c>
    </row>
    <row r="63" customFormat="false" ht="15" hidden="false" customHeight="false" outlineLevel="0" collapsed="false">
      <c r="A63" s="2" t="s">
        <v>558</v>
      </c>
    </row>
    <row r="65" customFormat="false" ht="15" hidden="false" customHeight="false" outlineLevel="0" collapsed="false">
      <c r="A65" s="8" t="s">
        <v>559</v>
      </c>
    </row>
    <row r="66" customFormat="false" ht="23.85" hidden="false" customHeight="false" outlineLevel="0" collapsed="false">
      <c r="A66" s="3" t="s">
        <v>343</v>
      </c>
      <c r="B66" s="3" t="s">
        <v>560</v>
      </c>
      <c r="C66" s="3" t="s">
        <v>443</v>
      </c>
      <c r="D66" s="3" t="s">
        <v>561</v>
      </c>
      <c r="E66" s="3" t="s">
        <v>445</v>
      </c>
      <c r="F66" s="3" t="s">
        <v>562</v>
      </c>
      <c r="G66" s="3" t="s">
        <v>563</v>
      </c>
      <c r="H66" s="3" t="s">
        <v>564</v>
      </c>
    </row>
    <row r="67" customFormat="false" ht="15" hidden="false" customHeight="false" outlineLevel="0" collapsed="false">
      <c r="A67" s="7" t="str">
        <f aca="false">Corte!A44</f>
        <v>Cúpula 1 kg</v>
      </c>
      <c r="B67" s="28" t="n">
        <f aca="false">Corte!$T$44</f>
        <v>93.05</v>
      </c>
      <c r="C67" s="10" t="n">
        <f aca="false">Corte!$U$44</f>
        <v>0.736289218328488</v>
      </c>
      <c r="D67" s="28" t="n">
        <f aca="false">Corte!$V$44</f>
        <v>171.295395231924</v>
      </c>
      <c r="E67" s="10" t="n">
        <f aca="false">Corte!$W$44</f>
        <v>0.799924734377184</v>
      </c>
      <c r="F67" s="9" t="n">
        <f aca="false">INDEX(Cálculo!$C$16:$L$16,Datos!$B$6-2025)*Corte!$X$44</f>
        <v>12126.1343696364</v>
      </c>
      <c r="G67" s="9" t="n">
        <f aca="false">INDEX(Cálculo!$C$16:$L$16,Datos!$B$6-2025)*Corte!$Y$44</f>
        <v>11161.4775899102</v>
      </c>
      <c r="H67" s="9" t="n">
        <f aca="false">F67-G67</f>
        <v>964.65677972622</v>
      </c>
    </row>
    <row r="68" customFormat="false" ht="15" hidden="false" customHeight="false" outlineLevel="0" collapsed="false">
      <c r="A68" s="7" t="str">
        <f aca="false">Corte!A45</f>
        <v>Fondo 1 kg</v>
      </c>
      <c r="B68" s="28" t="n">
        <f aca="false">Corte!$T$45</f>
        <v>100.625</v>
      </c>
      <c r="C68" s="10" t="n">
        <f aca="false">Corte!$U$45</f>
        <v>0.723506710931636</v>
      </c>
      <c r="D68" s="28" t="n">
        <f aca="false">Corte!$V$45</f>
        <v>184.521210991618</v>
      </c>
      <c r="E68" s="10" t="n">
        <f aca="false">Corte!$W$45</f>
        <v>0.789100205838159</v>
      </c>
      <c r="F68" s="9" t="n">
        <f aca="false">INDEX(Cálculo!$C$17:$L$17,Datos!$B$6-2025)*Corte!$X$45</f>
        <v>19528.2332804058</v>
      </c>
      <c r="G68" s="9" t="n">
        <f aca="false">INDEX(Cálculo!$C$17:$L$17,Datos!$B$6-2025)*Corte!$Y$45</f>
        <v>17904.9602654771</v>
      </c>
      <c r="H68" s="9" t="n">
        <f aca="false">F68-G68</f>
        <v>1623.27301492861</v>
      </c>
    </row>
    <row r="69" customFormat="false" ht="15" hidden="false" customHeight="false" outlineLevel="0" collapsed="false">
      <c r="A69" s="7" t="str">
        <f aca="false">Corte!A46</f>
        <v>Cúpula 2,5 kg</v>
      </c>
      <c r="B69" s="28" t="n">
        <f aca="false">Corte!$T$46</f>
        <v>162.125</v>
      </c>
      <c r="C69" s="10" t="n">
        <f aca="false">Corte!$U$46</f>
        <v>0.745426844965258</v>
      </c>
      <c r="D69" s="28" t="n">
        <f aca="false">Corte!$V$46</f>
        <v>299.281773324361</v>
      </c>
      <c r="E69" s="10" t="n">
        <f aca="false">Corte!$W$46</f>
        <v>0.807615685362925</v>
      </c>
      <c r="F69" s="9" t="n">
        <f aca="false">INDEX(Cálculo!$C$18:$L$18,Datos!$B$6-2025)*Corte!$X$46</f>
        <v>3586.1453554975</v>
      </c>
      <c r="G69" s="9" t="n">
        <f aca="false">INDEX(Cálculo!$C$18:$L$18,Datos!$B$6-2025)*Corte!$Y$46</f>
        <v>3310.00136127128</v>
      </c>
      <c r="H69" s="9" t="n">
        <f aca="false">F69-G69</f>
        <v>276.143994226225</v>
      </c>
    </row>
    <row r="70" customFormat="false" ht="15" hidden="false" customHeight="false" outlineLevel="0" collapsed="false">
      <c r="A70" s="7" t="str">
        <f aca="false">Corte!A47</f>
        <v>Fondo 2,5 kg</v>
      </c>
      <c r="B70" s="28" t="n">
        <f aca="false">Corte!$T$47</f>
        <v>146.125</v>
      </c>
      <c r="C70" s="10" t="n">
        <f aca="false">Corte!$U$47</f>
        <v>0.741493501743544</v>
      </c>
      <c r="D70" s="28" t="n">
        <f aca="false">Corte!$V$47</f>
        <v>269.42536686381</v>
      </c>
      <c r="E70" s="10" t="n">
        <f aca="false">Corte!$W$47</f>
        <v>0.804309848055584</v>
      </c>
      <c r="F70" s="9" t="n">
        <f aca="false">INDEX(Cálculo!$C$19:$L$19,Datos!$B$6-2025)*Corte!$X$47</f>
        <v>2905.69170037633</v>
      </c>
      <c r="G70" s="9" t="n">
        <f aca="false">INDEX(Cálculo!$C$19:$L$19,Datos!$B$6-2025)*Corte!$Y$47</f>
        <v>2678.75809193163</v>
      </c>
      <c r="H70" s="9" t="n">
        <f aca="false">F70-G70</f>
        <v>226.9336084447</v>
      </c>
    </row>
    <row r="71" customFormat="false" ht="15" hidden="false" customHeight="false" outlineLevel="0" collapsed="false">
      <c r="A71" s="7" t="str">
        <f aca="false">Corte!A48</f>
        <v>Cúpula 5 kg</v>
      </c>
      <c r="B71" s="28" t="n">
        <f aca="false">Corte!$T$48</f>
        <v>204.2</v>
      </c>
      <c r="C71" s="10" t="n">
        <f aca="false">Corte!$U$48</f>
        <v>0.744842626230187</v>
      </c>
      <c r="D71" s="28" t="n">
        <f aca="false">Corte!$V$48</f>
        <v>376.885465514617</v>
      </c>
      <c r="E71" s="10" t="n">
        <f aca="false">Corte!$W$48</f>
        <v>0.807125125234129</v>
      </c>
      <c r="F71" s="9" t="n">
        <f aca="false">INDEX(Cálculo!$C$20:$L$20,Datos!$B$6-2025)*Corte!$X$48</f>
        <v>32902.6980003348</v>
      </c>
      <c r="G71" s="9" t="n">
        <f aca="false">INDEX(Cálculo!$C$20:$L$20,Datos!$B$6-2025)*Corte!$Y$48</f>
        <v>30363.7332334551</v>
      </c>
      <c r="H71" s="9" t="n">
        <f aca="false">F71-G71</f>
        <v>2538.96476687976</v>
      </c>
    </row>
    <row r="72" customFormat="false" ht="15" hidden="false" customHeight="false" outlineLevel="0" collapsed="false">
      <c r="A72" s="7" t="str">
        <f aca="false">Corte!A49</f>
        <v>Fondo 5 kg</v>
      </c>
      <c r="B72" s="28" t="n">
        <f aca="false">Corte!$T$49</f>
        <v>177.2</v>
      </c>
      <c r="C72" s="10" t="n">
        <f aca="false">Corte!$U$49</f>
        <v>0.739281478567591</v>
      </c>
      <c r="D72" s="28" t="n">
        <f aca="false">Corte!$V$49</f>
        <v>326.502779612437</v>
      </c>
      <c r="E72" s="10" t="n">
        <f aca="false">Corte!$W$49</f>
        <v>0.802447551335866</v>
      </c>
      <c r="F72" s="9" t="n">
        <f aca="false">INDEX(Cálculo!$C$21:$L$21,Datos!$B$6-2025)*Corte!$X$49</f>
        <v>24686.0496761506</v>
      </c>
      <c r="G72" s="9" t="n">
        <f aca="false">INDEX(Cálculo!$C$21:$L$21,Datos!$B$6-2025)*Corte!$Y$49</f>
        <v>22742.843783617</v>
      </c>
      <c r="H72" s="9" t="n">
        <f aca="false">F72-G72</f>
        <v>1943.20589253356</v>
      </c>
    </row>
    <row r="73" customFormat="false" ht="15" hidden="false" customHeight="false" outlineLevel="0" collapsed="false">
      <c r="A73" s="7" t="str">
        <f aca="false">Corte!A50</f>
        <v>Cúpula 10 kg</v>
      </c>
      <c r="B73" s="28" t="n">
        <f aca="false">Corte!$T$50</f>
        <v>238.7</v>
      </c>
      <c r="C73" s="10" t="n">
        <f aca="false">Corte!$U$50</f>
        <v>0.750122706643407</v>
      </c>
      <c r="D73" s="28" t="n">
        <f aca="false">Corte!$V$50</f>
        <v>441.26334194518</v>
      </c>
      <c r="E73" s="10" t="n">
        <f aca="false">Corte!$W$50</f>
        <v>0.811552980070689</v>
      </c>
      <c r="F73" s="9" t="n">
        <f aca="false">INDEX(Cálculo!$C$22:$L$22,Datos!$B$6-2025)*Corte!$X$50</f>
        <v>2729.42331803155</v>
      </c>
      <c r="G73" s="9" t="n">
        <f aca="false">INDEX(Cálculo!$C$22:$L$22,Datos!$B$6-2025)*Corte!$Y$50</f>
        <v>2522.82039149079</v>
      </c>
      <c r="H73" s="9" t="n">
        <f aca="false">F73-G73</f>
        <v>206.602926540758</v>
      </c>
    </row>
    <row r="74" customFormat="false" ht="15" hidden="false" customHeight="false" outlineLevel="0" collapsed="false">
      <c r="A74" s="7" t="str">
        <f aca="false">Corte!A51</f>
        <v>Fondo 10 kg</v>
      </c>
      <c r="B74" s="28" t="n">
        <f aca="false">Corte!$T$51</f>
        <v>205</v>
      </c>
      <c r="C74" s="10" t="n">
        <f aca="false">Corte!$U$51</f>
        <v>0.735898923050643</v>
      </c>
      <c r="D74" s="28" t="n">
        <f aca="false">Corte!$V$51</f>
        <v>377.339055353103</v>
      </c>
      <c r="E74" s="10" t="n">
        <f aca="false">Corte!$W$51</f>
        <v>0.799595361705732</v>
      </c>
      <c r="F74" s="9" t="n">
        <f aca="false">INDEX(Cálculo!$C$23:$L$23,Datos!$B$6-2025)*Corte!$X$51</f>
        <v>2492.90200650186</v>
      </c>
      <c r="G74" s="9" t="n">
        <f aca="false">INDEX(Cálculo!$C$23:$L$23,Datos!$B$6-2025)*Corte!$Y$51</f>
        <v>2294.31533712504</v>
      </c>
      <c r="H74" s="9" t="n">
        <f aca="false">F74-G74</f>
        <v>198.586669376817</v>
      </c>
    </row>
    <row r="75" customFormat="false" ht="15" hidden="false" customHeight="false" outlineLevel="0" collapsed="false">
      <c r="A75" s="4" t="s">
        <v>320</v>
      </c>
      <c r="F75" s="11" t="n">
        <f aca="false">SUM(F67:F74)</f>
        <v>100957.277706935</v>
      </c>
      <c r="G75" s="11" t="n">
        <f aca="false">SUM(G67:G74)</f>
        <v>92978.9100542782</v>
      </c>
      <c r="H75" s="11" t="n">
        <f aca="false">SUM(H67:H74)</f>
        <v>7978.36765265665</v>
      </c>
    </row>
    <row r="76" customFormat="false" ht="15" hidden="false" customHeight="false" outlineLevel="0" collapsed="false">
      <c r="A76" s="2" t="s">
        <v>565</v>
      </c>
    </row>
  </sheetData>
  <mergeCells count="6">
    <mergeCell ref="B25:D25"/>
    <mergeCell ref="B26:D26"/>
    <mergeCell ref="B27:D27"/>
    <mergeCell ref="B28:D28"/>
    <mergeCell ref="B29:D29"/>
    <mergeCell ref="B49:E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9"/>
    <col collapsed="false" customWidth="true" hidden="false" outlineLevel="0" max="12" min="3" style="0" width="12"/>
  </cols>
  <sheetData>
    <row r="1" customFormat="false" ht="15" hidden="false" customHeight="false" outlineLevel="0" collapsed="false">
      <c r="A1" s="1" t="s">
        <v>566</v>
      </c>
    </row>
    <row r="2" customFormat="false" ht="15" hidden="false" customHeight="false" outlineLevel="0" collapsed="false">
      <c r="A2" s="2" t="s">
        <v>567</v>
      </c>
    </row>
    <row r="4" customFormat="false" ht="15" hidden="false" customHeight="false" outlineLevel="0" collapsed="false">
      <c r="A4" s="3" t="s">
        <v>74</v>
      </c>
      <c r="B4" s="3" t="s">
        <v>76</v>
      </c>
      <c r="C4" s="3" t="s">
        <v>17</v>
      </c>
      <c r="D4" s="3" t="s">
        <v>18</v>
      </c>
      <c r="E4" s="3" t="s">
        <v>19</v>
      </c>
      <c r="F4" s="3" t="s">
        <v>20</v>
      </c>
      <c r="G4" s="3" t="s">
        <v>21</v>
      </c>
      <c r="H4" s="3" t="s">
        <v>22</v>
      </c>
      <c r="I4" s="3" t="s">
        <v>23</v>
      </c>
      <c r="J4" s="3" t="s">
        <v>24</v>
      </c>
      <c r="K4" s="3" t="s">
        <v>25</v>
      </c>
      <c r="L4" s="3" t="s">
        <v>26</v>
      </c>
    </row>
    <row r="5" customFormat="false" ht="15" hidden="false" customHeight="false" outlineLevel="0" collapsed="false">
      <c r="A5" s="6" t="s">
        <v>568</v>
      </c>
      <c r="C5" s="9" t="n">
        <v>1</v>
      </c>
      <c r="D5" s="9" t="n">
        <v>2</v>
      </c>
      <c r="E5" s="9" t="n">
        <v>3</v>
      </c>
      <c r="F5" s="9" t="n">
        <v>4</v>
      </c>
      <c r="G5" s="9" t="n">
        <v>5</v>
      </c>
      <c r="H5" s="9" t="n">
        <v>6</v>
      </c>
      <c r="I5" s="9" t="n">
        <v>7</v>
      </c>
      <c r="J5" s="9" t="n">
        <v>8</v>
      </c>
      <c r="K5" s="9" t="n">
        <v>9</v>
      </c>
      <c r="L5" s="9" t="n">
        <v>10</v>
      </c>
    </row>
    <row r="6" customFormat="false" ht="15" hidden="false" customHeight="false" outlineLevel="0" collapsed="false">
      <c r="A6" s="6" t="s">
        <v>569</v>
      </c>
      <c r="C6" s="22" t="n">
        <f aca="false">1/(1+Datos!$B$7)^C5</f>
        <v>0.892857142857143</v>
      </c>
      <c r="D6" s="22" t="n">
        <f aca="false">1/(1+Datos!$B$7)^D5</f>
        <v>0.79719387755102</v>
      </c>
      <c r="E6" s="22" t="n">
        <f aca="false">1/(1+Datos!$B$7)^E5</f>
        <v>0.711780247813411</v>
      </c>
      <c r="F6" s="22" t="n">
        <f aca="false">1/(1+Datos!$B$7)^F5</f>
        <v>0.635518078404831</v>
      </c>
      <c r="G6" s="22" t="n">
        <f aca="false">1/(1+Datos!$B$7)^G5</f>
        <v>0.567426855718599</v>
      </c>
      <c r="H6" s="22" t="n">
        <f aca="false">1/(1+Datos!$B$7)^H5</f>
        <v>0.506631121177321</v>
      </c>
      <c r="I6" s="22" t="n">
        <f aca="false">1/(1+Datos!$B$7)^I5</f>
        <v>0.452349215336893</v>
      </c>
      <c r="J6" s="22" t="n">
        <f aca="false">1/(1+Datos!$B$7)^J5</f>
        <v>0.403883227979369</v>
      </c>
      <c r="K6" s="22" t="n">
        <f aca="false">1/(1+Datos!$B$7)^K5</f>
        <v>0.360610024981579</v>
      </c>
      <c r="L6" s="22" t="n">
        <f aca="false">1/(1+Datos!$B$7)^L5</f>
        <v>0.321973236590696</v>
      </c>
    </row>
    <row r="7" customFormat="false" ht="15" hidden="false" customHeight="false" outlineLevel="0" collapsed="false">
      <c r="A7" s="8" t="s">
        <v>570</v>
      </c>
    </row>
    <row r="8" customFormat="false" ht="15" hidden="false" customHeight="false" outlineLevel="0" collapsed="false">
      <c r="A8" s="6" t="s">
        <v>27</v>
      </c>
      <c r="B8" s="6" t="s">
        <v>126</v>
      </c>
      <c r="C8" s="9" t="n">
        <f aca="false">Demanda!C6</f>
        <v>4178.736543</v>
      </c>
      <c r="D8" s="9" t="n">
        <f aca="false">Demanda!D6</f>
        <v>5997.303977</v>
      </c>
      <c r="E8" s="9" t="n">
        <f aca="false">Demanda!E6</f>
        <v>14514.147758</v>
      </c>
      <c r="F8" s="9" t="n">
        <f aca="false">Demanda!F6</f>
        <v>35161.935549</v>
      </c>
      <c r="G8" s="9" t="n">
        <f aca="false">Demanda!G6</f>
        <v>62115.43271</v>
      </c>
      <c r="H8" s="9" t="n">
        <f aca="false">Demanda!H6</f>
        <v>87300.45307</v>
      </c>
      <c r="I8" s="9" t="n">
        <f aca="false">Demanda!I6</f>
        <v>121673.15326</v>
      </c>
      <c r="J8" s="9" t="n">
        <f aca="false">Demanda!J6</f>
        <v>156133.07848</v>
      </c>
      <c r="K8" s="9" t="n">
        <f aca="false">Demanda!K6</f>
        <v>175393.13614</v>
      </c>
      <c r="L8" s="9" t="n">
        <f aca="false">Demanda!L6</f>
        <v>202620.63913</v>
      </c>
    </row>
    <row r="9" customFormat="false" ht="15" hidden="false" customHeight="false" outlineLevel="0" collapsed="false">
      <c r="A9" s="6" t="s">
        <v>29</v>
      </c>
      <c r="B9" s="6" t="s">
        <v>126</v>
      </c>
      <c r="C9" s="9" t="n">
        <f aca="false">Demanda!C7</f>
        <v>300.0303572</v>
      </c>
      <c r="D9" s="9" t="n">
        <f aca="false">Demanda!D7</f>
        <v>724.1274503</v>
      </c>
      <c r="E9" s="9" t="n">
        <f aca="false">Demanda!E7</f>
        <v>1309.9880576</v>
      </c>
      <c r="F9" s="9" t="n">
        <f aca="false">Demanda!F7</f>
        <v>2581.718174</v>
      </c>
      <c r="G9" s="9" t="n">
        <f aca="false">Demanda!G7</f>
        <v>4284.627726</v>
      </c>
      <c r="H9" s="9" t="n">
        <f aca="false">Demanda!H7</f>
        <v>6099.509887</v>
      </c>
      <c r="I9" s="9" t="n">
        <f aca="false">Demanda!I7</f>
        <v>8105.755524</v>
      </c>
      <c r="J9" s="9" t="n">
        <f aca="false">Demanda!J7</f>
        <v>10259.066587</v>
      </c>
      <c r="K9" s="9" t="n">
        <f aca="false">Demanda!K7</f>
        <v>11967.786243</v>
      </c>
      <c r="L9" s="9" t="n">
        <f aca="false">Demanda!L7</f>
        <v>14126.338444</v>
      </c>
    </row>
    <row r="10" customFormat="false" ht="15" hidden="false" customHeight="false" outlineLevel="0" collapsed="false">
      <c r="A10" s="6" t="s">
        <v>30</v>
      </c>
      <c r="B10" s="6" t="s">
        <v>126</v>
      </c>
      <c r="C10" s="9" t="n">
        <f aca="false">Demanda!C8</f>
        <v>2281.773025</v>
      </c>
      <c r="D10" s="9" t="n">
        <f aca="false">Demanda!D8</f>
        <v>3928.058881</v>
      </c>
      <c r="E10" s="9" t="n">
        <f aca="false">Demanda!E8</f>
        <v>6711.737591</v>
      </c>
      <c r="F10" s="9" t="n">
        <f aca="false">Demanda!F8</f>
        <v>12203.995313</v>
      </c>
      <c r="G10" s="9" t="n">
        <f aca="false">Demanda!G8</f>
        <v>20592.78694</v>
      </c>
      <c r="H10" s="9" t="n">
        <f aca="false">Demanda!H8</f>
        <v>28701.60411</v>
      </c>
      <c r="I10" s="9" t="n">
        <f aca="false">Demanda!I8</f>
        <v>38664.59984</v>
      </c>
      <c r="J10" s="9" t="n">
        <f aca="false">Demanda!J8</f>
        <v>48842.22637</v>
      </c>
      <c r="K10" s="9" t="n">
        <f aca="false">Demanda!K8</f>
        <v>55481.36455</v>
      </c>
      <c r="L10" s="9" t="n">
        <f aca="false">Demanda!L8</f>
        <v>63852.65872</v>
      </c>
    </row>
    <row r="11" customFormat="false" ht="15" hidden="false" customHeight="false" outlineLevel="0" collapsed="false">
      <c r="A11" s="6" t="s">
        <v>31</v>
      </c>
      <c r="B11" s="6" t="s">
        <v>126</v>
      </c>
      <c r="C11" s="9" t="n">
        <f aca="false">Demanda!C9</f>
        <v>94.83318153</v>
      </c>
      <c r="D11" s="9" t="n">
        <f aca="false">Demanda!D9</f>
        <v>182.4872967</v>
      </c>
      <c r="E11" s="9" t="n">
        <f aca="false">Demanda!E9</f>
        <v>352.0187798</v>
      </c>
      <c r="F11" s="9" t="n">
        <f aca="false">Demanda!F9</f>
        <v>687.3004941</v>
      </c>
      <c r="G11" s="9" t="n">
        <f aca="false">Demanda!G9</f>
        <v>1200.4381519</v>
      </c>
      <c r="H11" s="9" t="n">
        <f aca="false">Demanda!H9</f>
        <v>1735.685032</v>
      </c>
      <c r="I11" s="9" t="n">
        <f aca="false">Demanda!I9</f>
        <v>2335.960545</v>
      </c>
      <c r="J11" s="9" t="n">
        <f aca="false">Demanda!J9</f>
        <v>2951.564812</v>
      </c>
      <c r="K11" s="9" t="n">
        <f aca="false">Demanda!K9</f>
        <v>3355.350054</v>
      </c>
      <c r="L11" s="9" t="n">
        <f aca="false">Demanda!L9</f>
        <v>3862.928079</v>
      </c>
    </row>
    <row r="12" customFormat="false" ht="15" hidden="false" customHeight="false" outlineLevel="0" collapsed="false">
      <c r="A12" s="6" t="s">
        <v>32</v>
      </c>
      <c r="B12" s="6" t="s">
        <v>126</v>
      </c>
      <c r="C12" s="9" t="n">
        <f aca="false">Demanda!C10</f>
        <v>36.05179136</v>
      </c>
      <c r="D12" s="9" t="n">
        <f aca="false">Demanda!D10</f>
        <v>58.62214745</v>
      </c>
      <c r="E12" s="9" t="n">
        <f aca="false">Demanda!E10</f>
        <v>90.76853998</v>
      </c>
      <c r="F12" s="9" t="n">
        <f aca="false">Demanda!F10</f>
        <v>152.9698529</v>
      </c>
      <c r="G12" s="9" t="n">
        <f aca="false">Demanda!G10</f>
        <v>252.2760035</v>
      </c>
      <c r="H12" s="9" t="n">
        <f aca="false">Demanda!H10</f>
        <v>349.5744827</v>
      </c>
      <c r="I12" s="9" t="n">
        <f aca="false">Demanda!I10</f>
        <v>465.4682332</v>
      </c>
      <c r="J12" s="9" t="n">
        <f aca="false">Demanda!J10</f>
        <v>586.7286707</v>
      </c>
      <c r="K12" s="9" t="n">
        <f aca="false">Demanda!K10</f>
        <v>672.5874156</v>
      </c>
      <c r="L12" s="9" t="n">
        <f aca="false">Demanda!L10</f>
        <v>777.3105332</v>
      </c>
    </row>
    <row r="13" customFormat="false" ht="15" hidden="false" customHeight="false" outlineLevel="0" collapsed="false">
      <c r="A13" s="6" t="s">
        <v>33</v>
      </c>
      <c r="B13" s="6" t="s">
        <v>126</v>
      </c>
      <c r="C13" s="9" t="n">
        <f aca="false">Demanda!C11</f>
        <v>76.913941</v>
      </c>
      <c r="D13" s="9" t="n">
        <f aca="false">Demanda!D11</f>
        <v>129.7767244</v>
      </c>
      <c r="E13" s="9" t="n">
        <f aca="false">Demanda!E11</f>
        <v>200.498788</v>
      </c>
      <c r="F13" s="9" t="n">
        <f aca="false">Demanda!F11</f>
        <v>337.4456765</v>
      </c>
      <c r="G13" s="9" t="n">
        <f aca="false">Demanda!G11</f>
        <v>554.0072077</v>
      </c>
      <c r="H13" s="9" t="n">
        <f aca="false">Demanda!H11</f>
        <v>769.135862</v>
      </c>
      <c r="I13" s="9" t="n">
        <f aca="false">Demanda!I11</f>
        <v>1025.2701129</v>
      </c>
      <c r="J13" s="9" t="n">
        <f aca="false">Demanda!J11</f>
        <v>1292.1070756</v>
      </c>
      <c r="K13" s="9" t="n">
        <f aca="false">Demanda!K11</f>
        <v>1479.6603143</v>
      </c>
      <c r="L13" s="9" t="n">
        <f aca="false">Demanda!L11</f>
        <v>1708.4351731</v>
      </c>
    </row>
    <row r="14" customFormat="false" ht="15" hidden="false" customHeight="false" outlineLevel="0" collapsed="false">
      <c r="A14" s="6" t="s">
        <v>34</v>
      </c>
      <c r="B14" s="6" t="s">
        <v>126</v>
      </c>
      <c r="C14" s="9" t="n">
        <f aca="false">Demanda!C12</f>
        <v>18.34485985</v>
      </c>
      <c r="D14" s="9" t="n">
        <f aca="false">Demanda!D12</f>
        <v>28.22183078</v>
      </c>
      <c r="E14" s="9" t="n">
        <f aca="false">Demanda!E12</f>
        <v>43.26009919</v>
      </c>
      <c r="F14" s="9" t="n">
        <f aca="false">Demanda!F12</f>
        <v>73.81432941</v>
      </c>
      <c r="G14" s="9" t="n">
        <f aca="false">Demanda!G12</f>
        <v>122.26048167</v>
      </c>
      <c r="H14" s="9" t="n">
        <f aca="false">Demanda!H12</f>
        <v>167.5285517</v>
      </c>
      <c r="I14" s="9" t="n">
        <f aca="false">Demanda!I12</f>
        <v>224.4807519</v>
      </c>
      <c r="J14" s="9" t="n">
        <f aca="false">Demanda!J12</f>
        <v>281.6473619</v>
      </c>
      <c r="K14" s="9" t="n">
        <f aca="false">Demanda!K12</f>
        <v>323.8211595</v>
      </c>
      <c r="L14" s="9" t="n">
        <f aca="false">Demanda!L12</f>
        <v>374.129856</v>
      </c>
    </row>
    <row r="15" customFormat="false" ht="15" hidden="false" customHeight="false" outlineLevel="0" collapsed="false">
      <c r="A15" s="6" t="s">
        <v>35</v>
      </c>
      <c r="B15" s="6" t="s">
        <v>126</v>
      </c>
      <c r="C15" s="9" t="n">
        <f aca="false">Demanda!C13</f>
        <v>12.89657324</v>
      </c>
      <c r="D15" s="9" t="n">
        <f aca="false">Demanda!D13</f>
        <v>18.86788719</v>
      </c>
      <c r="E15" s="9" t="n">
        <f aca="false">Demanda!E13</f>
        <v>28.82673279</v>
      </c>
      <c r="F15" s="9" t="n">
        <f aca="false">Demanda!F13</f>
        <v>48.32955294</v>
      </c>
      <c r="G15" s="9" t="n">
        <f aca="false">Demanda!G13</f>
        <v>80.64032112</v>
      </c>
      <c r="H15" s="9" t="n">
        <f aca="false">Demanda!H13</f>
        <v>110.85903447</v>
      </c>
      <c r="I15" s="9" t="n">
        <f aca="false">Demanda!I13</f>
        <v>149.89383461</v>
      </c>
      <c r="J15" s="9" t="n">
        <f aca="false">Demanda!J13</f>
        <v>186.5115746</v>
      </c>
      <c r="K15" s="9" t="n">
        <f aca="false">Demanda!K13</f>
        <v>213.960773</v>
      </c>
      <c r="L15" s="9" t="n">
        <f aca="false">Demanda!L13</f>
        <v>247.4465706</v>
      </c>
    </row>
    <row r="16" customFormat="false" ht="15" hidden="false" customHeight="false" outlineLevel="0" collapsed="false">
      <c r="A16" s="6" t="s">
        <v>448</v>
      </c>
      <c r="B16" s="6" t="s">
        <v>126</v>
      </c>
      <c r="C16" s="9" t="n">
        <f aca="false">C8</f>
        <v>4178.736543</v>
      </c>
      <c r="D16" s="9" t="n">
        <f aca="false">D8</f>
        <v>5997.303977</v>
      </c>
      <c r="E16" s="9" t="n">
        <f aca="false">E8</f>
        <v>14514.147758</v>
      </c>
      <c r="F16" s="9" t="n">
        <f aca="false">F8</f>
        <v>35161.935549</v>
      </c>
      <c r="G16" s="9" t="n">
        <f aca="false">G8</f>
        <v>62115.43271</v>
      </c>
      <c r="H16" s="9" t="n">
        <f aca="false">H8</f>
        <v>87300.45307</v>
      </c>
      <c r="I16" s="9" t="n">
        <f aca="false">I8</f>
        <v>121673.15326</v>
      </c>
      <c r="J16" s="9" t="n">
        <f aca="false">J8</f>
        <v>156133.07848</v>
      </c>
      <c r="K16" s="9" t="n">
        <f aca="false">K8</f>
        <v>175393.13614</v>
      </c>
      <c r="L16" s="9" t="n">
        <f aca="false">L8</f>
        <v>202620.63913</v>
      </c>
    </row>
    <row r="17" customFormat="false" ht="15" hidden="false" customHeight="false" outlineLevel="0" collapsed="false">
      <c r="A17" s="6" t="s">
        <v>449</v>
      </c>
      <c r="B17" s="6" t="s">
        <v>126</v>
      </c>
      <c r="C17" s="9" t="n">
        <f aca="false">C8</f>
        <v>4178.736543</v>
      </c>
      <c r="D17" s="9" t="n">
        <f aca="false">D8</f>
        <v>5997.303977</v>
      </c>
      <c r="E17" s="9" t="n">
        <f aca="false">E8</f>
        <v>14514.147758</v>
      </c>
      <c r="F17" s="9" t="n">
        <f aca="false">F8</f>
        <v>35161.935549</v>
      </c>
      <c r="G17" s="9" t="n">
        <f aca="false">G8</f>
        <v>62115.43271</v>
      </c>
      <c r="H17" s="9" t="n">
        <f aca="false">H8</f>
        <v>87300.45307</v>
      </c>
      <c r="I17" s="9" t="n">
        <f aca="false">I8</f>
        <v>121673.15326</v>
      </c>
      <c r="J17" s="9" t="n">
        <f aca="false">J8</f>
        <v>156133.07848</v>
      </c>
      <c r="K17" s="9" t="n">
        <f aca="false">K8</f>
        <v>175393.13614</v>
      </c>
      <c r="L17" s="9" t="n">
        <f aca="false">L8</f>
        <v>202620.63913</v>
      </c>
    </row>
    <row r="18" customFormat="false" ht="15" hidden="false" customHeight="false" outlineLevel="0" collapsed="false">
      <c r="A18" s="6" t="s">
        <v>450</v>
      </c>
      <c r="B18" s="6" t="s">
        <v>126</v>
      </c>
      <c r="C18" s="9" t="n">
        <f aca="false">C9</f>
        <v>300.0303572</v>
      </c>
      <c r="D18" s="9" t="n">
        <f aca="false">D9</f>
        <v>724.1274503</v>
      </c>
      <c r="E18" s="9" t="n">
        <f aca="false">E9</f>
        <v>1309.9880576</v>
      </c>
      <c r="F18" s="9" t="n">
        <f aca="false">F9</f>
        <v>2581.718174</v>
      </c>
      <c r="G18" s="9" t="n">
        <f aca="false">G9</f>
        <v>4284.627726</v>
      </c>
      <c r="H18" s="9" t="n">
        <f aca="false">H9</f>
        <v>6099.509887</v>
      </c>
      <c r="I18" s="9" t="n">
        <f aca="false">I9</f>
        <v>8105.755524</v>
      </c>
      <c r="J18" s="9" t="n">
        <f aca="false">J9</f>
        <v>10259.066587</v>
      </c>
      <c r="K18" s="9" t="n">
        <f aca="false">K9</f>
        <v>11967.786243</v>
      </c>
      <c r="L18" s="9" t="n">
        <f aca="false">L9</f>
        <v>14126.338444</v>
      </c>
    </row>
    <row r="19" customFormat="false" ht="15" hidden="false" customHeight="false" outlineLevel="0" collapsed="false">
      <c r="A19" s="6" t="s">
        <v>451</v>
      </c>
      <c r="B19" s="6" t="s">
        <v>126</v>
      </c>
      <c r="C19" s="9" t="n">
        <f aca="false">C9</f>
        <v>300.0303572</v>
      </c>
      <c r="D19" s="9" t="n">
        <f aca="false">D9</f>
        <v>724.1274503</v>
      </c>
      <c r="E19" s="9" t="n">
        <f aca="false">E9</f>
        <v>1309.9880576</v>
      </c>
      <c r="F19" s="9" t="n">
        <f aca="false">F9</f>
        <v>2581.718174</v>
      </c>
      <c r="G19" s="9" t="n">
        <f aca="false">G9</f>
        <v>4284.627726</v>
      </c>
      <c r="H19" s="9" t="n">
        <f aca="false">H9</f>
        <v>6099.509887</v>
      </c>
      <c r="I19" s="9" t="n">
        <f aca="false">I9</f>
        <v>8105.755524</v>
      </c>
      <c r="J19" s="9" t="n">
        <f aca="false">J9</f>
        <v>10259.066587</v>
      </c>
      <c r="K19" s="9" t="n">
        <f aca="false">K9</f>
        <v>11967.786243</v>
      </c>
      <c r="L19" s="9" t="n">
        <f aca="false">L9</f>
        <v>14126.338444</v>
      </c>
    </row>
    <row r="20" customFormat="false" ht="15" hidden="false" customHeight="false" outlineLevel="0" collapsed="false">
      <c r="A20" s="6" t="s">
        <v>452</v>
      </c>
      <c r="B20" s="6" t="s">
        <v>126</v>
      </c>
      <c r="C20" s="9" t="n">
        <f aca="false">C10</f>
        <v>2281.773025</v>
      </c>
      <c r="D20" s="9" t="n">
        <f aca="false">D10</f>
        <v>3928.058881</v>
      </c>
      <c r="E20" s="9" t="n">
        <f aca="false">E10</f>
        <v>6711.737591</v>
      </c>
      <c r="F20" s="9" t="n">
        <f aca="false">F10</f>
        <v>12203.995313</v>
      </c>
      <c r="G20" s="9" t="n">
        <f aca="false">G10</f>
        <v>20592.78694</v>
      </c>
      <c r="H20" s="9" t="n">
        <f aca="false">H10</f>
        <v>28701.60411</v>
      </c>
      <c r="I20" s="9" t="n">
        <f aca="false">I10</f>
        <v>38664.59984</v>
      </c>
      <c r="J20" s="9" t="n">
        <f aca="false">J10</f>
        <v>48842.22637</v>
      </c>
      <c r="K20" s="9" t="n">
        <f aca="false">K10</f>
        <v>55481.36455</v>
      </c>
      <c r="L20" s="9" t="n">
        <f aca="false">L10</f>
        <v>63852.65872</v>
      </c>
    </row>
    <row r="21" customFormat="false" ht="15" hidden="false" customHeight="false" outlineLevel="0" collapsed="false">
      <c r="A21" s="6" t="s">
        <v>453</v>
      </c>
      <c r="B21" s="6" t="s">
        <v>126</v>
      </c>
      <c r="C21" s="9" t="n">
        <f aca="false">C10</f>
        <v>2281.773025</v>
      </c>
      <c r="D21" s="9" t="n">
        <f aca="false">D10</f>
        <v>3928.058881</v>
      </c>
      <c r="E21" s="9" t="n">
        <f aca="false">E10</f>
        <v>6711.737591</v>
      </c>
      <c r="F21" s="9" t="n">
        <f aca="false">F10</f>
        <v>12203.995313</v>
      </c>
      <c r="G21" s="9" t="n">
        <f aca="false">G10</f>
        <v>20592.78694</v>
      </c>
      <c r="H21" s="9" t="n">
        <f aca="false">H10</f>
        <v>28701.60411</v>
      </c>
      <c r="I21" s="9" t="n">
        <f aca="false">I10</f>
        <v>38664.59984</v>
      </c>
      <c r="J21" s="9" t="n">
        <f aca="false">J10</f>
        <v>48842.22637</v>
      </c>
      <c r="K21" s="9" t="n">
        <f aca="false">K10</f>
        <v>55481.36455</v>
      </c>
      <c r="L21" s="9" t="n">
        <f aca="false">L10</f>
        <v>63852.65872</v>
      </c>
    </row>
    <row r="22" customFormat="false" ht="15" hidden="false" customHeight="false" outlineLevel="0" collapsed="false">
      <c r="A22" s="6" t="s">
        <v>454</v>
      </c>
      <c r="B22" s="6" t="s">
        <v>126</v>
      </c>
      <c r="C22" s="9" t="n">
        <f aca="false">C11</f>
        <v>94.83318153</v>
      </c>
      <c r="D22" s="9" t="n">
        <f aca="false">D11</f>
        <v>182.4872967</v>
      </c>
      <c r="E22" s="9" t="n">
        <f aca="false">E11</f>
        <v>352.0187798</v>
      </c>
      <c r="F22" s="9" t="n">
        <f aca="false">F11</f>
        <v>687.3004941</v>
      </c>
      <c r="G22" s="9" t="n">
        <f aca="false">G11</f>
        <v>1200.4381519</v>
      </c>
      <c r="H22" s="9" t="n">
        <f aca="false">H11</f>
        <v>1735.685032</v>
      </c>
      <c r="I22" s="9" t="n">
        <f aca="false">I11</f>
        <v>2335.960545</v>
      </c>
      <c r="J22" s="9" t="n">
        <f aca="false">J11</f>
        <v>2951.564812</v>
      </c>
      <c r="K22" s="9" t="n">
        <f aca="false">K11</f>
        <v>3355.350054</v>
      </c>
      <c r="L22" s="9" t="n">
        <f aca="false">L11</f>
        <v>3862.928079</v>
      </c>
    </row>
    <row r="23" customFormat="false" ht="15" hidden="false" customHeight="false" outlineLevel="0" collapsed="false">
      <c r="A23" s="6" t="s">
        <v>455</v>
      </c>
      <c r="B23" s="6" t="s">
        <v>126</v>
      </c>
      <c r="C23" s="9" t="n">
        <f aca="false">C11</f>
        <v>94.83318153</v>
      </c>
      <c r="D23" s="9" t="n">
        <f aca="false">D11</f>
        <v>182.4872967</v>
      </c>
      <c r="E23" s="9" t="n">
        <f aca="false">E11</f>
        <v>352.0187798</v>
      </c>
      <c r="F23" s="9" t="n">
        <f aca="false">F11</f>
        <v>687.3004941</v>
      </c>
      <c r="G23" s="9" t="n">
        <f aca="false">G11</f>
        <v>1200.4381519</v>
      </c>
      <c r="H23" s="9" t="n">
        <f aca="false">H11</f>
        <v>1735.685032</v>
      </c>
      <c r="I23" s="9" t="n">
        <f aca="false">I11</f>
        <v>2335.960545</v>
      </c>
      <c r="J23" s="9" t="n">
        <f aca="false">J11</f>
        <v>2951.564812</v>
      </c>
      <c r="K23" s="9" t="n">
        <f aca="false">K11</f>
        <v>3355.350054</v>
      </c>
      <c r="L23" s="9" t="n">
        <f aca="false">L11</f>
        <v>3862.928079</v>
      </c>
    </row>
    <row r="25" customFormat="false" ht="15" hidden="false" customHeight="false" outlineLevel="0" collapsed="false">
      <c r="A25" s="4" t="s">
        <v>571</v>
      </c>
      <c r="B25" s="6" t="s">
        <v>180</v>
      </c>
      <c r="C25" s="32" t="n">
        <f aca="false">(SUMPRODUCT(C$8:C$15,Piezas!$H$6:$H$13)+SUMPRODUCT(C$16:C$23,Piezas!$S$18:$S$25))/1000</f>
        <v>11.947608001115</v>
      </c>
      <c r="D25" s="32" t="n">
        <f aca="false">(SUMPRODUCT(D$8:D$15,Piezas!$H$6:$H$13)+SUMPRODUCT(D$16:D$23,Piezas!$S$18:$S$25))/1000</f>
        <v>19.9706203628595</v>
      </c>
      <c r="E25" s="32" t="n">
        <f aca="false">(SUMPRODUCT(E$8:E$15,Piezas!$H$6:$H$13)+SUMPRODUCT(E$16:E$23,Piezas!$S$18:$S$25))/1000</f>
        <v>36.0742495405962</v>
      </c>
      <c r="F25" s="32" t="n">
        <f aca="false">(SUMPRODUCT(F$8:F$15,Piezas!$H$6:$H$13)+SUMPRODUCT(F$16:F$23,Piezas!$S$18:$S$25))/1000</f>
        <v>70.1091084548485</v>
      </c>
      <c r="G25" s="32" t="n">
        <f aca="false">(SUMPRODUCT(G$8:G$15,Piezas!$H$6:$H$13)+SUMPRODUCT(G$16:G$23,Piezas!$S$18:$S$25))/1000</f>
        <v>119.551258631646</v>
      </c>
      <c r="H25" s="32" t="n">
        <f aca="false">(SUMPRODUCT(H$8:H$15,Piezas!$H$6:$H$13)+SUMPRODUCT(H$16:H$23,Piezas!$S$18:$S$25))/1000</f>
        <v>167.31853826505</v>
      </c>
      <c r="I25" s="32" t="n">
        <f aca="false">(SUMPRODUCT(I$8:I$15,Piezas!$H$6:$H$13)+SUMPRODUCT(I$16:I$23,Piezas!$S$18:$S$25))/1000</f>
        <v>227.248415237344</v>
      </c>
      <c r="J25" s="32" t="n">
        <f aca="false">(SUMPRODUCT(J$8:J$15,Piezas!$H$6:$H$13)+SUMPRODUCT(J$16:J$23,Piezas!$S$18:$S$25))/1000</f>
        <v>288.21034405588</v>
      </c>
      <c r="K25" s="32" t="n">
        <f aca="false">(SUMPRODUCT(K$8:K$15,Piezas!$H$6:$H$13)+SUMPRODUCT(K$16:K$23,Piezas!$S$18:$S$25))/1000</f>
        <v>327.198274018411</v>
      </c>
      <c r="L25" s="32" t="n">
        <f aca="false">(SUMPRODUCT(L$8:L$15,Piezas!$H$6:$H$13)+SUMPRODUCT(L$16:L$23,Piezas!$S$18:$S$25))/1000</f>
        <v>377.693422636733</v>
      </c>
    </row>
    <row r="27" customFormat="false" ht="15" hidden="false" customHeight="false" outlineLevel="0" collapsed="false">
      <c r="A27" s="8" t="s">
        <v>572</v>
      </c>
    </row>
    <row r="28" customFormat="false" ht="15" hidden="false" customHeight="false" outlineLevel="0" collapsed="false">
      <c r="A28" s="6" t="s">
        <v>573</v>
      </c>
      <c r="B28" s="6" t="s">
        <v>180</v>
      </c>
      <c r="C28" s="30" t="n">
        <f aca="false">SUMPRODUCT(C$8:C$15,Corte!$F$32:$F$39)/1000</f>
        <v>10.2067760580657</v>
      </c>
      <c r="D28" s="30" t="n">
        <f aca="false">SUMPRODUCT(D$8:D$15,Corte!$F$32:$F$39)/1000</f>
        <v>16.9982047612553</v>
      </c>
      <c r="E28" s="30" t="n">
        <f aca="false">SUMPRODUCT(E$8:E$15,Corte!$F$32:$F$39)/1000</f>
        <v>30.4495736728494</v>
      </c>
      <c r="F28" s="30" t="n">
        <f aca="false">SUMPRODUCT(F$8:F$15,Corte!$F$32:$F$39)/1000</f>
        <v>58.8364978377172</v>
      </c>
      <c r="G28" s="30" t="n">
        <f aca="false">SUMPRODUCT(G$8:G$15,Corte!$F$32:$F$39)/1000</f>
        <v>100.19256042016</v>
      </c>
      <c r="H28" s="30" t="n">
        <f aca="false">SUMPRODUCT(H$8:H$15,Corte!$F$32:$F$39)/1000</f>
        <v>140.158644722821</v>
      </c>
      <c r="I28" s="30" t="n">
        <f aca="false">SUMPRODUCT(I$8:I$15,Corte!$F$32:$F$39)/1000</f>
        <v>190.264612846044</v>
      </c>
      <c r="J28" s="30" t="n">
        <f aca="false">SUMPRODUCT(J$8:J$15,Corte!$F$32:$F$39)/1000</f>
        <v>241.233205581359</v>
      </c>
      <c r="K28" s="30" t="n">
        <f aca="false">SUMPRODUCT(K$8:K$15,Corte!$F$32:$F$39)/1000</f>
        <v>273.978530928977</v>
      </c>
      <c r="L28" s="30" t="n">
        <f aca="false">SUMPRODUCT(L$8:L$15,Corte!$F$32:$F$39)/1000</f>
        <v>316.288523528298</v>
      </c>
    </row>
    <row r="29" customFormat="false" ht="15" hidden="false" customHeight="false" outlineLevel="0" collapsed="false">
      <c r="A29" s="6" t="s">
        <v>574</v>
      </c>
      <c r="B29" s="6" t="s">
        <v>207</v>
      </c>
      <c r="C29" s="9" t="n">
        <f aca="false">SUMPRODUCT(C$8:C$15,Corte!$G$32:$G$39)</f>
        <v>12386.2892240114</v>
      </c>
      <c r="D29" s="9" t="n">
        <f aca="false">SUMPRODUCT(D$8:D$15,Corte!$G$32:$G$39)</f>
        <v>20646.7884568384</v>
      </c>
      <c r="E29" s="9" t="n">
        <f aca="false">SUMPRODUCT(E$8:E$15,Corte!$G$32:$G$39)</f>
        <v>37172.2617167448</v>
      </c>
      <c r="F29" s="9" t="n">
        <f aca="false">SUMPRODUCT(F$8:F$15,Corte!$G$32:$G$39)</f>
        <v>72114.4426603191</v>
      </c>
      <c r="G29" s="9" t="n">
        <f aca="false">SUMPRODUCT(G$8:G$15,Corte!$G$32:$G$39)</f>
        <v>122907.861500587</v>
      </c>
      <c r="H29" s="9" t="n">
        <f aca="false">SUMPRODUCT(H$8:H$15,Corte!$G$32:$G$39)</f>
        <v>171986.865560829</v>
      </c>
      <c r="I29" s="9" t="n">
        <f aca="false">SUMPRODUCT(I$8:I$15,Corte!$G$32:$G$39)</f>
        <v>233566.340568906</v>
      </c>
      <c r="J29" s="9" t="n">
        <f aca="false">SUMPRODUCT(J$8:J$15,Corte!$G$32:$G$39)</f>
        <v>296203.247513899</v>
      </c>
      <c r="K29" s="9" t="n">
        <f aca="false">SUMPRODUCT(K$8:K$15,Corte!$G$32:$G$39)</f>
        <v>336329.453347735</v>
      </c>
      <c r="L29" s="9" t="n">
        <f aca="false">SUMPRODUCT(L$8:L$15,Corte!$G$32:$G$39)</f>
        <v>388262.547470161</v>
      </c>
    </row>
    <row r="30" customFormat="false" ht="15" hidden="false" customHeight="false" outlineLevel="0" collapsed="false">
      <c r="A30" s="6" t="s">
        <v>575</v>
      </c>
      <c r="B30" s="6" t="s">
        <v>180</v>
      </c>
      <c r="C30" s="30" t="n">
        <f aca="false">SUMPRODUCT(C$16:C$23,Corte!$I$44:$I$51)/1000</f>
        <v>2.97684098720235</v>
      </c>
      <c r="D30" s="30" t="n">
        <f aca="false">SUMPRODUCT(D$16:D$23,Corte!$I$44:$I$51)/1000</f>
        <v>5.05912893185002</v>
      </c>
      <c r="E30" s="30" t="n">
        <f aca="false">SUMPRODUCT(E$16:E$23,Corte!$I$44:$I$51)/1000</f>
        <v>9.39869898362792</v>
      </c>
      <c r="F30" s="30" t="n">
        <f aca="false">SUMPRODUCT(F$16:F$23,Corte!$I$44:$I$51)/1000</f>
        <v>18.6155664311849</v>
      </c>
      <c r="G30" s="30" t="n">
        <f aca="false">SUMPRODUCT(G$16:G$23,Corte!$I$44:$I$51)/1000</f>
        <v>31.8685233938556</v>
      </c>
      <c r="H30" s="30" t="n">
        <f aca="false">SUMPRODUCT(H$16:H$23,Corte!$I$44:$I$51)/1000</f>
        <v>44.6740385951541</v>
      </c>
      <c r="I30" s="30" t="n">
        <f aca="false">SUMPRODUCT(I$16:I$23,Corte!$I$44:$I$51)/1000</f>
        <v>60.7630367472115</v>
      </c>
      <c r="J30" s="30" t="n">
        <f aca="false">SUMPRODUCT(J$16:J$23,Corte!$I$44:$I$51)/1000</f>
        <v>77.1475450508387</v>
      </c>
      <c r="K30" s="30" t="n">
        <f aca="false">SUMPRODUCT(K$16:K$23,Corte!$I$44:$I$51)/1000</f>
        <v>87.4754182184353</v>
      </c>
      <c r="L30" s="30" t="n">
        <f aca="false">SUMPRODUCT(L$16:L$23,Corte!$I$44:$I$51)/1000</f>
        <v>100.957277706935</v>
      </c>
    </row>
    <row r="31" customFormat="false" ht="15" hidden="false" customHeight="false" outlineLevel="0" collapsed="false">
      <c r="A31" s="6" t="s">
        <v>576</v>
      </c>
      <c r="B31" s="6" t="s">
        <v>207</v>
      </c>
      <c r="C31" s="9" t="n">
        <f aca="false">SUMPRODUCT(C$16:C$23,Corte!$J$44:$J$51)</f>
        <v>3550.48666369473</v>
      </c>
      <c r="D31" s="9" t="n">
        <f aca="false">SUMPRODUCT(D$16:D$23,Corte!$J$44:$J$51)</f>
        <v>6029.12292710047</v>
      </c>
      <c r="E31" s="9" t="n">
        <f aca="false">SUMPRODUCT(E$16:E$23,Corte!$J$44:$J$51)</f>
        <v>11216.3365662922</v>
      </c>
      <c r="F31" s="9" t="n">
        <f aca="false">SUMPRODUCT(F$16:F$23,Corte!$J$44:$J$51)</f>
        <v>22245.1011725127</v>
      </c>
      <c r="G31" s="9" t="n">
        <f aca="false">SUMPRODUCT(G$16:G$23,Corte!$J$44:$J$51)</f>
        <v>38091.0465109853</v>
      </c>
      <c r="H31" s="9" t="n">
        <f aca="false">SUMPRODUCT(H$16:H$23,Corte!$J$44:$J$51)</f>
        <v>53398.3635524667</v>
      </c>
      <c r="I31" s="9" t="n">
        <f aca="false">SUMPRODUCT(I$16:I$23,Corte!$J$44:$J$51)</f>
        <v>72642.6509639854</v>
      </c>
      <c r="J31" s="9" t="n">
        <f aca="false">SUMPRODUCT(J$16:J$23,Corte!$J$44:$J$51)</f>
        <v>92237.9332879718</v>
      </c>
      <c r="K31" s="9" t="n">
        <f aca="false">SUMPRODUCT(K$16:K$23,Corte!$J$44:$J$51)</f>
        <v>104578.498722548</v>
      </c>
      <c r="L31" s="9" t="n">
        <f aca="false">SUMPRODUCT(L$16:L$23,Corte!$J$44:$J$51)</f>
        <v>120697.139610809</v>
      </c>
    </row>
    <row r="32" customFormat="false" ht="15" hidden="false" customHeight="false" outlineLevel="0" collapsed="false">
      <c r="A32" s="6" t="s">
        <v>577</v>
      </c>
      <c r="B32" s="6" t="s">
        <v>180</v>
      </c>
      <c r="C32" s="30" t="n">
        <f aca="false">C28+C30</f>
        <v>13.1836170452681</v>
      </c>
      <c r="D32" s="30" t="n">
        <f aca="false">D28+D30</f>
        <v>22.0573336931053</v>
      </c>
      <c r="E32" s="30" t="n">
        <f aca="false">E28+E30</f>
        <v>39.8482726564773</v>
      </c>
      <c r="F32" s="30" t="n">
        <f aca="false">F28+F30</f>
        <v>77.4520642689021</v>
      </c>
      <c r="G32" s="30" t="n">
        <f aca="false">G28+G30</f>
        <v>132.061083814016</v>
      </c>
      <c r="H32" s="30" t="n">
        <f aca="false">H28+H30</f>
        <v>184.832683317975</v>
      </c>
      <c r="I32" s="30" t="n">
        <f aca="false">I28+I30</f>
        <v>251.027649593255</v>
      </c>
      <c r="J32" s="30" t="n">
        <f aca="false">J28+J30</f>
        <v>318.380750632198</v>
      </c>
      <c r="K32" s="30" t="n">
        <f aca="false">K28+K30</f>
        <v>361.453949147413</v>
      </c>
      <c r="L32" s="30" t="n">
        <f aca="false">L28+L30</f>
        <v>417.245801235233</v>
      </c>
    </row>
    <row r="33" customFormat="false" ht="15" hidden="false" customHeight="false" outlineLevel="0" collapsed="false">
      <c r="A33" s="6" t="s">
        <v>578</v>
      </c>
      <c r="B33" s="6" t="s">
        <v>207</v>
      </c>
      <c r="C33" s="9" t="n">
        <f aca="false">C29+C31</f>
        <v>15936.7758877061</v>
      </c>
      <c r="D33" s="9" t="n">
        <f aca="false">D29+D31</f>
        <v>26675.9113839389</v>
      </c>
      <c r="E33" s="9" t="n">
        <f aca="false">E29+E31</f>
        <v>48388.598283037</v>
      </c>
      <c r="F33" s="9" t="n">
        <f aca="false">F29+F31</f>
        <v>94359.5438328318</v>
      </c>
      <c r="G33" s="9" t="n">
        <f aca="false">G29+G31</f>
        <v>160998.908011572</v>
      </c>
      <c r="H33" s="9" t="n">
        <f aca="false">H29+H31</f>
        <v>225385.229113295</v>
      </c>
      <c r="I33" s="9" t="n">
        <f aca="false">I29+I31</f>
        <v>306208.991532891</v>
      </c>
      <c r="J33" s="9" t="n">
        <f aca="false">J29+J31</f>
        <v>388441.180801871</v>
      </c>
      <c r="K33" s="9" t="n">
        <f aca="false">K29+K31</f>
        <v>440907.952070283</v>
      </c>
      <c r="L33" s="9" t="n">
        <f aca="false">L29+L31</f>
        <v>508959.687080971</v>
      </c>
    </row>
    <row r="34" customFormat="false" ht="15" hidden="false" customHeight="false" outlineLevel="0" collapsed="false">
      <c r="A34" s="6" t="s">
        <v>579</v>
      </c>
      <c r="B34" s="6" t="s">
        <v>180</v>
      </c>
      <c r="C34" s="30" t="n">
        <f aca="false">C32-C25</f>
        <v>1.23600904415307</v>
      </c>
      <c r="D34" s="30" t="n">
        <f aca="false">D32-D25</f>
        <v>2.08671333024581</v>
      </c>
      <c r="E34" s="30" t="n">
        <f aca="false">E32-E25</f>
        <v>3.77402311588109</v>
      </c>
      <c r="F34" s="30" t="n">
        <f aca="false">F32-F25</f>
        <v>7.34295581405365</v>
      </c>
      <c r="G34" s="30" t="n">
        <f aca="false">G32-G25</f>
        <v>12.5098251823697</v>
      </c>
      <c r="H34" s="30" t="n">
        <f aca="false">H32-H25</f>
        <v>17.5141450529251</v>
      </c>
      <c r="I34" s="30" t="n">
        <f aca="false">I32-I25</f>
        <v>23.7792343559109</v>
      </c>
      <c r="J34" s="30" t="n">
        <f aca="false">J32-J25</f>
        <v>30.1704065763175</v>
      </c>
      <c r="K34" s="30" t="n">
        <f aca="false">K32-K25</f>
        <v>34.2556751290021</v>
      </c>
      <c r="L34" s="30" t="n">
        <f aca="false">L32-L25</f>
        <v>39.5523785985</v>
      </c>
    </row>
    <row r="35" customFormat="false" ht="15" hidden="false" customHeight="false" outlineLevel="0" collapsed="false">
      <c r="A35" s="6" t="s">
        <v>580</v>
      </c>
      <c r="B35" s="6" t="s">
        <v>207</v>
      </c>
      <c r="C35" s="9" t="n">
        <f aca="false">-C34*Datos!$B$9</f>
        <v>-309.002261038267</v>
      </c>
      <c r="D35" s="9" t="n">
        <f aca="false">-D34*Datos!$B$9</f>
        <v>-521.678332561452</v>
      </c>
      <c r="E35" s="9" t="n">
        <f aca="false">-E34*Datos!$B$9</f>
        <v>-943.505778970271</v>
      </c>
      <c r="F35" s="9" t="n">
        <f aca="false">-F34*Datos!$B$9</f>
        <v>-1835.73895351341</v>
      </c>
      <c r="G35" s="9" t="n">
        <f aca="false">-G34*Datos!$B$9</f>
        <v>-3127.45629559243</v>
      </c>
      <c r="H35" s="9" t="n">
        <f aca="false">-H34*Datos!$B$9</f>
        <v>-4378.53626323127</v>
      </c>
      <c r="I35" s="9" t="n">
        <f aca="false">-I34*Datos!$B$9</f>
        <v>-5944.80858897772</v>
      </c>
      <c r="J35" s="9" t="n">
        <f aca="false">-J34*Datos!$B$9</f>
        <v>-7542.60164407938</v>
      </c>
      <c r="K35" s="9" t="n">
        <f aca="false">-K34*Datos!$B$9</f>
        <v>-8563.91878225053</v>
      </c>
      <c r="L35" s="9" t="n">
        <f aca="false">-L34*Datos!$B$9</f>
        <v>-9888.094649625</v>
      </c>
    </row>
    <row r="36" customFormat="false" ht="15" hidden="false" customHeight="false" outlineLevel="0" collapsed="false">
      <c r="A36" s="6" t="s">
        <v>581</v>
      </c>
      <c r="B36" s="6" t="s">
        <v>180</v>
      </c>
      <c r="C36" s="30" t="n">
        <f aca="false">SUMPRODUCT((Corte!$H$32:$H$39+C$8:C$15*Corte!$F$32:$F$39/1000*Datos!$B$53/12-ABS(Corte!$H$32:$H$39-C$8:C$15*Corte!$F$32:$F$39/1000*Datos!$B$53/12))/4+C$8:C$15*Corte!$F$32:$F$39/1000*Datos!$B$50/52)</f>
        <v>1.66841531718382</v>
      </c>
      <c r="D36" s="30" t="n">
        <f aca="false">SUMPRODUCT((Corte!$H$32:$H$39+D$8:D$15*Corte!$F$32:$F$39/1000*Datos!$B$53/12-ABS(Corte!$H$32:$H$39-D$8:D$15*Corte!$F$32:$F$39/1000*Datos!$B$53/12))/4+D$8:D$15*Corte!$F$32:$F$39/1000*Datos!$B$50/52)</f>
        <v>2.77855270135904</v>
      </c>
      <c r="E36" s="30" t="n">
        <f aca="false">SUMPRODUCT((Corte!$H$32:$H$39+E$8:E$15*Corte!$F$32:$F$39/1000*Datos!$B$53/12-ABS(Corte!$H$32:$H$39-E$8:E$15*Corte!$F$32:$F$39/1000*Datos!$B$53/12))/4+E$8:E$15*Corte!$F$32:$F$39/1000*Datos!$B$50/52)</f>
        <v>4.97733415806192</v>
      </c>
      <c r="F36" s="30" t="n">
        <f aca="false">SUMPRODUCT((Corte!$H$32:$H$39+F$8:F$15*Corte!$F$32:$F$39/1000*Datos!$B$53/12-ABS(Corte!$H$32:$H$39-F$8:F$15*Corte!$F$32:$F$39/1000*Datos!$B$53/12))/4+F$8:F$15*Corte!$F$32:$F$39/1000*Datos!$B$50/52)</f>
        <v>9.61750445424224</v>
      </c>
      <c r="G36" s="30" t="n">
        <f aca="false">SUMPRODUCT((Corte!$H$32:$H$39+G$8:G$15*Corte!$F$32:$F$39/1000*Datos!$B$53/12-ABS(Corte!$H$32:$H$39-G$8:G$15*Corte!$F$32:$F$39/1000*Datos!$B$53/12))/4+G$8:G$15*Corte!$F$32:$F$39/1000*Datos!$B$50/52)</f>
        <v>16.2143457541028</v>
      </c>
      <c r="H36" s="30" t="n">
        <f aca="false">SUMPRODUCT((Corte!$H$32:$H$39+H$8:H$15*Corte!$F$32:$F$39/1000*Datos!$B$53/12-ABS(Corte!$H$32:$H$39-H$8:H$15*Corte!$F$32:$F$39/1000*Datos!$B$53/12))/4+H$8:H$15*Corte!$F$32:$F$39/1000*Datos!$B$50/52)</f>
        <v>18.865463494079</v>
      </c>
      <c r="I36" s="30" t="n">
        <f aca="false">SUMPRODUCT((Corte!$H$32:$H$39+I$8:I$15*Corte!$F$32:$F$39/1000*Datos!$B$53/12-ABS(Corte!$H$32:$H$39-I$8:I$15*Corte!$F$32:$F$39/1000*Datos!$B$53/12))/4+I$8:I$15*Corte!$F$32:$F$39/1000*Datos!$B$50/52)</f>
        <v>20.8178697248478</v>
      </c>
      <c r="J36" s="30" t="n">
        <f aca="false">SUMPRODUCT((Corte!$H$32:$H$39+J$8:J$15*Corte!$F$32:$F$39/1000*Datos!$B$53/12-ABS(Corte!$H$32:$H$39-J$8:J$15*Corte!$F$32:$F$39/1000*Datos!$B$53/12))/4+J$8:J$15*Corte!$F$32:$F$39/1000*Datos!$B$50/52)</f>
        <v>22.7782002146676</v>
      </c>
      <c r="K36" s="30" t="n">
        <f aca="false">SUMPRODUCT((Corte!$H$32:$H$39+K$8:K$15*Corte!$F$32:$F$39/1000*Datos!$B$53/12-ABS(Corte!$H$32:$H$39-K$8:K$15*Corte!$F$32:$F$39/1000*Datos!$B$53/12))/4+K$8:K$15*Corte!$F$32:$F$39/1000*Datos!$B$50/52)</f>
        <v>24.0376358049607</v>
      </c>
      <c r="L36" s="30" t="n">
        <f aca="false">SUMPRODUCT((Corte!$H$32:$H$39+L$8:L$15*Corte!$F$32:$F$39/1000*Datos!$B$53/12-ABS(Corte!$H$32:$H$39-L$8:L$15*Corte!$F$32:$F$39/1000*Datos!$B$53/12))/4+L$8:L$15*Corte!$F$32:$F$39/1000*Datos!$B$50/52)</f>
        <v>25.6649432126269</v>
      </c>
    </row>
    <row r="37" customFormat="false" ht="15" hidden="false" customHeight="false" outlineLevel="0" collapsed="false">
      <c r="A37" s="6" t="s">
        <v>582</v>
      </c>
      <c r="B37" s="6" t="s">
        <v>180</v>
      </c>
      <c r="C37" s="30" t="n">
        <f aca="false">SUMPRODUCT((Corte!$K$44:$K$51+C$16:C$23*Corte!$I$44:$I$51/1000*Datos!$B$53/12-ABS(Corte!$K$44:$K$51-C$16:C$23*Corte!$I$44:$I$51/1000*Datos!$B$53/12))/4+C$16:C$23*Corte!$I$44:$I$51/1000*Datos!$B$50/52)</f>
        <v>0.486599007523461</v>
      </c>
      <c r="D37" s="30" t="n">
        <f aca="false">SUMPRODUCT((Corte!$K$44:$K$51+D$16:D$23*Corte!$I$44:$I$51/1000*Datos!$B$53/12-ABS(Corte!$K$44:$K$51-D$16:D$23*Corte!$I$44:$I$51/1000*Datos!$B$53/12))/4+D$16:D$23*Corte!$I$44:$I$51/1000*Datos!$B$50/52)</f>
        <v>0.826972998475484</v>
      </c>
      <c r="E37" s="30" t="n">
        <f aca="false">SUMPRODUCT((Corte!$K$44:$K$51+E$16:E$23*Corte!$I$44:$I$51/1000*Datos!$B$53/12-ABS(Corte!$K$44:$K$51-E$16:E$23*Corte!$I$44:$I$51/1000*Datos!$B$53/12))/4+E$16:E$23*Corte!$I$44:$I$51/1000*Datos!$B$50/52)</f>
        <v>1.53632579540072</v>
      </c>
      <c r="F37" s="30" t="n">
        <f aca="false">SUMPRODUCT((Corte!$K$44:$K$51+F$16:F$23*Corte!$I$44:$I$51/1000*Datos!$B$53/12-ABS(Corte!$K$44:$K$51-F$16:F$23*Corte!$I$44:$I$51/1000*Datos!$B$53/12))/4+F$16:F$23*Corte!$I$44:$I$51/1000*Datos!$B$50/52)</f>
        <v>3.04292912817445</v>
      </c>
      <c r="G37" s="30" t="n">
        <f aca="false">SUMPRODUCT((Corte!$K$44:$K$51+G$16:G$23*Corte!$I$44:$I$51/1000*Datos!$B$53/12-ABS(Corte!$K$44:$K$51-G$16:G$23*Corte!$I$44:$I$51/1000*Datos!$B$53/12))/4+G$16:G$23*Corte!$I$44:$I$51/1000*Datos!$B$50/52)</f>
        <v>4.88454573928675</v>
      </c>
      <c r="H37" s="30" t="n">
        <f aca="false">SUMPRODUCT((Corte!$K$44:$K$51+H$16:H$23*Corte!$I$44:$I$51/1000*Datos!$B$53/12-ABS(Corte!$K$44:$K$51-H$16:H$23*Corte!$I$44:$I$51/1000*Datos!$B$53/12))/4+H$16:H$23*Corte!$I$44:$I$51/1000*Datos!$B$50/52)</f>
        <v>5.61192611631349</v>
      </c>
      <c r="I37" s="30" t="n">
        <f aca="false">SUMPRODUCT((Corte!$K$44:$K$51+I$16:I$23*Corte!$I$44:$I$51/1000*Datos!$B$53/12-ABS(Corte!$K$44:$K$51-I$16:I$23*Corte!$I$44:$I$51/1000*Datos!$B$53/12))/4+I$16:I$23*Corte!$I$44:$I$51/1000*Datos!$B$50/52)</f>
        <v>6.44020283576002</v>
      </c>
      <c r="J37" s="30" t="n">
        <f aca="false">SUMPRODUCT((Corte!$K$44:$K$51+J$16:J$23*Corte!$I$44:$I$51/1000*Datos!$B$53/12-ABS(Corte!$K$44:$K$51-J$16:J$23*Corte!$I$44:$I$51/1000*Datos!$B$53/12))/4+J$16:J$23*Corte!$I$44:$I$51/1000*Datos!$B$50/52)</f>
        <v>7.20530862565811</v>
      </c>
      <c r="K37" s="30" t="n">
        <f aca="false">SUMPRODUCT((Corte!$K$44:$K$51+K$16:K$23*Corte!$I$44:$I$51/1000*Datos!$B$53/12-ABS(Corte!$K$44:$K$51-K$16:K$23*Corte!$I$44:$I$51/1000*Datos!$B$53/12))/4+K$16:K$23*Corte!$I$44:$I$51/1000*Datos!$B$50/52)</f>
        <v>7.61443916224751</v>
      </c>
      <c r="L37" s="30" t="n">
        <f aca="false">SUMPRODUCT((Corte!$K$44:$K$51+L$16:L$23*Corte!$I$44:$I$51/1000*Datos!$B$53/12-ABS(Corte!$K$44:$K$51-L$16:L$23*Corte!$I$44:$I$51/1000*Datos!$B$53/12))/4+L$16:L$23*Corte!$I$44:$I$51/1000*Datos!$B$50/52)</f>
        <v>8.13297221949749</v>
      </c>
    </row>
    <row r="38" customFormat="false" ht="15" hidden="false" customHeight="false" outlineLevel="0" collapsed="false">
      <c r="A38" s="6" t="s">
        <v>583</v>
      </c>
      <c r="B38" s="6" t="s">
        <v>180</v>
      </c>
      <c r="C38" s="30" t="n">
        <f aca="false">C36+C37</f>
        <v>2.15501432470728</v>
      </c>
      <c r="D38" s="30" t="n">
        <f aca="false">D36+D37</f>
        <v>3.60552569983453</v>
      </c>
      <c r="E38" s="30" t="n">
        <f aca="false">E36+E37</f>
        <v>6.51365995346263</v>
      </c>
      <c r="F38" s="30" t="n">
        <f aca="false">F36+F37</f>
        <v>12.6604335824167</v>
      </c>
      <c r="G38" s="30" t="n">
        <f aca="false">G36+G37</f>
        <v>21.0988914933896</v>
      </c>
      <c r="H38" s="30" t="n">
        <f aca="false">H36+H37</f>
        <v>24.4773896103925</v>
      </c>
      <c r="I38" s="30" t="n">
        <f aca="false">I36+I37</f>
        <v>27.2580725606078</v>
      </c>
      <c r="J38" s="30" t="n">
        <f aca="false">J36+J37</f>
        <v>29.9835088403258</v>
      </c>
      <c r="K38" s="30" t="n">
        <f aca="false">K36+K37</f>
        <v>31.6520749672082</v>
      </c>
      <c r="L38" s="30" t="n">
        <f aca="false">L36+L37</f>
        <v>33.7979154321243</v>
      </c>
    </row>
    <row r="39" customFormat="false" ht="15" hidden="false" customHeight="false" outlineLevel="0" collapsed="false">
      <c r="A39" s="6" t="s">
        <v>584</v>
      </c>
      <c r="B39" s="6" t="s">
        <v>207</v>
      </c>
      <c r="C39" s="9" t="n">
        <f aca="false">IF(C32=0,0,C38*C33/C32*Datos!$B$7)</f>
        <v>312.605988566542</v>
      </c>
      <c r="D39" s="9" t="n">
        <f aca="false">IF(D32=0,0,D38*D33/D32*Datos!$B$7)</f>
        <v>523.258261761878</v>
      </c>
      <c r="E39" s="9" t="n">
        <f aca="false">IF(E32=0,0,E38*E33/E32*Datos!$B$7)</f>
        <v>949.160966321111</v>
      </c>
      <c r="F39" s="9" t="n">
        <f aca="false">IF(F32=0,0,F38*F33/F32*Datos!$B$7)</f>
        <v>1850.89874441324</v>
      </c>
      <c r="G39" s="9" t="n">
        <f aca="false">IF(G32=0,0,G38*G33/G32*Datos!$B$7)</f>
        <v>3086.66116550214</v>
      </c>
      <c r="H39" s="9" t="n">
        <f aca="false">IF(H32=0,0,H38*H33/H32*Datos!$B$7)</f>
        <v>3581.73152046461</v>
      </c>
      <c r="I39" s="9" t="n">
        <f aca="false">IF(I32=0,0,I38*I33/I32*Datos!$B$7)</f>
        <v>3989.99883404319</v>
      </c>
      <c r="J39" s="9" t="n">
        <f aca="false">IF(J32=0,0,J38*J33/J32*Datos!$B$7)</f>
        <v>4389.77402574475</v>
      </c>
      <c r="K39" s="9" t="n">
        <f aca="false">IF(K32=0,0,K38*K33/K32*Datos!$B$7)</f>
        <v>4633.17163986782</v>
      </c>
      <c r="L39" s="9" t="n">
        <f aca="false">IF(L32=0,0,L38*L33/L32*Datos!$B$7)</f>
        <v>4947.23534513178</v>
      </c>
    </row>
    <row r="40" customFormat="false" ht="15" hidden="false" customHeight="false" outlineLevel="0" collapsed="false">
      <c r="A40" s="6" t="s">
        <v>585</v>
      </c>
      <c r="B40" s="6" t="s">
        <v>586</v>
      </c>
      <c r="C40" s="30" t="n">
        <f aca="false">SUMPRODUCT(C$16:C$23*Corte!$I$44:$I$51/1000/Corte!$K$44:$K$51)</f>
        <v>2.09638351499821</v>
      </c>
      <c r="D40" s="30" t="n">
        <f aca="false">SUMPRODUCT(D$16:D$23*Corte!$I$44:$I$51/1000/Corte!$K$44:$K$51)</f>
        <v>3.6648432935123</v>
      </c>
      <c r="E40" s="30" t="n">
        <f aca="false">SUMPRODUCT(E$16:E$23*Corte!$I$44:$I$51/1000/Corte!$K$44:$K$51)</f>
        <v>7.10409876479384</v>
      </c>
      <c r="F40" s="30" t="n">
        <f aca="false">SUMPRODUCT(F$16:F$23*Corte!$I$44:$I$51/1000/Corte!$K$44:$K$51)</f>
        <v>14.5989208382059</v>
      </c>
      <c r="G40" s="30" t="n">
        <f aca="false">SUMPRODUCT(G$16:G$23*Corte!$I$44:$I$51/1000/Corte!$K$44:$K$51)</f>
        <v>25.112979758927</v>
      </c>
      <c r="H40" s="30" t="n">
        <f aca="false">SUMPRODUCT(H$16:H$23*Corte!$I$44:$I$51/1000/Corte!$K$44:$K$51)</f>
        <v>35.4016255848358</v>
      </c>
      <c r="I40" s="30" t="n">
        <f aca="false">SUMPRODUCT(I$16:I$23*Corte!$I$44:$I$51/1000/Corte!$K$44:$K$51)</f>
        <v>48.2179227963214</v>
      </c>
      <c r="J40" s="30" t="n">
        <f aca="false">SUMPRODUCT(J$16:J$23*Corte!$I$44:$I$51/1000/Corte!$K$44:$K$51)</f>
        <v>61.3101904142976</v>
      </c>
      <c r="K40" s="30" t="n">
        <f aca="false">SUMPRODUCT(K$16:K$23*Corte!$I$44:$I$51/1000/Corte!$K$44:$K$51)</f>
        <v>69.63316590379</v>
      </c>
      <c r="L40" s="30" t="n">
        <f aca="false">SUMPRODUCT(L$16:L$23*Corte!$I$44:$I$51/1000/Corte!$K$44:$K$51)</f>
        <v>80.5867964490659</v>
      </c>
    </row>
    <row r="41" customFormat="false" ht="15" hidden="false" customHeight="false" outlineLevel="0" collapsed="false">
      <c r="A41" s="6" t="s">
        <v>587</v>
      </c>
      <c r="B41" s="6" t="s">
        <v>588</v>
      </c>
      <c r="C41" s="9" t="n">
        <f aca="false">SUMPRODUCT(C$8:C$15/Corte!$C$32:$C$39)/Datos!$B$41+SUM(C$8:C$15)/(Datos!$B$32*60)+C40*Datos!$B$46/60</f>
        <v>7.87831335068428</v>
      </c>
      <c r="D41" s="9" t="n">
        <f aca="false">SUMPRODUCT(D$8:D$15/Corte!$C$32:$C$39)/Datos!$B$41+SUM(D$8:D$15)/(Datos!$B$32*60)+D40*Datos!$B$46/60</f>
        <v>12.616559333092</v>
      </c>
      <c r="E41" s="9" t="n">
        <f aca="false">SUMPRODUCT(E$8:E$15/Corte!$C$32:$C$39)/Datos!$B$41+SUM(E$8:E$15)/(Datos!$B$32*60)+E40*Datos!$B$46/60</f>
        <v>26.1148465606707</v>
      </c>
      <c r="F41" s="9" t="n">
        <f aca="false">SUMPRODUCT(F$8:F$15/Corte!$C$32:$C$39)/Datos!$B$41+SUM(F$8:F$15)/(Datos!$B$32*60)+F40*Datos!$B$46/60</f>
        <v>56.8947086533848</v>
      </c>
      <c r="G41" s="9" t="n">
        <f aca="false">SUMPRODUCT(G$8:G$15/Corte!$C$32:$C$39)/Datos!$B$41+SUM(G$8:G$15)/(Datos!$B$32*60)+G40*Datos!$B$46/60</f>
        <v>98.8467808755484</v>
      </c>
      <c r="H41" s="9" t="n">
        <f aca="false">SUMPRODUCT(H$8:H$15/Corte!$C$32:$C$39)/Datos!$B$41+SUM(H$8:H$15)/(Datos!$B$32*60)+H40*Datos!$B$46/60</f>
        <v>138.802185426992</v>
      </c>
      <c r="I41" s="9" t="n">
        <f aca="false">SUMPRODUCT(I$8:I$15/Corte!$C$32:$C$39)/Datos!$B$41+SUM(I$8:I$15)/(Datos!$B$32*60)+I40*Datos!$B$46/60</f>
        <v>191.037378366972</v>
      </c>
      <c r="J41" s="9" t="n">
        <f aca="false">SUMPRODUCT(J$8:J$15/Corte!$C$32:$C$39)/Datos!$B$41+SUM(J$8:J$15)/(Datos!$B$32*60)+J40*Datos!$B$46/60</f>
        <v>243.865504868019</v>
      </c>
      <c r="K41" s="9" t="n">
        <f aca="false">SUMPRODUCT(K$8:K$15/Corte!$C$32:$C$39)/Datos!$B$41+SUM(K$8:K$15)/(Datos!$B$32*60)+K40*Datos!$B$46/60</f>
        <v>275.432314028934</v>
      </c>
      <c r="L41" s="9" t="n">
        <f aca="false">SUMPRODUCT(L$8:L$15/Corte!$C$32:$C$39)/Datos!$B$41+SUM(L$8:L$15)/(Datos!$B$32*60)+L40*Datos!$B$46/60</f>
        <v>318.274511570836</v>
      </c>
    </row>
    <row r="42" customFormat="false" ht="15" hidden="false" customHeight="false" outlineLevel="0" collapsed="false">
      <c r="A42" s="6" t="s">
        <v>589</v>
      </c>
      <c r="B42" s="6" t="s">
        <v>207</v>
      </c>
      <c r="C42" s="9" t="n">
        <f aca="false">C41*Datos!$B$15</f>
        <v>49.4862382853249</v>
      </c>
      <c r="D42" s="9" t="n">
        <f aca="false">D41*Datos!$B$15</f>
        <v>79.2486962255825</v>
      </c>
      <c r="E42" s="9" t="n">
        <f aca="false">E41*Datos!$B$15</f>
        <v>164.035810986599</v>
      </c>
      <c r="F42" s="9" t="n">
        <f aca="false">F41*Datos!$B$15</f>
        <v>357.374095732178</v>
      </c>
      <c r="G42" s="9" t="n">
        <f aca="false">G41*Datos!$B$15</f>
        <v>620.88865146749</v>
      </c>
      <c r="H42" s="9" t="n">
        <f aca="false">H41*Datos!$B$15</f>
        <v>871.861490755176</v>
      </c>
      <c r="I42" s="9" t="n">
        <f aca="false">I41*Datos!$B$15</f>
        <v>1199.96765887087</v>
      </c>
      <c r="J42" s="9" t="n">
        <f aca="false">J41*Datos!$B$15</f>
        <v>1531.7982347607</v>
      </c>
      <c r="K42" s="9" t="n">
        <f aca="false">K41*Datos!$B$15</f>
        <v>1730.07958896816</v>
      </c>
      <c r="L42" s="9" t="n">
        <f aca="false">L41*Datos!$B$15</f>
        <v>1999.18531018721</v>
      </c>
    </row>
    <row r="43" customFormat="false" ht="15" hidden="false" customHeight="false" outlineLevel="0" collapsed="false">
      <c r="A43" s="6" t="s">
        <v>590</v>
      </c>
      <c r="B43" s="6" t="s">
        <v>207</v>
      </c>
      <c r="C43" s="9" t="n">
        <f aca="false">Datos!$C$117*Datos!$B$8</f>
        <v>4824.18777943368</v>
      </c>
      <c r="D43" s="9" t="n">
        <f aca="false">Datos!$C$117*Datos!$B$8</f>
        <v>4824.18777943368</v>
      </c>
      <c r="E43" s="9" t="n">
        <f aca="false">Datos!$C$117*Datos!$B$8</f>
        <v>4824.18777943368</v>
      </c>
      <c r="F43" s="9" t="n">
        <f aca="false">Datos!$C$117*Datos!$B$8</f>
        <v>4824.18777943368</v>
      </c>
      <c r="G43" s="9" t="n">
        <f aca="false">Datos!$C$117*Datos!$B$8</f>
        <v>4824.18777943368</v>
      </c>
      <c r="H43" s="9" t="n">
        <f aca="false">Datos!$C$117*Datos!$B$8</f>
        <v>4824.18777943368</v>
      </c>
      <c r="I43" s="9" t="n">
        <f aca="false">Datos!$C$117*Datos!$B$8</f>
        <v>4824.18777943368</v>
      </c>
      <c r="J43" s="9" t="n">
        <f aca="false">Datos!$C$117*Datos!$B$8</f>
        <v>4824.18777943368</v>
      </c>
      <c r="K43" s="9" t="n">
        <f aca="false">Datos!$C$117*Datos!$B$8</f>
        <v>4824.18777943368</v>
      </c>
      <c r="L43" s="9" t="n">
        <f aca="false">Datos!$C$117*Datos!$B$8</f>
        <v>4824.18777943368</v>
      </c>
    </row>
    <row r="44" customFormat="false" ht="15" hidden="false" customHeight="false" outlineLevel="0" collapsed="false">
      <c r="A44" s="4" t="s">
        <v>591</v>
      </c>
      <c r="B44" s="6" t="s">
        <v>207</v>
      </c>
      <c r="C44" s="11" t="n">
        <f aca="false">C33+C35+C39+C42+C43</f>
        <v>20814.0536329534</v>
      </c>
      <c r="D44" s="11" t="n">
        <f aca="false">D33+D35+D39+D42+D43</f>
        <v>31580.9277887986</v>
      </c>
      <c r="E44" s="11" t="n">
        <f aca="false">E33+E35+E39+E42+E43</f>
        <v>53382.4770608082</v>
      </c>
      <c r="F44" s="11" t="n">
        <f aca="false">F33+F35+F39+F42+F43</f>
        <v>99556.2654988975</v>
      </c>
      <c r="G44" s="11" t="n">
        <f aca="false">G33+G35+G39+G42+G43</f>
        <v>166403.189312383</v>
      </c>
      <c r="H44" s="11" t="n">
        <f aca="false">H33+H35+H39+H42+H43</f>
        <v>230284.473640717</v>
      </c>
      <c r="I44" s="11" t="n">
        <f aca="false">I33+I35+I39+I42+I43</f>
        <v>310278.337216261</v>
      </c>
      <c r="J44" s="11" t="n">
        <f aca="false">J33+J35+J39+J42+J43</f>
        <v>391644.339197731</v>
      </c>
      <c r="K44" s="11" t="n">
        <f aca="false">K33+K35+K39+K42+K43</f>
        <v>443531.472296302</v>
      </c>
      <c r="L44" s="11" t="n">
        <f aca="false">L33+L35+L39+L42+L43</f>
        <v>510842.200866098</v>
      </c>
    </row>
    <row r="46" customFormat="false" ht="15" hidden="false" customHeight="false" outlineLevel="0" collapsed="false">
      <c r="A46" s="8" t="s">
        <v>592</v>
      </c>
    </row>
    <row r="47" customFormat="false" ht="15" hidden="false" customHeight="false" outlineLevel="0" collapsed="false">
      <c r="A47" s="6" t="s">
        <v>593</v>
      </c>
      <c r="B47" s="6" t="s">
        <v>149</v>
      </c>
      <c r="C47" s="30" t="n">
        <f aca="false">IF(Datos!$B$24="SI",MIN(C15/Datos!$B$25,C14/Datos!$B$26),0)</f>
        <v>6.11495328333333</v>
      </c>
      <c r="D47" s="30" t="n">
        <f aca="false">IF(Datos!$B$24="SI",MIN(D15/Datos!$B$25,D14/Datos!$B$26),0)</f>
        <v>9.40727692666667</v>
      </c>
      <c r="E47" s="30" t="n">
        <f aca="false">IF(Datos!$B$24="SI",MIN(E15/Datos!$B$25,E14/Datos!$B$26),0)</f>
        <v>14.4200330633333</v>
      </c>
      <c r="F47" s="30" t="n">
        <f aca="false">IF(Datos!$B$24="SI",MIN(F15/Datos!$B$25,F14/Datos!$B$26),0)</f>
        <v>24.60477647</v>
      </c>
      <c r="G47" s="30" t="n">
        <f aca="false">IF(Datos!$B$24="SI",MIN(G15/Datos!$B$25,G14/Datos!$B$26),0)</f>
        <v>40.75349389</v>
      </c>
      <c r="H47" s="30" t="n">
        <f aca="false">IF(Datos!$B$24="SI",MIN(H15/Datos!$B$25,H14/Datos!$B$26),0)</f>
        <v>55.8428505666667</v>
      </c>
      <c r="I47" s="30" t="n">
        <f aca="false">IF(Datos!$B$24="SI",MIN(I15/Datos!$B$25,I14/Datos!$B$26),0)</f>
        <v>74.8269173</v>
      </c>
      <c r="J47" s="30" t="n">
        <f aca="false">IF(Datos!$B$24="SI",MIN(J15/Datos!$B$25,J14/Datos!$B$26),0)</f>
        <v>93.8824539666667</v>
      </c>
      <c r="K47" s="30" t="n">
        <f aca="false">IF(Datos!$B$24="SI",MIN(K15/Datos!$B$25,K14/Datos!$B$26),0)</f>
        <v>107.9403865</v>
      </c>
      <c r="L47" s="30" t="n">
        <f aca="false">IF(Datos!$B$24="SI",MIN(L15/Datos!$B$25,L14/Datos!$B$26),0)</f>
        <v>124.709952</v>
      </c>
    </row>
    <row r="48" customFormat="false" ht="15" hidden="false" customHeight="false" outlineLevel="0" collapsed="false">
      <c r="A48" s="6" t="s">
        <v>594</v>
      </c>
      <c r="B48" s="6" t="s">
        <v>149</v>
      </c>
      <c r="C48" s="30" t="n">
        <f aca="false">(C14-Datos!$B$26*C47)/Corte!$I$12</f>
        <v>0</v>
      </c>
      <c r="D48" s="30" t="n">
        <f aca="false">(D14-Datos!$B$26*D47)/Corte!$I$12</f>
        <v>0</v>
      </c>
      <c r="E48" s="30" t="n">
        <f aca="false">(E14-Datos!$B$26*E47)/Corte!$I$12</f>
        <v>0</v>
      </c>
      <c r="F48" s="30" t="n">
        <f aca="false">(F14-Datos!$B$26*F47)/Corte!$I$12</f>
        <v>0</v>
      </c>
      <c r="G48" s="30" t="n">
        <f aca="false">(G14-Datos!$B$26*G47)/Corte!$I$12</f>
        <v>0</v>
      </c>
      <c r="H48" s="30" t="n">
        <f aca="false">(H14-Datos!$B$26*H47)/Corte!$I$12</f>
        <v>0</v>
      </c>
      <c r="I48" s="30" t="n">
        <f aca="false">(I14-Datos!$B$26*I47)/Corte!$I$12</f>
        <v>0</v>
      </c>
      <c r="J48" s="30" t="n">
        <f aca="false">(J14-Datos!$B$26*J47)/Corte!$I$12</f>
        <v>0</v>
      </c>
      <c r="K48" s="30" t="n">
        <f aca="false">(K14-Datos!$B$26*K47)/Corte!$I$12</f>
        <v>0</v>
      </c>
      <c r="L48" s="30" t="n">
        <f aca="false">(L14-Datos!$B$26*L47)/Corte!$I$12</f>
        <v>0</v>
      </c>
    </row>
    <row r="49" customFormat="false" ht="15" hidden="false" customHeight="false" outlineLevel="0" collapsed="false">
      <c r="A49" s="6" t="s">
        <v>595</v>
      </c>
      <c r="B49" s="6" t="s">
        <v>149</v>
      </c>
      <c r="C49" s="30" t="n">
        <f aca="false">(C15-Datos!$B$25*C47)/Corte!$I$13</f>
        <v>2.26053998555556</v>
      </c>
      <c r="D49" s="30" t="n">
        <f aca="false">(D15-Datos!$B$25*D47)/Corte!$I$13</f>
        <v>3.15353675444444</v>
      </c>
      <c r="E49" s="30" t="n">
        <f aca="false">(E15-Datos!$B$25*E47)/Corte!$I$13</f>
        <v>4.80223324222222</v>
      </c>
      <c r="F49" s="30" t="n">
        <f aca="false">(F15-Datos!$B$25*F47)/Corte!$I$13</f>
        <v>7.90825882333333</v>
      </c>
      <c r="G49" s="30" t="n">
        <f aca="false">(G15-Datos!$B$25*G47)/Corte!$I$13</f>
        <v>13.2956090766667</v>
      </c>
      <c r="H49" s="30" t="n">
        <f aca="false">(H15-Datos!$B$25*H47)/Corte!$I$13</f>
        <v>18.3387279677778</v>
      </c>
      <c r="I49" s="30" t="n">
        <f aca="false">(I15-Datos!$B$25*I47)/Corte!$I$13</f>
        <v>25.02230577</v>
      </c>
      <c r="J49" s="30" t="n">
        <f aca="false">(J15-Datos!$B$25*J47)/Corte!$I$13</f>
        <v>30.8763735444444</v>
      </c>
      <c r="K49" s="30" t="n">
        <f aca="false">(K15-Datos!$B$25*K47)/Corte!$I$13</f>
        <v>35.3401288333333</v>
      </c>
      <c r="L49" s="30" t="n">
        <f aca="false">(L15-Datos!$B$25*L47)/Corte!$I$13</f>
        <v>40.9122062</v>
      </c>
    </row>
    <row r="50" customFormat="false" ht="15" hidden="false" customHeight="false" outlineLevel="0" collapsed="false">
      <c r="A50" s="6" t="s">
        <v>596</v>
      </c>
      <c r="B50" s="6" t="s">
        <v>149</v>
      </c>
      <c r="C50" s="30" t="n">
        <f aca="false">IF(Datos!$B$27="SI",MIN(C12/Nesting!$E$26,C13/Nesting!$F$26),0)</f>
        <v>6.00863189333333</v>
      </c>
      <c r="D50" s="30" t="n">
        <f aca="false">IF(Datos!$B$27="SI",MIN(D12/Nesting!$E$26,D13/Nesting!$F$26),0)</f>
        <v>9.77035790833333</v>
      </c>
      <c r="E50" s="30" t="n">
        <f aca="false">IF(Datos!$B$27="SI",MIN(E12/Nesting!$E$26,E13/Nesting!$F$26),0)</f>
        <v>15.1280899966667</v>
      </c>
      <c r="F50" s="30" t="n">
        <f aca="false">IF(Datos!$B$27="SI",MIN(F12/Nesting!$E$26,F13/Nesting!$F$26),0)</f>
        <v>25.4949754833333</v>
      </c>
      <c r="G50" s="30" t="n">
        <f aca="false">IF(Datos!$B$27="SI",MIN(G12/Nesting!$E$26,G13/Nesting!$F$26),0)</f>
        <v>42.0460005833333</v>
      </c>
      <c r="H50" s="30" t="n">
        <f aca="false">IF(Datos!$B$27="SI",MIN(H12/Nesting!$E$26,H13/Nesting!$F$26),0)</f>
        <v>58.2624137833333</v>
      </c>
      <c r="I50" s="30" t="n">
        <f aca="false">IF(Datos!$B$27="SI",MIN(I12/Nesting!$E$26,I13/Nesting!$F$26),0)</f>
        <v>77.5780388666667</v>
      </c>
      <c r="J50" s="30" t="n">
        <f aca="false">IF(Datos!$B$27="SI",MIN(J12/Nesting!$E$26,J13/Nesting!$F$26),0)</f>
        <v>97.7881117833333</v>
      </c>
      <c r="K50" s="30" t="n">
        <f aca="false">IF(Datos!$B$27="SI",MIN(K12/Nesting!$E$26,K13/Nesting!$F$26),0)</f>
        <v>112.0979026</v>
      </c>
      <c r="L50" s="30" t="n">
        <f aca="false">IF(Datos!$B$27="SI",MIN(L12/Nesting!$E$26,L13/Nesting!$F$26),0)</f>
        <v>129.551755533333</v>
      </c>
    </row>
    <row r="51" customFormat="false" ht="15" hidden="false" customHeight="false" outlineLevel="0" collapsed="false">
      <c r="A51" s="6" t="s">
        <v>597</v>
      </c>
      <c r="B51" s="6" t="s">
        <v>149</v>
      </c>
      <c r="C51" s="30" t="n">
        <f aca="false">IF(Datos!$B$27="SI",(C13-C50*Nesting!$F$26)/Nesting!$F$28,C13/Corte!$I$11)</f>
        <v>9.81467422</v>
      </c>
      <c r="D51" s="30" t="n">
        <f aca="false">IF(Datos!$B$27="SI",(D13-D50*Nesting!$F$26)/Nesting!$F$28,D13/Corte!$I$11)</f>
        <v>16.7442751125</v>
      </c>
      <c r="E51" s="30" t="n">
        <f aca="false">IF(Datos!$B$27="SI",(E13-E50*Nesting!$F$26)/Nesting!$F$28,E13/Corte!$I$11)</f>
        <v>25.8524196683333</v>
      </c>
      <c r="F51" s="30" t="n">
        <f aca="false">IF(Datos!$B$27="SI",(F13-F50*Nesting!$F$26)/Nesting!$F$28,F13/Corte!$I$11)</f>
        <v>43.4934583416667</v>
      </c>
      <c r="G51" s="30" t="n">
        <f aca="false">IF(Datos!$B$27="SI",(G13-G50*Nesting!$F$26)/Nesting!$F$28,G13/Corte!$I$11)</f>
        <v>71.311534325</v>
      </c>
      <c r="H51" s="30" t="n">
        <f aca="false">IF(Datos!$B$27="SI",(H13-H50*Nesting!$F$26)/Nesting!$F$28,H13/Corte!$I$11)</f>
        <v>99.0581034416667</v>
      </c>
      <c r="I51" s="30" t="n">
        <f aca="false">IF(Datos!$B$27="SI",(I13-I50*Nesting!$F$26)/Nesting!$F$28,I13/Corte!$I$11)</f>
        <v>132.089332716667</v>
      </c>
      <c r="J51" s="30" t="n">
        <f aca="false">IF(Datos!$B$27="SI",(J13-J50*Nesting!$F$26)/Nesting!$F$28,J13/Corte!$I$11)</f>
        <v>166.457123375</v>
      </c>
      <c r="K51" s="30" t="n">
        <f aca="false">IF(Datos!$B$27="SI",(K13-K50*Nesting!$F$26)/Nesting!$F$28,K13/Corte!$I$11)</f>
        <v>190.561101083333</v>
      </c>
      <c r="L51" s="30" t="n">
        <f aca="false">IF(Datos!$B$27="SI",(L13-L50*Nesting!$F$26)/Nesting!$F$28,L13/Corte!$I$11)</f>
        <v>219.96331775</v>
      </c>
    </row>
    <row r="52" customFormat="false" ht="15" hidden="false" customHeight="false" outlineLevel="0" collapsed="false">
      <c r="A52" s="6" t="s">
        <v>598</v>
      </c>
      <c r="B52" s="6" t="s">
        <v>149</v>
      </c>
      <c r="C52" s="30" t="n">
        <f aca="false">IF(Datos!$B$27="SI",(C12-C50*Nesting!$E$26)/Nesting!$E$29,C12/Corte!$I$10)</f>
        <v>0</v>
      </c>
      <c r="D52" s="30" t="n">
        <f aca="false">IF(Datos!$B$27="SI",(D12-D50*Nesting!$E$26)/Nesting!$E$29,D12/Corte!$I$10)</f>
        <v>0</v>
      </c>
      <c r="E52" s="30" t="n">
        <f aca="false">IF(Datos!$B$27="SI",(E12-E50*Nesting!$E$26)/Nesting!$E$29,E12/Corte!$I$10)</f>
        <v>0</v>
      </c>
      <c r="F52" s="30" t="n">
        <f aca="false">IF(Datos!$B$27="SI",(F12-F50*Nesting!$E$26)/Nesting!$E$29,F12/Corte!$I$10)</f>
        <v>0</v>
      </c>
      <c r="G52" s="30" t="n">
        <f aca="false">IF(Datos!$B$27="SI",(G12-G50*Nesting!$E$26)/Nesting!$E$29,G12/Corte!$I$10)</f>
        <v>0</v>
      </c>
      <c r="H52" s="30" t="n">
        <f aca="false">IF(Datos!$B$27="SI",(H12-H50*Nesting!$E$26)/Nesting!$E$29,H12/Corte!$I$10)</f>
        <v>0</v>
      </c>
      <c r="I52" s="30" t="n">
        <f aca="false">IF(Datos!$B$27="SI",(I12-I50*Nesting!$E$26)/Nesting!$E$29,I12/Corte!$I$10)</f>
        <v>0</v>
      </c>
      <c r="J52" s="30" t="n">
        <f aca="false">IF(Datos!$B$27="SI",(J12-J50*Nesting!$E$26)/Nesting!$E$29,J12/Corte!$I$10)</f>
        <v>0</v>
      </c>
      <c r="K52" s="30" t="n">
        <f aca="false">IF(Datos!$B$27="SI",(K12-K50*Nesting!$E$26)/Nesting!$E$29,K12/Corte!$I$10)</f>
        <v>0</v>
      </c>
      <c r="L52" s="30" t="n">
        <f aca="false">IF(Datos!$B$27="SI",(L12-L50*Nesting!$E$26)/Nesting!$E$29,L12/Corte!$I$10)</f>
        <v>0</v>
      </c>
    </row>
    <row r="53" customFormat="false" ht="15" hidden="false" customHeight="false" outlineLevel="0" collapsed="false">
      <c r="A53" s="6" t="s">
        <v>599</v>
      </c>
      <c r="B53" s="6" t="s">
        <v>149</v>
      </c>
      <c r="C53" s="9" t="n">
        <f aca="false">SUMPRODUCT(C$8:C$11/Corte!$I$6:$I$9)+C50+C51+C52+C48+C49+C47</f>
        <v>324.641811086074</v>
      </c>
      <c r="D53" s="9" t="n">
        <f aca="false">SUMPRODUCT(D$8:D$11/Corte!$I$6:$I$9)+D50+D51+D52+D48+D49+D47</f>
        <v>538.672463472685</v>
      </c>
      <c r="E53" s="9" t="n">
        <f aca="false">SUMPRODUCT(E$8:E$11/Corte!$I$6:$I$9)+E50+E51+E52+E48+E49+E47</f>
        <v>1014.03685359241</v>
      </c>
      <c r="F53" s="9" t="n">
        <f aca="false">SUMPRODUCT(F$8:F$11/Corte!$I$6:$I$9)+F50+F51+F52+F48+F49+F47</f>
        <v>2041.31664863796</v>
      </c>
      <c r="G53" s="9" t="n">
        <f aca="false">SUMPRODUCT(G$8:G$11/Corte!$I$6:$I$9)+G50+G51+G52+G48+G49+G47</f>
        <v>3502.53429122389</v>
      </c>
      <c r="H53" s="9" t="n">
        <f aca="false">SUMPRODUCT(H$8:H$11/Corte!$I$6:$I$9)+H50+H51+H52+H48+H49+H47</f>
        <v>4904.93261554093</v>
      </c>
      <c r="I53" s="9" t="n">
        <f aca="false">SUMPRODUCT(I$8:I$11/Corte!$I$6:$I$9)+I50+I51+I52+I48+I49+I47</f>
        <v>6691.35830209778</v>
      </c>
      <c r="J53" s="9" t="n">
        <f aca="false">SUMPRODUCT(J$8:J$11/Corte!$I$6:$I$9)+J50+J51+J52+J48+J49+J47</f>
        <v>8505.54997633982</v>
      </c>
      <c r="K53" s="9" t="n">
        <f aca="false">SUMPRODUCT(K$8:K$11/Corte!$I$6:$I$9)+K50+K51+K52+K48+K49+K47</f>
        <v>9633.95315833889</v>
      </c>
      <c r="L53" s="9" t="n">
        <f aca="false">SUMPRODUCT(L$8:L$11/Corte!$I$6:$I$9)+L50+L51+L52+L48+L49+L47</f>
        <v>11119.5992531204</v>
      </c>
    </row>
    <row r="54" customFormat="false" ht="15" hidden="false" customHeight="false" outlineLevel="0" collapsed="false">
      <c r="A54" s="6" t="s">
        <v>600</v>
      </c>
      <c r="B54" s="6" t="s">
        <v>180</v>
      </c>
      <c r="C54" s="30" t="n">
        <f aca="false">(SUMPRODUCT(C$8:C$11/Corte!$I$6:$I$9*Corte!$W$6:$W$9)+(C50+C51+C52)*Corte!$W$10+C48*Corte!$W$12+C49*Corte!$W$13+C47*Corte!$W$14)/1000</f>
        <v>10.7219965441431</v>
      </c>
      <c r="D54" s="30" t="n">
        <f aca="false">(SUMPRODUCT(D$8:D$11/Corte!$I$6:$I$9*Corte!$W$6:$W$9)+(D50+D51+D52)*Corte!$W$10+D48*Corte!$W$12+D49*Corte!$W$13+D47*Corte!$W$14)/1000</f>
        <v>17.8186545756302</v>
      </c>
      <c r="E54" s="30" t="n">
        <f aca="false">(SUMPRODUCT(E$8:E$11/Corte!$I$6:$I$9*Corte!$W$6:$W$9)+(E50+E51+E52)*Corte!$W$10+E48*Corte!$W$12+E49*Corte!$W$13+E47*Corte!$W$14)/1000</f>
        <v>31.8471614927105</v>
      </c>
      <c r="F54" s="30" t="n">
        <f aca="false">(SUMPRODUCT(F$8:F$11/Corte!$I$6:$I$9*Corte!$W$6:$W$9)+(F50+F51+F52)*Corte!$W$10+F48*Corte!$W$12+F49*Corte!$W$13+F47*Corte!$W$14)/1000</f>
        <v>61.4204598178438</v>
      </c>
      <c r="G54" s="30" t="n">
        <f aca="false">(SUMPRODUCT(G$8:G$11/Corte!$I$6:$I$9*Corte!$W$6:$W$9)+(G50+G51+G52)*Corte!$W$10+G48*Corte!$W$12+G49*Corte!$W$13+G47*Corte!$W$14)/1000</f>
        <v>104.575854838799</v>
      </c>
      <c r="H54" s="30" t="n">
        <f aca="false">(SUMPRODUCT(H$8:H$11/Corte!$I$6:$I$9*Corte!$W$6:$W$9)+(H50+H51+H52)*Corte!$W$10+H48*Corte!$W$12+H49*Corte!$W$13+H47*Corte!$W$14)/1000</f>
        <v>146.258766848908</v>
      </c>
      <c r="I54" s="30" t="n">
        <f aca="false">(SUMPRODUCT(I$8:I$11/Corte!$I$6:$I$9*Corte!$W$6:$W$9)+(I50+I51+I52)*Corte!$W$10+I48*Corte!$W$12+I49*Corte!$W$13+I47*Corte!$W$14)/1000</f>
        <v>198.533732566191</v>
      </c>
      <c r="J54" s="30" t="n">
        <f aca="false">(SUMPRODUCT(J$8:J$11/Corte!$I$6:$I$9*Corte!$W$6:$W$9)+(J50+J51+J52)*Corte!$W$10+J48*Corte!$W$12+J49*Corte!$W$13+J47*Corte!$W$14)/1000</f>
        <v>251.65721320932</v>
      </c>
      <c r="K54" s="30" t="n">
        <f aca="false">(SUMPRODUCT(K$8:K$11/Corte!$I$6:$I$9*Corte!$W$6:$W$9)+(K50+K51+K52)*Corte!$W$10+K48*Corte!$W$12+K49*Corte!$W$13+K47*Corte!$W$14)/1000</f>
        <v>285.843871581377</v>
      </c>
      <c r="L54" s="30" t="n">
        <f aca="false">(SUMPRODUCT(L$8:L$11/Corte!$I$6:$I$9*Corte!$W$6:$W$9)+(L50+L51+L52)*Corte!$W$10+L48*Corte!$W$12+L49*Corte!$W$13+L47*Corte!$W$14)/1000</f>
        <v>329.976226889791</v>
      </c>
    </row>
    <row r="55" customFormat="false" ht="15" hidden="false" customHeight="false" outlineLevel="0" collapsed="false">
      <c r="A55" s="6" t="s">
        <v>601</v>
      </c>
      <c r="B55" s="6" t="s">
        <v>207</v>
      </c>
      <c r="C55" s="9" t="n">
        <f aca="false">SUMPRODUCT(C$8:C$11/Corte!$I$6:$I$9*Corte!$X$6:$X$9)+(C50+C51+C52)*Corte!$X$10+C48*Corte!$X$12+C49*Corte!$X$13+C47*Corte!$X$14</f>
        <v>13518.6179288273</v>
      </c>
      <c r="D55" s="9" t="n">
        <f aca="false">SUMPRODUCT(D$8:D$11/Corte!$I$6:$I$9*Corte!$X$6:$X$9)+(D50+D51+D52)*Corte!$X$10+D48*Corte!$X$12+D49*Corte!$X$13+D47*Corte!$X$14</f>
        <v>22487.4410196709</v>
      </c>
      <c r="E55" s="9" t="n">
        <f aca="false">SUMPRODUCT(E$8:E$11/Corte!$I$6:$I$9*Corte!$X$6:$X$9)+(E50+E51+E52)*Corte!$X$10+E48*Corte!$X$12+E49*Corte!$X$13+E47*Corte!$X$14</f>
        <v>40528.358467687</v>
      </c>
      <c r="F55" s="9" t="n">
        <f aca="false">SUMPRODUCT(F$8:F$11/Corte!$I$6:$I$9*Corte!$X$6:$X$9)+(F50+F51+F52)*Corte!$X$10+F48*Corte!$X$12+F49*Corte!$X$13+F47*Corte!$X$14</f>
        <v>78693.1883195883</v>
      </c>
      <c r="G55" s="9" t="n">
        <f aca="false">SUMPRODUCT(G$8:G$11/Corte!$I$6:$I$9*Corte!$X$6:$X$9)+(G50+G51+G52)*Corte!$X$10+G48*Corte!$X$12+G49*Corte!$X$13+G47*Corte!$X$14</f>
        <v>134169.623276681</v>
      </c>
      <c r="H55" s="9" t="n">
        <f aca="false">SUMPRODUCT(H$8:H$11/Corte!$I$6:$I$9*Corte!$X$6:$X$9)+(H50+H51+H52)*Corte!$X$10+H48*Corte!$X$12+H49*Corte!$X$13+H47*Corte!$X$14</f>
        <v>187724.418930982</v>
      </c>
      <c r="I55" s="9" t="n">
        <f aca="false">SUMPRODUCT(I$8:I$11/Corte!$I$6:$I$9*Corte!$X$6:$X$9)+(I50+I51+I52)*Corte!$X$10+I48*Corte!$X$12+I49*Corte!$X$13+I47*Corte!$X$14</f>
        <v>255006.633952477</v>
      </c>
      <c r="J55" s="9" t="n">
        <f aca="false">SUMPRODUCT(J$8:J$11/Corte!$I$6:$I$9*Corte!$X$6:$X$9)+(J50+J51+J52)*Corte!$X$10+J48*Corte!$X$12+J49*Corte!$X$13+J47*Corte!$X$14</f>
        <v>323380.217874792</v>
      </c>
      <c r="K55" s="9" t="n">
        <f aca="false">SUMPRODUCT(K$8:K$11/Corte!$I$6:$I$9*Corte!$X$6:$X$9)+(K50+K51+K52)*Corte!$X$10+K48*Corte!$X$12+K49*Corte!$X$13+K47*Corte!$X$14</f>
        <v>367143.738969776</v>
      </c>
      <c r="L55" s="9" t="n">
        <f aca="false">SUMPRODUCT(L$8:L$11/Corte!$I$6:$I$9*Corte!$X$6:$X$9)+(L50+L51+L52)*Corte!$X$10+L48*Corte!$X$12+L49*Corte!$X$13+L47*Corte!$X$14</f>
        <v>423807.984964498</v>
      </c>
    </row>
    <row r="56" customFormat="false" ht="15" hidden="false" customHeight="false" outlineLevel="0" collapsed="false">
      <c r="A56" s="6" t="s">
        <v>602</v>
      </c>
      <c r="B56" s="6" t="s">
        <v>588</v>
      </c>
      <c r="C56" s="30" t="n">
        <f aca="false">(SUMPRODUCT(C$8:C$11/Corte!$I$6:$I$9*Corte!$P$6:$P$9)+C50*Nesting!$G$26+C51*Nesting!$G$28+C52*Nesting!$G$29+C48*Corte!$P$12+C49*Corte!$P$13+C47*Corte!$P$14)/Datos!$B$32/60</f>
        <v>1.50555903995</v>
      </c>
      <c r="D56" s="30" t="n">
        <f aca="false">(SUMPRODUCT(D$8:D$11/Corte!$I$6:$I$9*Corte!$P$6:$P$9)+D50*Nesting!$G$26+D51*Nesting!$G$28+D52*Nesting!$G$29+D48*Corte!$P$12+D49*Corte!$P$13+D47*Corte!$P$14)/Datos!$B$32/60</f>
        <v>2.44804357369375</v>
      </c>
      <c r="E56" s="30" t="n">
        <f aca="false">(SUMPRODUCT(E$8:E$11/Corte!$I$6:$I$9*Corte!$P$6:$P$9)+E50*Nesting!$G$26+E51*Nesting!$G$28+E52*Nesting!$G$29+E48*Corte!$P$12+E49*Corte!$P$13+E47*Corte!$P$14)/Datos!$B$32/60</f>
        <v>4.90758837947917</v>
      </c>
      <c r="F56" s="30" t="n">
        <f aca="false">(SUMPRODUCT(F$8:F$11/Corte!$I$6:$I$9*Corte!$P$6:$P$9)+F50*Nesting!$G$26+F51*Nesting!$G$28+F52*Nesting!$G$29+F48*Corte!$P$12+F49*Corte!$P$13+F47*Corte!$P$14)/Datos!$B$32/60</f>
        <v>10.4326396838819</v>
      </c>
      <c r="G56" s="30" t="n">
        <f aca="false">(SUMPRODUCT(G$8:G$11/Corte!$I$6:$I$9*Corte!$P$6:$P$9)+G50*Nesting!$G$26+G51*Nesting!$G$28+G52*Nesting!$G$29+G48*Corte!$P$12+G49*Corte!$P$13+G47*Corte!$P$14)/Datos!$B$32/60</f>
        <v>18.0488979629014</v>
      </c>
      <c r="H56" s="30" t="n">
        <f aca="false">(SUMPRODUCT(H$8:H$11/Corte!$I$6:$I$9*Corte!$P$6:$P$9)+H50*Nesting!$G$26+H51*Nesting!$G$28+H52*Nesting!$G$29+H48*Corte!$P$12+H49*Corte!$P$13+H47*Corte!$P$14)/Datos!$B$32/60</f>
        <v>25.3244773012597</v>
      </c>
      <c r="I56" s="30" t="n">
        <f aca="false">(SUMPRODUCT(I$8:I$11/Corte!$I$6:$I$9*Corte!$P$6:$P$9)+I50*Nesting!$G$26+I51*Nesting!$G$28+I52*Nesting!$G$29+I48*Corte!$P$12+I49*Corte!$P$13+I47*Corte!$P$14)/Datos!$B$32/60</f>
        <v>34.7556494357722</v>
      </c>
      <c r="J56" s="30" t="n">
        <f aca="false">(SUMPRODUCT(J$8:J$11/Corte!$I$6:$I$9*Corte!$P$6:$P$9)+J50*Nesting!$G$26+J51*Nesting!$G$28+J52*Nesting!$G$29+J48*Corte!$P$12+J49*Corte!$P$13+J47*Corte!$P$14)/Datos!$B$32/60</f>
        <v>44.3098302174792</v>
      </c>
      <c r="K56" s="30" t="n">
        <f aca="false">(SUMPRODUCT(K$8:K$11/Corte!$I$6:$I$9*Corte!$P$6:$P$9)+K50*Nesting!$G$26+K51*Nesting!$G$28+K52*Nesting!$G$29+K48*Corte!$P$12+K49*Corte!$P$13+K47*Corte!$P$14)/Datos!$B$32/60</f>
        <v>50.1049053782361</v>
      </c>
      <c r="L56" s="30" t="n">
        <f aca="false">(SUMPRODUCT(L$8:L$11/Corte!$I$6:$I$9*Corte!$P$6:$P$9)+L50*Nesting!$G$26+L51*Nesting!$G$28+L52*Nesting!$G$29+L48*Corte!$P$12+L49*Corte!$P$13+L47*Corte!$P$14)/Datos!$B$32/60</f>
        <v>57.8957426834306</v>
      </c>
    </row>
    <row r="57" customFormat="false" ht="15" hidden="false" customHeight="false" outlineLevel="0" collapsed="false">
      <c r="A57" s="6" t="s">
        <v>603</v>
      </c>
      <c r="B57" s="6" t="s">
        <v>588</v>
      </c>
      <c r="C57" s="30" t="n">
        <f aca="false">(SUMPRODUCT(C$8:C$11/Corte!$I$6:$I$9*Corte!$R$6:$R$9)+C50*Nesting!$H$26+C51*Nesting!$H$28+C52*Nesting!$H$29+C48*Corte!$R$12+C49*Corte!$R$13+C47*Corte!$R$14)/Datos!$B$35/60</f>
        <v>0.974026844470139</v>
      </c>
      <c r="D57" s="30" t="n">
        <f aca="false">(SUMPRODUCT(D$8:D$11/Corte!$I$6:$I$9*Corte!$R$6:$R$9)+D50*Nesting!$H$26+D51*Nesting!$H$28+D52*Nesting!$H$29+D48*Corte!$R$12+D49*Corte!$R$13+D47*Corte!$R$14)/Datos!$B$35/60</f>
        <v>1.58382547699236</v>
      </c>
      <c r="E57" s="30" t="n">
        <f aca="false">(SUMPRODUCT(E$8:E$11/Corte!$I$6:$I$9*Corte!$R$6:$R$9)+E50*Nesting!$H$26+E51*Nesting!$H$28+E52*Nesting!$H$29+E48*Corte!$R$12+E49*Corte!$R$13+E47*Corte!$R$14)/Datos!$B$35/60</f>
        <v>3.09911022095324</v>
      </c>
      <c r="F57" s="30" t="n">
        <f aca="false">(SUMPRODUCT(F$8:F$11/Corte!$I$6:$I$9*Corte!$R$6:$R$9)+F50*Nesting!$H$26+F51*Nesting!$H$28+F52*Nesting!$H$29+F48*Corte!$R$12+F49*Corte!$R$13+F47*Corte!$R$14)/Datos!$B$35/60</f>
        <v>6.45390186593102</v>
      </c>
      <c r="G57" s="30" t="n">
        <f aca="false">(SUMPRODUCT(G$8:G$11/Corte!$I$6:$I$9*Corte!$R$6:$R$9)+G50*Nesting!$H$26+G51*Nesting!$H$28+G52*Nesting!$H$29+G48*Corte!$R$12+G49*Corte!$R$13+G47*Corte!$R$14)/Datos!$B$35/60</f>
        <v>11.138818981506</v>
      </c>
      <c r="H57" s="30" t="n">
        <f aca="false">(SUMPRODUCT(H$8:H$11/Corte!$I$6:$I$9*Corte!$R$6:$R$9)+H50*Nesting!$H$26+H51*Nesting!$H$28+H52*Nesting!$H$29+H48*Corte!$R$12+H49*Corte!$R$13+H47*Corte!$R$14)/Datos!$B$35/60</f>
        <v>15.6131749720454</v>
      </c>
      <c r="I57" s="30" t="n">
        <f aca="false">(SUMPRODUCT(I$8:I$11/Corte!$I$6:$I$9*Corte!$R$6:$R$9)+I50*Nesting!$H$26+I51*Nesting!$H$28+I52*Nesting!$H$29+I48*Corte!$R$12+I49*Corte!$R$13+I47*Corte!$R$14)/Datos!$B$35/60</f>
        <v>21.3908814692495</v>
      </c>
      <c r="J57" s="30" t="n">
        <f aca="false">(SUMPRODUCT(J$8:J$11/Corte!$I$6:$I$9*Corte!$R$6:$R$9)+J50*Nesting!$H$26+J51*Nesting!$H$28+J52*Nesting!$H$29+J48*Corte!$R$12+J49*Corte!$R$13+J47*Corte!$R$14)/Datos!$B$35/60</f>
        <v>27.2450459337384</v>
      </c>
      <c r="K57" s="30" t="n">
        <f aca="false">(SUMPRODUCT(K$8:K$11/Corte!$I$6:$I$9*Corte!$R$6:$R$9)+K50*Nesting!$H$26+K51*Nesting!$H$28+K52*Nesting!$H$29+K48*Corte!$R$12+K49*Corte!$R$13+K47*Corte!$R$14)/Datos!$B$35/60</f>
        <v>30.8068836193426</v>
      </c>
      <c r="L57" s="30" t="n">
        <f aca="false">(SUMPRODUCT(L$8:L$11/Corte!$I$6:$I$9*Corte!$R$6:$R$9)+L50*Nesting!$H$26+L51*Nesting!$H$28+L52*Nesting!$H$29+L48*Corte!$R$12+L49*Corte!$R$13+L47*Corte!$R$14)/Datos!$B$35/60</f>
        <v>35.5639524497685</v>
      </c>
    </row>
    <row r="58" customFormat="false" ht="15" hidden="false" customHeight="false" outlineLevel="0" collapsed="false">
      <c r="A58" s="6" t="s">
        <v>604</v>
      </c>
      <c r="B58" s="6" t="s">
        <v>180</v>
      </c>
      <c r="C58" s="30" t="n">
        <f aca="false">SUMPRODUCT(C$8:C$11,Corte!$E$55:$E$58)/1000</f>
        <v>3.3217745635157</v>
      </c>
      <c r="D58" s="30" t="n">
        <f aca="false">SUMPRODUCT(D$8:D$11,Corte!$E$55:$E$58)/1000</f>
        <v>5.65658163476303</v>
      </c>
      <c r="E58" s="30" t="n">
        <f aca="false">SUMPRODUCT(E$8:E$11,Corte!$E$55:$E$58)/1000</f>
        <v>10.4628313734792</v>
      </c>
      <c r="F58" s="30" t="n">
        <f aca="false">SUMPRODUCT(F$8:F$11,Corte!$E$55:$E$58)/1000</f>
        <v>20.6362925156716</v>
      </c>
      <c r="G58" s="30" t="n">
        <f aca="false">SUMPRODUCT(G$8:G$11,Corte!$E$55:$E$58)/1000</f>
        <v>35.3030490779393</v>
      </c>
      <c r="H58" s="30" t="n">
        <f aca="false">SUMPRODUCT(H$8:H$11,Corte!$E$55:$E$58)/1000</f>
        <v>49.4826856536341</v>
      </c>
      <c r="I58" s="30" t="n">
        <f aca="false">SUMPRODUCT(I$8:I$11,Corte!$E$55:$E$58)/1000</f>
        <v>67.2670707933045</v>
      </c>
      <c r="J58" s="30" t="n">
        <f aca="false">SUMPRODUCT(J$8:J$11,Corte!$E$55:$E$58)/1000</f>
        <v>85.3837456155912</v>
      </c>
      <c r="K58" s="30" t="n">
        <f aca="false">SUMPRODUCT(K$8:K$11,Corte!$E$55:$E$58)/1000</f>
        <v>96.8313100211726</v>
      </c>
      <c r="L58" s="30" t="n">
        <f aca="false">SUMPRODUCT(L$8:L$11,Corte!$E$55:$E$58)/1000</f>
        <v>111.747998701546</v>
      </c>
    </row>
    <row r="59" customFormat="false" ht="15" hidden="false" customHeight="false" outlineLevel="0" collapsed="false">
      <c r="A59" s="6" t="s">
        <v>605</v>
      </c>
      <c r="B59" s="6" t="s">
        <v>207</v>
      </c>
      <c r="C59" s="9" t="n">
        <f aca="false">SUMPRODUCT(C$8:C$11,Corte!$F$55:$F$58)</f>
        <v>4392.45968492148</v>
      </c>
      <c r="D59" s="9" t="n">
        <f aca="false">SUMPRODUCT(D$8:D$11,Corte!$F$55:$F$58)</f>
        <v>7477.3245944859</v>
      </c>
      <c r="E59" s="9" t="n">
        <f aca="false">SUMPRODUCT(E$8:E$11,Corte!$F$55:$F$58)</f>
        <v>13823.8253560208</v>
      </c>
      <c r="F59" s="9" t="n">
        <f aca="false">SUMPRODUCT(F$8:F$11,Corte!$F$55:$F$58)</f>
        <v>27252.5181851195</v>
      </c>
      <c r="G59" s="9" t="n">
        <f aca="false">SUMPRODUCT(G$8:G$11,Corte!$F$55:$F$58)</f>
        <v>46619.3249467314</v>
      </c>
      <c r="H59" s="9" t="n">
        <f aca="false">SUMPRODUCT(H$8:H$11,Corte!$F$55:$F$58)</f>
        <v>65340.1414641371</v>
      </c>
      <c r="I59" s="9" t="n">
        <f aca="false">SUMPRODUCT(I$8:I$11,Corte!$F$55:$F$58)</f>
        <v>88822.1115374205</v>
      </c>
      <c r="J59" s="9" t="n">
        <f aca="false">SUMPRODUCT(J$8:J$11,Corte!$F$55:$F$58)</f>
        <v>112741.72730153</v>
      </c>
      <c r="K59" s="9" t="n">
        <f aca="false">SUMPRODUCT(K$8:K$11,Corte!$F$55:$F$58)</f>
        <v>127854.006453151</v>
      </c>
      <c r="L59" s="9" t="n">
        <f aca="false">SUMPRODUCT(L$8:L$11,Corte!$F$55:$F$58)</f>
        <v>147543.63356023</v>
      </c>
    </row>
    <row r="60" customFormat="false" ht="15" hidden="false" customHeight="false" outlineLevel="0" collapsed="false">
      <c r="A60" s="6" t="s">
        <v>606</v>
      </c>
      <c r="B60" s="6" t="s">
        <v>607</v>
      </c>
      <c r="C60" s="9" t="n">
        <f aca="false">SUMPRODUCT(C$8:C$11,Corte!$G$55:$G$58)</f>
        <v>1623.94059394906</v>
      </c>
      <c r="D60" s="9" t="n">
        <f aca="false">SUMPRODUCT(D$8:D$11,Corte!$G$55:$G$58)</f>
        <v>2667.04881082825</v>
      </c>
      <c r="E60" s="9" t="n">
        <f aca="false">SUMPRODUCT(E$8:E$11,Corte!$G$55:$G$58)</f>
        <v>5276.13841801154</v>
      </c>
      <c r="F60" s="9" t="n">
        <f aca="false">SUMPRODUCT(F$8:F$11,Corte!$G$55:$G$58)</f>
        <v>11071.2664123298</v>
      </c>
      <c r="G60" s="9" t="n">
        <f aca="false">SUMPRODUCT(G$8:G$11,Corte!$G$55:$G$58)</f>
        <v>19124.3536557199</v>
      </c>
      <c r="H60" s="9" t="n">
        <f aca="false">SUMPRODUCT(H$8:H$11,Corte!$G$55:$G$58)</f>
        <v>26830.0522834886</v>
      </c>
      <c r="I60" s="9" t="n">
        <f aca="false">SUMPRODUCT(I$8:I$11,Corte!$G$55:$G$58)</f>
        <v>36764.8060082518</v>
      </c>
      <c r="J60" s="9" t="n">
        <f aca="false">SUMPRODUCT(J$8:J$11,Corte!$G$55:$G$58)</f>
        <v>46837.6505985288</v>
      </c>
      <c r="K60" s="9" t="n">
        <f aca="false">SUMPRODUCT(K$8:K$11,Corte!$G$55:$G$58)</f>
        <v>52974.8716479519</v>
      </c>
      <c r="L60" s="9" t="n">
        <f aca="false">SUMPRODUCT(L$8:L$11,Corte!$G$55:$G$58)</f>
        <v>61185.3173443214</v>
      </c>
    </row>
    <row r="61" customFormat="false" ht="15" hidden="false" customHeight="false" outlineLevel="0" collapsed="false">
      <c r="A61" s="6" t="s">
        <v>577</v>
      </c>
      <c r="B61" s="6" t="s">
        <v>180</v>
      </c>
      <c r="C61" s="30" t="n">
        <f aca="false">C54+C58</f>
        <v>14.0437711076588</v>
      </c>
      <c r="D61" s="30" t="n">
        <f aca="false">D54+D58</f>
        <v>23.4752362103932</v>
      </c>
      <c r="E61" s="30" t="n">
        <f aca="false">E54+E58</f>
        <v>42.3099928661896</v>
      </c>
      <c r="F61" s="30" t="n">
        <f aca="false">F54+F58</f>
        <v>82.0567523335154</v>
      </c>
      <c r="G61" s="30" t="n">
        <f aca="false">G54+G58</f>
        <v>139.878903916738</v>
      </c>
      <c r="H61" s="30" t="n">
        <f aca="false">H54+H58</f>
        <v>195.741452502542</v>
      </c>
      <c r="I61" s="30" t="n">
        <f aca="false">I54+I58</f>
        <v>265.800803359496</v>
      </c>
      <c r="J61" s="30" t="n">
        <f aca="false">J54+J58</f>
        <v>337.040958824911</v>
      </c>
      <c r="K61" s="30" t="n">
        <f aca="false">K54+K58</f>
        <v>382.67518160255</v>
      </c>
      <c r="L61" s="30" t="n">
        <f aca="false">L54+L58</f>
        <v>441.724225591337</v>
      </c>
    </row>
    <row r="62" customFormat="false" ht="15" hidden="false" customHeight="false" outlineLevel="0" collapsed="false">
      <c r="A62" s="6" t="s">
        <v>578</v>
      </c>
      <c r="B62" s="6" t="s">
        <v>207</v>
      </c>
      <c r="C62" s="9" t="n">
        <f aca="false">C55+C59</f>
        <v>17911.0776137488</v>
      </c>
      <c r="D62" s="9" t="n">
        <f aca="false">D55+D59</f>
        <v>29964.7656141568</v>
      </c>
      <c r="E62" s="9" t="n">
        <f aca="false">E55+E59</f>
        <v>54352.1838237077</v>
      </c>
      <c r="F62" s="9" t="n">
        <f aca="false">F55+F59</f>
        <v>105945.706504708</v>
      </c>
      <c r="G62" s="9" t="n">
        <f aca="false">G55+G59</f>
        <v>180788.948223412</v>
      </c>
      <c r="H62" s="9" t="n">
        <f aca="false">H55+H59</f>
        <v>253064.560395119</v>
      </c>
      <c r="I62" s="9" t="n">
        <f aca="false">I55+I59</f>
        <v>343828.745489897</v>
      </c>
      <c r="J62" s="9" t="n">
        <f aca="false">J55+J59</f>
        <v>436121.945176322</v>
      </c>
      <c r="K62" s="9" t="n">
        <f aca="false">K55+K59</f>
        <v>494997.745422927</v>
      </c>
      <c r="L62" s="9" t="n">
        <f aca="false">L55+L59</f>
        <v>571351.618524728</v>
      </c>
    </row>
    <row r="63" customFormat="false" ht="15" hidden="false" customHeight="false" outlineLevel="0" collapsed="false">
      <c r="A63" s="6" t="s">
        <v>579</v>
      </c>
      <c r="B63" s="6" t="s">
        <v>180</v>
      </c>
      <c r="C63" s="30" t="n">
        <f aca="false">C61-C25</f>
        <v>2.09616310654378</v>
      </c>
      <c r="D63" s="30" t="n">
        <f aca="false">D61-D25</f>
        <v>3.50461584753369</v>
      </c>
      <c r="E63" s="30" t="n">
        <f aca="false">E61-E25</f>
        <v>6.23574332559344</v>
      </c>
      <c r="F63" s="30" t="n">
        <f aca="false">F61-F25</f>
        <v>11.9476438786669</v>
      </c>
      <c r="G63" s="30" t="n">
        <f aca="false">G61-G25</f>
        <v>20.3276452850922</v>
      </c>
      <c r="H63" s="30" t="n">
        <f aca="false">H61-H25</f>
        <v>28.4229142374919</v>
      </c>
      <c r="I63" s="30" t="n">
        <f aca="false">I61-I25</f>
        <v>38.5523881221513</v>
      </c>
      <c r="J63" s="30" t="n">
        <f aca="false">J61-J25</f>
        <v>48.8306147690315</v>
      </c>
      <c r="K63" s="30" t="n">
        <f aca="false">K61-K25</f>
        <v>55.4769075841392</v>
      </c>
      <c r="L63" s="30" t="n">
        <f aca="false">L61-L25</f>
        <v>64.0308029546042</v>
      </c>
    </row>
    <row r="64" customFormat="false" ht="15" hidden="false" customHeight="false" outlineLevel="0" collapsed="false">
      <c r="A64" s="6" t="s">
        <v>580</v>
      </c>
      <c r="B64" s="6" t="s">
        <v>207</v>
      </c>
      <c r="C64" s="9" t="n">
        <f aca="false">-C63*Datos!$B$9</f>
        <v>-524.040776635945</v>
      </c>
      <c r="D64" s="9" t="n">
        <f aca="false">-D63*Datos!$B$9</f>
        <v>-876.153961883422</v>
      </c>
      <c r="E64" s="9" t="n">
        <f aca="false">-E63*Datos!$B$9</f>
        <v>-1558.93583139836</v>
      </c>
      <c r="F64" s="9" t="n">
        <f aca="false">-F63*Datos!$B$9</f>
        <v>-2986.91096966673</v>
      </c>
      <c r="G64" s="9" t="n">
        <f aca="false">-G63*Datos!$B$9</f>
        <v>-5081.91132127305</v>
      </c>
      <c r="H64" s="9" t="n">
        <f aca="false">-H63*Datos!$B$9</f>
        <v>-7105.72855937299</v>
      </c>
      <c r="I64" s="9" t="n">
        <f aca="false">-I63*Datos!$B$9</f>
        <v>-9638.09703053784</v>
      </c>
      <c r="J64" s="9" t="n">
        <f aca="false">-J63*Datos!$B$9</f>
        <v>-12207.6536922579</v>
      </c>
      <c r="K64" s="9" t="n">
        <f aca="false">-K63*Datos!$B$9</f>
        <v>-13869.2268960348</v>
      </c>
      <c r="L64" s="9" t="n">
        <f aca="false">-L63*Datos!$B$9</f>
        <v>-16007.7007386511</v>
      </c>
    </row>
    <row r="65" customFormat="false" ht="15" hidden="false" customHeight="false" outlineLevel="0" collapsed="false">
      <c r="A65" s="6" t="s">
        <v>608</v>
      </c>
      <c r="B65" s="6" t="s">
        <v>180</v>
      </c>
      <c r="C65" s="30" t="n">
        <f aca="false">C61*(Datos!$B$51/2/12+Datos!$B$50/52)</f>
        <v>1.12530217208805</v>
      </c>
      <c r="D65" s="30" t="n">
        <f aca="false">D61*(Datos!$B$51/2/12+Datos!$B$50/52)</f>
        <v>1.88102854249946</v>
      </c>
      <c r="E65" s="30" t="n">
        <f aca="false">E61*(Datos!$B$51/2/12+Datos!$B$50/52)</f>
        <v>3.39022378735494</v>
      </c>
      <c r="F65" s="30" t="n">
        <f aca="false">F61*(Datos!$B$51/2/12+Datos!$B$50/52)</f>
        <v>6.57506028313425</v>
      </c>
      <c r="G65" s="30" t="n">
        <f aca="false">G61*(Datos!$B$51/2/12+Datos!$B$50/52)</f>
        <v>11.2082455061489</v>
      </c>
      <c r="H65" s="30" t="n">
        <f aca="false">H61*(Datos!$B$51/2/12+Datos!$B$50/52)</f>
        <v>15.6844112582165</v>
      </c>
      <c r="I65" s="30" t="n">
        <f aca="false">I61*(Datos!$B$51/2/12+Datos!$B$50/52)</f>
        <v>21.2981412948314</v>
      </c>
      <c r="J65" s="30" t="n">
        <f aca="false">J61*(Datos!$B$51/2/12+Datos!$B$50/52)</f>
        <v>27.0064870853294</v>
      </c>
      <c r="K65" s="30" t="n">
        <f aca="false">K61*(Datos!$B$51/2/12+Datos!$B$50/52)</f>
        <v>30.6630754489222</v>
      </c>
      <c r="L65" s="30" t="n">
        <f aca="false">L61*(Datos!$B$51/2/12+Datos!$B$50/52)</f>
        <v>35.3945693582802</v>
      </c>
    </row>
    <row r="66" customFormat="false" ht="15" hidden="false" customHeight="false" outlineLevel="0" collapsed="false">
      <c r="A66" s="6" t="s">
        <v>584</v>
      </c>
      <c r="B66" s="6" t="s">
        <v>207</v>
      </c>
      <c r="C66" s="9" t="n">
        <f aca="false">IF(C61=0,0,C65*C62/C61*Datos!$B$7)</f>
        <v>172.2219001322</v>
      </c>
      <c r="D66" s="9" t="n">
        <f aca="false">IF(D61=0,0,D65*D62/D61*Datos!$B$7)</f>
        <v>288.122746289969</v>
      </c>
      <c r="E66" s="9" t="n">
        <f aca="false">IF(E61=0,0,E65*E62/E61*Datos!$B$7)</f>
        <v>522.617152151036</v>
      </c>
      <c r="F66" s="9" t="n">
        <f aca="false">IF(F61=0,0,F65*F62/F61*Datos!$B$7)</f>
        <v>1018.70871639142</v>
      </c>
      <c r="G66" s="9" t="n">
        <f aca="false">IF(G61=0,0,G65*G62/G61*Datos!$B$7)</f>
        <v>1738.35527137896</v>
      </c>
      <c r="H66" s="9" t="n">
        <f aca="false">IF(H61=0,0,H65*H62/H61*Datos!$B$7)</f>
        <v>2433.3130807223</v>
      </c>
      <c r="I66" s="9" t="n">
        <f aca="false">IF(I61=0,0,I65*I62/I61*Datos!$B$7)</f>
        <v>3306.04562971055</v>
      </c>
      <c r="J66" s="9" t="n">
        <f aca="false">IF(J61=0,0,J65*J62/J61*Datos!$B$7)</f>
        <v>4193.48024208002</v>
      </c>
      <c r="K66" s="9" t="n">
        <f aca="false">IF(K61=0,0,K65*K62/K61*Datos!$B$7)</f>
        <v>4759.59370598968</v>
      </c>
      <c r="L66" s="9" t="n">
        <f aca="false">IF(L61=0,0,L65*L62/L61*Datos!$B$7)</f>
        <v>5493.76556273777</v>
      </c>
    </row>
    <row r="67" customFormat="false" ht="15" hidden="false" customHeight="false" outlineLevel="0" collapsed="false">
      <c r="A67" s="6" t="s">
        <v>609</v>
      </c>
      <c r="B67" s="6" t="s">
        <v>588</v>
      </c>
      <c r="C67" s="9" t="n">
        <f aca="false">C56+C57+C60/Datos!$B$32/60+C60*Datos!$B$45/3600</f>
        <v>10.5992888541654</v>
      </c>
      <c r="D67" s="9" t="n">
        <f aca="false">D56+D57+D60/Datos!$B$32/60+D60*Datos!$B$45/3600</f>
        <v>17.3671131048274</v>
      </c>
      <c r="E67" s="9" t="n">
        <f aca="false">E56+E57+E60/Datos!$B$32/60+E60*Datos!$B$45/3600</f>
        <v>34.3873906904901</v>
      </c>
      <c r="F67" s="9" t="n">
        <f aca="false">F56+F57+F60/Datos!$B$32/60+F60*Datos!$B$45/3600</f>
        <v>72.2428736114618</v>
      </c>
      <c r="G67" s="9" t="n">
        <f aca="false">G56+G57+G60/Datos!$B$32/60+G60*Datos!$B$45/3600</f>
        <v>124.809485223007</v>
      </c>
      <c r="H67" s="9" t="n">
        <f aca="false">H56+H57+H60/Datos!$B$32/60+H60*Datos!$B$45/3600</f>
        <v>175.087913690748</v>
      </c>
      <c r="I67" s="9" t="n">
        <f aca="false">I56+I57+I60/Datos!$B$32/60+I60*Datos!$B$45/3600</f>
        <v>239.970560946281</v>
      </c>
      <c r="J67" s="9" t="n">
        <f aca="false">J56+J57+J60/Datos!$B$32/60+J60*Datos!$B$45/3600</f>
        <v>305.743129143862</v>
      </c>
      <c r="K67" s="9" t="n">
        <f aca="false">K56+K57+K60/Datos!$B$32/60+K60*Datos!$B$45/3600</f>
        <v>345.786147237338</v>
      </c>
      <c r="L67" s="9" t="n">
        <f aca="false">L56+L57+L60/Datos!$B$32/60+L60*Datos!$B$45/3600</f>
        <v>399.386281854806</v>
      </c>
    </row>
    <row r="68" customFormat="false" ht="15" hidden="false" customHeight="false" outlineLevel="0" collapsed="false">
      <c r="A68" s="6" t="s">
        <v>589</v>
      </c>
      <c r="B68" s="6" t="s">
        <v>207</v>
      </c>
      <c r="C68" s="9" t="n">
        <f aca="false">C67*Datos!$B$15</f>
        <v>66.5775668654587</v>
      </c>
      <c r="D68" s="9" t="n">
        <f aca="false">D67*Datos!$B$15</f>
        <v>109.088463377638</v>
      </c>
      <c r="E68" s="9" t="n">
        <f aca="false">E67*Datos!$B$15</f>
        <v>215.998340504234</v>
      </c>
      <c r="F68" s="9" t="n">
        <f aca="false">F67*Datos!$B$15</f>
        <v>453.78089177462</v>
      </c>
      <c r="G68" s="9" t="n">
        <f aca="false">G67*Datos!$B$15</f>
        <v>783.968807927397</v>
      </c>
      <c r="H68" s="9" t="n">
        <f aca="false">H67*Datos!$B$15</f>
        <v>1099.78390451152</v>
      </c>
      <c r="I68" s="9" t="n">
        <f aca="false">I67*Datos!$B$15</f>
        <v>1507.33283024587</v>
      </c>
      <c r="J68" s="9" t="n">
        <f aca="false">J67*Datos!$B$15</f>
        <v>1920.47163770147</v>
      </c>
      <c r="K68" s="9" t="n">
        <f aca="false">K67*Datos!$B$15</f>
        <v>2171.99480602852</v>
      </c>
      <c r="L68" s="9" t="n">
        <f aca="false">L67*Datos!$B$15</f>
        <v>2508.67461498472</v>
      </c>
    </row>
    <row r="69" customFormat="false" ht="15" hidden="false" customHeight="false" outlineLevel="0" collapsed="false">
      <c r="A69" s="6" t="s">
        <v>590</v>
      </c>
      <c r="B69" s="6" t="s">
        <v>207</v>
      </c>
      <c r="C69" s="9" t="n">
        <f aca="false">Datos!$D$117*Datos!$B$8</f>
        <v>2175.18777943368</v>
      </c>
      <c r="D69" s="9" t="n">
        <f aca="false">Datos!$D$117*Datos!$B$8</f>
        <v>2175.18777943368</v>
      </c>
      <c r="E69" s="9" t="n">
        <f aca="false">Datos!$D$117*Datos!$B$8</f>
        <v>2175.18777943368</v>
      </c>
      <c r="F69" s="9" t="n">
        <f aca="false">Datos!$D$117*Datos!$B$8</f>
        <v>2175.18777943368</v>
      </c>
      <c r="G69" s="9" t="n">
        <f aca="false">Datos!$D$117*Datos!$B$8</f>
        <v>2175.18777943368</v>
      </c>
      <c r="H69" s="9" t="n">
        <f aca="false">Datos!$D$117*Datos!$B$8</f>
        <v>2175.18777943368</v>
      </c>
      <c r="I69" s="9" t="n">
        <f aca="false">Datos!$D$117*Datos!$B$8</f>
        <v>2175.18777943368</v>
      </c>
      <c r="J69" s="9" t="n">
        <f aca="false">Datos!$D$117*Datos!$B$8</f>
        <v>2175.18777943368</v>
      </c>
      <c r="K69" s="9" t="n">
        <f aca="false">Datos!$D$117*Datos!$B$8</f>
        <v>2175.18777943368</v>
      </c>
      <c r="L69" s="9" t="n">
        <f aca="false">Datos!$D$117*Datos!$B$8</f>
        <v>2175.18777943368</v>
      </c>
    </row>
    <row r="70" customFormat="false" ht="15" hidden="false" customHeight="false" outlineLevel="0" collapsed="false">
      <c r="A70" s="4" t="s">
        <v>610</v>
      </c>
      <c r="B70" s="6" t="s">
        <v>207</v>
      </c>
      <c r="C70" s="11" t="n">
        <f aca="false">C62+C64+C66+C68+C69</f>
        <v>19801.0240835441</v>
      </c>
      <c r="D70" s="11" t="n">
        <f aca="false">D62+D64+D66+D68+D69</f>
        <v>31661.0106413746</v>
      </c>
      <c r="E70" s="11" t="n">
        <f aca="false">E62+E64+E66+E68+E69</f>
        <v>55707.0512643983</v>
      </c>
      <c r="F70" s="11" t="n">
        <f aca="false">F62+F64+F66+F68+F69</f>
        <v>106606.472922641</v>
      </c>
      <c r="G70" s="11" t="n">
        <f aca="false">G62+G64+G66+G68+G69</f>
        <v>180404.548760879</v>
      </c>
      <c r="H70" s="11" t="n">
        <f aca="false">H62+H64+H66+H68+H69</f>
        <v>251667.116600414</v>
      </c>
      <c r="I70" s="11" t="n">
        <f aca="false">I62+I64+I66+I68+I69</f>
        <v>341179.21469875</v>
      </c>
      <c r="J70" s="11" t="n">
        <f aca="false">J62+J64+J66+J68+J69</f>
        <v>432203.431143279</v>
      </c>
      <c r="K70" s="11" t="n">
        <f aca="false">K62+K64+K66+K68+K69</f>
        <v>490235.294818344</v>
      </c>
      <c r="L70" s="11" t="n">
        <f aca="false">L62+L64+L66+L68+L69</f>
        <v>565521.545743233</v>
      </c>
    </row>
    <row r="72" customFormat="false" ht="15" hidden="false" customHeight="false" outlineLevel="0" collapsed="false">
      <c r="A72" s="8" t="s">
        <v>611</v>
      </c>
    </row>
    <row r="73" customFormat="false" ht="15" hidden="false" customHeight="false" outlineLevel="0" collapsed="false">
      <c r="A73" s="6" t="s">
        <v>612</v>
      </c>
      <c r="B73" s="6" t="s">
        <v>613</v>
      </c>
      <c r="C73" s="9" t="n">
        <f aca="false">MAX(IF(Corte!$H$73=0,IF(C8&gt;0,1000000000000,0),C8*Corte!$D$73/1000/Corte!$H$73),IF(Corte!$H$74=0,IF(C8&gt;0,1000000000000,0),C8*Corte!$D$74/1000/Corte!$H$74))</f>
        <v>249.289433251931</v>
      </c>
      <c r="D73" s="9" t="n">
        <f aca="false">MAX(IF(Corte!$H$73=0,IF(D8&gt;0,1000000000000,0),D8*Corte!$D$73/1000/Corte!$H$73),IF(Corte!$H$74=0,IF(D8&gt;0,1000000000000,0),D8*Corte!$D$74/1000/Corte!$H$74))</f>
        <v>357.779078456223</v>
      </c>
      <c r="E73" s="9" t="n">
        <f aca="false">MAX(IF(Corte!$H$73=0,IF(E8&gt;0,1000000000000,0),E8*Corte!$D$73/1000/Corte!$H$73),IF(Corte!$H$74=0,IF(E8&gt;0,1000000000000,0),E8*Corte!$D$74/1000/Corte!$H$74))</f>
        <v>865.865467108154</v>
      </c>
      <c r="F73" s="9" t="n">
        <f aca="false">MAX(IF(Corte!$H$73=0,IF(F8&gt;0,1000000000000,0),F8*Corte!$D$73/1000/Corte!$H$73),IF(Corte!$H$74=0,IF(F8&gt;0,1000000000000,0),F8*Corte!$D$74/1000/Corte!$H$74))</f>
        <v>2097.64336536953</v>
      </c>
      <c r="G73" s="9" t="n">
        <f aca="false">MAX(IF(Corte!$H$73=0,IF(G8&gt;0,1000000000000,0),G8*Corte!$D$73/1000/Corte!$H$73),IF(Corte!$H$74=0,IF(G8&gt;0,1000000000000,0),G8*Corte!$D$74/1000/Corte!$H$74))</f>
        <v>3705.59877540343</v>
      </c>
      <c r="H73" s="9" t="n">
        <f aca="false">MAX(IF(Corte!$H$73=0,IF(H8&gt;0,1000000000000,0),H8*Corte!$D$73/1000/Corte!$H$73),IF(Corte!$H$74=0,IF(H8&gt;0,1000000000000,0),H8*Corte!$D$74/1000/Corte!$H$74))</f>
        <v>5208.05277971245</v>
      </c>
      <c r="I73" s="9" t="n">
        <f aca="false">MAX(IF(Corte!$H$73=0,IF(I8&gt;0,1000000000000,0),I8*Corte!$D$73/1000/Corte!$H$73),IF(Corte!$H$74=0,IF(I8&gt;0,1000000000000,0),I8*Corte!$D$74/1000/Corte!$H$74))</f>
        <v>7258.61300563948</v>
      </c>
      <c r="J73" s="9" t="n">
        <f aca="false">MAX(IF(Corte!$H$73=0,IF(J8&gt;0,1000000000000,0),J8*Corte!$D$73/1000/Corte!$H$73),IF(Corte!$H$74=0,IF(J8&gt;0,1000000000000,0),J8*Corte!$D$74/1000/Corte!$H$74))</f>
        <v>9314.37678485837</v>
      </c>
      <c r="K73" s="9" t="n">
        <f aca="false">MAX(IF(Corte!$H$73=0,IF(K8&gt;0,1000000000000,0),K8*Corte!$D$73/1000/Corte!$H$73),IF(Corte!$H$74=0,IF(K8&gt;0,1000000000000,0),K8*Corte!$D$74/1000/Corte!$H$74))</f>
        <v>10463.3673491245</v>
      </c>
      <c r="L73" s="9" t="n">
        <f aca="false">MAX(IF(Corte!$H$73=0,IF(L8&gt;0,1000000000000,0),L8*Corte!$D$73/1000/Corte!$H$73),IF(Corte!$H$74=0,IF(L8&gt;0,1000000000000,0),L8*Corte!$D$74/1000/Corte!$H$74))</f>
        <v>12087.6690296438</v>
      </c>
    </row>
    <row r="74" customFormat="false" ht="15" hidden="false" customHeight="false" outlineLevel="0" collapsed="false">
      <c r="A74" s="6" t="s">
        <v>614</v>
      </c>
      <c r="B74" s="6" t="s">
        <v>613</v>
      </c>
      <c r="C74" s="9" t="n">
        <f aca="false">MAX(IF(Corte!$H$81=0,IF(C9&gt;0,1000000000000,0),C9*Corte!$D$81/1000/Corte!$H$81),IF(Corte!$H$82=0,IF(C9&gt;0,1000000000000,0),C9*Corte!$D$82/1000/Corte!$H$82),IF(Corte!$H$83=0,IF(C9&gt;0,1000000000000,0),C9*Corte!$D$83/1000/Corte!$H$83),IF(Corte!$H$84=0,IF(C8&gt;0,1000000000000,0),C8*Corte!$D$84/1000/Corte!$H$84))</f>
        <v>88.5690732927307</v>
      </c>
      <c r="D74" s="9" t="n">
        <f aca="false">MAX(IF(Corte!$H$81=0,IF(D9&gt;0,1000000000000,0),D9*Corte!$D$81/1000/Corte!$H$81),IF(Corte!$H$82=0,IF(D9&gt;0,1000000000000,0),D9*Corte!$D$82/1000/Corte!$H$82),IF(Corte!$H$83=0,IF(D9&gt;0,1000000000000,0),D9*Corte!$D$83/1000/Corte!$H$83),IF(Corte!$H$84=0,IF(D8&gt;0,1000000000000,0),D8*Corte!$D$84/1000/Corte!$H$84))</f>
        <v>213.762693273555</v>
      </c>
      <c r="E74" s="9" t="n">
        <f aca="false">MAX(IF(Corte!$H$81=0,IF(E9&gt;0,1000000000000,0),E9*Corte!$D$81/1000/Corte!$H$81),IF(Corte!$H$82=0,IF(E9&gt;0,1000000000000,0),E9*Corte!$D$82/1000/Corte!$H$82),IF(Corte!$H$83=0,IF(E9&gt;0,1000000000000,0),E9*Corte!$D$83/1000/Corte!$H$83),IF(Corte!$H$84=0,IF(E8&gt;0,1000000000000,0),E8*Corte!$D$84/1000/Corte!$H$84))</f>
        <v>386.708962949487</v>
      </c>
      <c r="F74" s="9" t="n">
        <f aca="false">MAX(IF(Corte!$H$81=0,IF(F9&gt;0,1000000000000,0),F9*Corte!$D$81/1000/Corte!$H$81),IF(Corte!$H$82=0,IF(F9&gt;0,1000000000000,0),F9*Corte!$D$82/1000/Corte!$H$82),IF(Corte!$H$83=0,IF(F9&gt;0,1000000000000,0),F9*Corte!$D$83/1000/Corte!$H$83),IF(Corte!$H$84=0,IF(F8&gt;0,1000000000000,0),F8*Corte!$D$84/1000/Corte!$H$84))</f>
        <v>762.124167394688</v>
      </c>
      <c r="G74" s="9" t="n">
        <f aca="false">MAX(IF(Corte!$H$81=0,IF(G9&gt;0,1000000000000,0),G9*Corte!$D$81/1000/Corte!$H$81),IF(Corte!$H$82=0,IF(G9&gt;0,1000000000000,0),G9*Corte!$D$82/1000/Corte!$H$82),IF(Corte!$H$83=0,IF(G9&gt;0,1000000000000,0),G9*Corte!$D$83/1000/Corte!$H$83),IF(Corte!$H$84=0,IF(G8&gt;0,1000000000000,0),G8*Corte!$D$84/1000/Corte!$H$84))</f>
        <v>1266.61457939321</v>
      </c>
      <c r="H74" s="9" t="n">
        <f aca="false">MAX(IF(Corte!$H$81=0,IF(H9&gt;0,1000000000000,0),H9*Corte!$D$81/1000/Corte!$H$81),IF(Corte!$H$82=0,IF(H9&gt;0,1000000000000,0),H9*Corte!$D$82/1000/Corte!$H$82),IF(Corte!$H$83=0,IF(H9&gt;0,1000000000000,0),H9*Corte!$D$83/1000/Corte!$H$83),IF(Corte!$H$84=0,IF(H8&gt;0,1000000000000,0),H8*Corte!$D$84/1000/Corte!$H$84))</f>
        <v>1800.57759245783</v>
      </c>
      <c r="I74" s="9" t="n">
        <f aca="false">MAX(IF(Corte!$H$81=0,IF(I9&gt;0,1000000000000,0),I9*Corte!$D$81/1000/Corte!$H$81),IF(Corte!$H$82=0,IF(I9&gt;0,1000000000000,0),I9*Corte!$D$82/1000/Corte!$H$82),IF(Corte!$H$83=0,IF(I9&gt;0,1000000000000,0),I9*Corte!$D$83/1000/Corte!$H$83),IF(Corte!$H$84=0,IF(I8&gt;0,1000000000000,0),I8*Corte!$D$84/1000/Corte!$H$84))</f>
        <v>2481.07407637924</v>
      </c>
      <c r="J74" s="9" t="n">
        <f aca="false">MAX(IF(Corte!$H$81=0,IF(J9&gt;0,1000000000000,0),J9*Corte!$D$81/1000/Corte!$H$81),IF(Corte!$H$82=0,IF(J9&gt;0,1000000000000,0),J9*Corte!$D$82/1000/Corte!$H$82),IF(Corte!$H$83=0,IF(J9&gt;0,1000000000000,0),J9*Corte!$D$83/1000/Corte!$H$83),IF(Corte!$H$84=0,IF(J8&gt;0,1000000000000,0),J8*Corte!$D$84/1000/Corte!$H$84))</f>
        <v>3183.75683626968</v>
      </c>
      <c r="K74" s="9" t="n">
        <f aca="false">MAX(IF(Corte!$H$81=0,IF(K9&gt;0,1000000000000,0),K9*Corte!$D$81/1000/Corte!$H$81),IF(Corte!$H$82=0,IF(K9&gt;0,1000000000000,0),K9*Corte!$D$82/1000/Corte!$H$82),IF(Corte!$H$83=0,IF(K9&gt;0,1000000000000,0),K9*Corte!$D$83/1000/Corte!$H$83),IF(Corte!$H$84=0,IF(K8&gt;0,1000000000000,0),K8*Corte!$D$84/1000/Corte!$H$84))</f>
        <v>3576.49449851867</v>
      </c>
      <c r="L74" s="9" t="n">
        <f aca="false">MAX(IF(Corte!$H$81=0,IF(L9&gt;0,1000000000000,0),L9*Corte!$D$81/1000/Corte!$H$81),IF(Corte!$H$82=0,IF(L9&gt;0,1000000000000,0),L9*Corte!$D$82/1000/Corte!$H$82),IF(Corte!$H$83=0,IF(L9&gt;0,1000000000000,0),L9*Corte!$D$83/1000/Corte!$H$83),IF(Corte!$H$84=0,IF(L8&gt;0,1000000000000,0),L8*Corte!$D$84/1000/Corte!$H$84))</f>
        <v>4170.10037477819</v>
      </c>
    </row>
    <row r="75" customFormat="false" ht="15" hidden="false" customHeight="false" outlineLevel="0" collapsed="false">
      <c r="A75" s="6" t="s">
        <v>615</v>
      </c>
      <c r="B75" s="6" t="s">
        <v>613</v>
      </c>
      <c r="C75" s="9" t="n">
        <f aca="false">MAX(IF(Corte!$H$91=0,IF(C10&gt;0,1000000000000,0),C10*Corte!$D$91/1000/Corte!$H$91),IF(Corte!$H$92=0,IF(C10&gt;0,1000000000000,0),C10*Corte!$D$92/1000/Corte!$H$92),IF(Corte!$H$93=0,IF(C10&gt;0,1000000000000,0),C10*Corte!$D$93/1000/Corte!$H$93),IF(Corte!$H$94=0,IF(C11&gt;0,1000000000000,0),C11*Corte!$D$94/1000/Corte!$H$94))</f>
        <v>539.068452023401</v>
      </c>
      <c r="D75" s="9" t="n">
        <f aca="false">MAX(IF(Corte!$H$91=0,IF(D10&gt;0,1000000000000,0),D10*Corte!$D$91/1000/Corte!$H$91),IF(Corte!$H$92=0,IF(D10&gt;0,1000000000000,0),D10*Corte!$D$92/1000/Corte!$H$92),IF(Corte!$H$93=0,IF(D10&gt;0,1000000000000,0),D10*Corte!$D$93/1000/Corte!$H$93),IF(Corte!$H$94=0,IF(D11&gt;0,1000000000000,0),D11*Corte!$D$94/1000/Corte!$H$94))</f>
        <v>928.003178772544</v>
      </c>
      <c r="E75" s="9" t="n">
        <f aca="false">MAX(IF(Corte!$H$91=0,IF(E10&gt;0,1000000000000,0),E10*Corte!$D$91/1000/Corte!$H$91),IF(Corte!$H$92=0,IF(E10&gt;0,1000000000000,0),E10*Corte!$D$92/1000/Corte!$H$92),IF(Corte!$H$93=0,IF(E10&gt;0,1000000000000,0),E10*Corte!$D$93/1000/Corte!$H$93),IF(Corte!$H$94=0,IF(E11&gt;0,1000000000000,0),E11*Corte!$D$94/1000/Corte!$H$94))</f>
        <v>1585.64675536369</v>
      </c>
      <c r="F75" s="9" t="n">
        <f aca="false">MAX(IF(Corte!$H$91=0,IF(F10&gt;0,1000000000000,0),F10*Corte!$D$91/1000/Corte!$H$91),IF(Corte!$H$92=0,IF(F10&gt;0,1000000000000,0),F10*Corte!$D$92/1000/Corte!$H$92),IF(Corte!$H$93=0,IF(F10&gt;0,1000000000000,0),F10*Corte!$D$93/1000/Corte!$H$93),IF(Corte!$H$94=0,IF(F11&gt;0,1000000000000,0),F11*Corte!$D$94/1000/Corte!$H$94))</f>
        <v>2883.19161888582</v>
      </c>
      <c r="G75" s="9" t="n">
        <f aca="false">MAX(IF(Corte!$H$91=0,IF(G10&gt;0,1000000000000,0),G10*Corte!$D$91/1000/Corte!$H$91),IF(Corte!$H$92=0,IF(G10&gt;0,1000000000000,0),G10*Corte!$D$92/1000/Corte!$H$92),IF(Corte!$H$93=0,IF(G10&gt;0,1000000000000,0),G10*Corte!$D$93/1000/Corte!$H$93),IF(Corte!$H$94=0,IF(G11&gt;0,1000000000000,0),G11*Corte!$D$94/1000/Corte!$H$94))</f>
        <v>4865.04207779103</v>
      </c>
      <c r="H75" s="9" t="n">
        <f aca="false">MAX(IF(Corte!$H$91=0,IF(H10&gt;0,1000000000000,0),H10*Corte!$D$91/1000/Corte!$H$91),IF(Corte!$H$92=0,IF(H10&gt;0,1000000000000,0),H10*Corte!$D$92/1000/Corte!$H$92),IF(Corte!$H$93=0,IF(H10&gt;0,1000000000000,0),H10*Corte!$D$93/1000/Corte!$H$93),IF(Corte!$H$94=0,IF(H11&gt;0,1000000000000,0),H11*Corte!$D$94/1000/Corte!$H$94))</f>
        <v>6780.74862339395</v>
      </c>
      <c r="I75" s="9" t="n">
        <f aca="false">MAX(IF(Corte!$H$91=0,IF(I10&gt;0,1000000000000,0),I10*Corte!$D$91/1000/Corte!$H$91),IF(Corte!$H$92=0,IF(I10&gt;0,1000000000000,0),I10*Corte!$D$92/1000/Corte!$H$92),IF(Corte!$H$93=0,IF(I10&gt;0,1000000000000,0),I10*Corte!$D$93/1000/Corte!$H$93),IF(Corte!$H$94=0,IF(I11&gt;0,1000000000000,0),I11*Corte!$D$94/1000/Corte!$H$94))</f>
        <v>9134.50450833209</v>
      </c>
      <c r="J75" s="9" t="n">
        <f aca="false">MAX(IF(Corte!$H$91=0,IF(J10&gt;0,1000000000000,0),J10*Corte!$D$91/1000/Corte!$H$91),IF(Corte!$H$92=0,IF(J10&gt;0,1000000000000,0),J10*Corte!$D$92/1000/Corte!$H$92),IF(Corte!$H$93=0,IF(J10&gt;0,1000000000000,0),J10*Corte!$D$93/1000/Corte!$H$93),IF(Corte!$H$94=0,IF(J11&gt;0,1000000000000,0),J11*Corte!$D$94/1000/Corte!$H$94))</f>
        <v>11538.9668797809</v>
      </c>
      <c r="K75" s="9" t="n">
        <f aca="false">MAX(IF(Corte!$H$91=0,IF(K10&gt;0,1000000000000,0),K10*Corte!$D$91/1000/Corte!$H$91),IF(Corte!$H$92=0,IF(K10&gt;0,1000000000000,0),K10*Corte!$D$92/1000/Corte!$H$92),IF(Corte!$H$93=0,IF(K10&gt;0,1000000000000,0),K10*Corte!$D$93/1000/Corte!$H$93),IF(Corte!$H$94=0,IF(K11&gt;0,1000000000000,0),K11*Corte!$D$94/1000/Corte!$H$94))</f>
        <v>13107.4620378223</v>
      </c>
      <c r="L75" s="9" t="n">
        <f aca="false">MAX(IF(Corte!$H$91=0,IF(L10&gt;0,1000000000000,0),L10*Corte!$D$91/1000/Corte!$H$91),IF(Corte!$H$92=0,IF(L10&gt;0,1000000000000,0),L10*Corte!$D$92/1000/Corte!$H$92),IF(Corte!$H$93=0,IF(L10&gt;0,1000000000000,0),L10*Corte!$D$93/1000/Corte!$H$93),IF(Corte!$H$94=0,IF(L11&gt;0,1000000000000,0),L11*Corte!$D$94/1000/Corte!$H$94))</f>
        <v>15085.1787257714</v>
      </c>
    </row>
    <row r="76" customFormat="false" ht="15" hidden="false" customHeight="false" outlineLevel="0" collapsed="false">
      <c r="A76" s="6" t="s">
        <v>616</v>
      </c>
      <c r="B76" s="6" t="s">
        <v>613</v>
      </c>
      <c r="C76" s="9" t="n">
        <f aca="false">MAX(IF(Corte!$H$101=0,IF(C11&gt;0,1000000000000,0),C11*Corte!$D$101/1000/Corte!$H$101),IF(Corte!$H$102=0,IF(C11&gt;0,1000000000000,0),C11*Corte!$D$102/1000/Corte!$H$102))</f>
        <v>31.4634930384628</v>
      </c>
      <c r="D76" s="9" t="n">
        <f aca="false">MAX(IF(Corte!$H$101=0,IF(D11&gt;0,1000000000000,0),D11*Corte!$D$101/1000/Corte!$H$101),IF(Corte!$H$102=0,IF(D11&gt;0,1000000000000,0),D11*Corte!$D$102/1000/Corte!$H$102))</f>
        <v>60.5451351172057</v>
      </c>
      <c r="E76" s="9" t="n">
        <f aca="false">MAX(IF(Corte!$H$101=0,IF(E11&gt;0,1000000000000,0),E11*Corte!$D$101/1000/Corte!$H$101),IF(Corte!$H$102=0,IF(E11&gt;0,1000000000000,0),E11*Corte!$D$102/1000/Corte!$H$102))</f>
        <v>116.79182590897</v>
      </c>
      <c r="F76" s="9" t="n">
        <f aca="false">MAX(IF(Corte!$H$101=0,IF(F11&gt;0,1000000000000,0),F11*Corte!$D$101/1000/Corte!$H$101),IF(Corte!$H$102=0,IF(F11&gt;0,1000000000000,0),F11*Corte!$D$102/1000/Corte!$H$102))</f>
        <v>228.0306741012</v>
      </c>
      <c r="G76" s="9" t="n">
        <f aca="false">MAX(IF(Corte!$H$101=0,IF(G11&gt;0,1000000000000,0),G11*Corte!$D$101/1000/Corte!$H$101),IF(Corte!$H$102=0,IF(G11&gt;0,1000000000000,0),G11*Corte!$D$102/1000/Corte!$H$102))</f>
        <v>398.27807974008</v>
      </c>
      <c r="H76" s="9" t="n">
        <f aca="false">MAX(IF(Corte!$H$101=0,IF(H11&gt;0,1000000000000,0),H11*Corte!$D$101/1000/Corte!$H$101),IF(Corte!$H$102=0,IF(H11&gt;0,1000000000000,0),H11*Corte!$D$102/1000/Corte!$H$102))</f>
        <v>575.860822554185</v>
      </c>
      <c r="I76" s="9" t="n">
        <f aca="false">MAX(IF(Corte!$H$101=0,IF(I11&gt;0,1000000000000,0),I11*Corte!$D$101/1000/Corte!$H$101),IF(Corte!$H$102=0,IF(I11&gt;0,1000000000000,0),I11*Corte!$D$102/1000/Corte!$H$102))</f>
        <v>775.018586953985</v>
      </c>
      <c r="J76" s="9" t="n">
        <f aca="false">MAX(IF(Corte!$H$101=0,IF(J11&gt;0,1000000000000,0),J11*Corte!$D$101/1000/Corte!$H$101),IF(Corte!$H$102=0,IF(J11&gt;0,1000000000000,0),J11*Corte!$D$102/1000/Corte!$H$102))</f>
        <v>979.262083341114</v>
      </c>
      <c r="K76" s="9" t="n">
        <f aca="false">MAX(IF(Corte!$H$101=0,IF(K11&gt;0,1000000000000,0),K11*Corte!$D$101/1000/Corte!$H$101),IF(Corte!$H$102=0,IF(K11&gt;0,1000000000000,0),K11*Corte!$D$102/1000/Corte!$H$102))</f>
        <v>1113.2288441914</v>
      </c>
      <c r="L76" s="9" t="n">
        <f aca="false">MAX(IF(Corte!$H$101=0,IF(L11&gt;0,1000000000000,0),L11*Corte!$D$101/1000/Corte!$H$101),IF(Corte!$H$102=0,IF(L11&gt;0,1000000000000,0),L11*Corte!$D$102/1000/Corte!$H$102))</f>
        <v>1281.63169009837</v>
      </c>
    </row>
    <row r="77" customFormat="false" ht="15" hidden="false" customHeight="false" outlineLevel="0" collapsed="false">
      <c r="A77" s="6" t="s">
        <v>617</v>
      </c>
      <c r="B77" s="6" t="s">
        <v>613</v>
      </c>
      <c r="C77" s="9" t="n">
        <f aca="false">MAX(IF(Corte!$H$109=0,IF(C12&gt;0,1000000000000,0),C12*Corte!$D$109/1000/Corte!$H$109),IF(Corte!$H$110=0,IF(C13&gt;0,1000000000000,0),C13*Corte!$D$110/1000/Corte!$H$110))</f>
        <v>49.7916069539254</v>
      </c>
      <c r="D77" s="9" t="n">
        <f aca="false">MAX(IF(Corte!$H$109=0,IF(D12&gt;0,1000000000000,0),D12*Corte!$D$109/1000/Corte!$H$109),IF(Corte!$H$110=0,IF(D13&gt;0,1000000000000,0),D13*Corte!$D$110/1000/Corte!$H$110))</f>
        <v>81.4787645939708</v>
      </c>
      <c r="E77" s="9" t="n">
        <f aca="false">MAX(IF(Corte!$H$109=0,IF(E12&gt;0,1000000000000,0),E12*Corte!$D$109/1000/Corte!$H$109),IF(Corte!$H$110=0,IF(E13&gt;0,1000000000000,0),E13*Corte!$D$110/1000/Corte!$H$110))</f>
        <v>125.88076655777</v>
      </c>
      <c r="F77" s="9" t="n">
        <f aca="false">MAX(IF(Corte!$H$109=0,IF(F12&gt;0,1000000000000,0),F12*Corte!$D$109/1000/Corte!$H$109),IF(Corte!$H$110=0,IF(F13&gt;0,1000000000000,0),F13*Corte!$D$110/1000/Corte!$H$110))</f>
        <v>211.861232943838</v>
      </c>
      <c r="G77" s="9" t="n">
        <f aca="false">MAX(IF(Corte!$H$109=0,IF(G12&gt;0,1000000000000,0),G12*Corte!$D$109/1000/Corte!$H$109),IF(Corte!$H$110=0,IF(G13&gt;0,1000000000000,0),G13*Corte!$D$110/1000/Corte!$H$110))</f>
        <v>348.421732633124</v>
      </c>
      <c r="H77" s="9" t="n">
        <f aca="false">MAX(IF(Corte!$H$109=0,IF(H12&gt;0,1000000000000,0),H12*Corte!$D$109/1000/Corte!$H$109),IF(Corte!$H$110=0,IF(H13&gt;0,1000000000000,0),H13*Corte!$D$110/1000/Corte!$H$110))</f>
        <v>482.892753923436</v>
      </c>
      <c r="I77" s="9" t="n">
        <f aca="false">MAX(IF(Corte!$H$109=0,IF(I12&gt;0,1000000000000,0),I12*Corte!$D$109/1000/Corte!$H$109),IF(Corte!$H$110=0,IF(I13&gt;0,1000000000000,0),I13*Corte!$D$110/1000/Corte!$H$110))</f>
        <v>643.703580595327</v>
      </c>
      <c r="J77" s="9" t="n">
        <f aca="false">MAX(IF(Corte!$H$109=0,IF(J12&gt;0,1000000000000,0),J12*Corte!$D$109/1000/Corte!$H$109),IF(Corte!$H$110=0,IF(J13&gt;0,1000000000000,0),J13*Corte!$D$110/1000/Corte!$H$110))</f>
        <v>811.233976891902</v>
      </c>
      <c r="K77" s="9" t="n">
        <f aca="false">MAX(IF(Corte!$H$109=0,IF(K12&gt;0,1000000000000,0),K12*Corte!$D$109/1000/Corte!$H$109),IF(Corte!$H$110=0,IF(K13&gt;0,1000000000000,0),K13*Corte!$D$110/1000/Corte!$H$110))</f>
        <v>928.987035119608</v>
      </c>
      <c r="L77" s="9" t="n">
        <f aca="false">MAX(IF(Corte!$H$109=0,IF(L12&gt;0,1000000000000,0),L12*Corte!$D$109/1000/Corte!$H$109),IF(Corte!$H$110=0,IF(L13&gt;0,1000000000000,0),L13*Corte!$D$110/1000/Corte!$H$110))</f>
        <v>1073.55388151898</v>
      </c>
    </row>
    <row r="78" customFormat="false" ht="15" hidden="false" customHeight="false" outlineLevel="0" collapsed="false">
      <c r="A78" s="6" t="s">
        <v>618</v>
      </c>
      <c r="B78" s="6" t="s">
        <v>613</v>
      </c>
      <c r="C78" s="9" t="n">
        <f aca="false">(C14*Piezas!$F$12+C15*Piezas!$F$13)/1000/Corte!$H$117</f>
        <v>24.081420614</v>
      </c>
      <c r="D78" s="9" t="n">
        <f aca="false">(D14*Piezas!$F$12+D15*Piezas!$F$13)/1000/Corte!$H$117</f>
        <v>36.1719434014</v>
      </c>
      <c r="E78" s="9" t="n">
        <f aca="false">(E14*Piezas!$F$12+E15*Piezas!$F$13)/1000/Corte!$H$117</f>
        <v>55.3609269602</v>
      </c>
      <c r="F78" s="9" t="n">
        <f aca="false">(F14*Piezas!$F$12+F15*Piezas!$F$13)/1000/Corte!$H$117</f>
        <v>93.6903416448</v>
      </c>
      <c r="G78" s="9" t="n">
        <f aca="false">(G14*Piezas!$F$12+G15*Piezas!$F$13)/1000/Corte!$H$117</f>
        <v>155.7134165436</v>
      </c>
      <c r="H78" s="9" t="n">
        <f aca="false">(H14*Piezas!$F$12+H15*Piezas!$F$13)/1000/Corte!$H$117</f>
        <v>213.692546179</v>
      </c>
      <c r="I78" s="9" t="n">
        <f aca="false">(I14*Piezas!$F$12+I15*Piezas!$F$13)/1000/Corte!$H$117</f>
        <v>287.551362441</v>
      </c>
      <c r="J78" s="9" t="n">
        <f aca="false">(J14*Piezas!$F$12+J15*Piezas!$F$13)/1000/Corte!$H$117</f>
        <v>359.380623232</v>
      </c>
      <c r="K78" s="9" t="n">
        <f aca="false">(K14*Piezas!$F$12+K15*Piezas!$F$13)/1000/Corte!$H$117</f>
        <v>412.76308416</v>
      </c>
      <c r="L78" s="9" t="n">
        <f aca="false">(L14*Piezas!$F$12+L15*Piezas!$F$13)/1000/Corte!$H$117</f>
        <v>477.11021562</v>
      </c>
    </row>
    <row r="79" customFormat="false" ht="15" hidden="false" customHeight="false" outlineLevel="0" collapsed="false">
      <c r="A79" s="6" t="s">
        <v>619</v>
      </c>
      <c r="B79" s="6" t="s">
        <v>180</v>
      </c>
      <c r="C79" s="30" t="n">
        <f aca="false">C73*Corte!$D$63/1000/(1-Datos!$B$20)</f>
        <v>2.16499980701767</v>
      </c>
      <c r="D79" s="30" t="n">
        <f aca="false">D73*Corte!$D$63/1000/(1-Datos!$B$20)</f>
        <v>3.10719802964887</v>
      </c>
      <c r="E79" s="30" t="n">
        <f aca="false">E73*Corte!$D$63/1000/(1-Datos!$B$20)</f>
        <v>7.51976746362112</v>
      </c>
      <c r="F79" s="30" t="n">
        <f aca="false">F73*Corte!$D$63/1000/(1-Datos!$B$20)</f>
        <v>18.217368550184</v>
      </c>
      <c r="G79" s="30" t="n">
        <f aca="false">G73*Corte!$D$63/1000/(1-Datos!$B$20)</f>
        <v>32.1819522351183</v>
      </c>
      <c r="H79" s="30" t="n">
        <f aca="false">H73*Corte!$D$63/1000/(1-Datos!$B$20)</f>
        <v>45.2302896112743</v>
      </c>
      <c r="I79" s="30" t="n">
        <f aca="false">I73*Corte!$D$63/1000/(1-Datos!$B$20)</f>
        <v>63.0387560011178</v>
      </c>
      <c r="J79" s="30" t="n">
        <f aca="false">J73*Corte!$D$63/1000/(1-Datos!$B$20)</f>
        <v>80.892413603945</v>
      </c>
      <c r="K79" s="30" t="n">
        <f aca="false">K73*Corte!$D$63/1000/(1-Datos!$B$20)</f>
        <v>90.8710329038143</v>
      </c>
      <c r="L79" s="30" t="n">
        <f aca="false">L73*Corte!$D$63/1000/(1-Datos!$B$20)</f>
        <v>104.977578772964</v>
      </c>
    </row>
    <row r="80" customFormat="false" ht="15" hidden="false" customHeight="false" outlineLevel="0" collapsed="false">
      <c r="A80" s="6" t="s">
        <v>620</v>
      </c>
      <c r="B80" s="6" t="s">
        <v>180</v>
      </c>
      <c r="C80" s="30" t="n">
        <f aca="false">C74*Corte!$D$64/1000/(1-Datos!$B$20)</f>
        <v>0.875676641725868</v>
      </c>
      <c r="D80" s="30" t="n">
        <f aca="false">D74*Corte!$D$64/1000/(1-Datos!$B$20)</f>
        <v>2.11345778399859</v>
      </c>
      <c r="E80" s="30" t="n">
        <f aca="false">E74*Corte!$D$64/1000/(1-Datos!$B$20)</f>
        <v>3.82336625428702</v>
      </c>
      <c r="F80" s="30" t="n">
        <f aca="false">F74*Corte!$D$64/1000/(1-Datos!$B$20)</f>
        <v>7.53507185602537</v>
      </c>
      <c r="G80" s="30" t="n">
        <f aca="false">G74*Corte!$D$64/1000/(1-Datos!$B$20)</f>
        <v>12.5229356027947</v>
      </c>
      <c r="H80" s="30" t="n">
        <f aca="false">H74*Corte!$D$64/1000/(1-Datos!$B$20)</f>
        <v>17.8021930309587</v>
      </c>
      <c r="I80" s="30" t="n">
        <f aca="false">I74*Corte!$D$64/1000/(1-Datos!$B$20)</f>
        <v>24.5302173129455</v>
      </c>
      <c r="J80" s="30" t="n">
        <f aca="false">J74*Corte!$D$64/1000/(1-Datos!$B$20)</f>
        <v>31.4775958560834</v>
      </c>
      <c r="K80" s="30" t="n">
        <f aca="false">K74*Corte!$D$64/1000/(1-Datos!$B$20)</f>
        <v>35.36056746651</v>
      </c>
      <c r="L80" s="30" t="n">
        <f aca="false">L74*Corte!$D$64/1000/(1-Datos!$B$20)</f>
        <v>41.2295099868145</v>
      </c>
    </row>
    <row r="81" customFormat="false" ht="15" hidden="false" customHeight="false" outlineLevel="0" collapsed="false">
      <c r="A81" s="6" t="s">
        <v>621</v>
      </c>
      <c r="B81" s="6" t="s">
        <v>180</v>
      </c>
      <c r="C81" s="30" t="n">
        <f aca="false">C75*Corte!$D$65/1000/(1-Datos!$B$20)</f>
        <v>6.82206024912429</v>
      </c>
      <c r="D81" s="30" t="n">
        <f aca="false">D75*Corte!$D$65/1000/(1-Datos!$B$20)</f>
        <v>11.7441367106572</v>
      </c>
      <c r="E81" s="30" t="n">
        <f aca="false">E75*Corte!$D$65/1000/(1-Datos!$B$20)</f>
        <v>20.0667979332056</v>
      </c>
      <c r="F81" s="30" t="n">
        <f aca="false">F75*Corte!$D$65/1000/(1-Datos!$B$20)</f>
        <v>36.4875867990053</v>
      </c>
      <c r="G81" s="30" t="n">
        <f aca="false">G75*Corte!$D$65/1000/(1-Datos!$B$20)</f>
        <v>61.5684521040649</v>
      </c>
      <c r="H81" s="30" t="n">
        <f aca="false">H75*Corte!$D$65/1000/(1-Datos!$B$20)</f>
        <v>85.8122479053031</v>
      </c>
      <c r="I81" s="30" t="n">
        <f aca="false">I75*Corte!$D$65/1000/(1-Datos!$B$20)</f>
        <v>115.599679164741</v>
      </c>
      <c r="J81" s="30" t="n">
        <f aca="false">J75*Corte!$D$65/1000/(1-Datos!$B$20)</f>
        <v>146.028815025328</v>
      </c>
      <c r="K81" s="30" t="n">
        <f aca="false">K75*Corte!$D$65/1000/(1-Datos!$B$20)</f>
        <v>165.878554754029</v>
      </c>
      <c r="L81" s="30" t="n">
        <f aca="false">L75*Corte!$D$65/1000/(1-Datos!$B$20)</f>
        <v>190.907106045139</v>
      </c>
    </row>
    <row r="82" customFormat="false" ht="15" hidden="false" customHeight="false" outlineLevel="0" collapsed="false">
      <c r="A82" s="6" t="s">
        <v>622</v>
      </c>
      <c r="B82" s="6" t="s">
        <v>180</v>
      </c>
      <c r="C82" s="30" t="n">
        <f aca="false">C76*Corte!$D$66/1000/(1-Datos!$B$20)</f>
        <v>0.497724000427542</v>
      </c>
      <c r="D82" s="30" t="n">
        <f aca="false">D76*Corte!$D$66/1000/(1-Datos!$B$20)</f>
        <v>0.95776927311037</v>
      </c>
      <c r="E82" s="30" t="n">
        <f aca="false">E76*Corte!$D$66/1000/(1-Datos!$B$20)</f>
        <v>1.84754104503234</v>
      </c>
      <c r="F82" s="30" t="n">
        <f aca="false">F76*Corte!$D$66/1000/(1-Datos!$B$20)</f>
        <v>3.60723900537979</v>
      </c>
      <c r="G82" s="30" t="n">
        <f aca="false">G76*Corte!$D$66/1000/(1-Datos!$B$20)</f>
        <v>6.30039896995865</v>
      </c>
      <c r="H82" s="30" t="n">
        <f aca="false">H76*Corte!$D$66/1000/(1-Datos!$B$20)</f>
        <v>9.10959733367123</v>
      </c>
      <c r="I82" s="30" t="n">
        <f aca="false">I76*Corte!$D$66/1000/(1-Datos!$B$20)</f>
        <v>12.2600930237746</v>
      </c>
      <c r="J82" s="30" t="n">
        <f aca="false">J76*Corte!$D$66/1000/(1-Datos!$B$20)</f>
        <v>15.4910403937579</v>
      </c>
      <c r="K82" s="30" t="n">
        <f aca="false">K76*Corte!$D$66/1000/(1-Datos!$B$20)</f>
        <v>17.6102733744448</v>
      </c>
      <c r="L82" s="30" t="n">
        <f aca="false">L76*Corte!$D$66/1000/(1-Datos!$B$20)</f>
        <v>20.2742540725108</v>
      </c>
    </row>
    <row r="83" customFormat="false" ht="15" hidden="false" customHeight="false" outlineLevel="0" collapsed="false">
      <c r="A83" s="6" t="s">
        <v>623</v>
      </c>
      <c r="B83" s="6" t="s">
        <v>180</v>
      </c>
      <c r="C83" s="30" t="n">
        <f aca="false">C77*Corte!$D$67/1000/(1-Datos!$B$20)</f>
        <v>1.890379642504</v>
      </c>
      <c r="D83" s="30" t="n">
        <f aca="false">D77*Corte!$D$67/1000/(1-Datos!$B$20)</f>
        <v>3.09340885557974</v>
      </c>
      <c r="E83" s="30" t="n">
        <f aca="false">E77*Corte!$D$67/1000/(1-Datos!$B$20)</f>
        <v>4.77916767586565</v>
      </c>
      <c r="F83" s="30" t="n">
        <f aca="false">F77*Corte!$D$67/1000/(1-Datos!$B$20)</f>
        <v>8.04348737254918</v>
      </c>
      <c r="G83" s="30" t="n">
        <f aca="false">G77*Corte!$D$67/1000/(1-Datos!$B$20)</f>
        <v>13.2281199718079</v>
      </c>
      <c r="H83" s="30" t="n">
        <f aca="false">H77*Corte!$D$67/1000/(1-Datos!$B$20)</f>
        <v>18.3334237911676</v>
      </c>
      <c r="I83" s="30" t="n">
        <f aca="false">I77*Corte!$D$67/1000/(1-Datos!$B$20)</f>
        <v>24.4387401613759</v>
      </c>
      <c r="J83" s="30" t="n">
        <f aca="false">J77*Corte!$D$67/1000/(1-Datos!$B$20)</f>
        <v>30.7991705638879</v>
      </c>
      <c r="K83" s="30" t="n">
        <f aca="false">K77*Corte!$D$67/1000/(1-Datos!$B$20)</f>
        <v>35.2697630539481</v>
      </c>
      <c r="L83" s="30" t="n">
        <f aca="false">L77*Corte!$D$67/1000/(1-Datos!$B$20)</f>
        <v>40.7583632444835</v>
      </c>
    </row>
    <row r="84" customFormat="false" ht="15" hidden="false" customHeight="false" outlineLevel="0" collapsed="false">
      <c r="A84" s="6" t="s">
        <v>624</v>
      </c>
      <c r="B84" s="6" t="s">
        <v>180</v>
      </c>
      <c r="C84" s="30" t="n">
        <f aca="false">C78*Corte!$D$68/1000/(1-Datos!$B$20)</f>
        <v>1.12641056693272</v>
      </c>
      <c r="D84" s="30" t="n">
        <f aca="false">D78*Corte!$D$68/1000/(1-Datos!$B$20)</f>
        <v>1.69194583355028</v>
      </c>
      <c r="E84" s="30" t="n">
        <f aca="false">E78*Corte!$D$68/1000/(1-Datos!$B$20)</f>
        <v>2.58951222698658</v>
      </c>
      <c r="F84" s="30" t="n">
        <f aca="false">F78*Corte!$D$68/1000/(1-Datos!$B$20)</f>
        <v>4.38237396953592</v>
      </c>
      <c r="G84" s="30" t="n">
        <f aca="false">G78*Corte!$D$68/1000/(1-Datos!$B$20)</f>
        <v>7.28350875221779</v>
      </c>
      <c r="H84" s="30" t="n">
        <f aca="false">H78*Corte!$D$68/1000/(1-Datos!$B$20)</f>
        <v>9.99548763958081</v>
      </c>
      <c r="I84" s="30" t="n">
        <f aca="false">I78*Corte!$D$68/1000/(1-Datos!$B$20)</f>
        <v>13.4502402653579</v>
      </c>
      <c r="J84" s="30" t="n">
        <f aca="false">J78*Corte!$D$68/1000/(1-Datos!$B$20)</f>
        <v>16.8100602555005</v>
      </c>
      <c r="K84" s="30" t="n">
        <f aca="false">K78*Corte!$D$68/1000/(1-Datos!$B$20)</f>
        <v>19.3070295598452</v>
      </c>
      <c r="L84" s="30" t="n">
        <f aca="false">L78*Corte!$D$68/1000/(1-Datos!$B$20)</f>
        <v>22.316872292554</v>
      </c>
    </row>
    <row r="85" customFormat="false" ht="15" hidden="false" customHeight="false" outlineLevel="0" collapsed="false">
      <c r="A85" s="6" t="s">
        <v>577</v>
      </c>
      <c r="B85" s="6" t="s">
        <v>180</v>
      </c>
      <c r="C85" s="30" t="n">
        <f aca="false">SUM(C79:C84)</f>
        <v>13.3772509077321</v>
      </c>
      <c r="D85" s="30" t="n">
        <f aca="false">SUM(D79:D84)</f>
        <v>22.707916486545</v>
      </c>
      <c r="E85" s="30" t="n">
        <f aca="false">SUM(E79:E84)</f>
        <v>40.6261525989983</v>
      </c>
      <c r="F85" s="30" t="n">
        <f aca="false">SUM(F79:F84)</f>
        <v>78.2731275526796</v>
      </c>
      <c r="G85" s="30" t="n">
        <f aca="false">SUM(G79:G84)</f>
        <v>133.085367635962</v>
      </c>
      <c r="H85" s="30" t="n">
        <f aca="false">SUM(H79:H84)</f>
        <v>186.283239311956</v>
      </c>
      <c r="I85" s="30" t="n">
        <f aca="false">SUM(I79:I84)</f>
        <v>253.317725929313</v>
      </c>
      <c r="J85" s="30" t="n">
        <f aca="false">SUM(J79:J84)</f>
        <v>321.499095698502</v>
      </c>
      <c r="K85" s="30" t="n">
        <f aca="false">SUM(K79:K84)</f>
        <v>364.297221112591</v>
      </c>
      <c r="L85" s="30" t="n">
        <f aca="false">SUM(L79:L84)</f>
        <v>420.463684414466</v>
      </c>
    </row>
    <row r="86" customFormat="false" ht="15" hidden="false" customHeight="false" outlineLevel="0" collapsed="false">
      <c r="A86" s="6" t="s">
        <v>578</v>
      </c>
      <c r="B86" s="6" t="s">
        <v>207</v>
      </c>
      <c r="C86" s="9" t="n">
        <f aca="false">SUMPRODUCT(C79:C84,Corte!$E$63:$E$68)*1000</f>
        <v>16348.9923664097</v>
      </c>
      <c r="D86" s="9" t="n">
        <f aca="false">SUMPRODUCT(D79:D84,Corte!$E$63:$E$68)*1000</f>
        <v>27792.790407451</v>
      </c>
      <c r="E86" s="9" t="n">
        <f aca="false">SUMPRODUCT(E79:E84,Corte!$E$63:$E$68)*1000</f>
        <v>49912.3091446674</v>
      </c>
      <c r="F86" s="9" t="n">
        <f aca="false">SUMPRODUCT(F79:F84,Corte!$E$63:$E$68)*1000</f>
        <v>96453.2362116994</v>
      </c>
      <c r="G86" s="9" t="n">
        <f aca="false">SUMPRODUCT(G79:G84,Corte!$E$63:$E$68)*1000</f>
        <v>164097.579288831</v>
      </c>
      <c r="H86" s="9" t="n">
        <f aca="false">SUMPRODUCT(H79:H84,Corte!$E$63:$E$68)*1000</f>
        <v>229749.960013443</v>
      </c>
      <c r="I86" s="9" t="n">
        <f aca="false">SUMPRODUCT(I79:I84,Corte!$E$63:$E$68)*1000</f>
        <v>312530.089000888</v>
      </c>
      <c r="J86" s="9" t="n">
        <f aca="false">SUMPRODUCT(J79:J84,Corte!$E$63:$E$68)*1000</f>
        <v>396724.090713334</v>
      </c>
      <c r="K86" s="9" t="n">
        <f aca="false">SUMPRODUCT(K79:K84,Corte!$E$63:$E$68)*1000</f>
        <v>449441.025555377</v>
      </c>
      <c r="L86" s="9" t="n">
        <f aca="false">SUMPRODUCT(L79:L84,Corte!$E$63:$E$68)*1000</f>
        <v>518723.825728492</v>
      </c>
    </row>
    <row r="87" customFormat="false" ht="15" hidden="false" customHeight="false" outlineLevel="0" collapsed="false">
      <c r="A87" s="6" t="s">
        <v>579</v>
      </c>
      <c r="B87" s="6" t="s">
        <v>180</v>
      </c>
      <c r="C87" s="30" t="n">
        <f aca="false">C85-C25</f>
        <v>1.42964290661707</v>
      </c>
      <c r="D87" s="30" t="n">
        <f aca="false">D85-D25</f>
        <v>2.73729612368548</v>
      </c>
      <c r="E87" s="30" t="n">
        <f aca="false">E85-E25</f>
        <v>4.55190305840211</v>
      </c>
      <c r="F87" s="30" t="n">
        <f aca="false">F85-F25</f>
        <v>8.16401909783113</v>
      </c>
      <c r="G87" s="30" t="n">
        <f aca="false">G85-G25</f>
        <v>13.5341090043164</v>
      </c>
      <c r="H87" s="30" t="n">
        <f aca="false">H85-H25</f>
        <v>18.9647010469056</v>
      </c>
      <c r="I87" s="30" t="n">
        <f aca="false">I85-I25</f>
        <v>26.0693106919689</v>
      </c>
      <c r="J87" s="30" t="n">
        <f aca="false">J85-J25</f>
        <v>33.2887516426223</v>
      </c>
      <c r="K87" s="30" t="n">
        <f aca="false">K85-K25</f>
        <v>37.0989470941807</v>
      </c>
      <c r="L87" s="30" t="n">
        <f aca="false">L85-L25</f>
        <v>42.770261777733</v>
      </c>
    </row>
    <row r="88" customFormat="false" ht="15" hidden="false" customHeight="false" outlineLevel="0" collapsed="false">
      <c r="A88" s="6" t="s">
        <v>580</v>
      </c>
      <c r="B88" s="6" t="s">
        <v>207</v>
      </c>
      <c r="C88" s="9" t="n">
        <f aca="false">-C87*Datos!$B$9</f>
        <v>-357.410726654267</v>
      </c>
      <c r="D88" s="9" t="n">
        <f aca="false">-D87*Datos!$B$9</f>
        <v>-684.32403092137</v>
      </c>
      <c r="E88" s="9" t="n">
        <f aca="false">-E87*Datos!$B$9</f>
        <v>-1137.97576460053</v>
      </c>
      <c r="F88" s="9" t="n">
        <f aca="false">-F87*Datos!$B$9</f>
        <v>-2041.00477445778</v>
      </c>
      <c r="G88" s="9" t="n">
        <f aca="false">-G87*Datos!$B$9</f>
        <v>-3383.52725107911</v>
      </c>
      <c r="H88" s="9" t="n">
        <f aca="false">-H87*Datos!$B$9</f>
        <v>-4741.17526172641</v>
      </c>
      <c r="I88" s="9" t="n">
        <f aca="false">-I87*Datos!$B$9</f>
        <v>-6517.32767299222</v>
      </c>
      <c r="J88" s="9" t="n">
        <f aca="false">-J87*Datos!$B$9</f>
        <v>-8322.18791065559</v>
      </c>
      <c r="K88" s="9" t="n">
        <f aca="false">-K87*Datos!$B$9</f>
        <v>-9274.73677354519</v>
      </c>
      <c r="L88" s="9" t="n">
        <f aca="false">-L87*Datos!$B$9</f>
        <v>-10692.5654444333</v>
      </c>
    </row>
    <row r="89" customFormat="false" ht="15" hidden="false" customHeight="false" outlineLevel="0" collapsed="false">
      <c r="A89" s="6" t="s">
        <v>625</v>
      </c>
      <c r="B89" s="6" t="s">
        <v>180</v>
      </c>
      <c r="C89" s="30" t="n">
        <f aca="false">SUMPRODUCT((Corte!$G$63:$G$68+C79:C84*Datos!$B$53/12-ABS(Corte!$G$63:$G$68-C79:C84*Datos!$B$53/12))/2+C79:C84*Datos!$B$50/52)</f>
        <v>3.85882237723041</v>
      </c>
      <c r="D89" s="30" t="n">
        <f aca="false">SUMPRODUCT((Corte!$G$63:$G$68+D79:D84*Datos!$B$53/12-ABS(Corte!$G$63:$G$68-D79:D84*Datos!$B$53/12))/2+D79:D84*Datos!$B$50/52)</f>
        <v>6.55036052496491</v>
      </c>
      <c r="E89" s="30" t="n">
        <f aca="false">SUMPRODUCT((Corte!$G$63:$G$68+E79:E84*Datos!$B$53/12-ABS(Corte!$G$63:$G$68-E79:E84*Datos!$B$53/12))/2+E79:E84*Datos!$B$50/52)</f>
        <v>11.7190824804803</v>
      </c>
      <c r="F89" s="30" t="n">
        <f aca="false">SUMPRODUCT((Corte!$G$63:$G$68+F79:F84*Datos!$B$53/12-ABS(Corte!$G$63:$G$68-F79:F84*Datos!$B$53/12))/2+F79:F84*Datos!$B$50/52)</f>
        <v>22.5787867940422</v>
      </c>
      <c r="G89" s="30" t="n">
        <f aca="false">SUMPRODUCT((Corte!$G$63:$G$68+G79:G84*Datos!$B$53/12-ABS(Corte!$G$63:$G$68-G79:G84*Datos!$B$53/12))/2+G79:G84*Datos!$B$50/52)</f>
        <v>34.9978968689729</v>
      </c>
      <c r="H89" s="30" t="n">
        <f aca="false">SUMPRODUCT((Corte!$G$63:$G$68+H79:H84*Datos!$B$53/12-ABS(Corte!$G$63:$G$68-H79:H84*Datos!$B$53/12))/2+H79:H84*Datos!$B$50/52)</f>
        <v>39.1647399735368</v>
      </c>
      <c r="I89" s="30" t="n">
        <f aca="false">SUMPRODUCT((Corte!$G$63:$G$68+I79:I84*Datos!$B$53/12-ABS(Corte!$G$63:$G$68-I79:I84*Datos!$B$53/12))/2+I79:I84*Datos!$B$50/52)</f>
        <v>41.7429894588197</v>
      </c>
      <c r="J89" s="30" t="n">
        <f aca="false">SUMPRODUCT((Corte!$G$63:$G$68+J79:J84*Datos!$B$53/12-ABS(Corte!$G$63:$G$68-J79:J84*Datos!$B$53/12))/2+J79:J84*Datos!$B$50/52)</f>
        <v>44.3653498345578</v>
      </c>
      <c r="K89" s="30" t="n">
        <f aca="false">SUMPRODUCT((Corte!$G$63:$G$68+K79:K84*Datos!$B$53/12-ABS(Corte!$G$63:$G$68-K79:K84*Datos!$B$53/12))/2+K79:K84*Datos!$B$50/52)</f>
        <v>46.0114315812535</v>
      </c>
      <c r="L89" s="30" t="n">
        <f aca="false">SUMPRODUCT((Corte!$G$63:$G$68+L79:L84*Datos!$B$53/12-ABS(Corte!$G$63:$G$68-L79:L84*Datos!$B$53/12))/2+L79:L84*Datos!$B$50/52)</f>
        <v>48.1716801697872</v>
      </c>
    </row>
    <row r="90" customFormat="false" ht="15" hidden="false" customHeight="false" outlineLevel="0" collapsed="false">
      <c r="A90" s="6" t="s">
        <v>584</v>
      </c>
      <c r="B90" s="6" t="s">
        <v>207</v>
      </c>
      <c r="C90" s="9" t="n">
        <f aca="false">IF(C85=0,0,C89*C86/C85*Datos!$B$7)</f>
        <v>565.92665883726</v>
      </c>
      <c r="D90" s="9" t="n">
        <f aca="false">IF(D85=0,0,D89*D86/D85*Datos!$B$7)</f>
        <v>962.058129488688</v>
      </c>
      <c r="E90" s="9" t="n">
        <f aca="false">IF(E85=0,0,E89*E86/E85*Datos!$B$7)</f>
        <v>1727.73377808464</v>
      </c>
      <c r="F90" s="9" t="n">
        <f aca="false">IF(F85=0,0,F89*F86/F85*Datos!$B$7)</f>
        <v>3338.76586886652</v>
      </c>
      <c r="G90" s="9" t="n">
        <f aca="false">IF(G85=0,0,G89*G86/G85*Datos!$B$7)</f>
        <v>5178.39362064929</v>
      </c>
      <c r="H90" s="9" t="n">
        <f aca="false">IF(H85=0,0,H89*H86/H85*Datos!$B$7)</f>
        <v>5796.39744901911</v>
      </c>
      <c r="I90" s="9" t="n">
        <f aca="false">IF(I85=0,0,I89*I86/I85*Datos!$B$7)</f>
        <v>6180.03663006281</v>
      </c>
      <c r="J90" s="9" t="n">
        <f aca="false">IF(J85=0,0,J89*J86/J85*Datos!$B$7)</f>
        <v>6569.52506844985</v>
      </c>
      <c r="K90" s="9" t="n">
        <f aca="false">IF(K85=0,0,K89*K86/K85*Datos!$B$7)</f>
        <v>6811.83071361119</v>
      </c>
      <c r="L90" s="9" t="n">
        <f aca="false">IF(L85=0,0,L89*L86/L85*Datos!$B$7)</f>
        <v>7131.49767430854</v>
      </c>
    </row>
    <row r="91" customFormat="false" ht="15" hidden="false" customHeight="false" outlineLevel="0" collapsed="false">
      <c r="A91" s="6" t="s">
        <v>626</v>
      </c>
      <c r="B91" s="6" t="s">
        <v>588</v>
      </c>
      <c r="C91" s="30" t="n">
        <f aca="false">SUM(C73:C78)/(Datos!$B$42*60)+SUMPRODUCT(C79:C84/Corte!$G$63:$G$68)*Datos!$B$43/60</f>
        <v>2.21784867519188</v>
      </c>
      <c r="D91" s="30" t="n">
        <f aca="false">SUM(D73:D78)/(Datos!$B$42*60)+SUMPRODUCT(D79:D84/Corte!$G$63:$G$68)*Datos!$B$43/60</f>
        <v>3.80140067960993</v>
      </c>
      <c r="E91" s="30" t="n">
        <f aca="false">SUM(E73:E78)/(Datos!$B$42*60)+SUMPRODUCT(E79:E84/Corte!$G$63:$G$68)*Datos!$B$43/60</f>
        <v>6.69489005804418</v>
      </c>
      <c r="F91" s="30" t="n">
        <f aca="false">SUM(F73:F78)/(Datos!$B$42*60)+SUMPRODUCT(F79:F84/Corte!$G$63:$G$68)*Datos!$B$43/60</f>
        <v>12.7481813616922</v>
      </c>
      <c r="G91" s="30" t="n">
        <f aca="false">SUM(G73:G78)/(Datos!$B$42*60)+SUMPRODUCT(G79:G84/Corte!$G$63:$G$68)*Datos!$B$43/60</f>
        <v>21.6167682849551</v>
      </c>
      <c r="H91" s="30" t="n">
        <f aca="false">SUM(H73:H78)/(Datos!$B$42*60)+SUMPRODUCT(H79:H84/Corte!$G$63:$G$68)*Datos!$B$43/60</f>
        <v>30.3159700878</v>
      </c>
      <c r="I91" s="30" t="n">
        <f aca="false">SUM(I73:I78)/(Datos!$B$42*60)+SUMPRODUCT(I79:I84/Corte!$G$63:$G$68)*Datos!$B$43/60</f>
        <v>41.1881264283347</v>
      </c>
      <c r="J91" s="30" t="n">
        <f aca="false">SUM(J73:J78)/(Datos!$B$42*60)+SUMPRODUCT(J79:J84/Corte!$G$63:$G$68)*Datos!$B$43/60</f>
        <v>52.2370100187476</v>
      </c>
      <c r="K91" s="30" t="n">
        <f aca="false">SUM(K73:K78)/(Datos!$B$42*60)+SUMPRODUCT(K79:K84/Corte!$G$63:$G$68)*Datos!$B$43/60</f>
        <v>59.2533480273394</v>
      </c>
      <c r="L91" s="30" t="n">
        <f aca="false">SUM(L73:L78)/(Datos!$B$42*60)+SUMPRODUCT(L79:L84/Corte!$G$63:$G$68)*Datos!$B$43/60</f>
        <v>68.4600130228656</v>
      </c>
    </row>
    <row r="92" customFormat="false" ht="15" hidden="false" customHeight="false" outlineLevel="0" collapsed="false">
      <c r="A92" s="6" t="s">
        <v>627</v>
      </c>
      <c r="B92" s="6" t="s">
        <v>628</v>
      </c>
      <c r="C92" s="30" t="n">
        <f aca="false">SUMPRODUCT(C79:C84/Corte!$G$63:$G$68*Corte!$F$63:$F$68)</f>
        <v>2.89297952001173</v>
      </c>
      <c r="D92" s="30" t="n">
        <f aca="false">SUMPRODUCT(D79:D84/Corte!$G$63:$G$68*Corte!$F$63:$F$68)</f>
        <v>5.9054328632888</v>
      </c>
      <c r="E92" s="30" t="n">
        <f aca="false">SUMPRODUCT(E79:E84/Corte!$G$63:$G$68*Corte!$F$63:$F$68)</f>
        <v>10.8755502203916</v>
      </c>
      <c r="F92" s="30" t="n">
        <f aca="false">SUMPRODUCT(F79:F84/Corte!$G$63:$G$68*Corte!$F$63:$F$68)</f>
        <v>21.5754372413946</v>
      </c>
      <c r="G92" s="30" t="n">
        <f aca="false">SUMPRODUCT(G79:G84/Corte!$G$63:$G$68*Corte!$F$63:$F$68)</f>
        <v>36.3968184670649</v>
      </c>
      <c r="H92" s="30" t="n">
        <f aca="false">SUMPRODUCT(H79:H84/Corte!$G$63:$G$68*Corte!$F$63:$F$68)</f>
        <v>51.4645157642043</v>
      </c>
      <c r="I92" s="30" t="n">
        <f aca="false">SUMPRODUCT(I79:I84/Corte!$G$63:$G$68*Corte!$F$63:$F$68)</f>
        <v>70.5846554360306</v>
      </c>
      <c r="J92" s="30" t="n">
        <f aca="false">SUMPRODUCT(J79:J84/Corte!$G$63:$G$68*Corte!$F$63:$F$68)</f>
        <v>90.1862173618255</v>
      </c>
      <c r="K92" s="30" t="n">
        <f aca="false">SUMPRODUCT(K79:K84/Corte!$G$63:$G$68*Corte!$F$63:$F$68)</f>
        <v>101.62553813356</v>
      </c>
      <c r="L92" s="30" t="n">
        <f aca="false">SUMPRODUCT(L79:L84/Corte!$G$63:$G$68*Corte!$F$63:$F$68)</f>
        <v>117.90770739545</v>
      </c>
    </row>
    <row r="93" customFormat="false" ht="15" hidden="false" customHeight="false" outlineLevel="0" collapsed="false">
      <c r="A93" s="6" t="s">
        <v>629</v>
      </c>
      <c r="B93" s="6" t="s">
        <v>588</v>
      </c>
      <c r="C93" s="9" t="n">
        <f aca="false">C91*Datos!$B$44+SUM(C$8:C$15)/Datos!$B$41+C92*Datos!$B$46/60</f>
        <v>10.9919257905367</v>
      </c>
      <c r="D93" s="9" t="n">
        <f aca="false">D91*Datos!$B$44+SUM(D$8:D$15)/Datos!$B$41+D92*Datos!$B$46/60</f>
        <v>18.3020480707254</v>
      </c>
      <c r="E93" s="9" t="n">
        <f aca="false">E91*Datos!$B$44+SUM(E$8:E$15)/Datos!$B$41+E92*Datos!$B$46/60</f>
        <v>35.4847062931529</v>
      </c>
      <c r="F93" s="9" t="n">
        <f aca="false">F91*Datos!$B$44+SUM(F$8:F$15)/Datos!$B$41+F92*Datos!$B$46/60</f>
        <v>73.5964794852748</v>
      </c>
      <c r="G93" s="9" t="n">
        <f aca="false">G91*Datos!$B$44+SUM(G$8:G$15)/Datos!$B$41+G92*Datos!$B$46/60</f>
        <v>126.668132471585</v>
      </c>
      <c r="H93" s="9" t="n">
        <f aca="false">H91*Datos!$B$44+SUM(H$8:H$15)/Datos!$B$41+H92*Datos!$B$46/60</f>
        <v>177.860027474876</v>
      </c>
      <c r="I93" s="9" t="n">
        <f aca="false">I91*Datos!$B$44+SUM(I$8:I$15)/Datos!$B$41+I92*Datos!$B$46/60</f>
        <v>243.892901800352</v>
      </c>
      <c r="J93" s="9" t="n">
        <f aca="false">J91*Datos!$B$44+SUM(J$8:J$15)/Datos!$B$41+J92*Datos!$B$46/60</f>
        <v>310.798016821118</v>
      </c>
      <c r="K93" s="9" t="n">
        <f aca="false">K91*Datos!$B$44+SUM(K$8:K$15)/Datos!$B$41+K92*Datos!$B$46/60</f>
        <v>351.319469462569</v>
      </c>
      <c r="L93" s="9" t="n">
        <f aca="false">L91*Datos!$B$44+SUM(L$8:L$15)/Datos!$B$41+L92*Datos!$B$46/60</f>
        <v>406.038524982844</v>
      </c>
    </row>
    <row r="94" customFormat="false" ht="15" hidden="false" customHeight="false" outlineLevel="0" collapsed="false">
      <c r="A94" s="6" t="s">
        <v>589</v>
      </c>
      <c r="B94" s="6" t="s">
        <v>207</v>
      </c>
      <c r="C94" s="9" t="n">
        <f aca="false">C93*Datos!$B$15</f>
        <v>69.0438466550537</v>
      </c>
      <c r="D94" s="9" t="n">
        <f aca="false">D93*Datos!$B$15</f>
        <v>114.9610927647</v>
      </c>
      <c r="E94" s="9" t="n">
        <f aca="false">E93*Datos!$B$15</f>
        <v>222.890935272994</v>
      </c>
      <c r="F94" s="9" t="n">
        <f aca="false">F93*Datos!$B$15</f>
        <v>462.283328760084</v>
      </c>
      <c r="G94" s="9" t="n">
        <f aca="false">G93*Datos!$B$15</f>
        <v>795.643573392712</v>
      </c>
      <c r="H94" s="9" t="n">
        <f aca="false">H93*Datos!$B$15</f>
        <v>1117.19644919832</v>
      </c>
      <c r="I94" s="9" t="n">
        <f aca="false">I93*Datos!$B$15</f>
        <v>1531.97032376775</v>
      </c>
      <c r="J94" s="9" t="n">
        <f aca="false">J93*Datos!$B$15</f>
        <v>1952.22302470115</v>
      </c>
      <c r="K94" s="9" t="n">
        <f aca="false">K93*Datos!$B$15</f>
        <v>2206.75139540985</v>
      </c>
      <c r="L94" s="9" t="n">
        <f aca="false">L93*Datos!$B$15</f>
        <v>2550.45950902393</v>
      </c>
    </row>
    <row r="95" customFormat="false" ht="15" hidden="false" customHeight="false" outlineLevel="0" collapsed="false">
      <c r="A95" s="6" t="s">
        <v>590</v>
      </c>
      <c r="B95" s="6" t="s">
        <v>207</v>
      </c>
      <c r="C95" s="9" t="n">
        <f aca="false">Datos!$E$117*Datos!$B$8</f>
        <v>5730</v>
      </c>
      <c r="D95" s="9" t="n">
        <f aca="false">Datos!$E$117*Datos!$B$8</f>
        <v>5730</v>
      </c>
      <c r="E95" s="9" t="n">
        <f aca="false">Datos!$E$117*Datos!$B$8</f>
        <v>5730</v>
      </c>
      <c r="F95" s="9" t="n">
        <f aca="false">Datos!$E$117*Datos!$B$8</f>
        <v>5730</v>
      </c>
      <c r="G95" s="9" t="n">
        <f aca="false">Datos!$E$117*Datos!$B$8</f>
        <v>5730</v>
      </c>
      <c r="H95" s="9" t="n">
        <f aca="false">Datos!$E$117*Datos!$B$8</f>
        <v>5730</v>
      </c>
      <c r="I95" s="9" t="n">
        <f aca="false">Datos!$E$117*Datos!$B$8</f>
        <v>5730</v>
      </c>
      <c r="J95" s="9" t="n">
        <f aca="false">Datos!$E$117*Datos!$B$8</f>
        <v>5730</v>
      </c>
      <c r="K95" s="9" t="n">
        <f aca="false">Datos!$E$117*Datos!$B$8</f>
        <v>5730</v>
      </c>
      <c r="L95" s="9" t="n">
        <f aca="false">Datos!$E$117*Datos!$B$8</f>
        <v>5730</v>
      </c>
    </row>
    <row r="96" customFormat="false" ht="15" hidden="false" customHeight="false" outlineLevel="0" collapsed="false">
      <c r="A96" s="4" t="s">
        <v>630</v>
      </c>
      <c r="B96" s="6" t="s">
        <v>207</v>
      </c>
      <c r="C96" s="11" t="n">
        <f aca="false">C86+C88+C90+C94+C95</f>
        <v>22356.5521452478</v>
      </c>
      <c r="D96" s="11" t="n">
        <f aca="false">D86+D88+D90+D94+D95</f>
        <v>33915.485598783</v>
      </c>
      <c r="E96" s="11" t="n">
        <f aca="false">E86+E88+E90+E94+E95</f>
        <v>56454.9580934245</v>
      </c>
      <c r="F96" s="11" t="n">
        <f aca="false">F86+F88+F90+F94+F95</f>
        <v>103943.280634868</v>
      </c>
      <c r="G96" s="11" t="n">
        <f aca="false">G86+G88+G90+G94+G95</f>
        <v>172418.089231794</v>
      </c>
      <c r="H96" s="11" t="n">
        <f aca="false">H86+H88+H90+H94+H95</f>
        <v>237652.378649934</v>
      </c>
      <c r="I96" s="11" t="n">
        <f aca="false">I86+I88+I90+I94+I95</f>
        <v>319454.768281726</v>
      </c>
      <c r="J96" s="11" t="n">
        <f aca="false">J86+J88+J90+J94+J95</f>
        <v>402653.650895829</v>
      </c>
      <c r="K96" s="11" t="n">
        <f aca="false">K86+K88+K90+K94+K95</f>
        <v>454914.870890853</v>
      </c>
      <c r="L96" s="11" t="n">
        <f aca="false">L86+L88+L90+L94+L95</f>
        <v>523443.217467392</v>
      </c>
    </row>
    <row r="98" customFormat="false" ht="15" hidden="false" customHeight="false" outlineLevel="0" collapsed="false">
      <c r="A98" s="8" t="s">
        <v>631</v>
      </c>
    </row>
    <row r="99" customFormat="false" ht="15" hidden="false" customHeight="false" outlineLevel="0" collapsed="false">
      <c r="A99" s="6" t="s">
        <v>632</v>
      </c>
      <c r="B99" s="6" t="s">
        <v>180</v>
      </c>
      <c r="C99" s="30" t="n">
        <f aca="false">C54+C30</f>
        <v>13.6988375313455</v>
      </c>
      <c r="D99" s="30" t="n">
        <f aca="false">D54+D30</f>
        <v>22.8777835074802</v>
      </c>
      <c r="E99" s="30" t="n">
        <f aca="false">E54+E30</f>
        <v>41.2458604763384</v>
      </c>
      <c r="F99" s="30" t="n">
        <f aca="false">F54+F30</f>
        <v>80.0360262490287</v>
      </c>
      <c r="G99" s="30" t="n">
        <f aca="false">G54+G30</f>
        <v>136.444378232654</v>
      </c>
      <c r="H99" s="30" t="n">
        <f aca="false">H54+H30</f>
        <v>190.932805444062</v>
      </c>
      <c r="I99" s="30" t="n">
        <f aca="false">I54+I30</f>
        <v>259.296769313403</v>
      </c>
      <c r="J99" s="30" t="n">
        <f aca="false">J54+J30</f>
        <v>328.804758260159</v>
      </c>
      <c r="K99" s="30" t="n">
        <f aca="false">K54+K30</f>
        <v>373.319289799812</v>
      </c>
      <c r="L99" s="30" t="n">
        <f aca="false">L54+L30</f>
        <v>430.933504596725</v>
      </c>
    </row>
    <row r="100" customFormat="false" ht="15" hidden="false" customHeight="false" outlineLevel="0" collapsed="false">
      <c r="A100" s="6" t="s">
        <v>578</v>
      </c>
      <c r="B100" s="6" t="s">
        <v>207</v>
      </c>
      <c r="C100" s="9" t="n">
        <f aca="false">C55+C31</f>
        <v>17069.104592522</v>
      </c>
      <c r="D100" s="9" t="n">
        <f aca="false">D55+D31</f>
        <v>28516.5639467713</v>
      </c>
      <c r="E100" s="9" t="n">
        <f aca="false">E55+E31</f>
        <v>51744.6950339792</v>
      </c>
      <c r="F100" s="9" t="n">
        <f aca="false">F55+F31</f>
        <v>100938.289492101</v>
      </c>
      <c r="G100" s="9" t="n">
        <f aca="false">G55+G31</f>
        <v>172260.669787666</v>
      </c>
      <c r="H100" s="9" t="n">
        <f aca="false">H55+H31</f>
        <v>241122.782483449</v>
      </c>
      <c r="I100" s="9" t="n">
        <f aca="false">I55+I31</f>
        <v>327649.284916462</v>
      </c>
      <c r="J100" s="9" t="n">
        <f aca="false">J55+J31</f>
        <v>415618.151162764</v>
      </c>
      <c r="K100" s="9" t="n">
        <f aca="false">K55+K31</f>
        <v>471722.237692324</v>
      </c>
      <c r="L100" s="9" t="n">
        <f aca="false">L55+L31</f>
        <v>544505.124575307</v>
      </c>
    </row>
    <row r="101" customFormat="false" ht="15" hidden="false" customHeight="false" outlineLevel="0" collapsed="false">
      <c r="A101" s="6" t="s">
        <v>579</v>
      </c>
      <c r="B101" s="6" t="s">
        <v>180</v>
      </c>
      <c r="C101" s="30" t="n">
        <f aca="false">C99-C25</f>
        <v>1.75122953023042</v>
      </c>
      <c r="D101" s="30" t="n">
        <f aca="false">D99-D25</f>
        <v>2.90716314462068</v>
      </c>
      <c r="E101" s="30" t="n">
        <f aca="false">E99-E25</f>
        <v>5.17161093574217</v>
      </c>
      <c r="F101" s="30" t="n">
        <f aca="false">F99-F25</f>
        <v>9.92691779418024</v>
      </c>
      <c r="G101" s="30" t="n">
        <f aca="false">G99-G25</f>
        <v>16.8931196010085</v>
      </c>
      <c r="H101" s="30" t="n">
        <f aca="false">H99-H25</f>
        <v>23.614267179012</v>
      </c>
      <c r="I101" s="30" t="n">
        <f aca="false">I99-I25</f>
        <v>32.0483540760584</v>
      </c>
      <c r="J101" s="30" t="n">
        <f aca="false">J99-J25</f>
        <v>40.5944142042789</v>
      </c>
      <c r="K101" s="30" t="n">
        <f aca="false">K99-K25</f>
        <v>46.1210157814019</v>
      </c>
      <c r="L101" s="30" t="n">
        <f aca="false">L99-L25</f>
        <v>53.2400819599926</v>
      </c>
    </row>
    <row r="102" customFormat="false" ht="15" hidden="false" customHeight="false" outlineLevel="0" collapsed="false">
      <c r="A102" s="6" t="s">
        <v>580</v>
      </c>
      <c r="B102" s="6" t="s">
        <v>207</v>
      </c>
      <c r="C102" s="9" t="n">
        <f aca="false">-C101*Datos!$B$9</f>
        <v>-437.807382557606</v>
      </c>
      <c r="D102" s="9" t="n">
        <f aca="false">-D101*Datos!$B$9</f>
        <v>-726.79078615517</v>
      </c>
      <c r="E102" s="9" t="n">
        <f aca="false">-E101*Datos!$B$9</f>
        <v>-1292.90273393554</v>
      </c>
      <c r="F102" s="9" t="n">
        <f aca="false">-F101*Datos!$B$9</f>
        <v>-2481.72944854506</v>
      </c>
      <c r="G102" s="9" t="n">
        <f aca="false">-G101*Datos!$B$9</f>
        <v>-4223.27990025212</v>
      </c>
      <c r="H102" s="9" t="n">
        <f aca="false">-H101*Datos!$B$9</f>
        <v>-5903.56679475299</v>
      </c>
      <c r="I102" s="9" t="n">
        <f aca="false">-I101*Datos!$B$9</f>
        <v>-8012.08851901461</v>
      </c>
      <c r="J102" s="9" t="n">
        <f aca="false">-J101*Datos!$B$9</f>
        <v>-10148.6035510697</v>
      </c>
      <c r="K102" s="9" t="n">
        <f aca="false">-K101*Datos!$B$9</f>
        <v>-11530.2539453505</v>
      </c>
      <c r="L102" s="9" t="n">
        <f aca="false">-L101*Datos!$B$9</f>
        <v>-13310.0204899982</v>
      </c>
    </row>
    <row r="103" customFormat="false" ht="15" hidden="false" customHeight="false" outlineLevel="0" collapsed="false">
      <c r="A103" s="6" t="s">
        <v>633</v>
      </c>
      <c r="B103" s="6" t="s">
        <v>180</v>
      </c>
      <c r="C103" s="30" t="n">
        <f aca="false">C54*(Datos!$B$51/2/12+Datos!$B$50/52)+C37</f>
        <v>1.34573334599647</v>
      </c>
      <c r="D103" s="30" t="n">
        <f aca="false">D54*(Datos!$B$51/2/12+Datos!$B$50/52)+D37</f>
        <v>2.25474980742021</v>
      </c>
      <c r="E103" s="30" t="n">
        <f aca="false">E54*(Datos!$B$51/2/12+Datos!$B$50/52)+E37</f>
        <v>4.0881816842397</v>
      </c>
      <c r="F103" s="30" t="n">
        <f aca="false">F54*(Datos!$B$51/2/12+Datos!$B$50/52)+F37</f>
        <v>7.96444033152732</v>
      </c>
      <c r="G103" s="30" t="n">
        <f aca="false">G54*(Datos!$B$51/2/12+Datos!$B$50/52)+G37</f>
        <v>13.2640212872674</v>
      </c>
      <c r="H103" s="30" t="n">
        <f aca="false">H54*(Datos!$B$51/2/12+Datos!$B$50/52)+H37</f>
        <v>17.3313785881811</v>
      </c>
      <c r="I103" s="30" t="n">
        <f aca="false">I54*(Datos!$B$51/2/12+Datos!$B$50/52)+I37</f>
        <v>22.348354483692</v>
      </c>
      <c r="J103" s="30" t="n">
        <f aca="false">J54*(Datos!$B$51/2/12+Datos!$B$50/52)+J37</f>
        <v>27.370149427687</v>
      </c>
      <c r="K103" s="30" t="n">
        <f aca="false">K54*(Datos!$B$51/2/12+Datos!$B$50/52)+K37</f>
        <v>30.5185955389604</v>
      </c>
      <c r="L103" s="30" t="n">
        <f aca="false">L54*(Datos!$B$51/2/12+Datos!$B$50/52)+L37</f>
        <v>34.5733750151538</v>
      </c>
    </row>
    <row r="104" customFormat="false" ht="15" hidden="false" customHeight="false" outlineLevel="0" collapsed="false">
      <c r="A104" s="6" t="s">
        <v>584</v>
      </c>
      <c r="B104" s="6" t="s">
        <v>207</v>
      </c>
      <c r="C104" s="9" t="n">
        <f aca="false">IF(C99=0,0,C103*C100/C99*Datos!$B$7)</f>
        <v>201.218211550266</v>
      </c>
      <c r="D104" s="9" t="n">
        <f aca="false">IF(D99=0,0,D103*D100/D99*Datos!$B$7)</f>
        <v>337.258460617458</v>
      </c>
      <c r="E104" s="9" t="n">
        <f aca="false">IF(E99=0,0,E103*E100/E99*Datos!$B$7)</f>
        <v>615.455840808572</v>
      </c>
      <c r="F104" s="9" t="n">
        <f aca="false">IF(F99=0,0,F103*F100/F99*Datos!$B$7)</f>
        <v>1205.33268054801</v>
      </c>
      <c r="G104" s="9" t="n">
        <f aca="false">IF(G99=0,0,G103*G100/G99*Datos!$B$7)</f>
        <v>2009.49505193382</v>
      </c>
      <c r="H104" s="9" t="n">
        <f aca="false">IF(H99=0,0,H103*H100/H99*Datos!$B$7)</f>
        <v>2626.46760135557</v>
      </c>
      <c r="I104" s="9" t="n">
        <f aca="false">IF(I99=0,0,I103*I100/I99*Datos!$B$7)</f>
        <v>3388.74520574884</v>
      </c>
      <c r="J104" s="9" t="n">
        <f aca="false">IF(J99=0,0,J103*J100/J99*Datos!$B$7)</f>
        <v>4151.59353375898</v>
      </c>
      <c r="K104" s="9" t="n">
        <f aca="false">IF(K99=0,0,K103*K100/K99*Datos!$B$7)</f>
        <v>4627.55627331828</v>
      </c>
      <c r="L104" s="9" t="n">
        <f aca="false">IF(L99=0,0,L103*L100/L99*Datos!$B$7)</f>
        <v>5242.21384565553</v>
      </c>
    </row>
    <row r="105" customFormat="false" ht="15" hidden="false" customHeight="false" outlineLevel="0" collapsed="false">
      <c r="A105" s="6" t="s">
        <v>634</v>
      </c>
      <c r="B105" s="6" t="s">
        <v>588</v>
      </c>
      <c r="C105" s="9" t="n">
        <f aca="false">C56+C57+C40*Datos!$B$46/60</f>
        <v>3.00368176316969</v>
      </c>
      <c r="D105" s="9" t="n">
        <f aca="false">D56+D57+D40*Datos!$B$46/60</f>
        <v>4.94807987406418</v>
      </c>
      <c r="E105" s="9" t="n">
        <f aca="false">E56+E57+E40*Datos!$B$46/60</f>
        <v>9.78272329163087</v>
      </c>
      <c r="F105" s="9" t="n">
        <f aca="false">F56+F57+F40*Datos!$B$46/60</f>
        <v>20.5362717593644</v>
      </c>
      <c r="G105" s="9" t="n">
        <f aca="false">G56+G57+G40*Datos!$B$46/60</f>
        <v>35.4659618841392</v>
      </c>
      <c r="H105" s="9" t="n">
        <f aca="false">H56+H57+H40*Datos!$B$46/60</f>
        <v>49.7880586695141</v>
      </c>
      <c r="I105" s="9" t="n">
        <f aca="false">I56+I57+I40*Datos!$B$46/60</f>
        <v>68.2010116041021</v>
      </c>
      <c r="J105" s="9" t="n">
        <f aca="false">J56+J57+J40*Datos!$B$46/60</f>
        <v>86.882423754792</v>
      </c>
      <c r="K105" s="9" t="n">
        <f aca="false">K56+K57+K40*Datos!$B$46/60</f>
        <v>98.3200804735262</v>
      </c>
      <c r="L105" s="9" t="n">
        <f aca="false">L56+L57+L40*Datos!$B$46/60</f>
        <v>113.606394245466</v>
      </c>
    </row>
    <row r="106" customFormat="false" ht="15" hidden="false" customHeight="false" outlineLevel="0" collapsed="false">
      <c r="A106" s="6" t="s">
        <v>589</v>
      </c>
      <c r="B106" s="6" t="s">
        <v>207</v>
      </c>
      <c r="C106" s="9" t="n">
        <f aca="false">C105*Datos!$B$15</f>
        <v>18.8670981781386</v>
      </c>
      <c r="D106" s="9" t="n">
        <f aca="false">D105*Datos!$B$15</f>
        <v>31.0804925881113</v>
      </c>
      <c r="E106" s="9" t="n">
        <f aca="false">E105*Datos!$B$15</f>
        <v>61.4484540459406</v>
      </c>
      <c r="F106" s="9" t="n">
        <f aca="false">F105*Datos!$B$15</f>
        <v>128.994975515645</v>
      </c>
      <c r="G106" s="9" t="n">
        <f aca="false">G105*Datos!$B$15</f>
        <v>222.773195567846</v>
      </c>
      <c r="H106" s="9" t="n">
        <f aca="false">H105*Datos!$B$15</f>
        <v>312.734925029266</v>
      </c>
      <c r="I106" s="9" t="n">
        <f aca="false">I105*Datos!$B$15</f>
        <v>428.392647170815</v>
      </c>
      <c r="J106" s="9" t="n">
        <f aca="false">J105*Datos!$B$15</f>
        <v>545.736648614361</v>
      </c>
      <c r="K106" s="9" t="n">
        <f aca="false">K105*Datos!$B$15</f>
        <v>617.580275621132</v>
      </c>
      <c r="L106" s="9" t="n">
        <f aca="false">L105*Datos!$B$15</f>
        <v>713.598564327144</v>
      </c>
    </row>
    <row r="107" customFormat="false" ht="15" hidden="false" customHeight="false" outlineLevel="0" collapsed="false">
      <c r="A107" s="6" t="s">
        <v>590</v>
      </c>
      <c r="B107" s="6" t="s">
        <v>207</v>
      </c>
      <c r="C107" s="9" t="n">
        <f aca="false">Datos!$F$117*Datos!$B$8</f>
        <v>2580.18777943368</v>
      </c>
      <c r="D107" s="9" t="n">
        <f aca="false">Datos!$F$117*Datos!$B$8</f>
        <v>2580.18777943368</v>
      </c>
      <c r="E107" s="9" t="n">
        <f aca="false">Datos!$F$117*Datos!$B$8</f>
        <v>2580.18777943368</v>
      </c>
      <c r="F107" s="9" t="n">
        <f aca="false">Datos!$F$117*Datos!$B$8</f>
        <v>2580.18777943368</v>
      </c>
      <c r="G107" s="9" t="n">
        <f aca="false">Datos!$F$117*Datos!$B$8</f>
        <v>2580.18777943368</v>
      </c>
      <c r="H107" s="9" t="n">
        <f aca="false">Datos!$F$117*Datos!$B$8</f>
        <v>2580.18777943368</v>
      </c>
      <c r="I107" s="9" t="n">
        <f aca="false">Datos!$F$117*Datos!$B$8</f>
        <v>2580.18777943368</v>
      </c>
      <c r="J107" s="9" t="n">
        <f aca="false">Datos!$F$117*Datos!$B$8</f>
        <v>2580.18777943368</v>
      </c>
      <c r="K107" s="9" t="n">
        <f aca="false">Datos!$F$117*Datos!$B$8</f>
        <v>2580.18777943368</v>
      </c>
      <c r="L107" s="9" t="n">
        <f aca="false">Datos!$F$117*Datos!$B$8</f>
        <v>2580.18777943368</v>
      </c>
    </row>
    <row r="108" customFormat="false" ht="15" hidden="false" customHeight="false" outlineLevel="0" collapsed="false">
      <c r="A108" s="4" t="s">
        <v>635</v>
      </c>
      <c r="B108" s="6" t="s">
        <v>207</v>
      </c>
      <c r="C108" s="11" t="n">
        <f aca="false">C100+C102+C104+C106+C107</f>
        <v>19431.5702991265</v>
      </c>
      <c r="D108" s="11" t="n">
        <f aca="false">D100+D102+D104+D106+D107</f>
        <v>30738.2998932554</v>
      </c>
      <c r="E108" s="11" t="n">
        <f aca="false">E100+E102+E104+E106+E107</f>
        <v>53708.8843743318</v>
      </c>
      <c r="F108" s="11" t="n">
        <f aca="false">F100+F102+F104+F106+F107</f>
        <v>102371.075479053</v>
      </c>
      <c r="G108" s="11" t="n">
        <f aca="false">G100+G102+G104+G106+G107</f>
        <v>172849.845914349</v>
      </c>
      <c r="H108" s="11" t="n">
        <f aca="false">H100+H102+H104+H106+H107</f>
        <v>240738.605994515</v>
      </c>
      <c r="I108" s="11" t="n">
        <f aca="false">I100+I102+I104+I106+I107</f>
        <v>326034.522029801</v>
      </c>
      <c r="J108" s="11" t="n">
        <f aca="false">J100+J102+J104+J106+J107</f>
        <v>412747.065573501</v>
      </c>
      <c r="K108" s="11" t="n">
        <f aca="false">K100+K102+K104+K106+K107</f>
        <v>468017.308075347</v>
      </c>
      <c r="L108" s="11" t="n">
        <f aca="false">L100+L102+L104+L106+L107</f>
        <v>539731.104274726</v>
      </c>
    </row>
    <row r="110" customFormat="false" ht="15" hidden="false" customHeight="false" outlineLevel="0" collapsed="false">
      <c r="A110" s="8" t="s">
        <v>636</v>
      </c>
    </row>
    <row r="111" customFormat="false" ht="15" hidden="false" customHeight="false" outlineLevel="0" collapsed="false">
      <c r="A111" s="6" t="s">
        <v>637</v>
      </c>
      <c r="B111" s="6" t="s">
        <v>180</v>
      </c>
      <c r="C111" s="30" t="n">
        <f aca="false">SUMPRODUCT(C$8:C$15,Piezas!$H$6:$H$13)/1000</f>
        <v>9.74632335880314</v>
      </c>
      <c r="D111" s="30" t="n">
        <f aca="false">SUMPRODUCT(D$8:D$15,Piezas!$H$6:$H$13)/1000</f>
        <v>16.2269770268257</v>
      </c>
      <c r="E111" s="30" t="n">
        <f aca="false">SUMPRODUCT(E$8:E$15,Piezas!$H$6:$H$13)/1000</f>
        <v>29.126830107265</v>
      </c>
      <c r="F111" s="30" t="n">
        <f aca="false">SUMPRODUCT(F$8:F$15,Piezas!$H$6:$H$13)/1000</f>
        <v>56.3627812324881</v>
      </c>
      <c r="G111" s="30" t="n">
        <f aca="false">SUMPRODUCT(G$8:G$15,Piezas!$H$6:$H$13)/1000</f>
        <v>96.0227901140449</v>
      </c>
      <c r="H111" s="30" t="n">
        <f aca="false">SUMPRODUCT(H$8:H$15,Piezas!$H$6:$H$13)/1000</f>
        <v>134.336164039562</v>
      </c>
      <c r="I111" s="30" t="n">
        <f aca="false">SUMPRODUCT(I$8:I$15,Piezas!$H$6:$H$13)/1000</f>
        <v>182.394275779078</v>
      </c>
      <c r="J111" s="30" t="n">
        <f aca="false">SUMPRODUCT(J$8:J$15,Piezas!$H$6:$H$13)/1000</f>
        <v>231.265127061054</v>
      </c>
      <c r="K111" s="30" t="n">
        <f aca="false">SUMPRODUCT(K$8:K$15,Piezas!$H$6:$H$13)/1000</f>
        <v>262.62590266107</v>
      </c>
      <c r="L111" s="30" t="n">
        <f aca="false">SUMPRODUCT(L$8:L$15,Piezas!$H$6:$H$13)/1000</f>
        <v>303.169314675562</v>
      </c>
    </row>
    <row r="112" customFormat="false" ht="15" hidden="false" customHeight="false" outlineLevel="0" collapsed="false">
      <c r="A112" s="6" t="s">
        <v>638</v>
      </c>
      <c r="B112" s="6" t="s">
        <v>207</v>
      </c>
      <c r="C112" s="9" t="n">
        <f aca="false">SUMPRODUCT(C$8:C$15,Corte!$I$32:$I$39)</f>
        <v>13409.2097303051</v>
      </c>
      <c r="D112" s="9" t="n">
        <f aca="false">SUMPRODUCT(D$8:D$15,Corte!$I$32:$I$39)</f>
        <v>22393.7822747132</v>
      </c>
      <c r="E112" s="9" t="n">
        <f aca="false">SUMPRODUCT(E$8:E$15,Corte!$I$32:$I$39)</f>
        <v>40259.663210297</v>
      </c>
      <c r="F112" s="9" t="n">
        <f aca="false">SUMPRODUCT(F$8:F$15,Corte!$I$32:$I$39)</f>
        <v>77940.4508371217</v>
      </c>
      <c r="G112" s="9" t="n">
        <f aca="false">SUMPRODUCT(G$8:G$15,Corte!$I$32:$I$39)</f>
        <v>132810.969924247</v>
      </c>
      <c r="H112" s="9" t="n">
        <f aca="false">SUMPRODUCT(H$8:H$15,Corte!$I$32:$I$39)</f>
        <v>185843.53402884</v>
      </c>
      <c r="I112" s="9" t="n">
        <f aca="false">SUMPRODUCT(I$8:I$15,Corte!$I$32:$I$39)</f>
        <v>252305.567734064</v>
      </c>
      <c r="J112" s="9" t="n">
        <f aca="false">SUMPRODUCT(J$8:J$15,Corte!$I$32:$I$39)</f>
        <v>319913.973106337</v>
      </c>
      <c r="K112" s="9" t="n">
        <f aca="false">SUMPRODUCT(K$8:K$15,Corte!$I$32:$I$39)</f>
        <v>363270.868477573</v>
      </c>
      <c r="L112" s="9" t="n">
        <f aca="false">SUMPRODUCT(L$8:L$15,Corte!$I$32:$I$39)</f>
        <v>419328.555459846</v>
      </c>
    </row>
    <row r="113" customFormat="false" ht="15" hidden="false" customHeight="false" outlineLevel="0" collapsed="false">
      <c r="A113" s="6" t="s">
        <v>577</v>
      </c>
      <c r="B113" s="6" t="s">
        <v>180</v>
      </c>
      <c r="C113" s="30" t="n">
        <f aca="false">C111+C30</f>
        <v>12.7231643460055</v>
      </c>
      <c r="D113" s="30" t="n">
        <f aca="false">D111+D30</f>
        <v>21.2861059586757</v>
      </c>
      <c r="E113" s="30" t="n">
        <f aca="false">E111+E30</f>
        <v>38.5255290908929</v>
      </c>
      <c r="F113" s="30" t="n">
        <f aca="false">F111+F30</f>
        <v>74.978347663673</v>
      </c>
      <c r="G113" s="30" t="n">
        <f aca="false">G111+G30</f>
        <v>127.891313507901</v>
      </c>
      <c r="H113" s="30" t="n">
        <f aca="false">H111+H30</f>
        <v>179.010202634716</v>
      </c>
      <c r="I113" s="30" t="n">
        <f aca="false">I111+I30</f>
        <v>243.15731252629</v>
      </c>
      <c r="J113" s="30" t="n">
        <f aca="false">J111+J30</f>
        <v>308.412672111893</v>
      </c>
      <c r="K113" s="30" t="n">
        <f aca="false">K111+K30</f>
        <v>350.101320879505</v>
      </c>
      <c r="L113" s="30" t="n">
        <f aca="false">L111+L30</f>
        <v>404.126592382497</v>
      </c>
    </row>
    <row r="114" customFormat="false" ht="15" hidden="false" customHeight="false" outlineLevel="0" collapsed="false">
      <c r="A114" s="6" t="s">
        <v>578</v>
      </c>
      <c r="B114" s="6" t="s">
        <v>207</v>
      </c>
      <c r="C114" s="9" t="n">
        <f aca="false">C112+C31</f>
        <v>16959.6963939999</v>
      </c>
      <c r="D114" s="9" t="n">
        <f aca="false">D112+D31</f>
        <v>28422.9052018137</v>
      </c>
      <c r="E114" s="9" t="n">
        <f aca="false">E112+E31</f>
        <v>51475.9997765892</v>
      </c>
      <c r="F114" s="9" t="n">
        <f aca="false">F112+F31</f>
        <v>100185.552009634</v>
      </c>
      <c r="G114" s="9" t="n">
        <f aca="false">G112+G31</f>
        <v>170902.016435233</v>
      </c>
      <c r="H114" s="9" t="n">
        <f aca="false">H112+H31</f>
        <v>239241.897581307</v>
      </c>
      <c r="I114" s="9" t="n">
        <f aca="false">I112+I31</f>
        <v>324948.21869805</v>
      </c>
      <c r="J114" s="9" t="n">
        <f aca="false">J112+J31</f>
        <v>412151.906394309</v>
      </c>
      <c r="K114" s="9" t="n">
        <f aca="false">K112+K31</f>
        <v>467849.367200121</v>
      </c>
      <c r="L114" s="9" t="n">
        <f aca="false">L112+L31</f>
        <v>540025.695070655</v>
      </c>
    </row>
    <row r="115" customFormat="false" ht="15" hidden="false" customHeight="false" outlineLevel="0" collapsed="false">
      <c r="A115" s="6" t="s">
        <v>639</v>
      </c>
      <c r="B115" s="6" t="s">
        <v>180</v>
      </c>
      <c r="C115" s="30" t="n">
        <f aca="false">C113-C25</f>
        <v>0.775556344890459</v>
      </c>
      <c r="D115" s="30" t="n">
        <f aca="false">D113-D25</f>
        <v>1.31548559581618</v>
      </c>
      <c r="E115" s="30" t="n">
        <f aca="false">E113-E25</f>
        <v>2.45127955029671</v>
      </c>
      <c r="F115" s="30" t="n">
        <f aca="false">F113-F25</f>
        <v>4.8692392088245</v>
      </c>
      <c r="G115" s="30" t="n">
        <f aca="false">G113-G25</f>
        <v>8.34005487625473</v>
      </c>
      <c r="H115" s="30" t="n">
        <f aca="false">H113-H25</f>
        <v>11.6916643696663</v>
      </c>
      <c r="I115" s="30" t="n">
        <f aca="false">I113-I25</f>
        <v>15.9088972889454</v>
      </c>
      <c r="J115" s="30" t="n">
        <f aca="false">J113-J25</f>
        <v>20.2023280560127</v>
      </c>
      <c r="K115" s="30" t="n">
        <f aca="false">K113-K25</f>
        <v>22.9030468610949</v>
      </c>
      <c r="L115" s="30" t="n">
        <f aca="false">L113-L25</f>
        <v>26.4331697457637</v>
      </c>
    </row>
    <row r="116" customFormat="false" ht="15" hidden="false" customHeight="false" outlineLevel="0" collapsed="false">
      <c r="A116" s="6" t="s">
        <v>580</v>
      </c>
      <c r="B116" s="6" t="s">
        <v>207</v>
      </c>
      <c r="C116" s="9" t="n">
        <f aca="false">-C115*Datos!$B$9</f>
        <v>-193.889086222615</v>
      </c>
      <c r="D116" s="9" t="n">
        <f aca="false">-D115*Datos!$B$9</f>
        <v>-328.871398954044</v>
      </c>
      <c r="E116" s="9" t="n">
        <f aca="false">-E115*Datos!$B$9</f>
        <v>-612.819887574178</v>
      </c>
      <c r="F116" s="9" t="n">
        <f aca="false">-F115*Datos!$B$9</f>
        <v>-1217.30980220612</v>
      </c>
      <c r="G116" s="9" t="n">
        <f aca="false">-G115*Datos!$B$9</f>
        <v>-2085.01371906368</v>
      </c>
      <c r="H116" s="9" t="n">
        <f aca="false">-H115*Datos!$B$9</f>
        <v>-2922.91609241659</v>
      </c>
      <c r="I116" s="9" t="n">
        <f aca="false">-I115*Datos!$B$9</f>
        <v>-3977.22432223635</v>
      </c>
      <c r="J116" s="9" t="n">
        <f aca="false">-J115*Datos!$B$9</f>
        <v>-5050.58201400318</v>
      </c>
      <c r="K116" s="9" t="n">
        <f aca="false">-K115*Datos!$B$9</f>
        <v>-5725.76171527373</v>
      </c>
      <c r="L116" s="9" t="n">
        <f aca="false">-L115*Datos!$B$9</f>
        <v>-6608.29243644093</v>
      </c>
    </row>
    <row r="117" customFormat="false" ht="15" hidden="false" customHeight="false" outlineLevel="0" collapsed="false">
      <c r="A117" s="6" t="s">
        <v>640</v>
      </c>
      <c r="B117" s="6" t="s">
        <v>180</v>
      </c>
      <c r="C117" s="30" t="n">
        <f aca="false">C111*(Datos!$B$51/2/12+Datos!$B$50/52)+C37</f>
        <v>1.26755440486346</v>
      </c>
      <c r="D117" s="30" t="n">
        <f aca="false">D111*(Datos!$B$51/2/12+Datos!$B$50/52)+D37</f>
        <v>2.12721154229165</v>
      </c>
      <c r="E117" s="30" t="n">
        <f aca="false">E111*(Datos!$B$51/2/12+Datos!$B$50/52)+E37</f>
        <v>3.87020641297003</v>
      </c>
      <c r="F117" s="30" t="n">
        <f aca="false">F111*(Datos!$B$51/2/12+Datos!$B$50/52)+F37</f>
        <v>7.55917762436741</v>
      </c>
      <c r="G117" s="30" t="n">
        <f aca="false">G111*(Datos!$B$51/2/12+Datos!$B$50/52)+G37</f>
        <v>12.5786795625275</v>
      </c>
      <c r="H117" s="30" t="n">
        <f aca="false">H111*(Datos!$B$51/2/12+Datos!$B$50/52)+H37</f>
        <v>16.3760418246118</v>
      </c>
      <c r="I117" s="30" t="n">
        <f aca="false">I111*(Datos!$B$51/2/12+Datos!$B$50/52)+I37</f>
        <v>21.0551287795964</v>
      </c>
      <c r="J117" s="30" t="n">
        <f aca="false">J111*(Datos!$B$51/2/12+Datos!$B$50/52)+J37</f>
        <v>25.7361681658067</v>
      </c>
      <c r="K117" s="30" t="n">
        <f aca="false">K111*(Datos!$B$51/2/12+Datos!$B$50/52)+K37</f>
        <v>28.6581813626538</v>
      </c>
      <c r="L117" s="30" t="n">
        <f aca="false">L111*(Datos!$B$51/2/12+Datos!$B$50/52)+L37</f>
        <v>32.4253852543983</v>
      </c>
    </row>
    <row r="118" customFormat="false" ht="15" hidden="false" customHeight="false" outlineLevel="0" collapsed="false">
      <c r="A118" s="6" t="s">
        <v>584</v>
      </c>
      <c r="B118" s="6" t="s">
        <v>207</v>
      </c>
      <c r="C118" s="9" t="n">
        <f aca="false">IF(C113=0,0,C117*C114/C113*Datos!$B$7)</f>
        <v>202.754635102491</v>
      </c>
      <c r="D118" s="9" t="n">
        <f aca="false">IF(D113=0,0,D117*D114/D113*Datos!$B$7)</f>
        <v>340.850687080884</v>
      </c>
      <c r="E118" s="9" t="n">
        <f aca="false">IF(E113=0,0,E117*E114/E113*Datos!$B$7)</f>
        <v>620.542531097366</v>
      </c>
      <c r="F118" s="9" t="n">
        <f aca="false">IF(F113=0,0,F117*F114/F113*Datos!$B$7)</f>
        <v>1212.06253266589</v>
      </c>
      <c r="G118" s="9" t="n">
        <f aca="false">IF(G113=0,0,G117*G114/G113*Datos!$B$7)</f>
        <v>2017.07682158958</v>
      </c>
      <c r="H118" s="9" t="n">
        <f aca="false">IF(H113=0,0,H117*H114/H113*Datos!$B$7)</f>
        <v>2626.33208386604</v>
      </c>
      <c r="I118" s="9" t="n">
        <f aca="false">IF(I113=0,0,I117*I114/I113*Datos!$B$7)</f>
        <v>3376.49393487922</v>
      </c>
      <c r="J118" s="9" t="n">
        <f aca="false">IF(J113=0,0,J117*J114/J113*Datos!$B$7)</f>
        <v>4127.1497828624</v>
      </c>
      <c r="K118" s="9" t="n">
        <f aca="false">IF(K113=0,0,K117*K114/K113*Datos!$B$7)</f>
        <v>4595.5994619872</v>
      </c>
      <c r="L118" s="9" t="n">
        <f aca="false">IF(L113=0,0,L117*L114/L113*Datos!$B$7)</f>
        <v>5199.5215974405</v>
      </c>
    </row>
    <row r="119" customFormat="false" ht="15" hidden="false" customHeight="false" outlineLevel="0" collapsed="false">
      <c r="A119" s="6" t="s">
        <v>641</v>
      </c>
      <c r="B119" s="6" t="s">
        <v>588</v>
      </c>
      <c r="C119" s="9" t="n">
        <f aca="false">C40*Datos!$B$46/60</f>
        <v>0.524095878749553</v>
      </c>
      <c r="D119" s="9" t="n">
        <f aca="false">D40*Datos!$B$46/60</f>
        <v>0.916210823378074</v>
      </c>
      <c r="E119" s="9" t="n">
        <f aca="false">E40*Datos!$B$46/60</f>
        <v>1.77602469119846</v>
      </c>
      <c r="F119" s="9" t="n">
        <f aca="false">F40*Datos!$B$46/60</f>
        <v>3.64973020955148</v>
      </c>
      <c r="G119" s="9" t="n">
        <f aca="false">G40*Datos!$B$46/60</f>
        <v>6.27824493973174</v>
      </c>
      <c r="H119" s="9" t="n">
        <f aca="false">H40*Datos!$B$46/60</f>
        <v>8.85040639620896</v>
      </c>
      <c r="I119" s="9" t="n">
        <f aca="false">I40*Datos!$B$46/60</f>
        <v>12.0544806990803</v>
      </c>
      <c r="J119" s="9" t="n">
        <f aca="false">J40*Datos!$B$46/60</f>
        <v>15.3275476035744</v>
      </c>
      <c r="K119" s="9" t="n">
        <f aca="false">K40*Datos!$B$46/60</f>
        <v>17.4082914759475</v>
      </c>
      <c r="L119" s="9" t="n">
        <f aca="false">L40*Datos!$B$46/60</f>
        <v>20.1466991122665</v>
      </c>
    </row>
    <row r="120" customFormat="false" ht="15" hidden="false" customHeight="false" outlineLevel="0" collapsed="false">
      <c r="A120" s="6" t="s">
        <v>642</v>
      </c>
      <c r="B120" s="6" t="s">
        <v>207</v>
      </c>
      <c r="C120" s="9" t="n">
        <f aca="false">C119*Datos!$B$15</f>
        <v>3.29201599196413</v>
      </c>
      <c r="D120" s="9" t="n">
        <f aca="false">D119*Datos!$B$15</f>
        <v>5.75501698232695</v>
      </c>
      <c r="E120" s="9" t="n">
        <f aca="false">E119*Datos!$B$15</f>
        <v>11.1557864173597</v>
      </c>
      <c r="F120" s="9" t="n">
        <f aca="false">F119*Datos!$B$15</f>
        <v>22.9251377531621</v>
      </c>
      <c r="G120" s="9" t="n">
        <f aca="false">G119*Datos!$B$15</f>
        <v>39.4356902641116</v>
      </c>
      <c r="H120" s="9" t="n">
        <f aca="false">H119*Datos!$B$15</f>
        <v>55.5922696076464</v>
      </c>
      <c r="I120" s="9" t="n">
        <f aca="false">I119*Datos!$B$15</f>
        <v>75.7180982435445</v>
      </c>
      <c r="J120" s="9" t="n">
        <f aca="false">J119*Datos!$B$15</f>
        <v>96.2772917599505</v>
      </c>
      <c r="K120" s="9" t="n">
        <f aca="false">K119*Datos!$B$15</f>
        <v>109.347118066116</v>
      </c>
      <c r="L120" s="9" t="n">
        <f aca="false">L119*Datos!$B$15</f>
        <v>126.547943519633</v>
      </c>
    </row>
    <row r="121" customFormat="false" ht="15" hidden="false" customHeight="false" outlineLevel="0" collapsed="false">
      <c r="A121" s="6" t="s">
        <v>590</v>
      </c>
      <c r="B121" s="6" t="s">
        <v>207</v>
      </c>
      <c r="C121" s="9" t="n">
        <f aca="false">Datos!$G$117*Datos!$B$8</f>
        <v>450</v>
      </c>
      <c r="D121" s="9" t="n">
        <f aca="false">Datos!$G$117*Datos!$B$8</f>
        <v>450</v>
      </c>
      <c r="E121" s="9" t="n">
        <f aca="false">Datos!$G$117*Datos!$B$8</f>
        <v>450</v>
      </c>
      <c r="F121" s="9" t="n">
        <f aca="false">Datos!$G$117*Datos!$B$8</f>
        <v>450</v>
      </c>
      <c r="G121" s="9" t="n">
        <f aca="false">Datos!$G$117*Datos!$B$8</f>
        <v>450</v>
      </c>
      <c r="H121" s="9" t="n">
        <f aca="false">Datos!$G$117*Datos!$B$8</f>
        <v>450</v>
      </c>
      <c r="I121" s="9" t="n">
        <f aca="false">Datos!$G$117*Datos!$B$8</f>
        <v>450</v>
      </c>
      <c r="J121" s="9" t="n">
        <f aca="false">Datos!$G$117*Datos!$B$8</f>
        <v>450</v>
      </c>
      <c r="K121" s="9" t="n">
        <f aca="false">Datos!$G$117*Datos!$B$8</f>
        <v>450</v>
      </c>
      <c r="L121" s="9" t="n">
        <f aca="false">Datos!$G$117*Datos!$B$8</f>
        <v>450</v>
      </c>
    </row>
    <row r="122" customFormat="false" ht="15" hidden="false" customHeight="false" outlineLevel="0" collapsed="false">
      <c r="A122" s="4" t="s">
        <v>643</v>
      </c>
      <c r="B122" s="6" t="s">
        <v>207</v>
      </c>
      <c r="C122" s="11" t="n">
        <f aca="false">C114+C116+C118+C120+C121</f>
        <v>17421.8539588717</v>
      </c>
      <c r="D122" s="11" t="n">
        <f aca="false">D114+D116+D118+D120+D121</f>
        <v>28890.6395069228</v>
      </c>
      <c r="E122" s="11" t="n">
        <f aca="false">E114+E116+E118+E120+E121</f>
        <v>51944.8782065297</v>
      </c>
      <c r="F122" s="11" t="n">
        <f aca="false">F114+F116+F118+F120+F121</f>
        <v>100653.229877847</v>
      </c>
      <c r="G122" s="11" t="n">
        <f aca="false">G114+G116+G118+G120+G121</f>
        <v>171323.515228023</v>
      </c>
      <c r="H122" s="11" t="n">
        <f aca="false">H114+H116+H118+H120+H121</f>
        <v>239450.905842364</v>
      </c>
      <c r="I122" s="11" t="n">
        <f aca="false">I114+I116+I118+I120+I121</f>
        <v>324873.206408936</v>
      </c>
      <c r="J122" s="11" t="n">
        <f aca="false">J114+J116+J118+J120+J121</f>
        <v>411774.751454928</v>
      </c>
      <c r="K122" s="11" t="n">
        <f aca="false">K114+K116+K118+K120+K121</f>
        <v>467278.5520649</v>
      </c>
      <c r="L122" s="11" t="n">
        <f aca="false">L114+L116+L118+L120+L121</f>
        <v>539193.472175174</v>
      </c>
    </row>
    <row r="124" customFormat="false" ht="15" hidden="false" customHeight="false" outlineLevel="0" collapsed="false">
      <c r="A124" s="8" t="s">
        <v>644</v>
      </c>
    </row>
    <row r="125" customFormat="false" ht="15" hidden="false" customHeight="false" outlineLevel="0" collapsed="false">
      <c r="A125" s="6" t="s">
        <v>645</v>
      </c>
      <c r="B125" s="6" t="s">
        <v>149</v>
      </c>
      <c r="C125" s="9" t="n">
        <f aca="false">C8/Corte!$I$6</f>
        <v>92.8608120666667</v>
      </c>
      <c r="D125" s="9" t="n">
        <f aca="false">D8/Corte!$I$6</f>
        <v>133.273421711111</v>
      </c>
      <c r="E125" s="9" t="n">
        <f aca="false">E8/Corte!$I$6</f>
        <v>322.536616844444</v>
      </c>
      <c r="F125" s="9" t="n">
        <f aca="false">F8/Corte!$I$6</f>
        <v>781.376345533333</v>
      </c>
      <c r="G125" s="9" t="n">
        <f aca="false">G8/Corte!$I$6</f>
        <v>1380.34294911111</v>
      </c>
      <c r="H125" s="9" t="n">
        <f aca="false">H8/Corte!$I$6</f>
        <v>1940.01006822222</v>
      </c>
      <c r="I125" s="9" t="n">
        <f aca="false">I8/Corte!$I$6</f>
        <v>2703.84785022222</v>
      </c>
      <c r="J125" s="9" t="n">
        <f aca="false">J8/Corte!$I$6</f>
        <v>3469.62396622222</v>
      </c>
      <c r="K125" s="9" t="n">
        <f aca="false">K8/Corte!$I$6</f>
        <v>3897.62524755556</v>
      </c>
      <c r="L125" s="9" t="n">
        <f aca="false">L8/Corte!$I$6</f>
        <v>4502.68086955556</v>
      </c>
    </row>
    <row r="126" customFormat="false" ht="15" hidden="false" customHeight="false" outlineLevel="0" collapsed="false">
      <c r="A126" s="6" t="s">
        <v>646</v>
      </c>
      <c r="B126" s="6" t="s">
        <v>149</v>
      </c>
      <c r="C126" s="9" t="n">
        <f aca="false">C9/Corte!$I$7</f>
        <v>11.1122354518519</v>
      </c>
      <c r="D126" s="9" t="n">
        <f aca="false">D9/Corte!$I$7</f>
        <v>26.8195351962963</v>
      </c>
      <c r="E126" s="9" t="n">
        <f aca="false">E9/Corte!$I$7</f>
        <v>48.5180762074074</v>
      </c>
      <c r="F126" s="9" t="n">
        <f aca="false">F9/Corte!$I$7</f>
        <v>95.6191916296296</v>
      </c>
      <c r="G126" s="9" t="n">
        <f aca="false">G9/Corte!$I$7</f>
        <v>158.689915777778</v>
      </c>
      <c r="H126" s="9" t="n">
        <f aca="false">H9/Corte!$I$7</f>
        <v>225.907773592593</v>
      </c>
      <c r="I126" s="9" t="n">
        <f aca="false">I9/Corte!$I$7</f>
        <v>300.213167555556</v>
      </c>
      <c r="J126" s="9" t="n">
        <f aca="false">J9/Corte!$I$7</f>
        <v>379.965429148148</v>
      </c>
      <c r="K126" s="9" t="n">
        <f aca="false">K9/Corte!$I$7</f>
        <v>443.251342333333</v>
      </c>
      <c r="L126" s="9" t="n">
        <f aca="false">L9/Corte!$I$7</f>
        <v>523.197720148148</v>
      </c>
    </row>
    <row r="127" customFormat="false" ht="15" hidden="false" customHeight="false" outlineLevel="0" collapsed="false">
      <c r="A127" s="6" t="s">
        <v>647</v>
      </c>
      <c r="B127" s="6" t="s">
        <v>149</v>
      </c>
      <c r="C127" s="9" t="n">
        <f aca="false">C10/Corte!$I$8</f>
        <v>190.147752083333</v>
      </c>
      <c r="D127" s="9" t="n">
        <f aca="false">D10/Corte!$I$8</f>
        <v>327.338240083333</v>
      </c>
      <c r="E127" s="9" t="n">
        <f aca="false">E10/Corte!$I$8</f>
        <v>559.311465916667</v>
      </c>
      <c r="F127" s="9" t="n">
        <f aca="false">F10/Corte!$I$8</f>
        <v>1016.99960941667</v>
      </c>
      <c r="G127" s="9" t="n">
        <f aca="false">G10/Corte!$I$8</f>
        <v>1716.06557833333</v>
      </c>
      <c r="H127" s="9" t="n">
        <f aca="false">H10/Corte!$I$8</f>
        <v>2391.8003425</v>
      </c>
      <c r="I127" s="9" t="n">
        <f aca="false">I10/Corte!$I$8</f>
        <v>3222.04998666667</v>
      </c>
      <c r="J127" s="9" t="n">
        <f aca="false">J10/Corte!$I$8</f>
        <v>4070.18553083333</v>
      </c>
      <c r="K127" s="9" t="n">
        <f aca="false">K10/Corte!$I$8</f>
        <v>4623.44704583333</v>
      </c>
      <c r="L127" s="9" t="n">
        <f aca="false">L10/Corte!$I$8</f>
        <v>5321.05489333333</v>
      </c>
    </row>
    <row r="128" customFormat="false" ht="15" hidden="false" customHeight="false" outlineLevel="0" collapsed="false">
      <c r="A128" s="6" t="s">
        <v>648</v>
      </c>
      <c r="B128" s="6" t="s">
        <v>149</v>
      </c>
      <c r="C128" s="9" t="n">
        <f aca="false">C11/Corte!$I$9</f>
        <v>6.322212102</v>
      </c>
      <c r="D128" s="9" t="n">
        <f aca="false">D11/Corte!$I$9</f>
        <v>12.16581978</v>
      </c>
      <c r="E128" s="9" t="n">
        <f aca="false">E11/Corte!$I$9</f>
        <v>23.4679186533333</v>
      </c>
      <c r="F128" s="9" t="n">
        <f aca="false">F11/Corte!$I$9</f>
        <v>45.82003294</v>
      </c>
      <c r="G128" s="9" t="n">
        <f aca="false">G11/Corte!$I$9</f>
        <v>80.0292101266667</v>
      </c>
      <c r="H128" s="9" t="n">
        <f aca="false">H11/Corte!$I$9</f>
        <v>115.712335466667</v>
      </c>
      <c r="I128" s="9" t="n">
        <f aca="false">I11/Corte!$I$9</f>
        <v>155.730703</v>
      </c>
      <c r="J128" s="9" t="n">
        <f aca="false">J11/Corte!$I$9</f>
        <v>196.770987466667</v>
      </c>
      <c r="K128" s="9" t="n">
        <f aca="false">K11/Corte!$I$9</f>
        <v>223.6900036</v>
      </c>
      <c r="L128" s="9" t="n">
        <f aca="false">L11/Corte!$I$9</f>
        <v>257.5285386</v>
      </c>
    </row>
    <row r="129" customFormat="false" ht="15" hidden="false" customHeight="false" outlineLevel="0" collapsed="false">
      <c r="A129" s="6" t="s">
        <v>649</v>
      </c>
      <c r="B129" s="6" t="s">
        <v>149</v>
      </c>
      <c r="C129" s="9" t="n">
        <f aca="false">C52</f>
        <v>0</v>
      </c>
      <c r="D129" s="9" t="n">
        <f aca="false">D52</f>
        <v>0</v>
      </c>
      <c r="E129" s="9" t="n">
        <f aca="false">E52</f>
        <v>0</v>
      </c>
      <c r="F129" s="9" t="n">
        <f aca="false">F52</f>
        <v>0</v>
      </c>
      <c r="G129" s="9" t="n">
        <f aca="false">G52</f>
        <v>0</v>
      </c>
      <c r="H129" s="9" t="n">
        <f aca="false">H52</f>
        <v>0</v>
      </c>
      <c r="I129" s="9" t="n">
        <f aca="false">I52</f>
        <v>0</v>
      </c>
      <c r="J129" s="9" t="n">
        <f aca="false">J52</f>
        <v>0</v>
      </c>
      <c r="K129" s="9" t="n">
        <f aca="false">K52</f>
        <v>0</v>
      </c>
      <c r="L129" s="9" t="n">
        <f aca="false">L52</f>
        <v>0</v>
      </c>
    </row>
    <row r="130" customFormat="false" ht="15" hidden="false" customHeight="false" outlineLevel="0" collapsed="false">
      <c r="A130" s="6" t="s">
        <v>650</v>
      </c>
      <c r="B130" s="6" t="s">
        <v>149</v>
      </c>
      <c r="C130" s="9" t="n">
        <f aca="false">C51</f>
        <v>9.81467422</v>
      </c>
      <c r="D130" s="9" t="n">
        <f aca="false">D51</f>
        <v>16.7442751125</v>
      </c>
      <c r="E130" s="9" t="n">
        <f aca="false">E51</f>
        <v>25.8524196683333</v>
      </c>
      <c r="F130" s="9" t="n">
        <f aca="false">F51</f>
        <v>43.4934583416667</v>
      </c>
      <c r="G130" s="9" t="n">
        <f aca="false">G51</f>
        <v>71.311534325</v>
      </c>
      <c r="H130" s="9" t="n">
        <f aca="false">H51</f>
        <v>99.0581034416667</v>
      </c>
      <c r="I130" s="9" t="n">
        <f aca="false">I51</f>
        <v>132.089332716667</v>
      </c>
      <c r="J130" s="9" t="n">
        <f aca="false">J51</f>
        <v>166.457123375</v>
      </c>
      <c r="K130" s="9" t="n">
        <f aca="false">K51</f>
        <v>190.561101083333</v>
      </c>
      <c r="L130" s="9" t="n">
        <f aca="false">L51</f>
        <v>219.96331775</v>
      </c>
    </row>
    <row r="131" customFormat="false" ht="15" hidden="false" customHeight="false" outlineLevel="0" collapsed="false">
      <c r="A131" s="6" t="s">
        <v>651</v>
      </c>
      <c r="B131" s="6" t="s">
        <v>149</v>
      </c>
      <c r="C131" s="9" t="n">
        <f aca="false">C48</f>
        <v>0</v>
      </c>
      <c r="D131" s="9" t="n">
        <f aca="false">D48</f>
        <v>0</v>
      </c>
      <c r="E131" s="9" t="n">
        <f aca="false">E48</f>
        <v>0</v>
      </c>
      <c r="F131" s="9" t="n">
        <f aca="false">F48</f>
        <v>0</v>
      </c>
      <c r="G131" s="9" t="n">
        <f aca="false">G48</f>
        <v>0</v>
      </c>
      <c r="H131" s="9" t="n">
        <f aca="false">H48</f>
        <v>0</v>
      </c>
      <c r="I131" s="9" t="n">
        <f aca="false">I48</f>
        <v>0</v>
      </c>
      <c r="J131" s="9" t="n">
        <f aca="false">J48</f>
        <v>0</v>
      </c>
      <c r="K131" s="9" t="n">
        <f aca="false">K48</f>
        <v>0</v>
      </c>
      <c r="L131" s="9" t="n">
        <f aca="false">L48</f>
        <v>0</v>
      </c>
    </row>
    <row r="132" customFormat="false" ht="15" hidden="false" customHeight="false" outlineLevel="0" collapsed="false">
      <c r="A132" s="6" t="s">
        <v>652</v>
      </c>
      <c r="B132" s="6" t="s">
        <v>149</v>
      </c>
      <c r="C132" s="9" t="n">
        <f aca="false">C49</f>
        <v>2.26053998555556</v>
      </c>
      <c r="D132" s="9" t="n">
        <f aca="false">D49</f>
        <v>3.15353675444444</v>
      </c>
      <c r="E132" s="9" t="n">
        <f aca="false">E49</f>
        <v>4.80223324222222</v>
      </c>
      <c r="F132" s="9" t="n">
        <f aca="false">F49</f>
        <v>7.90825882333333</v>
      </c>
      <c r="G132" s="9" t="n">
        <f aca="false">G49</f>
        <v>13.2956090766667</v>
      </c>
      <c r="H132" s="9" t="n">
        <f aca="false">H49</f>
        <v>18.3387279677778</v>
      </c>
      <c r="I132" s="9" t="n">
        <f aca="false">I49</f>
        <v>25.02230577</v>
      </c>
      <c r="J132" s="9" t="n">
        <f aca="false">J49</f>
        <v>30.8763735444444</v>
      </c>
      <c r="K132" s="9" t="n">
        <f aca="false">K49</f>
        <v>35.3401288333333</v>
      </c>
      <c r="L132" s="9" t="n">
        <f aca="false">L49</f>
        <v>40.9122062</v>
      </c>
    </row>
    <row r="133" customFormat="false" ht="15" hidden="false" customHeight="false" outlineLevel="0" collapsed="false">
      <c r="A133" s="6" t="s">
        <v>653</v>
      </c>
      <c r="B133" s="6" t="s">
        <v>149</v>
      </c>
      <c r="C133" s="9" t="n">
        <f aca="false">C50</f>
        <v>6.00863189333333</v>
      </c>
      <c r="D133" s="9" t="n">
        <f aca="false">D50</f>
        <v>9.77035790833333</v>
      </c>
      <c r="E133" s="9" t="n">
        <f aca="false">E50</f>
        <v>15.1280899966667</v>
      </c>
      <c r="F133" s="9" t="n">
        <f aca="false">F50</f>
        <v>25.4949754833333</v>
      </c>
      <c r="G133" s="9" t="n">
        <f aca="false">G50</f>
        <v>42.0460005833333</v>
      </c>
      <c r="H133" s="9" t="n">
        <f aca="false">H50</f>
        <v>58.2624137833333</v>
      </c>
      <c r="I133" s="9" t="n">
        <f aca="false">I50</f>
        <v>77.5780388666667</v>
      </c>
      <c r="J133" s="9" t="n">
        <f aca="false">J50</f>
        <v>97.7881117833333</v>
      </c>
      <c r="K133" s="9" t="n">
        <f aca="false">K50</f>
        <v>112.0979026</v>
      </c>
      <c r="L133" s="9" t="n">
        <f aca="false">L50</f>
        <v>129.551755533333</v>
      </c>
    </row>
    <row r="134" customFormat="false" ht="15" hidden="false" customHeight="false" outlineLevel="0" collapsed="false">
      <c r="A134" s="6" t="s">
        <v>593</v>
      </c>
      <c r="B134" s="6" t="s">
        <v>149</v>
      </c>
      <c r="C134" s="9" t="n">
        <f aca="false">C47</f>
        <v>6.11495328333333</v>
      </c>
      <c r="D134" s="9" t="n">
        <f aca="false">D47</f>
        <v>9.40727692666667</v>
      </c>
      <c r="E134" s="9" t="n">
        <f aca="false">E47</f>
        <v>14.4200330633333</v>
      </c>
      <c r="F134" s="9" t="n">
        <f aca="false">F47</f>
        <v>24.60477647</v>
      </c>
      <c r="G134" s="9" t="n">
        <f aca="false">G47</f>
        <v>40.75349389</v>
      </c>
      <c r="H134" s="9" t="n">
        <f aca="false">H47</f>
        <v>55.8428505666667</v>
      </c>
      <c r="I134" s="9" t="n">
        <f aca="false">I47</f>
        <v>74.8269173</v>
      </c>
      <c r="J134" s="9" t="n">
        <f aca="false">J47</f>
        <v>93.8824539666667</v>
      </c>
      <c r="K134" s="9" t="n">
        <f aca="false">K47</f>
        <v>107.9403865</v>
      </c>
      <c r="L134" s="9" t="n">
        <f aca="false">L47</f>
        <v>124.709952</v>
      </c>
    </row>
    <row r="135" customFormat="false" ht="15" hidden="false" customHeight="false" outlineLevel="0" collapsed="false">
      <c r="A135" s="6" t="s">
        <v>654</v>
      </c>
      <c r="B135" s="6" t="s">
        <v>586</v>
      </c>
      <c r="C135" s="30" t="n">
        <f aca="false">C16*Corte!$I$44/1000/Corte!$K$44</f>
        <v>0.250082721253373</v>
      </c>
      <c r="D135" s="30" t="n">
        <f aca="false">D16*Corte!$I$44/1000/Corte!$K$44</f>
        <v>0.358917601844093</v>
      </c>
      <c r="E135" s="30" t="n">
        <f aca="false">E16*Corte!$I$44/1000/Corte!$K$44</f>
        <v>0.868620821304116</v>
      </c>
      <c r="F135" s="30" t="n">
        <f aca="false">F16*Corte!$I$44/1000/Corte!$K$44</f>
        <v>2.10431847907709</v>
      </c>
      <c r="G135" s="30" t="n">
        <f aca="false">G16*Corte!$I$44/1000/Corte!$K$44</f>
        <v>3.71739071944349</v>
      </c>
      <c r="H135" s="30" t="n">
        <f aca="false">H16*Corte!$I$44/1000/Corte!$K$44</f>
        <v>5.22462582786425</v>
      </c>
      <c r="I135" s="30" t="n">
        <f aca="false">I16*Corte!$I$44/1000/Corte!$K$44</f>
        <v>7.28171133968986</v>
      </c>
      <c r="J135" s="30" t="n">
        <f aca="false">J16*Corte!$I$44/1000/Corte!$K$44</f>
        <v>9.34401696353721</v>
      </c>
      <c r="K135" s="30" t="n">
        <f aca="false">K16*Corte!$I$44/1000/Corte!$K$44</f>
        <v>10.4966638417373</v>
      </c>
      <c r="L135" s="30" t="n">
        <f aca="false">L16*Corte!$I$44/1000/Corte!$K$44</f>
        <v>12.1261343696364</v>
      </c>
    </row>
    <row r="136" customFormat="false" ht="15" hidden="false" customHeight="false" outlineLevel="0" collapsed="false">
      <c r="A136" s="6" t="s">
        <v>655</v>
      </c>
      <c r="B136" s="6" t="s">
        <v>586</v>
      </c>
      <c r="C136" s="30" t="n">
        <f aca="false">C17*Corte!$I$45/1000/Corte!$K$45</f>
        <v>0.402739535219332</v>
      </c>
      <c r="D136" s="30" t="n">
        <f aca="false">D17*Corte!$I$45/1000/Corte!$K$45</f>
        <v>0.578009977755622</v>
      </c>
      <c r="E136" s="30" t="n">
        <f aca="false">E17*Corte!$I$45/1000/Corte!$K$45</f>
        <v>1.39884892526991</v>
      </c>
      <c r="F136" s="30" t="n">
        <f aca="false">F17*Corte!$I$45/1000/Corte!$K$45</f>
        <v>3.38884766596217</v>
      </c>
      <c r="G136" s="30" t="n">
        <f aca="false">G17*Corte!$I$45/1000/Corte!$K$45</f>
        <v>5.98657997271428</v>
      </c>
      <c r="H136" s="30" t="n">
        <f aca="false">H17*Corte!$I$45/1000/Corte!$K$45</f>
        <v>8.41386948711711</v>
      </c>
      <c r="I136" s="30" t="n">
        <f aca="false">I17*Corte!$I$45/1000/Corte!$K$45</f>
        <v>11.7266519887906</v>
      </c>
      <c r="J136" s="30" t="n">
        <f aca="false">J17*Corte!$I$45/1000/Corte!$K$45</f>
        <v>15.0478410908038</v>
      </c>
      <c r="K136" s="30" t="n">
        <f aca="false">K17*Corte!$I$45/1000/Corte!$K$45</f>
        <v>16.9040927569395</v>
      </c>
      <c r="L136" s="30" t="n">
        <f aca="false">L17*Corte!$I$45/1000/Corte!$K$45</f>
        <v>19.5282332804058</v>
      </c>
    </row>
    <row r="137" customFormat="false" ht="15" hidden="false" customHeight="false" outlineLevel="0" collapsed="false">
      <c r="A137" s="6" t="s">
        <v>656</v>
      </c>
      <c r="B137" s="6" t="s">
        <v>586</v>
      </c>
      <c r="C137" s="30" t="n">
        <f aca="false">C18*Corte!$I$46/1000/Corte!$K$46</f>
        <v>0.152332818054212</v>
      </c>
      <c r="D137" s="30" t="n">
        <f aca="false">D18*Corte!$I$46/1000/Corte!$K$46</f>
        <v>0.367657380286619</v>
      </c>
      <c r="E137" s="30" t="n">
        <f aca="false">E18*Corte!$I$46/1000/Corte!$K$46</f>
        <v>0.665113271516551</v>
      </c>
      <c r="F137" s="30" t="n">
        <f aca="false">F18*Corte!$I$46/1000/Corte!$K$46</f>
        <v>1.31080204195816</v>
      </c>
      <c r="G137" s="30" t="n">
        <f aca="false">G18*Corte!$I$46/1000/Corte!$K$46</f>
        <v>2.17541125473416</v>
      </c>
      <c r="H137" s="30" t="n">
        <f aca="false">H18*Corte!$I$46/1000/Corte!$K$46</f>
        <v>3.0968717249397</v>
      </c>
      <c r="I137" s="30" t="n">
        <f aca="false">I18*Corte!$I$46/1000/Corte!$K$46</f>
        <v>4.11549215536986</v>
      </c>
      <c r="J137" s="30" t="n">
        <f aca="false">J18*Corte!$I$46/1000/Corte!$K$46</f>
        <v>5.20878133262282</v>
      </c>
      <c r="K137" s="30" t="n">
        <f aca="false">K18*Corte!$I$46/1000/Corte!$K$46</f>
        <v>6.07634047861148</v>
      </c>
      <c r="L137" s="30" t="n">
        <f aca="false">L18*Corte!$I$46/1000/Corte!$K$46</f>
        <v>7.17229071099501</v>
      </c>
    </row>
    <row r="138" customFormat="false" ht="15" hidden="false" customHeight="false" outlineLevel="0" collapsed="false">
      <c r="A138" s="6" t="s">
        <v>657</v>
      </c>
      <c r="B138" s="6" t="s">
        <v>586</v>
      </c>
      <c r="C138" s="30" t="n">
        <f aca="false">C19*Corte!$I$47/1000/Corte!$K$47</f>
        <v>0.123428406056245</v>
      </c>
      <c r="D138" s="30" t="n">
        <f aca="false">D19*Corte!$I$47/1000/Corte!$K$47</f>
        <v>0.297896178927395</v>
      </c>
      <c r="E138" s="30" t="n">
        <f aca="false">E19*Corte!$I$47/1000/Corte!$K$47</f>
        <v>0.538911260217918</v>
      </c>
      <c r="F138" s="30" t="n">
        <f aca="false">F19*Corte!$I$47/1000/Corte!$K$47</f>
        <v>1.06208372405077</v>
      </c>
      <c r="G138" s="30" t="n">
        <f aca="false">G19*Corte!$I$47/1000/Corte!$K$47</f>
        <v>1.7626375400808</v>
      </c>
      <c r="H138" s="30" t="n">
        <f aca="false">H19*Corte!$I$47/1000/Corte!$K$47</f>
        <v>2.5092553636993</v>
      </c>
      <c r="I138" s="30" t="n">
        <f aca="false">I19*Corte!$I$47/1000/Corte!$K$47</f>
        <v>3.33459751721724</v>
      </c>
      <c r="J138" s="30" t="n">
        <f aca="false">J19*Corte!$I$47/1000/Corte!$K$47</f>
        <v>4.22044038568471</v>
      </c>
      <c r="K138" s="30" t="n">
        <f aca="false">K19*Corte!$I$47/1000/Corte!$K$47</f>
        <v>4.92338439943485</v>
      </c>
      <c r="L138" s="30" t="n">
        <f aca="false">L19*Corte!$I$47/1000/Corte!$K$47</f>
        <v>5.81138340075266</v>
      </c>
    </row>
    <row r="139" customFormat="false" ht="15" hidden="false" customHeight="false" outlineLevel="0" collapsed="false">
      <c r="A139" s="6" t="s">
        <v>658</v>
      </c>
      <c r="B139" s="6" t="s">
        <v>586</v>
      </c>
      <c r="C139" s="30" t="n">
        <f aca="false">C20*Corte!$I$48/1000/Corte!$K$48</f>
        <v>0.470310807736937</v>
      </c>
      <c r="D139" s="30" t="n">
        <f aca="false">D20*Corte!$I$48/1000/Corte!$K$48</f>
        <v>0.809637297364999</v>
      </c>
      <c r="E139" s="30" t="n">
        <f aca="false">E20*Corte!$I$48/1000/Corte!$K$48</f>
        <v>1.38339909060042</v>
      </c>
      <c r="F139" s="30" t="n">
        <f aca="false">F20*Corte!$I$48/1000/Corte!$K$48</f>
        <v>2.51544339879065</v>
      </c>
      <c r="G139" s="30" t="n">
        <f aca="false">G20*Corte!$I$48/1000/Corte!$K$48</f>
        <v>4.24451080505961</v>
      </c>
      <c r="H139" s="30" t="n">
        <f aca="false">H20*Corte!$I$48/1000/Corte!$K$48</f>
        <v>5.91587088830621</v>
      </c>
      <c r="I139" s="30" t="n">
        <f aca="false">I20*Corte!$I$48/1000/Corte!$K$48</f>
        <v>7.96940755383671</v>
      </c>
      <c r="J139" s="30" t="n">
        <f aca="false">J20*Corte!$I$48/1000/Corte!$K$48</f>
        <v>10.0671831440136</v>
      </c>
      <c r="K139" s="30" t="n">
        <f aca="false">K20*Corte!$I$48/1000/Corte!$K$48</f>
        <v>11.4356183064518</v>
      </c>
      <c r="L139" s="30" t="n">
        <f aca="false">L20*Corte!$I$48/1000/Corte!$K$48</f>
        <v>13.1610792001339</v>
      </c>
    </row>
    <row r="140" customFormat="false" ht="15" hidden="false" customHeight="false" outlineLevel="0" collapsed="false">
      <c r="A140" s="6" t="s">
        <v>659</v>
      </c>
      <c r="B140" s="6" t="s">
        <v>586</v>
      </c>
      <c r="C140" s="30" t="n">
        <f aca="false">C21*Corte!$I$49/1000/Corte!$K$49</f>
        <v>0.441077657328678</v>
      </c>
      <c r="D140" s="30" t="n">
        <f aca="false">D21*Corte!$I$49/1000/Corte!$K$49</f>
        <v>0.759312600376012</v>
      </c>
      <c r="E140" s="30" t="n">
        <f aca="false">E21*Corte!$I$49/1000/Corte!$K$49</f>
        <v>1.2974110311621</v>
      </c>
      <c r="F140" s="30" t="n">
        <f aca="false">F21*Corte!$I$49/1000/Corte!$K$49</f>
        <v>2.35909076132067</v>
      </c>
      <c r="G140" s="30" t="n">
        <f aca="false">G21*Corte!$I$49/1000/Corte!$K$49</f>
        <v>3.98068437212934</v>
      </c>
      <c r="H140" s="30" t="n">
        <f aca="false">H21*Corte!$I$49/1000/Corte!$K$49</f>
        <v>5.54815757908873</v>
      </c>
      <c r="I140" s="30" t="n">
        <f aca="false">I21*Corte!$I$49/1000/Corte!$K$49</f>
        <v>7.47405238475812</v>
      </c>
      <c r="J140" s="30" t="n">
        <f aca="false">J21*Corte!$I$49/1000/Corte!$K$49</f>
        <v>9.44143635232807</v>
      </c>
      <c r="K140" s="30" t="n">
        <f aca="false">K21*Corte!$I$49/1000/Corte!$K$49</f>
        <v>10.7248135695321</v>
      </c>
      <c r="L140" s="30" t="n">
        <f aca="false">L21*Corte!$I$49/1000/Corte!$K$49</f>
        <v>12.3430248380753</v>
      </c>
    </row>
    <row r="141" customFormat="false" ht="15" hidden="false" customHeight="false" outlineLevel="0" collapsed="false">
      <c r="A141" s="6" t="s">
        <v>660</v>
      </c>
      <c r="B141" s="6" t="s">
        <v>586</v>
      </c>
      <c r="C141" s="30" t="n">
        <f aca="false">C22*Corte!$I$50/1000/Corte!$K$50</f>
        <v>0.134012278612294</v>
      </c>
      <c r="D141" s="30" t="n">
        <f aca="false">D22*Corte!$I$50/1000/Corte!$K$50</f>
        <v>0.2578795528528</v>
      </c>
      <c r="E141" s="30" t="n">
        <f aca="false">E22*Corte!$I$50/1000/Corte!$K$50</f>
        <v>0.497450766010564</v>
      </c>
      <c r="F141" s="30" t="n">
        <f aca="false">F22*Corte!$I$50/1000/Corte!$K$50</f>
        <v>0.971249765321425</v>
      </c>
      <c r="G141" s="30" t="n">
        <f aca="false">G22*Corte!$I$50/1000/Corte!$K$50</f>
        <v>1.69638358087099</v>
      </c>
      <c r="H141" s="30" t="n">
        <f aca="false">H22*Corte!$I$50/1000/Corte!$K$50</f>
        <v>2.45276075671878</v>
      </c>
      <c r="I141" s="30" t="n">
        <f aca="false">I22*Corte!$I$50/1000/Corte!$K$50</f>
        <v>3.30103230043838</v>
      </c>
      <c r="J141" s="30" t="n">
        <f aca="false">J22*Corte!$I$50/1000/Corte!$K$50</f>
        <v>4.17096547375518</v>
      </c>
      <c r="K141" s="30" t="n">
        <f aca="false">K22*Corte!$I$50/1000/Corte!$K$50</f>
        <v>4.74156934338617</v>
      </c>
      <c r="L141" s="30" t="n">
        <f aca="false">L22*Corte!$I$50/1000/Corte!$K$50</f>
        <v>5.4588466360631</v>
      </c>
    </row>
    <row r="142" customFormat="false" ht="15" hidden="false" customHeight="false" outlineLevel="0" collapsed="false">
      <c r="A142" s="6" t="s">
        <v>661</v>
      </c>
      <c r="B142" s="6" t="s">
        <v>586</v>
      </c>
      <c r="C142" s="30" t="n">
        <f aca="false">C23*Corte!$I$51/1000/Corte!$K$51</f>
        <v>0.12239929073714</v>
      </c>
      <c r="D142" s="30" t="n">
        <f aca="false">D23*Corte!$I$51/1000/Corte!$K$51</f>
        <v>0.235532704104756</v>
      </c>
      <c r="E142" s="30" t="n">
        <f aca="false">E23*Corte!$I$51/1000/Corte!$K$51</f>
        <v>0.454343598712264</v>
      </c>
      <c r="F142" s="30" t="n">
        <f aca="false">F23*Corte!$I$51/1000/Corte!$K$51</f>
        <v>0.887085001724988</v>
      </c>
      <c r="G142" s="30" t="n">
        <f aca="false">G23*Corte!$I$51/1000/Corte!$K$51</f>
        <v>1.54938151389429</v>
      </c>
      <c r="H142" s="30" t="n">
        <f aca="false">H23*Corte!$I$51/1000/Corte!$K$51</f>
        <v>2.24021395710176</v>
      </c>
      <c r="I142" s="30" t="n">
        <f aca="false">I23*Corte!$I$51/1000/Corte!$K$51</f>
        <v>3.0149775562206</v>
      </c>
      <c r="J142" s="30" t="n">
        <f aca="false">J23*Corte!$I$51/1000/Corte!$K$51</f>
        <v>3.80952567155216</v>
      </c>
      <c r="K142" s="30" t="n">
        <f aca="false">K23*Corte!$I$51/1000/Corte!$K$51</f>
        <v>4.33068320769672</v>
      </c>
      <c r="L142" s="30" t="n">
        <f aca="false">L23*Corte!$I$51/1000/Corte!$K$51</f>
        <v>4.98580401300372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2026-10-21T05:57:24Z</dcterms:created>
  <dc:creator>openpyxl</dc:creator>
  <dc:description/>
  <dc:language>en-US</dc:language>
  <cp:lastModifiedBy/>
  <dcterms:modified xsi:type="dcterms:W3CDTF">2026-10-21T05:57:27Z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